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4385" yWindow="-15" windowWidth="14430" windowHeight="12720" tabRatio="671"/>
  </bookViews>
  <sheets>
    <sheet name="banco" sheetId="1" r:id="rId1"/>
    <sheet name="procv" sheetId="2" r:id="rId2"/>
    <sheet name="banco regsau" sheetId="6" r:id="rId3"/>
    <sheet name="população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4" i="6" l="1"/>
  <c r="AM75" i="6"/>
  <c r="AM76" i="6"/>
  <c r="AM77" i="6"/>
  <c r="AM78" i="6"/>
  <c r="AM79" i="6"/>
  <c r="AM80" i="6"/>
  <c r="AM81" i="6"/>
  <c r="AM66" i="6"/>
  <c r="AM67" i="6"/>
  <c r="AM68" i="6"/>
  <c r="AM69" i="6"/>
  <c r="AM70" i="6"/>
  <c r="AM71" i="6"/>
  <c r="AM72" i="6"/>
  <c r="AM73" i="6"/>
  <c r="AM58" i="6"/>
  <c r="AM59" i="6"/>
  <c r="AM60" i="6"/>
  <c r="AM61" i="6"/>
  <c r="AM62" i="6"/>
  <c r="AM63" i="6"/>
  <c r="AM64" i="6"/>
  <c r="AM65" i="6"/>
  <c r="AM50" i="6"/>
  <c r="AM51" i="6"/>
  <c r="AM52" i="6"/>
  <c r="AM53" i="6"/>
  <c r="AM54" i="6"/>
  <c r="AM55" i="6"/>
  <c r="AM56" i="6"/>
  <c r="AM57" i="6"/>
  <c r="AM42" i="6"/>
  <c r="AM43" i="6"/>
  <c r="AM44" i="6"/>
  <c r="AM45" i="6"/>
  <c r="AM46" i="6"/>
  <c r="AM47" i="6"/>
  <c r="AM48" i="6"/>
  <c r="AM49" i="6"/>
  <c r="AM34" i="6"/>
  <c r="AM35" i="6"/>
  <c r="AM36" i="6"/>
  <c r="AM37" i="6"/>
  <c r="AM38" i="6"/>
  <c r="AM39" i="6"/>
  <c r="AM40" i="6"/>
  <c r="AM41" i="6"/>
  <c r="AM26" i="6"/>
  <c r="AM27" i="6"/>
  <c r="AM28" i="6"/>
  <c r="AM29" i="6"/>
  <c r="AM30" i="6"/>
  <c r="AM31" i="6"/>
  <c r="AM32" i="6"/>
  <c r="AM33" i="6"/>
  <c r="AM18" i="6"/>
  <c r="AM19" i="6"/>
  <c r="AM20" i="6"/>
  <c r="AM21" i="6"/>
  <c r="AM22" i="6"/>
  <c r="AM23" i="6"/>
  <c r="AM24" i="6"/>
  <c r="AM25" i="6"/>
  <c r="AM10" i="6"/>
  <c r="AM11" i="6"/>
  <c r="AM12" i="6"/>
  <c r="AM13" i="6"/>
  <c r="AM14" i="6"/>
  <c r="AM15" i="6"/>
  <c r="AM16" i="6"/>
  <c r="AM17" i="6"/>
  <c r="AM2" i="6"/>
  <c r="AM3" i="6"/>
  <c r="AM4" i="6"/>
  <c r="AM5" i="6"/>
  <c r="AM6" i="6"/>
  <c r="AM7" i="6"/>
  <c r="AM8" i="6"/>
  <c r="AM9" i="6"/>
  <c r="C74" i="6"/>
  <c r="AA38" i="8" l="1"/>
  <c r="AA37" i="8"/>
  <c r="AA36" i="8"/>
  <c r="AA35" i="8"/>
  <c r="AA34" i="8"/>
  <c r="AA33" i="8"/>
  <c r="AA32" i="8"/>
  <c r="AA31" i="8"/>
  <c r="AA30" i="8"/>
  <c r="AA26" i="8"/>
  <c r="AA25" i="8"/>
  <c r="AA24" i="8"/>
  <c r="AA23" i="8"/>
  <c r="AA22" i="8"/>
  <c r="AA21" i="8"/>
  <c r="AA20" i="8"/>
  <c r="AA19" i="8"/>
  <c r="AA18" i="8"/>
  <c r="AA5" i="8"/>
  <c r="AA6" i="8"/>
  <c r="AA7" i="8"/>
  <c r="AA8" i="8"/>
  <c r="AA9" i="8"/>
  <c r="AA10" i="8"/>
  <c r="AA11" i="8"/>
  <c r="AA12" i="8"/>
  <c r="AA4" i="8"/>
  <c r="Q38" i="8"/>
  <c r="R38" i="8"/>
  <c r="S38" i="8"/>
  <c r="T38" i="8"/>
  <c r="U38" i="8"/>
  <c r="V38" i="8"/>
  <c r="W38" i="8"/>
  <c r="X38" i="8"/>
  <c r="Y38" i="8"/>
  <c r="Z38" i="8"/>
  <c r="Z37" i="8"/>
  <c r="Y37" i="8"/>
  <c r="X37" i="8"/>
  <c r="W37" i="8"/>
  <c r="V37" i="8"/>
  <c r="U37" i="8"/>
  <c r="T37" i="8"/>
  <c r="S37" i="8"/>
  <c r="R37" i="8"/>
  <c r="Z36" i="8"/>
  <c r="Y36" i="8"/>
  <c r="X36" i="8"/>
  <c r="W36" i="8"/>
  <c r="V36" i="8"/>
  <c r="U36" i="8"/>
  <c r="T36" i="8"/>
  <c r="S36" i="8"/>
  <c r="R36" i="8"/>
  <c r="Z35" i="8"/>
  <c r="Y35" i="8"/>
  <c r="X35" i="8"/>
  <c r="W35" i="8"/>
  <c r="V35" i="8"/>
  <c r="U35" i="8"/>
  <c r="T35" i="8"/>
  <c r="S35" i="8"/>
  <c r="R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Q35" i="8"/>
  <c r="Q34" i="8"/>
  <c r="Q33" i="8"/>
  <c r="Q32" i="8"/>
  <c r="Q31" i="8"/>
  <c r="Q37" i="8"/>
  <c r="Q36" i="8"/>
  <c r="Q30" i="8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AN2" i="1" l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J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J1319" i="1"/>
  <c r="AJ1320" i="1"/>
  <c r="AJ1321" i="1"/>
  <c r="AJ1322" i="1"/>
  <c r="AJ1323" i="1"/>
  <c r="AJ1324" i="1"/>
  <c r="AJ1325" i="1"/>
  <c r="AJ1326" i="1"/>
  <c r="AJ1327" i="1"/>
  <c r="AJ1328" i="1"/>
  <c r="AJ1329" i="1"/>
  <c r="AJ1330" i="1"/>
  <c r="AJ1331" i="1"/>
  <c r="AJ1332" i="1"/>
  <c r="AJ1333" i="1"/>
  <c r="AJ1334" i="1"/>
  <c r="AJ1335" i="1"/>
  <c r="AJ1336" i="1"/>
  <c r="AJ1337" i="1"/>
  <c r="AJ1338" i="1"/>
  <c r="AJ1339" i="1"/>
  <c r="AJ1340" i="1"/>
  <c r="AJ1341" i="1"/>
  <c r="AJ1342" i="1"/>
  <c r="AJ1343" i="1"/>
  <c r="AJ1344" i="1"/>
  <c r="AJ1345" i="1"/>
  <c r="AJ1346" i="1"/>
  <c r="AJ1347" i="1"/>
  <c r="AJ1348" i="1"/>
  <c r="AJ1349" i="1"/>
  <c r="AJ1350" i="1"/>
  <c r="AJ1351" i="1"/>
  <c r="AJ1352" i="1"/>
  <c r="AJ1353" i="1"/>
  <c r="AJ1354" i="1"/>
  <c r="AJ1355" i="1"/>
  <c r="AJ1356" i="1"/>
  <c r="AJ1357" i="1"/>
  <c r="AJ1358" i="1"/>
  <c r="AJ1359" i="1"/>
  <c r="AJ1360" i="1"/>
  <c r="AJ1361" i="1"/>
  <c r="AJ1362" i="1"/>
  <c r="AJ1363" i="1"/>
  <c r="AJ1364" i="1"/>
  <c r="AJ1365" i="1"/>
  <c r="AJ1366" i="1"/>
  <c r="AJ1367" i="1"/>
  <c r="AJ1368" i="1"/>
  <c r="AJ1369" i="1"/>
  <c r="AJ1370" i="1"/>
  <c r="AJ1371" i="1"/>
  <c r="AJ1372" i="1"/>
  <c r="AJ1373" i="1"/>
  <c r="AJ1374" i="1"/>
  <c r="AJ1375" i="1"/>
  <c r="AJ1376" i="1"/>
  <c r="AJ1377" i="1"/>
  <c r="AJ1378" i="1"/>
  <c r="AJ1379" i="1"/>
  <c r="AJ1380" i="1"/>
  <c r="AJ1381" i="1"/>
  <c r="AJ1382" i="1"/>
  <c r="AJ1383" i="1"/>
  <c r="AJ1384" i="1"/>
  <c r="AJ1385" i="1"/>
  <c r="AJ1386" i="1"/>
  <c r="AJ1387" i="1"/>
  <c r="AJ1388" i="1"/>
  <c r="AJ1389" i="1"/>
  <c r="AJ1390" i="1"/>
  <c r="AJ139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V2" i="1"/>
  <c r="R2" i="1"/>
  <c r="N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J2" i="1"/>
  <c r="F2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N74" i="6" l="1"/>
  <c r="AN75" i="6"/>
  <c r="AN76" i="6"/>
  <c r="AN77" i="6"/>
  <c r="AN71" i="6"/>
  <c r="AN65" i="6"/>
  <c r="AN43" i="6"/>
  <c r="AN37" i="6"/>
  <c r="AN31" i="6"/>
  <c r="AN25" i="6"/>
  <c r="AN3" i="6"/>
  <c r="AI6" i="6"/>
  <c r="AI12" i="6"/>
  <c r="AI18" i="6"/>
  <c r="AI40" i="6"/>
  <c r="AI46" i="6"/>
  <c r="AI52" i="6"/>
  <c r="AI58" i="6"/>
  <c r="AI80" i="6"/>
  <c r="AE6" i="6"/>
  <c r="AE12" i="6"/>
  <c r="AE18" i="6"/>
  <c r="AE40" i="6"/>
  <c r="AE46" i="6"/>
  <c r="AE52" i="6"/>
  <c r="AE58" i="6"/>
  <c r="AE80" i="6"/>
  <c r="AA6" i="6"/>
  <c r="AA12" i="6"/>
  <c r="AA18" i="6"/>
  <c r="AA40" i="6"/>
  <c r="AA46" i="6"/>
  <c r="AA52" i="6"/>
  <c r="AA58" i="6"/>
  <c r="AA80" i="6"/>
  <c r="W6" i="6"/>
  <c r="W12" i="6"/>
  <c r="W18" i="6"/>
  <c r="AN78" i="6"/>
  <c r="AN79" i="6"/>
  <c r="AN80" i="6"/>
  <c r="AN81" i="6"/>
  <c r="AN59" i="6"/>
  <c r="AN53" i="6"/>
  <c r="AN47" i="6"/>
  <c r="AN41" i="6"/>
  <c r="AN19" i="6"/>
  <c r="AN13" i="6"/>
  <c r="AN7" i="6"/>
  <c r="AI2" i="6"/>
  <c r="AI24" i="6"/>
  <c r="AI30" i="6"/>
  <c r="AI36" i="6"/>
  <c r="AI42" i="6"/>
  <c r="AI64" i="6"/>
  <c r="AI70" i="6"/>
  <c r="AI76" i="6"/>
  <c r="AE2" i="6"/>
  <c r="AE24" i="6"/>
  <c r="AE30" i="6"/>
  <c r="AE36" i="6"/>
  <c r="AE42" i="6"/>
  <c r="AE64" i="6"/>
  <c r="AE70" i="6"/>
  <c r="AE76" i="6"/>
  <c r="AA2" i="6"/>
  <c r="AA24" i="6"/>
  <c r="AA30" i="6"/>
  <c r="AA36" i="6"/>
  <c r="AA42" i="6"/>
  <c r="AA64" i="6"/>
  <c r="AA70" i="6"/>
  <c r="AA76" i="6"/>
  <c r="W2" i="6"/>
  <c r="W24" i="6"/>
  <c r="W30" i="6"/>
  <c r="W36" i="6"/>
  <c r="W42" i="6"/>
  <c r="W64" i="6"/>
  <c r="W70" i="6"/>
  <c r="W76" i="6"/>
  <c r="S2" i="6"/>
  <c r="S24" i="6"/>
  <c r="S30" i="6"/>
  <c r="S36" i="6"/>
  <c r="S42" i="6"/>
  <c r="S64" i="6"/>
  <c r="S70" i="6"/>
  <c r="S76" i="6"/>
  <c r="O2" i="6"/>
  <c r="O24" i="6"/>
  <c r="O30" i="6"/>
  <c r="O36" i="6"/>
  <c r="O42" i="6"/>
  <c r="O64" i="6"/>
  <c r="O70" i="6"/>
  <c r="O76" i="6"/>
  <c r="K2" i="6"/>
  <c r="K24" i="6"/>
  <c r="K30" i="6"/>
  <c r="K36" i="6"/>
  <c r="K42" i="6"/>
  <c r="K64" i="6"/>
  <c r="K70" i="6"/>
  <c r="K76" i="6"/>
  <c r="G2" i="6"/>
  <c r="G24" i="6"/>
  <c r="G30" i="6"/>
  <c r="G36" i="6"/>
  <c r="G42" i="6"/>
  <c r="G64" i="6"/>
  <c r="G70" i="6"/>
  <c r="G76" i="6"/>
  <c r="C2" i="6"/>
  <c r="C24" i="6"/>
  <c r="C30" i="6"/>
  <c r="C36" i="6"/>
  <c r="C42" i="6"/>
  <c r="C64" i="6"/>
  <c r="C70" i="6"/>
  <c r="C76" i="6"/>
  <c r="AK17" i="6"/>
  <c r="AK23" i="6"/>
  <c r="AK29" i="6"/>
  <c r="AK35" i="6"/>
  <c r="AK57" i="6"/>
  <c r="AK63" i="6"/>
  <c r="AK69" i="6"/>
  <c r="AK75" i="6"/>
  <c r="AG17" i="6"/>
  <c r="AG23" i="6"/>
  <c r="AG29" i="6"/>
  <c r="AG35" i="6"/>
  <c r="AG57" i="6"/>
  <c r="AG63" i="6"/>
  <c r="AG69" i="6"/>
  <c r="AG75" i="6"/>
  <c r="AC17" i="6"/>
  <c r="AC23" i="6"/>
  <c r="AC29" i="6"/>
  <c r="AC35" i="6"/>
  <c r="AC57" i="6"/>
  <c r="AC63" i="6"/>
  <c r="AC69" i="6"/>
  <c r="AC75" i="6"/>
  <c r="Y17" i="6"/>
  <c r="Y23" i="6"/>
  <c r="Y29" i="6"/>
  <c r="Y35" i="6"/>
  <c r="Y57" i="6"/>
  <c r="Y63" i="6"/>
  <c r="Y69" i="6"/>
  <c r="Y75" i="6"/>
  <c r="U17" i="6"/>
  <c r="U23" i="6"/>
  <c r="U29" i="6"/>
  <c r="U35" i="6"/>
  <c r="U57" i="6"/>
  <c r="U63" i="6"/>
  <c r="U69" i="6"/>
  <c r="U75" i="6"/>
  <c r="Q17" i="6"/>
  <c r="Q23" i="6"/>
  <c r="Q29" i="6"/>
  <c r="Q35" i="6"/>
  <c r="Q57" i="6"/>
  <c r="Q63" i="6"/>
  <c r="Q69" i="6"/>
  <c r="Q75" i="6"/>
  <c r="M17" i="6"/>
  <c r="M23" i="6"/>
  <c r="M29" i="6"/>
  <c r="M35" i="6"/>
  <c r="M57" i="6"/>
  <c r="M63" i="6"/>
  <c r="M69" i="6"/>
  <c r="M75" i="6"/>
  <c r="I17" i="6"/>
  <c r="I23" i="6"/>
  <c r="I29" i="6"/>
  <c r="I35" i="6"/>
  <c r="I57" i="6"/>
  <c r="I63" i="6"/>
  <c r="I69" i="6"/>
  <c r="I75" i="6"/>
  <c r="E17" i="6"/>
  <c r="E23" i="6"/>
  <c r="E29" i="6"/>
  <c r="E35" i="6"/>
  <c r="E57" i="6"/>
  <c r="E63" i="6"/>
  <c r="E69" i="6"/>
  <c r="E75" i="6"/>
  <c r="AN66" i="6"/>
  <c r="AN67" i="6"/>
  <c r="AN63" i="6"/>
  <c r="AN18" i="6"/>
  <c r="AI9" i="6"/>
  <c r="AK13" i="6"/>
  <c r="AK33" i="6"/>
  <c r="AI38" i="6"/>
  <c r="AK42" i="6"/>
  <c r="AI62" i="6"/>
  <c r="AK66" i="6"/>
  <c r="AE7" i="6"/>
  <c r="AE11" i="6"/>
  <c r="AG31" i="6"/>
  <c r="AE35" i="6"/>
  <c r="AG55" i="6"/>
  <c r="AE60" i="6"/>
  <c r="AF60" i="6" s="1"/>
  <c r="AG80" i="6"/>
  <c r="AC4" i="6"/>
  <c r="AA25" i="6"/>
  <c r="AC28" i="6"/>
  <c r="AA49" i="6"/>
  <c r="AC53" i="6"/>
  <c r="AC73" i="6"/>
  <c r="AA78" i="6"/>
  <c r="Y2" i="6"/>
  <c r="W22" i="6"/>
  <c r="Y26" i="6"/>
  <c r="Y47" i="6"/>
  <c r="Y52" i="6"/>
  <c r="Y73" i="6"/>
  <c r="Y78" i="6"/>
  <c r="U3" i="6"/>
  <c r="U24" i="6"/>
  <c r="U28" i="6"/>
  <c r="U49" i="6"/>
  <c r="U54" i="6"/>
  <c r="U59" i="6"/>
  <c r="U80" i="6"/>
  <c r="Q5" i="6"/>
  <c r="Q10" i="6"/>
  <c r="Q31" i="6"/>
  <c r="Q36" i="6"/>
  <c r="Q56" i="6"/>
  <c r="Q61" i="6"/>
  <c r="Q66" i="6"/>
  <c r="M7" i="6"/>
  <c r="M12" i="6"/>
  <c r="M33" i="6"/>
  <c r="M38" i="6"/>
  <c r="M43" i="6"/>
  <c r="M64" i="6"/>
  <c r="M68" i="6"/>
  <c r="I9" i="6"/>
  <c r="I14" i="6"/>
  <c r="I19" i="6"/>
  <c r="I40" i="6"/>
  <c r="I45" i="6"/>
  <c r="I50" i="6"/>
  <c r="I71" i="6"/>
  <c r="I76" i="6"/>
  <c r="E16" i="6"/>
  <c r="E21" i="6"/>
  <c r="E26" i="6"/>
  <c r="E47" i="6"/>
  <c r="E52" i="6"/>
  <c r="E73" i="6"/>
  <c r="E78" i="6"/>
  <c r="AN68" i="6"/>
  <c r="AN52" i="6"/>
  <c r="AN28" i="6"/>
  <c r="AI4" i="6"/>
  <c r="AK24" i="6"/>
  <c r="AI28" i="6"/>
  <c r="AK48" i="6"/>
  <c r="AI53" i="6"/>
  <c r="AI73" i="6"/>
  <c r="AK77" i="6"/>
  <c r="AE17" i="6"/>
  <c r="AG21" i="6"/>
  <c r="AE26" i="6"/>
  <c r="AG46" i="6"/>
  <c r="AG50" i="6"/>
  <c r="AE71" i="6"/>
  <c r="AG74" i="6"/>
  <c r="AA15" i="6"/>
  <c r="AC19" i="6"/>
  <c r="AC39" i="6"/>
  <c r="AA44" i="6"/>
  <c r="AC64" i="6"/>
  <c r="AA68" i="6"/>
  <c r="Y8" i="6"/>
  <c r="W13" i="6"/>
  <c r="W33" i="6"/>
  <c r="W38" i="6"/>
  <c r="W43" i="6"/>
  <c r="W63" i="6"/>
  <c r="W68" i="6"/>
  <c r="S9" i="6"/>
  <c r="S14" i="6"/>
  <c r="S19" i="6"/>
  <c r="S40" i="6"/>
  <c r="S45" i="6"/>
  <c r="S50" i="6"/>
  <c r="S71" i="6"/>
  <c r="S75" i="6"/>
  <c r="O16" i="6"/>
  <c r="O21" i="6"/>
  <c r="O26" i="6"/>
  <c r="O47" i="6"/>
  <c r="O52" i="6"/>
  <c r="O73" i="6"/>
  <c r="O78" i="6"/>
  <c r="K3" i="6"/>
  <c r="K23" i="6"/>
  <c r="K28" i="6"/>
  <c r="K49" i="6"/>
  <c r="K54" i="6"/>
  <c r="K59" i="6"/>
  <c r="K80" i="6"/>
  <c r="AN42" i="6"/>
  <c r="AN35" i="6"/>
  <c r="AN32" i="6"/>
  <c r="AK8" i="6"/>
  <c r="AK11" i="6"/>
  <c r="AI31" i="6"/>
  <c r="AK49" i="6"/>
  <c r="AK52" i="6"/>
  <c r="AK71" i="6"/>
  <c r="AI74" i="6"/>
  <c r="AG13" i="6"/>
  <c r="AG32" i="6"/>
  <c r="AG34" i="6"/>
  <c r="AE54" i="6"/>
  <c r="AE73" i="6"/>
  <c r="AG76" i="6"/>
  <c r="AC14" i="6"/>
  <c r="AC33" i="6"/>
  <c r="AA37" i="6"/>
  <c r="AC55" i="6"/>
  <c r="AA59" i="6"/>
  <c r="AC77" i="6"/>
  <c r="W16" i="6"/>
  <c r="Y19" i="6"/>
  <c r="W39" i="6"/>
  <c r="Y42" i="6"/>
  <c r="Y61" i="6"/>
  <c r="Y81" i="6"/>
  <c r="U5" i="6"/>
  <c r="U25" i="6"/>
  <c r="S28" i="6"/>
  <c r="S48" i="6"/>
  <c r="S52" i="6"/>
  <c r="S72" i="6"/>
  <c r="U74" i="6"/>
  <c r="V74" i="6" s="1"/>
  <c r="Q14" i="6"/>
  <c r="Q18" i="6"/>
  <c r="Q38" i="6"/>
  <c r="Q42" i="6"/>
  <c r="O61" i="6"/>
  <c r="O81" i="6"/>
  <c r="K5" i="6"/>
  <c r="K25" i="6"/>
  <c r="M27" i="6"/>
  <c r="M47" i="6"/>
  <c r="M51" i="6"/>
  <c r="M71" i="6"/>
  <c r="M74" i="6"/>
  <c r="N74" i="6" s="1"/>
  <c r="G15" i="6"/>
  <c r="G19" i="6"/>
  <c r="I39" i="6"/>
  <c r="G44" i="6"/>
  <c r="I64" i="6"/>
  <c r="G68" i="6"/>
  <c r="E8" i="6"/>
  <c r="C13" i="6"/>
  <c r="E33" i="6"/>
  <c r="C38" i="6"/>
  <c r="E42" i="6"/>
  <c r="C62" i="6"/>
  <c r="E66" i="6"/>
  <c r="G14" i="6"/>
  <c r="G63" i="6"/>
  <c r="C8" i="6"/>
  <c r="E12" i="6"/>
  <c r="E37" i="6"/>
  <c r="C57" i="6"/>
  <c r="E61" i="6"/>
  <c r="AN69" i="6"/>
  <c r="AN54" i="6"/>
  <c r="AN14" i="6"/>
  <c r="AI8" i="6"/>
  <c r="AI11" i="6"/>
  <c r="AK30" i="6"/>
  <c r="AI49" i="6"/>
  <c r="AK51" i="6"/>
  <c r="AI71" i="6"/>
  <c r="AG9" i="6"/>
  <c r="AE13" i="6"/>
  <c r="AE32" i="6"/>
  <c r="AE34" i="6"/>
  <c r="AG53" i="6"/>
  <c r="AG72" i="6"/>
  <c r="AE75" i="6"/>
  <c r="AF75" i="6" s="1"/>
  <c r="AA14" i="6"/>
  <c r="AA33" i="6"/>
  <c r="AC36" i="6"/>
  <c r="AA55" i="6"/>
  <c r="AC58" i="6"/>
  <c r="AA77" i="6"/>
  <c r="Y15" i="6"/>
  <c r="W19" i="6"/>
  <c r="Y38" i="6"/>
  <c r="W57" i="6"/>
  <c r="W61" i="6"/>
  <c r="W81" i="6"/>
  <c r="S5" i="6"/>
  <c r="S25" i="6"/>
  <c r="U27" i="6"/>
  <c r="U47" i="6"/>
  <c r="U51" i="6"/>
  <c r="U71" i="6"/>
  <c r="S74" i="6"/>
  <c r="O14" i="6"/>
  <c r="O18" i="6"/>
  <c r="O38" i="6"/>
  <c r="O57" i="6"/>
  <c r="Q60" i="6"/>
  <c r="Q80" i="6"/>
  <c r="M4" i="6"/>
  <c r="M24" i="6"/>
  <c r="K27" i="6"/>
  <c r="K47" i="6"/>
  <c r="K51" i="6"/>
  <c r="K71" i="6"/>
  <c r="K74" i="6"/>
  <c r="I18" i="6"/>
  <c r="G39" i="6"/>
  <c r="I43" i="6"/>
  <c r="I67" i="6"/>
  <c r="C33" i="6"/>
  <c r="C66" i="6"/>
  <c r="AN70" i="6"/>
  <c r="AN36" i="6"/>
  <c r="AN33" i="6"/>
  <c r="AN15" i="6"/>
  <c r="AK7" i="6"/>
  <c r="AK10" i="6"/>
  <c r="AI29" i="6"/>
  <c r="AI48" i="6"/>
  <c r="AI51" i="6"/>
  <c r="AK70" i="6"/>
  <c r="AE9" i="6"/>
  <c r="AG12" i="6"/>
  <c r="AE31" i="6"/>
  <c r="AG49" i="6"/>
  <c r="AE53" i="6"/>
  <c r="AE72" i="6"/>
  <c r="AE74" i="6"/>
  <c r="AC13" i="6"/>
  <c r="AC32" i="6"/>
  <c r="AA35" i="6"/>
  <c r="AC54" i="6"/>
  <c r="AA73" i="6"/>
  <c r="AC76" i="6"/>
  <c r="W15" i="6"/>
  <c r="Y18" i="6"/>
  <c r="Y37" i="6"/>
  <c r="Y56" i="6"/>
  <c r="Y60" i="6"/>
  <c r="Y80" i="6"/>
  <c r="U4" i="6"/>
  <c r="S23" i="6"/>
  <c r="S27" i="6"/>
  <c r="S47" i="6"/>
  <c r="S51" i="6"/>
  <c r="U70" i="6"/>
  <c r="Q9" i="6"/>
  <c r="Q13" i="6"/>
  <c r="Q33" i="6"/>
  <c r="Q37" i="6"/>
  <c r="O56" i="6"/>
  <c r="O60" i="6"/>
  <c r="O80" i="6"/>
  <c r="K4" i="6"/>
  <c r="M22" i="6"/>
  <c r="M26" i="6"/>
  <c r="M46" i="6"/>
  <c r="M50" i="6"/>
  <c r="M70" i="6"/>
  <c r="G9" i="6"/>
  <c r="I13" i="6"/>
  <c r="G18" i="6"/>
  <c r="I38" i="6"/>
  <c r="G43" i="6"/>
  <c r="I62" i="6"/>
  <c r="G67" i="6"/>
  <c r="E7" i="6"/>
  <c r="C12" i="6"/>
  <c r="E32" i="6"/>
  <c r="C37" i="6"/>
  <c r="E56" i="6"/>
  <c r="C61" i="6"/>
  <c r="E81" i="6"/>
  <c r="AN55" i="6"/>
  <c r="AI7" i="6"/>
  <c r="AI10" i="6"/>
  <c r="AK28" i="6"/>
  <c r="AK47" i="6"/>
  <c r="AK50" i="6"/>
  <c r="AI69" i="6"/>
  <c r="AG8" i="6"/>
  <c r="AG11" i="6"/>
  <c r="AG30" i="6"/>
  <c r="AE49" i="6"/>
  <c r="AG52" i="6"/>
  <c r="AG71" i="6"/>
  <c r="AC9" i="6"/>
  <c r="AA13" i="6"/>
  <c r="AA32" i="6"/>
  <c r="AC34" i="6"/>
  <c r="AA54" i="6"/>
  <c r="AC72" i="6"/>
  <c r="AA75" i="6"/>
  <c r="AB75" i="6" s="1"/>
  <c r="Y14" i="6"/>
  <c r="Y33" i="6"/>
  <c r="W37" i="6"/>
  <c r="W56" i="6"/>
  <c r="W60" i="6"/>
  <c r="W80" i="6"/>
  <c r="S4" i="6"/>
  <c r="U22" i="6"/>
  <c r="U26" i="6"/>
  <c r="U46" i="6"/>
  <c r="U50" i="6"/>
  <c r="S69" i="6"/>
  <c r="O9" i="6"/>
  <c r="O13" i="6"/>
  <c r="O33" i="6"/>
  <c r="O37" i="6"/>
  <c r="Q55" i="6"/>
  <c r="Q59" i="6"/>
  <c r="Q79" i="6"/>
  <c r="M3" i="6"/>
  <c r="K22" i="6"/>
  <c r="K26" i="6"/>
  <c r="K46" i="6"/>
  <c r="K50" i="6"/>
  <c r="K69" i="6"/>
  <c r="I8" i="6"/>
  <c r="G13" i="6"/>
  <c r="I33" i="6"/>
  <c r="G38" i="6"/>
  <c r="I42" i="6"/>
  <c r="G62" i="6"/>
  <c r="I66" i="6"/>
  <c r="C7" i="6"/>
  <c r="E11" i="6"/>
  <c r="C32" i="6"/>
  <c r="E36" i="6"/>
  <c r="C56" i="6"/>
  <c r="E60" i="6"/>
  <c r="C81" i="6"/>
  <c r="AN16" i="6"/>
  <c r="AK6" i="6"/>
  <c r="AN73" i="6"/>
  <c r="AN39" i="6"/>
  <c r="AN17" i="6"/>
  <c r="AI5" i="6"/>
  <c r="AI23" i="6"/>
  <c r="AK26" i="6"/>
  <c r="AK45" i="6"/>
  <c r="AI65" i="6"/>
  <c r="AK67" i="6"/>
  <c r="AG6" i="6"/>
  <c r="AN57" i="6"/>
  <c r="AN21" i="6"/>
  <c r="AK4" i="6"/>
  <c r="AN60" i="6"/>
  <c r="AN44" i="6"/>
  <c r="AN22" i="6"/>
  <c r="AI3" i="6"/>
  <c r="AK21" i="6"/>
  <c r="AI41" i="6"/>
  <c r="AI44" i="6"/>
  <c r="AK62" i="6"/>
  <c r="AK81" i="6"/>
  <c r="AG4" i="6"/>
  <c r="AE23" i="6"/>
  <c r="AG26" i="6"/>
  <c r="AE45" i="6"/>
  <c r="AG64" i="6"/>
  <c r="AE67" i="6"/>
  <c r="AC6" i="6"/>
  <c r="AC25" i="6"/>
  <c r="AC27" i="6"/>
  <c r="AA47" i="6"/>
  <c r="AA50" i="6"/>
  <c r="AC68" i="6"/>
  <c r="Y7" i="6"/>
  <c r="Y10" i="6"/>
  <c r="W29" i="6"/>
  <c r="W49" i="6"/>
  <c r="W53" i="6"/>
  <c r="Y72" i="6"/>
  <c r="Y76" i="6"/>
  <c r="U15" i="6"/>
  <c r="U19" i="6"/>
  <c r="S39" i="6"/>
  <c r="S43" i="6"/>
  <c r="S62" i="6"/>
  <c r="S66" i="6"/>
  <c r="O6" i="6"/>
  <c r="Q25" i="6"/>
  <c r="Q28" i="6"/>
  <c r="Q48" i="6"/>
  <c r="Q52" i="6"/>
  <c r="O72" i="6"/>
  <c r="O75" i="6"/>
  <c r="P75" i="6" s="1"/>
  <c r="K15" i="6"/>
  <c r="K19" i="6"/>
  <c r="K39" i="6"/>
  <c r="M42" i="6"/>
  <c r="M61" i="6"/>
  <c r="M81" i="6"/>
  <c r="I5" i="6"/>
  <c r="G10" i="6"/>
  <c r="I30" i="6"/>
  <c r="G34" i="6"/>
  <c r="I54" i="6"/>
  <c r="G59" i="6"/>
  <c r="H59" i="6" s="1"/>
  <c r="I79" i="6"/>
  <c r="C4" i="6"/>
  <c r="E24" i="6"/>
  <c r="C28" i="6"/>
  <c r="E48" i="6"/>
  <c r="C53" i="6"/>
  <c r="C73" i="6"/>
  <c r="E77" i="6"/>
  <c r="AN62" i="6"/>
  <c r="AN46" i="6"/>
  <c r="AI16" i="6"/>
  <c r="AK19" i="6"/>
  <c r="AK38" i="6"/>
  <c r="AK56" i="6"/>
  <c r="AI60" i="6"/>
  <c r="AI79" i="6"/>
  <c r="AG2" i="6"/>
  <c r="AN72" i="6"/>
  <c r="AN34" i="6"/>
  <c r="AK15" i="6"/>
  <c r="AI27" i="6"/>
  <c r="AK55" i="6"/>
  <c r="AI67" i="6"/>
  <c r="AG15" i="6"/>
  <c r="AG28" i="6"/>
  <c r="AE44" i="6"/>
  <c r="AG59" i="6"/>
  <c r="AC8" i="6"/>
  <c r="AA23" i="6"/>
  <c r="AA39" i="6"/>
  <c r="AB39" i="6" s="1"/>
  <c r="AC52" i="6"/>
  <c r="AA67" i="6"/>
  <c r="Y3" i="6"/>
  <c r="W32" i="6"/>
  <c r="W48" i="6"/>
  <c r="W65" i="6"/>
  <c r="W79" i="6"/>
  <c r="U14" i="6"/>
  <c r="U31" i="6"/>
  <c r="U45" i="6"/>
  <c r="S61" i="6"/>
  <c r="S78" i="6"/>
  <c r="T78" i="6" s="1"/>
  <c r="O12" i="6"/>
  <c r="Q27" i="6"/>
  <c r="Q44" i="6"/>
  <c r="Q58" i="6"/>
  <c r="O74" i="6"/>
  <c r="P74" i="6" s="1"/>
  <c r="K11" i="6"/>
  <c r="K41" i="6"/>
  <c r="M56" i="6"/>
  <c r="M73" i="6"/>
  <c r="I7" i="6"/>
  <c r="G25" i="6"/>
  <c r="G26" i="6"/>
  <c r="I56" i="6"/>
  <c r="G58" i="6"/>
  <c r="I74" i="6"/>
  <c r="J74" i="6" s="1"/>
  <c r="E10" i="6"/>
  <c r="C27" i="6"/>
  <c r="E44" i="6"/>
  <c r="E59" i="6"/>
  <c r="E76" i="6"/>
  <c r="O27" i="6"/>
  <c r="M10" i="6"/>
  <c r="K56" i="6"/>
  <c r="K73" i="6"/>
  <c r="I24" i="6"/>
  <c r="I41" i="6"/>
  <c r="G56" i="6"/>
  <c r="G74" i="6"/>
  <c r="H74" i="6" s="1"/>
  <c r="C10" i="6"/>
  <c r="C26" i="6"/>
  <c r="C44" i="6"/>
  <c r="C75" i="6"/>
  <c r="D75" i="6" s="1"/>
  <c r="AK14" i="6"/>
  <c r="AK41" i="6"/>
  <c r="AK54" i="6"/>
  <c r="AI81" i="6"/>
  <c r="AG14" i="6"/>
  <c r="AG27" i="6"/>
  <c r="AE43" i="6"/>
  <c r="AG58" i="6"/>
  <c r="AC7" i="6"/>
  <c r="AA22" i="6"/>
  <c r="AA38" i="6"/>
  <c r="AA51" i="6"/>
  <c r="W17" i="6"/>
  <c r="W31" i="6"/>
  <c r="Y46" i="6"/>
  <c r="Y62" i="6"/>
  <c r="S13" i="6"/>
  <c r="U30" i="6"/>
  <c r="S44" i="6"/>
  <c r="S77" i="6"/>
  <c r="O11" i="6"/>
  <c r="AN58" i="6"/>
  <c r="AN11" i="6"/>
  <c r="AI15" i="6"/>
  <c r="AJ15" i="6" s="1"/>
  <c r="AI26" i="6"/>
  <c r="AI55" i="6"/>
  <c r="AI66" i="6"/>
  <c r="AE15" i="6"/>
  <c r="AE28" i="6"/>
  <c r="AG43" i="6"/>
  <c r="AE59" i="6"/>
  <c r="AA8" i="6"/>
  <c r="AC22" i="6"/>
  <c r="AC38" i="6"/>
  <c r="AC51" i="6"/>
  <c r="AC66" i="6"/>
  <c r="W3" i="6"/>
  <c r="Y31" i="6"/>
  <c r="W47" i="6"/>
  <c r="Y64" i="6"/>
  <c r="W78" i="6"/>
  <c r="X78" i="6" s="1"/>
  <c r="U13" i="6"/>
  <c r="S31" i="6"/>
  <c r="U44" i="6"/>
  <c r="U60" i="6"/>
  <c r="U77" i="6"/>
  <c r="Q11" i="6"/>
  <c r="O44" i="6"/>
  <c r="O58" i="6"/>
  <c r="M9" i="6"/>
  <c r="M40" i="6"/>
  <c r="G7" i="6"/>
  <c r="I73" i="6"/>
  <c r="C59" i="6"/>
  <c r="AN38" i="6"/>
  <c r="AA66" i="6"/>
  <c r="Y77" i="6"/>
  <c r="Z77" i="6" s="1"/>
  <c r="S60" i="6"/>
  <c r="AN61" i="6"/>
  <c r="AN40" i="6"/>
  <c r="AN12" i="6"/>
  <c r="AI14" i="6"/>
  <c r="AK40" i="6"/>
  <c r="AI54" i="6"/>
  <c r="AK80" i="6"/>
  <c r="AE14" i="6"/>
  <c r="AE27" i="6"/>
  <c r="AG42" i="6"/>
  <c r="AG73" i="6"/>
  <c r="AA7" i="6"/>
  <c r="AC21" i="6"/>
  <c r="AC37" i="6"/>
  <c r="AC50" i="6"/>
  <c r="AC81" i="6"/>
  <c r="Y16" i="6"/>
  <c r="Y30" i="6"/>
  <c r="W46" i="6"/>
  <c r="W62" i="6"/>
  <c r="W77" i="6"/>
  <c r="U12" i="6"/>
  <c r="S29" i="6"/>
  <c r="U43" i="6"/>
  <c r="S59" i="6"/>
  <c r="U76" i="6"/>
  <c r="O10" i="6"/>
  <c r="Q41" i="6"/>
  <c r="O43" i="6"/>
  <c r="Q72" i="6"/>
  <c r="M8" i="6"/>
  <c r="M25" i="6"/>
  <c r="M39" i="6"/>
  <c r="K55" i="6"/>
  <c r="K72" i="6"/>
  <c r="G6" i="6"/>
  <c r="I22" i="6"/>
  <c r="G40" i="6"/>
  <c r="G55" i="6"/>
  <c r="I72" i="6"/>
  <c r="C9" i="6"/>
  <c r="C25" i="6"/>
  <c r="C41" i="6"/>
  <c r="C43" i="6"/>
  <c r="C58" i="6"/>
  <c r="AA34" i="6"/>
  <c r="S12" i="6"/>
  <c r="U42" i="6"/>
  <c r="Q8" i="6"/>
  <c r="O41" i="6"/>
  <c r="Q71" i="6"/>
  <c r="AN26" i="6"/>
  <c r="AI13" i="6"/>
  <c r="AK39" i="6"/>
  <c r="AK53" i="6"/>
  <c r="AK79" i="6"/>
  <c r="AG10" i="6"/>
  <c r="AG41" i="6"/>
  <c r="AE57" i="6"/>
  <c r="AG70" i="6"/>
  <c r="AC5" i="6"/>
  <c r="AA21" i="6"/>
  <c r="AC65" i="6"/>
  <c r="AA81" i="6"/>
  <c r="W14" i="6"/>
  <c r="Y28" i="6"/>
  <c r="Y45" i="6"/>
  <c r="Y59" i="6"/>
  <c r="W75" i="6"/>
  <c r="X75" i="6" s="1"/>
  <c r="S26" i="6"/>
  <c r="T26" i="6" s="1"/>
  <c r="U58" i="6"/>
  <c r="O25" i="6"/>
  <c r="O55" i="6"/>
  <c r="AN50" i="6"/>
  <c r="AI25" i="6"/>
  <c r="AI37" i="6"/>
  <c r="AK64" i="6"/>
  <c r="AI77" i="6"/>
  <c r="AE25" i="6"/>
  <c r="AG39" i="6"/>
  <c r="AE55" i="6"/>
  <c r="AE68" i="6"/>
  <c r="AC3" i="6"/>
  <c r="AA19" i="6"/>
  <c r="AA48" i="6"/>
  <c r="AC62" i="6"/>
  <c r="AA79" i="6"/>
  <c r="Y11" i="6"/>
  <c r="W27" i="6"/>
  <c r="W44" i="6"/>
  <c r="W58" i="6"/>
  <c r="U9" i="6"/>
  <c r="U10" i="6"/>
  <c r="U40" i="6"/>
  <c r="S56" i="6"/>
  <c r="S73" i="6"/>
  <c r="O7" i="6"/>
  <c r="Q22" i="6"/>
  <c r="Q39" i="6"/>
  <c r="Q53" i="6"/>
  <c r="O69" i="6"/>
  <c r="K6" i="6"/>
  <c r="AN29" i="6"/>
  <c r="AN5" i="6"/>
  <c r="AK22" i="6"/>
  <c r="AK36" i="6"/>
  <c r="AI63" i="6"/>
  <c r="AJ63" i="6" s="1"/>
  <c r="AK76" i="6"/>
  <c r="AL76" i="6" s="1"/>
  <c r="AG24" i="6"/>
  <c r="AE39" i="6"/>
  <c r="AG54" i="6"/>
  <c r="AG67" i="6"/>
  <c r="AA3" i="6"/>
  <c r="AC18" i="6"/>
  <c r="AC47" i="6"/>
  <c r="AA62" i="6"/>
  <c r="AC78" i="6"/>
  <c r="W11" i="6"/>
  <c r="W26" i="6"/>
  <c r="Y43" i="6"/>
  <c r="W73" i="6"/>
  <c r="U8" i="6"/>
  <c r="S10" i="6"/>
  <c r="U39" i="6"/>
  <c r="U55" i="6"/>
  <c r="U72" i="6"/>
  <c r="Q6" i="6"/>
  <c r="O22" i="6"/>
  <c r="O39" i="6"/>
  <c r="P39" i="6" s="1"/>
  <c r="O53" i="6"/>
  <c r="Q68" i="6"/>
  <c r="M5" i="6"/>
  <c r="M19" i="6"/>
  <c r="K35" i="6"/>
  <c r="K52" i="6"/>
  <c r="K66" i="6"/>
  <c r="G3" i="6"/>
  <c r="G20" i="6"/>
  <c r="I34" i="6"/>
  <c r="G52" i="6"/>
  <c r="I68" i="6"/>
  <c r="J68" i="6" s="1"/>
  <c r="E4" i="6"/>
  <c r="E20" i="6"/>
  <c r="E38" i="6"/>
  <c r="E53" i="6"/>
  <c r="E70" i="6"/>
  <c r="AI21" i="6"/>
  <c r="AK74" i="6"/>
  <c r="AL74" i="6" s="1"/>
  <c r="AE38" i="6"/>
  <c r="AE66" i="6"/>
  <c r="AA31" i="6"/>
  <c r="AA61" i="6"/>
  <c r="Y25" i="6"/>
  <c r="W55" i="6"/>
  <c r="U7" i="6"/>
  <c r="S38" i="6"/>
  <c r="AN51" i="6"/>
  <c r="AN6" i="6"/>
  <c r="AI22" i="6"/>
  <c r="AI35" i="6"/>
  <c r="AK61" i="6"/>
  <c r="AI75" i="6"/>
  <c r="AJ75" i="6" s="1"/>
  <c r="AG22" i="6"/>
  <c r="AG38" i="6"/>
  <c r="AG51" i="6"/>
  <c r="AG66" i="6"/>
  <c r="AC2" i="6"/>
  <c r="AC31" i="6"/>
  <c r="AC46" i="6"/>
  <c r="AC61" i="6"/>
  <c r="AC74" i="6"/>
  <c r="AD74" i="6" s="1"/>
  <c r="W10" i="6"/>
  <c r="Y41" i="6"/>
  <c r="Y55" i="6"/>
  <c r="W72" i="6"/>
  <c r="S8" i="6"/>
  <c r="S22" i="6"/>
  <c r="U38" i="6"/>
  <c r="S55" i="6"/>
  <c r="U68" i="6"/>
  <c r="V68" i="6" s="1"/>
  <c r="O5" i="6"/>
  <c r="Q21" i="6"/>
  <c r="O35" i="6"/>
  <c r="Q51" i="6"/>
  <c r="O68" i="6"/>
  <c r="M2" i="6"/>
  <c r="M18" i="6"/>
  <c r="M34" i="6"/>
  <c r="M65" i="6"/>
  <c r="K81" i="6"/>
  <c r="I2" i="6"/>
  <c r="G33" i="6"/>
  <c r="I49" i="6"/>
  <c r="I51" i="6"/>
  <c r="G66" i="6"/>
  <c r="E3" i="6"/>
  <c r="C20" i="6"/>
  <c r="C35" i="6"/>
  <c r="C52" i="6"/>
  <c r="C69" i="6"/>
  <c r="AN30" i="6"/>
  <c r="AK34" i="6"/>
  <c r="AI61" i="6"/>
  <c r="AE22" i="6"/>
  <c r="AE51" i="6"/>
  <c r="AA17" i="6"/>
  <c r="AC45" i="6"/>
  <c r="AA74" i="6"/>
  <c r="AB74" i="6" s="1"/>
  <c r="W41" i="6"/>
  <c r="Y71" i="6"/>
  <c r="U21" i="6"/>
  <c r="S54" i="6"/>
  <c r="AN49" i="6"/>
  <c r="AI17" i="6"/>
  <c r="AK31" i="6"/>
  <c r="AI57" i="6"/>
  <c r="AK68" i="6"/>
  <c r="AG16" i="6"/>
  <c r="AE33" i="6"/>
  <c r="AG45" i="6"/>
  <c r="AE61" i="6"/>
  <c r="AE77" i="6"/>
  <c r="AA10" i="6"/>
  <c r="AA41" i="6"/>
  <c r="AA56" i="6"/>
  <c r="AA69" i="6"/>
  <c r="AB69" i="6" s="1"/>
  <c r="Y4" i="6"/>
  <c r="W20" i="6"/>
  <c r="Y49" i="6"/>
  <c r="W50" i="6"/>
  <c r="W66" i="6"/>
  <c r="S16" i="6"/>
  <c r="U32" i="6"/>
  <c r="U48" i="6"/>
  <c r="U62" i="6"/>
  <c r="S79" i="6"/>
  <c r="O15" i="6"/>
  <c r="AN10" i="6"/>
  <c r="AK16" i="6"/>
  <c r="AK27" i="6"/>
  <c r="AI56" i="6"/>
  <c r="AI68" i="6"/>
  <c r="AE16" i="6"/>
  <c r="AE29" i="6"/>
  <c r="AG44" i="6"/>
  <c r="AG60" i="6"/>
  <c r="AA9" i="6"/>
  <c r="AC24" i="6"/>
  <c r="AC40" i="6"/>
  <c r="AA53" i="6"/>
  <c r="AC67" i="6"/>
  <c r="W4" i="6"/>
  <c r="Y32" i="6"/>
  <c r="Y48" i="6"/>
  <c r="Y65" i="6"/>
  <c r="Y79" i="6"/>
  <c r="S15" i="6"/>
  <c r="S32" i="6"/>
  <c r="S46" i="6"/>
  <c r="U61" i="6"/>
  <c r="U78" i="6"/>
  <c r="Q12" i="6"/>
  <c r="O28" i="6"/>
  <c r="O45" i="6"/>
  <c r="O59" i="6"/>
  <c r="Q74" i="6"/>
  <c r="R74" i="6" s="1"/>
  <c r="M11" i="6"/>
  <c r="M41" i="6"/>
  <c r="K57" i="6"/>
  <c r="K58" i="6"/>
  <c r="G8" i="6"/>
  <c r="I25" i="6"/>
  <c r="I26" i="6"/>
  <c r="G57" i="6"/>
  <c r="I58" i="6"/>
  <c r="G75" i="6"/>
  <c r="H75" i="6" s="1"/>
  <c r="C11" i="6"/>
  <c r="E27" i="6"/>
  <c r="C45" i="6"/>
  <c r="C60" i="6"/>
  <c r="C77" i="6"/>
  <c r="AN64" i="6"/>
  <c r="AN8" i="6"/>
  <c r="AK46" i="6"/>
  <c r="AE4" i="6"/>
  <c r="AE47" i="6"/>
  <c r="AA4" i="6"/>
  <c r="AC44" i="6"/>
  <c r="W7" i="6"/>
  <c r="Y34" i="6"/>
  <c r="Y74" i="6"/>
  <c r="Z74" i="6" s="1"/>
  <c r="U37" i="6"/>
  <c r="S67" i="6"/>
  <c r="Q19" i="6"/>
  <c r="Q54" i="6"/>
  <c r="Q77" i="6"/>
  <c r="K20" i="6"/>
  <c r="K45" i="6"/>
  <c r="M67" i="6"/>
  <c r="I15" i="6"/>
  <c r="G41" i="6"/>
  <c r="G50" i="6"/>
  <c r="I77" i="6"/>
  <c r="C21" i="6"/>
  <c r="C47" i="6"/>
  <c r="C72" i="6"/>
  <c r="U66" i="6"/>
  <c r="K18" i="6"/>
  <c r="K67" i="6"/>
  <c r="I12" i="6"/>
  <c r="I65" i="6"/>
  <c r="G77" i="6"/>
  <c r="E19" i="6"/>
  <c r="E71" i="6"/>
  <c r="AN56" i="6"/>
  <c r="AK44" i="6"/>
  <c r="AE3" i="6"/>
  <c r="AE56" i="6"/>
  <c r="AA16" i="6"/>
  <c r="AA43" i="6"/>
  <c r="Y5" i="6"/>
  <c r="W45" i="6"/>
  <c r="U36" i="6"/>
  <c r="U81" i="6"/>
  <c r="Q32" i="6"/>
  <c r="Q76" i="6"/>
  <c r="R76" i="6" s="1"/>
  <c r="K33" i="6"/>
  <c r="K44" i="6"/>
  <c r="G12" i="6"/>
  <c r="G37" i="6"/>
  <c r="E9" i="6"/>
  <c r="C19" i="6"/>
  <c r="C46" i="6"/>
  <c r="AI45" i="6"/>
  <c r="AG3" i="6"/>
  <c r="AG56" i="6"/>
  <c r="AC16" i="6"/>
  <c r="AC43" i="6"/>
  <c r="Y6" i="6"/>
  <c r="W34" i="6"/>
  <c r="W74" i="6"/>
  <c r="X74" i="6" s="1"/>
  <c r="S37" i="6"/>
  <c r="O19" i="6"/>
  <c r="O54" i="6"/>
  <c r="O77" i="6"/>
  <c r="M44" i="6"/>
  <c r="I37" i="6"/>
  <c r="E46" i="6"/>
  <c r="AN9" i="6"/>
  <c r="S7" i="6"/>
  <c r="O51" i="6"/>
  <c r="M66" i="6"/>
  <c r="G65" i="6"/>
  <c r="C71" i="6"/>
  <c r="D71" i="6" s="1"/>
  <c r="AK9" i="6"/>
  <c r="AK43" i="6"/>
  <c r="AE10" i="6"/>
  <c r="AE50" i="6"/>
  <c r="AC15" i="6"/>
  <c r="AC42" i="6"/>
  <c r="W5" i="6"/>
  <c r="Y44" i="6"/>
  <c r="U6" i="6"/>
  <c r="S35" i="6"/>
  <c r="S81" i="6"/>
  <c r="O32" i="6"/>
  <c r="Q50" i="6"/>
  <c r="K9" i="6"/>
  <c r="M32" i="6"/>
  <c r="K43" i="6"/>
  <c r="M80" i="6"/>
  <c r="I11" i="6"/>
  <c r="I36" i="6"/>
  <c r="I61" i="6"/>
  <c r="E6" i="6"/>
  <c r="E18" i="6"/>
  <c r="E45" i="6"/>
  <c r="E68" i="6"/>
  <c r="F68" i="6" s="1"/>
  <c r="AN45" i="6"/>
  <c r="AI50" i="6"/>
  <c r="AE21" i="6"/>
  <c r="AC11" i="6"/>
  <c r="Y12" i="6"/>
  <c r="S3" i="6"/>
  <c r="Q30" i="6"/>
  <c r="K7" i="6"/>
  <c r="M54" i="6"/>
  <c r="I10" i="6"/>
  <c r="I60" i="6"/>
  <c r="E31" i="6"/>
  <c r="E67" i="6"/>
  <c r="AK2" i="6"/>
  <c r="AG20" i="6"/>
  <c r="AA11" i="6"/>
  <c r="W25" i="6"/>
  <c r="U2" i="6"/>
  <c r="O8" i="6"/>
  <c r="O65" i="6"/>
  <c r="K31" i="6"/>
  <c r="M78" i="6"/>
  <c r="I48" i="6"/>
  <c r="C5" i="6"/>
  <c r="C55" i="6"/>
  <c r="AK5" i="6"/>
  <c r="AI43" i="6"/>
  <c r="AG25" i="6"/>
  <c r="AG65" i="6"/>
  <c r="AC12" i="6"/>
  <c r="AA57" i="6"/>
  <c r="Y13" i="6"/>
  <c r="Y54" i="6"/>
  <c r="S6" i="6"/>
  <c r="U34" i="6"/>
  <c r="S80" i="6"/>
  <c r="T80" i="6" s="1"/>
  <c r="O31" i="6"/>
  <c r="O50" i="6"/>
  <c r="K8" i="6"/>
  <c r="K32" i="6"/>
  <c r="M55" i="6"/>
  <c r="M79" i="6"/>
  <c r="G11" i="6"/>
  <c r="G35" i="6"/>
  <c r="G61" i="6"/>
  <c r="C6" i="6"/>
  <c r="C18" i="6"/>
  <c r="E43" i="6"/>
  <c r="C68" i="6"/>
  <c r="AK3" i="6"/>
  <c r="AE65" i="6"/>
  <c r="AC56" i="6"/>
  <c r="W54" i="6"/>
  <c r="S34" i="6"/>
  <c r="U79" i="6"/>
  <c r="Q65" i="6"/>
  <c r="M31" i="6"/>
  <c r="K79" i="6"/>
  <c r="L79" i="6" s="1"/>
  <c r="G49" i="6"/>
  <c r="E5" i="6"/>
  <c r="E55" i="6"/>
  <c r="AK65" i="6"/>
  <c r="AE63" i="6"/>
  <c r="AF63" i="6" s="1"/>
  <c r="AA65" i="6"/>
  <c r="Y53" i="6"/>
  <c r="S49" i="6"/>
  <c r="O29" i="6"/>
  <c r="M6" i="6"/>
  <c r="M53" i="6"/>
  <c r="G23" i="6"/>
  <c r="G60" i="6"/>
  <c r="H60" i="6" s="1"/>
  <c r="C31" i="6"/>
  <c r="C67" i="6"/>
  <c r="AK12" i="6"/>
  <c r="AK60" i="6"/>
  <c r="AE20" i="6"/>
  <c r="AG62" i="6"/>
  <c r="AC10" i="6"/>
  <c r="AA63" i="6"/>
  <c r="AB63" i="6" s="1"/>
  <c r="Y24" i="6"/>
  <c r="W52" i="6"/>
  <c r="S17" i="6"/>
  <c r="S57" i="6"/>
  <c r="Q7" i="6"/>
  <c r="M30" i="6"/>
  <c r="AN48" i="6"/>
  <c r="AK25" i="6"/>
  <c r="AK59" i="6"/>
  <c r="AL59" i="6" s="1"/>
  <c r="AG19" i="6"/>
  <c r="AE62" i="6"/>
  <c r="AC20" i="6"/>
  <c r="AC60" i="6"/>
  <c r="W23" i="6"/>
  <c r="Y51" i="6"/>
  <c r="U16" i="6"/>
  <c r="U56" i="6"/>
  <c r="Q4" i="6"/>
  <c r="Q40" i="6"/>
  <c r="O63" i="6"/>
  <c r="P63" i="6" s="1"/>
  <c r="M16" i="6"/>
  <c r="K29" i="6"/>
  <c r="M52" i="6"/>
  <c r="M77" i="6"/>
  <c r="I21" i="6"/>
  <c r="I47" i="6"/>
  <c r="G73" i="6"/>
  <c r="E2" i="6"/>
  <c r="C29" i="6"/>
  <c r="C54" i="6"/>
  <c r="C80" i="6"/>
  <c r="AI20" i="6"/>
  <c r="AG18" i="6"/>
  <c r="AC30" i="6"/>
  <c r="Y21" i="6"/>
  <c r="S11" i="6"/>
  <c r="Q3" i="6"/>
  <c r="O62" i="6"/>
  <c r="K40" i="6"/>
  <c r="M76" i="6"/>
  <c r="N76" i="6" s="1"/>
  <c r="I46" i="6"/>
  <c r="C16" i="6"/>
  <c r="C51" i="6"/>
  <c r="AK20" i="6"/>
  <c r="AI59" i="6"/>
  <c r="AE19" i="6"/>
  <c r="AG61" i="6"/>
  <c r="AA20" i="6"/>
  <c r="AA60" i="6"/>
  <c r="AB60" i="6" s="1"/>
  <c r="Y22" i="6"/>
  <c r="W51" i="6"/>
  <c r="U11" i="6"/>
  <c r="U53" i="6"/>
  <c r="O4" i="6"/>
  <c r="O40" i="6"/>
  <c r="Q62" i="6"/>
  <c r="K16" i="6"/>
  <c r="M28" i="6"/>
  <c r="K65" i="6"/>
  <c r="K77" i="6"/>
  <c r="G21" i="6"/>
  <c r="G47" i="6"/>
  <c r="G72" i="6"/>
  <c r="C17" i="6"/>
  <c r="E28" i="6"/>
  <c r="E51" i="6"/>
  <c r="E79" i="6"/>
  <c r="AN27" i="6"/>
  <c r="AK58" i="6"/>
  <c r="AE69" i="6"/>
  <c r="AC59" i="6"/>
  <c r="Y50" i="6"/>
  <c r="S53" i="6"/>
  <c r="Q34" i="6"/>
  <c r="M15" i="6"/>
  <c r="K63" i="6"/>
  <c r="L63" i="6" s="1"/>
  <c r="I20" i="6"/>
  <c r="G71" i="6"/>
  <c r="H71" i="6" s="1"/>
  <c r="E41" i="6"/>
  <c r="C79" i="6"/>
  <c r="AI72" i="6"/>
  <c r="AE79" i="6"/>
  <c r="Y9" i="6"/>
  <c r="Y66" i="6"/>
  <c r="Q2" i="6"/>
  <c r="O71" i="6"/>
  <c r="P71" i="6" s="1"/>
  <c r="K37" i="6"/>
  <c r="G5" i="6"/>
  <c r="I44" i="6"/>
  <c r="E14" i="6"/>
  <c r="E65" i="6"/>
  <c r="AK78" i="6"/>
  <c r="AG78" i="6"/>
  <c r="W9" i="6"/>
  <c r="S21" i="6"/>
  <c r="Q70" i="6"/>
  <c r="M36" i="6"/>
  <c r="I4" i="6"/>
  <c r="I55" i="6"/>
  <c r="C14" i="6"/>
  <c r="C65" i="6"/>
  <c r="AI78" i="6"/>
  <c r="W8" i="6"/>
  <c r="U20" i="6"/>
  <c r="Q67" i="6"/>
  <c r="G4" i="6"/>
  <c r="G54" i="6"/>
  <c r="E13" i="6"/>
  <c r="AN2" i="6"/>
  <c r="G22" i="6"/>
  <c r="E80" i="6"/>
  <c r="F80" i="6" s="1"/>
  <c r="AI33" i="6"/>
  <c r="M60" i="6"/>
  <c r="AK32" i="6"/>
  <c r="G29" i="6"/>
  <c r="AA45" i="6"/>
  <c r="I28" i="6"/>
  <c r="AE48" i="6"/>
  <c r="Y70" i="6"/>
  <c r="C49" i="6"/>
  <c r="AG68" i="6"/>
  <c r="AH68" i="6" s="1"/>
  <c r="G27" i="6"/>
  <c r="Y68" i="6"/>
  <c r="Z68" i="6" s="1"/>
  <c r="M20" i="6"/>
  <c r="U67" i="6"/>
  <c r="AC79" i="6"/>
  <c r="C50" i="6"/>
  <c r="D50" i="6" s="1"/>
  <c r="O17" i="6"/>
  <c r="Q16" i="6"/>
  <c r="E64" i="6"/>
  <c r="AG33" i="6"/>
  <c r="C39" i="6"/>
  <c r="D39" i="6" s="1"/>
  <c r="O48" i="6"/>
  <c r="Q46" i="6"/>
  <c r="K21" i="6"/>
  <c r="AE81" i="6"/>
  <c r="AN20" i="6"/>
  <c r="AE78" i="6"/>
  <c r="K34" i="6"/>
  <c r="Q78" i="6"/>
  <c r="K13" i="6"/>
  <c r="M59" i="6"/>
  <c r="O46" i="6"/>
  <c r="Q43" i="6"/>
  <c r="G46" i="6"/>
  <c r="AE8" i="6"/>
  <c r="AG77" i="6"/>
  <c r="W21" i="6"/>
  <c r="S20" i="6"/>
  <c r="Q15" i="6"/>
  <c r="O67" i="6"/>
  <c r="M49" i="6"/>
  <c r="I3" i="6"/>
  <c r="I53" i="6"/>
  <c r="E25" i="6"/>
  <c r="C63" i="6"/>
  <c r="D63" i="6" s="1"/>
  <c r="AG5" i="6"/>
  <c r="AA29" i="6"/>
  <c r="S18" i="6"/>
  <c r="Q81" i="6"/>
  <c r="I16" i="6"/>
  <c r="E58" i="6"/>
  <c r="AN24" i="6"/>
  <c r="U33" i="6"/>
  <c r="O79" i="6"/>
  <c r="G16" i="6"/>
  <c r="C22" i="6"/>
  <c r="AA27" i="6"/>
  <c r="K53" i="6"/>
  <c r="E30" i="6"/>
  <c r="AE37" i="6"/>
  <c r="G81" i="6"/>
  <c r="H81" i="6" s="1"/>
  <c r="W59" i="6"/>
  <c r="K60" i="6"/>
  <c r="L60" i="6" s="1"/>
  <c r="Y58" i="6"/>
  <c r="C34" i="6"/>
  <c r="AI39" i="6"/>
  <c r="AJ39" i="6" s="1"/>
  <c r="S58" i="6"/>
  <c r="M72" i="6"/>
  <c r="AI34" i="6"/>
  <c r="AI47" i="6"/>
  <c r="K78" i="6"/>
  <c r="L78" i="6" s="1"/>
  <c r="Y67" i="6"/>
  <c r="E15" i="6"/>
  <c r="O3" i="6"/>
  <c r="C15" i="6"/>
  <c r="AG7" i="6"/>
  <c r="AA5" i="6"/>
  <c r="Y20" i="6"/>
  <c r="U18" i="6"/>
  <c r="Q24" i="6"/>
  <c r="O66" i="6"/>
  <c r="M48" i="6"/>
  <c r="G17" i="6"/>
  <c r="G53" i="6"/>
  <c r="C23" i="6"/>
  <c r="E62" i="6"/>
  <c r="AN23" i="6"/>
  <c r="W28" i="6"/>
  <c r="O23" i="6"/>
  <c r="K48" i="6"/>
  <c r="I52" i="6"/>
  <c r="AE5" i="6"/>
  <c r="Y27" i="6"/>
  <c r="Q20" i="6"/>
  <c r="M45" i="6"/>
  <c r="G51" i="6"/>
  <c r="E72" i="6"/>
  <c r="Y40" i="6"/>
  <c r="O20" i="6"/>
  <c r="I59" i="6"/>
  <c r="AC49" i="6"/>
  <c r="AC48" i="6"/>
  <c r="E34" i="6"/>
  <c r="AI32" i="6"/>
  <c r="S63" i="6"/>
  <c r="T63" i="6" s="1"/>
  <c r="E49" i="6"/>
  <c r="AK37" i="6"/>
  <c r="I27" i="6"/>
  <c r="U73" i="6"/>
  <c r="G78" i="6"/>
  <c r="H78" i="6" s="1"/>
  <c r="AG81" i="6"/>
  <c r="C3" i="6"/>
  <c r="AC80" i="6"/>
  <c r="Q73" i="6"/>
  <c r="G45" i="6"/>
  <c r="E22" i="6"/>
  <c r="S33" i="6"/>
  <c r="M13" i="6"/>
  <c r="Q47" i="6"/>
  <c r="K10" i="6"/>
  <c r="W69" i="6"/>
  <c r="K75" i="6"/>
  <c r="L75" i="6" s="1"/>
  <c r="AA28" i="6"/>
  <c r="O49" i="6"/>
  <c r="I80" i="6"/>
  <c r="K12" i="6"/>
  <c r="M58" i="6"/>
  <c r="K68" i="6"/>
  <c r="K38" i="6"/>
  <c r="M37" i="6"/>
  <c r="AK72" i="6"/>
  <c r="AN4" i="6"/>
  <c r="AE41" i="6"/>
  <c r="AC26" i="6"/>
  <c r="W40" i="6"/>
  <c r="U41" i="6"/>
  <c r="Q26" i="6"/>
  <c r="K17" i="6"/>
  <c r="M62" i="6"/>
  <c r="I32" i="6"/>
  <c r="I70" i="6"/>
  <c r="E40" i="6"/>
  <c r="C78" i="6"/>
  <c r="AG40" i="6"/>
  <c r="S41" i="6"/>
  <c r="O34" i="6"/>
  <c r="P34" i="6" s="1"/>
  <c r="K62" i="6"/>
  <c r="G32" i="6"/>
  <c r="C40" i="6"/>
  <c r="E74" i="6"/>
  <c r="F74" i="6" s="1"/>
  <c r="AK18" i="6"/>
  <c r="Y36" i="6"/>
  <c r="Q49" i="6"/>
  <c r="K61" i="6"/>
  <c r="I81" i="6"/>
  <c r="U65" i="6"/>
  <c r="AG36" i="6"/>
  <c r="U64" i="6"/>
  <c r="W71" i="6"/>
  <c r="X71" i="6" s="1"/>
  <c r="G79" i="6"/>
  <c r="AG47" i="6"/>
  <c r="I78" i="6"/>
  <c r="AA71" i="6"/>
  <c r="AB71" i="6" s="1"/>
  <c r="C48" i="6"/>
  <c r="S68" i="6"/>
  <c r="G48" i="6"/>
  <c r="AK73" i="6"/>
  <c r="W67" i="6"/>
  <c r="I6" i="6"/>
  <c r="AI19" i="6"/>
  <c r="AA26" i="6"/>
  <c r="AB26" i="6" s="1"/>
  <c r="Y39" i="6"/>
  <c r="M14" i="6"/>
  <c r="G69" i="6"/>
  <c r="AG37" i="6"/>
  <c r="AC41" i="6"/>
  <c r="U52" i="6"/>
  <c r="K14" i="6"/>
  <c r="I31" i="6"/>
  <c r="E39" i="6"/>
  <c r="W35" i="6"/>
  <c r="G31" i="6"/>
  <c r="S65" i="6"/>
  <c r="AG48" i="6"/>
  <c r="G80" i="6"/>
  <c r="AA72" i="6"/>
  <c r="G28" i="6"/>
  <c r="AC71" i="6"/>
  <c r="M21" i="6"/>
  <c r="Q45" i="6"/>
  <c r="AC70" i="6"/>
  <c r="E54" i="6"/>
  <c r="Q64" i="6"/>
  <c r="E50" i="6"/>
  <c r="AG79" i="6"/>
  <c r="Z18" i="6" l="1"/>
  <c r="AL18" i="6"/>
  <c r="F18" i="6"/>
  <c r="AL43" i="6"/>
  <c r="N36" i="6"/>
  <c r="V18" i="6"/>
  <c r="AD68" i="6"/>
  <c r="F72" i="6"/>
  <c r="F79" i="6"/>
  <c r="J55" i="6"/>
  <c r="N55" i="6"/>
  <c r="J18" i="6"/>
  <c r="N30" i="6"/>
  <c r="R68" i="6"/>
  <c r="J42" i="6"/>
  <c r="AH33" i="6"/>
  <c r="F15" i="6"/>
  <c r="N79" i="6"/>
  <c r="R78" i="6"/>
  <c r="Z70" i="6"/>
  <c r="R70" i="6"/>
  <c r="J70" i="6"/>
  <c r="F30" i="6"/>
  <c r="F70" i="6"/>
  <c r="R32" i="6"/>
  <c r="AH15" i="6"/>
  <c r="AH6" i="6"/>
  <c r="D15" i="6"/>
  <c r="X59" i="6"/>
  <c r="D78" i="6"/>
  <c r="H15" i="6"/>
  <c r="D16" i="6"/>
  <c r="AF37" i="6"/>
  <c r="L34" i="6"/>
  <c r="L53" i="6"/>
  <c r="L37" i="6"/>
  <c r="AJ59" i="6"/>
  <c r="D55" i="6"/>
  <c r="P59" i="6"/>
  <c r="H53" i="6"/>
  <c r="T37" i="6"/>
  <c r="AD70" i="6"/>
  <c r="H77" i="6"/>
  <c r="F22" i="6"/>
  <c r="N15" i="6"/>
  <c r="X44" i="6"/>
  <c r="AF55" i="6"/>
  <c r="N59" i="6"/>
  <c r="H55" i="6"/>
  <c r="T58" i="6"/>
  <c r="F33" i="6"/>
  <c r="AL55" i="6"/>
  <c r="L13" i="6"/>
  <c r="D80" i="6"/>
  <c r="AB77" i="6"/>
  <c r="X77" i="6"/>
  <c r="H73" i="6"/>
  <c r="D73" i="6"/>
  <c r="P77" i="6"/>
  <c r="T77" i="6"/>
  <c r="L50" i="6"/>
  <c r="L77" i="6"/>
  <c r="D34" i="6"/>
  <c r="D77" i="6"/>
  <c r="AF77" i="6"/>
  <c r="H80" i="6"/>
  <c r="AH78" i="6"/>
  <c r="AD15" i="6"/>
  <c r="J15" i="6"/>
  <c r="V75" i="6"/>
  <c r="R15" i="6"/>
  <c r="R77" i="6"/>
  <c r="J80" i="6"/>
  <c r="N75" i="6"/>
  <c r="AH75" i="6"/>
  <c r="J21" i="6"/>
  <c r="F55" i="6"/>
  <c r="Z55" i="6"/>
  <c r="V55" i="6"/>
  <c r="AH77" i="6"/>
  <c r="N77" i="6"/>
  <c r="AD80" i="6"/>
  <c r="N80" i="6"/>
  <c r="AD77" i="6"/>
  <c r="F75" i="6"/>
  <c r="Z75" i="6"/>
  <c r="N78" i="6"/>
  <c r="AL78" i="6"/>
  <c r="AD78" i="6"/>
  <c r="J78" i="6"/>
  <c r="P46" i="6"/>
  <c r="AJ66" i="6"/>
  <c r="AJ50" i="6"/>
  <c r="AF50" i="6"/>
  <c r="P53" i="6"/>
  <c r="AF39" i="6"/>
  <c r="AJ26" i="6"/>
  <c r="T76" i="6"/>
  <c r="D26" i="6"/>
  <c r="D74" i="6"/>
  <c r="AF74" i="6"/>
  <c r="AH79" i="6"/>
  <c r="N18" i="6"/>
  <c r="AD42" i="6"/>
  <c r="J25" i="6"/>
  <c r="V32" i="6"/>
  <c r="J72" i="6"/>
  <c r="AH36" i="6"/>
  <c r="J36" i="6"/>
  <c r="Z71" i="6"/>
  <c r="Z78" i="6"/>
  <c r="J32" i="6"/>
  <c r="F65" i="6"/>
  <c r="AD76" i="6"/>
  <c r="J3" i="6"/>
  <c r="AL25" i="6"/>
  <c r="F25" i="6"/>
  <c r="Z65" i="6"/>
  <c r="V25" i="6"/>
  <c r="AH80" i="6"/>
  <c r="AL71" i="6"/>
  <c r="Z80" i="6"/>
  <c r="Z41" i="6"/>
  <c r="Z25" i="6"/>
  <c r="Z22" i="6"/>
  <c r="F41" i="6"/>
  <c r="N41" i="6"/>
  <c r="V78" i="6"/>
  <c r="AL41" i="6"/>
  <c r="V41" i="6"/>
  <c r="R81" i="6"/>
  <c r="N25" i="6"/>
  <c r="R25" i="6"/>
  <c r="AD25" i="6"/>
  <c r="H69" i="6"/>
  <c r="H79" i="6"/>
  <c r="T79" i="6"/>
  <c r="L44" i="6"/>
  <c r="D69" i="6"/>
  <c r="H51" i="6"/>
  <c r="L15" i="6"/>
  <c r="T16" i="6"/>
  <c r="L58" i="6"/>
  <c r="AB53" i="6"/>
  <c r="H31" i="6"/>
  <c r="D79" i="6"/>
  <c r="L40" i="6"/>
  <c r="L76" i="6"/>
  <c r="AF76" i="6"/>
  <c r="D40" i="6"/>
  <c r="AJ47" i="6"/>
  <c r="T18" i="6"/>
  <c r="AF78" i="6"/>
  <c r="P72" i="6"/>
  <c r="H11" i="6"/>
  <c r="P50" i="6"/>
  <c r="X55" i="6"/>
  <c r="D76" i="6"/>
  <c r="X76" i="6"/>
  <c r="X79" i="6"/>
  <c r="T75" i="6"/>
  <c r="X40" i="6"/>
  <c r="P76" i="6"/>
  <c r="AJ76" i="6"/>
  <c r="P15" i="6"/>
  <c r="AF15" i="6"/>
  <c r="AH18" i="6"/>
  <c r="R18" i="6"/>
  <c r="Z36" i="6"/>
  <c r="R30" i="6"/>
  <c r="R73" i="6"/>
  <c r="N81" i="6"/>
  <c r="J53" i="6"/>
  <c r="N58" i="6"/>
  <c r="F58" i="6"/>
  <c r="J44" i="6"/>
  <c r="AH74" i="6"/>
  <c r="F78" i="6"/>
  <c r="F5" i="6"/>
  <c r="Z5" i="6"/>
  <c r="R75" i="6"/>
  <c r="AL75" i="6"/>
  <c r="N72" i="6"/>
  <c r="V34" i="6"/>
  <c r="N32" i="6"/>
  <c r="AD41" i="6"/>
  <c r="V73" i="6"/>
  <c r="AH70" i="6"/>
  <c r="R41" i="6"/>
  <c r="J41" i="6"/>
  <c r="V79" i="6"/>
  <c r="J79" i="6"/>
  <c r="Z58" i="6"/>
  <c r="AH41" i="6"/>
  <c r="AH31" i="6"/>
  <c r="AL73" i="6"/>
  <c r="Z21" i="6"/>
  <c r="AD79" i="6"/>
  <c r="AH25" i="6"/>
  <c r="AD18" i="6"/>
  <c r="J75" i="6"/>
  <c r="AD75" i="6"/>
  <c r="Z79" i="6"/>
  <c r="AL68" i="6"/>
  <c r="AL77" i="6"/>
  <c r="J76" i="6"/>
  <c r="J58" i="6"/>
  <c r="V38" i="6"/>
  <c r="AF49" i="6"/>
  <c r="AH53" i="6"/>
  <c r="AH73" i="6"/>
  <c r="L26" i="6"/>
  <c r="H26" i="6"/>
  <c r="AH19" i="6"/>
  <c r="J66" i="6"/>
  <c r="V81" i="6"/>
  <c r="F3" i="6"/>
  <c r="R64" i="6"/>
  <c r="Z28" i="6"/>
  <c r="J28" i="6"/>
  <c r="J65" i="6"/>
  <c r="N65" i="6"/>
  <c r="AD43" i="6"/>
  <c r="R43" i="6"/>
  <c r="F81" i="6"/>
  <c r="N14" i="6"/>
  <c r="F14" i="6"/>
  <c r="X60" i="6"/>
  <c r="AH81" i="6"/>
  <c r="J81" i="6"/>
  <c r="V65" i="6"/>
  <c r="J19" i="6"/>
  <c r="R65" i="6"/>
  <c r="AL58" i="6"/>
  <c r="N28" i="6"/>
  <c r="AH65" i="6"/>
  <c r="H27" i="6"/>
  <c r="H35" i="6"/>
  <c r="D49" i="6"/>
  <c r="X66" i="6"/>
  <c r="P49" i="6"/>
  <c r="T49" i="6"/>
  <c r="P69" i="6"/>
  <c r="X15" i="6"/>
  <c r="AB16" i="6"/>
  <c r="X69" i="6"/>
  <c r="L20" i="6"/>
  <c r="D20" i="6"/>
  <c r="H49" i="6"/>
  <c r="H16" i="6"/>
  <c r="AF69" i="6"/>
  <c r="P66" i="6"/>
  <c r="P40" i="6"/>
  <c r="P78" i="6"/>
  <c r="AF81" i="6"/>
  <c r="X26" i="6"/>
  <c r="L7" i="6"/>
  <c r="AJ78" i="6"/>
  <c r="D6" i="6"/>
  <c r="H41" i="6"/>
  <c r="D41" i="6"/>
  <c r="AJ44" i="6"/>
  <c r="AJ19" i="6"/>
  <c r="AJ32" i="6"/>
  <c r="P67" i="6"/>
  <c r="X51" i="6"/>
  <c r="AJ81" i="6"/>
  <c r="L19" i="6"/>
  <c r="P19" i="6"/>
  <c r="X41" i="6"/>
  <c r="AF10" i="6"/>
  <c r="AF19" i="6"/>
  <c r="T11" i="6"/>
  <c r="AB19" i="6"/>
  <c r="AB41" i="6"/>
  <c r="T53" i="6"/>
  <c r="D59" i="6"/>
  <c r="T66" i="6"/>
  <c r="H72" i="6"/>
  <c r="X4" i="6"/>
  <c r="AF5" i="6"/>
  <c r="P41" i="6"/>
  <c r="T4" i="6"/>
  <c r="L81" i="6"/>
  <c r="T13" i="6"/>
  <c r="P80" i="6"/>
  <c r="AJ72" i="6"/>
  <c r="D72" i="6"/>
  <c r="AB78" i="6"/>
  <c r="X5" i="6"/>
  <c r="AF59" i="6"/>
  <c r="AF41" i="6"/>
  <c r="T41" i="6"/>
  <c r="AF56" i="6"/>
  <c r="AB56" i="6"/>
  <c r="X73" i="6"/>
  <c r="AB81" i="6"/>
  <c r="AB5" i="6"/>
  <c r="T15" i="6"/>
  <c r="T59" i="6"/>
  <c r="V44" i="6"/>
  <c r="R44" i="6"/>
  <c r="J33" i="6"/>
  <c r="J10" i="6"/>
  <c r="P13" i="6"/>
  <c r="X53" i="6"/>
  <c r="AF53" i="6"/>
  <c r="D51" i="6"/>
  <c r="X58" i="6"/>
  <c r="AJ13" i="6"/>
  <c r="X49" i="6"/>
  <c r="T69" i="6"/>
  <c r="AB66" i="6"/>
  <c r="Z81" i="6"/>
  <c r="F34" i="6"/>
  <c r="V36" i="6"/>
  <c r="X50" i="6"/>
  <c r="H66" i="6"/>
  <c r="T38" i="6"/>
  <c r="AL36" i="6"/>
  <c r="F76" i="6"/>
  <c r="AD81" i="6"/>
  <c r="AB50" i="6"/>
  <c r="H13" i="6"/>
  <c r="AJ69" i="6"/>
  <c r="D53" i="6"/>
  <c r="R52" i="6"/>
  <c r="X80" i="6"/>
  <c r="D66" i="6"/>
  <c r="V71" i="6"/>
  <c r="L69" i="6"/>
  <c r="R34" i="6"/>
  <c r="AF16" i="6"/>
  <c r="AF66" i="6"/>
  <c r="AD65" i="6"/>
  <c r="Z33" i="6"/>
  <c r="L18" i="6"/>
  <c r="AL34" i="6"/>
  <c r="AJ77" i="6"/>
  <c r="R79" i="6"/>
  <c r="AL65" i="6"/>
  <c r="L66" i="6"/>
  <c r="V76" i="6"/>
  <c r="AH76" i="6"/>
  <c r="L38" i="6"/>
  <c r="V33" i="6"/>
  <c r="L16" i="6"/>
  <c r="AL81" i="6"/>
  <c r="L80" i="6"/>
  <c r="R33" i="6"/>
  <c r="D18" i="6"/>
  <c r="H50" i="6"/>
  <c r="AL79" i="6"/>
  <c r="Z76" i="6"/>
  <c r="T65" i="6"/>
  <c r="AH14" i="6"/>
  <c r="L39" i="6"/>
  <c r="AJ74" i="6"/>
  <c r="N24" i="6"/>
  <c r="F64" i="6"/>
  <c r="V64" i="6"/>
  <c r="Z27" i="6"/>
  <c r="D65" i="6"/>
  <c r="H6" i="6"/>
  <c r="AL14" i="6"/>
  <c r="T74" i="6"/>
  <c r="H5" i="6"/>
  <c r="T6" i="6"/>
  <c r="H39" i="6"/>
  <c r="L74" i="6"/>
  <c r="L65" i="6"/>
  <c r="T39" i="6"/>
  <c r="AL5" i="6"/>
  <c r="H12" i="6"/>
  <c r="P5" i="6"/>
  <c r="AL53" i="6"/>
  <c r="L54" i="6"/>
  <c r="V70" i="6"/>
  <c r="V53" i="6"/>
  <c r="D54" i="6"/>
  <c r="J37" i="6"/>
  <c r="L12" i="6"/>
  <c r="R20" i="6"/>
  <c r="J16" i="6"/>
  <c r="P54" i="6"/>
  <c r="F53" i="6"/>
  <c r="AL16" i="6"/>
  <c r="N53" i="6"/>
  <c r="AH67" i="6"/>
  <c r="F7" i="6"/>
  <c r="N70" i="6"/>
  <c r="F49" i="6"/>
  <c r="AD11" i="6"/>
  <c r="AJ57" i="6"/>
  <c r="N5" i="6"/>
  <c r="V10" i="6"/>
  <c r="H61" i="6"/>
  <c r="AH59" i="6"/>
  <c r="T60" i="6"/>
  <c r="AH28" i="6"/>
  <c r="V59" i="6"/>
  <c r="Z59" i="6"/>
  <c r="F59" i="6"/>
  <c r="AL6" i="6"/>
  <c r="V16" i="6"/>
  <c r="F28" i="6"/>
  <c r="X52" i="6"/>
  <c r="V14" i="6"/>
  <c r="J43" i="6"/>
  <c r="Z43" i="6"/>
  <c r="N33" i="6"/>
  <c r="AB65" i="6"/>
  <c r="AJ60" i="6"/>
  <c r="J59" i="6"/>
  <c r="AD59" i="6"/>
  <c r="V56" i="6"/>
  <c r="P65" i="6"/>
  <c r="D60" i="6"/>
  <c r="P60" i="6"/>
  <c r="AD33" i="6"/>
  <c r="P20" i="6"/>
  <c r="R59" i="6"/>
  <c r="AH43" i="6"/>
  <c r="L61" i="6"/>
  <c r="D19" i="6"/>
  <c r="F43" i="6"/>
  <c r="AB11" i="6"/>
  <c r="V43" i="6"/>
  <c r="N13" i="6"/>
  <c r="P4" i="6"/>
  <c r="AF21" i="6"/>
  <c r="V62" i="6"/>
  <c r="AL31" i="6"/>
  <c r="V77" i="6"/>
  <c r="AJ55" i="6"/>
  <c r="AH71" i="6"/>
  <c r="R80" i="6"/>
  <c r="H44" i="6"/>
  <c r="T48" i="6"/>
  <c r="J71" i="6"/>
  <c r="Z39" i="6"/>
  <c r="N67" i="6"/>
  <c r="Z32" i="6"/>
  <c r="T55" i="6"/>
  <c r="P55" i="6"/>
  <c r="V60" i="6"/>
  <c r="AF44" i="6"/>
  <c r="N42" i="6"/>
  <c r="AH52" i="6"/>
  <c r="AH13" i="6"/>
  <c r="V80" i="6"/>
  <c r="F6" i="6"/>
  <c r="N44" i="6"/>
  <c r="T54" i="6"/>
  <c r="T8" i="6"/>
  <c r="H40" i="6"/>
  <c r="Z7" i="6"/>
  <c r="AL62" i="6"/>
  <c r="J6" i="6"/>
  <c r="N62" i="6"/>
  <c r="R16" i="6"/>
  <c r="J47" i="6"/>
  <c r="V21" i="6"/>
  <c r="X72" i="6"/>
  <c r="V72" i="6"/>
  <c r="AB79" i="6"/>
  <c r="R71" i="6"/>
  <c r="Z16" i="6"/>
  <c r="F77" i="6"/>
  <c r="N71" i="6"/>
  <c r="R7" i="6"/>
  <c r="AF48" i="6"/>
  <c r="N52" i="6"/>
  <c r="F71" i="6"/>
  <c r="V37" i="6"/>
  <c r="V42" i="6"/>
  <c r="L55" i="6"/>
  <c r="AD37" i="6"/>
  <c r="Z31" i="6"/>
  <c r="T44" i="6"/>
  <c r="V31" i="6"/>
  <c r="AL47" i="6"/>
  <c r="H17" i="6"/>
  <c r="N6" i="6"/>
  <c r="AH44" i="6"/>
  <c r="AD21" i="6"/>
  <c r="D44" i="6"/>
  <c r="Z37" i="6"/>
  <c r="V47" i="6"/>
  <c r="F62" i="6"/>
  <c r="H48" i="6"/>
  <c r="Z62" i="6"/>
  <c r="N31" i="6"/>
  <c r="AD67" i="6"/>
  <c r="P81" i="6"/>
  <c r="N21" i="6"/>
  <c r="J52" i="6"/>
  <c r="L21" i="6"/>
  <c r="H54" i="6"/>
  <c r="Z53" i="6"/>
  <c r="J60" i="6"/>
  <c r="AL44" i="6"/>
  <c r="AD31" i="6"/>
  <c r="R53" i="6"/>
  <c r="AH42" i="6"/>
  <c r="X48" i="6"/>
  <c r="AJ79" i="6"/>
  <c r="L4" i="6"/>
  <c r="Z67" i="6"/>
  <c r="AF8" i="6"/>
  <c r="N16" i="6"/>
  <c r="F67" i="6"/>
  <c r="Z6" i="6"/>
  <c r="D4" i="6"/>
  <c r="Z47" i="6"/>
  <c r="AD71" i="6"/>
  <c r="V52" i="6"/>
  <c r="D48" i="6"/>
  <c r="AL72" i="6"/>
  <c r="L48" i="6"/>
  <c r="H4" i="6"/>
  <c r="AF79" i="6"/>
  <c r="H21" i="6"/>
  <c r="AD16" i="6"/>
  <c r="AB4" i="6"/>
  <c r="AJ56" i="6"/>
  <c r="J73" i="6"/>
  <c r="H56" i="6"/>
  <c r="AB73" i="6"/>
  <c r="X81" i="6"/>
  <c r="F42" i="6"/>
  <c r="T50" i="6"/>
  <c r="N47" i="6"/>
  <c r="AD6" i="6"/>
  <c r="V7" i="6"/>
  <c r="T81" i="6"/>
  <c r="V67" i="6"/>
  <c r="AL32" i="6"/>
  <c r="AL60" i="6"/>
  <c r="P8" i="6"/>
  <c r="P51" i="6"/>
  <c r="AF4" i="6"/>
  <c r="AL80" i="6"/>
  <c r="J7" i="6"/>
  <c r="AB54" i="6"/>
  <c r="F37" i="6"/>
  <c r="L17" i="6"/>
  <c r="L8" i="6"/>
  <c r="J31" i="6"/>
  <c r="F31" i="6"/>
  <c r="D81" i="6"/>
  <c r="AH37" i="6"/>
  <c r="AB72" i="6"/>
  <c r="N37" i="6"/>
  <c r="L10" i="6"/>
  <c r="AH7" i="6"/>
  <c r="P79" i="6"/>
  <c r="X8" i="6"/>
  <c r="D21" i="6"/>
  <c r="AD47" i="6"/>
  <c r="T73" i="6"/>
  <c r="AJ54" i="6"/>
  <c r="L73" i="6"/>
  <c r="AD52" i="6"/>
  <c r="R37" i="6"/>
  <c r="X21" i="6"/>
  <c r="AB48" i="6"/>
  <c r="AJ48" i="6"/>
  <c r="R67" i="6"/>
  <c r="AB8" i="6"/>
  <c r="AH62" i="6"/>
  <c r="AH47" i="6"/>
  <c r="R47" i="6"/>
  <c r="AL37" i="6"/>
  <c r="N60" i="6"/>
  <c r="Z44" i="6"/>
  <c r="J77" i="6"/>
  <c r="AD53" i="6"/>
  <c r="N45" i="6"/>
  <c r="H8" i="6"/>
  <c r="T21" i="6"/>
  <c r="X54" i="6"/>
  <c r="AJ21" i="6"/>
  <c r="P48" i="6"/>
  <c r="R62" i="6"/>
  <c r="AD60" i="6"/>
  <c r="H37" i="6"/>
  <c r="P44" i="6"/>
  <c r="AD7" i="6"/>
  <c r="AF54" i="6"/>
  <c r="H76" i="6"/>
  <c r="AB76" i="6"/>
  <c r="AJ17" i="6"/>
  <c r="D52" i="6"/>
  <c r="R58" i="6"/>
  <c r="AL21" i="6"/>
  <c r="T51" i="6"/>
  <c r="R60" i="6"/>
  <c r="AB55" i="6"/>
  <c r="AJ53" i="6"/>
  <c r="P2" i="6"/>
  <c r="AJ2" i="6"/>
  <c r="F50" i="6"/>
  <c r="AD40" i="6"/>
  <c r="Z42" i="6"/>
  <c r="AB28" i="6"/>
  <c r="H45" i="6"/>
  <c r="AH40" i="6"/>
  <c r="X7" i="6"/>
  <c r="P28" i="6"/>
  <c r="R40" i="6"/>
  <c r="Z50" i="6"/>
  <c r="F40" i="6"/>
  <c r="H28" i="6"/>
  <c r="X28" i="6"/>
  <c r="Z40" i="6"/>
  <c r="D11" i="6"/>
  <c r="AH16" i="6"/>
  <c r="D58" i="6"/>
  <c r="AB14" i="6"/>
  <c r="AJ67" i="6"/>
  <c r="AB20" i="6"/>
  <c r="R19" i="6"/>
  <c r="X67" i="6"/>
  <c r="D14" i="6"/>
  <c r="D67" i="6"/>
  <c r="V13" i="6"/>
  <c r="D17" i="6"/>
  <c r="AD30" i="6"/>
  <c r="D5" i="6"/>
  <c r="Z34" i="6"/>
  <c r="L6" i="6"/>
  <c r="AF13" i="6"/>
  <c r="T20" i="6"/>
  <c r="H46" i="6"/>
  <c r="AD10" i="6"/>
  <c r="Z13" i="6"/>
  <c r="AF20" i="6"/>
  <c r="AL3" i="6"/>
  <c r="V58" i="6"/>
  <c r="F38" i="6"/>
  <c r="L72" i="6"/>
  <c r="F44" i="6"/>
  <c r="AL15" i="6"/>
  <c r="X39" i="6"/>
  <c r="P26" i="6"/>
  <c r="AB27" i="6"/>
  <c r="AD56" i="6"/>
  <c r="AD24" i="6"/>
  <c r="H14" i="6"/>
  <c r="P3" i="6"/>
  <c r="H57" i="6"/>
  <c r="N49" i="6"/>
  <c r="V11" i="6"/>
  <c r="D35" i="6"/>
  <c r="L57" i="6"/>
  <c r="J13" i="6"/>
  <c r="P73" i="6"/>
  <c r="AL22" i="6"/>
  <c r="X35" i="6"/>
  <c r="P62" i="6"/>
  <c r="R26" i="6"/>
  <c r="T57" i="6"/>
  <c r="T67" i="6"/>
  <c r="H32" i="6"/>
  <c r="R3" i="6"/>
  <c r="X20" i="6"/>
  <c r="L62" i="6"/>
  <c r="AJ34" i="6"/>
  <c r="AH5" i="6"/>
  <c r="P17" i="6"/>
  <c r="T17" i="6"/>
  <c r="AH60" i="6"/>
  <c r="Z19" i="6"/>
  <c r="AB44" i="6"/>
  <c r="F19" i="6"/>
  <c r="AD3" i="6"/>
  <c r="X14" i="6"/>
  <c r="AD66" i="6"/>
  <c r="F39" i="6"/>
  <c r="AD26" i="6"/>
  <c r="AD2" i="6"/>
  <c r="P6" i="6"/>
  <c r="AH24" i="6"/>
  <c r="D3" i="6"/>
  <c r="F13" i="6"/>
  <c r="Z66" i="6"/>
  <c r="L14" i="6"/>
  <c r="R24" i="6"/>
  <c r="AB45" i="6"/>
  <c r="X9" i="6"/>
  <c r="AJ20" i="6"/>
  <c r="R50" i="6"/>
  <c r="AD44" i="6"/>
  <c r="N34" i="6"/>
  <c r="AF38" i="6"/>
  <c r="J34" i="6"/>
  <c r="R72" i="6"/>
  <c r="Z14" i="6"/>
  <c r="H65" i="6"/>
  <c r="L67" i="6"/>
  <c r="H20" i="6"/>
  <c r="N3" i="6"/>
  <c r="R42" i="6"/>
  <c r="AB57" i="6"/>
  <c r="N66" i="6"/>
  <c r="AH66" i="6"/>
  <c r="R22" i="6"/>
  <c r="AF14" i="6"/>
  <c r="Z3" i="6"/>
  <c r="T35" i="6"/>
  <c r="AH3" i="6"/>
  <c r="V66" i="6"/>
  <c r="J24" i="6"/>
  <c r="R49" i="6"/>
  <c r="J27" i="6"/>
  <c r="AF65" i="6"/>
  <c r="T7" i="6"/>
  <c r="AJ37" i="6"/>
  <c r="AL19" i="6"/>
  <c r="V19" i="6"/>
  <c r="T3" i="6"/>
  <c r="AH22" i="6"/>
  <c r="P37" i="6"/>
  <c r="AD13" i="6"/>
  <c r="N19" i="6"/>
  <c r="AJ14" i="6"/>
  <c r="AH48" i="6"/>
  <c r="AL61" i="6"/>
  <c r="AH58" i="6"/>
  <c r="Z72" i="6"/>
  <c r="AF72" i="6"/>
  <c r="AH34" i="6"/>
  <c r="X68" i="6"/>
  <c r="H70" i="6"/>
  <c r="AB70" i="6"/>
  <c r="AF62" i="6"/>
  <c r="AJ41" i="6"/>
  <c r="L49" i="6"/>
  <c r="AJ22" i="6"/>
  <c r="H38" i="6"/>
  <c r="H18" i="6"/>
  <c r="AL52" i="6"/>
  <c r="X13" i="6"/>
  <c r="F51" i="6"/>
  <c r="AD48" i="6"/>
  <c r="AF51" i="6"/>
  <c r="AD38" i="6"/>
  <c r="AH56" i="6"/>
  <c r="AJ49" i="6"/>
  <c r="F47" i="6"/>
  <c r="Z51" i="6"/>
  <c r="AH38" i="6"/>
  <c r="AB38" i="6"/>
  <c r="N73" i="6"/>
  <c r="D56" i="6"/>
  <c r="R55" i="6"/>
  <c r="D37" i="6"/>
  <c r="AD32" i="6"/>
  <c r="D13" i="6"/>
  <c r="R14" i="6"/>
  <c r="AF26" i="6"/>
  <c r="P35" i="6"/>
  <c r="L35" i="6"/>
  <c r="T56" i="6"/>
  <c r="AL40" i="6"/>
  <c r="P58" i="6"/>
  <c r="AF28" i="6"/>
  <c r="L56" i="6"/>
  <c r="AJ16" i="6"/>
  <c r="V15" i="6"/>
  <c r="F36" i="6"/>
  <c r="F32" i="6"/>
  <c r="AF73" i="6"/>
  <c r="AB13" i="6"/>
  <c r="R31" i="6"/>
  <c r="L68" i="6"/>
  <c r="AH54" i="6"/>
  <c r="AF43" i="6"/>
  <c r="AH32" i="6"/>
  <c r="X63" i="6"/>
  <c r="AJ73" i="6"/>
  <c r="X43" i="6"/>
  <c r="H22" i="6"/>
  <c r="D29" i="6"/>
  <c r="F46" i="6"/>
  <c r="L45" i="6"/>
  <c r="P25" i="6"/>
  <c r="X62" i="6"/>
  <c r="H43" i="6"/>
  <c r="AD36" i="6"/>
  <c r="X38" i="6"/>
  <c r="J35" i="6"/>
  <c r="AD35" i="6"/>
  <c r="J46" i="6"/>
  <c r="T22" i="6"/>
  <c r="P22" i="6"/>
  <c r="X27" i="6"/>
  <c r="X46" i="6"/>
  <c r="Z10" i="6"/>
  <c r="V46" i="6"/>
  <c r="J38" i="6"/>
  <c r="P38" i="6"/>
  <c r="AB33" i="6"/>
  <c r="X33" i="6"/>
  <c r="T70" i="6"/>
  <c r="Z30" i="6"/>
  <c r="AL54" i="6"/>
  <c r="P12" i="6"/>
  <c r="P18" i="6"/>
  <c r="AH55" i="6"/>
  <c r="V63" i="6"/>
  <c r="H24" i="6"/>
  <c r="T64" i="6"/>
  <c r="AB24" i="6"/>
  <c r="L32" i="6"/>
  <c r="J61" i="6"/>
  <c r="R54" i="6"/>
  <c r="AL70" i="6"/>
  <c r="T33" i="6"/>
  <c r="AB29" i="6"/>
  <c r="AH61" i="6"/>
  <c r="J20" i="6"/>
  <c r="P31" i="6"/>
  <c r="AB43" i="6"/>
  <c r="H33" i="6"/>
  <c r="D33" i="6"/>
  <c r="N63" i="6"/>
  <c r="AH63" i="6"/>
  <c r="L64" i="6"/>
  <c r="T24" i="6"/>
  <c r="AF64" i="6"/>
  <c r="AF80" i="6"/>
  <c r="L43" i="6"/>
  <c r="P29" i="6"/>
  <c r="AF68" i="6"/>
  <c r="Z54" i="6"/>
  <c r="J12" i="6"/>
  <c r="R12" i="6"/>
  <c r="AJ68" i="6"/>
  <c r="L33" i="6"/>
  <c r="T68" i="6"/>
  <c r="P43" i="6"/>
  <c r="F54" i="6"/>
  <c r="H29" i="6"/>
  <c r="N54" i="6"/>
  <c r="T43" i="6"/>
  <c r="AD72" i="6"/>
  <c r="D38" i="6"/>
  <c r="F52" i="6"/>
  <c r="R46" i="6"/>
  <c r="AD12" i="6"/>
  <c r="P68" i="6"/>
  <c r="AB51" i="6"/>
  <c r="AL46" i="6"/>
  <c r="AF33" i="6"/>
  <c r="L52" i="6"/>
  <c r="AD34" i="6"/>
  <c r="AJ25" i="6"/>
  <c r="D22" i="6"/>
  <c r="AL12" i="6"/>
  <c r="D68" i="6"/>
  <c r="X25" i="6"/>
  <c r="AJ33" i="6"/>
  <c r="AJ43" i="6"/>
  <c r="R21" i="6"/>
  <c r="D43" i="6"/>
  <c r="H63" i="6"/>
  <c r="AD20" i="6"/>
  <c r="AH20" i="6"/>
  <c r="T29" i="6"/>
  <c r="R11" i="6"/>
  <c r="P27" i="6"/>
  <c r="L11" i="6"/>
  <c r="AD8" i="6"/>
  <c r="AJ23" i="6"/>
  <c r="F11" i="6"/>
  <c r="AD9" i="6"/>
  <c r="R9" i="6"/>
  <c r="N4" i="6"/>
  <c r="J64" i="6"/>
  <c r="T52" i="6"/>
  <c r="R10" i="6"/>
  <c r="AD28" i="6"/>
  <c r="J69" i="6"/>
  <c r="R29" i="6"/>
  <c r="AD69" i="6"/>
  <c r="AL29" i="6"/>
  <c r="P30" i="6"/>
  <c r="AJ30" i="6"/>
  <c r="X6" i="6"/>
  <c r="AJ46" i="6"/>
  <c r="AL2" i="6"/>
  <c r="Z48" i="6"/>
  <c r="AJ35" i="6"/>
  <c r="V9" i="6"/>
  <c r="AL39" i="6"/>
  <c r="D25" i="6"/>
  <c r="V12" i="6"/>
  <c r="N61" i="6"/>
  <c r="AJ5" i="6"/>
  <c r="D7" i="6"/>
  <c r="P9" i="6"/>
  <c r="H67" i="6"/>
  <c r="AD58" i="6"/>
  <c r="R5" i="6"/>
  <c r="AB25" i="6"/>
  <c r="J63" i="6"/>
  <c r="R23" i="6"/>
  <c r="AD63" i="6"/>
  <c r="AL23" i="6"/>
  <c r="H64" i="6"/>
  <c r="P24" i="6"/>
  <c r="AB64" i="6"/>
  <c r="AJ24" i="6"/>
  <c r="AB80" i="6"/>
  <c r="AJ40" i="6"/>
  <c r="J26" i="6"/>
  <c r="V48" i="6"/>
  <c r="D9" i="6"/>
  <c r="AH27" i="6"/>
  <c r="J62" i="6"/>
  <c r="AH49" i="6"/>
  <c r="J39" i="6"/>
  <c r="T28" i="6"/>
  <c r="L28" i="6"/>
  <c r="J50" i="6"/>
  <c r="AD4" i="6"/>
  <c r="J57" i="6"/>
  <c r="R17" i="6"/>
  <c r="AD57" i="6"/>
  <c r="AL17" i="6"/>
  <c r="H42" i="6"/>
  <c r="AB42" i="6"/>
  <c r="AB58" i="6"/>
  <c r="AJ18" i="6"/>
  <c r="F45" i="6"/>
  <c r="X29" i="6"/>
  <c r="AJ3" i="6"/>
  <c r="H62" i="6"/>
  <c r="V50" i="6"/>
  <c r="T47" i="6"/>
  <c r="AF31" i="6"/>
  <c r="P57" i="6"/>
  <c r="H19" i="6"/>
  <c r="L23" i="6"/>
  <c r="AL48" i="6"/>
  <c r="J45" i="6"/>
  <c r="H36" i="6"/>
  <c r="AB36" i="6"/>
  <c r="AB52" i="6"/>
  <c r="AJ12" i="6"/>
  <c r="T31" i="6"/>
  <c r="R27" i="6"/>
  <c r="AH30" i="6"/>
  <c r="T27" i="6"/>
  <c r="AH12" i="6"/>
  <c r="V5" i="6"/>
  <c r="L3" i="6"/>
  <c r="AJ28" i="6"/>
  <c r="J40" i="6"/>
  <c r="V54" i="6"/>
  <c r="J29" i="6"/>
  <c r="V69" i="6"/>
  <c r="AD29" i="6"/>
  <c r="H30" i="6"/>
  <c r="AB30" i="6"/>
  <c r="AB46" i="6"/>
  <c r="AJ6" i="6"/>
  <c r="AL9" i="6"/>
  <c r="R6" i="6"/>
  <c r="Z11" i="6"/>
  <c r="V26" i="6"/>
  <c r="AH11" i="6"/>
  <c r="T23" i="6"/>
  <c r="AF9" i="6"/>
  <c r="AL24" i="6"/>
  <c r="V49" i="6"/>
  <c r="J23" i="6"/>
  <c r="AD23" i="6"/>
  <c r="AB40" i="6"/>
  <c r="D31" i="6"/>
  <c r="J22" i="6"/>
  <c r="V22" i="6"/>
  <c r="AH8" i="6"/>
  <c r="V4" i="6"/>
  <c r="P14" i="6"/>
  <c r="Z61" i="6"/>
  <c r="AL49" i="6"/>
  <c r="Z8" i="6"/>
  <c r="AJ4" i="6"/>
  <c r="J14" i="6"/>
  <c r="V28" i="6"/>
  <c r="AF35" i="6"/>
  <c r="J17" i="6"/>
  <c r="V57" i="6"/>
  <c r="AD17" i="6"/>
  <c r="H2" i="6"/>
  <c r="T42" i="6"/>
  <c r="AB2" i="6"/>
  <c r="AB18" i="6"/>
  <c r="X45" i="6"/>
  <c r="Z49" i="6"/>
  <c r="J51" i="6"/>
  <c r="AD62" i="6"/>
  <c r="Z64" i="6"/>
  <c r="P11" i="6"/>
  <c r="T61" i="6"/>
  <c r="AJ27" i="6"/>
  <c r="H9" i="6"/>
  <c r="AJ51" i="6"/>
  <c r="AH72" i="6"/>
  <c r="N51" i="6"/>
  <c r="AJ31" i="6"/>
  <c r="P52" i="6"/>
  <c r="AB68" i="6"/>
  <c r="J9" i="6"/>
  <c r="V24" i="6"/>
  <c r="V35" i="6"/>
  <c r="T36" i="6"/>
  <c r="AB12" i="6"/>
  <c r="D23" i="6"/>
  <c r="H23" i="6"/>
  <c r="J11" i="6"/>
  <c r="N11" i="6"/>
  <c r="AB9" i="6"/>
  <c r="J49" i="6"/>
  <c r="V39" i="6"/>
  <c r="Z45" i="6"/>
  <c r="R8" i="6"/>
  <c r="AD50" i="6"/>
  <c r="X47" i="6"/>
  <c r="V45" i="6"/>
  <c r="AB47" i="6"/>
  <c r="J8" i="6"/>
  <c r="AL50" i="6"/>
  <c r="Z60" i="6"/>
  <c r="AL11" i="6"/>
  <c r="P47" i="6"/>
  <c r="AD64" i="6"/>
  <c r="N68" i="6"/>
  <c r="V3" i="6"/>
  <c r="AF11" i="6"/>
  <c r="N69" i="6"/>
  <c r="V29" i="6"/>
  <c r="AH69" i="6"/>
  <c r="L70" i="6"/>
  <c r="T30" i="6"/>
  <c r="AF70" i="6"/>
  <c r="AB6" i="6"/>
  <c r="Z4" i="6"/>
  <c r="X10" i="6"/>
  <c r="F20" i="6"/>
  <c r="T10" i="6"/>
  <c r="D27" i="6"/>
  <c r="F48" i="6"/>
  <c r="R48" i="6"/>
  <c r="AD27" i="6"/>
  <c r="AL4" i="6"/>
  <c r="N50" i="6"/>
  <c r="Z56" i="6"/>
  <c r="AJ29" i="6"/>
  <c r="V51" i="6"/>
  <c r="AF34" i="6"/>
  <c r="N27" i="6"/>
  <c r="AL8" i="6"/>
  <c r="N64" i="6"/>
  <c r="AF7" i="6"/>
  <c r="V23" i="6"/>
  <c r="J2" i="6"/>
  <c r="R45" i="6"/>
  <c r="AD49" i="6"/>
  <c r="L29" i="6"/>
  <c r="AD45" i="6"/>
  <c r="AB61" i="6"/>
  <c r="F4" i="6"/>
  <c r="V8" i="6"/>
  <c r="T12" i="6"/>
  <c r="N39" i="6"/>
  <c r="X3" i="6"/>
  <c r="V30" i="6"/>
  <c r="F10" i="6"/>
  <c r="D28" i="6"/>
  <c r="R28" i="6"/>
  <c r="X56" i="6"/>
  <c r="AL28" i="6"/>
  <c r="N46" i="6"/>
  <c r="AL10" i="6"/>
  <c r="J67" i="6"/>
  <c r="AF32" i="6"/>
  <c r="L25" i="6"/>
  <c r="X16" i="6"/>
  <c r="P21" i="6"/>
  <c r="AD39" i="6"/>
  <c r="N43" i="6"/>
  <c r="Z73" i="6"/>
  <c r="AL66" i="6"/>
  <c r="N57" i="6"/>
  <c r="V17" i="6"/>
  <c r="AH57" i="6"/>
  <c r="L42" i="6"/>
  <c r="T2" i="6"/>
  <c r="AF42" i="6"/>
  <c r="AF58" i="6"/>
  <c r="F2" i="6"/>
  <c r="R2" i="6"/>
  <c r="N2" i="6"/>
  <c r="J4" i="6"/>
  <c r="N48" i="6"/>
  <c r="AL20" i="6"/>
  <c r="Z24" i="6"/>
  <c r="X34" i="6"/>
  <c r="P45" i="6"/>
  <c r="AF29" i="6"/>
  <c r="AB17" i="6"/>
  <c r="AD61" i="6"/>
  <c r="AB31" i="6"/>
  <c r="AB34" i="6"/>
  <c r="AB7" i="6"/>
  <c r="F24" i="6"/>
  <c r="L46" i="6"/>
  <c r="X37" i="6"/>
  <c r="AJ10" i="6"/>
  <c r="N26" i="6"/>
  <c r="AL7" i="6"/>
  <c r="V27" i="6"/>
  <c r="L5" i="6"/>
  <c r="P16" i="6"/>
  <c r="AD19" i="6"/>
  <c r="N38" i="6"/>
  <c r="Z52" i="6"/>
  <c r="AJ62" i="6"/>
  <c r="N35" i="6"/>
  <c r="AH35" i="6"/>
  <c r="L36" i="6"/>
  <c r="AF36" i="6"/>
  <c r="AF52" i="6"/>
  <c r="J48" i="6"/>
  <c r="L9" i="6"/>
  <c r="AF3" i="6"/>
  <c r="AD46" i="6"/>
  <c r="H52" i="6"/>
  <c r="N8" i="6"/>
  <c r="AD51" i="6"/>
  <c r="D10" i="6"/>
  <c r="H58" i="6"/>
  <c r="X65" i="6"/>
  <c r="AH2" i="6"/>
  <c r="AF67" i="6"/>
  <c r="AJ7" i="6"/>
  <c r="N22" i="6"/>
  <c r="T25" i="6"/>
  <c r="AH9" i="6"/>
  <c r="F66" i="6"/>
  <c r="AB59" i="6"/>
  <c r="AB15" i="6"/>
  <c r="AL42" i="6"/>
  <c r="F69" i="6"/>
  <c r="N29" i="6"/>
  <c r="Z69" i="6"/>
  <c r="AH29" i="6"/>
  <c r="D70" i="6"/>
  <c r="L30" i="6"/>
  <c r="X70" i="6"/>
  <c r="AF30" i="6"/>
  <c r="AF46" i="6"/>
  <c r="Z9" i="6"/>
  <c r="H47" i="6"/>
  <c r="AB10" i="6"/>
  <c r="AF22" i="6"/>
  <c r="AH39" i="6"/>
  <c r="AB21" i="6"/>
  <c r="Z46" i="6"/>
  <c r="J56" i="6"/>
  <c r="AH64" i="6"/>
  <c r="L22" i="6"/>
  <c r="T5" i="6"/>
  <c r="AJ71" i="6"/>
  <c r="D62" i="6"/>
  <c r="P61" i="6"/>
  <c r="AD55" i="6"/>
  <c r="T71" i="6"/>
  <c r="N12" i="6"/>
  <c r="Z26" i="6"/>
  <c r="AJ38" i="6"/>
  <c r="F63" i="6"/>
  <c r="N23" i="6"/>
  <c r="Z63" i="6"/>
  <c r="AH23" i="6"/>
  <c r="D64" i="6"/>
  <c r="L24" i="6"/>
  <c r="X64" i="6"/>
  <c r="AF24" i="6"/>
  <c r="AF40" i="6"/>
  <c r="Z2" i="6"/>
  <c r="R4" i="6"/>
  <c r="T34" i="6"/>
  <c r="L31" i="6"/>
  <c r="P32" i="6"/>
  <c r="AJ61" i="6"/>
  <c r="X11" i="6"/>
  <c r="R39" i="6"/>
  <c r="AF25" i="6"/>
  <c r="AD5" i="6"/>
  <c r="AF27" i="6"/>
  <c r="AD22" i="6"/>
  <c r="X31" i="6"/>
  <c r="X32" i="6"/>
  <c r="T62" i="6"/>
  <c r="AF45" i="6"/>
  <c r="AL51" i="6"/>
  <c r="F61" i="6"/>
  <c r="AB37" i="6"/>
  <c r="AF71" i="6"/>
  <c r="F73" i="6"/>
  <c r="N7" i="6"/>
  <c r="X22" i="6"/>
  <c r="AL33" i="6"/>
  <c r="F57" i="6"/>
  <c r="N17" i="6"/>
  <c r="Z57" i="6"/>
  <c r="AH17" i="6"/>
  <c r="D42" i="6"/>
  <c r="L2" i="6"/>
  <c r="X42" i="6"/>
  <c r="AF2" i="6"/>
  <c r="AF18" i="6"/>
  <c r="P23" i="6"/>
  <c r="Z20" i="6"/>
  <c r="AF47" i="6"/>
  <c r="V61" i="6"/>
  <c r="AL27" i="6"/>
  <c r="AF61" i="6"/>
  <c r="H3" i="6"/>
  <c r="H7" i="6"/>
  <c r="X17" i="6"/>
  <c r="H25" i="6"/>
  <c r="AL56" i="6"/>
  <c r="J54" i="6"/>
  <c r="AH26" i="6"/>
  <c r="D61" i="6"/>
  <c r="AD54" i="6"/>
  <c r="L71" i="6"/>
  <c r="X61" i="6"/>
  <c r="D57" i="6"/>
  <c r="R38" i="6"/>
  <c r="T45" i="6"/>
  <c r="AH50" i="6"/>
  <c r="R66" i="6"/>
  <c r="AL13" i="6"/>
  <c r="F35" i="6"/>
  <c r="Z35" i="6"/>
  <c r="D36" i="6"/>
  <c r="X36" i="6"/>
  <c r="AF12" i="6"/>
  <c r="V20" i="6"/>
  <c r="D46" i="6"/>
  <c r="D47" i="6"/>
  <c r="D45" i="6"/>
  <c r="T46" i="6"/>
  <c r="AH45" i="6"/>
  <c r="AH51" i="6"/>
  <c r="AB62" i="6"/>
  <c r="P7" i="6"/>
  <c r="AL64" i="6"/>
  <c r="AF57" i="6"/>
  <c r="P10" i="6"/>
  <c r="N40" i="6"/>
  <c r="AB67" i="6"/>
  <c r="AL38" i="6"/>
  <c r="H34" i="6"/>
  <c r="AF23" i="6"/>
  <c r="AL67" i="6"/>
  <c r="F60" i="6"/>
  <c r="F56" i="6"/>
  <c r="P56" i="6"/>
  <c r="AB35" i="6"/>
  <c r="L51" i="6"/>
  <c r="X57" i="6"/>
  <c r="AL30" i="6"/>
  <c r="AD14" i="6"/>
  <c r="T40" i="6"/>
  <c r="AH46" i="6"/>
  <c r="R61" i="6"/>
  <c r="AJ9" i="6"/>
  <c r="F29" i="6"/>
  <c r="R69" i="6"/>
  <c r="Z29" i="6"/>
  <c r="AL69" i="6"/>
  <c r="D30" i="6"/>
  <c r="P70" i="6"/>
  <c r="X30" i="6"/>
  <c r="AJ70" i="6"/>
  <c r="AF6" i="6"/>
  <c r="V2" i="6"/>
  <c r="V6" i="6"/>
  <c r="AJ45" i="6"/>
  <c r="F27" i="6"/>
  <c r="T32" i="6"/>
  <c r="R51" i="6"/>
  <c r="N9" i="6"/>
  <c r="J30" i="6"/>
  <c r="AH4" i="6"/>
  <c r="AJ65" i="6"/>
  <c r="L47" i="6"/>
  <c r="Z38" i="6"/>
  <c r="AJ11" i="6"/>
  <c r="F12" i="6"/>
  <c r="T19" i="6"/>
  <c r="F26" i="6"/>
  <c r="R56" i="6"/>
  <c r="AD73" i="6"/>
  <c r="F23" i="6"/>
  <c r="R63" i="6"/>
  <c r="Z23" i="6"/>
  <c r="AL63" i="6"/>
  <c r="D24" i="6"/>
  <c r="P64" i="6"/>
  <c r="X24" i="6"/>
  <c r="AJ64" i="6"/>
  <c r="AJ80" i="6"/>
  <c r="X23" i="6"/>
  <c r="F9" i="6"/>
  <c r="AH10" i="6"/>
  <c r="AB22" i="6"/>
  <c r="N56" i="6"/>
  <c r="H10" i="6"/>
  <c r="AL45" i="6"/>
  <c r="AB32" i="6"/>
  <c r="L27" i="6"/>
  <c r="X19" i="6"/>
  <c r="AJ8" i="6"/>
  <c r="D8" i="6"/>
  <c r="F8" i="6"/>
  <c r="T14" i="6"/>
  <c r="AH21" i="6"/>
  <c r="F21" i="6"/>
  <c r="R36" i="6"/>
  <c r="F17" i="6"/>
  <c r="R57" i="6"/>
  <c r="Z17" i="6"/>
  <c r="AL57" i="6"/>
  <c r="D2" i="6"/>
  <c r="P42" i="6"/>
  <c r="X2" i="6"/>
  <c r="AJ42" i="6"/>
  <c r="X18" i="6"/>
  <c r="AJ58" i="6"/>
  <c r="AN82" i="6"/>
  <c r="N20" i="6"/>
  <c r="Z12" i="6"/>
  <c r="AB3" i="6"/>
  <c r="V40" i="6"/>
  <c r="N10" i="6"/>
  <c r="L41" i="6"/>
  <c r="AB23" i="6"/>
  <c r="J5" i="6"/>
  <c r="AL26" i="6"/>
  <c r="D32" i="6"/>
  <c r="P33" i="6"/>
  <c r="D12" i="6"/>
  <c r="R13" i="6"/>
  <c r="Z15" i="6"/>
  <c r="H68" i="6"/>
  <c r="T72" i="6"/>
  <c r="L59" i="6"/>
  <c r="T9" i="6"/>
  <c r="AF17" i="6"/>
  <c r="F16" i="6"/>
  <c r="AB49" i="6"/>
  <c r="R35" i="6"/>
  <c r="AL35" i="6"/>
  <c r="P36" i="6"/>
  <c r="AJ36" i="6"/>
  <c r="X12" i="6"/>
  <c r="AJ52" i="6"/>
</calcChain>
</file>

<file path=xl/sharedStrings.xml><?xml version="1.0" encoding="utf-8"?>
<sst xmlns="http://schemas.openxmlformats.org/spreadsheetml/2006/main" count="3139" uniqueCount="354">
  <si>
    <t>Ano</t>
  </si>
  <si>
    <t>Código IBGE</t>
  </si>
  <si>
    <t>REGIÃO DE SAÚDE</t>
  </si>
  <si>
    <t>MUNICIPIO</t>
  </si>
  <si>
    <t>TOTAL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</si>
  <si>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</si>
  <si>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</si>
  <si>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</si>
  <si>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</si>
  <si>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</si>
  <si>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</si>
  <si>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</si>
  <si>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</si>
  <si>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</si>
  <si>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</si>
  <si>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</si>
  <si>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</si>
  <si>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</si>
  <si>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</si>
  <si>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</si>
  <si>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</si>
  <si>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</si>
  <si>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</si>
  <si>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</si>
  <si>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</si>
  <si>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</si>
  <si>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</si>
  <si>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</si>
  <si>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</si>
  <si>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BOM JESUS DO TOCANTINS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</si>
  <si>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</si>
  <si>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</si>
  <si>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</si>
  <si>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</si>
  <si>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</si>
  <si>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</si>
  <si>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</si>
  <si>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</si>
  <si>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</si>
  <si>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</si>
  <si>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</si>
  <si>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</si>
  <si>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</si>
  <si>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</si>
  <si>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</si>
  <si>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</si>
  <si>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</si>
  <si>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</si>
  <si>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</si>
  <si>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</si>
  <si>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</si>
  <si>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</si>
  <si>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</si>
  <si>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</si>
  <si>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</si>
  <si>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</si>
  <si>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</si>
  <si>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</si>
  <si>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</si>
  <si>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</si>
  <si>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</si>
  <si>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</si>
  <si>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</si>
  <si>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</si>
  <si>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</si>
  <si>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</si>
  <si>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</si>
  <si>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</si>
  <si>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</si>
  <si>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</si>
  <si>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</si>
  <si>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</si>
  <si>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</si>
  <si>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</si>
  <si>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</si>
  <si>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</si>
  <si>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</si>
  <si>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</si>
  <si>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</si>
  <si>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</si>
  <si>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</si>
  <si>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</si>
  <si>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</si>
  <si>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</si>
  <si>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</si>
  <si>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</si>
  <si>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</si>
  <si>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</si>
  <si>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</si>
  <si>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</si>
  <si>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</si>
  <si>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</si>
  <si>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PALMAS</t>
  </si>
  <si>
    <t>PALMEIRANTE</t>
  </si>
  <si>
    <t>PALMEIRAS DO TOCANTINS</t>
  </si>
  <si>
    <t>PALMEIROPOLIS</t>
  </si>
  <si>
    <t>PARAISO DO TOCANTINS</t>
  </si>
  <si>
    <t>PARANA</t>
  </si>
  <si>
    <t>PAU D'ARCO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</si>
  <si>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</si>
  <si>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</si>
  <si>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</si>
  <si>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</si>
  <si>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</si>
  <si>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</si>
  <si>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</si>
  <si>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</si>
  <si>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</si>
  <si>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</si>
  <si>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</si>
  <si>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</si>
  <si>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</si>
  <si>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</si>
  <si>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</si>
  <si>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</si>
  <si>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</si>
  <si>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</si>
  <si>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</si>
  <si>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</si>
  <si>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</si>
  <si>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</si>
  <si>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</si>
  <si>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</si>
  <si>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</si>
  <si>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</si>
  <si>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</si>
  <si>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</si>
  <si>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</si>
  <si>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</si>
  <si>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</si>
  <si>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</si>
  <si>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</si>
  <si>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</si>
  <si>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</si>
  <si>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TABOCAO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</si>
  <si>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</si>
  <si>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</si>
  <si>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</si>
  <si>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</si>
  <si>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</si>
  <si>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</si>
  <si>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</si>
  <si>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</si>
  <si>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</si>
  <si>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Cantão</t>
  </si>
  <si>
    <t>Bico do Papagaio</t>
  </si>
  <si>
    <t>Ilha do Bananal</t>
  </si>
  <si>
    <t>Sudeste</t>
  </si>
  <si>
    <t>Capim Dourado</t>
  </si>
  <si>
    <t>Médio Norte Araguaia</t>
  </si>
  <si>
    <t>Cerrado Tocantins Araguaia</t>
  </si>
  <si>
    <t>Amor Perfeito</t>
  </si>
  <si>
    <t>IBGE</t>
  </si>
  <si>
    <t>MACRORREGIÃO</t>
  </si>
  <si>
    <t>Municipios</t>
  </si>
  <si>
    <t>Novas Regionais de Saúde</t>
  </si>
  <si>
    <t>Brejinho de Nazaré</t>
  </si>
  <si>
    <t>Chapada da Natividade</t>
  </si>
  <si>
    <t>Fátima</t>
  </si>
  <si>
    <t>Ipueiras</t>
  </si>
  <si>
    <t>Mateiros</t>
  </si>
  <si>
    <t>Monte do Carmo</t>
  </si>
  <si>
    <t>Natividade</t>
  </si>
  <si>
    <t>Pindorama do Tocantins</t>
  </si>
  <si>
    <t>Ponte Alta do Tocantins</t>
  </si>
  <si>
    <t>Porto Nacional</t>
  </si>
  <si>
    <t>Santa Rosa do Tocantins</t>
  </si>
  <si>
    <t>Silvanópolis</t>
  </si>
  <si>
    <t>Oliveira de Fátima</t>
  </si>
  <si>
    <t>ARAGUAÍNA</t>
  </si>
  <si>
    <t>Araguatins</t>
  </si>
  <si>
    <t>Augustinópolis</t>
  </si>
  <si>
    <t>Axixá do Tocantins</t>
  </si>
  <si>
    <t>Buriti do Tocantins</t>
  </si>
  <si>
    <t>Carrasco Bonito</t>
  </si>
  <si>
    <t>Esperantina</t>
  </si>
  <si>
    <t>Itaguatins</t>
  </si>
  <si>
    <t>Maurilândia do Tocantins</t>
  </si>
  <si>
    <t>Praia Norte</t>
  </si>
  <si>
    <t>Sampaio</t>
  </si>
  <si>
    <t>São Bento do Tocantins</t>
  </si>
  <si>
    <t>São Miguel do Tocantins</t>
  </si>
  <si>
    <t>São Sebastião do Tocantins</t>
  </si>
  <si>
    <t>Sítio Novo do Tocantins</t>
  </si>
  <si>
    <t>Aguiarnópolis</t>
  </si>
  <si>
    <t>Luzinópolis</t>
  </si>
  <si>
    <t>Nazaré</t>
  </si>
  <si>
    <t>Palmeiras do Tocantins</t>
  </si>
  <si>
    <t>Santa Terezinha do Tocantins</t>
  </si>
  <si>
    <t>Tocantinópolis</t>
  </si>
  <si>
    <t>Ananás</t>
  </si>
  <si>
    <t>Angico</t>
  </si>
  <si>
    <t>Cachoeirinha</t>
  </si>
  <si>
    <t>Riachinho</t>
  </si>
  <si>
    <t>Abreulândia</t>
  </si>
  <si>
    <t>Araguacema</t>
  </si>
  <si>
    <t>Barrolândia</t>
  </si>
  <si>
    <t>Caseara</t>
  </si>
  <si>
    <t>Chapada de Areia</t>
  </si>
  <si>
    <t>Cristalândia</t>
  </si>
  <si>
    <t>Divinópolis do Tocantins</t>
  </si>
  <si>
    <t>Dois Irmãos do Tocantins</t>
  </si>
  <si>
    <t>Lagoa da Confusão</t>
  </si>
  <si>
    <t>Marianópolis do Tocantins</t>
  </si>
  <si>
    <t>Monte Santo do Tocantins</t>
  </si>
  <si>
    <t>Nova Rosalândia</t>
  </si>
  <si>
    <t>Paraíso do Tocantins</t>
  </si>
  <si>
    <t>Pium</t>
  </si>
  <si>
    <t>Pugmil</t>
  </si>
  <si>
    <t>Aparecida do Rio Negro</t>
  </si>
  <si>
    <t>Lagoa do Tocantins</t>
  </si>
  <si>
    <t>Lajeado</t>
  </si>
  <si>
    <t>Lizarda</t>
  </si>
  <si>
    <t>Novo Acordo</t>
  </si>
  <si>
    <t>Palmas</t>
  </si>
  <si>
    <t>Santa Tereza do Tocantins</t>
  </si>
  <si>
    <t>São Félix do Tocantins</t>
  </si>
  <si>
    <t>Miracema do Tocantins</t>
  </si>
  <si>
    <t>Miranorte</t>
  </si>
  <si>
    <t>Rio dos Bois</t>
  </si>
  <si>
    <t>Rio Sono</t>
  </si>
  <si>
    <t>Tocantínia</t>
  </si>
  <si>
    <t>Arapoema</t>
  </si>
  <si>
    <t>Bandeirantes do Tocantins</t>
  </si>
  <si>
    <t>Bernardo Sayão</t>
  </si>
  <si>
    <t>Brasilândia do Tocantins</t>
  </si>
  <si>
    <t>Colinas do Tocantins</t>
  </si>
  <si>
    <t>Colméia</t>
  </si>
  <si>
    <t>Couto Magalhães</t>
  </si>
  <si>
    <t>Itapiratins</t>
  </si>
  <si>
    <t>Juarina</t>
  </si>
  <si>
    <t>Palmeirante</t>
  </si>
  <si>
    <t>Tupiratins</t>
  </si>
  <si>
    <t>Goianorte</t>
  </si>
  <si>
    <t>Guaraí</t>
  </si>
  <si>
    <t>Itacajá</t>
  </si>
  <si>
    <t>Itaporã do Tocantins</t>
  </si>
  <si>
    <t>Pequizeiro</t>
  </si>
  <si>
    <t>Presidente Kennedy</t>
  </si>
  <si>
    <t>Bom Jesus do Tocantins</t>
  </si>
  <si>
    <t>Centenário</t>
  </si>
  <si>
    <t>Pedro Afonso</t>
  </si>
  <si>
    <t>Recursolândia</t>
  </si>
  <si>
    <t>Santa Maria do Tocantins</t>
  </si>
  <si>
    <t>Tupirama</t>
  </si>
  <si>
    <t>Em Branco</t>
  </si>
  <si>
    <t>Aliança do Tocantins</t>
  </si>
  <si>
    <t>Alvorada</t>
  </si>
  <si>
    <t>Araguaçu</t>
  </si>
  <si>
    <t>Cariri do Tocantins</t>
  </si>
  <si>
    <t>Crixás do Tocantins</t>
  </si>
  <si>
    <t>Dueré</t>
  </si>
  <si>
    <t>Figueirópolis</t>
  </si>
  <si>
    <t>Formoso do Araguaia</t>
  </si>
  <si>
    <t>Gurupi</t>
  </si>
  <si>
    <t>Jaú do Tocantins</t>
  </si>
  <si>
    <t>Palmeirópolis</t>
  </si>
  <si>
    <t>Peixe</t>
  </si>
  <si>
    <t>Sandolândia</t>
  </si>
  <si>
    <t>Santa Rita do Tocantins</t>
  </si>
  <si>
    <t>São Salvador do Tocantins</t>
  </si>
  <si>
    <t>São Valério da Natividade</t>
  </si>
  <si>
    <t>Sucupira</t>
  </si>
  <si>
    <t>Talismã</t>
  </si>
  <si>
    <t>Aragominas</t>
  </si>
  <si>
    <t>Araguaína</t>
  </si>
  <si>
    <t>Babaçulândia</t>
  </si>
  <si>
    <t>Barra do Ouro</t>
  </si>
  <si>
    <t>Campos Lindos</t>
  </si>
  <si>
    <t>Carmolândia</t>
  </si>
  <si>
    <t>Filadélfia</t>
  </si>
  <si>
    <t>Goiatins</t>
  </si>
  <si>
    <t>Muricilândia</t>
  </si>
  <si>
    <t>Nova Olinda</t>
  </si>
  <si>
    <t>Pau D'Arco</t>
  </si>
  <si>
    <t>Santa Fé do Araguaia</t>
  </si>
  <si>
    <t>Wanderlândia</t>
  </si>
  <si>
    <t>Xambioá</t>
  </si>
  <si>
    <t>Araguanã</t>
  </si>
  <si>
    <t>Piraquê</t>
  </si>
  <si>
    <t>Darcinópolis</t>
  </si>
  <si>
    <t>Almas</t>
  </si>
  <si>
    <t>Arraias</t>
  </si>
  <si>
    <t>Aurora do Tocantins</t>
  </si>
  <si>
    <t>Combinado</t>
  </si>
  <si>
    <t>Conceição do Tocantins</t>
  </si>
  <si>
    <t>Dianópolis</t>
  </si>
  <si>
    <t>Lavandeira</t>
  </si>
  <si>
    <t>Novo Alegre</t>
  </si>
  <si>
    <t>Novo Jardim</t>
  </si>
  <si>
    <t>Paranã</t>
  </si>
  <si>
    <t>Ponte Alta do Bom Jesus</t>
  </si>
  <si>
    <t>Porto Alegre do Tocantins</t>
  </si>
  <si>
    <t>Rio da Conceição</t>
  </si>
  <si>
    <t>Taguatinga</t>
  </si>
  <si>
    <t>Taipas do Tocantins</t>
  </si>
  <si>
    <t>AMBI</t>
  </si>
  <si>
    <t>AMBI2</t>
  </si>
  <si>
    <t>ABI</t>
  </si>
  <si>
    <t>ABI2</t>
  </si>
  <si>
    <t>AAI</t>
  </si>
  <si>
    <t>AAI2</t>
  </si>
  <si>
    <t>MA</t>
  </si>
  <si>
    <t>MA2</t>
  </si>
  <si>
    <t>M</t>
  </si>
  <si>
    <t>M2</t>
  </si>
  <si>
    <t>E</t>
  </si>
  <si>
    <t>E2</t>
  </si>
  <si>
    <t>S</t>
  </si>
  <si>
    <t>S2</t>
  </si>
  <si>
    <t>O</t>
  </si>
  <si>
    <t>O2</t>
  </si>
  <si>
    <t>OG</t>
  </si>
  <si>
    <t>OG2</t>
  </si>
  <si>
    <t>AMBI_PBF</t>
  </si>
  <si>
    <t>AMBI_PBF2</t>
  </si>
  <si>
    <t>ABI_PBF2</t>
  </si>
  <si>
    <t>ABI_PBF</t>
  </si>
  <si>
    <t>AAI_PBF</t>
  </si>
  <si>
    <t>AAI_PBF2</t>
  </si>
  <si>
    <t>MA_PBF</t>
  </si>
  <si>
    <t>MA_PBF2</t>
  </si>
  <si>
    <t>M_PBF</t>
  </si>
  <si>
    <t>M_PBF2</t>
  </si>
  <si>
    <t>E_PBF</t>
  </si>
  <si>
    <t>E_PBF2</t>
  </si>
  <si>
    <t>S_PBF</t>
  </si>
  <si>
    <t>S_PBF2</t>
  </si>
  <si>
    <t>O_PBF</t>
  </si>
  <si>
    <t>O_PBF2</t>
  </si>
  <si>
    <t>OG_PBF</t>
  </si>
  <si>
    <t>OG_PBF2</t>
  </si>
  <si>
    <t>TOTAL_PBF</t>
  </si>
  <si>
    <t>Total Geral</t>
  </si>
  <si>
    <t>2015</t>
  </si>
  <si>
    <t>2016</t>
  </si>
  <si>
    <t>2017</t>
  </si>
  <si>
    <t>2018</t>
  </si>
  <si>
    <t>2019</t>
  </si>
  <si>
    <t>2020</t>
  </si>
  <si>
    <t>2021</t>
  </si>
  <si>
    <t>2024</t>
  </si>
  <si>
    <t>Tabocão</t>
  </si>
  <si>
    <t>população</t>
  </si>
  <si>
    <t>Município</t>
  </si>
  <si>
    <t>2022</t>
  </si>
  <si>
    <t>2023</t>
  </si>
  <si>
    <t>FORTALEZA DO TABOCAO</t>
  </si>
  <si>
    <t>Região de Saúde</t>
  </si>
  <si>
    <t>Tocantins</t>
  </si>
  <si>
    <t>TO</t>
  </si>
  <si>
    <t>População atendida SISVAN</t>
  </si>
  <si>
    <t>Cobertura SISVAN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</si>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</sst>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5">
    <xf numFmtId="0" fontId="0" fillId="0" borderId="0"/>
    <xf numFmtId="9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1" fillId="0" borderId="9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10" applyNumberFormat="0" applyAlignment="0" applyProtection="0"/>
    <xf numFmtId="0" fontId="16" fillId="6" borderId="11" applyNumberFormat="0" applyAlignment="0" applyProtection="0"/>
    <xf numFmtId="0" fontId="17" fillId="6" borderId="10" applyNumberFormat="0" applyAlignment="0" applyProtection="0"/>
    <xf numFmtId="0" fontId="18" fillId="0" borderId="12" applyNumberFormat="0" applyFill="0" applyAlignment="0" applyProtection="0"/>
    <xf numFmtId="0" fontId="19" fillId="7" borderId="13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5" applyNumberFormat="0" applyFill="0" applyAlignment="0" applyProtection="0"/>
    <xf numFmtId="0" fontId="23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3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3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3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3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3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14" applyNumberFormat="0" applyFont="0" applyAlignment="0" applyProtection="0"/>
    <xf numFmtId="0" fontId="27" fillId="0" borderId="0" applyNumberFormat="0" applyFill="0" applyBorder="0" applyAlignment="0" applyProtection="0"/>
  </cellStyleXfs>
  <cellXfs count="45">
    <xf numFmtId="0" fontId="0" fillId="0" borderId="0" xfId="0"/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6" xfId="0" applyFont="1" applyBorder="1" applyAlignment="1">
      <alignment horizontal="right"/>
    </xf>
    <xf numFmtId="0" fontId="7" fillId="0" borderId="1" xfId="0" applyFont="1" applyBorder="1"/>
    <xf numFmtId="0" fontId="0" fillId="0" borderId="0" xfId="0" applyNumberFormat="1"/>
    <xf numFmtId="0" fontId="4" fillId="0" borderId="0" xfId="0" applyNumberFormat="1" applyFont="1"/>
    <xf numFmtId="0" fontId="3" fillId="0" borderId="16" xfId="0" applyNumberFormat="1" applyFont="1" applyBorder="1" applyAlignment="1">
      <alignment vertical="center" wrapText="1"/>
    </xf>
    <xf numFmtId="0" fontId="5" fillId="0" borderId="5" xfId="0" applyNumberFormat="1" applyFont="1" applyBorder="1" applyAlignment="1">
      <alignment horizontal="center" wrapText="1"/>
    </xf>
    <xf numFmtId="10" fontId="0" fillId="0" borderId="0" xfId="0" applyNumberFormat="1"/>
    <xf numFmtId="0" fontId="24" fillId="0" borderId="5" xfId="0" applyNumberFormat="1" applyFont="1" applyBorder="1" applyAlignment="1">
      <alignment wrapText="1"/>
    </xf>
    <xf numFmtId="10" fontId="24" fillId="0" borderId="5" xfId="0" applyNumberFormat="1" applyFont="1" applyBorder="1" applyAlignment="1">
      <alignment wrapText="1"/>
    </xf>
    <xf numFmtId="0" fontId="24" fillId="0" borderId="16" xfId="0" applyNumberFormat="1" applyFont="1" applyBorder="1" applyAlignment="1">
      <alignment wrapText="1"/>
    </xf>
    <xf numFmtId="3" fontId="26" fillId="0" borderId="3" xfId="0" applyNumberFormat="1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0" fillId="0" borderId="0" xfId="0" applyAlignment="1">
      <alignment horizontal="left"/>
    </xf>
    <xf numFmtId="0" fontId="22" fillId="33" borderId="18" xfId="0" applyFont="1" applyFill="1" applyBorder="1"/>
    <xf numFmtId="0" fontId="22" fillId="33" borderId="0" xfId="0" applyFont="1" applyFill="1" applyBorder="1"/>
    <xf numFmtId="0" fontId="6" fillId="33" borderId="0" xfId="0" applyFont="1" applyFill="1"/>
    <xf numFmtId="0" fontId="6" fillId="33" borderId="19" xfId="0" applyFont="1" applyFill="1" applyBorder="1" applyAlignment="1">
      <alignment horizontal="left"/>
    </xf>
    <xf numFmtId="0" fontId="6" fillId="33" borderId="19" xfId="0" applyNumberFormat="1" applyFont="1" applyFill="1" applyBorder="1"/>
    <xf numFmtId="0" fontId="5" fillId="0" borderId="0" xfId="0" applyNumberFormat="1" applyFont="1" applyAlignment="1">
      <alignment wrapText="1"/>
    </xf>
    <xf numFmtId="0" fontId="6" fillId="33" borderId="18" xfId="0" applyFont="1" applyFill="1" applyBorder="1"/>
    <xf numFmtId="0" fontId="0" fillId="0" borderId="17" xfId="0" applyBorder="1"/>
    <xf numFmtId="0" fontId="22" fillId="0" borderId="17" xfId="0" applyFont="1" applyBorder="1"/>
    <xf numFmtId="0" fontId="0" fillId="0" borderId="17" xfId="0" applyBorder="1" applyAlignment="1">
      <alignment horizontal="left"/>
    </xf>
    <xf numFmtId="0" fontId="0" fillId="0" borderId="17" xfId="0" applyFont="1" applyBorder="1" applyAlignment="1">
      <alignment horizontal="left"/>
    </xf>
    <xf numFmtId="9" fontId="0" fillId="0" borderId="17" xfId="1" applyFont="1" applyBorder="1" applyAlignment="1">
      <alignment horizontal="center" vertical="center"/>
    </xf>
    <xf numFmtId="0" fontId="1" fillId="0" borderId="17" xfId="0" applyFont="1" applyBorder="1"/>
    <xf numFmtId="9" fontId="0" fillId="0" borderId="0" xfId="0" applyNumberFormat="1"/>
    <xf numFmtId="0" fontId="28" fillId="0" borderId="17" xfId="0" applyNumberFormat="1" applyFont="1" applyBorder="1" applyAlignment="1">
      <alignment horizontal="left" vertical="center"/>
    </xf>
    <xf numFmtId="0" fontId="26" fillId="0" borderId="17" xfId="0" applyNumberFormat="1" applyFont="1" applyBorder="1" applyAlignment="1">
      <alignment horizontal="left" vertical="center"/>
    </xf>
    <xf numFmtId="0" fontId="28" fillId="0" borderId="17" xfId="0" applyNumberFormat="1" applyFont="1" applyBorder="1" applyAlignment="1">
      <alignment horizontal="right" vertical="center"/>
    </xf>
    <xf numFmtId="10" fontId="28" fillId="0" borderId="17" xfId="0" applyNumberFormat="1" applyFont="1" applyBorder="1" applyAlignment="1">
      <alignment horizontal="right" vertical="center"/>
    </xf>
    <xf numFmtId="0" fontId="26" fillId="0" borderId="17" xfId="0" applyNumberFormat="1" applyFont="1" applyBorder="1" applyAlignment="1">
      <alignment horizontal="right" vertical="center"/>
    </xf>
    <xf numFmtId="0" fontId="26" fillId="0" borderId="3" xfId="42" applyFont="1" applyBorder="1" applyAlignment="1">
      <alignment horizontal="right" vertical="center"/>
    </xf>
    <xf numFmtId="3" fontId="26" fillId="0" borderId="3" xfId="42" applyNumberFormat="1" applyFont="1" applyBorder="1" applyAlignment="1">
      <alignment horizontal="right" vertical="center"/>
    </xf>
    <xf numFmtId="0" fontId="26" fillId="0" borderId="17" xfId="42" applyFont="1" applyBorder="1" applyAlignment="1">
      <alignment horizontal="right" vertical="center"/>
    </xf>
    <xf numFmtId="3" fontId="26" fillId="0" borderId="17" xfId="42" applyNumberFormat="1" applyFont="1" applyBorder="1" applyAlignment="1">
      <alignment horizontal="right" vertical="center"/>
    </xf>
    <xf numFmtId="0" fontId="3" fillId="0" borderId="16" xfId="0" applyNumberFormat="1" applyFont="1" applyBorder="1" applyAlignment="1">
      <alignment horizontal="left" vertical="center" wrapText="1"/>
    </xf>
    <xf numFmtId="0" fontId="6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Hiperlink 2" xfId="44"/>
    <cellStyle name="Incorreto" xfId="8" builtinId="27" customBuiltin="1"/>
    <cellStyle name="Neutra" xfId="9" builtinId="28" customBuiltin="1"/>
    <cellStyle name="Normal" xfId="0" builtinId="0"/>
    <cellStyle name="Normal 2" xfId="42"/>
    <cellStyle name="Nota 2" xfId="43"/>
    <cellStyle name="Porcentagem" xfId="1" builtinId="5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89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população!$P$30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população!$Q$30:$Z$30</c:f>
              <c:numCache>
                <c:formatCode>0%</c:formatCode>
                <c:ptCount val="10"/>
                <c:pt idx="0">
                  <c:v>0.41345182791355284</c:v>
                </c:pt>
                <c:pt idx="1">
                  <c:v>0.42552540297898389</c:v>
                </c:pt>
                <c:pt idx="2">
                  <c:v>0.42312813684318346</c:v>
                </c:pt>
                <c:pt idx="3">
                  <c:v>0.57119358486686544</c:v>
                </c:pt>
                <c:pt idx="4">
                  <c:v>0.6237389334980441</c:v>
                </c:pt>
                <c:pt idx="5">
                  <c:v>0.1211595386342758</c:v>
                </c:pt>
                <c:pt idx="6">
                  <c:v>0.30385556915544676</c:v>
                </c:pt>
                <c:pt idx="7">
                  <c:v>0.65360277607675032</c:v>
                </c:pt>
                <c:pt idx="8">
                  <c:v>0.75058346017250122</c:v>
                </c:pt>
                <c:pt idx="9">
                  <c:v>0.69272727272727275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população!$P$31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população!$Q$31:$Z$31</c:f>
              <c:numCache>
                <c:formatCode>0%</c:formatCode>
                <c:ptCount val="10"/>
                <c:pt idx="0">
                  <c:v>0.54395547232625885</c:v>
                </c:pt>
                <c:pt idx="1">
                  <c:v>0.5143725667964375</c:v>
                </c:pt>
                <c:pt idx="2">
                  <c:v>0.59056573012336289</c:v>
                </c:pt>
                <c:pt idx="3">
                  <c:v>0.68676364843188231</c:v>
                </c:pt>
                <c:pt idx="4">
                  <c:v>0.65721186250280839</c:v>
                </c:pt>
                <c:pt idx="5">
                  <c:v>0.27390370705244121</c:v>
                </c:pt>
                <c:pt idx="6">
                  <c:v>0.51433476394849786</c:v>
                </c:pt>
                <c:pt idx="7">
                  <c:v>0.75409265064437481</c:v>
                </c:pt>
                <c:pt idx="8">
                  <c:v>0.75996488147497809</c:v>
                </c:pt>
                <c:pt idx="9">
                  <c:v>0.77764650283553871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população!$P$32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população!$Q$32:$Z$32</c:f>
              <c:numCache>
                <c:formatCode>0%</c:formatCode>
                <c:ptCount val="10"/>
                <c:pt idx="0">
                  <c:v>0.39601277460563244</c:v>
                </c:pt>
                <c:pt idx="1">
                  <c:v>0.32809876543209876</c:v>
                </c:pt>
                <c:pt idx="2">
                  <c:v>0.4015755883526127</c:v>
                </c:pt>
                <c:pt idx="3">
                  <c:v>0.45438139161820734</c:v>
                </c:pt>
                <c:pt idx="4">
                  <c:v>0.42982982982982981</c:v>
                </c:pt>
                <c:pt idx="5">
                  <c:v>0.19667590027700832</c:v>
                </c:pt>
                <c:pt idx="6">
                  <c:v>0.28634708140565018</c:v>
                </c:pt>
                <c:pt idx="7">
                  <c:v>0.56645694062131335</c:v>
                </c:pt>
                <c:pt idx="8">
                  <c:v>0.6336286632265602</c:v>
                </c:pt>
                <c:pt idx="9">
                  <c:v>0.59200231816864679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população!$P$33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população!$Q$33:$Z$33</c:f>
              <c:numCache>
                <c:formatCode>0%</c:formatCode>
                <c:ptCount val="10"/>
                <c:pt idx="0">
                  <c:v>0.28959042608067675</c:v>
                </c:pt>
                <c:pt idx="1">
                  <c:v>0.42652773479143025</c:v>
                </c:pt>
                <c:pt idx="2">
                  <c:v>0.43925137715126422</c:v>
                </c:pt>
                <c:pt idx="3">
                  <c:v>0.42007574465181341</c:v>
                </c:pt>
                <c:pt idx="4">
                  <c:v>0.42118880642745282</c:v>
                </c:pt>
                <c:pt idx="5">
                  <c:v>0.17009962304792675</c:v>
                </c:pt>
                <c:pt idx="6">
                  <c:v>0.20877392584660687</c:v>
                </c:pt>
                <c:pt idx="7">
                  <c:v>0.4398774232229698</c:v>
                </c:pt>
                <c:pt idx="8">
                  <c:v>0.48170711842319597</c:v>
                </c:pt>
                <c:pt idx="9">
                  <c:v>0.48466475312026319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população!$P$34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população!$Q$34:$Z$34</c:f>
              <c:numCache>
                <c:formatCode>0%</c:formatCode>
                <c:ptCount val="10"/>
                <c:pt idx="0">
                  <c:v>0.55642113382182801</c:v>
                </c:pt>
                <c:pt idx="1">
                  <c:v>0.44724135201456505</c:v>
                </c:pt>
                <c:pt idx="2">
                  <c:v>0.47101449275362317</c:v>
                </c:pt>
                <c:pt idx="3">
                  <c:v>0.54572921770373994</c:v>
                </c:pt>
                <c:pt idx="4">
                  <c:v>0.57069958847736624</c:v>
                </c:pt>
                <c:pt idx="5">
                  <c:v>0.19085977313825414</c:v>
                </c:pt>
                <c:pt idx="6">
                  <c:v>0.26302319821679188</c:v>
                </c:pt>
                <c:pt idx="7">
                  <c:v>0.56154357950765132</c:v>
                </c:pt>
                <c:pt idx="8">
                  <c:v>0.5972522897585345</c:v>
                </c:pt>
                <c:pt idx="9">
                  <c:v>0.63080256688057335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população!$P$35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população!$Q$35:$Z$35</c:f>
              <c:numCache>
                <c:formatCode>0%</c:formatCode>
                <c:ptCount val="10"/>
                <c:pt idx="0">
                  <c:v>0.4592742226390592</c:v>
                </c:pt>
                <c:pt idx="1">
                  <c:v>0.38460968196308104</c:v>
                </c:pt>
                <c:pt idx="2">
                  <c:v>0.38597680373550236</c:v>
                </c:pt>
                <c:pt idx="3">
                  <c:v>0.5047248894985521</c:v>
                </c:pt>
                <c:pt idx="4">
                  <c:v>0.43427301976405697</c:v>
                </c:pt>
                <c:pt idx="5">
                  <c:v>0.17911811743203107</c:v>
                </c:pt>
                <c:pt idx="6">
                  <c:v>0.32634228187919462</c:v>
                </c:pt>
                <c:pt idx="7">
                  <c:v>0.50520116261281933</c:v>
                </c:pt>
                <c:pt idx="8">
                  <c:v>0.56718464351005482</c:v>
                </c:pt>
                <c:pt idx="9">
                  <c:v>0.61681106551147591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população!$P$36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população!$Q$36:$Z$36</c:f>
              <c:numCache>
                <c:formatCode>0%</c:formatCode>
                <c:ptCount val="10"/>
                <c:pt idx="0">
                  <c:v>0.40013312809418811</c:v>
                </c:pt>
                <c:pt idx="1">
                  <c:v>0.39271957671957675</c:v>
                </c:pt>
                <c:pt idx="2">
                  <c:v>0.46356993290885007</c:v>
                </c:pt>
                <c:pt idx="3">
                  <c:v>0.4979760571871501</c:v>
                </c:pt>
                <c:pt idx="4">
                  <c:v>0.44770380610878302</c:v>
                </c:pt>
                <c:pt idx="5">
                  <c:v>0.15781330582774625</c:v>
                </c:pt>
                <c:pt idx="6">
                  <c:v>0.32659469224482773</c:v>
                </c:pt>
                <c:pt idx="7">
                  <c:v>0.5427166033828098</c:v>
                </c:pt>
                <c:pt idx="8">
                  <c:v>0.59204706488598791</c:v>
                </c:pt>
                <c:pt idx="9">
                  <c:v>0.63317596566523604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população!$P$37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população!$Q$37:$Z$37</c:f>
              <c:numCache>
                <c:formatCode>0%</c:formatCode>
                <c:ptCount val="10"/>
                <c:pt idx="0">
                  <c:v>0.55638000243279406</c:v>
                </c:pt>
                <c:pt idx="1">
                  <c:v>0.53403800176167104</c:v>
                </c:pt>
                <c:pt idx="2">
                  <c:v>0.57859358841778696</c:v>
                </c:pt>
                <c:pt idx="3">
                  <c:v>0.62591362126245842</c:v>
                </c:pt>
                <c:pt idx="4">
                  <c:v>0.59586338277316642</c:v>
                </c:pt>
                <c:pt idx="5">
                  <c:v>0.2275176129299627</c:v>
                </c:pt>
                <c:pt idx="6">
                  <c:v>0.34937208974178074</c:v>
                </c:pt>
                <c:pt idx="7">
                  <c:v>0.67889113485417263</c:v>
                </c:pt>
                <c:pt idx="8">
                  <c:v>0.66266119577960136</c:v>
                </c:pt>
                <c:pt idx="9">
                  <c:v>0.71434944237918219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população!$P$38</c:f>
              <c:strCache>
                <c:ptCount val="1"/>
                <c:pt idx="0">
                  <c:v>Tocantins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população!$Q$38:$Z$38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0.42965779467680609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0711936"/>
        <c:axId val="218687168"/>
      </c:lineChart>
      <c:catAx>
        <c:axId val="220711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8687168"/>
        <c:crosses val="autoZero"/>
        <c:auto val="1"/>
        <c:lblAlgn val="ctr"/>
        <c:lblOffset val="100"/>
        <c:noMultiLvlLbl val="0"/>
      </c:catAx>
      <c:valAx>
        <c:axId val="218687168"/>
        <c:scaling>
          <c:orientation val="minMax"/>
          <c:max val="0.85000000000000009"/>
          <c:min val="0.1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207119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141</xdr:row>
      <xdr:rowOff>0</xdr:rowOff>
    </xdr:from>
    <xdr:ext cx="180975" cy="14287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3" name="image1.png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4" name="image1.png">
          <a:extLst>
            <a:ext uri="{FF2B5EF4-FFF2-40B4-BE49-F238E27FC236}">
              <a16:creationId xmlns=""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41</xdr:row>
      <xdr:rowOff>0</xdr:rowOff>
    </xdr:from>
    <xdr:to>
      <xdr:col>19</xdr:col>
      <xdr:colOff>371475</xdr:colOff>
      <xdr:row>61</xdr:row>
      <xdr:rowOff>95250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ela2" displayName="Tabela2" ref="A1:AP1391" totalsRowShown="0" headerRowDxfId="88" dataDxfId="87" tableBorderDxfId="86">
  <autoFilter ref="A1:AP1391"/>
  <tableColumns count="42">
    <tableColumn id="1" name="Ano" dataDxfId="85"/>
    <tableColumn id="2" name="Código IBGE" dataDxfId="84"/>
    <tableColumn id="3" name="REGIÃO DE SAÚDE" dataDxfId="83"/>
    <tableColumn id="4" name="MUNICIPIO" dataDxfId="82"/>
    <tableColumn id="13" name="AMBI" dataDxfId="81"/>
    <tableColumn id="14" name="AMBI2" dataDxfId="80">
      <calculatedColumnFormula>IFERROR(E2/$AO2,0)</calculatedColumnFormula>
    </tableColumn>
    <tableColumn id="40" name="AMBI_PBF" dataDxfId="79"/>
    <tableColumn id="41" name="AMBI_PBF2" dataDxfId="78">
      <calculatedColumnFormula>IFERROR(G2/$AP2,0)</calculatedColumnFormula>
    </tableColumn>
    <tableColumn id="15" name="ABI" dataDxfId="77"/>
    <tableColumn id="16" name="ABI2" dataDxfId="76">
      <calculatedColumnFormula>IFERROR(I2/$AO2,0)</calculatedColumnFormula>
    </tableColumn>
    <tableColumn id="42" name="ABI_PBF" dataDxfId="75"/>
    <tableColumn id="43" name="ABI_PBF2" dataDxfId="74">
      <calculatedColumnFormula>IFERROR(K2/$AP2,0)</calculatedColumnFormula>
    </tableColumn>
    <tableColumn id="17" name="AAI" dataDxfId="73"/>
    <tableColumn id="18" name="AAI2" dataDxfId="72">
      <calculatedColumnFormula>IFERROR(M2/$AO2,0)</calculatedColumnFormula>
    </tableColumn>
    <tableColumn id="46" name="AAI_PBF" dataDxfId="71"/>
    <tableColumn id="47" name="AAI_PBF2" dataDxfId="70">
      <calculatedColumnFormula>IFERROR(O2/$AP2,0)</calculatedColumnFormula>
    </tableColumn>
    <tableColumn id="19" name="MA" dataDxfId="69"/>
    <tableColumn id="20" name="MA2" dataDxfId="68">
      <calculatedColumnFormula>IFERROR(Q2/$AO2,0)</calculatedColumnFormula>
    </tableColumn>
    <tableColumn id="48" name="MA_PBF" dataDxfId="67"/>
    <tableColumn id="49" name="MA_PBF2" dataDxfId="66">
      <calculatedColumnFormula>IFERROR(S2/$AP2,0)</calculatedColumnFormula>
    </tableColumn>
    <tableColumn id="21" name="M" dataDxfId="65"/>
    <tableColumn id="22" name="M2" dataDxfId="64">
      <calculatedColumnFormula>IFERROR(U2/$AO2,0)</calculatedColumnFormula>
    </tableColumn>
    <tableColumn id="50" name="M_PBF" dataDxfId="63"/>
    <tableColumn id="51" name="M_PBF2" dataDxfId="62">
      <calculatedColumnFormula>IFERROR(W2/$AP2,0)</calculatedColumnFormula>
    </tableColumn>
    <tableColumn id="23" name="E" dataDxfId="61"/>
    <tableColumn id="24" name="E2" dataDxfId="60">
      <calculatedColumnFormula>IFERROR(Y2/$AO2,0)</calculatedColumnFormula>
    </tableColumn>
    <tableColumn id="52" name="E_PBF" dataDxfId="59"/>
    <tableColumn id="53" name="E_PBF2" dataDxfId="58">
      <calculatedColumnFormula>IFERROR(AA2/$AP2,0)</calculatedColumnFormula>
    </tableColumn>
    <tableColumn id="25" name="S" dataDxfId="57"/>
    <tableColumn id="26" name="S2" dataDxfId="56">
      <calculatedColumnFormula>IFERROR(AC2/$AO2,0)</calculatedColumnFormula>
    </tableColumn>
    <tableColumn id="54" name="S_PBF" dataDxfId="55"/>
    <tableColumn id="55" name="S_PBF2" dataDxfId="54">
      <calculatedColumnFormula>IFERROR(AE2/$AP2,0)</calculatedColumnFormula>
    </tableColumn>
    <tableColumn id="27" name="O" dataDxfId="53"/>
    <tableColumn id="28" name="O2" dataDxfId="52">
      <calculatedColumnFormula>IFERROR(AG2/$AO2,0)</calculatedColumnFormula>
    </tableColumn>
    <tableColumn id="56" name="O_PBF" dataDxfId="51"/>
    <tableColumn id="57" name="O_PBF2" dataDxfId="50">
      <calculatedColumnFormula>IFERROR(AI2/$AP2,0)</calculatedColumnFormula>
    </tableColumn>
    <tableColumn id="29" name="OG" dataDxfId="49"/>
    <tableColumn id="30" name="OG2" dataDxfId="48">
      <calculatedColumnFormula>IFERROR(AK2/$AO2,0)</calculatedColumnFormula>
    </tableColumn>
    <tableColumn id="59" name="OG_PBF" dataDxfId="47"/>
    <tableColumn id="58" name="OG_PBF2" dataDxfId="46">
      <calculatedColumnFormula>IFERROR(AM2/$AP2,0)</calculatedColumnFormula>
    </tableColumn>
    <tableColumn id="31" name="TOTAL" dataDxfId="45"/>
    <tableColumn id="60" name="TOTAL_PBF" dataDxfId="44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O82" totalsRowCount="1" headerRowDxfId="43">
  <autoFilter ref="A1:AO81"/>
  <sortState ref="A2:AO81">
    <sortCondition descending="1" ref="A1:A81"/>
  </sortState>
  <tableColumns count="41">
    <tableColumn id="1" name="Ano" dataDxfId="42" totalsRowDxfId="19"/>
    <tableColumn id="2" name="REGIÃO DE SAÚDE" dataDxfId="41" totalsRowDxfId="18"/>
    <tableColumn id="19" name="AMBI">
      <calculatedColumnFormula>SUMIFS(banco!E:E,banco!$C:$C,$B2,banco!$A:$A,$A2)</calculatedColumnFormula>
    </tableColumn>
    <tableColumn id="20" name="AMBI2" dataDxfId="40" totalsRowDxfId="17">
      <calculatedColumnFormula>IFERROR(C2/$AM2,0)</calculatedColumnFormula>
    </tableColumn>
    <tableColumn id="21" name="AMBI_PBF">
      <calculatedColumnFormula>SUMIFS(banco!G:G,banco!$C:$C,$B2,banco!$A:$A,$A2)</calculatedColumnFormula>
    </tableColumn>
    <tableColumn id="22" name="AMBI_PBF2" dataDxfId="39" totalsRowDxfId="16">
      <calculatedColumnFormula>IFERROR(E2/$AN2,0)</calculatedColumnFormula>
    </tableColumn>
    <tableColumn id="23" name="ABI">
      <calculatedColumnFormula>SUMIFS(banco!I:I,banco!$C:$C,$B2,banco!$A:$A,$A2)</calculatedColumnFormula>
    </tableColumn>
    <tableColumn id="24" name="ABI2" dataDxfId="38" totalsRowDxfId="15">
      <calculatedColumnFormula>IFERROR(G2/$AM2,0)</calculatedColumnFormula>
    </tableColumn>
    <tableColumn id="25" name="ABI_PBF">
      <calculatedColumnFormula>SUMIFS(banco!K:K,banco!$C:$C,$B2,banco!$A:$A,$A2)</calculatedColumnFormula>
    </tableColumn>
    <tableColumn id="26" name="ABI_PBF2" dataDxfId="37" totalsRowDxfId="14">
      <calculatedColumnFormula>IFERROR(I2/$AN2,0)</calculatedColumnFormula>
    </tableColumn>
    <tableColumn id="27" name="AAI">
      <calculatedColumnFormula>SUMIFS(banco!M:M,banco!$C:$C,$B2,banco!$A:$A,$A2)</calculatedColumnFormula>
    </tableColumn>
    <tableColumn id="28" name="AAI2" dataDxfId="36" totalsRowDxfId="13">
      <calculatedColumnFormula>IFERROR(K2/$AM2,0)</calculatedColumnFormula>
    </tableColumn>
    <tableColumn id="29" name="AAI_PBF">
      <calculatedColumnFormula>SUMIFS(banco!O:O,banco!$C:$C,$B2,banco!$A:$A,$A2)</calculatedColumnFormula>
    </tableColumn>
    <tableColumn id="30" name="AAI_PBF2" dataDxfId="35" totalsRowDxfId="12">
      <calculatedColumnFormula>IFERROR(M2/$AN2,0)</calculatedColumnFormula>
    </tableColumn>
    <tableColumn id="31" name="MA">
      <calculatedColumnFormula>SUMIFS(banco!Q:Q,banco!$C:$C,$B2,banco!$A:$A,$A2)</calculatedColumnFormula>
    </tableColumn>
    <tableColumn id="32" name="MA2" dataDxfId="34" totalsRowDxfId="11">
      <calculatedColumnFormula>IFERROR(O2/$AM2,0)</calculatedColumnFormula>
    </tableColumn>
    <tableColumn id="33" name="MA_PBF">
      <calculatedColumnFormula>SUMIFS(banco!S:S,banco!$C:$C,$B2,banco!$A:$A,$A2)</calculatedColumnFormula>
    </tableColumn>
    <tableColumn id="34" name="MA_PBF2" dataDxfId="33" totalsRowDxfId="10">
      <calculatedColumnFormula>IFERROR(Q2/$AN2,0)</calculatedColumnFormula>
    </tableColumn>
    <tableColumn id="35" name="M">
      <calculatedColumnFormula>SUMIFS(banco!U:U,banco!$C:$C,$B2,banco!$A:$A,$A2)</calculatedColumnFormula>
    </tableColumn>
    <tableColumn id="36" name="M2" dataDxfId="32" totalsRowDxfId="9">
      <calculatedColumnFormula>IFERROR(S2/$AM2,0)</calculatedColumnFormula>
    </tableColumn>
    <tableColumn id="37" name="M_PBF">
      <calculatedColumnFormula>SUMIFS(banco!W:W,banco!$C:$C,$B2,banco!$A:$A,$A2)</calculatedColumnFormula>
    </tableColumn>
    <tableColumn id="38" name="M_PBF2" dataDxfId="31" totalsRowDxfId="8">
      <calculatedColumnFormula>IFERROR(U2/$AN2,0)</calculatedColumnFormula>
    </tableColumn>
    <tableColumn id="39" name="E">
      <calculatedColumnFormula>SUMIFS(banco!Y:Y,banco!$C:$C,$B2,banco!$A:$A,$A2)</calculatedColumnFormula>
    </tableColumn>
    <tableColumn id="40" name="E2" dataDxfId="30" totalsRowDxfId="7">
      <calculatedColumnFormula>IFERROR(W2/$AM2,0)</calculatedColumnFormula>
    </tableColumn>
    <tableColumn id="41" name="E_PBF">
      <calculatedColumnFormula>SUMIFS(banco!AA:AA,banco!$C:$C,$B2,banco!$A:$A,$A2)</calculatedColumnFormula>
    </tableColumn>
    <tableColumn id="42" name="E_PBF2" dataDxfId="29" totalsRowDxfId="6">
      <calculatedColumnFormula>IFERROR(Y2/$AN2,0)</calculatedColumnFormula>
    </tableColumn>
    <tableColumn id="43" name="S">
      <calculatedColumnFormula>SUMIFS(banco!AC:AC,banco!$C:$C,$B2,banco!$A:$A,$A2)</calculatedColumnFormula>
    </tableColumn>
    <tableColumn id="44" name="S2" dataDxfId="28" totalsRowDxfId="5">
      <calculatedColumnFormula>IFERROR(AA2/$AM2,0)</calculatedColumnFormula>
    </tableColumn>
    <tableColumn id="45" name="S_PBF">
      <calculatedColumnFormula>SUMIFS(banco!AE:AE,banco!$C:$C,$B2,banco!$A:$A,$A2)</calculatedColumnFormula>
    </tableColumn>
    <tableColumn id="46" name="S_PBF2" dataDxfId="27" totalsRowDxfId="4">
      <calculatedColumnFormula>IFERROR(AC2/$AN2,0)</calculatedColumnFormula>
    </tableColumn>
    <tableColumn id="47" name="O">
      <calculatedColumnFormula>SUMIFS(banco!AG:AG,banco!$C:$C,$B2,banco!$A:$A,$A2)</calculatedColumnFormula>
    </tableColumn>
    <tableColumn id="48" name="O2" dataDxfId="26" totalsRowDxfId="3">
      <calculatedColumnFormula>IFERROR(AE2/$AM2,0)</calculatedColumnFormula>
    </tableColumn>
    <tableColumn id="49" name="O_PBF">
      <calculatedColumnFormula>SUMIFS(banco!AI:AI,banco!$C:$C,$B2,banco!$A:$A,$A2)</calculatedColumnFormula>
    </tableColumn>
    <tableColumn id="50" name="O_PBF2" dataDxfId="25" totalsRowDxfId="2">
      <calculatedColumnFormula>IFERROR(AG2/$AN2,0)</calculatedColumnFormula>
    </tableColumn>
    <tableColumn id="51" name="OG">
      <calculatedColumnFormula>SUMIFS(banco!AK:AK,banco!$C:$C,$B2,banco!$A:$A,$A2)</calculatedColumnFormula>
    </tableColumn>
    <tableColumn id="52" name="OG2" dataDxfId="24" totalsRowDxfId="1">
      <calculatedColumnFormula>IFERROR(AI2/$AM2,0)</calculatedColumnFormula>
    </tableColumn>
    <tableColumn id="53" name="OG_PBF">
      <calculatedColumnFormula>SUMIFS(banco!AM:AM,banco!$C:$C,$B2,banco!$A:$A,$A2)</calculatedColumnFormula>
    </tableColumn>
    <tableColumn id="54" name="OG_PBF2" dataDxfId="23" totalsRowDxfId="0">
      <calculatedColumnFormula>IFERROR(AK2/$AN2,0)</calculatedColumnFormula>
    </tableColumn>
    <tableColumn id="55" name="TOTAL" dataDxfId="20">
      <calculatedColumnFormula>SUMIFS(banco!AO:AO,banco!$C:$C,$B2,banco!$A:$A,$A2)</calculatedColumnFormula>
    </tableColumn>
    <tableColumn id="56" name="TOTAL_PBF" totalsRowFunction="sum">
      <calculatedColumnFormula>SUMIFS(banco!AP:AP,banco!$C:$C,$B2,banco!$A:$A,$A2)</calculatedColumnFormula>
    </tableColumn>
    <tableColumn id="57" name="populaçã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M1392" totalsRowShown="0">
  <autoFilter ref="A1:M1392"/>
  <sortState ref="A3:M142">
    <sortCondition ref="D2:D142"/>
  </sortState>
  <tableColumns count="13">
    <tableColumn id="1" name="IBGE"/>
    <tableColumn id="13" name="Região de Saúde" dataDxfId="22">
      <calculatedColumnFormula>VLOOKUP(Tabela3[[#This Row],[IBGE]],procv!$A$2:$D$142,4,FALSE)</calculatedColumnFormula>
    </tableColumn>
    <tableColumn id="12" name="Município"/>
    <tableColumn id="11" name="2015" dataDxfId="21"/>
    <tableColumn id="2" name="2016"/>
    <tableColumn id="3" name="2017"/>
    <tableColumn id="4" name="2018"/>
    <tableColumn id="5" name="2019"/>
    <tableColumn id="6" name="2020"/>
    <tableColumn id="7" name="2021"/>
    <tableColumn id="8" name="2022"/>
    <tableColumn id="9" name="2023"/>
    <tableColumn id="10" name="20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965"/>
  <sheetViews>
    <sheetView tabSelected="1" zoomScale="70" zoomScaleNormal="70" workbookViewId="0">
      <pane ySplit="1" topLeftCell="A835" activePane="bottomLeft" state="frozen"/>
      <selection pane="bottomLeft" activeCell="E836" sqref="E836"/>
    </sheetView>
  </sheetViews>
  <sheetFormatPr defaultColWidth="15.7109375" defaultRowHeight="15" customHeight="1" x14ac:dyDescent="0.25"/>
  <cols>
    <col min="1" max="2" width="15.7109375" style="8"/>
    <col min="3" max="4" width="15.7109375" style="44"/>
    <col min="5" max="5" width="15.7109375" style="8"/>
    <col min="6" max="8" width="15.7109375" style="12"/>
    <col min="9" max="9" width="15.7109375" style="8"/>
    <col min="10" max="12" width="15.7109375" style="12"/>
    <col min="13" max="16384" width="15.7109375" style="8"/>
  </cols>
  <sheetData>
    <row r="1" spans="1:42" ht="15" customHeight="1" x14ac:dyDescent="0.25">
      <c r="A1" s="10" t="s">
        <v>0</v>
      </c>
      <c r="B1" s="10" t="s">
        <v>1</v>
      </c>
      <c r="C1" s="42" t="s">
        <v>2</v>
      </c>
      <c r="D1" s="42" t="s">
        <v>3</v>
      </c>
      <c r="E1" s="13" t="s">
        <v>296</v>
      </c>
      <c r="F1" s="14" t="s">
        <v>297</v>
      </c>
      <c r="G1" s="14" t="s">
        <v>314</v>
      </c>
      <c r="H1" s="14" t="s">
        <v>315</v>
      </c>
      <c r="I1" s="13" t="s">
        <v>298</v>
      </c>
      <c r="J1" s="14" t="s">
        <v>299</v>
      </c>
      <c r="K1" s="14" t="s">
        <v>317</v>
      </c>
      <c r="L1" s="14" t="s">
        <v>316</v>
      </c>
      <c r="M1" s="13" t="s">
        <v>300</v>
      </c>
      <c r="N1" s="13" t="s">
        <v>301</v>
      </c>
      <c r="O1" s="13" t="s">
        <v>318</v>
      </c>
      <c r="P1" s="13" t="s">
        <v>319</v>
      </c>
      <c r="Q1" s="13" t="s">
        <v>302</v>
      </c>
      <c r="R1" s="13" t="s">
        <v>303</v>
      </c>
      <c r="S1" s="13" t="s">
        <v>320</v>
      </c>
      <c r="T1" s="13" t="s">
        <v>321</v>
      </c>
      <c r="U1" s="13" t="s">
        <v>304</v>
      </c>
      <c r="V1" s="13" t="s">
        <v>305</v>
      </c>
      <c r="W1" s="13" t="s">
        <v>322</v>
      </c>
      <c r="X1" s="13" t="s">
        <v>323</v>
      </c>
      <c r="Y1" s="13" t="s">
        <v>306</v>
      </c>
      <c r="Z1" s="13" t="s">
        <v>307</v>
      </c>
      <c r="AA1" s="13" t="s">
        <v>324</v>
      </c>
      <c r="AB1" s="13" t="s">
        <v>325</v>
      </c>
      <c r="AC1" s="13" t="s">
        <v>308</v>
      </c>
      <c r="AD1" s="13" t="s">
        <v>309</v>
      </c>
      <c r="AE1" s="13" t="s">
        <v>326</v>
      </c>
      <c r="AF1" s="13" t="s">
        <v>327</v>
      </c>
      <c r="AG1" s="13" t="s">
        <v>310</v>
      </c>
      <c r="AH1" s="13" t="s">
        <v>311</v>
      </c>
      <c r="AI1" s="13" t="s">
        <v>328</v>
      </c>
      <c r="AJ1" s="13" t="s">
        <v>329</v>
      </c>
      <c r="AK1" s="13" t="s">
        <v>312</v>
      </c>
      <c r="AL1" s="13" t="s">
        <v>313</v>
      </c>
      <c r="AM1" s="13" t="s">
        <v>330</v>
      </c>
      <c r="AN1" s="13" t="s">
        <v>331</v>
      </c>
      <c r="AO1" s="11" t="s">
        <v>4</v>
      </c>
      <c r="AP1" s="15" t="s">
        <v>332</v>
      </c>
    </row>
    <row r="2" spans="1:42" x14ac:dyDescent="0.25">
      <c r="A2" s="35">
        <v>2024</v>
      </c>
      <c r="B2" s="35">
        <v>170025</v>
      </c>
      <c r="C2" s="33" t="str">
        <f>VLOOKUP(B2,procv!$A$2:$D$142,4,FALSE)</f>
        <v>Cantão</v>
      </c>
      <c r="D2" s="33" t="s">
        <v>5</v>
      </c>
      <c r="E2" s="17">
        <v>3</v>
      </c>
      <c r="F2" s="36">
        <f t="shared" ref="F2:F65" si="0">IFERROR(E2/$AO2,0)</f>
        <v>9.9667774086378731E-3</v>
      </c>
      <c r="G2" s="17">
        <v>0</v>
      </c>
      <c r="H2" s="36">
        <f t="shared" ref="H2:H65" si="1">IFERROR(G2/$AP2,0)</f>
        <v>0</v>
      </c>
      <c r="I2" s="17">
        <v>15</v>
      </c>
      <c r="J2" s="36">
        <f t="shared" ref="J2:J65" si="2">IFERROR(I2/$AO2,0)</f>
        <v>4.9833887043189369E-2</v>
      </c>
      <c r="K2" s="17">
        <v>1</v>
      </c>
      <c r="L2" s="36">
        <f t="shared" ref="L2:L65" si="3">IFERROR(K2/$AP2,0)</f>
        <v>4.5454545454545456E-2</v>
      </c>
      <c r="M2" s="17">
        <v>283</v>
      </c>
      <c r="N2" s="36">
        <f>IFERROR(M2/$AO2,0)</f>
        <v>0.94019933554817281</v>
      </c>
      <c r="O2" s="17">
        <v>21</v>
      </c>
      <c r="P2" s="36">
        <f t="shared" ref="P2:P65" si="4">IFERROR(O2/$AP2,0)</f>
        <v>0.95454545454545459</v>
      </c>
      <c r="Q2" s="17">
        <v>3</v>
      </c>
      <c r="R2" s="36">
        <f>IFERROR(Q2/$AO2,0)</f>
        <v>9.9667774086378731E-3</v>
      </c>
      <c r="S2" s="17">
        <v>0</v>
      </c>
      <c r="T2" s="36">
        <f t="shared" ref="T2:T65" si="5">IFERROR(S2/$AP2,0)</f>
        <v>0</v>
      </c>
      <c r="U2" s="17">
        <v>16</v>
      </c>
      <c r="V2" s="36">
        <f>IFERROR(U2/$AO2,0)</f>
        <v>5.3156146179401995E-2</v>
      </c>
      <c r="W2" s="17">
        <v>3</v>
      </c>
      <c r="X2" s="36">
        <f t="shared" ref="X2:X65" si="6">IFERROR(W2/$AP2,0)</f>
        <v>0.13636363636363635</v>
      </c>
      <c r="Y2" s="17">
        <v>198</v>
      </c>
      <c r="Z2" s="36">
        <f>IFERROR(Y2/$AO2,0)</f>
        <v>0.65780730897009965</v>
      </c>
      <c r="AA2" s="17">
        <v>14</v>
      </c>
      <c r="AB2" s="36">
        <f t="shared" ref="AB2:AB65" si="7">IFERROR(AA2/$AP2,0)</f>
        <v>0.63636363636363635</v>
      </c>
      <c r="AC2" s="17">
        <v>50</v>
      </c>
      <c r="AD2" s="36">
        <f>IFERROR(AC2/$AO2,0)</f>
        <v>0.16611295681063123</v>
      </c>
      <c r="AE2" s="17">
        <v>5</v>
      </c>
      <c r="AF2" s="36">
        <f t="shared" ref="AF2:AF65" si="8">IFERROR(AE2/$AP2,0)</f>
        <v>0.22727272727272727</v>
      </c>
      <c r="AG2" s="17">
        <v>25</v>
      </c>
      <c r="AH2" s="36">
        <f>IFERROR(AG2/$AO2,0)</f>
        <v>8.3056478405315617E-2</v>
      </c>
      <c r="AI2" s="17">
        <v>0</v>
      </c>
      <c r="AJ2" s="36">
        <f t="shared" ref="AJ2:AJ65" si="9">IFERROR(AI2/$AP2,0)</f>
        <v>0</v>
      </c>
      <c r="AK2" s="17">
        <v>9</v>
      </c>
      <c r="AL2" s="36">
        <f>IFERROR(AK2/$AO2,0)</f>
        <v>2.9900332225913623E-2</v>
      </c>
      <c r="AM2" s="17">
        <v>0</v>
      </c>
      <c r="AN2" s="36">
        <f t="shared" ref="AN2:AN65" si="10">IFERROR(AM2/$AP2,0)</f>
        <v>0</v>
      </c>
      <c r="AO2" s="17">
        <v>301</v>
      </c>
      <c r="AP2" s="17">
        <v>22</v>
      </c>
    </row>
    <row r="3" spans="1:42" ht="26.25" customHeight="1" x14ac:dyDescent="0.25">
      <c r="A3" s="35">
        <v>2024</v>
      </c>
      <c r="B3" s="35">
        <v>170030</v>
      </c>
      <c r="C3" s="33" t="str">
        <f>VLOOKUP(B3,procv!$A$2:$D$142,4,FALSE)</f>
        <v>Bico do Papagaio</v>
      </c>
      <c r="D3" s="33" t="s">
        <v>6</v>
      </c>
      <c r="E3" s="17">
        <v>7</v>
      </c>
      <c r="F3" s="36">
        <f t="shared" si="0"/>
        <v>3.2407407407407406E-2</v>
      </c>
      <c r="G3" s="17">
        <v>2</v>
      </c>
      <c r="H3" s="36">
        <f t="shared" si="1"/>
        <v>2.6666666666666668E-2</v>
      </c>
      <c r="I3" s="17">
        <v>14</v>
      </c>
      <c r="J3" s="36">
        <f t="shared" si="2"/>
        <v>6.4814814814814811E-2</v>
      </c>
      <c r="K3" s="17">
        <v>4</v>
      </c>
      <c r="L3" s="36">
        <f t="shared" si="3"/>
        <v>5.3333333333333337E-2</v>
      </c>
      <c r="M3" s="17">
        <v>195</v>
      </c>
      <c r="N3" s="36">
        <f t="shared" ref="N3:N66" si="11">IFERROR(M3/$AO3,0)</f>
        <v>0.90277777777777779</v>
      </c>
      <c r="O3" s="17">
        <v>69</v>
      </c>
      <c r="P3" s="36">
        <f t="shared" si="4"/>
        <v>0.92</v>
      </c>
      <c r="Q3" s="17">
        <v>2</v>
      </c>
      <c r="R3" s="36">
        <f t="shared" ref="R3:R66" si="12">IFERROR(Q3/$AO3,0)</f>
        <v>9.2592592592592587E-3</v>
      </c>
      <c r="S3" s="17">
        <v>2</v>
      </c>
      <c r="T3" s="36">
        <f t="shared" si="5"/>
        <v>2.6666666666666668E-2</v>
      </c>
      <c r="U3" s="17">
        <v>4</v>
      </c>
      <c r="V3" s="36">
        <f t="shared" ref="V3:V66" si="13">IFERROR(U3/$AO3,0)</f>
        <v>1.8518518518518517E-2</v>
      </c>
      <c r="W3" s="17">
        <v>0</v>
      </c>
      <c r="X3" s="36">
        <f t="shared" si="6"/>
        <v>0</v>
      </c>
      <c r="Y3" s="17">
        <v>143</v>
      </c>
      <c r="Z3" s="36">
        <f t="shared" ref="Z3:Z66" si="14">IFERROR(Y3/$AO3,0)</f>
        <v>0.66203703703703709</v>
      </c>
      <c r="AA3" s="17">
        <v>52</v>
      </c>
      <c r="AB3" s="36">
        <f t="shared" si="7"/>
        <v>0.69333333333333336</v>
      </c>
      <c r="AC3" s="17">
        <v>45</v>
      </c>
      <c r="AD3" s="36">
        <f t="shared" ref="AD3:AD66" si="15">IFERROR(AC3/$AO3,0)</f>
        <v>0.20833333333333334</v>
      </c>
      <c r="AE3" s="17">
        <v>15</v>
      </c>
      <c r="AF3" s="36">
        <f t="shared" si="8"/>
        <v>0.2</v>
      </c>
      <c r="AG3" s="17">
        <v>16</v>
      </c>
      <c r="AH3" s="36">
        <f t="shared" ref="AH3:AH66" si="16">IFERROR(AG3/$AO3,0)</f>
        <v>7.407407407407407E-2</v>
      </c>
      <c r="AI3" s="17">
        <v>5</v>
      </c>
      <c r="AJ3" s="36">
        <f t="shared" si="9"/>
        <v>6.6666666666666666E-2</v>
      </c>
      <c r="AK3" s="17">
        <v>6</v>
      </c>
      <c r="AL3" s="36">
        <f t="shared" ref="AL3:AL66" si="17">IFERROR(AK3/$AO3,0)</f>
        <v>2.7777777777777776E-2</v>
      </c>
      <c r="AM3" s="17">
        <v>1</v>
      </c>
      <c r="AN3" s="36">
        <f t="shared" si="10"/>
        <v>1.3333333333333334E-2</v>
      </c>
      <c r="AO3" s="17">
        <v>216</v>
      </c>
      <c r="AP3" s="17">
        <v>75</v>
      </c>
    </row>
    <row r="4" spans="1:42" ht="26.25" customHeight="1" x14ac:dyDescent="0.25">
      <c r="A4" s="35">
        <v>2024</v>
      </c>
      <c r="B4" s="35">
        <v>170035</v>
      </c>
      <c r="C4" s="33" t="str">
        <f>VLOOKUP(B4,procv!$A$2:$D$142,4,FALSE)</f>
        <v>Ilha do Bananal</v>
      </c>
      <c r="D4" s="33" t="s">
        <v>7</v>
      </c>
      <c r="E4" s="17">
        <v>3</v>
      </c>
      <c r="F4" s="36">
        <f t="shared" si="0"/>
        <v>5.9288537549407111E-3</v>
      </c>
      <c r="G4" s="17">
        <v>0</v>
      </c>
      <c r="H4" s="36">
        <f t="shared" si="1"/>
        <v>0</v>
      </c>
      <c r="I4" s="17">
        <v>24</v>
      </c>
      <c r="J4" s="36">
        <f t="shared" si="2"/>
        <v>4.7430830039525688E-2</v>
      </c>
      <c r="K4" s="17">
        <v>3</v>
      </c>
      <c r="L4" s="36">
        <f t="shared" si="3"/>
        <v>0.06</v>
      </c>
      <c r="M4" s="17">
        <v>479</v>
      </c>
      <c r="N4" s="36">
        <f t="shared" si="11"/>
        <v>0.94664031620553357</v>
      </c>
      <c r="O4" s="17">
        <v>47</v>
      </c>
      <c r="P4" s="36">
        <f t="shared" si="4"/>
        <v>0.94</v>
      </c>
      <c r="Q4" s="17">
        <v>4</v>
      </c>
      <c r="R4" s="36">
        <f t="shared" si="12"/>
        <v>7.9051383399209481E-3</v>
      </c>
      <c r="S4" s="17">
        <v>0</v>
      </c>
      <c r="T4" s="36">
        <f t="shared" si="5"/>
        <v>0</v>
      </c>
      <c r="U4" s="17">
        <v>27</v>
      </c>
      <c r="V4" s="36">
        <f t="shared" si="13"/>
        <v>5.33596837944664E-2</v>
      </c>
      <c r="W4" s="17">
        <v>2</v>
      </c>
      <c r="X4" s="36">
        <f t="shared" si="6"/>
        <v>0.04</v>
      </c>
      <c r="Y4" s="17">
        <v>326</v>
      </c>
      <c r="Z4" s="36">
        <f t="shared" si="14"/>
        <v>0.64426877470355737</v>
      </c>
      <c r="AA4" s="17">
        <v>36</v>
      </c>
      <c r="AB4" s="36">
        <f t="shared" si="7"/>
        <v>0.72</v>
      </c>
      <c r="AC4" s="17">
        <v>87</v>
      </c>
      <c r="AD4" s="36">
        <f t="shared" si="15"/>
        <v>0.17193675889328064</v>
      </c>
      <c r="AE4" s="17">
        <v>6</v>
      </c>
      <c r="AF4" s="36">
        <f t="shared" si="8"/>
        <v>0.12</v>
      </c>
      <c r="AG4" s="17">
        <v>44</v>
      </c>
      <c r="AH4" s="36">
        <f t="shared" si="16"/>
        <v>8.6956521739130432E-2</v>
      </c>
      <c r="AI4" s="17">
        <v>6</v>
      </c>
      <c r="AJ4" s="36">
        <f t="shared" si="9"/>
        <v>0.12</v>
      </c>
      <c r="AK4" s="17">
        <v>18</v>
      </c>
      <c r="AL4" s="36">
        <f t="shared" si="17"/>
        <v>3.5573122529644272E-2</v>
      </c>
      <c r="AM4" s="17">
        <v>0</v>
      </c>
      <c r="AN4" s="36">
        <f t="shared" si="10"/>
        <v>0</v>
      </c>
      <c r="AO4" s="17">
        <v>506</v>
      </c>
      <c r="AP4" s="17">
        <v>50</v>
      </c>
    </row>
    <row r="5" spans="1:42" x14ac:dyDescent="0.25">
      <c r="A5" s="35">
        <v>2024</v>
      </c>
      <c r="B5" s="35">
        <v>170040</v>
      </c>
      <c r="C5" s="33" t="str">
        <f>VLOOKUP(B5,procv!$A$2:$D$142,4,FALSE)</f>
        <v>Sudeste</v>
      </c>
      <c r="D5" s="33" t="s">
        <v>8</v>
      </c>
      <c r="E5" s="17">
        <v>3</v>
      </c>
      <c r="F5" s="36">
        <f t="shared" si="0"/>
        <v>4.7095761381475663E-3</v>
      </c>
      <c r="G5" s="17">
        <v>1</v>
      </c>
      <c r="H5" s="36">
        <f t="shared" si="1"/>
        <v>6.369426751592357E-3</v>
      </c>
      <c r="I5" s="17">
        <v>20</v>
      </c>
      <c r="J5" s="36">
        <f t="shared" si="2"/>
        <v>3.1397174254317109E-2</v>
      </c>
      <c r="K5" s="17">
        <v>6</v>
      </c>
      <c r="L5" s="36">
        <f t="shared" si="3"/>
        <v>3.8216560509554139E-2</v>
      </c>
      <c r="M5" s="17">
        <v>614</v>
      </c>
      <c r="N5" s="36">
        <f t="shared" si="11"/>
        <v>0.96389324960753531</v>
      </c>
      <c r="O5" s="17">
        <v>150</v>
      </c>
      <c r="P5" s="36">
        <f t="shared" si="4"/>
        <v>0.95541401273885351</v>
      </c>
      <c r="Q5" s="17">
        <v>9</v>
      </c>
      <c r="R5" s="36">
        <f t="shared" si="12"/>
        <v>1.4128728414442701E-2</v>
      </c>
      <c r="S5" s="17">
        <v>4</v>
      </c>
      <c r="T5" s="36">
        <f t="shared" si="5"/>
        <v>2.5477707006369428E-2</v>
      </c>
      <c r="U5" s="17">
        <v>21</v>
      </c>
      <c r="V5" s="36">
        <f t="shared" si="13"/>
        <v>3.2967032967032968E-2</v>
      </c>
      <c r="W5" s="17">
        <v>3</v>
      </c>
      <c r="X5" s="36">
        <f t="shared" si="6"/>
        <v>1.9108280254777069E-2</v>
      </c>
      <c r="Y5" s="17">
        <v>417</v>
      </c>
      <c r="Z5" s="36">
        <f t="shared" si="14"/>
        <v>0.65463108320251173</v>
      </c>
      <c r="AA5" s="17">
        <v>104</v>
      </c>
      <c r="AB5" s="36">
        <f t="shared" si="7"/>
        <v>0.66242038216560506</v>
      </c>
      <c r="AC5" s="17">
        <v>120</v>
      </c>
      <c r="AD5" s="36">
        <f t="shared" si="15"/>
        <v>0.18838304552590268</v>
      </c>
      <c r="AE5" s="17">
        <v>30</v>
      </c>
      <c r="AF5" s="36">
        <f t="shared" si="8"/>
        <v>0.19108280254777071</v>
      </c>
      <c r="AG5" s="17">
        <v>60</v>
      </c>
      <c r="AH5" s="36">
        <f t="shared" si="16"/>
        <v>9.4191522762951341E-2</v>
      </c>
      <c r="AI5" s="17">
        <v>13</v>
      </c>
      <c r="AJ5" s="36">
        <f t="shared" si="9"/>
        <v>8.2802547770700632E-2</v>
      </c>
      <c r="AK5" s="17">
        <v>10</v>
      </c>
      <c r="AL5" s="36">
        <f t="shared" si="17"/>
        <v>1.5698587127158554E-2</v>
      </c>
      <c r="AM5" s="17">
        <v>3</v>
      </c>
      <c r="AN5" s="36">
        <f t="shared" si="10"/>
        <v>1.9108280254777069E-2</v>
      </c>
      <c r="AO5" s="17">
        <v>637</v>
      </c>
      <c r="AP5" s="17">
        <v>157</v>
      </c>
    </row>
    <row r="6" spans="1:42" x14ac:dyDescent="0.25">
      <c r="A6" s="35">
        <v>2024</v>
      </c>
      <c r="B6" s="35">
        <v>170070</v>
      </c>
      <c r="C6" s="33" t="str">
        <f>VLOOKUP(B6,procv!$A$2:$D$142,4,FALSE)</f>
        <v>Ilha do Bananal</v>
      </c>
      <c r="D6" s="33" t="s">
        <v>9</v>
      </c>
      <c r="E6" s="17">
        <v>8</v>
      </c>
      <c r="F6" s="36">
        <f t="shared" si="0"/>
        <v>1.0652463382157125E-2</v>
      </c>
      <c r="G6" s="17">
        <v>0</v>
      </c>
      <c r="H6" s="36">
        <f t="shared" si="1"/>
        <v>0</v>
      </c>
      <c r="I6" s="17">
        <v>30</v>
      </c>
      <c r="J6" s="36">
        <f t="shared" si="2"/>
        <v>3.9946737683089213E-2</v>
      </c>
      <c r="K6" s="17">
        <v>6</v>
      </c>
      <c r="L6" s="36">
        <f t="shared" si="3"/>
        <v>3.2085561497326207E-2</v>
      </c>
      <c r="M6" s="17">
        <v>713</v>
      </c>
      <c r="N6" s="36">
        <f t="shared" si="11"/>
        <v>0.94940079893475371</v>
      </c>
      <c r="O6" s="17">
        <v>181</v>
      </c>
      <c r="P6" s="36">
        <f t="shared" si="4"/>
        <v>0.96791443850267378</v>
      </c>
      <c r="Q6" s="17">
        <v>6</v>
      </c>
      <c r="R6" s="36">
        <f t="shared" si="12"/>
        <v>7.989347536617843E-3</v>
      </c>
      <c r="S6" s="17">
        <v>0</v>
      </c>
      <c r="T6" s="36">
        <f t="shared" si="5"/>
        <v>0</v>
      </c>
      <c r="U6" s="17">
        <v>17</v>
      </c>
      <c r="V6" s="36">
        <f t="shared" si="13"/>
        <v>2.2636484687083888E-2</v>
      </c>
      <c r="W6" s="17">
        <v>3</v>
      </c>
      <c r="X6" s="36">
        <f t="shared" si="6"/>
        <v>1.6042780748663103E-2</v>
      </c>
      <c r="Y6" s="17">
        <v>477</v>
      </c>
      <c r="Z6" s="36">
        <f t="shared" si="14"/>
        <v>0.63515312916111855</v>
      </c>
      <c r="AA6" s="17">
        <v>121</v>
      </c>
      <c r="AB6" s="36">
        <f t="shared" si="7"/>
        <v>0.6470588235294118</v>
      </c>
      <c r="AC6" s="17">
        <v>147</v>
      </c>
      <c r="AD6" s="36">
        <f t="shared" si="15"/>
        <v>0.19573901464713714</v>
      </c>
      <c r="AE6" s="17">
        <v>40</v>
      </c>
      <c r="AF6" s="36">
        <f t="shared" si="8"/>
        <v>0.21390374331550802</v>
      </c>
      <c r="AG6" s="17">
        <v>83</v>
      </c>
      <c r="AH6" s="36">
        <f t="shared" si="16"/>
        <v>0.11051930758988016</v>
      </c>
      <c r="AI6" s="17">
        <v>22</v>
      </c>
      <c r="AJ6" s="36">
        <f t="shared" si="9"/>
        <v>0.11764705882352941</v>
      </c>
      <c r="AK6" s="17">
        <v>21</v>
      </c>
      <c r="AL6" s="36">
        <f t="shared" si="17"/>
        <v>2.7962716378162451E-2</v>
      </c>
      <c r="AM6" s="17">
        <v>1</v>
      </c>
      <c r="AN6" s="36">
        <f t="shared" si="10"/>
        <v>5.3475935828877002E-3</v>
      </c>
      <c r="AO6" s="17">
        <v>751</v>
      </c>
      <c r="AP6" s="17">
        <v>187</v>
      </c>
    </row>
    <row r="7" spans="1:42" x14ac:dyDescent="0.25">
      <c r="A7" s="35">
        <v>2024</v>
      </c>
      <c r="B7" s="35">
        <v>170100</v>
      </c>
      <c r="C7" s="33" t="str">
        <f>VLOOKUP(B7,procv!$A$2:$D$142,4,FALSE)</f>
        <v>Bico do Papagaio</v>
      </c>
      <c r="D7" s="33" t="s">
        <v>10</v>
      </c>
      <c r="E7" s="17">
        <v>12</v>
      </c>
      <c r="F7" s="36">
        <f t="shared" si="0"/>
        <v>1.3986013986013986E-2</v>
      </c>
      <c r="G7" s="17">
        <v>10</v>
      </c>
      <c r="H7" s="36">
        <f t="shared" si="1"/>
        <v>4.0816326530612242E-2</v>
      </c>
      <c r="I7" s="17">
        <v>44</v>
      </c>
      <c r="J7" s="36">
        <f t="shared" si="2"/>
        <v>5.128205128205128E-2</v>
      </c>
      <c r="K7" s="17">
        <v>14</v>
      </c>
      <c r="L7" s="36">
        <f t="shared" si="3"/>
        <v>5.7142857142857141E-2</v>
      </c>
      <c r="M7" s="17">
        <v>802</v>
      </c>
      <c r="N7" s="36">
        <f t="shared" si="11"/>
        <v>0.93473193473193472</v>
      </c>
      <c r="O7" s="17">
        <v>221</v>
      </c>
      <c r="P7" s="36">
        <f t="shared" si="4"/>
        <v>0.90204081632653066</v>
      </c>
      <c r="Q7" s="17">
        <v>5</v>
      </c>
      <c r="R7" s="36">
        <f t="shared" si="12"/>
        <v>5.8275058275058279E-3</v>
      </c>
      <c r="S7" s="17">
        <v>3</v>
      </c>
      <c r="T7" s="36">
        <f t="shared" si="5"/>
        <v>1.2244897959183673E-2</v>
      </c>
      <c r="U7" s="17">
        <v>24</v>
      </c>
      <c r="V7" s="36">
        <f t="shared" si="13"/>
        <v>2.7972027972027972E-2</v>
      </c>
      <c r="W7" s="17">
        <v>7</v>
      </c>
      <c r="X7" s="36">
        <f t="shared" si="6"/>
        <v>2.8571428571428571E-2</v>
      </c>
      <c r="Y7" s="17">
        <v>606</v>
      </c>
      <c r="Z7" s="36">
        <f t="shared" si="14"/>
        <v>0.70629370629370625</v>
      </c>
      <c r="AA7" s="17">
        <v>172</v>
      </c>
      <c r="AB7" s="36">
        <f t="shared" si="7"/>
        <v>0.70204081632653059</v>
      </c>
      <c r="AC7" s="17">
        <v>144</v>
      </c>
      <c r="AD7" s="36">
        <f t="shared" si="15"/>
        <v>0.16783216783216784</v>
      </c>
      <c r="AE7" s="17">
        <v>35</v>
      </c>
      <c r="AF7" s="36">
        <f t="shared" si="8"/>
        <v>0.14285714285714285</v>
      </c>
      <c r="AG7" s="17">
        <v>74</v>
      </c>
      <c r="AH7" s="36">
        <f t="shared" si="16"/>
        <v>8.6247086247086241E-2</v>
      </c>
      <c r="AI7" s="17">
        <v>27</v>
      </c>
      <c r="AJ7" s="36">
        <f t="shared" si="9"/>
        <v>0.11020408163265306</v>
      </c>
      <c r="AK7" s="17">
        <v>5</v>
      </c>
      <c r="AL7" s="36">
        <f t="shared" si="17"/>
        <v>5.8275058275058279E-3</v>
      </c>
      <c r="AM7" s="17">
        <v>1</v>
      </c>
      <c r="AN7" s="36">
        <f t="shared" si="10"/>
        <v>4.0816326530612249E-3</v>
      </c>
      <c r="AO7" s="17">
        <v>858</v>
      </c>
      <c r="AP7" s="17">
        <v>245</v>
      </c>
    </row>
    <row r="8" spans="1:42" x14ac:dyDescent="0.25">
      <c r="A8" s="35">
        <v>2024</v>
      </c>
      <c r="B8" s="35">
        <v>170105</v>
      </c>
      <c r="C8" s="33" t="str">
        <f>VLOOKUP(B8,procv!$A$2:$D$142,4,FALSE)</f>
        <v>Bico do Papagaio</v>
      </c>
      <c r="D8" s="33" t="s">
        <v>11</v>
      </c>
      <c r="E8" s="17">
        <v>2</v>
      </c>
      <c r="F8" s="36">
        <f t="shared" si="0"/>
        <v>6.5146579804560263E-3</v>
      </c>
      <c r="G8" s="17">
        <v>0</v>
      </c>
      <c r="H8" s="36">
        <f t="shared" si="1"/>
        <v>0</v>
      </c>
      <c r="I8" s="17">
        <v>17</v>
      </c>
      <c r="J8" s="36">
        <f t="shared" si="2"/>
        <v>5.5374592833876218E-2</v>
      </c>
      <c r="K8" s="17">
        <v>7</v>
      </c>
      <c r="L8" s="36">
        <f t="shared" si="3"/>
        <v>0.12280701754385964</v>
      </c>
      <c r="M8" s="17">
        <v>288</v>
      </c>
      <c r="N8" s="36">
        <f t="shared" si="11"/>
        <v>0.93811074918566772</v>
      </c>
      <c r="O8" s="17">
        <v>50</v>
      </c>
      <c r="P8" s="36">
        <f t="shared" si="4"/>
        <v>0.8771929824561403</v>
      </c>
      <c r="Q8" s="17">
        <v>4</v>
      </c>
      <c r="R8" s="36">
        <f t="shared" si="12"/>
        <v>1.3029315960912053E-2</v>
      </c>
      <c r="S8" s="17">
        <v>0</v>
      </c>
      <c r="T8" s="36">
        <f t="shared" si="5"/>
        <v>0</v>
      </c>
      <c r="U8" s="17">
        <v>15</v>
      </c>
      <c r="V8" s="36">
        <f t="shared" si="13"/>
        <v>4.8859934853420196E-2</v>
      </c>
      <c r="W8" s="17">
        <v>0</v>
      </c>
      <c r="X8" s="36">
        <f t="shared" si="6"/>
        <v>0</v>
      </c>
      <c r="Y8" s="17">
        <v>211</v>
      </c>
      <c r="Z8" s="36">
        <f t="shared" si="14"/>
        <v>0.68729641693811072</v>
      </c>
      <c r="AA8" s="17">
        <v>43</v>
      </c>
      <c r="AB8" s="36">
        <f t="shared" si="7"/>
        <v>0.75438596491228072</v>
      </c>
      <c r="AC8" s="17">
        <v>57</v>
      </c>
      <c r="AD8" s="36">
        <f t="shared" si="15"/>
        <v>0.18566775244299674</v>
      </c>
      <c r="AE8" s="17">
        <v>11</v>
      </c>
      <c r="AF8" s="36">
        <f t="shared" si="8"/>
        <v>0.19298245614035087</v>
      </c>
      <c r="AG8" s="17">
        <v>15</v>
      </c>
      <c r="AH8" s="36">
        <f t="shared" si="16"/>
        <v>4.8859934853420196E-2</v>
      </c>
      <c r="AI8" s="17">
        <v>2</v>
      </c>
      <c r="AJ8" s="36">
        <f t="shared" si="9"/>
        <v>3.5087719298245612E-2</v>
      </c>
      <c r="AK8" s="17">
        <v>5</v>
      </c>
      <c r="AL8" s="36">
        <f t="shared" si="17"/>
        <v>1.6286644951140065E-2</v>
      </c>
      <c r="AM8" s="17">
        <v>1</v>
      </c>
      <c r="AN8" s="36">
        <f t="shared" si="10"/>
        <v>1.7543859649122806E-2</v>
      </c>
      <c r="AO8" s="17">
        <v>307</v>
      </c>
      <c r="AP8" s="17">
        <v>57</v>
      </c>
    </row>
    <row r="9" spans="1:42" ht="39" customHeight="1" x14ac:dyDescent="0.25">
      <c r="A9" s="35">
        <v>2024</v>
      </c>
      <c r="B9" s="35">
        <v>170110</v>
      </c>
      <c r="C9" s="33" t="str">
        <f>VLOOKUP(B9,procv!$A$2:$D$142,4,FALSE)</f>
        <v>Capim Dourado</v>
      </c>
      <c r="D9" s="33" t="s">
        <v>12</v>
      </c>
      <c r="E9" s="17">
        <v>2</v>
      </c>
      <c r="F9" s="36">
        <f t="shared" si="0"/>
        <v>4.2553191489361703E-3</v>
      </c>
      <c r="G9" s="17">
        <v>1</v>
      </c>
      <c r="H9" s="36">
        <f t="shared" si="1"/>
        <v>1.1363636363636364E-2</v>
      </c>
      <c r="I9" s="17">
        <v>14</v>
      </c>
      <c r="J9" s="36">
        <f t="shared" si="2"/>
        <v>2.9787234042553193E-2</v>
      </c>
      <c r="K9" s="17">
        <v>0</v>
      </c>
      <c r="L9" s="36">
        <f t="shared" si="3"/>
        <v>0</v>
      </c>
      <c r="M9" s="17">
        <v>454</v>
      </c>
      <c r="N9" s="36">
        <f t="shared" si="11"/>
        <v>0.96595744680851059</v>
      </c>
      <c r="O9" s="17">
        <v>87</v>
      </c>
      <c r="P9" s="36">
        <f t="shared" si="4"/>
        <v>0.98863636363636365</v>
      </c>
      <c r="Q9" s="17">
        <v>4</v>
      </c>
      <c r="R9" s="36">
        <f t="shared" si="12"/>
        <v>8.5106382978723406E-3</v>
      </c>
      <c r="S9" s="17">
        <v>0</v>
      </c>
      <c r="T9" s="36">
        <f t="shared" si="5"/>
        <v>0</v>
      </c>
      <c r="U9" s="17">
        <v>11</v>
      </c>
      <c r="V9" s="36">
        <f t="shared" si="13"/>
        <v>2.3404255319148935E-2</v>
      </c>
      <c r="W9" s="17">
        <v>2</v>
      </c>
      <c r="X9" s="36">
        <f t="shared" si="6"/>
        <v>2.2727272727272728E-2</v>
      </c>
      <c r="Y9" s="17">
        <v>330</v>
      </c>
      <c r="Z9" s="36">
        <f t="shared" si="14"/>
        <v>0.7021276595744681</v>
      </c>
      <c r="AA9" s="17">
        <v>63</v>
      </c>
      <c r="AB9" s="36">
        <f t="shared" si="7"/>
        <v>0.71590909090909094</v>
      </c>
      <c r="AC9" s="17">
        <v>77</v>
      </c>
      <c r="AD9" s="36">
        <f t="shared" si="15"/>
        <v>0.16382978723404254</v>
      </c>
      <c r="AE9" s="17">
        <v>12</v>
      </c>
      <c r="AF9" s="36">
        <f t="shared" si="8"/>
        <v>0.13636363636363635</v>
      </c>
      <c r="AG9" s="17">
        <v>43</v>
      </c>
      <c r="AH9" s="36">
        <f t="shared" si="16"/>
        <v>9.1489361702127653E-2</v>
      </c>
      <c r="AI9" s="17">
        <v>7</v>
      </c>
      <c r="AJ9" s="36">
        <f t="shared" si="9"/>
        <v>7.9545454545454544E-2</v>
      </c>
      <c r="AK9" s="17">
        <v>5</v>
      </c>
      <c r="AL9" s="36">
        <f t="shared" si="17"/>
        <v>1.0638297872340425E-2</v>
      </c>
      <c r="AM9" s="17">
        <v>4</v>
      </c>
      <c r="AN9" s="36">
        <f t="shared" si="10"/>
        <v>4.5454545454545456E-2</v>
      </c>
      <c r="AO9" s="17">
        <v>470</v>
      </c>
      <c r="AP9" s="17">
        <v>88</v>
      </c>
    </row>
    <row r="10" spans="1:42" x14ac:dyDescent="0.25">
      <c r="A10" s="35">
        <v>2024</v>
      </c>
      <c r="B10" s="35">
        <v>170130</v>
      </c>
      <c r="C10" s="33" t="str">
        <f>VLOOKUP(B10,procv!$A$2:$D$142,4,FALSE)</f>
        <v>Médio Norte Araguaia</v>
      </c>
      <c r="D10" s="33" t="s">
        <v>13</v>
      </c>
      <c r="E10" s="17">
        <v>10</v>
      </c>
      <c r="F10" s="36">
        <f t="shared" si="0"/>
        <v>1.8552875695732839E-2</v>
      </c>
      <c r="G10" s="17">
        <v>4</v>
      </c>
      <c r="H10" s="36">
        <f t="shared" si="1"/>
        <v>3.3613445378151259E-2</v>
      </c>
      <c r="I10" s="17">
        <v>28</v>
      </c>
      <c r="J10" s="36">
        <f t="shared" si="2"/>
        <v>5.1948051948051951E-2</v>
      </c>
      <c r="K10" s="17">
        <v>8</v>
      </c>
      <c r="L10" s="36">
        <f t="shared" si="3"/>
        <v>6.7226890756302518E-2</v>
      </c>
      <c r="M10" s="17">
        <v>501</v>
      </c>
      <c r="N10" s="36">
        <f t="shared" si="11"/>
        <v>0.92949907235621521</v>
      </c>
      <c r="O10" s="17">
        <v>107</v>
      </c>
      <c r="P10" s="36">
        <f t="shared" si="4"/>
        <v>0.89915966386554624</v>
      </c>
      <c r="Q10" s="17">
        <v>4</v>
      </c>
      <c r="R10" s="36">
        <f t="shared" si="12"/>
        <v>7.4211502782931356E-3</v>
      </c>
      <c r="S10" s="17">
        <v>2</v>
      </c>
      <c r="T10" s="36">
        <f t="shared" si="5"/>
        <v>1.680672268907563E-2</v>
      </c>
      <c r="U10" s="17">
        <v>15</v>
      </c>
      <c r="V10" s="36">
        <f t="shared" si="13"/>
        <v>2.7829313543599257E-2</v>
      </c>
      <c r="W10" s="17">
        <v>4</v>
      </c>
      <c r="X10" s="36">
        <f t="shared" si="6"/>
        <v>3.3613445378151259E-2</v>
      </c>
      <c r="Y10" s="17">
        <v>356</v>
      </c>
      <c r="Z10" s="36">
        <f t="shared" si="14"/>
        <v>0.66048237476808902</v>
      </c>
      <c r="AA10" s="17">
        <v>87</v>
      </c>
      <c r="AB10" s="36">
        <f t="shared" si="7"/>
        <v>0.73109243697478987</v>
      </c>
      <c r="AC10" s="17">
        <v>111</v>
      </c>
      <c r="AD10" s="36">
        <f t="shared" si="15"/>
        <v>0.20593692022263452</v>
      </c>
      <c r="AE10" s="17">
        <v>19</v>
      </c>
      <c r="AF10" s="36">
        <f t="shared" si="8"/>
        <v>0.15966386554621848</v>
      </c>
      <c r="AG10" s="17">
        <v>47</v>
      </c>
      <c r="AH10" s="36">
        <f t="shared" si="16"/>
        <v>8.7198515769944335E-2</v>
      </c>
      <c r="AI10" s="17">
        <v>6</v>
      </c>
      <c r="AJ10" s="36">
        <f t="shared" si="9"/>
        <v>5.0420168067226892E-2</v>
      </c>
      <c r="AK10" s="17">
        <v>6</v>
      </c>
      <c r="AL10" s="36">
        <f t="shared" si="17"/>
        <v>1.1131725417439703E-2</v>
      </c>
      <c r="AM10" s="17">
        <v>1</v>
      </c>
      <c r="AN10" s="36">
        <f t="shared" si="10"/>
        <v>8.4033613445378148E-3</v>
      </c>
      <c r="AO10" s="17">
        <v>539</v>
      </c>
      <c r="AP10" s="17">
        <v>119</v>
      </c>
    </row>
    <row r="11" spans="1:42" ht="15.75" customHeight="1" x14ac:dyDescent="0.25">
      <c r="A11" s="35">
        <v>2024</v>
      </c>
      <c r="B11" s="35">
        <v>170190</v>
      </c>
      <c r="C11" s="33" t="str">
        <f>VLOOKUP(B11,procv!$A$2:$D$142,4,FALSE)</f>
        <v>Cantão</v>
      </c>
      <c r="D11" s="33" t="s">
        <v>14</v>
      </c>
      <c r="E11" s="17">
        <v>7</v>
      </c>
      <c r="F11" s="36">
        <f t="shared" si="0"/>
        <v>1.1744966442953021E-2</v>
      </c>
      <c r="G11" s="17">
        <v>3</v>
      </c>
      <c r="H11" s="36">
        <f t="shared" si="1"/>
        <v>1.8404907975460124E-2</v>
      </c>
      <c r="I11" s="17">
        <v>18</v>
      </c>
      <c r="J11" s="36">
        <f t="shared" si="2"/>
        <v>3.0201342281879196E-2</v>
      </c>
      <c r="K11" s="17">
        <v>4</v>
      </c>
      <c r="L11" s="36">
        <f t="shared" si="3"/>
        <v>2.4539877300613498E-2</v>
      </c>
      <c r="M11" s="17">
        <v>571</v>
      </c>
      <c r="N11" s="36">
        <f t="shared" si="11"/>
        <v>0.95805369127516782</v>
      </c>
      <c r="O11" s="17">
        <v>156</v>
      </c>
      <c r="P11" s="36">
        <f t="shared" si="4"/>
        <v>0.95705521472392641</v>
      </c>
      <c r="Q11" s="17">
        <v>2</v>
      </c>
      <c r="R11" s="36">
        <f t="shared" si="12"/>
        <v>3.3557046979865771E-3</v>
      </c>
      <c r="S11" s="17">
        <v>1</v>
      </c>
      <c r="T11" s="36">
        <f t="shared" si="5"/>
        <v>6.1349693251533744E-3</v>
      </c>
      <c r="U11" s="17">
        <v>14</v>
      </c>
      <c r="V11" s="36">
        <f t="shared" si="13"/>
        <v>2.3489932885906041E-2</v>
      </c>
      <c r="W11" s="17">
        <v>1</v>
      </c>
      <c r="X11" s="36">
        <f t="shared" si="6"/>
        <v>6.1349693251533744E-3</v>
      </c>
      <c r="Y11" s="17">
        <v>413</v>
      </c>
      <c r="Z11" s="36">
        <f t="shared" si="14"/>
        <v>0.69295302013422821</v>
      </c>
      <c r="AA11" s="17">
        <v>116</v>
      </c>
      <c r="AB11" s="36">
        <f t="shared" si="7"/>
        <v>0.71165644171779141</v>
      </c>
      <c r="AC11" s="17">
        <v>114</v>
      </c>
      <c r="AD11" s="36">
        <f t="shared" si="15"/>
        <v>0.1912751677852349</v>
      </c>
      <c r="AE11" s="17">
        <v>36</v>
      </c>
      <c r="AF11" s="36">
        <f t="shared" si="8"/>
        <v>0.22085889570552147</v>
      </c>
      <c r="AG11" s="17">
        <v>42</v>
      </c>
      <c r="AH11" s="36">
        <f t="shared" si="16"/>
        <v>7.0469798657718116E-2</v>
      </c>
      <c r="AI11" s="17">
        <v>9</v>
      </c>
      <c r="AJ11" s="36">
        <f t="shared" si="9"/>
        <v>5.5214723926380369E-2</v>
      </c>
      <c r="AK11" s="17">
        <v>11</v>
      </c>
      <c r="AL11" s="36">
        <f t="shared" si="17"/>
        <v>1.8456375838926176E-2</v>
      </c>
      <c r="AM11" s="17">
        <v>0</v>
      </c>
      <c r="AN11" s="36">
        <f t="shared" si="10"/>
        <v>0</v>
      </c>
      <c r="AO11" s="17">
        <v>596</v>
      </c>
      <c r="AP11" s="17">
        <v>163</v>
      </c>
    </row>
    <row r="12" spans="1:42" ht="15.75" customHeight="1" x14ac:dyDescent="0.25">
      <c r="A12" s="35">
        <v>2024</v>
      </c>
      <c r="B12" s="35">
        <v>170200</v>
      </c>
      <c r="C12" s="33" t="str">
        <f>VLOOKUP(B12,procv!$A$2:$D$142,4,FALSE)</f>
        <v>Ilha do Bananal</v>
      </c>
      <c r="D12" s="33" t="s">
        <v>15</v>
      </c>
      <c r="E12" s="17">
        <v>3</v>
      </c>
      <c r="F12" s="36">
        <f t="shared" si="0"/>
        <v>5.2539404553415062E-3</v>
      </c>
      <c r="G12" s="17">
        <v>0</v>
      </c>
      <c r="H12" s="36">
        <f t="shared" si="1"/>
        <v>0</v>
      </c>
      <c r="I12" s="17">
        <v>15</v>
      </c>
      <c r="J12" s="36">
        <f t="shared" si="2"/>
        <v>2.6269702276707531E-2</v>
      </c>
      <c r="K12" s="17">
        <v>2</v>
      </c>
      <c r="L12" s="36">
        <f t="shared" si="3"/>
        <v>3.0303030303030304E-2</v>
      </c>
      <c r="M12" s="17">
        <v>553</v>
      </c>
      <c r="N12" s="36">
        <f t="shared" si="11"/>
        <v>0.968476357267951</v>
      </c>
      <c r="O12" s="17">
        <v>64</v>
      </c>
      <c r="P12" s="36">
        <f t="shared" si="4"/>
        <v>0.96969696969696972</v>
      </c>
      <c r="Q12" s="17">
        <v>4</v>
      </c>
      <c r="R12" s="36">
        <f t="shared" si="12"/>
        <v>7.0052539404553416E-3</v>
      </c>
      <c r="S12" s="17">
        <v>2</v>
      </c>
      <c r="T12" s="36">
        <f t="shared" si="5"/>
        <v>3.0303030303030304E-2</v>
      </c>
      <c r="U12" s="17">
        <v>12</v>
      </c>
      <c r="V12" s="36">
        <f t="shared" si="13"/>
        <v>2.1015761821366025E-2</v>
      </c>
      <c r="W12" s="17">
        <v>0</v>
      </c>
      <c r="X12" s="36">
        <f t="shared" si="6"/>
        <v>0</v>
      </c>
      <c r="Y12" s="17">
        <v>362</v>
      </c>
      <c r="Z12" s="36">
        <f t="shared" si="14"/>
        <v>0.63397548161120842</v>
      </c>
      <c r="AA12" s="17">
        <v>44</v>
      </c>
      <c r="AB12" s="36">
        <f t="shared" si="7"/>
        <v>0.66666666666666663</v>
      </c>
      <c r="AC12" s="17">
        <v>101</v>
      </c>
      <c r="AD12" s="36">
        <f t="shared" si="15"/>
        <v>0.17688266199649738</v>
      </c>
      <c r="AE12" s="17">
        <v>11</v>
      </c>
      <c r="AF12" s="36">
        <f t="shared" si="8"/>
        <v>0.16666666666666666</v>
      </c>
      <c r="AG12" s="17">
        <v>73</v>
      </c>
      <c r="AH12" s="36">
        <f t="shared" si="16"/>
        <v>0.12784588441330999</v>
      </c>
      <c r="AI12" s="17">
        <v>8</v>
      </c>
      <c r="AJ12" s="36">
        <f t="shared" si="9"/>
        <v>0.12121212121212122</v>
      </c>
      <c r="AK12" s="17">
        <v>19</v>
      </c>
      <c r="AL12" s="36">
        <f t="shared" si="17"/>
        <v>3.3274956217162872E-2</v>
      </c>
      <c r="AM12" s="17">
        <v>1</v>
      </c>
      <c r="AN12" s="36">
        <f t="shared" si="10"/>
        <v>1.5151515151515152E-2</v>
      </c>
      <c r="AO12" s="17">
        <v>571</v>
      </c>
      <c r="AP12" s="17">
        <v>66</v>
      </c>
    </row>
    <row r="13" spans="1:42" ht="15.75" customHeight="1" x14ac:dyDescent="0.25">
      <c r="A13" s="35">
        <v>2024</v>
      </c>
      <c r="B13" s="35">
        <v>170210</v>
      </c>
      <c r="C13" s="33" t="str">
        <f>VLOOKUP(B13,procv!$A$2:$D$142,4,FALSE)</f>
        <v>Médio Norte Araguaia</v>
      </c>
      <c r="D13" s="33" t="s">
        <v>16</v>
      </c>
      <c r="E13" s="17">
        <v>97</v>
      </c>
      <c r="F13" s="36">
        <f t="shared" si="0"/>
        <v>8.9129835523293205E-3</v>
      </c>
      <c r="G13" s="17">
        <v>22</v>
      </c>
      <c r="H13" s="36">
        <f t="shared" si="1"/>
        <v>8.6546026750590095E-3</v>
      </c>
      <c r="I13" s="17">
        <v>357</v>
      </c>
      <c r="J13" s="36">
        <f t="shared" si="2"/>
        <v>3.2803454929706884E-2</v>
      </c>
      <c r="K13" s="17">
        <v>81</v>
      </c>
      <c r="L13" s="36">
        <f t="shared" si="3"/>
        <v>3.1864673485444535E-2</v>
      </c>
      <c r="M13" s="16">
        <v>10429</v>
      </c>
      <c r="N13" s="36">
        <f t="shared" si="11"/>
        <v>0.95828356151796379</v>
      </c>
      <c r="O13" s="16">
        <v>2439</v>
      </c>
      <c r="P13" s="36">
        <f t="shared" si="4"/>
        <v>0.95948072383949645</v>
      </c>
      <c r="Q13" s="17">
        <v>107</v>
      </c>
      <c r="R13" s="36">
        <f t="shared" si="12"/>
        <v>9.8318478360746118E-3</v>
      </c>
      <c r="S13" s="17">
        <v>19</v>
      </c>
      <c r="T13" s="36">
        <f t="shared" si="5"/>
        <v>7.4744295830055079E-3</v>
      </c>
      <c r="U13" s="17">
        <v>414</v>
      </c>
      <c r="V13" s="36">
        <f t="shared" si="13"/>
        <v>3.8040981347055039E-2</v>
      </c>
      <c r="W13" s="17">
        <v>78</v>
      </c>
      <c r="X13" s="36">
        <f t="shared" si="6"/>
        <v>3.0684500393391032E-2</v>
      </c>
      <c r="Y13" s="16">
        <v>7158</v>
      </c>
      <c r="Z13" s="36">
        <f t="shared" si="14"/>
        <v>0.65772305430487921</v>
      </c>
      <c r="AA13" s="16">
        <v>1442</v>
      </c>
      <c r="AB13" s="36">
        <f t="shared" si="7"/>
        <v>0.56726986624704956</v>
      </c>
      <c r="AC13" s="16">
        <v>2088</v>
      </c>
      <c r="AD13" s="36">
        <f t="shared" si="15"/>
        <v>0.19185886244601671</v>
      </c>
      <c r="AE13" s="17">
        <v>789</v>
      </c>
      <c r="AF13" s="36">
        <f t="shared" si="8"/>
        <v>0.31038552321007079</v>
      </c>
      <c r="AG13" s="17">
        <v>921</v>
      </c>
      <c r="AH13" s="36">
        <f t="shared" si="16"/>
        <v>8.462740053294128E-2</v>
      </c>
      <c r="AI13" s="17">
        <v>193</v>
      </c>
      <c r="AJ13" s="36">
        <f t="shared" si="9"/>
        <v>7.5924468922108579E-2</v>
      </c>
      <c r="AK13" s="17">
        <v>195</v>
      </c>
      <c r="AL13" s="36">
        <f t="shared" si="17"/>
        <v>1.7917853533033171E-2</v>
      </c>
      <c r="AM13" s="17">
        <v>21</v>
      </c>
      <c r="AN13" s="36">
        <f t="shared" si="10"/>
        <v>8.2612116443745078E-3</v>
      </c>
      <c r="AO13" s="16">
        <v>10883</v>
      </c>
      <c r="AP13" s="16">
        <v>2542</v>
      </c>
    </row>
    <row r="14" spans="1:42" ht="15.75" customHeight="1" x14ac:dyDescent="0.25">
      <c r="A14" s="35">
        <v>2024</v>
      </c>
      <c r="B14" s="35">
        <v>170215</v>
      </c>
      <c r="C14" s="33" t="str">
        <f>VLOOKUP(B14,procv!$A$2:$D$142,4,FALSE)</f>
        <v>Médio Norte Araguaia</v>
      </c>
      <c r="D14" s="33" t="s">
        <v>17</v>
      </c>
      <c r="E14" s="17">
        <v>7</v>
      </c>
      <c r="F14" s="36">
        <f t="shared" si="0"/>
        <v>2.4305555555555556E-2</v>
      </c>
      <c r="G14" s="17">
        <v>1</v>
      </c>
      <c r="H14" s="36">
        <f t="shared" si="1"/>
        <v>1.2048192771084338E-2</v>
      </c>
      <c r="I14" s="17">
        <v>19</v>
      </c>
      <c r="J14" s="36">
        <f t="shared" si="2"/>
        <v>6.5972222222222224E-2</v>
      </c>
      <c r="K14" s="17">
        <v>3</v>
      </c>
      <c r="L14" s="36">
        <f t="shared" si="3"/>
        <v>3.614457831325301E-2</v>
      </c>
      <c r="M14" s="17">
        <v>262</v>
      </c>
      <c r="N14" s="36">
        <f t="shared" si="11"/>
        <v>0.90972222222222221</v>
      </c>
      <c r="O14" s="17">
        <v>79</v>
      </c>
      <c r="P14" s="36">
        <f t="shared" si="4"/>
        <v>0.95180722891566261</v>
      </c>
      <c r="Q14" s="17">
        <v>4</v>
      </c>
      <c r="R14" s="36">
        <f t="shared" si="12"/>
        <v>1.3888888888888888E-2</v>
      </c>
      <c r="S14" s="17">
        <v>2</v>
      </c>
      <c r="T14" s="36">
        <f t="shared" si="5"/>
        <v>2.4096385542168676E-2</v>
      </c>
      <c r="U14" s="17">
        <v>8</v>
      </c>
      <c r="V14" s="36">
        <f t="shared" si="13"/>
        <v>2.7777777777777776E-2</v>
      </c>
      <c r="W14" s="17">
        <v>2</v>
      </c>
      <c r="X14" s="36">
        <f t="shared" si="6"/>
        <v>2.4096385542168676E-2</v>
      </c>
      <c r="Y14" s="17">
        <v>199</v>
      </c>
      <c r="Z14" s="36">
        <f t="shared" si="14"/>
        <v>0.69097222222222221</v>
      </c>
      <c r="AA14" s="17">
        <v>58</v>
      </c>
      <c r="AB14" s="36">
        <f t="shared" si="7"/>
        <v>0.6987951807228916</v>
      </c>
      <c r="AC14" s="17">
        <v>56</v>
      </c>
      <c r="AD14" s="36">
        <f t="shared" si="15"/>
        <v>0.19444444444444445</v>
      </c>
      <c r="AE14" s="17">
        <v>17</v>
      </c>
      <c r="AF14" s="36">
        <f t="shared" si="8"/>
        <v>0.20481927710843373</v>
      </c>
      <c r="AG14" s="17">
        <v>17</v>
      </c>
      <c r="AH14" s="36">
        <f t="shared" si="16"/>
        <v>5.9027777777777776E-2</v>
      </c>
      <c r="AI14" s="17">
        <v>4</v>
      </c>
      <c r="AJ14" s="36">
        <f t="shared" si="9"/>
        <v>4.8192771084337352E-2</v>
      </c>
      <c r="AK14" s="17">
        <v>4</v>
      </c>
      <c r="AL14" s="36">
        <f t="shared" si="17"/>
        <v>1.3888888888888888E-2</v>
      </c>
      <c r="AM14" s="17">
        <v>0</v>
      </c>
      <c r="AN14" s="36">
        <f t="shared" si="10"/>
        <v>0</v>
      </c>
      <c r="AO14" s="17">
        <v>288</v>
      </c>
      <c r="AP14" s="17">
        <v>83</v>
      </c>
    </row>
    <row r="15" spans="1:42" ht="15.75" customHeight="1" x14ac:dyDescent="0.25">
      <c r="A15" s="35">
        <v>2024</v>
      </c>
      <c r="B15" s="35">
        <v>170220</v>
      </c>
      <c r="C15" s="33" t="str">
        <f>VLOOKUP(B15,procv!$A$2:$D$142,4,FALSE)</f>
        <v>Bico do Papagaio</v>
      </c>
      <c r="D15" s="33" t="s">
        <v>18</v>
      </c>
      <c r="E15" s="17">
        <v>58</v>
      </c>
      <c r="F15" s="36">
        <f t="shared" si="0"/>
        <v>1.7699115044247787E-2</v>
      </c>
      <c r="G15" s="17">
        <v>17</v>
      </c>
      <c r="H15" s="36">
        <f t="shared" si="1"/>
        <v>3.0035335689045935E-2</v>
      </c>
      <c r="I15" s="17">
        <v>138</v>
      </c>
      <c r="J15" s="36">
        <f t="shared" si="2"/>
        <v>4.2111687519072322E-2</v>
      </c>
      <c r="K15" s="17">
        <v>27</v>
      </c>
      <c r="L15" s="36">
        <f t="shared" si="3"/>
        <v>4.7703180212014133E-2</v>
      </c>
      <c r="M15" s="16">
        <v>3081</v>
      </c>
      <c r="N15" s="36">
        <f t="shared" si="11"/>
        <v>0.94018919743667984</v>
      </c>
      <c r="O15" s="17">
        <v>522</v>
      </c>
      <c r="P15" s="36">
        <f t="shared" si="4"/>
        <v>0.92226148409893993</v>
      </c>
      <c r="Q15" s="17">
        <v>61</v>
      </c>
      <c r="R15" s="36">
        <f t="shared" si="12"/>
        <v>1.8614586512053707E-2</v>
      </c>
      <c r="S15" s="17">
        <v>8</v>
      </c>
      <c r="T15" s="36">
        <f t="shared" si="5"/>
        <v>1.4134275618374558E-2</v>
      </c>
      <c r="U15" s="17">
        <v>221</v>
      </c>
      <c r="V15" s="36">
        <f t="shared" si="13"/>
        <v>6.7439731461702776E-2</v>
      </c>
      <c r="W15" s="17">
        <v>41</v>
      </c>
      <c r="X15" s="36">
        <f t="shared" si="6"/>
        <v>7.2438162544169613E-2</v>
      </c>
      <c r="Y15" s="16">
        <v>2376</v>
      </c>
      <c r="Z15" s="36">
        <f t="shared" si="14"/>
        <v>0.72505340250228867</v>
      </c>
      <c r="AA15" s="17">
        <v>402</v>
      </c>
      <c r="AB15" s="36">
        <f t="shared" si="7"/>
        <v>0.71024734982332161</v>
      </c>
      <c r="AC15" s="17">
        <v>416</v>
      </c>
      <c r="AD15" s="36">
        <f t="shared" si="15"/>
        <v>0.12694537686908758</v>
      </c>
      <c r="AE15" s="17">
        <v>78</v>
      </c>
      <c r="AF15" s="36">
        <f t="shared" si="8"/>
        <v>0.13780918727915195</v>
      </c>
      <c r="AG15" s="17">
        <v>175</v>
      </c>
      <c r="AH15" s="36">
        <f t="shared" si="16"/>
        <v>5.3402502288678669E-2</v>
      </c>
      <c r="AI15" s="17">
        <v>34</v>
      </c>
      <c r="AJ15" s="36">
        <f t="shared" si="9"/>
        <v>6.0070671378091869E-2</v>
      </c>
      <c r="AK15" s="17">
        <v>28</v>
      </c>
      <c r="AL15" s="36">
        <f t="shared" si="17"/>
        <v>8.544400366188587E-3</v>
      </c>
      <c r="AM15" s="17">
        <v>3</v>
      </c>
      <c r="AN15" s="36">
        <f t="shared" si="10"/>
        <v>5.3003533568904597E-3</v>
      </c>
      <c r="AO15" s="16">
        <v>3277</v>
      </c>
      <c r="AP15" s="17">
        <v>566</v>
      </c>
    </row>
    <row r="16" spans="1:42" ht="15.75" customHeight="1" x14ac:dyDescent="0.25">
      <c r="A16" s="35">
        <v>2024</v>
      </c>
      <c r="B16" s="35">
        <v>170230</v>
      </c>
      <c r="C16" s="33" t="str">
        <f>VLOOKUP(B16,procv!$A$2:$D$142,4,FALSE)</f>
        <v>Cerrado Tocantins Araguaia</v>
      </c>
      <c r="D16" s="33" t="s">
        <v>19</v>
      </c>
      <c r="E16" s="17">
        <v>6</v>
      </c>
      <c r="F16" s="36">
        <f t="shared" si="0"/>
        <v>1.6483516483516484E-2</v>
      </c>
      <c r="G16" s="17">
        <v>2</v>
      </c>
      <c r="H16" s="36">
        <f t="shared" si="1"/>
        <v>1.8518518518518517E-2</v>
      </c>
      <c r="I16" s="17">
        <v>22</v>
      </c>
      <c r="J16" s="36">
        <f t="shared" si="2"/>
        <v>6.043956043956044E-2</v>
      </c>
      <c r="K16" s="17">
        <v>8</v>
      </c>
      <c r="L16" s="36">
        <f t="shared" si="3"/>
        <v>7.407407407407407E-2</v>
      </c>
      <c r="M16" s="17">
        <v>336</v>
      </c>
      <c r="N16" s="36">
        <f t="shared" si="11"/>
        <v>0.92307692307692313</v>
      </c>
      <c r="O16" s="17">
        <v>98</v>
      </c>
      <c r="P16" s="36">
        <f t="shared" si="4"/>
        <v>0.90740740740740744</v>
      </c>
      <c r="Q16" s="17">
        <v>2</v>
      </c>
      <c r="R16" s="36">
        <f t="shared" si="12"/>
        <v>5.4945054945054949E-3</v>
      </c>
      <c r="S16" s="17">
        <v>1</v>
      </c>
      <c r="T16" s="36">
        <f t="shared" si="5"/>
        <v>9.2592592592592587E-3</v>
      </c>
      <c r="U16" s="17">
        <v>15</v>
      </c>
      <c r="V16" s="36">
        <f t="shared" si="13"/>
        <v>4.1208791208791208E-2</v>
      </c>
      <c r="W16" s="17">
        <v>2</v>
      </c>
      <c r="X16" s="36">
        <f t="shared" si="6"/>
        <v>1.8518518518518517E-2</v>
      </c>
      <c r="Y16" s="17">
        <v>242</v>
      </c>
      <c r="Z16" s="36">
        <f t="shared" si="14"/>
        <v>0.6648351648351648</v>
      </c>
      <c r="AA16" s="17">
        <v>76</v>
      </c>
      <c r="AB16" s="36">
        <f t="shared" si="7"/>
        <v>0.70370370370370372</v>
      </c>
      <c r="AC16" s="17">
        <v>65</v>
      </c>
      <c r="AD16" s="36">
        <f t="shared" si="15"/>
        <v>0.17857142857142858</v>
      </c>
      <c r="AE16" s="17">
        <v>20</v>
      </c>
      <c r="AF16" s="36">
        <f t="shared" si="8"/>
        <v>0.18518518518518517</v>
      </c>
      <c r="AG16" s="17">
        <v>30</v>
      </c>
      <c r="AH16" s="36">
        <f t="shared" si="16"/>
        <v>8.2417582417582416E-2</v>
      </c>
      <c r="AI16" s="17">
        <v>8</v>
      </c>
      <c r="AJ16" s="36">
        <f t="shared" si="9"/>
        <v>7.407407407407407E-2</v>
      </c>
      <c r="AK16" s="17">
        <v>10</v>
      </c>
      <c r="AL16" s="36">
        <f t="shared" si="17"/>
        <v>2.7472527472527472E-2</v>
      </c>
      <c r="AM16" s="17">
        <v>1</v>
      </c>
      <c r="AN16" s="36">
        <f t="shared" si="10"/>
        <v>9.2592592592592587E-3</v>
      </c>
      <c r="AO16" s="17">
        <v>364</v>
      </c>
      <c r="AP16" s="17">
        <v>108</v>
      </c>
    </row>
    <row r="17" spans="1:42" ht="15.75" customHeight="1" x14ac:dyDescent="0.25">
      <c r="A17" s="35">
        <v>2024</v>
      </c>
      <c r="B17" s="35">
        <v>170240</v>
      </c>
      <c r="C17" s="33" t="str">
        <f>VLOOKUP(B17,procv!$A$2:$D$142,4,FALSE)</f>
        <v>Sudeste</v>
      </c>
      <c r="D17" s="33" t="s">
        <v>20</v>
      </c>
      <c r="E17" s="17">
        <v>6</v>
      </c>
      <c r="F17" s="36">
        <f t="shared" si="0"/>
        <v>5.8027079303675051E-3</v>
      </c>
      <c r="G17" s="17">
        <v>2</v>
      </c>
      <c r="H17" s="36">
        <f t="shared" si="1"/>
        <v>7.7821011673151752E-3</v>
      </c>
      <c r="I17" s="17">
        <v>28</v>
      </c>
      <c r="J17" s="36">
        <f t="shared" si="2"/>
        <v>2.7079303675048357E-2</v>
      </c>
      <c r="K17" s="17">
        <v>8</v>
      </c>
      <c r="L17" s="36">
        <f t="shared" si="3"/>
        <v>3.1128404669260701E-2</v>
      </c>
      <c r="M17" s="16">
        <v>1000</v>
      </c>
      <c r="N17" s="36">
        <f t="shared" si="11"/>
        <v>0.96711798839458418</v>
      </c>
      <c r="O17" s="17">
        <v>247</v>
      </c>
      <c r="P17" s="36">
        <f t="shared" si="4"/>
        <v>0.96108949416342415</v>
      </c>
      <c r="Q17" s="17">
        <v>8</v>
      </c>
      <c r="R17" s="36">
        <f t="shared" si="12"/>
        <v>7.7369439071566732E-3</v>
      </c>
      <c r="S17" s="17">
        <v>2</v>
      </c>
      <c r="T17" s="36">
        <f t="shared" si="5"/>
        <v>7.7821011673151752E-3</v>
      </c>
      <c r="U17" s="17">
        <v>38</v>
      </c>
      <c r="V17" s="36">
        <f t="shared" si="13"/>
        <v>3.6750483558994199E-2</v>
      </c>
      <c r="W17" s="17">
        <v>10</v>
      </c>
      <c r="X17" s="36">
        <f t="shared" si="6"/>
        <v>3.8910505836575876E-2</v>
      </c>
      <c r="Y17" s="17">
        <v>756</v>
      </c>
      <c r="Z17" s="36">
        <f t="shared" si="14"/>
        <v>0.7311411992263056</v>
      </c>
      <c r="AA17" s="17">
        <v>180</v>
      </c>
      <c r="AB17" s="36">
        <f t="shared" si="7"/>
        <v>0.70038910505836571</v>
      </c>
      <c r="AC17" s="17">
        <v>147</v>
      </c>
      <c r="AD17" s="36">
        <f t="shared" si="15"/>
        <v>0.14216634429400388</v>
      </c>
      <c r="AE17" s="17">
        <v>47</v>
      </c>
      <c r="AF17" s="36">
        <f t="shared" si="8"/>
        <v>0.1828793774319066</v>
      </c>
      <c r="AG17" s="17">
        <v>70</v>
      </c>
      <c r="AH17" s="36">
        <f t="shared" si="16"/>
        <v>6.7698259187620888E-2</v>
      </c>
      <c r="AI17" s="17">
        <v>13</v>
      </c>
      <c r="AJ17" s="36">
        <f t="shared" si="9"/>
        <v>5.0583657587548639E-2</v>
      </c>
      <c r="AK17" s="17">
        <v>15</v>
      </c>
      <c r="AL17" s="36">
        <f t="shared" si="17"/>
        <v>1.4506769825918761E-2</v>
      </c>
      <c r="AM17" s="17">
        <v>5</v>
      </c>
      <c r="AN17" s="36">
        <f t="shared" si="10"/>
        <v>1.9455252918287938E-2</v>
      </c>
      <c r="AO17" s="16">
        <v>1034</v>
      </c>
      <c r="AP17" s="17">
        <v>257</v>
      </c>
    </row>
    <row r="18" spans="1:42" ht="15.75" customHeight="1" x14ac:dyDescent="0.25">
      <c r="A18" s="35">
        <v>2024</v>
      </c>
      <c r="B18" s="35">
        <v>170255</v>
      </c>
      <c r="C18" s="33" t="str">
        <f>VLOOKUP(B18,procv!$A$2:$D$142,4,FALSE)</f>
        <v>Bico do Papagaio</v>
      </c>
      <c r="D18" s="33" t="s">
        <v>21</v>
      </c>
      <c r="E18" s="17">
        <v>21</v>
      </c>
      <c r="F18" s="36">
        <f t="shared" si="0"/>
        <v>1.661392405063291E-2</v>
      </c>
      <c r="G18" s="17">
        <v>7</v>
      </c>
      <c r="H18" s="36">
        <f t="shared" si="1"/>
        <v>2.5925925925925925E-2</v>
      </c>
      <c r="I18" s="17">
        <v>52</v>
      </c>
      <c r="J18" s="36">
        <f t="shared" si="2"/>
        <v>4.1139240506329111E-2</v>
      </c>
      <c r="K18" s="17">
        <v>8</v>
      </c>
      <c r="L18" s="36">
        <f t="shared" si="3"/>
        <v>2.9629629629629631E-2</v>
      </c>
      <c r="M18" s="16">
        <v>1191</v>
      </c>
      <c r="N18" s="36">
        <f t="shared" si="11"/>
        <v>0.942246835443038</v>
      </c>
      <c r="O18" s="17">
        <v>255</v>
      </c>
      <c r="P18" s="36">
        <f t="shared" si="4"/>
        <v>0.94444444444444442</v>
      </c>
      <c r="Q18" s="17">
        <v>20</v>
      </c>
      <c r="R18" s="36">
        <f t="shared" si="12"/>
        <v>1.5822784810126583E-2</v>
      </c>
      <c r="S18" s="17">
        <v>5</v>
      </c>
      <c r="T18" s="36">
        <f t="shared" si="5"/>
        <v>1.8518518518518517E-2</v>
      </c>
      <c r="U18" s="17">
        <v>62</v>
      </c>
      <c r="V18" s="36">
        <f t="shared" si="13"/>
        <v>4.9050632911392403E-2</v>
      </c>
      <c r="W18" s="17">
        <v>16</v>
      </c>
      <c r="X18" s="36">
        <f t="shared" si="6"/>
        <v>5.9259259259259262E-2</v>
      </c>
      <c r="Y18" s="17">
        <v>906</v>
      </c>
      <c r="Z18" s="36">
        <f t="shared" si="14"/>
        <v>0.71677215189873422</v>
      </c>
      <c r="AA18" s="17">
        <v>194</v>
      </c>
      <c r="AB18" s="36">
        <f t="shared" si="7"/>
        <v>0.71851851851851856</v>
      </c>
      <c r="AC18" s="17">
        <v>181</v>
      </c>
      <c r="AD18" s="36">
        <f t="shared" si="15"/>
        <v>0.14319620253164558</v>
      </c>
      <c r="AE18" s="17">
        <v>30</v>
      </c>
      <c r="AF18" s="36">
        <f t="shared" si="8"/>
        <v>0.1111111111111111</v>
      </c>
      <c r="AG18" s="17">
        <v>82</v>
      </c>
      <c r="AH18" s="36">
        <f t="shared" si="16"/>
        <v>6.4873417721518986E-2</v>
      </c>
      <c r="AI18" s="17">
        <v>22</v>
      </c>
      <c r="AJ18" s="36">
        <f t="shared" si="9"/>
        <v>8.1481481481481488E-2</v>
      </c>
      <c r="AK18" s="17">
        <v>13</v>
      </c>
      <c r="AL18" s="36">
        <f t="shared" si="17"/>
        <v>1.0284810126582278E-2</v>
      </c>
      <c r="AM18" s="17">
        <v>3</v>
      </c>
      <c r="AN18" s="36">
        <f t="shared" si="10"/>
        <v>1.1111111111111112E-2</v>
      </c>
      <c r="AO18" s="16">
        <v>1264</v>
      </c>
      <c r="AP18" s="17">
        <v>270</v>
      </c>
    </row>
    <row r="19" spans="1:42" ht="15.75" customHeight="1" x14ac:dyDescent="0.25">
      <c r="A19" s="35">
        <v>2024</v>
      </c>
      <c r="B19" s="35">
        <v>170270</v>
      </c>
      <c r="C19" s="33" t="str">
        <f>VLOOKUP(B19,procv!$A$2:$D$142,4,FALSE)</f>
        <v>Sudeste</v>
      </c>
      <c r="D19" s="33" t="s">
        <v>22</v>
      </c>
      <c r="E19" s="17">
        <v>1</v>
      </c>
      <c r="F19" s="36">
        <f t="shared" si="0"/>
        <v>2.6455026455026454E-3</v>
      </c>
      <c r="G19" s="17">
        <v>1</v>
      </c>
      <c r="H19" s="36">
        <f t="shared" si="1"/>
        <v>1.4705882352941176E-2</v>
      </c>
      <c r="I19" s="17">
        <v>5</v>
      </c>
      <c r="J19" s="36">
        <f t="shared" si="2"/>
        <v>1.3227513227513227E-2</v>
      </c>
      <c r="K19" s="17">
        <v>0</v>
      </c>
      <c r="L19" s="36">
        <f t="shared" si="3"/>
        <v>0</v>
      </c>
      <c r="M19" s="17">
        <v>372</v>
      </c>
      <c r="N19" s="36">
        <f t="shared" si="11"/>
        <v>0.98412698412698407</v>
      </c>
      <c r="O19" s="17">
        <v>67</v>
      </c>
      <c r="P19" s="36">
        <f t="shared" si="4"/>
        <v>0.98529411764705888</v>
      </c>
      <c r="Q19" s="17">
        <v>3</v>
      </c>
      <c r="R19" s="36">
        <f t="shared" si="12"/>
        <v>7.9365079365079361E-3</v>
      </c>
      <c r="S19" s="17">
        <v>1</v>
      </c>
      <c r="T19" s="36">
        <f t="shared" si="5"/>
        <v>1.4705882352941176E-2</v>
      </c>
      <c r="U19" s="17">
        <v>21</v>
      </c>
      <c r="V19" s="36">
        <f t="shared" si="13"/>
        <v>5.5555555555555552E-2</v>
      </c>
      <c r="W19" s="17">
        <v>5</v>
      </c>
      <c r="X19" s="36">
        <f t="shared" si="6"/>
        <v>7.3529411764705885E-2</v>
      </c>
      <c r="Y19" s="17">
        <v>267</v>
      </c>
      <c r="Z19" s="36">
        <f t="shared" si="14"/>
        <v>0.70634920634920639</v>
      </c>
      <c r="AA19" s="17">
        <v>50</v>
      </c>
      <c r="AB19" s="36">
        <f t="shared" si="7"/>
        <v>0.73529411764705888</v>
      </c>
      <c r="AC19" s="17">
        <v>53</v>
      </c>
      <c r="AD19" s="36">
        <f t="shared" si="15"/>
        <v>0.1402116402116402</v>
      </c>
      <c r="AE19" s="17">
        <v>8</v>
      </c>
      <c r="AF19" s="36">
        <f t="shared" si="8"/>
        <v>0.11764705882352941</v>
      </c>
      <c r="AG19" s="17">
        <v>28</v>
      </c>
      <c r="AH19" s="36">
        <f t="shared" si="16"/>
        <v>7.407407407407407E-2</v>
      </c>
      <c r="AI19" s="17">
        <v>3</v>
      </c>
      <c r="AJ19" s="36">
        <f t="shared" si="9"/>
        <v>4.4117647058823532E-2</v>
      </c>
      <c r="AK19" s="17">
        <v>6</v>
      </c>
      <c r="AL19" s="36">
        <f t="shared" si="17"/>
        <v>1.5873015873015872E-2</v>
      </c>
      <c r="AM19" s="17">
        <v>1</v>
      </c>
      <c r="AN19" s="36">
        <f t="shared" si="10"/>
        <v>1.4705882352941176E-2</v>
      </c>
      <c r="AO19" s="17">
        <v>378</v>
      </c>
      <c r="AP19" s="17">
        <v>68</v>
      </c>
    </row>
    <row r="20" spans="1:42" ht="15.75" customHeight="1" x14ac:dyDescent="0.25">
      <c r="A20" s="35">
        <v>2024</v>
      </c>
      <c r="B20" s="35">
        <v>170290</v>
      </c>
      <c r="C20" s="33" t="str">
        <f>VLOOKUP(B20,procv!$A$2:$D$142,4,FALSE)</f>
        <v>Bico do Papagaio</v>
      </c>
      <c r="D20" s="33" t="s">
        <v>23</v>
      </c>
      <c r="E20" s="17">
        <v>43</v>
      </c>
      <c r="F20" s="36">
        <f t="shared" si="0"/>
        <v>5.5989583333333336E-2</v>
      </c>
      <c r="G20" s="17">
        <v>38</v>
      </c>
      <c r="H20" s="36">
        <f t="shared" si="1"/>
        <v>7.9166666666666663E-2</v>
      </c>
      <c r="I20" s="17">
        <v>53</v>
      </c>
      <c r="J20" s="36">
        <f t="shared" si="2"/>
        <v>6.9010416666666671E-2</v>
      </c>
      <c r="K20" s="17">
        <v>41</v>
      </c>
      <c r="L20" s="36">
        <f t="shared" si="3"/>
        <v>8.5416666666666669E-2</v>
      </c>
      <c r="M20" s="17">
        <v>672</v>
      </c>
      <c r="N20" s="36">
        <f t="shared" si="11"/>
        <v>0.875</v>
      </c>
      <c r="O20" s="17">
        <v>401</v>
      </c>
      <c r="P20" s="36">
        <f t="shared" si="4"/>
        <v>0.8354166666666667</v>
      </c>
      <c r="Q20" s="17">
        <v>14</v>
      </c>
      <c r="R20" s="36">
        <f t="shared" si="12"/>
        <v>1.8229166666666668E-2</v>
      </c>
      <c r="S20" s="17">
        <v>9</v>
      </c>
      <c r="T20" s="36">
        <f t="shared" si="5"/>
        <v>1.8749999999999999E-2</v>
      </c>
      <c r="U20" s="17">
        <v>35</v>
      </c>
      <c r="V20" s="36">
        <f t="shared" si="13"/>
        <v>4.5572916666666664E-2</v>
      </c>
      <c r="W20" s="17">
        <v>23</v>
      </c>
      <c r="X20" s="36">
        <f t="shared" si="6"/>
        <v>4.791666666666667E-2</v>
      </c>
      <c r="Y20" s="17">
        <v>519</v>
      </c>
      <c r="Z20" s="36">
        <f t="shared" si="14"/>
        <v>0.67578125</v>
      </c>
      <c r="AA20" s="17">
        <v>322</v>
      </c>
      <c r="AB20" s="36">
        <f t="shared" si="7"/>
        <v>0.67083333333333328</v>
      </c>
      <c r="AC20" s="17">
        <v>126</v>
      </c>
      <c r="AD20" s="36">
        <f t="shared" si="15"/>
        <v>0.1640625</v>
      </c>
      <c r="AE20" s="17">
        <v>80</v>
      </c>
      <c r="AF20" s="36">
        <f t="shared" si="8"/>
        <v>0.16666666666666666</v>
      </c>
      <c r="AG20" s="17">
        <v>58</v>
      </c>
      <c r="AH20" s="36">
        <f t="shared" si="16"/>
        <v>7.5520833333333329E-2</v>
      </c>
      <c r="AI20" s="17">
        <v>39</v>
      </c>
      <c r="AJ20" s="36">
        <f t="shared" si="9"/>
        <v>8.1250000000000003E-2</v>
      </c>
      <c r="AK20" s="17">
        <v>16</v>
      </c>
      <c r="AL20" s="36">
        <f t="shared" si="17"/>
        <v>2.0833333333333332E-2</v>
      </c>
      <c r="AM20" s="17">
        <v>7</v>
      </c>
      <c r="AN20" s="36">
        <f t="shared" si="10"/>
        <v>1.4583333333333334E-2</v>
      </c>
      <c r="AO20" s="17">
        <v>768</v>
      </c>
      <c r="AP20" s="17">
        <v>480</v>
      </c>
    </row>
    <row r="21" spans="1:42" ht="15.75" customHeight="1" x14ac:dyDescent="0.25">
      <c r="A21" s="35">
        <v>2024</v>
      </c>
      <c r="B21" s="35">
        <v>170300</v>
      </c>
      <c r="C21" s="33" t="str">
        <f>VLOOKUP(B21,procv!$A$2:$D$142,4,FALSE)</f>
        <v>Médio Norte Araguaia</v>
      </c>
      <c r="D21" s="33" t="s">
        <v>24</v>
      </c>
      <c r="E21" s="17">
        <v>25</v>
      </c>
      <c r="F21" s="36">
        <f t="shared" si="0"/>
        <v>4.1876046901172533E-2</v>
      </c>
      <c r="G21" s="17">
        <v>9</v>
      </c>
      <c r="H21" s="36">
        <f t="shared" si="1"/>
        <v>6.9767441860465115E-2</v>
      </c>
      <c r="I21" s="17">
        <v>55</v>
      </c>
      <c r="J21" s="36">
        <f t="shared" si="2"/>
        <v>9.212730318257957E-2</v>
      </c>
      <c r="K21" s="17">
        <v>6</v>
      </c>
      <c r="L21" s="36">
        <f t="shared" si="3"/>
        <v>4.6511627906976744E-2</v>
      </c>
      <c r="M21" s="17">
        <v>517</v>
      </c>
      <c r="N21" s="36">
        <f t="shared" si="11"/>
        <v>0.86599664991624792</v>
      </c>
      <c r="O21" s="17">
        <v>114</v>
      </c>
      <c r="P21" s="36">
        <f t="shared" si="4"/>
        <v>0.88372093023255816</v>
      </c>
      <c r="Q21" s="17">
        <v>6</v>
      </c>
      <c r="R21" s="36">
        <f t="shared" si="12"/>
        <v>1.0050251256281407E-2</v>
      </c>
      <c r="S21" s="17">
        <v>2</v>
      </c>
      <c r="T21" s="36">
        <f t="shared" si="5"/>
        <v>1.5503875968992248E-2</v>
      </c>
      <c r="U21" s="17">
        <v>21</v>
      </c>
      <c r="V21" s="36">
        <f t="shared" si="13"/>
        <v>3.5175879396984924E-2</v>
      </c>
      <c r="W21" s="17">
        <v>4</v>
      </c>
      <c r="X21" s="36">
        <f t="shared" si="6"/>
        <v>3.1007751937984496E-2</v>
      </c>
      <c r="Y21" s="17">
        <v>403</v>
      </c>
      <c r="Z21" s="36">
        <f t="shared" si="14"/>
        <v>0.67504187604690113</v>
      </c>
      <c r="AA21" s="17">
        <v>85</v>
      </c>
      <c r="AB21" s="36">
        <f t="shared" si="7"/>
        <v>0.65891472868217049</v>
      </c>
      <c r="AC21" s="17">
        <v>108</v>
      </c>
      <c r="AD21" s="36">
        <f t="shared" si="15"/>
        <v>0.18090452261306533</v>
      </c>
      <c r="AE21" s="17">
        <v>22</v>
      </c>
      <c r="AF21" s="36">
        <f t="shared" si="8"/>
        <v>0.17054263565891473</v>
      </c>
      <c r="AG21" s="17">
        <v>46</v>
      </c>
      <c r="AH21" s="36">
        <f t="shared" si="16"/>
        <v>7.705192629815745E-2</v>
      </c>
      <c r="AI21" s="17">
        <v>11</v>
      </c>
      <c r="AJ21" s="36">
        <f t="shared" si="9"/>
        <v>8.5271317829457363E-2</v>
      </c>
      <c r="AK21" s="17">
        <v>13</v>
      </c>
      <c r="AL21" s="36">
        <f t="shared" si="17"/>
        <v>2.1775544388609715E-2</v>
      </c>
      <c r="AM21" s="17">
        <v>5</v>
      </c>
      <c r="AN21" s="36">
        <f t="shared" si="10"/>
        <v>3.875968992248062E-2</v>
      </c>
      <c r="AO21" s="17">
        <v>597</v>
      </c>
      <c r="AP21" s="17">
        <v>129</v>
      </c>
    </row>
    <row r="22" spans="1:42" ht="15.75" customHeight="1" x14ac:dyDescent="0.25">
      <c r="A22" s="35">
        <v>2024</v>
      </c>
      <c r="B22" s="35">
        <v>170305</v>
      </c>
      <c r="C22" s="33" t="str">
        <f>VLOOKUP(B22,procv!$A$2:$D$142,4,FALSE)</f>
        <v>Cerrado Tocantins Araguaia</v>
      </c>
      <c r="D22" s="33" t="s">
        <v>25</v>
      </c>
      <c r="E22" s="17">
        <v>1</v>
      </c>
      <c r="F22" s="36">
        <f t="shared" si="0"/>
        <v>3.5971223021582736E-3</v>
      </c>
      <c r="G22" s="17">
        <v>1</v>
      </c>
      <c r="H22" s="36">
        <f t="shared" si="1"/>
        <v>1.5873015873015872E-2</v>
      </c>
      <c r="I22" s="17">
        <v>5</v>
      </c>
      <c r="J22" s="36">
        <f t="shared" si="2"/>
        <v>1.7985611510791366E-2</v>
      </c>
      <c r="K22" s="17">
        <v>2</v>
      </c>
      <c r="L22" s="36">
        <f t="shared" si="3"/>
        <v>3.1746031746031744E-2</v>
      </c>
      <c r="M22" s="17">
        <v>272</v>
      </c>
      <c r="N22" s="36">
        <f t="shared" si="11"/>
        <v>0.97841726618705038</v>
      </c>
      <c r="O22" s="17">
        <v>60</v>
      </c>
      <c r="P22" s="36">
        <f t="shared" si="4"/>
        <v>0.95238095238095233</v>
      </c>
      <c r="Q22" s="17">
        <v>2</v>
      </c>
      <c r="R22" s="36">
        <f t="shared" si="12"/>
        <v>7.1942446043165471E-3</v>
      </c>
      <c r="S22" s="17">
        <v>0</v>
      </c>
      <c r="T22" s="36">
        <f t="shared" si="5"/>
        <v>0</v>
      </c>
      <c r="U22" s="17">
        <v>10</v>
      </c>
      <c r="V22" s="36">
        <f t="shared" si="13"/>
        <v>3.5971223021582732E-2</v>
      </c>
      <c r="W22" s="17">
        <v>1</v>
      </c>
      <c r="X22" s="36">
        <f t="shared" si="6"/>
        <v>1.5873015873015872E-2</v>
      </c>
      <c r="Y22" s="17">
        <v>178</v>
      </c>
      <c r="Z22" s="36">
        <f t="shared" si="14"/>
        <v>0.64028776978417268</v>
      </c>
      <c r="AA22" s="17">
        <v>39</v>
      </c>
      <c r="AB22" s="36">
        <f t="shared" si="7"/>
        <v>0.61904761904761907</v>
      </c>
      <c r="AC22" s="17">
        <v>52</v>
      </c>
      <c r="AD22" s="36">
        <f t="shared" si="15"/>
        <v>0.18705035971223022</v>
      </c>
      <c r="AE22" s="17">
        <v>16</v>
      </c>
      <c r="AF22" s="36">
        <f t="shared" si="8"/>
        <v>0.25396825396825395</v>
      </c>
      <c r="AG22" s="17">
        <v>30</v>
      </c>
      <c r="AH22" s="36">
        <f t="shared" si="16"/>
        <v>0.1079136690647482</v>
      </c>
      <c r="AI22" s="17">
        <v>5</v>
      </c>
      <c r="AJ22" s="36">
        <f t="shared" si="9"/>
        <v>7.9365079365079361E-2</v>
      </c>
      <c r="AK22" s="17">
        <v>6</v>
      </c>
      <c r="AL22" s="36">
        <f t="shared" si="17"/>
        <v>2.1582733812949641E-2</v>
      </c>
      <c r="AM22" s="17">
        <v>2</v>
      </c>
      <c r="AN22" s="36">
        <f t="shared" si="10"/>
        <v>3.1746031746031744E-2</v>
      </c>
      <c r="AO22" s="17">
        <v>278</v>
      </c>
      <c r="AP22" s="17">
        <v>63</v>
      </c>
    </row>
    <row r="23" spans="1:42" ht="15.75" customHeight="1" x14ac:dyDescent="0.25">
      <c r="A23" s="35">
        <v>2024</v>
      </c>
      <c r="B23" s="35">
        <v>170307</v>
      </c>
      <c r="C23" s="33" t="str">
        <f>VLOOKUP(B23,procv!$A$2:$D$142,4,FALSE)</f>
        <v>Médio Norte Araguaia</v>
      </c>
      <c r="D23" s="33" t="s">
        <v>26</v>
      </c>
      <c r="E23" s="17">
        <v>4</v>
      </c>
      <c r="F23" s="36">
        <f t="shared" si="0"/>
        <v>7.8585461689587421E-3</v>
      </c>
      <c r="G23" s="17">
        <v>0</v>
      </c>
      <c r="H23" s="36">
        <f t="shared" si="1"/>
        <v>0</v>
      </c>
      <c r="I23" s="17">
        <v>28</v>
      </c>
      <c r="J23" s="36">
        <f t="shared" si="2"/>
        <v>5.50098231827112E-2</v>
      </c>
      <c r="K23" s="17">
        <v>6</v>
      </c>
      <c r="L23" s="36">
        <f t="shared" si="3"/>
        <v>5.9405940594059403E-2</v>
      </c>
      <c r="M23" s="17">
        <v>477</v>
      </c>
      <c r="N23" s="36">
        <f t="shared" si="11"/>
        <v>0.93713163064833005</v>
      </c>
      <c r="O23" s="17">
        <v>95</v>
      </c>
      <c r="P23" s="36">
        <f t="shared" si="4"/>
        <v>0.94059405940594054</v>
      </c>
      <c r="Q23" s="17">
        <v>7</v>
      </c>
      <c r="R23" s="36">
        <f t="shared" si="12"/>
        <v>1.37524557956778E-2</v>
      </c>
      <c r="S23" s="17">
        <v>2</v>
      </c>
      <c r="T23" s="36">
        <f t="shared" si="5"/>
        <v>1.9801980198019802E-2</v>
      </c>
      <c r="U23" s="17">
        <v>19</v>
      </c>
      <c r="V23" s="36">
        <f t="shared" si="13"/>
        <v>3.732809430255403E-2</v>
      </c>
      <c r="W23" s="17">
        <v>4</v>
      </c>
      <c r="X23" s="36">
        <f t="shared" si="6"/>
        <v>3.9603960396039604E-2</v>
      </c>
      <c r="Y23" s="17">
        <v>371</v>
      </c>
      <c r="Z23" s="36">
        <f t="shared" si="14"/>
        <v>0.72888015717092336</v>
      </c>
      <c r="AA23" s="17">
        <v>63</v>
      </c>
      <c r="AB23" s="36">
        <f t="shared" si="7"/>
        <v>0.62376237623762376</v>
      </c>
      <c r="AC23" s="17">
        <v>62</v>
      </c>
      <c r="AD23" s="36">
        <f t="shared" si="15"/>
        <v>0.12180746561886051</v>
      </c>
      <c r="AE23" s="17">
        <v>14</v>
      </c>
      <c r="AF23" s="36">
        <f t="shared" si="8"/>
        <v>0.13861386138613863</v>
      </c>
      <c r="AG23" s="17">
        <v>39</v>
      </c>
      <c r="AH23" s="36">
        <f t="shared" si="16"/>
        <v>7.6620825147347735E-2</v>
      </c>
      <c r="AI23" s="17">
        <v>14</v>
      </c>
      <c r="AJ23" s="36">
        <f t="shared" si="9"/>
        <v>0.13861386138613863</v>
      </c>
      <c r="AK23" s="17">
        <v>11</v>
      </c>
      <c r="AL23" s="36">
        <f t="shared" si="17"/>
        <v>2.1611001964636542E-2</v>
      </c>
      <c r="AM23" s="17">
        <v>4</v>
      </c>
      <c r="AN23" s="36">
        <f t="shared" si="10"/>
        <v>3.9603960396039604E-2</v>
      </c>
      <c r="AO23" s="17">
        <v>509</v>
      </c>
      <c r="AP23" s="17">
        <v>101</v>
      </c>
    </row>
    <row r="24" spans="1:42" ht="15.75" customHeight="1" x14ac:dyDescent="0.25">
      <c r="A24" s="35">
        <v>2024</v>
      </c>
      <c r="B24" s="35">
        <v>170310</v>
      </c>
      <c r="C24" s="33" t="str">
        <f>VLOOKUP(B24,procv!$A$2:$D$142,4,FALSE)</f>
        <v>Cantão</v>
      </c>
      <c r="D24" s="33" t="s">
        <v>27</v>
      </c>
      <c r="E24" s="17">
        <v>9</v>
      </c>
      <c r="F24" s="36">
        <f t="shared" si="0"/>
        <v>1.7341040462427744E-2</v>
      </c>
      <c r="G24" s="17">
        <v>4</v>
      </c>
      <c r="H24" s="36">
        <f t="shared" si="1"/>
        <v>5.6338028169014086E-2</v>
      </c>
      <c r="I24" s="17">
        <v>12</v>
      </c>
      <c r="J24" s="36">
        <f t="shared" si="2"/>
        <v>2.3121387283236993E-2</v>
      </c>
      <c r="K24" s="17">
        <v>3</v>
      </c>
      <c r="L24" s="36">
        <f t="shared" si="3"/>
        <v>4.2253521126760563E-2</v>
      </c>
      <c r="M24" s="17">
        <v>498</v>
      </c>
      <c r="N24" s="36">
        <f t="shared" si="11"/>
        <v>0.95953757225433522</v>
      </c>
      <c r="O24" s="17">
        <v>64</v>
      </c>
      <c r="P24" s="36">
        <f t="shared" si="4"/>
        <v>0.90140845070422537</v>
      </c>
      <c r="Q24" s="17">
        <v>5</v>
      </c>
      <c r="R24" s="36">
        <f t="shared" si="12"/>
        <v>9.6339113680154135E-3</v>
      </c>
      <c r="S24" s="17">
        <v>4</v>
      </c>
      <c r="T24" s="36">
        <f t="shared" si="5"/>
        <v>5.6338028169014086E-2</v>
      </c>
      <c r="U24" s="17">
        <v>29</v>
      </c>
      <c r="V24" s="36">
        <f t="shared" si="13"/>
        <v>5.5876685934489405E-2</v>
      </c>
      <c r="W24" s="17">
        <v>4</v>
      </c>
      <c r="X24" s="36">
        <f t="shared" si="6"/>
        <v>5.6338028169014086E-2</v>
      </c>
      <c r="Y24" s="17">
        <v>346</v>
      </c>
      <c r="Z24" s="36">
        <f t="shared" si="14"/>
        <v>0.66666666666666663</v>
      </c>
      <c r="AA24" s="17">
        <v>50</v>
      </c>
      <c r="AB24" s="36">
        <f t="shared" si="7"/>
        <v>0.70422535211267601</v>
      </c>
      <c r="AC24" s="17">
        <v>84</v>
      </c>
      <c r="AD24" s="36">
        <f t="shared" si="15"/>
        <v>0.16184971098265896</v>
      </c>
      <c r="AE24" s="17">
        <v>7</v>
      </c>
      <c r="AF24" s="36">
        <f t="shared" si="8"/>
        <v>9.8591549295774641E-2</v>
      </c>
      <c r="AG24" s="17">
        <v>44</v>
      </c>
      <c r="AH24" s="36">
        <f t="shared" si="16"/>
        <v>8.477842003853564E-2</v>
      </c>
      <c r="AI24" s="17">
        <v>6</v>
      </c>
      <c r="AJ24" s="36">
        <f t="shared" si="9"/>
        <v>8.4507042253521125E-2</v>
      </c>
      <c r="AK24" s="17">
        <v>11</v>
      </c>
      <c r="AL24" s="36">
        <f t="shared" si="17"/>
        <v>2.119460500963391E-2</v>
      </c>
      <c r="AM24" s="17">
        <v>0</v>
      </c>
      <c r="AN24" s="36">
        <f t="shared" si="10"/>
        <v>0</v>
      </c>
      <c r="AO24" s="17">
        <v>519</v>
      </c>
      <c r="AP24" s="17">
        <v>71</v>
      </c>
    </row>
    <row r="25" spans="1:42" ht="15.75" customHeight="1" x14ac:dyDescent="0.25">
      <c r="A25" s="35">
        <v>2024</v>
      </c>
      <c r="B25" s="35">
        <v>170320</v>
      </c>
      <c r="C25" s="33" t="str">
        <f>VLOOKUP(B25,procv!$A$2:$D$142,4,FALSE)</f>
        <v>Cerrado Tocantins Araguaia</v>
      </c>
      <c r="D25" s="33" t="s">
        <v>28</v>
      </c>
      <c r="E25" s="17">
        <v>3</v>
      </c>
      <c r="F25" s="36">
        <f t="shared" si="0"/>
        <v>1.9736842105263157E-2</v>
      </c>
      <c r="G25" s="17">
        <v>1</v>
      </c>
      <c r="H25" s="36">
        <f t="shared" si="1"/>
        <v>1.9607843137254902E-2</v>
      </c>
      <c r="I25" s="17">
        <v>5</v>
      </c>
      <c r="J25" s="36">
        <f t="shared" si="2"/>
        <v>3.2894736842105261E-2</v>
      </c>
      <c r="K25" s="17">
        <v>2</v>
      </c>
      <c r="L25" s="36">
        <f t="shared" si="3"/>
        <v>3.9215686274509803E-2</v>
      </c>
      <c r="M25" s="17">
        <v>144</v>
      </c>
      <c r="N25" s="36">
        <f t="shared" si="11"/>
        <v>0.94736842105263153</v>
      </c>
      <c r="O25" s="17">
        <v>48</v>
      </c>
      <c r="P25" s="36">
        <f t="shared" si="4"/>
        <v>0.94117647058823528</v>
      </c>
      <c r="Q25" s="17">
        <v>6</v>
      </c>
      <c r="R25" s="36">
        <f t="shared" si="12"/>
        <v>3.9473684210526314E-2</v>
      </c>
      <c r="S25" s="17">
        <v>4</v>
      </c>
      <c r="T25" s="36">
        <f t="shared" si="5"/>
        <v>7.8431372549019607E-2</v>
      </c>
      <c r="U25" s="17">
        <v>6</v>
      </c>
      <c r="V25" s="36">
        <f t="shared" si="13"/>
        <v>3.9473684210526314E-2</v>
      </c>
      <c r="W25" s="17">
        <v>4</v>
      </c>
      <c r="X25" s="36">
        <f t="shared" si="6"/>
        <v>7.8431372549019607E-2</v>
      </c>
      <c r="Y25" s="17">
        <v>105</v>
      </c>
      <c r="Z25" s="36">
        <f t="shared" si="14"/>
        <v>0.69078947368421051</v>
      </c>
      <c r="AA25" s="17">
        <v>30</v>
      </c>
      <c r="AB25" s="36">
        <f t="shared" si="7"/>
        <v>0.58823529411764708</v>
      </c>
      <c r="AC25" s="17">
        <v>21</v>
      </c>
      <c r="AD25" s="36">
        <f t="shared" si="15"/>
        <v>0.13815789473684212</v>
      </c>
      <c r="AE25" s="17">
        <v>9</v>
      </c>
      <c r="AF25" s="36">
        <f t="shared" si="8"/>
        <v>0.17647058823529413</v>
      </c>
      <c r="AG25" s="17">
        <v>11</v>
      </c>
      <c r="AH25" s="36">
        <f t="shared" si="16"/>
        <v>7.2368421052631582E-2</v>
      </c>
      <c r="AI25" s="17">
        <v>4</v>
      </c>
      <c r="AJ25" s="36">
        <f t="shared" si="9"/>
        <v>7.8431372549019607E-2</v>
      </c>
      <c r="AK25" s="17">
        <v>3</v>
      </c>
      <c r="AL25" s="36">
        <f t="shared" si="17"/>
        <v>1.9736842105263157E-2</v>
      </c>
      <c r="AM25" s="17">
        <v>0</v>
      </c>
      <c r="AN25" s="36">
        <f t="shared" si="10"/>
        <v>0</v>
      </c>
      <c r="AO25" s="17">
        <v>152</v>
      </c>
      <c r="AP25" s="17">
        <v>51</v>
      </c>
    </row>
    <row r="26" spans="1:42" ht="15.75" customHeight="1" x14ac:dyDescent="0.25">
      <c r="A26" s="35">
        <v>2024</v>
      </c>
      <c r="B26" s="35">
        <v>170330</v>
      </c>
      <c r="C26" s="33" t="str">
        <f>VLOOKUP(B26,procv!$A$2:$D$142,4,FALSE)</f>
        <v>Cerrado Tocantins Araguaia</v>
      </c>
      <c r="D26" s="33" t="s">
        <v>29</v>
      </c>
      <c r="E26" s="17">
        <v>2</v>
      </c>
      <c r="F26" s="36">
        <f t="shared" si="0"/>
        <v>8.5836909871244635E-3</v>
      </c>
      <c r="G26" s="17">
        <v>1</v>
      </c>
      <c r="H26" s="36">
        <f t="shared" si="1"/>
        <v>1.0638297872340425E-2</v>
      </c>
      <c r="I26" s="17">
        <v>7</v>
      </c>
      <c r="J26" s="36">
        <f t="shared" si="2"/>
        <v>3.0042918454935622E-2</v>
      </c>
      <c r="K26" s="17">
        <v>5</v>
      </c>
      <c r="L26" s="36">
        <f t="shared" si="3"/>
        <v>5.3191489361702128E-2</v>
      </c>
      <c r="M26" s="17">
        <v>224</v>
      </c>
      <c r="N26" s="36">
        <f t="shared" si="11"/>
        <v>0.96137339055793991</v>
      </c>
      <c r="O26" s="17">
        <v>88</v>
      </c>
      <c r="P26" s="36">
        <f t="shared" si="4"/>
        <v>0.93617021276595747</v>
      </c>
      <c r="Q26" s="17">
        <v>4</v>
      </c>
      <c r="R26" s="36">
        <f t="shared" si="12"/>
        <v>1.7167381974248927E-2</v>
      </c>
      <c r="S26" s="17">
        <v>1</v>
      </c>
      <c r="T26" s="36">
        <f t="shared" si="5"/>
        <v>1.0638297872340425E-2</v>
      </c>
      <c r="U26" s="17">
        <v>12</v>
      </c>
      <c r="V26" s="36">
        <f t="shared" si="13"/>
        <v>5.1502145922746781E-2</v>
      </c>
      <c r="W26" s="17">
        <v>4</v>
      </c>
      <c r="X26" s="36">
        <f t="shared" si="6"/>
        <v>4.2553191489361701E-2</v>
      </c>
      <c r="Y26" s="17">
        <v>159</v>
      </c>
      <c r="Z26" s="36">
        <f t="shared" si="14"/>
        <v>0.68240343347639487</v>
      </c>
      <c r="AA26" s="17">
        <v>64</v>
      </c>
      <c r="AB26" s="36">
        <f t="shared" si="7"/>
        <v>0.68085106382978722</v>
      </c>
      <c r="AC26" s="17">
        <v>37</v>
      </c>
      <c r="AD26" s="36">
        <f t="shared" si="15"/>
        <v>0.15879828326180256</v>
      </c>
      <c r="AE26" s="17">
        <v>18</v>
      </c>
      <c r="AF26" s="36">
        <f t="shared" si="8"/>
        <v>0.19148936170212766</v>
      </c>
      <c r="AG26" s="17">
        <v>14</v>
      </c>
      <c r="AH26" s="36">
        <f t="shared" si="16"/>
        <v>6.0085836909871244E-2</v>
      </c>
      <c r="AI26" s="17">
        <v>5</v>
      </c>
      <c r="AJ26" s="36">
        <f t="shared" si="9"/>
        <v>5.3191489361702128E-2</v>
      </c>
      <c r="AK26" s="17">
        <v>7</v>
      </c>
      <c r="AL26" s="36">
        <f t="shared" si="17"/>
        <v>3.0042918454935622E-2</v>
      </c>
      <c r="AM26" s="17">
        <v>2</v>
      </c>
      <c r="AN26" s="36">
        <f t="shared" si="10"/>
        <v>2.1276595744680851E-2</v>
      </c>
      <c r="AO26" s="17">
        <v>233</v>
      </c>
      <c r="AP26" s="17">
        <v>94</v>
      </c>
    </row>
    <row r="27" spans="1:42" ht="15.75" customHeight="1" x14ac:dyDescent="0.25">
      <c r="A27" s="35">
        <v>2024</v>
      </c>
      <c r="B27" s="35">
        <v>170360</v>
      </c>
      <c r="C27" s="33" t="str">
        <f>VLOOKUP(B27,procv!$A$2:$D$142,4,FALSE)</f>
        <v>Cerrado Tocantins Araguaia</v>
      </c>
      <c r="D27" s="33" t="s">
        <v>30</v>
      </c>
      <c r="E27" s="17">
        <v>4</v>
      </c>
      <c r="F27" s="36">
        <f t="shared" si="0"/>
        <v>1.5625E-2</v>
      </c>
      <c r="G27" s="17">
        <v>0</v>
      </c>
      <c r="H27" s="36">
        <f t="shared" si="1"/>
        <v>0</v>
      </c>
      <c r="I27" s="17">
        <v>7</v>
      </c>
      <c r="J27" s="36">
        <f t="shared" si="2"/>
        <v>2.734375E-2</v>
      </c>
      <c r="K27" s="17">
        <v>2</v>
      </c>
      <c r="L27" s="36">
        <f t="shared" si="3"/>
        <v>5.8823529411764705E-2</v>
      </c>
      <c r="M27" s="17">
        <v>245</v>
      </c>
      <c r="N27" s="36">
        <f t="shared" si="11"/>
        <v>0.95703125</v>
      </c>
      <c r="O27" s="17">
        <v>32</v>
      </c>
      <c r="P27" s="36">
        <f t="shared" si="4"/>
        <v>0.94117647058823528</v>
      </c>
      <c r="Q27" s="17">
        <v>3</v>
      </c>
      <c r="R27" s="36">
        <f t="shared" si="12"/>
        <v>1.171875E-2</v>
      </c>
      <c r="S27" s="17">
        <v>0</v>
      </c>
      <c r="T27" s="36">
        <f t="shared" si="5"/>
        <v>0</v>
      </c>
      <c r="U27" s="17">
        <v>13</v>
      </c>
      <c r="V27" s="36">
        <f t="shared" si="13"/>
        <v>5.078125E-2</v>
      </c>
      <c r="W27" s="17">
        <v>3</v>
      </c>
      <c r="X27" s="36">
        <f t="shared" si="6"/>
        <v>8.8235294117647065E-2</v>
      </c>
      <c r="Y27" s="17">
        <v>165</v>
      </c>
      <c r="Z27" s="36">
        <f t="shared" si="14"/>
        <v>0.64453125</v>
      </c>
      <c r="AA27" s="17">
        <v>22</v>
      </c>
      <c r="AB27" s="36">
        <f t="shared" si="7"/>
        <v>0.6470588235294118</v>
      </c>
      <c r="AC27" s="17">
        <v>37</v>
      </c>
      <c r="AD27" s="36">
        <f t="shared" si="15"/>
        <v>0.14453125</v>
      </c>
      <c r="AE27" s="17">
        <v>6</v>
      </c>
      <c r="AF27" s="36">
        <f t="shared" si="8"/>
        <v>0.17647058823529413</v>
      </c>
      <c r="AG27" s="17">
        <v>29</v>
      </c>
      <c r="AH27" s="36">
        <f t="shared" si="16"/>
        <v>0.11328125</v>
      </c>
      <c r="AI27" s="17">
        <v>2</v>
      </c>
      <c r="AJ27" s="36">
        <f t="shared" si="9"/>
        <v>5.8823529411764705E-2</v>
      </c>
      <c r="AK27" s="17">
        <v>9</v>
      </c>
      <c r="AL27" s="36">
        <f t="shared" si="17"/>
        <v>3.515625E-2</v>
      </c>
      <c r="AM27" s="17">
        <v>1</v>
      </c>
      <c r="AN27" s="36">
        <f t="shared" si="10"/>
        <v>2.9411764705882353E-2</v>
      </c>
      <c r="AO27" s="17">
        <v>256</v>
      </c>
      <c r="AP27" s="17">
        <v>34</v>
      </c>
    </row>
    <row r="28" spans="1:42" ht="15.75" customHeight="1" x14ac:dyDescent="0.25">
      <c r="A28" s="35">
        <v>2024</v>
      </c>
      <c r="B28" s="35">
        <v>170370</v>
      </c>
      <c r="C28" s="33" t="str">
        <f>VLOOKUP(B28,procv!$A$2:$D$142,4,FALSE)</f>
        <v>Amor Perfeito</v>
      </c>
      <c r="D28" s="33" t="s">
        <v>31</v>
      </c>
      <c r="E28" s="17">
        <v>2</v>
      </c>
      <c r="F28" s="36">
        <f t="shared" si="0"/>
        <v>7.2202166064981952E-3</v>
      </c>
      <c r="G28" s="17">
        <v>1</v>
      </c>
      <c r="H28" s="36">
        <f t="shared" si="1"/>
        <v>2.0833333333333332E-2</v>
      </c>
      <c r="I28" s="17">
        <v>10</v>
      </c>
      <c r="J28" s="36">
        <f t="shared" si="2"/>
        <v>3.6101083032490974E-2</v>
      </c>
      <c r="K28" s="17">
        <v>1</v>
      </c>
      <c r="L28" s="36">
        <f t="shared" si="3"/>
        <v>2.0833333333333332E-2</v>
      </c>
      <c r="M28" s="17">
        <v>265</v>
      </c>
      <c r="N28" s="36">
        <f t="shared" si="11"/>
        <v>0.95667870036101088</v>
      </c>
      <c r="O28" s="17">
        <v>46</v>
      </c>
      <c r="P28" s="36">
        <f t="shared" si="4"/>
        <v>0.95833333333333337</v>
      </c>
      <c r="Q28" s="17">
        <v>4</v>
      </c>
      <c r="R28" s="36">
        <f t="shared" si="12"/>
        <v>1.444043321299639E-2</v>
      </c>
      <c r="S28" s="17">
        <v>0</v>
      </c>
      <c r="T28" s="36">
        <f t="shared" si="5"/>
        <v>0</v>
      </c>
      <c r="U28" s="17">
        <v>10</v>
      </c>
      <c r="V28" s="36">
        <f t="shared" si="13"/>
        <v>3.6101083032490974E-2</v>
      </c>
      <c r="W28" s="17">
        <v>2</v>
      </c>
      <c r="X28" s="36">
        <f t="shared" si="6"/>
        <v>4.1666666666666664E-2</v>
      </c>
      <c r="Y28" s="17">
        <v>177</v>
      </c>
      <c r="Z28" s="36">
        <f t="shared" si="14"/>
        <v>0.63898916967509023</v>
      </c>
      <c r="AA28" s="17">
        <v>37</v>
      </c>
      <c r="AB28" s="36">
        <f t="shared" si="7"/>
        <v>0.77083333333333337</v>
      </c>
      <c r="AC28" s="17">
        <v>57</v>
      </c>
      <c r="AD28" s="36">
        <f t="shared" si="15"/>
        <v>0.20577617328519857</v>
      </c>
      <c r="AE28" s="17">
        <v>8</v>
      </c>
      <c r="AF28" s="36">
        <f t="shared" si="8"/>
        <v>0.16666666666666666</v>
      </c>
      <c r="AG28" s="17">
        <v>23</v>
      </c>
      <c r="AH28" s="36">
        <f t="shared" si="16"/>
        <v>8.3032490974729242E-2</v>
      </c>
      <c r="AI28" s="17">
        <v>0</v>
      </c>
      <c r="AJ28" s="36">
        <f t="shared" si="9"/>
        <v>0</v>
      </c>
      <c r="AK28" s="17">
        <v>6</v>
      </c>
      <c r="AL28" s="36">
        <f t="shared" si="17"/>
        <v>2.1660649819494584E-2</v>
      </c>
      <c r="AM28" s="17">
        <v>1</v>
      </c>
      <c r="AN28" s="36">
        <f t="shared" si="10"/>
        <v>2.0833333333333332E-2</v>
      </c>
      <c r="AO28" s="17">
        <v>277</v>
      </c>
      <c r="AP28" s="17">
        <v>48</v>
      </c>
    </row>
    <row r="29" spans="1:42" ht="15.75" customHeight="1" x14ac:dyDescent="0.25">
      <c r="A29" s="35">
        <v>2024</v>
      </c>
      <c r="B29" s="35">
        <v>170380</v>
      </c>
      <c r="C29" s="33" t="str">
        <f>VLOOKUP(B29,procv!$A$2:$D$142,4,FALSE)</f>
        <v>Bico do Papagaio</v>
      </c>
      <c r="D29" s="33" t="s">
        <v>32</v>
      </c>
      <c r="E29" s="17">
        <v>10</v>
      </c>
      <c r="F29" s="36">
        <f t="shared" si="0"/>
        <v>1.0775862068965518E-2</v>
      </c>
      <c r="G29" s="17">
        <v>3</v>
      </c>
      <c r="H29" s="36">
        <f t="shared" si="1"/>
        <v>2.2900763358778626E-2</v>
      </c>
      <c r="I29" s="17">
        <v>47</v>
      </c>
      <c r="J29" s="36">
        <f t="shared" si="2"/>
        <v>5.0646551724137928E-2</v>
      </c>
      <c r="K29" s="17">
        <v>4</v>
      </c>
      <c r="L29" s="36">
        <f t="shared" si="3"/>
        <v>3.0534351145038167E-2</v>
      </c>
      <c r="M29" s="17">
        <v>871</v>
      </c>
      <c r="N29" s="36">
        <f t="shared" si="11"/>
        <v>0.93857758620689657</v>
      </c>
      <c r="O29" s="17">
        <v>124</v>
      </c>
      <c r="P29" s="36">
        <f t="shared" si="4"/>
        <v>0.94656488549618323</v>
      </c>
      <c r="Q29" s="17">
        <v>13</v>
      </c>
      <c r="R29" s="36">
        <f t="shared" si="12"/>
        <v>1.4008620689655173E-2</v>
      </c>
      <c r="S29" s="17">
        <v>2</v>
      </c>
      <c r="T29" s="36">
        <f t="shared" si="5"/>
        <v>1.5267175572519083E-2</v>
      </c>
      <c r="U29" s="17">
        <v>43</v>
      </c>
      <c r="V29" s="36">
        <f t="shared" si="13"/>
        <v>4.6336206896551727E-2</v>
      </c>
      <c r="W29" s="17">
        <v>6</v>
      </c>
      <c r="X29" s="36">
        <f t="shared" si="6"/>
        <v>4.5801526717557252E-2</v>
      </c>
      <c r="Y29" s="17">
        <v>683</v>
      </c>
      <c r="Z29" s="36">
        <f t="shared" si="14"/>
        <v>0.73599137931034486</v>
      </c>
      <c r="AA29" s="17">
        <v>103</v>
      </c>
      <c r="AB29" s="36">
        <f t="shared" si="7"/>
        <v>0.7862595419847328</v>
      </c>
      <c r="AC29" s="17">
        <v>122</v>
      </c>
      <c r="AD29" s="36">
        <f t="shared" si="15"/>
        <v>0.13146551724137931</v>
      </c>
      <c r="AE29" s="17">
        <v>14</v>
      </c>
      <c r="AF29" s="36">
        <f t="shared" si="8"/>
        <v>0.10687022900763359</v>
      </c>
      <c r="AG29" s="17">
        <v>53</v>
      </c>
      <c r="AH29" s="36">
        <f t="shared" si="16"/>
        <v>5.7112068965517244E-2</v>
      </c>
      <c r="AI29" s="17">
        <v>4</v>
      </c>
      <c r="AJ29" s="36">
        <f t="shared" si="9"/>
        <v>3.0534351145038167E-2</v>
      </c>
      <c r="AK29" s="17">
        <v>14</v>
      </c>
      <c r="AL29" s="36">
        <f t="shared" si="17"/>
        <v>1.5086206896551725E-2</v>
      </c>
      <c r="AM29" s="17">
        <v>2</v>
      </c>
      <c r="AN29" s="36">
        <f t="shared" si="10"/>
        <v>1.5267175572519083E-2</v>
      </c>
      <c r="AO29" s="17">
        <v>928</v>
      </c>
      <c r="AP29" s="17">
        <v>131</v>
      </c>
    </row>
    <row r="30" spans="1:42" ht="15.75" customHeight="1" x14ac:dyDescent="0.25">
      <c r="A30" s="35">
        <v>2024</v>
      </c>
      <c r="B30" s="35">
        <v>170382</v>
      </c>
      <c r="C30" s="33" t="str">
        <f>VLOOKUP(B30,procv!$A$2:$D$142,4,FALSE)</f>
        <v>Bico do Papagaio</v>
      </c>
      <c r="D30" s="33" t="s">
        <v>33</v>
      </c>
      <c r="E30" s="17">
        <v>1</v>
      </c>
      <c r="F30" s="36">
        <f t="shared" si="0"/>
        <v>4.0160642570281121E-3</v>
      </c>
      <c r="G30" s="17">
        <v>0</v>
      </c>
      <c r="H30" s="36">
        <f t="shared" si="1"/>
        <v>0</v>
      </c>
      <c r="I30" s="17">
        <v>8</v>
      </c>
      <c r="J30" s="36">
        <f t="shared" si="2"/>
        <v>3.2128514056224897E-2</v>
      </c>
      <c r="K30" s="17">
        <v>2</v>
      </c>
      <c r="L30" s="36">
        <f t="shared" si="3"/>
        <v>3.7735849056603772E-2</v>
      </c>
      <c r="M30" s="17">
        <v>240</v>
      </c>
      <c r="N30" s="36">
        <f t="shared" si="11"/>
        <v>0.96385542168674698</v>
      </c>
      <c r="O30" s="17">
        <v>51</v>
      </c>
      <c r="P30" s="36">
        <f t="shared" si="4"/>
        <v>0.96226415094339623</v>
      </c>
      <c r="Q30" s="17">
        <v>3</v>
      </c>
      <c r="R30" s="36">
        <f t="shared" si="12"/>
        <v>1.2048192771084338E-2</v>
      </c>
      <c r="S30" s="17">
        <v>1</v>
      </c>
      <c r="T30" s="36">
        <f t="shared" si="5"/>
        <v>1.8867924528301886E-2</v>
      </c>
      <c r="U30" s="17">
        <v>14</v>
      </c>
      <c r="V30" s="36">
        <f t="shared" si="13"/>
        <v>5.6224899598393573E-2</v>
      </c>
      <c r="W30" s="17">
        <v>2</v>
      </c>
      <c r="X30" s="36">
        <f t="shared" si="6"/>
        <v>3.7735849056603772E-2</v>
      </c>
      <c r="Y30" s="17">
        <v>182</v>
      </c>
      <c r="Z30" s="36">
        <f t="shared" si="14"/>
        <v>0.73092369477911645</v>
      </c>
      <c r="AA30" s="17">
        <v>36</v>
      </c>
      <c r="AB30" s="36">
        <f t="shared" si="7"/>
        <v>0.67924528301886788</v>
      </c>
      <c r="AC30" s="17">
        <v>35</v>
      </c>
      <c r="AD30" s="36">
        <f t="shared" si="15"/>
        <v>0.14056224899598393</v>
      </c>
      <c r="AE30" s="17">
        <v>11</v>
      </c>
      <c r="AF30" s="36">
        <f t="shared" si="8"/>
        <v>0.20754716981132076</v>
      </c>
      <c r="AG30" s="17">
        <v>11</v>
      </c>
      <c r="AH30" s="36">
        <f t="shared" si="16"/>
        <v>4.4176706827309238E-2</v>
      </c>
      <c r="AI30" s="17">
        <v>2</v>
      </c>
      <c r="AJ30" s="36">
        <f t="shared" si="9"/>
        <v>3.7735849056603772E-2</v>
      </c>
      <c r="AK30" s="17">
        <v>4</v>
      </c>
      <c r="AL30" s="36">
        <f t="shared" si="17"/>
        <v>1.6064257028112448E-2</v>
      </c>
      <c r="AM30" s="17">
        <v>1</v>
      </c>
      <c r="AN30" s="36">
        <f t="shared" si="10"/>
        <v>1.8867924528301886E-2</v>
      </c>
      <c r="AO30" s="17">
        <v>249</v>
      </c>
      <c r="AP30" s="17">
        <v>53</v>
      </c>
    </row>
    <row r="31" spans="1:42" ht="15.75" customHeight="1" x14ac:dyDescent="0.25">
      <c r="A31" s="35">
        <v>2024</v>
      </c>
      <c r="B31" s="35">
        <v>170384</v>
      </c>
      <c r="C31" s="33" t="str">
        <f>VLOOKUP(B31,procv!$A$2:$D$142,4,FALSE)</f>
        <v>Médio Norte Araguaia</v>
      </c>
      <c r="D31" s="33" t="s">
        <v>34</v>
      </c>
      <c r="E31" s="17">
        <v>7</v>
      </c>
      <c r="F31" s="36">
        <f t="shared" si="0"/>
        <v>9.0090090090090089E-3</v>
      </c>
      <c r="G31" s="17">
        <v>4</v>
      </c>
      <c r="H31" s="36">
        <f t="shared" si="1"/>
        <v>1.8181818181818181E-2</v>
      </c>
      <c r="I31" s="17">
        <v>48</v>
      </c>
      <c r="J31" s="36">
        <f t="shared" si="2"/>
        <v>6.1776061776061778E-2</v>
      </c>
      <c r="K31" s="17">
        <v>15</v>
      </c>
      <c r="L31" s="36">
        <f t="shared" si="3"/>
        <v>6.8181818181818177E-2</v>
      </c>
      <c r="M31" s="17">
        <v>722</v>
      </c>
      <c r="N31" s="36">
        <f t="shared" si="11"/>
        <v>0.92921492921492921</v>
      </c>
      <c r="O31" s="17">
        <v>201</v>
      </c>
      <c r="P31" s="36">
        <f t="shared" si="4"/>
        <v>0.91363636363636369</v>
      </c>
      <c r="Q31" s="17">
        <v>7</v>
      </c>
      <c r="R31" s="36">
        <f t="shared" si="12"/>
        <v>9.0090090090090089E-3</v>
      </c>
      <c r="S31" s="17">
        <v>3</v>
      </c>
      <c r="T31" s="36">
        <f t="shared" si="5"/>
        <v>1.3636363636363636E-2</v>
      </c>
      <c r="U31" s="17">
        <v>27</v>
      </c>
      <c r="V31" s="36">
        <f t="shared" si="13"/>
        <v>3.4749034749034749E-2</v>
      </c>
      <c r="W31" s="17">
        <v>9</v>
      </c>
      <c r="X31" s="36">
        <f t="shared" si="6"/>
        <v>4.0909090909090909E-2</v>
      </c>
      <c r="Y31" s="17">
        <v>588</v>
      </c>
      <c r="Z31" s="36">
        <f t="shared" si="14"/>
        <v>0.7567567567567568</v>
      </c>
      <c r="AA31" s="17">
        <v>162</v>
      </c>
      <c r="AB31" s="36">
        <f t="shared" si="7"/>
        <v>0.73636363636363633</v>
      </c>
      <c r="AC31" s="17">
        <v>106</v>
      </c>
      <c r="AD31" s="36">
        <f t="shared" si="15"/>
        <v>0.13642213642213641</v>
      </c>
      <c r="AE31" s="17">
        <v>32</v>
      </c>
      <c r="AF31" s="36">
        <f t="shared" si="8"/>
        <v>0.14545454545454545</v>
      </c>
      <c r="AG31" s="17">
        <v>46</v>
      </c>
      <c r="AH31" s="36">
        <f t="shared" si="16"/>
        <v>5.9202059202059204E-2</v>
      </c>
      <c r="AI31" s="17">
        <v>14</v>
      </c>
      <c r="AJ31" s="36">
        <f t="shared" si="9"/>
        <v>6.363636363636363E-2</v>
      </c>
      <c r="AK31" s="17">
        <v>3</v>
      </c>
      <c r="AL31" s="36">
        <f t="shared" si="17"/>
        <v>3.8610038610038611E-3</v>
      </c>
      <c r="AM31" s="17">
        <v>0</v>
      </c>
      <c r="AN31" s="36">
        <f t="shared" si="10"/>
        <v>0</v>
      </c>
      <c r="AO31" s="17">
        <v>777</v>
      </c>
      <c r="AP31" s="17">
        <v>220</v>
      </c>
    </row>
    <row r="32" spans="1:42" ht="15.75" customHeight="1" x14ac:dyDescent="0.25">
      <c r="A32" s="35">
        <v>2024</v>
      </c>
      <c r="B32" s="35">
        <v>170386</v>
      </c>
      <c r="C32" s="33" t="str">
        <f>VLOOKUP(B32,procv!$A$2:$D$142,4,FALSE)</f>
        <v>Ilha do Bananal</v>
      </c>
      <c r="D32" s="33" t="s">
        <v>35</v>
      </c>
      <c r="E32" s="17">
        <v>4</v>
      </c>
      <c r="F32" s="36">
        <f t="shared" si="0"/>
        <v>1.2987012987012988E-2</v>
      </c>
      <c r="G32" s="17">
        <v>3</v>
      </c>
      <c r="H32" s="36">
        <f t="shared" si="1"/>
        <v>6.1224489795918366E-2</v>
      </c>
      <c r="I32" s="17">
        <v>14</v>
      </c>
      <c r="J32" s="36">
        <f t="shared" si="2"/>
        <v>4.5454545454545456E-2</v>
      </c>
      <c r="K32" s="17">
        <v>9</v>
      </c>
      <c r="L32" s="36">
        <f t="shared" si="3"/>
        <v>0.18367346938775511</v>
      </c>
      <c r="M32" s="17">
        <v>290</v>
      </c>
      <c r="N32" s="36">
        <f t="shared" si="11"/>
        <v>0.94155844155844159</v>
      </c>
      <c r="O32" s="17">
        <v>37</v>
      </c>
      <c r="P32" s="36">
        <f t="shared" si="4"/>
        <v>0.75510204081632648</v>
      </c>
      <c r="Q32" s="17">
        <v>4</v>
      </c>
      <c r="R32" s="36">
        <f t="shared" si="12"/>
        <v>1.2987012987012988E-2</v>
      </c>
      <c r="S32" s="17">
        <v>1</v>
      </c>
      <c r="T32" s="36">
        <f t="shared" si="5"/>
        <v>2.0408163265306121E-2</v>
      </c>
      <c r="U32" s="17">
        <v>14</v>
      </c>
      <c r="V32" s="36">
        <f t="shared" si="13"/>
        <v>4.5454545454545456E-2</v>
      </c>
      <c r="W32" s="17">
        <v>1</v>
      </c>
      <c r="X32" s="36">
        <f t="shared" si="6"/>
        <v>2.0408163265306121E-2</v>
      </c>
      <c r="Y32" s="17">
        <v>202</v>
      </c>
      <c r="Z32" s="36">
        <f t="shared" si="14"/>
        <v>0.6558441558441559</v>
      </c>
      <c r="AA32" s="17">
        <v>35</v>
      </c>
      <c r="AB32" s="36">
        <f t="shared" si="7"/>
        <v>0.7142857142857143</v>
      </c>
      <c r="AC32" s="17">
        <v>50</v>
      </c>
      <c r="AD32" s="36">
        <f t="shared" si="15"/>
        <v>0.16233766233766234</v>
      </c>
      <c r="AE32" s="17">
        <v>12</v>
      </c>
      <c r="AF32" s="36">
        <f t="shared" si="8"/>
        <v>0.24489795918367346</v>
      </c>
      <c r="AG32" s="17">
        <v>25</v>
      </c>
      <c r="AH32" s="36">
        <f t="shared" si="16"/>
        <v>8.1168831168831168E-2</v>
      </c>
      <c r="AI32" s="17">
        <v>0</v>
      </c>
      <c r="AJ32" s="36">
        <f t="shared" si="9"/>
        <v>0</v>
      </c>
      <c r="AK32" s="17">
        <v>13</v>
      </c>
      <c r="AL32" s="36">
        <f t="shared" si="17"/>
        <v>4.2207792207792208E-2</v>
      </c>
      <c r="AM32" s="17">
        <v>0</v>
      </c>
      <c r="AN32" s="36">
        <f t="shared" si="10"/>
        <v>0</v>
      </c>
      <c r="AO32" s="17">
        <v>308</v>
      </c>
      <c r="AP32" s="17">
        <v>49</v>
      </c>
    </row>
    <row r="33" spans="1:42" ht="15.75" customHeight="1" x14ac:dyDescent="0.25">
      <c r="A33" s="35">
        <v>2024</v>
      </c>
      <c r="B33" s="35">
        <v>170388</v>
      </c>
      <c r="C33" s="33" t="str">
        <f>VLOOKUP(B33,procv!$A$2:$D$142,4,FALSE)</f>
        <v>Médio Norte Araguaia</v>
      </c>
      <c r="D33" s="33" t="s">
        <v>36</v>
      </c>
      <c r="E33" s="17">
        <v>1</v>
      </c>
      <c r="F33" s="36">
        <f t="shared" si="0"/>
        <v>2.7700831024930748E-3</v>
      </c>
      <c r="G33" s="17">
        <v>1</v>
      </c>
      <c r="H33" s="36">
        <f t="shared" si="1"/>
        <v>1.3333333333333334E-2</v>
      </c>
      <c r="I33" s="17">
        <v>6</v>
      </c>
      <c r="J33" s="36">
        <f t="shared" si="2"/>
        <v>1.662049861495845E-2</v>
      </c>
      <c r="K33" s="17">
        <v>0</v>
      </c>
      <c r="L33" s="36">
        <f t="shared" si="3"/>
        <v>0</v>
      </c>
      <c r="M33" s="17">
        <v>354</v>
      </c>
      <c r="N33" s="36">
        <f t="shared" si="11"/>
        <v>0.98060941828254844</v>
      </c>
      <c r="O33" s="17">
        <v>74</v>
      </c>
      <c r="P33" s="36">
        <f t="shared" si="4"/>
        <v>0.98666666666666669</v>
      </c>
      <c r="Q33" s="17">
        <v>3</v>
      </c>
      <c r="R33" s="36">
        <f t="shared" si="12"/>
        <v>8.3102493074792248E-3</v>
      </c>
      <c r="S33" s="17">
        <v>1</v>
      </c>
      <c r="T33" s="36">
        <f t="shared" si="5"/>
        <v>1.3333333333333334E-2</v>
      </c>
      <c r="U33" s="17">
        <v>17</v>
      </c>
      <c r="V33" s="36">
        <f t="shared" si="13"/>
        <v>4.7091412742382273E-2</v>
      </c>
      <c r="W33" s="17">
        <v>3</v>
      </c>
      <c r="X33" s="36">
        <f t="shared" si="6"/>
        <v>0.04</v>
      </c>
      <c r="Y33" s="17">
        <v>277</v>
      </c>
      <c r="Z33" s="36">
        <f t="shared" si="14"/>
        <v>0.76731301939058172</v>
      </c>
      <c r="AA33" s="17">
        <v>58</v>
      </c>
      <c r="AB33" s="36">
        <f t="shared" si="7"/>
        <v>0.77333333333333332</v>
      </c>
      <c r="AC33" s="17">
        <v>40</v>
      </c>
      <c r="AD33" s="36">
        <f t="shared" si="15"/>
        <v>0.11080332409972299</v>
      </c>
      <c r="AE33" s="17">
        <v>6</v>
      </c>
      <c r="AF33" s="36">
        <f t="shared" si="8"/>
        <v>0.08</v>
      </c>
      <c r="AG33" s="17">
        <v>22</v>
      </c>
      <c r="AH33" s="36">
        <f t="shared" si="16"/>
        <v>6.0941828254847646E-2</v>
      </c>
      <c r="AI33" s="17">
        <v>6</v>
      </c>
      <c r="AJ33" s="36">
        <f t="shared" si="9"/>
        <v>0.08</v>
      </c>
      <c r="AK33" s="17">
        <v>2</v>
      </c>
      <c r="AL33" s="36">
        <f t="shared" si="17"/>
        <v>5.5401662049861496E-3</v>
      </c>
      <c r="AM33" s="17">
        <v>1</v>
      </c>
      <c r="AN33" s="36">
        <f t="shared" si="10"/>
        <v>1.3333333333333334E-2</v>
      </c>
      <c r="AO33" s="17">
        <v>361</v>
      </c>
      <c r="AP33" s="17">
        <v>75</v>
      </c>
    </row>
    <row r="34" spans="1:42" ht="15.75" customHeight="1" x14ac:dyDescent="0.25">
      <c r="A34" s="35">
        <v>2024</v>
      </c>
      <c r="B34" s="35">
        <v>170389</v>
      </c>
      <c r="C34" s="33" t="str">
        <f>VLOOKUP(B34,procv!$A$2:$D$142,4,FALSE)</f>
        <v>Bico do Papagaio</v>
      </c>
      <c r="D34" s="33" t="s">
        <v>37</v>
      </c>
      <c r="E34" s="17">
        <v>2</v>
      </c>
      <c r="F34" s="36">
        <f t="shared" si="0"/>
        <v>4.7505938242280287E-3</v>
      </c>
      <c r="G34" s="17">
        <v>0</v>
      </c>
      <c r="H34" s="36">
        <f t="shared" si="1"/>
        <v>0</v>
      </c>
      <c r="I34" s="17">
        <v>27</v>
      </c>
      <c r="J34" s="36">
        <f t="shared" si="2"/>
        <v>6.413301662707839E-2</v>
      </c>
      <c r="K34" s="17">
        <v>8</v>
      </c>
      <c r="L34" s="36">
        <f t="shared" si="3"/>
        <v>6.6666666666666666E-2</v>
      </c>
      <c r="M34" s="17">
        <v>392</v>
      </c>
      <c r="N34" s="36">
        <f t="shared" si="11"/>
        <v>0.93111638954869358</v>
      </c>
      <c r="O34" s="17">
        <v>112</v>
      </c>
      <c r="P34" s="36">
        <f t="shared" si="4"/>
        <v>0.93333333333333335</v>
      </c>
      <c r="Q34" s="17">
        <v>5</v>
      </c>
      <c r="R34" s="36">
        <f t="shared" si="12"/>
        <v>1.1876484560570071E-2</v>
      </c>
      <c r="S34" s="17">
        <v>2</v>
      </c>
      <c r="T34" s="36">
        <f t="shared" si="5"/>
        <v>1.6666666666666666E-2</v>
      </c>
      <c r="U34" s="17">
        <v>13</v>
      </c>
      <c r="V34" s="36">
        <f t="shared" si="13"/>
        <v>3.0878859857482184E-2</v>
      </c>
      <c r="W34" s="17">
        <v>1</v>
      </c>
      <c r="X34" s="36">
        <f t="shared" si="6"/>
        <v>8.3333333333333332E-3</v>
      </c>
      <c r="Y34" s="17">
        <v>303</v>
      </c>
      <c r="Z34" s="36">
        <f t="shared" si="14"/>
        <v>0.71971496437054627</v>
      </c>
      <c r="AA34" s="17">
        <v>80</v>
      </c>
      <c r="AB34" s="36">
        <f t="shared" si="7"/>
        <v>0.66666666666666663</v>
      </c>
      <c r="AC34" s="17">
        <v>67</v>
      </c>
      <c r="AD34" s="36">
        <f t="shared" si="15"/>
        <v>0.15914489311163896</v>
      </c>
      <c r="AE34" s="17">
        <v>28</v>
      </c>
      <c r="AF34" s="36">
        <f t="shared" si="8"/>
        <v>0.23333333333333334</v>
      </c>
      <c r="AG34" s="17">
        <v>28</v>
      </c>
      <c r="AH34" s="36">
        <f t="shared" si="16"/>
        <v>6.6508313539192399E-2</v>
      </c>
      <c r="AI34" s="17">
        <v>8</v>
      </c>
      <c r="AJ34" s="36">
        <f t="shared" si="9"/>
        <v>6.6666666666666666E-2</v>
      </c>
      <c r="AK34" s="17">
        <v>5</v>
      </c>
      <c r="AL34" s="36">
        <f t="shared" si="17"/>
        <v>1.1876484560570071E-2</v>
      </c>
      <c r="AM34" s="17">
        <v>1</v>
      </c>
      <c r="AN34" s="36">
        <f t="shared" si="10"/>
        <v>8.3333333333333332E-3</v>
      </c>
      <c r="AO34" s="17">
        <v>421</v>
      </c>
      <c r="AP34" s="17">
        <v>120</v>
      </c>
    </row>
    <row r="35" spans="1:42" ht="15.75" customHeight="1" x14ac:dyDescent="0.25">
      <c r="A35" s="35">
        <v>2024</v>
      </c>
      <c r="B35" s="35">
        <v>170390</v>
      </c>
      <c r="C35" s="33" t="str">
        <f>VLOOKUP(B35,procv!$A$2:$D$142,4,FALSE)</f>
        <v>Cantão</v>
      </c>
      <c r="D35" s="33" t="s">
        <v>38</v>
      </c>
      <c r="E35" s="17">
        <v>7</v>
      </c>
      <c r="F35" s="36">
        <f t="shared" si="0"/>
        <v>1.4373716632443531E-2</v>
      </c>
      <c r="G35" s="17">
        <v>4</v>
      </c>
      <c r="H35" s="36">
        <f t="shared" si="1"/>
        <v>3.7735849056603772E-2</v>
      </c>
      <c r="I35" s="17">
        <v>16</v>
      </c>
      <c r="J35" s="36">
        <f t="shared" si="2"/>
        <v>3.2854209445585217E-2</v>
      </c>
      <c r="K35" s="17">
        <v>5</v>
      </c>
      <c r="L35" s="36">
        <f t="shared" si="3"/>
        <v>4.716981132075472E-2</v>
      </c>
      <c r="M35" s="17">
        <v>464</v>
      </c>
      <c r="N35" s="36">
        <f t="shared" si="11"/>
        <v>0.95277207392197127</v>
      </c>
      <c r="O35" s="17">
        <v>97</v>
      </c>
      <c r="P35" s="36">
        <f t="shared" si="4"/>
        <v>0.91509433962264153</v>
      </c>
      <c r="Q35" s="17">
        <v>7</v>
      </c>
      <c r="R35" s="36">
        <f t="shared" si="12"/>
        <v>1.4373716632443531E-2</v>
      </c>
      <c r="S35" s="17">
        <v>1</v>
      </c>
      <c r="T35" s="36">
        <f t="shared" si="5"/>
        <v>9.433962264150943E-3</v>
      </c>
      <c r="U35" s="17">
        <v>22</v>
      </c>
      <c r="V35" s="36">
        <f t="shared" si="13"/>
        <v>4.5174537987679675E-2</v>
      </c>
      <c r="W35" s="17">
        <v>2</v>
      </c>
      <c r="X35" s="36">
        <f t="shared" si="6"/>
        <v>1.8867924528301886E-2</v>
      </c>
      <c r="Y35" s="17">
        <v>337</v>
      </c>
      <c r="Z35" s="36">
        <f t="shared" si="14"/>
        <v>0.69199178644763859</v>
      </c>
      <c r="AA35" s="17">
        <v>73</v>
      </c>
      <c r="AB35" s="36">
        <f t="shared" si="7"/>
        <v>0.68867924528301883</v>
      </c>
      <c r="AC35" s="17">
        <v>75</v>
      </c>
      <c r="AD35" s="36">
        <f t="shared" si="15"/>
        <v>0.1540041067761807</v>
      </c>
      <c r="AE35" s="17">
        <v>24</v>
      </c>
      <c r="AF35" s="36">
        <f t="shared" si="8"/>
        <v>0.22641509433962265</v>
      </c>
      <c r="AG35" s="17">
        <v>42</v>
      </c>
      <c r="AH35" s="36">
        <f t="shared" si="16"/>
        <v>8.6242299794661192E-2</v>
      </c>
      <c r="AI35" s="17">
        <v>6</v>
      </c>
      <c r="AJ35" s="36">
        <f t="shared" si="9"/>
        <v>5.6603773584905662E-2</v>
      </c>
      <c r="AK35" s="17">
        <v>4</v>
      </c>
      <c r="AL35" s="36">
        <f t="shared" si="17"/>
        <v>8.2135523613963042E-3</v>
      </c>
      <c r="AM35" s="17">
        <v>0</v>
      </c>
      <c r="AN35" s="36">
        <f t="shared" si="10"/>
        <v>0</v>
      </c>
      <c r="AO35" s="17">
        <v>487</v>
      </c>
      <c r="AP35" s="17">
        <v>106</v>
      </c>
    </row>
    <row r="36" spans="1:42" ht="15.75" customHeight="1" x14ac:dyDescent="0.25">
      <c r="A36" s="35">
        <v>2024</v>
      </c>
      <c r="B36" s="35">
        <v>170410</v>
      </c>
      <c r="C36" s="33" t="str">
        <f>VLOOKUP(B36,procv!$A$2:$D$142,4,FALSE)</f>
        <v>Cerrado Tocantins Araguaia</v>
      </c>
      <c r="D36" s="33" t="s">
        <v>39</v>
      </c>
      <c r="E36" s="17">
        <v>5</v>
      </c>
      <c r="F36" s="36">
        <f t="shared" si="0"/>
        <v>2.336448598130841E-2</v>
      </c>
      <c r="G36" s="17">
        <v>1</v>
      </c>
      <c r="H36" s="36">
        <f t="shared" si="1"/>
        <v>2.1739130434782608E-2</v>
      </c>
      <c r="I36" s="17">
        <v>16</v>
      </c>
      <c r="J36" s="36">
        <f t="shared" si="2"/>
        <v>7.476635514018691E-2</v>
      </c>
      <c r="K36" s="17">
        <v>2</v>
      </c>
      <c r="L36" s="36">
        <f t="shared" si="3"/>
        <v>4.3478260869565216E-2</v>
      </c>
      <c r="M36" s="17">
        <v>193</v>
      </c>
      <c r="N36" s="36">
        <f t="shared" si="11"/>
        <v>0.90186915887850472</v>
      </c>
      <c r="O36" s="17">
        <v>43</v>
      </c>
      <c r="P36" s="36">
        <f t="shared" si="4"/>
        <v>0.93478260869565222</v>
      </c>
      <c r="Q36" s="17">
        <v>2</v>
      </c>
      <c r="R36" s="36">
        <f t="shared" si="12"/>
        <v>9.3457943925233638E-3</v>
      </c>
      <c r="S36" s="17">
        <v>1</v>
      </c>
      <c r="T36" s="36">
        <f t="shared" si="5"/>
        <v>2.1739130434782608E-2</v>
      </c>
      <c r="U36" s="17">
        <v>5</v>
      </c>
      <c r="V36" s="36">
        <f t="shared" si="13"/>
        <v>2.336448598130841E-2</v>
      </c>
      <c r="W36" s="17">
        <v>0</v>
      </c>
      <c r="X36" s="36">
        <f t="shared" si="6"/>
        <v>0</v>
      </c>
      <c r="Y36" s="17">
        <v>149</v>
      </c>
      <c r="Z36" s="36">
        <f t="shared" si="14"/>
        <v>0.69626168224299068</v>
      </c>
      <c r="AA36" s="17">
        <v>32</v>
      </c>
      <c r="AB36" s="36">
        <f t="shared" si="7"/>
        <v>0.69565217391304346</v>
      </c>
      <c r="AC36" s="17">
        <v>32</v>
      </c>
      <c r="AD36" s="36">
        <f t="shared" si="15"/>
        <v>0.14953271028037382</v>
      </c>
      <c r="AE36" s="17">
        <v>8</v>
      </c>
      <c r="AF36" s="36">
        <f t="shared" si="8"/>
        <v>0.17391304347826086</v>
      </c>
      <c r="AG36" s="17">
        <v>23</v>
      </c>
      <c r="AH36" s="36">
        <f t="shared" si="16"/>
        <v>0.10747663551401869</v>
      </c>
      <c r="AI36" s="17">
        <v>5</v>
      </c>
      <c r="AJ36" s="36">
        <f t="shared" si="9"/>
        <v>0.10869565217391304</v>
      </c>
      <c r="AK36" s="17">
        <v>3</v>
      </c>
      <c r="AL36" s="36">
        <f t="shared" si="17"/>
        <v>1.4018691588785047E-2</v>
      </c>
      <c r="AM36" s="17">
        <v>0</v>
      </c>
      <c r="AN36" s="36">
        <f t="shared" si="10"/>
        <v>0</v>
      </c>
      <c r="AO36" s="17">
        <v>214</v>
      </c>
      <c r="AP36" s="17">
        <v>46</v>
      </c>
    </row>
    <row r="37" spans="1:42" ht="15.75" customHeight="1" x14ac:dyDescent="0.25">
      <c r="A37" s="35">
        <v>2024</v>
      </c>
      <c r="B37" s="35">
        <v>170510</v>
      </c>
      <c r="C37" s="33" t="str">
        <f>VLOOKUP(B37,procv!$A$2:$D$142,4,FALSE)</f>
        <v>Amor Perfeito</v>
      </c>
      <c r="D37" s="33" t="s">
        <v>40</v>
      </c>
      <c r="E37" s="17">
        <v>4</v>
      </c>
      <c r="F37" s="36">
        <f t="shared" si="0"/>
        <v>1.1080332409972299E-2</v>
      </c>
      <c r="G37" s="17">
        <v>1</v>
      </c>
      <c r="H37" s="36">
        <f t="shared" si="1"/>
        <v>0.02</v>
      </c>
      <c r="I37" s="17">
        <v>9</v>
      </c>
      <c r="J37" s="36">
        <f t="shared" si="2"/>
        <v>2.4930747922437674E-2</v>
      </c>
      <c r="K37" s="17">
        <v>0</v>
      </c>
      <c r="L37" s="36">
        <f t="shared" si="3"/>
        <v>0</v>
      </c>
      <c r="M37" s="17">
        <v>348</v>
      </c>
      <c r="N37" s="36">
        <f t="shared" si="11"/>
        <v>0.96398891966759004</v>
      </c>
      <c r="O37" s="17">
        <v>49</v>
      </c>
      <c r="P37" s="36">
        <f t="shared" si="4"/>
        <v>0.98</v>
      </c>
      <c r="Q37" s="17">
        <v>5</v>
      </c>
      <c r="R37" s="36">
        <f t="shared" si="12"/>
        <v>1.3850415512465374E-2</v>
      </c>
      <c r="S37" s="17">
        <v>1</v>
      </c>
      <c r="T37" s="36">
        <f t="shared" si="5"/>
        <v>0.02</v>
      </c>
      <c r="U37" s="17">
        <v>10</v>
      </c>
      <c r="V37" s="36">
        <f t="shared" si="13"/>
        <v>2.7700831024930747E-2</v>
      </c>
      <c r="W37" s="17">
        <v>0</v>
      </c>
      <c r="X37" s="36">
        <f t="shared" si="6"/>
        <v>0</v>
      </c>
      <c r="Y37" s="17">
        <v>235</v>
      </c>
      <c r="Z37" s="36">
        <f t="shared" si="14"/>
        <v>0.65096952908587258</v>
      </c>
      <c r="AA37" s="17">
        <v>27</v>
      </c>
      <c r="AB37" s="36">
        <f t="shared" si="7"/>
        <v>0.54</v>
      </c>
      <c r="AC37" s="17">
        <v>57</v>
      </c>
      <c r="AD37" s="36">
        <f t="shared" si="15"/>
        <v>0.15789473684210525</v>
      </c>
      <c r="AE37" s="17">
        <v>10</v>
      </c>
      <c r="AF37" s="36">
        <f t="shared" si="8"/>
        <v>0.2</v>
      </c>
      <c r="AG37" s="17">
        <v>43</v>
      </c>
      <c r="AH37" s="36">
        <f t="shared" si="16"/>
        <v>0.11911357340720222</v>
      </c>
      <c r="AI37" s="17">
        <v>7</v>
      </c>
      <c r="AJ37" s="36">
        <f t="shared" si="9"/>
        <v>0.14000000000000001</v>
      </c>
      <c r="AK37" s="17">
        <v>11</v>
      </c>
      <c r="AL37" s="36">
        <f t="shared" si="17"/>
        <v>3.0470914127423823E-2</v>
      </c>
      <c r="AM37" s="17">
        <v>5</v>
      </c>
      <c r="AN37" s="36">
        <f t="shared" si="10"/>
        <v>0.1</v>
      </c>
      <c r="AO37" s="17">
        <v>361</v>
      </c>
      <c r="AP37" s="17">
        <v>50</v>
      </c>
    </row>
    <row r="38" spans="1:42" ht="15.75" customHeight="1" x14ac:dyDescent="0.25">
      <c r="A38" s="35">
        <v>2024</v>
      </c>
      <c r="B38" s="35">
        <v>170460</v>
      </c>
      <c r="C38" s="33" t="str">
        <f>VLOOKUP(B38,procv!$A$2:$D$142,4,FALSE)</f>
        <v>Cantão</v>
      </c>
      <c r="D38" s="33" t="s">
        <v>41</v>
      </c>
      <c r="E38" s="17">
        <v>1</v>
      </c>
      <c r="F38" s="36">
        <f t="shared" si="0"/>
        <v>3.9840637450199202E-3</v>
      </c>
      <c r="G38" s="17">
        <v>0</v>
      </c>
      <c r="H38" s="36">
        <f t="shared" si="1"/>
        <v>0</v>
      </c>
      <c r="I38" s="17">
        <v>3</v>
      </c>
      <c r="J38" s="36">
        <f t="shared" si="2"/>
        <v>1.1952191235059761E-2</v>
      </c>
      <c r="K38" s="17">
        <v>1</v>
      </c>
      <c r="L38" s="36">
        <f t="shared" si="3"/>
        <v>2.8571428571428571E-2</v>
      </c>
      <c r="M38" s="17">
        <v>247</v>
      </c>
      <c r="N38" s="36">
        <f t="shared" si="11"/>
        <v>0.98406374501992033</v>
      </c>
      <c r="O38" s="17">
        <v>34</v>
      </c>
      <c r="P38" s="36">
        <f t="shared" si="4"/>
        <v>0.97142857142857142</v>
      </c>
      <c r="Q38" s="17">
        <v>1</v>
      </c>
      <c r="R38" s="36">
        <f t="shared" si="12"/>
        <v>3.9840637450199202E-3</v>
      </c>
      <c r="S38" s="17">
        <v>0</v>
      </c>
      <c r="T38" s="36">
        <f t="shared" si="5"/>
        <v>0</v>
      </c>
      <c r="U38" s="17">
        <v>8</v>
      </c>
      <c r="V38" s="36">
        <f t="shared" si="13"/>
        <v>3.1872509960159362E-2</v>
      </c>
      <c r="W38" s="17">
        <v>2</v>
      </c>
      <c r="X38" s="36">
        <f t="shared" si="6"/>
        <v>5.7142857142857141E-2</v>
      </c>
      <c r="Y38" s="17">
        <v>172</v>
      </c>
      <c r="Z38" s="36">
        <f t="shared" si="14"/>
        <v>0.68525896414342624</v>
      </c>
      <c r="AA38" s="17">
        <v>22</v>
      </c>
      <c r="AB38" s="36">
        <f t="shared" si="7"/>
        <v>0.62857142857142856</v>
      </c>
      <c r="AC38" s="17">
        <v>47</v>
      </c>
      <c r="AD38" s="36">
        <f t="shared" si="15"/>
        <v>0.18725099601593626</v>
      </c>
      <c r="AE38" s="17">
        <v>9</v>
      </c>
      <c r="AF38" s="36">
        <f t="shared" si="8"/>
        <v>0.25714285714285712</v>
      </c>
      <c r="AG38" s="17">
        <v>17</v>
      </c>
      <c r="AH38" s="36">
        <f t="shared" si="16"/>
        <v>6.7729083665338641E-2</v>
      </c>
      <c r="AI38" s="17">
        <v>2</v>
      </c>
      <c r="AJ38" s="36">
        <f t="shared" si="9"/>
        <v>5.7142857142857141E-2</v>
      </c>
      <c r="AK38" s="17">
        <v>6</v>
      </c>
      <c r="AL38" s="36">
        <f t="shared" si="17"/>
        <v>2.3904382470119521E-2</v>
      </c>
      <c r="AM38" s="17">
        <v>0</v>
      </c>
      <c r="AN38" s="36">
        <f t="shared" si="10"/>
        <v>0</v>
      </c>
      <c r="AO38" s="17">
        <v>251</v>
      </c>
      <c r="AP38" s="17">
        <v>35</v>
      </c>
    </row>
    <row r="39" spans="1:42" ht="15.75" customHeight="1" x14ac:dyDescent="0.25">
      <c r="A39" s="35">
        <v>2024</v>
      </c>
      <c r="B39" s="35">
        <v>170550</v>
      </c>
      <c r="C39" s="33" t="str">
        <f>VLOOKUP(B39,procv!$A$2:$D$142,4,FALSE)</f>
        <v>Cerrado Tocantins Araguaia</v>
      </c>
      <c r="D39" s="33" t="s">
        <v>42</v>
      </c>
      <c r="E39" s="17">
        <v>17</v>
      </c>
      <c r="F39" s="36">
        <f t="shared" si="0"/>
        <v>9.1991341991341999E-3</v>
      </c>
      <c r="G39" s="17">
        <v>9</v>
      </c>
      <c r="H39" s="36">
        <f t="shared" si="1"/>
        <v>3.3962264150943396E-2</v>
      </c>
      <c r="I39" s="17">
        <v>68</v>
      </c>
      <c r="J39" s="36">
        <f t="shared" si="2"/>
        <v>3.67965367965368E-2</v>
      </c>
      <c r="K39" s="17">
        <v>10</v>
      </c>
      <c r="L39" s="36">
        <f t="shared" si="3"/>
        <v>3.7735849056603772E-2</v>
      </c>
      <c r="M39" s="16">
        <v>1763</v>
      </c>
      <c r="N39" s="36">
        <f t="shared" si="11"/>
        <v>0.95400432900432897</v>
      </c>
      <c r="O39" s="17">
        <v>246</v>
      </c>
      <c r="P39" s="36">
        <f t="shared" si="4"/>
        <v>0.92830188679245285</v>
      </c>
      <c r="Q39" s="17">
        <v>25</v>
      </c>
      <c r="R39" s="36">
        <f t="shared" si="12"/>
        <v>1.3528138528138528E-2</v>
      </c>
      <c r="S39" s="17">
        <v>5</v>
      </c>
      <c r="T39" s="36">
        <f t="shared" si="5"/>
        <v>1.8867924528301886E-2</v>
      </c>
      <c r="U39" s="17">
        <v>69</v>
      </c>
      <c r="V39" s="36">
        <f t="shared" si="13"/>
        <v>3.7337662337662336E-2</v>
      </c>
      <c r="W39" s="17">
        <v>8</v>
      </c>
      <c r="X39" s="36">
        <f t="shared" si="6"/>
        <v>3.0188679245283019E-2</v>
      </c>
      <c r="Y39" s="16">
        <v>1219</v>
      </c>
      <c r="Z39" s="36">
        <f t="shared" si="14"/>
        <v>0.65963203463203468</v>
      </c>
      <c r="AA39" s="17">
        <v>171</v>
      </c>
      <c r="AB39" s="36">
        <f t="shared" si="7"/>
        <v>0.6452830188679245</v>
      </c>
      <c r="AC39" s="17">
        <v>330</v>
      </c>
      <c r="AD39" s="36">
        <f t="shared" si="15"/>
        <v>0.17857142857142858</v>
      </c>
      <c r="AE39" s="17">
        <v>59</v>
      </c>
      <c r="AF39" s="36">
        <f t="shared" si="8"/>
        <v>0.22264150943396227</v>
      </c>
      <c r="AG39" s="17">
        <v>166</v>
      </c>
      <c r="AH39" s="36">
        <f t="shared" si="16"/>
        <v>8.9826839826839824E-2</v>
      </c>
      <c r="AI39" s="17">
        <v>21</v>
      </c>
      <c r="AJ39" s="36">
        <f t="shared" si="9"/>
        <v>7.9245283018867921E-2</v>
      </c>
      <c r="AK39" s="17">
        <v>40</v>
      </c>
      <c r="AL39" s="36">
        <f t="shared" si="17"/>
        <v>2.1645021645021644E-2</v>
      </c>
      <c r="AM39" s="17">
        <v>2</v>
      </c>
      <c r="AN39" s="36">
        <f t="shared" si="10"/>
        <v>7.5471698113207548E-3</v>
      </c>
      <c r="AO39" s="16">
        <v>1848</v>
      </c>
      <c r="AP39" s="17">
        <v>265</v>
      </c>
    </row>
    <row r="40" spans="1:42" ht="15.75" customHeight="1" x14ac:dyDescent="0.25">
      <c r="A40" s="35">
        <v>2024</v>
      </c>
      <c r="B40" s="35">
        <v>171670</v>
      </c>
      <c r="C40" s="33" t="str">
        <f>VLOOKUP(B40,procv!$A$2:$D$142,4,FALSE)</f>
        <v>Cerrado Tocantins Araguaia</v>
      </c>
      <c r="D40" s="33" t="s">
        <v>43</v>
      </c>
      <c r="E40" s="17">
        <v>9</v>
      </c>
      <c r="F40" s="36">
        <f t="shared" si="0"/>
        <v>2.5714285714285714E-2</v>
      </c>
      <c r="G40" s="17">
        <v>2</v>
      </c>
      <c r="H40" s="36">
        <f t="shared" si="1"/>
        <v>2.5000000000000001E-2</v>
      </c>
      <c r="I40" s="17">
        <v>16</v>
      </c>
      <c r="J40" s="36">
        <f t="shared" si="2"/>
        <v>4.5714285714285714E-2</v>
      </c>
      <c r="K40" s="17">
        <v>6</v>
      </c>
      <c r="L40" s="36">
        <f t="shared" si="3"/>
        <v>7.4999999999999997E-2</v>
      </c>
      <c r="M40" s="17">
        <v>325</v>
      </c>
      <c r="N40" s="36">
        <f t="shared" si="11"/>
        <v>0.9285714285714286</v>
      </c>
      <c r="O40" s="17">
        <v>72</v>
      </c>
      <c r="P40" s="36">
        <f t="shared" si="4"/>
        <v>0.9</v>
      </c>
      <c r="Q40" s="17">
        <v>4</v>
      </c>
      <c r="R40" s="36">
        <f t="shared" si="12"/>
        <v>1.1428571428571429E-2</v>
      </c>
      <c r="S40" s="17">
        <v>0</v>
      </c>
      <c r="T40" s="36">
        <f t="shared" si="5"/>
        <v>0</v>
      </c>
      <c r="U40" s="17">
        <v>14</v>
      </c>
      <c r="V40" s="36">
        <f t="shared" si="13"/>
        <v>0.04</v>
      </c>
      <c r="W40" s="17">
        <v>5</v>
      </c>
      <c r="X40" s="36">
        <f t="shared" si="6"/>
        <v>6.25E-2</v>
      </c>
      <c r="Y40" s="17">
        <v>236</v>
      </c>
      <c r="Z40" s="36">
        <f t="shared" si="14"/>
        <v>0.67428571428571427</v>
      </c>
      <c r="AA40" s="17">
        <v>51</v>
      </c>
      <c r="AB40" s="36">
        <f t="shared" si="7"/>
        <v>0.63749999999999996</v>
      </c>
      <c r="AC40" s="17">
        <v>52</v>
      </c>
      <c r="AD40" s="36">
        <f t="shared" si="15"/>
        <v>0.14857142857142858</v>
      </c>
      <c r="AE40" s="17">
        <v>13</v>
      </c>
      <c r="AF40" s="36">
        <f t="shared" si="8"/>
        <v>0.16250000000000001</v>
      </c>
      <c r="AG40" s="17">
        <v>36</v>
      </c>
      <c r="AH40" s="36">
        <f t="shared" si="16"/>
        <v>0.10285714285714286</v>
      </c>
      <c r="AI40" s="17">
        <v>11</v>
      </c>
      <c r="AJ40" s="36">
        <f t="shared" si="9"/>
        <v>0.13750000000000001</v>
      </c>
      <c r="AK40" s="17">
        <v>8</v>
      </c>
      <c r="AL40" s="36">
        <f t="shared" si="17"/>
        <v>2.2857142857142857E-2</v>
      </c>
      <c r="AM40" s="17">
        <v>0</v>
      </c>
      <c r="AN40" s="36">
        <f t="shared" si="10"/>
        <v>0</v>
      </c>
      <c r="AO40" s="17">
        <v>350</v>
      </c>
      <c r="AP40" s="17">
        <v>80</v>
      </c>
    </row>
    <row r="41" spans="1:42" ht="15.75" customHeight="1" x14ac:dyDescent="0.25">
      <c r="A41" s="35">
        <v>2024</v>
      </c>
      <c r="B41" s="35">
        <v>170555</v>
      </c>
      <c r="C41" s="33" t="str">
        <f>VLOOKUP(B41,procv!$A$2:$D$142,4,FALSE)</f>
        <v>Sudeste</v>
      </c>
      <c r="D41" s="33" t="s">
        <v>44</v>
      </c>
      <c r="E41" s="17">
        <v>5</v>
      </c>
      <c r="F41" s="36">
        <f t="shared" si="0"/>
        <v>8.6206896551724137E-3</v>
      </c>
      <c r="G41" s="17">
        <v>0</v>
      </c>
      <c r="H41" s="36">
        <f t="shared" si="1"/>
        <v>0</v>
      </c>
      <c r="I41" s="17">
        <v>16</v>
      </c>
      <c r="J41" s="36">
        <f t="shared" si="2"/>
        <v>2.7586206896551724E-2</v>
      </c>
      <c r="K41" s="17">
        <v>3</v>
      </c>
      <c r="L41" s="36">
        <f t="shared" si="3"/>
        <v>1.8987341772151899E-2</v>
      </c>
      <c r="M41" s="17">
        <v>559</v>
      </c>
      <c r="N41" s="36">
        <f t="shared" si="11"/>
        <v>0.96379310344827585</v>
      </c>
      <c r="O41" s="17">
        <v>155</v>
      </c>
      <c r="P41" s="36">
        <f t="shared" si="4"/>
        <v>0.98101265822784811</v>
      </c>
      <c r="Q41" s="17">
        <v>6</v>
      </c>
      <c r="R41" s="36">
        <f t="shared" si="12"/>
        <v>1.0344827586206896E-2</v>
      </c>
      <c r="S41" s="17">
        <v>1</v>
      </c>
      <c r="T41" s="36">
        <f t="shared" si="5"/>
        <v>6.3291139240506328E-3</v>
      </c>
      <c r="U41" s="17">
        <v>27</v>
      </c>
      <c r="V41" s="36">
        <f t="shared" si="13"/>
        <v>4.6551724137931037E-2</v>
      </c>
      <c r="W41" s="17">
        <v>7</v>
      </c>
      <c r="X41" s="36">
        <f t="shared" si="6"/>
        <v>4.4303797468354431E-2</v>
      </c>
      <c r="Y41" s="17">
        <v>411</v>
      </c>
      <c r="Z41" s="36">
        <f t="shared" si="14"/>
        <v>0.70862068965517244</v>
      </c>
      <c r="AA41" s="17">
        <v>112</v>
      </c>
      <c r="AB41" s="36">
        <f t="shared" si="7"/>
        <v>0.70886075949367089</v>
      </c>
      <c r="AC41" s="17">
        <v>91</v>
      </c>
      <c r="AD41" s="36">
        <f t="shared" si="15"/>
        <v>0.15689655172413794</v>
      </c>
      <c r="AE41" s="17">
        <v>26</v>
      </c>
      <c r="AF41" s="36">
        <f t="shared" si="8"/>
        <v>0.16455696202531644</v>
      </c>
      <c r="AG41" s="17">
        <v>37</v>
      </c>
      <c r="AH41" s="36">
        <f t="shared" si="16"/>
        <v>6.3793103448275865E-2</v>
      </c>
      <c r="AI41" s="17">
        <v>9</v>
      </c>
      <c r="AJ41" s="36">
        <f t="shared" si="9"/>
        <v>5.6962025316455694E-2</v>
      </c>
      <c r="AK41" s="17">
        <v>8</v>
      </c>
      <c r="AL41" s="36">
        <f t="shared" si="17"/>
        <v>1.3793103448275862E-2</v>
      </c>
      <c r="AM41" s="17">
        <v>3</v>
      </c>
      <c r="AN41" s="36">
        <f t="shared" si="10"/>
        <v>1.8987341772151899E-2</v>
      </c>
      <c r="AO41" s="17">
        <v>580</v>
      </c>
      <c r="AP41" s="17">
        <v>158</v>
      </c>
    </row>
    <row r="42" spans="1:42" ht="15.75" customHeight="1" x14ac:dyDescent="0.25">
      <c r="A42" s="35">
        <v>2024</v>
      </c>
      <c r="B42" s="35">
        <v>170560</v>
      </c>
      <c r="C42" s="33" t="str">
        <f>VLOOKUP(B42,procv!$A$2:$D$142,4,FALSE)</f>
        <v>Sudeste</v>
      </c>
      <c r="D42" s="33" t="s">
        <v>45</v>
      </c>
      <c r="E42" s="17">
        <v>5</v>
      </c>
      <c r="F42" s="36">
        <f t="shared" si="0"/>
        <v>1.1737089201877934E-2</v>
      </c>
      <c r="G42" s="17">
        <v>2</v>
      </c>
      <c r="H42" s="36">
        <f t="shared" si="1"/>
        <v>1.3245033112582781E-2</v>
      </c>
      <c r="I42" s="17">
        <v>10</v>
      </c>
      <c r="J42" s="36">
        <f t="shared" si="2"/>
        <v>2.3474178403755867E-2</v>
      </c>
      <c r="K42" s="17">
        <v>8</v>
      </c>
      <c r="L42" s="36">
        <f t="shared" si="3"/>
        <v>5.2980132450331126E-2</v>
      </c>
      <c r="M42" s="17">
        <v>411</v>
      </c>
      <c r="N42" s="36">
        <f t="shared" si="11"/>
        <v>0.96478873239436624</v>
      </c>
      <c r="O42" s="17">
        <v>141</v>
      </c>
      <c r="P42" s="36">
        <f t="shared" si="4"/>
        <v>0.93377483443708609</v>
      </c>
      <c r="Q42" s="17">
        <v>4</v>
      </c>
      <c r="R42" s="36">
        <f t="shared" si="12"/>
        <v>9.3896713615023476E-3</v>
      </c>
      <c r="S42" s="17">
        <v>4</v>
      </c>
      <c r="T42" s="36">
        <f t="shared" si="5"/>
        <v>2.6490066225165563E-2</v>
      </c>
      <c r="U42" s="17">
        <v>24</v>
      </c>
      <c r="V42" s="36">
        <f t="shared" si="13"/>
        <v>5.6338028169014086E-2</v>
      </c>
      <c r="W42" s="17">
        <v>6</v>
      </c>
      <c r="X42" s="36">
        <f t="shared" si="6"/>
        <v>3.9735099337748346E-2</v>
      </c>
      <c r="Y42" s="17">
        <v>285</v>
      </c>
      <c r="Z42" s="36">
        <f t="shared" si="14"/>
        <v>0.66901408450704225</v>
      </c>
      <c r="AA42" s="17">
        <v>99</v>
      </c>
      <c r="AB42" s="36">
        <f t="shared" si="7"/>
        <v>0.6556291390728477</v>
      </c>
      <c r="AC42" s="17">
        <v>78</v>
      </c>
      <c r="AD42" s="36">
        <f t="shared" si="15"/>
        <v>0.18309859154929578</v>
      </c>
      <c r="AE42" s="17">
        <v>31</v>
      </c>
      <c r="AF42" s="36">
        <f t="shared" si="8"/>
        <v>0.20529801324503311</v>
      </c>
      <c r="AG42" s="17">
        <v>32</v>
      </c>
      <c r="AH42" s="36">
        <f t="shared" si="16"/>
        <v>7.5117370892018781E-2</v>
      </c>
      <c r="AI42" s="17">
        <v>11</v>
      </c>
      <c r="AJ42" s="36">
        <f t="shared" si="9"/>
        <v>7.2847682119205295E-2</v>
      </c>
      <c r="AK42" s="17">
        <v>3</v>
      </c>
      <c r="AL42" s="36">
        <f t="shared" si="17"/>
        <v>7.0422535211267607E-3</v>
      </c>
      <c r="AM42" s="17">
        <v>0</v>
      </c>
      <c r="AN42" s="36">
        <f t="shared" si="10"/>
        <v>0</v>
      </c>
      <c r="AO42" s="17">
        <v>426</v>
      </c>
      <c r="AP42" s="17">
        <v>151</v>
      </c>
    </row>
    <row r="43" spans="1:42" ht="15.75" customHeight="1" x14ac:dyDescent="0.25">
      <c r="A43" s="35">
        <v>2024</v>
      </c>
      <c r="B43" s="35">
        <v>170600</v>
      </c>
      <c r="C43" s="33" t="str">
        <f>VLOOKUP(B43,procv!$A$2:$D$142,4,FALSE)</f>
        <v>Cerrado Tocantins Araguaia</v>
      </c>
      <c r="D43" s="33" t="s">
        <v>46</v>
      </c>
      <c r="E43" s="17">
        <v>10</v>
      </c>
      <c r="F43" s="36">
        <f t="shared" si="0"/>
        <v>1.6181229773462782E-2</v>
      </c>
      <c r="G43" s="17">
        <v>1</v>
      </c>
      <c r="H43" s="36">
        <f t="shared" si="1"/>
        <v>5.4644808743169399E-3</v>
      </c>
      <c r="I43" s="17">
        <v>25</v>
      </c>
      <c r="J43" s="36">
        <f t="shared" si="2"/>
        <v>4.0453074433656956E-2</v>
      </c>
      <c r="K43" s="17">
        <v>6</v>
      </c>
      <c r="L43" s="36">
        <f t="shared" si="3"/>
        <v>3.2786885245901641E-2</v>
      </c>
      <c r="M43" s="17">
        <v>583</v>
      </c>
      <c r="N43" s="36">
        <f t="shared" si="11"/>
        <v>0.94336569579288021</v>
      </c>
      <c r="O43" s="17">
        <v>176</v>
      </c>
      <c r="P43" s="36">
        <f t="shared" si="4"/>
        <v>0.96174863387978138</v>
      </c>
      <c r="Q43" s="17">
        <v>10</v>
      </c>
      <c r="R43" s="36">
        <f t="shared" si="12"/>
        <v>1.6181229773462782E-2</v>
      </c>
      <c r="S43" s="17">
        <v>2</v>
      </c>
      <c r="T43" s="36">
        <f t="shared" si="5"/>
        <v>1.092896174863388E-2</v>
      </c>
      <c r="U43" s="17">
        <v>24</v>
      </c>
      <c r="V43" s="36">
        <f t="shared" si="13"/>
        <v>3.8834951456310676E-2</v>
      </c>
      <c r="W43" s="17">
        <v>2</v>
      </c>
      <c r="X43" s="36">
        <f t="shared" si="6"/>
        <v>1.092896174863388E-2</v>
      </c>
      <c r="Y43" s="17">
        <v>463</v>
      </c>
      <c r="Z43" s="36">
        <f t="shared" si="14"/>
        <v>0.7491909385113269</v>
      </c>
      <c r="AA43" s="17">
        <v>143</v>
      </c>
      <c r="AB43" s="36">
        <f t="shared" si="7"/>
        <v>0.78142076502732238</v>
      </c>
      <c r="AC43" s="17">
        <v>68</v>
      </c>
      <c r="AD43" s="36">
        <f t="shared" si="15"/>
        <v>0.11003236245954692</v>
      </c>
      <c r="AE43" s="17">
        <v>29</v>
      </c>
      <c r="AF43" s="36">
        <f t="shared" si="8"/>
        <v>0.15846994535519127</v>
      </c>
      <c r="AG43" s="17">
        <v>42</v>
      </c>
      <c r="AH43" s="36">
        <f t="shared" si="16"/>
        <v>6.7961165048543687E-2</v>
      </c>
      <c r="AI43" s="17">
        <v>6</v>
      </c>
      <c r="AJ43" s="36">
        <f t="shared" si="9"/>
        <v>3.2786885245901641E-2</v>
      </c>
      <c r="AK43" s="17">
        <v>11</v>
      </c>
      <c r="AL43" s="36">
        <f t="shared" si="17"/>
        <v>1.7799352750809062E-2</v>
      </c>
      <c r="AM43" s="17">
        <v>1</v>
      </c>
      <c r="AN43" s="36">
        <f t="shared" si="10"/>
        <v>5.4644808743169399E-3</v>
      </c>
      <c r="AO43" s="17">
        <v>618</v>
      </c>
      <c r="AP43" s="17">
        <v>183</v>
      </c>
    </row>
    <row r="44" spans="1:42" ht="15.75" customHeight="1" x14ac:dyDescent="0.25">
      <c r="A44" s="35">
        <v>2024</v>
      </c>
      <c r="B44" s="35">
        <v>170610</v>
      </c>
      <c r="C44" s="33" t="str">
        <f>VLOOKUP(B44,procv!$A$2:$D$142,4,FALSE)</f>
        <v>Cantão</v>
      </c>
      <c r="D44" s="33" t="s">
        <v>47</v>
      </c>
      <c r="E44" s="17">
        <v>7</v>
      </c>
      <c r="F44" s="36">
        <f t="shared" si="0"/>
        <v>1.3207547169811321E-2</v>
      </c>
      <c r="G44" s="17">
        <v>0</v>
      </c>
      <c r="H44" s="36">
        <f t="shared" si="1"/>
        <v>0</v>
      </c>
      <c r="I44" s="17">
        <v>12</v>
      </c>
      <c r="J44" s="36">
        <f t="shared" si="2"/>
        <v>2.2641509433962263E-2</v>
      </c>
      <c r="K44" s="17">
        <v>1</v>
      </c>
      <c r="L44" s="36">
        <f t="shared" si="3"/>
        <v>0.01</v>
      </c>
      <c r="M44" s="17">
        <v>511</v>
      </c>
      <c r="N44" s="36">
        <f t="shared" si="11"/>
        <v>0.96415094339622642</v>
      </c>
      <c r="O44" s="17">
        <v>99</v>
      </c>
      <c r="P44" s="36">
        <f t="shared" si="4"/>
        <v>0.99</v>
      </c>
      <c r="Q44" s="17">
        <v>10</v>
      </c>
      <c r="R44" s="36">
        <f t="shared" si="12"/>
        <v>1.8867924528301886E-2</v>
      </c>
      <c r="S44" s="17">
        <v>0</v>
      </c>
      <c r="T44" s="36">
        <f t="shared" si="5"/>
        <v>0</v>
      </c>
      <c r="U44" s="17">
        <v>24</v>
      </c>
      <c r="V44" s="36">
        <f t="shared" si="13"/>
        <v>4.5283018867924525E-2</v>
      </c>
      <c r="W44" s="17">
        <v>8</v>
      </c>
      <c r="X44" s="36">
        <f t="shared" si="6"/>
        <v>0.08</v>
      </c>
      <c r="Y44" s="17">
        <v>350</v>
      </c>
      <c r="Z44" s="36">
        <f t="shared" si="14"/>
        <v>0.660377358490566</v>
      </c>
      <c r="AA44" s="17">
        <v>62</v>
      </c>
      <c r="AB44" s="36">
        <f t="shared" si="7"/>
        <v>0.62</v>
      </c>
      <c r="AC44" s="17">
        <v>80</v>
      </c>
      <c r="AD44" s="36">
        <f t="shared" si="15"/>
        <v>0.15094339622641509</v>
      </c>
      <c r="AE44" s="17">
        <v>21</v>
      </c>
      <c r="AF44" s="36">
        <f t="shared" si="8"/>
        <v>0.21</v>
      </c>
      <c r="AG44" s="17">
        <v>52</v>
      </c>
      <c r="AH44" s="36">
        <f t="shared" si="16"/>
        <v>9.8113207547169817E-2</v>
      </c>
      <c r="AI44" s="17">
        <v>8</v>
      </c>
      <c r="AJ44" s="36">
        <f t="shared" si="9"/>
        <v>0.08</v>
      </c>
      <c r="AK44" s="17">
        <v>14</v>
      </c>
      <c r="AL44" s="36">
        <f t="shared" si="17"/>
        <v>2.6415094339622643E-2</v>
      </c>
      <c r="AM44" s="17">
        <v>1</v>
      </c>
      <c r="AN44" s="36">
        <f t="shared" si="10"/>
        <v>0.01</v>
      </c>
      <c r="AO44" s="17">
        <v>530</v>
      </c>
      <c r="AP44" s="17">
        <v>100</v>
      </c>
    </row>
    <row r="45" spans="1:42" ht="15.75" customHeight="1" x14ac:dyDescent="0.25">
      <c r="A45" s="35">
        <v>2024</v>
      </c>
      <c r="B45" s="35">
        <v>170625</v>
      </c>
      <c r="C45" s="33" t="str">
        <f>VLOOKUP(B45,procv!$A$2:$D$142,4,FALSE)</f>
        <v>Ilha do Bananal</v>
      </c>
      <c r="D45" s="33" t="s">
        <v>48</v>
      </c>
      <c r="E45" s="17">
        <v>1</v>
      </c>
      <c r="F45" s="36">
        <f t="shared" si="0"/>
        <v>6.6225165562913907E-3</v>
      </c>
      <c r="G45" s="17">
        <v>0</v>
      </c>
      <c r="H45" s="36">
        <f t="shared" si="1"/>
        <v>0</v>
      </c>
      <c r="I45" s="17">
        <v>9</v>
      </c>
      <c r="J45" s="36">
        <f t="shared" si="2"/>
        <v>5.9602649006622516E-2</v>
      </c>
      <c r="K45" s="17">
        <v>0</v>
      </c>
      <c r="L45" s="36">
        <f t="shared" si="3"/>
        <v>0</v>
      </c>
      <c r="M45" s="17">
        <v>141</v>
      </c>
      <c r="N45" s="36">
        <f t="shared" si="11"/>
        <v>0.93377483443708609</v>
      </c>
      <c r="O45" s="17">
        <v>12</v>
      </c>
      <c r="P45" s="36">
        <f t="shared" si="4"/>
        <v>1</v>
      </c>
      <c r="Q45" s="17">
        <v>0</v>
      </c>
      <c r="R45" s="36">
        <f t="shared" si="12"/>
        <v>0</v>
      </c>
      <c r="S45" s="17">
        <v>0</v>
      </c>
      <c r="T45" s="36">
        <f t="shared" si="5"/>
        <v>0</v>
      </c>
      <c r="U45" s="17">
        <v>3</v>
      </c>
      <c r="V45" s="36">
        <f t="shared" si="13"/>
        <v>1.9867549668874173E-2</v>
      </c>
      <c r="W45" s="17">
        <v>0</v>
      </c>
      <c r="X45" s="36">
        <f t="shared" si="6"/>
        <v>0</v>
      </c>
      <c r="Y45" s="17">
        <v>107</v>
      </c>
      <c r="Z45" s="36">
        <f t="shared" si="14"/>
        <v>0.70860927152317876</v>
      </c>
      <c r="AA45" s="17">
        <v>7</v>
      </c>
      <c r="AB45" s="36">
        <f t="shared" si="7"/>
        <v>0.58333333333333337</v>
      </c>
      <c r="AC45" s="17">
        <v>22</v>
      </c>
      <c r="AD45" s="36">
        <f t="shared" si="15"/>
        <v>0.14569536423841059</v>
      </c>
      <c r="AE45" s="17">
        <v>4</v>
      </c>
      <c r="AF45" s="36">
        <f t="shared" si="8"/>
        <v>0.33333333333333331</v>
      </c>
      <c r="AG45" s="17">
        <v>16</v>
      </c>
      <c r="AH45" s="36">
        <f t="shared" si="16"/>
        <v>0.10596026490066225</v>
      </c>
      <c r="AI45" s="17">
        <v>1</v>
      </c>
      <c r="AJ45" s="36">
        <f t="shared" si="9"/>
        <v>8.3333333333333329E-2</v>
      </c>
      <c r="AK45" s="17">
        <v>3</v>
      </c>
      <c r="AL45" s="36">
        <f t="shared" si="17"/>
        <v>1.9867549668874173E-2</v>
      </c>
      <c r="AM45" s="17">
        <v>0</v>
      </c>
      <c r="AN45" s="36">
        <f t="shared" si="10"/>
        <v>0</v>
      </c>
      <c r="AO45" s="17">
        <v>151</v>
      </c>
      <c r="AP45" s="17">
        <v>12</v>
      </c>
    </row>
    <row r="46" spans="1:42" ht="15.75" customHeight="1" x14ac:dyDescent="0.25">
      <c r="A46" s="35">
        <v>2024</v>
      </c>
      <c r="B46" s="35">
        <v>170650</v>
      </c>
      <c r="C46" s="33" t="str">
        <f>VLOOKUP(B46,procv!$A$2:$D$142,4,FALSE)</f>
        <v>Médio Norte Araguaia</v>
      </c>
      <c r="D46" s="33" t="s">
        <v>49</v>
      </c>
      <c r="E46" s="17">
        <v>5</v>
      </c>
      <c r="F46" s="36">
        <f t="shared" si="0"/>
        <v>1.6949152542372881E-2</v>
      </c>
      <c r="G46" s="17">
        <v>3</v>
      </c>
      <c r="H46" s="36">
        <f t="shared" si="1"/>
        <v>1.8292682926829267E-2</v>
      </c>
      <c r="I46" s="17">
        <v>20</v>
      </c>
      <c r="J46" s="36">
        <f t="shared" si="2"/>
        <v>6.7796610169491525E-2</v>
      </c>
      <c r="K46" s="17">
        <v>10</v>
      </c>
      <c r="L46" s="36">
        <f t="shared" si="3"/>
        <v>6.097560975609756E-2</v>
      </c>
      <c r="M46" s="17">
        <v>270</v>
      </c>
      <c r="N46" s="36">
        <f t="shared" si="11"/>
        <v>0.9152542372881356</v>
      </c>
      <c r="O46" s="17">
        <v>151</v>
      </c>
      <c r="P46" s="36">
        <f t="shared" si="4"/>
        <v>0.92073170731707321</v>
      </c>
      <c r="Q46" s="17">
        <v>3</v>
      </c>
      <c r="R46" s="36">
        <f t="shared" si="12"/>
        <v>1.0169491525423728E-2</v>
      </c>
      <c r="S46" s="17">
        <v>2</v>
      </c>
      <c r="T46" s="36">
        <f t="shared" si="5"/>
        <v>1.2195121951219513E-2</v>
      </c>
      <c r="U46" s="17">
        <v>9</v>
      </c>
      <c r="V46" s="36">
        <f t="shared" si="13"/>
        <v>3.0508474576271188E-2</v>
      </c>
      <c r="W46" s="17">
        <v>8</v>
      </c>
      <c r="X46" s="36">
        <f t="shared" si="6"/>
        <v>4.878048780487805E-2</v>
      </c>
      <c r="Y46" s="17">
        <v>218</v>
      </c>
      <c r="Z46" s="36">
        <f t="shared" si="14"/>
        <v>0.73898305084745763</v>
      </c>
      <c r="AA46" s="17">
        <v>117</v>
      </c>
      <c r="AB46" s="36">
        <f t="shared" si="7"/>
        <v>0.71341463414634143</v>
      </c>
      <c r="AC46" s="17">
        <v>50</v>
      </c>
      <c r="AD46" s="36">
        <f t="shared" si="15"/>
        <v>0.16949152542372881</v>
      </c>
      <c r="AE46" s="17">
        <v>25</v>
      </c>
      <c r="AF46" s="36">
        <f t="shared" si="8"/>
        <v>0.1524390243902439</v>
      </c>
      <c r="AG46" s="17">
        <v>13</v>
      </c>
      <c r="AH46" s="36">
        <f t="shared" si="16"/>
        <v>4.4067796610169491E-2</v>
      </c>
      <c r="AI46" s="17">
        <v>10</v>
      </c>
      <c r="AJ46" s="36">
        <f t="shared" si="9"/>
        <v>6.097560975609756E-2</v>
      </c>
      <c r="AK46" s="17">
        <v>2</v>
      </c>
      <c r="AL46" s="36">
        <f t="shared" si="17"/>
        <v>6.7796610169491523E-3</v>
      </c>
      <c r="AM46" s="17">
        <v>2</v>
      </c>
      <c r="AN46" s="36">
        <f t="shared" si="10"/>
        <v>1.2195121951219513E-2</v>
      </c>
      <c r="AO46" s="17">
        <v>295</v>
      </c>
      <c r="AP46" s="17">
        <v>164</v>
      </c>
    </row>
    <row r="47" spans="1:42" ht="15.75" customHeight="1" x14ac:dyDescent="0.25">
      <c r="A47" s="35">
        <v>2024</v>
      </c>
      <c r="B47" s="35">
        <v>170700</v>
      </c>
      <c r="C47" s="33" t="str">
        <f>VLOOKUP(B47,procv!$A$2:$D$142,4,FALSE)</f>
        <v>Sudeste</v>
      </c>
      <c r="D47" s="33" t="s">
        <v>50</v>
      </c>
      <c r="E47" s="17">
        <v>13</v>
      </c>
      <c r="F47" s="36">
        <f t="shared" si="0"/>
        <v>1.0878661087866108E-2</v>
      </c>
      <c r="G47" s="17">
        <v>5</v>
      </c>
      <c r="H47" s="36">
        <f t="shared" si="1"/>
        <v>2.7027027027027029E-2</v>
      </c>
      <c r="I47" s="17">
        <v>43</v>
      </c>
      <c r="J47" s="36">
        <f t="shared" si="2"/>
        <v>3.5983263598326362E-2</v>
      </c>
      <c r="K47" s="17">
        <v>15</v>
      </c>
      <c r="L47" s="36">
        <f t="shared" si="3"/>
        <v>8.1081081081081086E-2</v>
      </c>
      <c r="M47" s="16">
        <v>1139</v>
      </c>
      <c r="N47" s="36">
        <f t="shared" si="11"/>
        <v>0.95313807531380756</v>
      </c>
      <c r="O47" s="17">
        <v>165</v>
      </c>
      <c r="P47" s="36">
        <f t="shared" si="4"/>
        <v>0.89189189189189189</v>
      </c>
      <c r="Q47" s="17">
        <v>15</v>
      </c>
      <c r="R47" s="36">
        <f t="shared" si="12"/>
        <v>1.2552301255230125E-2</v>
      </c>
      <c r="S47" s="17">
        <v>4</v>
      </c>
      <c r="T47" s="36">
        <f t="shared" si="5"/>
        <v>2.1621621621621623E-2</v>
      </c>
      <c r="U47" s="17">
        <v>36</v>
      </c>
      <c r="V47" s="36">
        <f t="shared" si="13"/>
        <v>3.0125523012552301E-2</v>
      </c>
      <c r="W47" s="17">
        <v>4</v>
      </c>
      <c r="X47" s="36">
        <f t="shared" si="6"/>
        <v>2.1621621621621623E-2</v>
      </c>
      <c r="Y47" s="17">
        <v>804</v>
      </c>
      <c r="Z47" s="36">
        <f t="shared" si="14"/>
        <v>0.67280334728033475</v>
      </c>
      <c r="AA47" s="17">
        <v>129</v>
      </c>
      <c r="AB47" s="36">
        <f t="shared" si="7"/>
        <v>0.69729729729729728</v>
      </c>
      <c r="AC47" s="17">
        <v>208</v>
      </c>
      <c r="AD47" s="36">
        <f t="shared" si="15"/>
        <v>0.17405857740585773</v>
      </c>
      <c r="AE47" s="17">
        <v>29</v>
      </c>
      <c r="AF47" s="36">
        <f t="shared" si="8"/>
        <v>0.15675675675675677</v>
      </c>
      <c r="AG47" s="17">
        <v>99</v>
      </c>
      <c r="AH47" s="36">
        <f t="shared" si="16"/>
        <v>8.2845188284518825E-2</v>
      </c>
      <c r="AI47" s="17">
        <v>13</v>
      </c>
      <c r="AJ47" s="36">
        <f t="shared" si="9"/>
        <v>7.0270270270270274E-2</v>
      </c>
      <c r="AK47" s="17">
        <v>33</v>
      </c>
      <c r="AL47" s="36">
        <f t="shared" si="17"/>
        <v>2.7615062761506277E-2</v>
      </c>
      <c r="AM47" s="17">
        <v>6</v>
      </c>
      <c r="AN47" s="36">
        <f t="shared" si="10"/>
        <v>3.2432432432432434E-2</v>
      </c>
      <c r="AO47" s="16">
        <v>1195</v>
      </c>
      <c r="AP47" s="17">
        <v>185</v>
      </c>
    </row>
    <row r="48" spans="1:42" ht="15.75" customHeight="1" x14ac:dyDescent="0.25">
      <c r="A48" s="35">
        <v>2024</v>
      </c>
      <c r="B48" s="35">
        <v>170710</v>
      </c>
      <c r="C48" s="33" t="str">
        <f>VLOOKUP(B48,procv!$A$2:$D$142,4,FALSE)</f>
        <v>Cantão</v>
      </c>
      <c r="D48" s="33" t="s">
        <v>51</v>
      </c>
      <c r="E48" s="17">
        <v>5</v>
      </c>
      <c r="F48" s="36">
        <f t="shared" si="0"/>
        <v>9.1074681238615673E-3</v>
      </c>
      <c r="G48" s="17">
        <v>3</v>
      </c>
      <c r="H48" s="36">
        <f t="shared" si="1"/>
        <v>3.7037037037037035E-2</v>
      </c>
      <c r="I48" s="17">
        <v>13</v>
      </c>
      <c r="J48" s="36">
        <f t="shared" si="2"/>
        <v>2.3679417122040074E-2</v>
      </c>
      <c r="K48" s="17">
        <v>4</v>
      </c>
      <c r="L48" s="36">
        <f t="shared" si="3"/>
        <v>4.9382716049382713E-2</v>
      </c>
      <c r="M48" s="17">
        <v>531</v>
      </c>
      <c r="N48" s="36">
        <f t="shared" si="11"/>
        <v>0.96721311475409832</v>
      </c>
      <c r="O48" s="17">
        <v>74</v>
      </c>
      <c r="P48" s="36">
        <f t="shared" si="4"/>
        <v>0.9135802469135802</v>
      </c>
      <c r="Q48" s="17">
        <v>3</v>
      </c>
      <c r="R48" s="36">
        <f t="shared" si="12"/>
        <v>5.4644808743169399E-3</v>
      </c>
      <c r="S48" s="17">
        <v>1</v>
      </c>
      <c r="T48" s="36">
        <f t="shared" si="5"/>
        <v>1.2345679012345678E-2</v>
      </c>
      <c r="U48" s="17">
        <v>14</v>
      </c>
      <c r="V48" s="36">
        <f t="shared" si="13"/>
        <v>2.5500910746812388E-2</v>
      </c>
      <c r="W48" s="17">
        <v>2</v>
      </c>
      <c r="X48" s="36">
        <f t="shared" si="6"/>
        <v>2.4691358024691357E-2</v>
      </c>
      <c r="Y48" s="17">
        <v>395</v>
      </c>
      <c r="Z48" s="36">
        <f t="shared" si="14"/>
        <v>0.71948998178506374</v>
      </c>
      <c r="AA48" s="17">
        <v>65</v>
      </c>
      <c r="AB48" s="36">
        <f t="shared" si="7"/>
        <v>0.80246913580246915</v>
      </c>
      <c r="AC48" s="17">
        <v>85</v>
      </c>
      <c r="AD48" s="36">
        <f t="shared" si="15"/>
        <v>0.15482695810564662</v>
      </c>
      <c r="AE48" s="17">
        <v>7</v>
      </c>
      <c r="AF48" s="36">
        <f t="shared" si="8"/>
        <v>8.6419753086419748E-2</v>
      </c>
      <c r="AG48" s="17">
        <v>48</v>
      </c>
      <c r="AH48" s="36">
        <f t="shared" si="16"/>
        <v>8.7431693989071038E-2</v>
      </c>
      <c r="AI48" s="17">
        <v>5</v>
      </c>
      <c r="AJ48" s="36">
        <f t="shared" si="9"/>
        <v>6.1728395061728392E-2</v>
      </c>
      <c r="AK48" s="17">
        <v>4</v>
      </c>
      <c r="AL48" s="36">
        <f t="shared" si="17"/>
        <v>7.2859744990892532E-3</v>
      </c>
      <c r="AM48" s="17">
        <v>1</v>
      </c>
      <c r="AN48" s="36">
        <f t="shared" si="10"/>
        <v>1.2345679012345678E-2</v>
      </c>
      <c r="AO48" s="17">
        <v>549</v>
      </c>
      <c r="AP48" s="17">
        <v>81</v>
      </c>
    </row>
    <row r="49" spans="1:42" ht="15.75" customHeight="1" x14ac:dyDescent="0.25">
      <c r="A49" s="35">
        <v>2024</v>
      </c>
      <c r="B49" s="35">
        <v>170720</v>
      </c>
      <c r="C49" s="33" t="str">
        <f>VLOOKUP(B49,procv!$A$2:$D$142,4,FALSE)</f>
        <v>Cantão</v>
      </c>
      <c r="D49" s="33" t="s">
        <v>52</v>
      </c>
      <c r="E49" s="17">
        <v>4</v>
      </c>
      <c r="F49" s="36">
        <f t="shared" si="0"/>
        <v>8.5106382978723406E-3</v>
      </c>
      <c r="G49" s="17">
        <v>0</v>
      </c>
      <c r="H49" s="36">
        <f t="shared" si="1"/>
        <v>0</v>
      </c>
      <c r="I49" s="17">
        <v>13</v>
      </c>
      <c r="J49" s="36">
        <f t="shared" si="2"/>
        <v>2.7659574468085105E-2</v>
      </c>
      <c r="K49" s="17">
        <v>3</v>
      </c>
      <c r="L49" s="36">
        <f t="shared" si="3"/>
        <v>2.6548672566371681E-2</v>
      </c>
      <c r="M49" s="17">
        <v>453</v>
      </c>
      <c r="N49" s="36">
        <f t="shared" si="11"/>
        <v>0.96382978723404256</v>
      </c>
      <c r="O49" s="17">
        <v>110</v>
      </c>
      <c r="P49" s="36">
        <f t="shared" si="4"/>
        <v>0.97345132743362828</v>
      </c>
      <c r="Q49" s="17">
        <v>2</v>
      </c>
      <c r="R49" s="36">
        <f t="shared" si="12"/>
        <v>4.2553191489361703E-3</v>
      </c>
      <c r="S49" s="17">
        <v>4</v>
      </c>
      <c r="T49" s="36">
        <f t="shared" si="5"/>
        <v>3.5398230088495575E-2</v>
      </c>
      <c r="U49" s="17">
        <v>21</v>
      </c>
      <c r="V49" s="36">
        <f t="shared" si="13"/>
        <v>4.4680851063829789E-2</v>
      </c>
      <c r="W49" s="17">
        <v>5</v>
      </c>
      <c r="X49" s="36">
        <f t="shared" si="6"/>
        <v>4.4247787610619468E-2</v>
      </c>
      <c r="Y49" s="17">
        <v>330</v>
      </c>
      <c r="Z49" s="36">
        <f t="shared" si="14"/>
        <v>0.7021276595744681</v>
      </c>
      <c r="AA49" s="17">
        <v>68</v>
      </c>
      <c r="AB49" s="36">
        <f t="shared" si="7"/>
        <v>0.60176991150442483</v>
      </c>
      <c r="AC49" s="17">
        <v>70</v>
      </c>
      <c r="AD49" s="36">
        <f t="shared" si="15"/>
        <v>0.14893617021276595</v>
      </c>
      <c r="AE49" s="17">
        <v>28</v>
      </c>
      <c r="AF49" s="36">
        <f t="shared" si="8"/>
        <v>0.24778761061946902</v>
      </c>
      <c r="AG49" s="17">
        <v>38</v>
      </c>
      <c r="AH49" s="36">
        <f t="shared" si="16"/>
        <v>8.085106382978724E-2</v>
      </c>
      <c r="AI49" s="17">
        <v>8</v>
      </c>
      <c r="AJ49" s="36">
        <f t="shared" si="9"/>
        <v>7.0796460176991149E-2</v>
      </c>
      <c r="AK49" s="17">
        <v>9</v>
      </c>
      <c r="AL49" s="36">
        <f t="shared" si="17"/>
        <v>1.9148936170212766E-2</v>
      </c>
      <c r="AM49" s="17">
        <v>0</v>
      </c>
      <c r="AN49" s="36">
        <f t="shared" si="10"/>
        <v>0</v>
      </c>
      <c r="AO49" s="17">
        <v>470</v>
      </c>
      <c r="AP49" s="17">
        <v>113</v>
      </c>
    </row>
    <row r="50" spans="1:42" ht="15.75" customHeight="1" x14ac:dyDescent="0.25">
      <c r="A50" s="35">
        <v>2024</v>
      </c>
      <c r="B50" s="35">
        <v>170730</v>
      </c>
      <c r="C50" s="33" t="str">
        <f>VLOOKUP(B50,procv!$A$2:$D$142,4,FALSE)</f>
        <v>Ilha do Bananal</v>
      </c>
      <c r="D50" s="33" t="s">
        <v>53</v>
      </c>
      <c r="E50" s="17">
        <v>2</v>
      </c>
      <c r="F50" s="36">
        <f t="shared" si="0"/>
        <v>5.2219321148825066E-3</v>
      </c>
      <c r="G50" s="17">
        <v>0</v>
      </c>
      <c r="H50" s="36">
        <f t="shared" si="1"/>
        <v>0</v>
      </c>
      <c r="I50" s="17">
        <v>22</v>
      </c>
      <c r="J50" s="36">
        <f t="shared" si="2"/>
        <v>5.7441253263707574E-2</v>
      </c>
      <c r="K50" s="17">
        <v>7</v>
      </c>
      <c r="L50" s="36">
        <f t="shared" si="3"/>
        <v>6.8627450980392163E-2</v>
      </c>
      <c r="M50" s="17">
        <v>359</v>
      </c>
      <c r="N50" s="36">
        <f t="shared" si="11"/>
        <v>0.93733681462140994</v>
      </c>
      <c r="O50" s="17">
        <v>95</v>
      </c>
      <c r="P50" s="36">
        <f t="shared" si="4"/>
        <v>0.93137254901960786</v>
      </c>
      <c r="Q50" s="17">
        <v>1</v>
      </c>
      <c r="R50" s="36">
        <f t="shared" si="12"/>
        <v>2.6109660574412533E-3</v>
      </c>
      <c r="S50" s="17">
        <v>1</v>
      </c>
      <c r="T50" s="36">
        <f t="shared" si="5"/>
        <v>9.8039215686274508E-3</v>
      </c>
      <c r="U50" s="17">
        <v>13</v>
      </c>
      <c r="V50" s="36">
        <f t="shared" si="13"/>
        <v>3.3942558746736295E-2</v>
      </c>
      <c r="W50" s="17">
        <v>1</v>
      </c>
      <c r="X50" s="36">
        <f t="shared" si="6"/>
        <v>9.8039215686274508E-3</v>
      </c>
      <c r="Y50" s="17">
        <v>272</v>
      </c>
      <c r="Z50" s="36">
        <f t="shared" si="14"/>
        <v>0.71018276762402088</v>
      </c>
      <c r="AA50" s="17">
        <v>80</v>
      </c>
      <c r="AB50" s="36">
        <f t="shared" si="7"/>
        <v>0.78431372549019607</v>
      </c>
      <c r="AC50" s="17">
        <v>61</v>
      </c>
      <c r="AD50" s="36">
        <f t="shared" si="15"/>
        <v>0.15926892950391644</v>
      </c>
      <c r="AE50" s="17">
        <v>15</v>
      </c>
      <c r="AF50" s="36">
        <f t="shared" si="8"/>
        <v>0.14705882352941177</v>
      </c>
      <c r="AG50" s="17">
        <v>31</v>
      </c>
      <c r="AH50" s="36">
        <f t="shared" si="16"/>
        <v>8.0939947780678853E-2</v>
      </c>
      <c r="AI50" s="17">
        <v>3</v>
      </c>
      <c r="AJ50" s="36">
        <f t="shared" si="9"/>
        <v>2.9411764705882353E-2</v>
      </c>
      <c r="AK50" s="17">
        <v>5</v>
      </c>
      <c r="AL50" s="36">
        <f t="shared" si="17"/>
        <v>1.3054830287206266E-2</v>
      </c>
      <c r="AM50" s="17">
        <v>2</v>
      </c>
      <c r="AN50" s="36">
        <f t="shared" si="10"/>
        <v>1.9607843137254902E-2</v>
      </c>
      <c r="AO50" s="17">
        <v>383</v>
      </c>
      <c r="AP50" s="17">
        <v>102</v>
      </c>
    </row>
    <row r="51" spans="1:42" ht="15.75" customHeight="1" x14ac:dyDescent="0.25">
      <c r="A51" s="35">
        <v>2024</v>
      </c>
      <c r="B51" s="35">
        <v>170740</v>
      </c>
      <c r="C51" s="33" t="str">
        <f>VLOOKUP(B51,procv!$A$2:$D$142,4,FALSE)</f>
        <v>Bico do Papagaio</v>
      </c>
      <c r="D51" s="33" t="s">
        <v>54</v>
      </c>
      <c r="E51" s="17">
        <v>13</v>
      </c>
      <c r="F51" s="36">
        <f t="shared" si="0"/>
        <v>1.1722272317403066E-2</v>
      </c>
      <c r="G51" s="17">
        <v>3</v>
      </c>
      <c r="H51" s="36">
        <f t="shared" si="1"/>
        <v>1.3157894736842105E-2</v>
      </c>
      <c r="I51" s="17">
        <v>76</v>
      </c>
      <c r="J51" s="36">
        <f t="shared" si="2"/>
        <v>6.8530207394048692E-2</v>
      </c>
      <c r="K51" s="17">
        <v>20</v>
      </c>
      <c r="L51" s="36">
        <f t="shared" si="3"/>
        <v>8.771929824561403E-2</v>
      </c>
      <c r="M51" s="16">
        <v>1020</v>
      </c>
      <c r="N51" s="36">
        <f t="shared" si="11"/>
        <v>0.91974752028854823</v>
      </c>
      <c r="O51" s="17">
        <v>205</v>
      </c>
      <c r="P51" s="36">
        <f t="shared" si="4"/>
        <v>0.89912280701754388</v>
      </c>
      <c r="Q51" s="17">
        <v>9</v>
      </c>
      <c r="R51" s="36">
        <f t="shared" si="12"/>
        <v>8.1154192966636611E-3</v>
      </c>
      <c r="S51" s="17">
        <v>1</v>
      </c>
      <c r="T51" s="36">
        <f t="shared" si="5"/>
        <v>4.3859649122807015E-3</v>
      </c>
      <c r="U51" s="17">
        <v>37</v>
      </c>
      <c r="V51" s="36">
        <f t="shared" si="13"/>
        <v>3.3363390441839495E-2</v>
      </c>
      <c r="W51" s="17">
        <v>7</v>
      </c>
      <c r="X51" s="36">
        <f t="shared" si="6"/>
        <v>3.0701754385964911E-2</v>
      </c>
      <c r="Y51" s="17">
        <v>830</v>
      </c>
      <c r="Z51" s="36">
        <f t="shared" si="14"/>
        <v>0.74842200180342655</v>
      </c>
      <c r="AA51" s="17">
        <v>173</v>
      </c>
      <c r="AB51" s="36">
        <f t="shared" si="7"/>
        <v>0.75877192982456143</v>
      </c>
      <c r="AC51" s="17">
        <v>163</v>
      </c>
      <c r="AD51" s="36">
        <f t="shared" si="15"/>
        <v>0.14697926059513075</v>
      </c>
      <c r="AE51" s="17">
        <v>35</v>
      </c>
      <c r="AF51" s="36">
        <f t="shared" si="8"/>
        <v>0.15350877192982457</v>
      </c>
      <c r="AG51" s="17">
        <v>56</v>
      </c>
      <c r="AH51" s="36">
        <f t="shared" si="16"/>
        <v>5.0495942290351668E-2</v>
      </c>
      <c r="AI51" s="17">
        <v>11</v>
      </c>
      <c r="AJ51" s="36">
        <f t="shared" si="9"/>
        <v>4.8245614035087717E-2</v>
      </c>
      <c r="AK51" s="17">
        <v>14</v>
      </c>
      <c r="AL51" s="36">
        <f t="shared" si="17"/>
        <v>1.2623985572587917E-2</v>
      </c>
      <c r="AM51" s="17">
        <v>1</v>
      </c>
      <c r="AN51" s="36">
        <f t="shared" si="10"/>
        <v>4.3859649122807015E-3</v>
      </c>
      <c r="AO51" s="16">
        <v>1109</v>
      </c>
      <c r="AP51" s="17">
        <v>228</v>
      </c>
    </row>
    <row r="52" spans="1:42" ht="15.75" customHeight="1" x14ac:dyDescent="0.25">
      <c r="A52" s="35">
        <v>2024</v>
      </c>
      <c r="B52" s="35">
        <v>170755</v>
      </c>
      <c r="C52" s="33" t="str">
        <f>VLOOKUP(B52,procv!$A$2:$D$142,4,FALSE)</f>
        <v>Amor Perfeito</v>
      </c>
      <c r="D52" s="33" t="s">
        <v>55</v>
      </c>
      <c r="E52" s="17">
        <v>1</v>
      </c>
      <c r="F52" s="36">
        <f t="shared" si="0"/>
        <v>3.105590062111801E-3</v>
      </c>
      <c r="G52" s="17">
        <v>0</v>
      </c>
      <c r="H52" s="36">
        <f t="shared" si="1"/>
        <v>0</v>
      </c>
      <c r="I52" s="17">
        <v>18</v>
      </c>
      <c r="J52" s="36">
        <f t="shared" si="2"/>
        <v>5.5900621118012424E-2</v>
      </c>
      <c r="K52" s="17">
        <v>2</v>
      </c>
      <c r="L52" s="36">
        <f t="shared" si="3"/>
        <v>3.9215686274509803E-2</v>
      </c>
      <c r="M52" s="17">
        <v>303</v>
      </c>
      <c r="N52" s="36">
        <f t="shared" si="11"/>
        <v>0.94099378881987583</v>
      </c>
      <c r="O52" s="17">
        <v>49</v>
      </c>
      <c r="P52" s="36">
        <f t="shared" si="4"/>
        <v>0.96078431372549022</v>
      </c>
      <c r="Q52" s="17">
        <v>5</v>
      </c>
      <c r="R52" s="36">
        <f t="shared" si="12"/>
        <v>1.5527950310559006E-2</v>
      </c>
      <c r="S52" s="17">
        <v>0</v>
      </c>
      <c r="T52" s="36">
        <f t="shared" si="5"/>
        <v>0</v>
      </c>
      <c r="U52" s="17">
        <v>14</v>
      </c>
      <c r="V52" s="36">
        <f t="shared" si="13"/>
        <v>4.3478260869565216E-2</v>
      </c>
      <c r="W52" s="17">
        <v>6</v>
      </c>
      <c r="X52" s="36">
        <f t="shared" si="6"/>
        <v>0.11764705882352941</v>
      </c>
      <c r="Y52" s="17">
        <v>218</v>
      </c>
      <c r="Z52" s="36">
        <f t="shared" si="14"/>
        <v>0.67701863354037262</v>
      </c>
      <c r="AA52" s="17">
        <v>30</v>
      </c>
      <c r="AB52" s="36">
        <f t="shared" si="7"/>
        <v>0.58823529411764708</v>
      </c>
      <c r="AC52" s="17">
        <v>47</v>
      </c>
      <c r="AD52" s="36">
        <f t="shared" si="15"/>
        <v>0.14596273291925466</v>
      </c>
      <c r="AE52" s="17">
        <v>5</v>
      </c>
      <c r="AF52" s="36">
        <f t="shared" si="8"/>
        <v>9.8039215686274508E-2</v>
      </c>
      <c r="AG52" s="17">
        <v>30</v>
      </c>
      <c r="AH52" s="36">
        <f t="shared" si="16"/>
        <v>9.3167701863354033E-2</v>
      </c>
      <c r="AI52" s="17">
        <v>9</v>
      </c>
      <c r="AJ52" s="36">
        <f t="shared" si="9"/>
        <v>0.17647058823529413</v>
      </c>
      <c r="AK52" s="17">
        <v>8</v>
      </c>
      <c r="AL52" s="36">
        <f t="shared" si="17"/>
        <v>2.4844720496894408E-2</v>
      </c>
      <c r="AM52" s="17">
        <v>1</v>
      </c>
      <c r="AN52" s="36">
        <f t="shared" si="10"/>
        <v>1.9607843137254902E-2</v>
      </c>
      <c r="AO52" s="17">
        <v>322</v>
      </c>
      <c r="AP52" s="17">
        <v>51</v>
      </c>
    </row>
    <row r="53" spans="1:42" ht="15.75" customHeight="1" x14ac:dyDescent="0.25">
      <c r="A53" s="35">
        <v>2024</v>
      </c>
      <c r="B53" s="35">
        <v>170765</v>
      </c>
      <c r="C53" s="33" t="str">
        <f>VLOOKUP(B53,procv!$A$2:$D$142,4,FALSE)</f>
        <v>Ilha do Bananal</v>
      </c>
      <c r="D53" s="33" t="s">
        <v>56</v>
      </c>
      <c r="E53" s="17">
        <v>2</v>
      </c>
      <c r="F53" s="36">
        <f t="shared" si="0"/>
        <v>6.7340067340067337E-3</v>
      </c>
      <c r="G53" s="17">
        <v>2</v>
      </c>
      <c r="H53" s="36">
        <f t="shared" si="1"/>
        <v>1.6E-2</v>
      </c>
      <c r="I53" s="17">
        <v>9</v>
      </c>
      <c r="J53" s="36">
        <f t="shared" si="2"/>
        <v>3.0303030303030304E-2</v>
      </c>
      <c r="K53" s="17">
        <v>7</v>
      </c>
      <c r="L53" s="36">
        <f t="shared" si="3"/>
        <v>5.6000000000000001E-2</v>
      </c>
      <c r="M53" s="17">
        <v>286</v>
      </c>
      <c r="N53" s="36">
        <f t="shared" si="11"/>
        <v>0.96296296296296291</v>
      </c>
      <c r="O53" s="17">
        <v>116</v>
      </c>
      <c r="P53" s="36">
        <f t="shared" si="4"/>
        <v>0.92800000000000005</v>
      </c>
      <c r="Q53" s="17">
        <v>6</v>
      </c>
      <c r="R53" s="36">
        <f t="shared" si="12"/>
        <v>2.0202020202020204E-2</v>
      </c>
      <c r="S53" s="17">
        <v>2</v>
      </c>
      <c r="T53" s="36">
        <f t="shared" si="5"/>
        <v>1.6E-2</v>
      </c>
      <c r="U53" s="17">
        <v>13</v>
      </c>
      <c r="V53" s="36">
        <f t="shared" si="13"/>
        <v>4.3771043771043773E-2</v>
      </c>
      <c r="W53" s="17">
        <v>7</v>
      </c>
      <c r="X53" s="36">
        <f t="shared" si="6"/>
        <v>5.6000000000000001E-2</v>
      </c>
      <c r="Y53" s="17">
        <v>192</v>
      </c>
      <c r="Z53" s="36">
        <f t="shared" si="14"/>
        <v>0.64646464646464652</v>
      </c>
      <c r="AA53" s="17">
        <v>84</v>
      </c>
      <c r="AB53" s="36">
        <f t="shared" si="7"/>
        <v>0.67200000000000004</v>
      </c>
      <c r="AC53" s="17">
        <v>45</v>
      </c>
      <c r="AD53" s="36">
        <f t="shared" si="15"/>
        <v>0.15151515151515152</v>
      </c>
      <c r="AE53" s="17">
        <v>19</v>
      </c>
      <c r="AF53" s="36">
        <f t="shared" si="8"/>
        <v>0.152</v>
      </c>
      <c r="AG53" s="17">
        <v>32</v>
      </c>
      <c r="AH53" s="36">
        <f t="shared" si="16"/>
        <v>0.10774410774410774</v>
      </c>
      <c r="AI53" s="17">
        <v>11</v>
      </c>
      <c r="AJ53" s="36">
        <f t="shared" si="9"/>
        <v>8.7999999999999995E-2</v>
      </c>
      <c r="AK53" s="17">
        <v>9</v>
      </c>
      <c r="AL53" s="36">
        <f t="shared" si="17"/>
        <v>3.0303030303030304E-2</v>
      </c>
      <c r="AM53" s="17">
        <v>2</v>
      </c>
      <c r="AN53" s="36">
        <f t="shared" si="10"/>
        <v>1.6E-2</v>
      </c>
      <c r="AO53" s="17">
        <v>297</v>
      </c>
      <c r="AP53" s="17">
        <v>125</v>
      </c>
    </row>
    <row r="54" spans="1:42" ht="15.75" customHeight="1" x14ac:dyDescent="0.25">
      <c r="A54" s="35">
        <v>2024</v>
      </c>
      <c r="B54" s="35">
        <v>170770</v>
      </c>
      <c r="C54" s="33" t="str">
        <f>VLOOKUP(B54,procv!$A$2:$D$142,4,FALSE)</f>
        <v>Médio Norte Araguaia</v>
      </c>
      <c r="D54" s="33" t="s">
        <v>57</v>
      </c>
      <c r="E54" s="17">
        <v>4</v>
      </c>
      <c r="F54" s="36">
        <f t="shared" si="0"/>
        <v>5.4054054054054057E-3</v>
      </c>
      <c r="G54" s="17">
        <v>3</v>
      </c>
      <c r="H54" s="36">
        <f t="shared" si="1"/>
        <v>1.3888888888888888E-2</v>
      </c>
      <c r="I54" s="17">
        <v>40</v>
      </c>
      <c r="J54" s="36">
        <f t="shared" si="2"/>
        <v>5.4054054054054057E-2</v>
      </c>
      <c r="K54" s="17">
        <v>9</v>
      </c>
      <c r="L54" s="36">
        <f t="shared" si="3"/>
        <v>4.1666666666666664E-2</v>
      </c>
      <c r="M54" s="17">
        <v>696</v>
      </c>
      <c r="N54" s="36">
        <f t="shared" si="11"/>
        <v>0.94054054054054059</v>
      </c>
      <c r="O54" s="17">
        <v>204</v>
      </c>
      <c r="P54" s="36">
        <f t="shared" si="4"/>
        <v>0.94444444444444442</v>
      </c>
      <c r="Q54" s="17">
        <v>7</v>
      </c>
      <c r="R54" s="36">
        <f t="shared" si="12"/>
        <v>9.45945945945946E-3</v>
      </c>
      <c r="S54" s="17">
        <v>3</v>
      </c>
      <c r="T54" s="36">
        <f t="shared" si="5"/>
        <v>1.3888888888888888E-2</v>
      </c>
      <c r="U54" s="17">
        <v>31</v>
      </c>
      <c r="V54" s="36">
        <f t="shared" si="13"/>
        <v>4.1891891891891894E-2</v>
      </c>
      <c r="W54" s="17">
        <v>5</v>
      </c>
      <c r="X54" s="36">
        <f t="shared" si="6"/>
        <v>2.3148148148148147E-2</v>
      </c>
      <c r="Y54" s="17">
        <v>523</v>
      </c>
      <c r="Z54" s="36">
        <f t="shared" si="14"/>
        <v>0.70675675675675675</v>
      </c>
      <c r="AA54" s="17">
        <v>154</v>
      </c>
      <c r="AB54" s="36">
        <f t="shared" si="7"/>
        <v>0.71296296296296291</v>
      </c>
      <c r="AC54" s="17">
        <v>114</v>
      </c>
      <c r="AD54" s="36">
        <f t="shared" si="15"/>
        <v>0.15405405405405406</v>
      </c>
      <c r="AE54" s="17">
        <v>34</v>
      </c>
      <c r="AF54" s="36">
        <f t="shared" si="8"/>
        <v>0.15740740740740741</v>
      </c>
      <c r="AG54" s="17">
        <v>54</v>
      </c>
      <c r="AH54" s="36">
        <f t="shared" si="16"/>
        <v>7.2972972972972977E-2</v>
      </c>
      <c r="AI54" s="17">
        <v>17</v>
      </c>
      <c r="AJ54" s="36">
        <f t="shared" si="9"/>
        <v>7.8703703703703706E-2</v>
      </c>
      <c r="AK54" s="17">
        <v>11</v>
      </c>
      <c r="AL54" s="36">
        <f t="shared" si="17"/>
        <v>1.4864864864864866E-2</v>
      </c>
      <c r="AM54" s="17">
        <v>3</v>
      </c>
      <c r="AN54" s="36">
        <f t="shared" si="10"/>
        <v>1.3888888888888888E-2</v>
      </c>
      <c r="AO54" s="17">
        <v>740</v>
      </c>
      <c r="AP54" s="17">
        <v>216</v>
      </c>
    </row>
    <row r="55" spans="1:42" ht="15.75" customHeight="1" x14ac:dyDescent="0.25">
      <c r="A55" s="35">
        <v>2024</v>
      </c>
      <c r="B55" s="35">
        <v>170820</v>
      </c>
      <c r="C55" s="33" t="str">
        <f>VLOOKUP(B55,procv!$A$2:$D$142,4,FALSE)</f>
        <v>Ilha do Bananal</v>
      </c>
      <c r="D55" s="33" t="s">
        <v>58</v>
      </c>
      <c r="E55" s="17">
        <v>12</v>
      </c>
      <c r="F55" s="36">
        <f t="shared" si="0"/>
        <v>1.0238907849829351E-2</v>
      </c>
      <c r="G55" s="17">
        <v>4</v>
      </c>
      <c r="H55" s="36">
        <f t="shared" si="1"/>
        <v>1.2012012012012012E-2</v>
      </c>
      <c r="I55" s="17">
        <v>34</v>
      </c>
      <c r="J55" s="36">
        <f t="shared" si="2"/>
        <v>2.9010238907849831E-2</v>
      </c>
      <c r="K55" s="17">
        <v>10</v>
      </c>
      <c r="L55" s="36">
        <f t="shared" si="3"/>
        <v>3.003003003003003E-2</v>
      </c>
      <c r="M55" s="16">
        <v>1126</v>
      </c>
      <c r="N55" s="36">
        <f t="shared" si="11"/>
        <v>0.96075085324232079</v>
      </c>
      <c r="O55" s="17">
        <v>319</v>
      </c>
      <c r="P55" s="36">
        <f t="shared" si="4"/>
        <v>0.95795795795795791</v>
      </c>
      <c r="Q55" s="17">
        <v>10</v>
      </c>
      <c r="R55" s="36">
        <f t="shared" si="12"/>
        <v>8.5324232081911266E-3</v>
      </c>
      <c r="S55" s="17">
        <v>2</v>
      </c>
      <c r="T55" s="36">
        <f t="shared" si="5"/>
        <v>6.006006006006006E-3</v>
      </c>
      <c r="U55" s="17">
        <v>46</v>
      </c>
      <c r="V55" s="36">
        <f t="shared" si="13"/>
        <v>3.9249146757679182E-2</v>
      </c>
      <c r="W55" s="17">
        <v>8</v>
      </c>
      <c r="X55" s="36">
        <f t="shared" si="6"/>
        <v>2.4024024024024024E-2</v>
      </c>
      <c r="Y55" s="17">
        <v>748</v>
      </c>
      <c r="Z55" s="36">
        <f t="shared" si="14"/>
        <v>0.63822525597269619</v>
      </c>
      <c r="AA55" s="17">
        <v>190</v>
      </c>
      <c r="AB55" s="36">
        <f t="shared" si="7"/>
        <v>0.57057057057057059</v>
      </c>
      <c r="AC55" s="17">
        <v>250</v>
      </c>
      <c r="AD55" s="36">
        <f t="shared" si="15"/>
        <v>0.21331058020477817</v>
      </c>
      <c r="AE55" s="17">
        <v>95</v>
      </c>
      <c r="AF55" s="36">
        <f t="shared" si="8"/>
        <v>0.28528528528528529</v>
      </c>
      <c r="AG55" s="17">
        <v>89</v>
      </c>
      <c r="AH55" s="36">
        <f t="shared" si="16"/>
        <v>7.593856655290103E-2</v>
      </c>
      <c r="AI55" s="17">
        <v>29</v>
      </c>
      <c r="AJ55" s="36">
        <f t="shared" si="9"/>
        <v>8.7087087087087081E-2</v>
      </c>
      <c r="AK55" s="17">
        <v>29</v>
      </c>
      <c r="AL55" s="36">
        <f t="shared" si="17"/>
        <v>2.4744027303754267E-2</v>
      </c>
      <c r="AM55" s="17">
        <v>9</v>
      </c>
      <c r="AN55" s="36">
        <f t="shared" si="10"/>
        <v>2.7027027027027029E-2</v>
      </c>
      <c r="AO55" s="16">
        <v>1172</v>
      </c>
      <c r="AP55" s="17">
        <v>333</v>
      </c>
    </row>
    <row r="56" spans="1:42" ht="15.75" customHeight="1" x14ac:dyDescent="0.25">
      <c r="A56" s="35">
        <v>2024</v>
      </c>
      <c r="B56" s="35">
        <v>170830</v>
      </c>
      <c r="C56" s="33" t="str">
        <f>VLOOKUP(B56,procv!$A$2:$D$142,4,FALSE)</f>
        <v>Cerrado Tocantins Araguaia</v>
      </c>
      <c r="D56" s="33" t="s">
        <v>59</v>
      </c>
      <c r="E56" s="17">
        <v>5</v>
      </c>
      <c r="F56" s="36">
        <f t="shared" si="0"/>
        <v>1.1904761904761904E-2</v>
      </c>
      <c r="G56" s="17">
        <v>2</v>
      </c>
      <c r="H56" s="36">
        <f t="shared" si="1"/>
        <v>3.1746031746031744E-2</v>
      </c>
      <c r="I56" s="17">
        <v>23</v>
      </c>
      <c r="J56" s="36">
        <f t="shared" si="2"/>
        <v>5.4761904761904762E-2</v>
      </c>
      <c r="K56" s="17">
        <v>2</v>
      </c>
      <c r="L56" s="36">
        <f t="shared" si="3"/>
        <v>3.1746031746031744E-2</v>
      </c>
      <c r="M56" s="17">
        <v>392</v>
      </c>
      <c r="N56" s="36">
        <f t="shared" si="11"/>
        <v>0.93333333333333335</v>
      </c>
      <c r="O56" s="17">
        <v>59</v>
      </c>
      <c r="P56" s="36">
        <f t="shared" si="4"/>
        <v>0.93650793650793651</v>
      </c>
      <c r="Q56" s="17">
        <v>4</v>
      </c>
      <c r="R56" s="36">
        <f t="shared" si="12"/>
        <v>9.5238095238095247E-3</v>
      </c>
      <c r="S56" s="17">
        <v>1</v>
      </c>
      <c r="T56" s="36">
        <f t="shared" si="5"/>
        <v>1.5873015873015872E-2</v>
      </c>
      <c r="U56" s="17">
        <v>14</v>
      </c>
      <c r="V56" s="36">
        <f t="shared" si="13"/>
        <v>3.3333333333333333E-2</v>
      </c>
      <c r="W56" s="17">
        <v>1</v>
      </c>
      <c r="X56" s="36">
        <f t="shared" si="6"/>
        <v>1.5873015873015872E-2</v>
      </c>
      <c r="Y56" s="17">
        <v>272</v>
      </c>
      <c r="Z56" s="36">
        <f t="shared" si="14"/>
        <v>0.64761904761904765</v>
      </c>
      <c r="AA56" s="17">
        <v>48</v>
      </c>
      <c r="AB56" s="36">
        <f t="shared" si="7"/>
        <v>0.76190476190476186</v>
      </c>
      <c r="AC56" s="17">
        <v>76</v>
      </c>
      <c r="AD56" s="36">
        <f t="shared" si="15"/>
        <v>0.18095238095238095</v>
      </c>
      <c r="AE56" s="17">
        <v>10</v>
      </c>
      <c r="AF56" s="36">
        <f t="shared" si="8"/>
        <v>0.15873015873015872</v>
      </c>
      <c r="AG56" s="17">
        <v>41</v>
      </c>
      <c r="AH56" s="36">
        <f t="shared" si="16"/>
        <v>9.7619047619047619E-2</v>
      </c>
      <c r="AI56" s="17">
        <v>3</v>
      </c>
      <c r="AJ56" s="36">
        <f t="shared" si="9"/>
        <v>4.7619047619047616E-2</v>
      </c>
      <c r="AK56" s="17">
        <v>13</v>
      </c>
      <c r="AL56" s="36">
        <f t="shared" si="17"/>
        <v>3.0952380952380953E-2</v>
      </c>
      <c r="AM56" s="17">
        <v>0</v>
      </c>
      <c r="AN56" s="36">
        <f t="shared" si="10"/>
        <v>0</v>
      </c>
      <c r="AO56" s="17">
        <v>420</v>
      </c>
      <c r="AP56" s="17">
        <v>63</v>
      </c>
    </row>
    <row r="57" spans="1:42" ht="15.75" customHeight="1" x14ac:dyDescent="0.25">
      <c r="A57" s="35">
        <v>2024</v>
      </c>
      <c r="B57" s="35">
        <v>170900</v>
      </c>
      <c r="C57" s="33" t="str">
        <f>VLOOKUP(B57,procv!$A$2:$D$142,4,FALSE)</f>
        <v>Médio Norte Araguaia</v>
      </c>
      <c r="D57" s="33" t="s">
        <v>60</v>
      </c>
      <c r="E57" s="17">
        <v>16</v>
      </c>
      <c r="F57" s="36">
        <f t="shared" si="0"/>
        <v>1.9138755980861243E-2</v>
      </c>
      <c r="G57" s="17">
        <v>16</v>
      </c>
      <c r="H57" s="36">
        <f t="shared" si="1"/>
        <v>2.9906542056074768E-2</v>
      </c>
      <c r="I57" s="17">
        <v>38</v>
      </c>
      <c r="J57" s="36">
        <f t="shared" si="2"/>
        <v>4.5454545454545456E-2</v>
      </c>
      <c r="K57" s="17">
        <v>24</v>
      </c>
      <c r="L57" s="36">
        <f t="shared" si="3"/>
        <v>4.4859813084112146E-2</v>
      </c>
      <c r="M57" s="17">
        <v>782</v>
      </c>
      <c r="N57" s="36">
        <f t="shared" si="11"/>
        <v>0.93540669856459335</v>
      </c>
      <c r="O57" s="17">
        <v>495</v>
      </c>
      <c r="P57" s="36">
        <f t="shared" si="4"/>
        <v>0.92523364485981308</v>
      </c>
      <c r="Q57" s="17">
        <v>16</v>
      </c>
      <c r="R57" s="36">
        <f t="shared" si="12"/>
        <v>1.9138755980861243E-2</v>
      </c>
      <c r="S57" s="17">
        <v>14</v>
      </c>
      <c r="T57" s="36">
        <f t="shared" si="5"/>
        <v>2.6168224299065422E-2</v>
      </c>
      <c r="U57" s="17">
        <v>29</v>
      </c>
      <c r="V57" s="36">
        <f t="shared" si="13"/>
        <v>3.4688995215311005E-2</v>
      </c>
      <c r="W57" s="17">
        <v>10</v>
      </c>
      <c r="X57" s="36">
        <f t="shared" si="6"/>
        <v>1.8691588785046728E-2</v>
      </c>
      <c r="Y57" s="17">
        <v>565</v>
      </c>
      <c r="Z57" s="36">
        <f t="shared" si="14"/>
        <v>0.67583732057416268</v>
      </c>
      <c r="AA57" s="17">
        <v>365</v>
      </c>
      <c r="AB57" s="36">
        <f t="shared" si="7"/>
        <v>0.68224299065420557</v>
      </c>
      <c r="AC57" s="17">
        <v>161</v>
      </c>
      <c r="AD57" s="36">
        <f t="shared" si="15"/>
        <v>0.19258373205741627</v>
      </c>
      <c r="AE57" s="17">
        <v>106</v>
      </c>
      <c r="AF57" s="36">
        <f t="shared" si="8"/>
        <v>0.19813084112149532</v>
      </c>
      <c r="AG57" s="17">
        <v>58</v>
      </c>
      <c r="AH57" s="36">
        <f t="shared" si="16"/>
        <v>6.9377990430622011E-2</v>
      </c>
      <c r="AI57" s="17">
        <v>37</v>
      </c>
      <c r="AJ57" s="36">
        <f t="shared" si="9"/>
        <v>6.9158878504672894E-2</v>
      </c>
      <c r="AK57" s="17">
        <v>7</v>
      </c>
      <c r="AL57" s="36">
        <f t="shared" si="17"/>
        <v>8.3732057416267946E-3</v>
      </c>
      <c r="AM57" s="17">
        <v>3</v>
      </c>
      <c r="AN57" s="36">
        <f t="shared" si="10"/>
        <v>5.6074766355140183E-3</v>
      </c>
      <c r="AO57" s="17">
        <v>836</v>
      </c>
      <c r="AP57" s="17">
        <v>535</v>
      </c>
    </row>
    <row r="58" spans="1:42" ht="15.75" customHeight="1" x14ac:dyDescent="0.25">
      <c r="A58" s="35">
        <v>2024</v>
      </c>
      <c r="B58" s="35">
        <v>170930</v>
      </c>
      <c r="C58" s="33" t="str">
        <f>VLOOKUP(B58,procv!$A$2:$D$142,4,FALSE)</f>
        <v>Cerrado Tocantins Araguaia</v>
      </c>
      <c r="D58" s="33" t="s">
        <v>61</v>
      </c>
      <c r="E58" s="17">
        <v>32</v>
      </c>
      <c r="F58" s="36">
        <f t="shared" si="0"/>
        <v>2.2008253094910592E-2</v>
      </c>
      <c r="G58" s="17">
        <v>25</v>
      </c>
      <c r="H58" s="36">
        <f t="shared" si="1"/>
        <v>0.13736263736263737</v>
      </c>
      <c r="I58" s="17">
        <v>62</v>
      </c>
      <c r="J58" s="36">
        <f t="shared" si="2"/>
        <v>4.264099037138927E-2</v>
      </c>
      <c r="K58" s="17">
        <v>10</v>
      </c>
      <c r="L58" s="36">
        <f t="shared" si="3"/>
        <v>5.4945054945054944E-2</v>
      </c>
      <c r="M58" s="16">
        <v>1360</v>
      </c>
      <c r="N58" s="36">
        <f t="shared" si="11"/>
        <v>0.93535075653370015</v>
      </c>
      <c r="O58" s="17">
        <v>147</v>
      </c>
      <c r="P58" s="36">
        <f t="shared" si="4"/>
        <v>0.80769230769230771</v>
      </c>
      <c r="Q58" s="17">
        <v>16</v>
      </c>
      <c r="R58" s="36">
        <f t="shared" si="12"/>
        <v>1.1004126547455296E-2</v>
      </c>
      <c r="S58" s="17">
        <v>4</v>
      </c>
      <c r="T58" s="36">
        <f t="shared" si="5"/>
        <v>2.197802197802198E-2</v>
      </c>
      <c r="U58" s="17">
        <v>47</v>
      </c>
      <c r="V58" s="36">
        <f t="shared" si="13"/>
        <v>3.2324621733149934E-2</v>
      </c>
      <c r="W58" s="17">
        <v>5</v>
      </c>
      <c r="X58" s="36">
        <f t="shared" si="6"/>
        <v>2.7472527472527472E-2</v>
      </c>
      <c r="Y58" s="17">
        <v>966</v>
      </c>
      <c r="Z58" s="36">
        <f t="shared" si="14"/>
        <v>0.66437414030261344</v>
      </c>
      <c r="AA58" s="17">
        <v>102</v>
      </c>
      <c r="AB58" s="36">
        <f t="shared" si="7"/>
        <v>0.56043956043956045</v>
      </c>
      <c r="AC58" s="17">
        <v>251</v>
      </c>
      <c r="AD58" s="36">
        <f t="shared" si="15"/>
        <v>0.17262723521320494</v>
      </c>
      <c r="AE58" s="17">
        <v>23</v>
      </c>
      <c r="AF58" s="36">
        <f t="shared" si="8"/>
        <v>0.12637362637362637</v>
      </c>
      <c r="AG58" s="17">
        <v>117</v>
      </c>
      <c r="AH58" s="36">
        <f t="shared" si="16"/>
        <v>8.0467675378266851E-2</v>
      </c>
      <c r="AI58" s="17">
        <v>13</v>
      </c>
      <c r="AJ58" s="36">
        <f t="shared" si="9"/>
        <v>7.1428571428571425E-2</v>
      </c>
      <c r="AK58" s="17">
        <v>57</v>
      </c>
      <c r="AL58" s="36">
        <f t="shared" si="17"/>
        <v>3.9202200825309494E-2</v>
      </c>
      <c r="AM58" s="17">
        <v>35</v>
      </c>
      <c r="AN58" s="36">
        <f t="shared" si="10"/>
        <v>0.19230769230769232</v>
      </c>
      <c r="AO58" s="16">
        <v>1454</v>
      </c>
      <c r="AP58" s="17">
        <v>182</v>
      </c>
    </row>
    <row r="59" spans="1:42" ht="15.75" customHeight="1" x14ac:dyDescent="0.25">
      <c r="A59" s="35">
        <v>2024</v>
      </c>
      <c r="B59" s="35">
        <v>170950</v>
      </c>
      <c r="C59" s="33" t="str">
        <f>VLOOKUP(B59,procv!$A$2:$D$142,4,FALSE)</f>
        <v>Ilha do Bananal</v>
      </c>
      <c r="D59" s="33" t="s">
        <v>62</v>
      </c>
      <c r="E59" s="17">
        <v>43</v>
      </c>
      <c r="F59" s="36">
        <f t="shared" si="0"/>
        <v>9.4985641705323618E-3</v>
      </c>
      <c r="G59" s="17">
        <v>34</v>
      </c>
      <c r="H59" s="36">
        <f t="shared" si="1"/>
        <v>3.6756756756756756E-2</v>
      </c>
      <c r="I59" s="17">
        <v>259</v>
      </c>
      <c r="J59" s="36">
        <f t="shared" si="2"/>
        <v>5.7212281864369337E-2</v>
      </c>
      <c r="K59" s="17">
        <v>186</v>
      </c>
      <c r="L59" s="36">
        <f t="shared" si="3"/>
        <v>0.20108108108108108</v>
      </c>
      <c r="M59" s="16">
        <v>4225</v>
      </c>
      <c r="N59" s="36">
        <f t="shared" si="11"/>
        <v>0.93328915396509826</v>
      </c>
      <c r="O59" s="17">
        <v>705</v>
      </c>
      <c r="P59" s="36">
        <f t="shared" si="4"/>
        <v>0.76216216216216215</v>
      </c>
      <c r="Q59" s="17">
        <v>45</v>
      </c>
      <c r="R59" s="36">
        <f t="shared" si="12"/>
        <v>9.9403578528827041E-3</v>
      </c>
      <c r="S59" s="17">
        <v>13</v>
      </c>
      <c r="T59" s="36">
        <f t="shared" si="5"/>
        <v>1.4054054054054054E-2</v>
      </c>
      <c r="U59" s="17">
        <v>191</v>
      </c>
      <c r="V59" s="36">
        <f t="shared" si="13"/>
        <v>4.21912966644577E-2</v>
      </c>
      <c r="W59" s="17">
        <v>28</v>
      </c>
      <c r="X59" s="36">
        <f t="shared" si="6"/>
        <v>3.027027027027027E-2</v>
      </c>
      <c r="Y59" s="16">
        <v>3098</v>
      </c>
      <c r="Z59" s="36">
        <f t="shared" si="14"/>
        <v>0.6843384139606804</v>
      </c>
      <c r="AA59" s="17">
        <v>767</v>
      </c>
      <c r="AB59" s="36">
        <f t="shared" si="7"/>
        <v>0.82918918918918916</v>
      </c>
      <c r="AC59" s="17">
        <v>676</v>
      </c>
      <c r="AD59" s="36">
        <f t="shared" si="15"/>
        <v>0.14932626463441573</v>
      </c>
      <c r="AE59" s="17">
        <v>78</v>
      </c>
      <c r="AF59" s="36">
        <f t="shared" si="8"/>
        <v>8.4324324324324323E-2</v>
      </c>
      <c r="AG59" s="17">
        <v>419</v>
      </c>
      <c r="AH59" s="36">
        <f t="shared" si="16"/>
        <v>9.2555776452396737E-2</v>
      </c>
      <c r="AI59" s="17">
        <v>32</v>
      </c>
      <c r="AJ59" s="36">
        <f t="shared" si="9"/>
        <v>3.4594594594594595E-2</v>
      </c>
      <c r="AK59" s="17">
        <v>98</v>
      </c>
      <c r="AL59" s="36">
        <f t="shared" si="17"/>
        <v>2.1647890435166777E-2</v>
      </c>
      <c r="AM59" s="17">
        <v>7</v>
      </c>
      <c r="AN59" s="36">
        <f t="shared" si="10"/>
        <v>7.5675675675675675E-3</v>
      </c>
      <c r="AO59" s="16">
        <v>4527</v>
      </c>
      <c r="AP59" s="17">
        <v>925</v>
      </c>
    </row>
    <row r="60" spans="1:42" ht="15.75" customHeight="1" x14ac:dyDescent="0.25">
      <c r="A60" s="35">
        <v>2024</v>
      </c>
      <c r="B60" s="35">
        <v>170980</v>
      </c>
      <c r="C60" s="33" t="str">
        <f>VLOOKUP(B60,procv!$A$2:$D$142,4,FALSE)</f>
        <v>Amor Perfeito</v>
      </c>
      <c r="D60" s="33" t="s">
        <v>63</v>
      </c>
      <c r="E60" s="17">
        <v>1</v>
      </c>
      <c r="F60" s="36">
        <f t="shared" si="0"/>
        <v>5.263157894736842E-3</v>
      </c>
      <c r="G60" s="17">
        <v>0</v>
      </c>
      <c r="H60" s="36">
        <f t="shared" si="1"/>
        <v>0</v>
      </c>
      <c r="I60" s="17">
        <v>4</v>
      </c>
      <c r="J60" s="36">
        <f t="shared" si="2"/>
        <v>2.1052631578947368E-2</v>
      </c>
      <c r="K60" s="17">
        <v>0</v>
      </c>
      <c r="L60" s="36">
        <f t="shared" si="3"/>
        <v>0</v>
      </c>
      <c r="M60" s="17">
        <v>185</v>
      </c>
      <c r="N60" s="36">
        <f t="shared" si="11"/>
        <v>0.97368421052631582</v>
      </c>
      <c r="O60" s="17">
        <v>41</v>
      </c>
      <c r="P60" s="36">
        <f t="shared" si="4"/>
        <v>1</v>
      </c>
      <c r="Q60" s="17">
        <v>1</v>
      </c>
      <c r="R60" s="36">
        <f t="shared" si="12"/>
        <v>5.263157894736842E-3</v>
      </c>
      <c r="S60" s="17">
        <v>0</v>
      </c>
      <c r="T60" s="36">
        <f t="shared" si="5"/>
        <v>0</v>
      </c>
      <c r="U60" s="17">
        <v>6</v>
      </c>
      <c r="V60" s="36">
        <f t="shared" si="13"/>
        <v>3.1578947368421054E-2</v>
      </c>
      <c r="W60" s="17">
        <v>3</v>
      </c>
      <c r="X60" s="36">
        <f t="shared" si="6"/>
        <v>7.3170731707317069E-2</v>
      </c>
      <c r="Y60" s="17">
        <v>128</v>
      </c>
      <c r="Z60" s="36">
        <f t="shared" si="14"/>
        <v>0.67368421052631577</v>
      </c>
      <c r="AA60" s="17">
        <v>28</v>
      </c>
      <c r="AB60" s="36">
        <f t="shared" si="7"/>
        <v>0.68292682926829273</v>
      </c>
      <c r="AC60" s="17">
        <v>28</v>
      </c>
      <c r="AD60" s="36">
        <f t="shared" si="15"/>
        <v>0.14736842105263157</v>
      </c>
      <c r="AE60" s="17">
        <v>7</v>
      </c>
      <c r="AF60" s="36">
        <f t="shared" si="8"/>
        <v>0.17073170731707318</v>
      </c>
      <c r="AG60" s="17">
        <v>22</v>
      </c>
      <c r="AH60" s="36">
        <f t="shared" si="16"/>
        <v>0.11578947368421053</v>
      </c>
      <c r="AI60" s="17">
        <v>2</v>
      </c>
      <c r="AJ60" s="36">
        <f t="shared" si="9"/>
        <v>4.878048780487805E-2</v>
      </c>
      <c r="AK60" s="17">
        <v>5</v>
      </c>
      <c r="AL60" s="36">
        <f t="shared" si="17"/>
        <v>2.6315789473684209E-2</v>
      </c>
      <c r="AM60" s="17">
        <v>1</v>
      </c>
      <c r="AN60" s="36">
        <f t="shared" si="10"/>
        <v>2.4390243902439025E-2</v>
      </c>
      <c r="AO60" s="17">
        <v>190</v>
      </c>
      <c r="AP60" s="17">
        <v>41</v>
      </c>
    </row>
    <row r="61" spans="1:42" ht="15.75" customHeight="1" x14ac:dyDescent="0.25">
      <c r="A61" s="35">
        <v>2024</v>
      </c>
      <c r="B61" s="35">
        <v>171050</v>
      </c>
      <c r="C61" s="33" t="str">
        <f>VLOOKUP(B61,procv!$A$2:$D$142,4,FALSE)</f>
        <v>Cerrado Tocantins Araguaia</v>
      </c>
      <c r="D61" s="33" t="s">
        <v>64</v>
      </c>
      <c r="E61" s="17">
        <v>14</v>
      </c>
      <c r="F61" s="36">
        <f t="shared" si="0"/>
        <v>2.1116138763197588E-2</v>
      </c>
      <c r="G61" s="17">
        <v>10</v>
      </c>
      <c r="H61" s="36">
        <f t="shared" si="1"/>
        <v>3.2786885245901641E-2</v>
      </c>
      <c r="I61" s="17">
        <v>35</v>
      </c>
      <c r="J61" s="36">
        <f t="shared" si="2"/>
        <v>5.2790346907993967E-2</v>
      </c>
      <c r="K61" s="17">
        <v>19</v>
      </c>
      <c r="L61" s="36">
        <f t="shared" si="3"/>
        <v>6.2295081967213117E-2</v>
      </c>
      <c r="M61" s="17">
        <v>614</v>
      </c>
      <c r="N61" s="36">
        <f t="shared" si="11"/>
        <v>0.92609351432880849</v>
      </c>
      <c r="O61" s="17">
        <v>276</v>
      </c>
      <c r="P61" s="36">
        <f t="shared" si="4"/>
        <v>0.90491803278688521</v>
      </c>
      <c r="Q61" s="17">
        <v>11</v>
      </c>
      <c r="R61" s="36">
        <f t="shared" si="12"/>
        <v>1.6591251885369532E-2</v>
      </c>
      <c r="S61" s="17">
        <v>8</v>
      </c>
      <c r="T61" s="36">
        <f t="shared" si="5"/>
        <v>2.6229508196721311E-2</v>
      </c>
      <c r="U61" s="17">
        <v>20</v>
      </c>
      <c r="V61" s="36">
        <f t="shared" si="13"/>
        <v>3.0165912518853696E-2</v>
      </c>
      <c r="W61" s="17">
        <v>10</v>
      </c>
      <c r="X61" s="36">
        <f t="shared" si="6"/>
        <v>3.2786885245901641E-2</v>
      </c>
      <c r="Y61" s="17">
        <v>436</v>
      </c>
      <c r="Z61" s="36">
        <f t="shared" si="14"/>
        <v>0.65761689291101055</v>
      </c>
      <c r="AA61" s="17">
        <v>192</v>
      </c>
      <c r="AB61" s="36">
        <f t="shared" si="7"/>
        <v>0.62950819672131153</v>
      </c>
      <c r="AC61" s="17">
        <v>116</v>
      </c>
      <c r="AD61" s="36">
        <f t="shared" si="15"/>
        <v>0.17496229260935142</v>
      </c>
      <c r="AE61" s="17">
        <v>56</v>
      </c>
      <c r="AF61" s="36">
        <f t="shared" si="8"/>
        <v>0.18360655737704917</v>
      </c>
      <c r="AG61" s="17">
        <v>67</v>
      </c>
      <c r="AH61" s="36">
        <f t="shared" si="16"/>
        <v>0.10105580693815988</v>
      </c>
      <c r="AI61" s="17">
        <v>34</v>
      </c>
      <c r="AJ61" s="36">
        <f t="shared" si="9"/>
        <v>0.11147540983606558</v>
      </c>
      <c r="AK61" s="17">
        <v>13</v>
      </c>
      <c r="AL61" s="36">
        <f t="shared" si="17"/>
        <v>1.9607843137254902E-2</v>
      </c>
      <c r="AM61" s="17">
        <v>5</v>
      </c>
      <c r="AN61" s="36">
        <f t="shared" si="10"/>
        <v>1.6393442622950821E-2</v>
      </c>
      <c r="AO61" s="17">
        <v>663</v>
      </c>
      <c r="AP61" s="17">
        <v>305</v>
      </c>
    </row>
    <row r="62" spans="1:42" ht="15.75" customHeight="1" x14ac:dyDescent="0.25">
      <c r="A62" s="35">
        <v>2024</v>
      </c>
      <c r="B62" s="35">
        <v>171070</v>
      </c>
      <c r="C62" s="33" t="str">
        <f>VLOOKUP(B62,procv!$A$2:$D$142,4,FALSE)</f>
        <v>Bico do Papagaio</v>
      </c>
      <c r="D62" s="33" t="s">
        <v>65</v>
      </c>
      <c r="E62" s="17">
        <v>11</v>
      </c>
      <c r="F62" s="36">
        <f t="shared" si="0"/>
        <v>2.2222222222222223E-2</v>
      </c>
      <c r="G62" s="17">
        <v>10</v>
      </c>
      <c r="H62" s="36">
        <f t="shared" si="1"/>
        <v>6.6225165562913912E-2</v>
      </c>
      <c r="I62" s="17">
        <v>38</v>
      </c>
      <c r="J62" s="36">
        <f t="shared" si="2"/>
        <v>7.6767676767676762E-2</v>
      </c>
      <c r="K62" s="17">
        <v>19</v>
      </c>
      <c r="L62" s="36">
        <f t="shared" si="3"/>
        <v>0.12582781456953643</v>
      </c>
      <c r="M62" s="17">
        <v>446</v>
      </c>
      <c r="N62" s="36">
        <f t="shared" si="11"/>
        <v>0.90101010101010104</v>
      </c>
      <c r="O62" s="17">
        <v>122</v>
      </c>
      <c r="P62" s="36">
        <f t="shared" si="4"/>
        <v>0.80794701986754969</v>
      </c>
      <c r="Q62" s="17">
        <v>3</v>
      </c>
      <c r="R62" s="36">
        <f t="shared" si="12"/>
        <v>6.0606060606060606E-3</v>
      </c>
      <c r="S62" s="17">
        <v>1</v>
      </c>
      <c r="T62" s="36">
        <f t="shared" si="5"/>
        <v>6.6225165562913907E-3</v>
      </c>
      <c r="U62" s="17">
        <v>25</v>
      </c>
      <c r="V62" s="36">
        <f t="shared" si="13"/>
        <v>5.0505050505050504E-2</v>
      </c>
      <c r="W62" s="17">
        <v>7</v>
      </c>
      <c r="X62" s="36">
        <f t="shared" si="6"/>
        <v>4.6357615894039736E-2</v>
      </c>
      <c r="Y62" s="17">
        <v>353</v>
      </c>
      <c r="Z62" s="36">
        <f t="shared" si="14"/>
        <v>0.71313131313131317</v>
      </c>
      <c r="AA62" s="17">
        <v>107</v>
      </c>
      <c r="AB62" s="36">
        <f t="shared" si="7"/>
        <v>0.70860927152317876</v>
      </c>
      <c r="AC62" s="17">
        <v>77</v>
      </c>
      <c r="AD62" s="36">
        <f t="shared" si="15"/>
        <v>0.15555555555555556</v>
      </c>
      <c r="AE62" s="17">
        <v>25</v>
      </c>
      <c r="AF62" s="36">
        <f t="shared" si="8"/>
        <v>0.16556291390728478</v>
      </c>
      <c r="AG62" s="17">
        <v>29</v>
      </c>
      <c r="AH62" s="36">
        <f t="shared" si="16"/>
        <v>5.8585858585858588E-2</v>
      </c>
      <c r="AI62" s="17">
        <v>7</v>
      </c>
      <c r="AJ62" s="36">
        <f t="shared" si="9"/>
        <v>4.6357615894039736E-2</v>
      </c>
      <c r="AK62" s="17">
        <v>8</v>
      </c>
      <c r="AL62" s="36">
        <f t="shared" si="17"/>
        <v>1.6161616161616162E-2</v>
      </c>
      <c r="AM62" s="17">
        <v>4</v>
      </c>
      <c r="AN62" s="36">
        <f t="shared" si="10"/>
        <v>2.6490066225165563E-2</v>
      </c>
      <c r="AO62" s="17">
        <v>495</v>
      </c>
      <c r="AP62" s="17">
        <v>151</v>
      </c>
    </row>
    <row r="63" spans="1:42" ht="15.75" customHeight="1" x14ac:dyDescent="0.25">
      <c r="A63" s="35">
        <v>2024</v>
      </c>
      <c r="B63" s="35">
        <v>171090</v>
      </c>
      <c r="C63" s="33" t="str">
        <f>VLOOKUP(B63,procv!$A$2:$D$142,4,FALSE)</f>
        <v>Cerrado Tocantins Araguaia</v>
      </c>
      <c r="D63" s="33" t="s">
        <v>66</v>
      </c>
      <c r="E63" s="17">
        <v>1</v>
      </c>
      <c r="F63" s="36">
        <f t="shared" si="0"/>
        <v>2.4630541871921183E-3</v>
      </c>
      <c r="G63" s="17">
        <v>0</v>
      </c>
      <c r="H63" s="36">
        <f t="shared" si="1"/>
        <v>0</v>
      </c>
      <c r="I63" s="17">
        <v>14</v>
      </c>
      <c r="J63" s="36">
        <f t="shared" si="2"/>
        <v>3.4482758620689655E-2</v>
      </c>
      <c r="K63" s="17">
        <v>3</v>
      </c>
      <c r="L63" s="36">
        <f t="shared" si="3"/>
        <v>5.1724137931034482E-2</v>
      </c>
      <c r="M63" s="17">
        <v>391</v>
      </c>
      <c r="N63" s="36">
        <f t="shared" si="11"/>
        <v>0.96305418719211822</v>
      </c>
      <c r="O63" s="17">
        <v>55</v>
      </c>
      <c r="P63" s="36">
        <f t="shared" si="4"/>
        <v>0.94827586206896552</v>
      </c>
      <c r="Q63" s="17">
        <v>2</v>
      </c>
      <c r="R63" s="36">
        <f t="shared" si="12"/>
        <v>4.9261083743842365E-3</v>
      </c>
      <c r="S63" s="17">
        <v>3</v>
      </c>
      <c r="T63" s="36">
        <f t="shared" si="5"/>
        <v>5.1724137931034482E-2</v>
      </c>
      <c r="U63" s="17">
        <v>8</v>
      </c>
      <c r="V63" s="36">
        <f t="shared" si="13"/>
        <v>1.9704433497536946E-2</v>
      </c>
      <c r="W63" s="17">
        <v>0</v>
      </c>
      <c r="X63" s="36">
        <f t="shared" si="6"/>
        <v>0</v>
      </c>
      <c r="Y63" s="17">
        <v>280</v>
      </c>
      <c r="Z63" s="36">
        <f t="shared" si="14"/>
        <v>0.68965517241379315</v>
      </c>
      <c r="AA63" s="17">
        <v>35</v>
      </c>
      <c r="AB63" s="36">
        <f t="shared" si="7"/>
        <v>0.60344827586206895</v>
      </c>
      <c r="AC63" s="17">
        <v>66</v>
      </c>
      <c r="AD63" s="36">
        <f t="shared" si="15"/>
        <v>0.1625615763546798</v>
      </c>
      <c r="AE63" s="17">
        <v>15</v>
      </c>
      <c r="AF63" s="36">
        <f t="shared" si="8"/>
        <v>0.25862068965517243</v>
      </c>
      <c r="AG63" s="17">
        <v>39</v>
      </c>
      <c r="AH63" s="36">
        <f t="shared" si="16"/>
        <v>9.6059113300492605E-2</v>
      </c>
      <c r="AI63" s="17">
        <v>4</v>
      </c>
      <c r="AJ63" s="36">
        <f t="shared" si="9"/>
        <v>6.8965517241379309E-2</v>
      </c>
      <c r="AK63" s="17">
        <v>11</v>
      </c>
      <c r="AL63" s="36">
        <f t="shared" si="17"/>
        <v>2.7093596059113302E-2</v>
      </c>
      <c r="AM63" s="17">
        <v>1</v>
      </c>
      <c r="AN63" s="36">
        <f t="shared" si="10"/>
        <v>1.7241379310344827E-2</v>
      </c>
      <c r="AO63" s="17">
        <v>406</v>
      </c>
      <c r="AP63" s="17">
        <v>58</v>
      </c>
    </row>
    <row r="64" spans="1:42" ht="15.75" customHeight="1" x14ac:dyDescent="0.25">
      <c r="A64" s="35">
        <v>2024</v>
      </c>
      <c r="B64" s="35">
        <v>171110</v>
      </c>
      <c r="C64" s="33" t="str">
        <f>VLOOKUP(B64,procv!$A$2:$D$142,4,FALSE)</f>
        <v>Cerrado Tocantins Araguaia</v>
      </c>
      <c r="D64" s="33" t="s">
        <v>67</v>
      </c>
      <c r="E64" s="17">
        <v>5</v>
      </c>
      <c r="F64" s="36">
        <f t="shared" si="0"/>
        <v>2.0161290322580645E-2</v>
      </c>
      <c r="G64" s="17">
        <v>1</v>
      </c>
      <c r="H64" s="36">
        <f t="shared" si="1"/>
        <v>2.6315789473684209E-2</v>
      </c>
      <c r="I64" s="17">
        <v>4</v>
      </c>
      <c r="J64" s="36">
        <f t="shared" si="2"/>
        <v>1.6129032258064516E-2</v>
      </c>
      <c r="K64" s="17">
        <v>0</v>
      </c>
      <c r="L64" s="36">
        <f t="shared" si="3"/>
        <v>0</v>
      </c>
      <c r="M64" s="17">
        <v>239</v>
      </c>
      <c r="N64" s="36">
        <f t="shared" si="11"/>
        <v>0.96370967741935487</v>
      </c>
      <c r="O64" s="17">
        <v>37</v>
      </c>
      <c r="P64" s="36">
        <f t="shared" si="4"/>
        <v>0.97368421052631582</v>
      </c>
      <c r="Q64" s="17">
        <v>4</v>
      </c>
      <c r="R64" s="36">
        <f t="shared" si="12"/>
        <v>1.6129032258064516E-2</v>
      </c>
      <c r="S64" s="17">
        <v>1</v>
      </c>
      <c r="T64" s="36">
        <f t="shared" si="5"/>
        <v>2.6315789473684209E-2</v>
      </c>
      <c r="U64" s="17">
        <v>10</v>
      </c>
      <c r="V64" s="36">
        <f t="shared" si="13"/>
        <v>4.0322580645161289E-2</v>
      </c>
      <c r="W64" s="17">
        <v>5</v>
      </c>
      <c r="X64" s="36">
        <f t="shared" si="6"/>
        <v>0.13157894736842105</v>
      </c>
      <c r="Y64" s="17">
        <v>175</v>
      </c>
      <c r="Z64" s="36">
        <f t="shared" si="14"/>
        <v>0.70564516129032262</v>
      </c>
      <c r="AA64" s="17">
        <v>21</v>
      </c>
      <c r="AB64" s="36">
        <f t="shared" si="7"/>
        <v>0.55263157894736847</v>
      </c>
      <c r="AC64" s="17">
        <v>44</v>
      </c>
      <c r="AD64" s="36">
        <f t="shared" si="15"/>
        <v>0.17741935483870969</v>
      </c>
      <c r="AE64" s="17">
        <v>7</v>
      </c>
      <c r="AF64" s="36">
        <f t="shared" si="8"/>
        <v>0.18421052631578946</v>
      </c>
      <c r="AG64" s="17">
        <v>12</v>
      </c>
      <c r="AH64" s="36">
        <f t="shared" si="16"/>
        <v>4.8387096774193547E-2</v>
      </c>
      <c r="AI64" s="17">
        <v>3</v>
      </c>
      <c r="AJ64" s="36">
        <f t="shared" si="9"/>
        <v>7.8947368421052627E-2</v>
      </c>
      <c r="AK64" s="17">
        <v>3</v>
      </c>
      <c r="AL64" s="36">
        <f t="shared" si="17"/>
        <v>1.2096774193548387E-2</v>
      </c>
      <c r="AM64" s="17">
        <v>1</v>
      </c>
      <c r="AN64" s="36">
        <f t="shared" si="10"/>
        <v>2.6315789473684209E-2</v>
      </c>
      <c r="AO64" s="17">
        <v>248</v>
      </c>
      <c r="AP64" s="17">
        <v>38</v>
      </c>
    </row>
    <row r="65" spans="1:42" ht="15.75" customHeight="1" x14ac:dyDescent="0.25">
      <c r="A65" s="35">
        <v>2024</v>
      </c>
      <c r="B65" s="35">
        <v>171150</v>
      </c>
      <c r="C65" s="33" t="str">
        <f>VLOOKUP(B65,procv!$A$2:$D$142,4,FALSE)</f>
        <v>Ilha do Bananal</v>
      </c>
      <c r="D65" s="33" t="s">
        <v>68</v>
      </c>
      <c r="E65" s="17">
        <v>2</v>
      </c>
      <c r="F65" s="36">
        <f t="shared" si="0"/>
        <v>5.9880239520958087E-3</v>
      </c>
      <c r="G65" s="17">
        <v>2</v>
      </c>
      <c r="H65" s="36">
        <f t="shared" si="1"/>
        <v>4.6511627906976744E-2</v>
      </c>
      <c r="I65" s="17">
        <v>8</v>
      </c>
      <c r="J65" s="36">
        <f t="shared" si="2"/>
        <v>2.3952095808383235E-2</v>
      </c>
      <c r="K65" s="17">
        <v>1</v>
      </c>
      <c r="L65" s="36">
        <f t="shared" si="3"/>
        <v>2.3255813953488372E-2</v>
      </c>
      <c r="M65" s="17">
        <v>324</v>
      </c>
      <c r="N65" s="36">
        <f t="shared" si="11"/>
        <v>0.97005988023952094</v>
      </c>
      <c r="O65" s="17">
        <v>40</v>
      </c>
      <c r="P65" s="36">
        <f t="shared" si="4"/>
        <v>0.93023255813953487</v>
      </c>
      <c r="Q65" s="17">
        <v>8</v>
      </c>
      <c r="R65" s="36">
        <f t="shared" si="12"/>
        <v>2.3952095808383235E-2</v>
      </c>
      <c r="S65" s="17">
        <v>2</v>
      </c>
      <c r="T65" s="36">
        <f t="shared" si="5"/>
        <v>4.6511627906976744E-2</v>
      </c>
      <c r="U65" s="17">
        <v>13</v>
      </c>
      <c r="V65" s="36">
        <f t="shared" si="13"/>
        <v>3.8922155688622756E-2</v>
      </c>
      <c r="W65" s="17">
        <v>1</v>
      </c>
      <c r="X65" s="36">
        <f t="shared" si="6"/>
        <v>2.3255813953488372E-2</v>
      </c>
      <c r="Y65" s="17">
        <v>210</v>
      </c>
      <c r="Z65" s="36">
        <f t="shared" si="14"/>
        <v>0.62874251497005984</v>
      </c>
      <c r="AA65" s="17">
        <v>24</v>
      </c>
      <c r="AB65" s="36">
        <f t="shared" si="7"/>
        <v>0.55813953488372092</v>
      </c>
      <c r="AC65" s="17">
        <v>70</v>
      </c>
      <c r="AD65" s="36">
        <f t="shared" si="15"/>
        <v>0.20958083832335328</v>
      </c>
      <c r="AE65" s="17">
        <v>8</v>
      </c>
      <c r="AF65" s="36">
        <f t="shared" si="8"/>
        <v>0.18604651162790697</v>
      </c>
      <c r="AG65" s="17">
        <v>27</v>
      </c>
      <c r="AH65" s="36">
        <f t="shared" si="16"/>
        <v>8.0838323353293412E-2</v>
      </c>
      <c r="AI65" s="17">
        <v>7</v>
      </c>
      <c r="AJ65" s="36">
        <f t="shared" si="9"/>
        <v>0.16279069767441862</v>
      </c>
      <c r="AK65" s="17">
        <v>6</v>
      </c>
      <c r="AL65" s="36">
        <f t="shared" si="17"/>
        <v>1.7964071856287425E-2</v>
      </c>
      <c r="AM65" s="17">
        <v>1</v>
      </c>
      <c r="AN65" s="36">
        <f t="shared" si="10"/>
        <v>2.3255813953488372E-2</v>
      </c>
      <c r="AO65" s="17">
        <v>334</v>
      </c>
      <c r="AP65" s="17">
        <v>43</v>
      </c>
    </row>
    <row r="66" spans="1:42" ht="15.75" customHeight="1" x14ac:dyDescent="0.25">
      <c r="A66" s="35">
        <v>2024</v>
      </c>
      <c r="B66" s="35">
        <v>171180</v>
      </c>
      <c r="C66" s="33" t="str">
        <f>VLOOKUP(B66,procv!$A$2:$D$142,4,FALSE)</f>
        <v>Cerrado Tocantins Araguaia</v>
      </c>
      <c r="D66" s="33" t="s">
        <v>69</v>
      </c>
      <c r="E66" s="17">
        <v>3</v>
      </c>
      <c r="F66" s="36">
        <f t="shared" ref="F66:F129" si="18">IFERROR(E66/$AO66,0)</f>
        <v>1.0067114093959731E-2</v>
      </c>
      <c r="G66" s="17">
        <v>0</v>
      </c>
      <c r="H66" s="36">
        <f t="shared" ref="H66:H129" si="19">IFERROR(G66/$AP66,0)</f>
        <v>0</v>
      </c>
      <c r="I66" s="17">
        <v>5</v>
      </c>
      <c r="J66" s="36">
        <f t="shared" ref="J66:J129" si="20">IFERROR(I66/$AO66,0)</f>
        <v>1.6778523489932886E-2</v>
      </c>
      <c r="K66" s="17">
        <v>1</v>
      </c>
      <c r="L66" s="36">
        <f t="shared" ref="L66:L129" si="21">IFERROR(K66/$AP66,0)</f>
        <v>1.7241379310344827E-2</v>
      </c>
      <c r="M66" s="17">
        <v>290</v>
      </c>
      <c r="N66" s="36">
        <f t="shared" si="11"/>
        <v>0.97315436241610742</v>
      </c>
      <c r="O66" s="17">
        <v>57</v>
      </c>
      <c r="P66" s="36">
        <f t="shared" ref="P66:P129" si="22">IFERROR(O66/$AP66,0)</f>
        <v>0.98275862068965514</v>
      </c>
      <c r="Q66" s="17">
        <v>2</v>
      </c>
      <c r="R66" s="36">
        <f t="shared" si="12"/>
        <v>6.7114093959731542E-3</v>
      </c>
      <c r="S66" s="17">
        <v>0</v>
      </c>
      <c r="T66" s="36">
        <f t="shared" ref="T66:T129" si="23">IFERROR(S66/$AP66,0)</f>
        <v>0</v>
      </c>
      <c r="U66" s="17">
        <v>13</v>
      </c>
      <c r="V66" s="36">
        <f t="shared" si="13"/>
        <v>4.3624161073825503E-2</v>
      </c>
      <c r="W66" s="17">
        <v>2</v>
      </c>
      <c r="X66" s="36">
        <f t="shared" ref="X66:X129" si="24">IFERROR(W66/$AP66,0)</f>
        <v>3.4482758620689655E-2</v>
      </c>
      <c r="Y66" s="17">
        <v>209</v>
      </c>
      <c r="Z66" s="36">
        <f t="shared" si="14"/>
        <v>0.70134228187919467</v>
      </c>
      <c r="AA66" s="17">
        <v>47</v>
      </c>
      <c r="AB66" s="36">
        <f t="shared" ref="AB66:AB129" si="25">IFERROR(AA66/$AP66,0)</f>
        <v>0.81034482758620685</v>
      </c>
      <c r="AC66" s="17">
        <v>46</v>
      </c>
      <c r="AD66" s="36">
        <f t="shared" si="15"/>
        <v>0.15436241610738255</v>
      </c>
      <c r="AE66" s="17">
        <v>7</v>
      </c>
      <c r="AF66" s="36">
        <f t="shared" ref="AF66:AF129" si="26">IFERROR(AE66/$AP66,0)</f>
        <v>0.1206896551724138</v>
      </c>
      <c r="AG66" s="17">
        <v>23</v>
      </c>
      <c r="AH66" s="36">
        <f t="shared" si="16"/>
        <v>7.7181208053691275E-2</v>
      </c>
      <c r="AI66" s="17">
        <v>2</v>
      </c>
      <c r="AJ66" s="36">
        <f t="shared" ref="AJ66:AJ129" si="27">IFERROR(AI66/$AP66,0)</f>
        <v>3.4482758620689655E-2</v>
      </c>
      <c r="AK66" s="17">
        <v>5</v>
      </c>
      <c r="AL66" s="36">
        <f t="shared" si="17"/>
        <v>1.6778523489932886E-2</v>
      </c>
      <c r="AM66" s="17">
        <v>0</v>
      </c>
      <c r="AN66" s="36">
        <f t="shared" ref="AN66:AN129" si="28">IFERROR(AM66/$AP66,0)</f>
        <v>0</v>
      </c>
      <c r="AO66" s="17">
        <v>298</v>
      </c>
      <c r="AP66" s="17">
        <v>58</v>
      </c>
    </row>
    <row r="67" spans="1:42" ht="15.75" customHeight="1" x14ac:dyDescent="0.25">
      <c r="A67" s="35">
        <v>2024</v>
      </c>
      <c r="B67" s="35">
        <v>171190</v>
      </c>
      <c r="C67" s="33" t="str">
        <f>VLOOKUP(B67,procv!$A$2:$D$142,4,FALSE)</f>
        <v>Cantão</v>
      </c>
      <c r="D67" s="33" t="s">
        <v>70</v>
      </c>
      <c r="E67" s="17">
        <v>12</v>
      </c>
      <c r="F67" s="36">
        <f t="shared" si="18"/>
        <v>1.8461538461538463E-2</v>
      </c>
      <c r="G67" s="17">
        <v>7</v>
      </c>
      <c r="H67" s="36">
        <f t="shared" si="19"/>
        <v>2.1212121212121213E-2</v>
      </c>
      <c r="I67" s="17">
        <v>26</v>
      </c>
      <c r="J67" s="36">
        <f t="shared" si="20"/>
        <v>0.04</v>
      </c>
      <c r="K67" s="17">
        <v>9</v>
      </c>
      <c r="L67" s="36">
        <f t="shared" si="21"/>
        <v>2.7272727272727271E-2</v>
      </c>
      <c r="M67" s="17">
        <v>612</v>
      </c>
      <c r="N67" s="36">
        <f t="shared" ref="N67:N130" si="29">IFERROR(M67/$AO67,0)</f>
        <v>0.94153846153846155</v>
      </c>
      <c r="O67" s="17">
        <v>314</v>
      </c>
      <c r="P67" s="36">
        <f t="shared" si="22"/>
        <v>0.95151515151515154</v>
      </c>
      <c r="Q67" s="17">
        <v>8</v>
      </c>
      <c r="R67" s="36">
        <f t="shared" ref="R67:R130" si="30">IFERROR(Q67/$AO67,0)</f>
        <v>1.2307692307692308E-2</v>
      </c>
      <c r="S67" s="17">
        <v>5</v>
      </c>
      <c r="T67" s="36">
        <f t="shared" si="23"/>
        <v>1.5151515151515152E-2</v>
      </c>
      <c r="U67" s="17">
        <v>16</v>
      </c>
      <c r="V67" s="36">
        <f t="shared" ref="V67:V130" si="31">IFERROR(U67/$AO67,0)</f>
        <v>2.4615384615384615E-2</v>
      </c>
      <c r="W67" s="17">
        <v>2</v>
      </c>
      <c r="X67" s="36">
        <f t="shared" si="24"/>
        <v>6.0606060606060606E-3</v>
      </c>
      <c r="Y67" s="17">
        <v>437</v>
      </c>
      <c r="Z67" s="36">
        <f t="shared" ref="Z67:Z130" si="32">IFERROR(Y67/$AO67,0)</f>
        <v>0.67230769230769227</v>
      </c>
      <c r="AA67" s="17">
        <v>214</v>
      </c>
      <c r="AB67" s="36">
        <f t="shared" si="25"/>
        <v>0.64848484848484844</v>
      </c>
      <c r="AC67" s="17">
        <v>119</v>
      </c>
      <c r="AD67" s="36">
        <f t="shared" ref="AD67:AD130" si="33">IFERROR(AC67/$AO67,0)</f>
        <v>0.18307692307692308</v>
      </c>
      <c r="AE67" s="17">
        <v>77</v>
      </c>
      <c r="AF67" s="36">
        <f t="shared" si="26"/>
        <v>0.23333333333333334</v>
      </c>
      <c r="AG67" s="17">
        <v>53</v>
      </c>
      <c r="AH67" s="36">
        <f t="shared" ref="AH67:AH130" si="34">IFERROR(AG67/$AO67,0)</f>
        <v>8.1538461538461532E-2</v>
      </c>
      <c r="AI67" s="17">
        <v>22</v>
      </c>
      <c r="AJ67" s="36">
        <f t="shared" si="27"/>
        <v>6.6666666666666666E-2</v>
      </c>
      <c r="AK67" s="17">
        <v>17</v>
      </c>
      <c r="AL67" s="36">
        <f t="shared" ref="AL67:AL130" si="35">IFERROR(AK67/$AO67,0)</f>
        <v>2.6153846153846153E-2</v>
      </c>
      <c r="AM67" s="17">
        <v>10</v>
      </c>
      <c r="AN67" s="36">
        <f t="shared" si="28"/>
        <v>3.0303030303030304E-2</v>
      </c>
      <c r="AO67" s="17">
        <v>650</v>
      </c>
      <c r="AP67" s="17">
        <v>330</v>
      </c>
    </row>
    <row r="68" spans="1:42" ht="15.75" customHeight="1" x14ac:dyDescent="0.25">
      <c r="A68" s="35">
        <v>2024</v>
      </c>
      <c r="B68" s="35">
        <v>171195</v>
      </c>
      <c r="C68" s="33" t="str">
        <f>VLOOKUP(B68,procv!$A$2:$D$142,4,FALSE)</f>
        <v>Capim Dourado</v>
      </c>
      <c r="D68" s="33" t="s">
        <v>71</v>
      </c>
      <c r="E68" s="17">
        <v>6</v>
      </c>
      <c r="F68" s="36">
        <f t="shared" si="18"/>
        <v>9.0090090090090089E-3</v>
      </c>
      <c r="G68" s="17">
        <v>2</v>
      </c>
      <c r="H68" s="36">
        <f t="shared" si="19"/>
        <v>2.6666666666666668E-2</v>
      </c>
      <c r="I68" s="17">
        <v>27</v>
      </c>
      <c r="J68" s="36">
        <f t="shared" si="20"/>
        <v>4.0540540540540543E-2</v>
      </c>
      <c r="K68" s="17">
        <v>3</v>
      </c>
      <c r="L68" s="36">
        <f t="shared" si="21"/>
        <v>0.04</v>
      </c>
      <c r="M68" s="17">
        <v>633</v>
      </c>
      <c r="N68" s="36">
        <f t="shared" si="29"/>
        <v>0.9504504504504504</v>
      </c>
      <c r="O68" s="17">
        <v>70</v>
      </c>
      <c r="P68" s="36">
        <f t="shared" si="22"/>
        <v>0.93333333333333335</v>
      </c>
      <c r="Q68" s="17">
        <v>9</v>
      </c>
      <c r="R68" s="36">
        <f t="shared" si="30"/>
        <v>1.3513513513513514E-2</v>
      </c>
      <c r="S68" s="17">
        <v>2</v>
      </c>
      <c r="T68" s="36">
        <f t="shared" si="23"/>
        <v>2.6666666666666668E-2</v>
      </c>
      <c r="U68" s="17">
        <v>29</v>
      </c>
      <c r="V68" s="36">
        <f t="shared" si="31"/>
        <v>4.3543543543543541E-2</v>
      </c>
      <c r="W68" s="17">
        <v>2</v>
      </c>
      <c r="X68" s="36">
        <f t="shared" si="24"/>
        <v>2.6666666666666668E-2</v>
      </c>
      <c r="Y68" s="17">
        <v>485</v>
      </c>
      <c r="Z68" s="36">
        <f t="shared" si="32"/>
        <v>0.72822822822822819</v>
      </c>
      <c r="AA68" s="17">
        <v>58</v>
      </c>
      <c r="AB68" s="36">
        <f t="shared" si="25"/>
        <v>0.77333333333333332</v>
      </c>
      <c r="AC68" s="17">
        <v>95</v>
      </c>
      <c r="AD68" s="36">
        <f t="shared" si="33"/>
        <v>0.14264264264264265</v>
      </c>
      <c r="AE68" s="17">
        <v>10</v>
      </c>
      <c r="AF68" s="36">
        <f t="shared" si="26"/>
        <v>0.13333333333333333</v>
      </c>
      <c r="AG68" s="17">
        <v>42</v>
      </c>
      <c r="AH68" s="36">
        <f t="shared" si="34"/>
        <v>6.3063063063063057E-2</v>
      </c>
      <c r="AI68" s="17">
        <v>3</v>
      </c>
      <c r="AJ68" s="36">
        <f t="shared" si="27"/>
        <v>0.04</v>
      </c>
      <c r="AK68" s="17">
        <v>6</v>
      </c>
      <c r="AL68" s="36">
        <f t="shared" si="35"/>
        <v>9.0090090090090089E-3</v>
      </c>
      <c r="AM68" s="17">
        <v>0</v>
      </c>
      <c r="AN68" s="36">
        <f t="shared" si="28"/>
        <v>0</v>
      </c>
      <c r="AO68" s="17">
        <v>666</v>
      </c>
      <c r="AP68" s="17">
        <v>75</v>
      </c>
    </row>
    <row r="69" spans="1:42" ht="15.75" customHeight="1" x14ac:dyDescent="0.25">
      <c r="A69" s="35">
        <v>2024</v>
      </c>
      <c r="B69" s="35">
        <v>171200</v>
      </c>
      <c r="C69" s="33" t="str">
        <f>VLOOKUP(B69,procv!$A$2:$D$142,4,FALSE)</f>
        <v>Capim Dourado</v>
      </c>
      <c r="D69" s="33" t="s">
        <v>72</v>
      </c>
      <c r="E69" s="17">
        <v>0</v>
      </c>
      <c r="F69" s="36">
        <f t="shared" si="18"/>
        <v>0</v>
      </c>
      <c r="G69" s="17">
        <v>0</v>
      </c>
      <c r="H69" s="36">
        <f t="shared" si="19"/>
        <v>0</v>
      </c>
      <c r="I69" s="17">
        <v>5</v>
      </c>
      <c r="J69" s="36">
        <f t="shared" si="20"/>
        <v>7.6923076923076927E-2</v>
      </c>
      <c r="K69" s="17">
        <v>4</v>
      </c>
      <c r="L69" s="36">
        <f t="shared" si="21"/>
        <v>0.19047619047619047</v>
      </c>
      <c r="M69" s="17">
        <v>60</v>
      </c>
      <c r="N69" s="36">
        <f t="shared" si="29"/>
        <v>0.92307692307692313</v>
      </c>
      <c r="O69" s="17">
        <v>17</v>
      </c>
      <c r="P69" s="36">
        <f t="shared" si="22"/>
        <v>0.80952380952380953</v>
      </c>
      <c r="Q69" s="17">
        <v>1</v>
      </c>
      <c r="R69" s="36">
        <f t="shared" si="30"/>
        <v>1.5384615384615385E-2</v>
      </c>
      <c r="S69" s="17">
        <v>0</v>
      </c>
      <c r="T69" s="36">
        <f t="shared" si="23"/>
        <v>0</v>
      </c>
      <c r="U69" s="17">
        <v>0</v>
      </c>
      <c r="V69" s="36">
        <f t="shared" si="31"/>
        <v>0</v>
      </c>
      <c r="W69" s="17">
        <v>0</v>
      </c>
      <c r="X69" s="36">
        <f t="shared" si="24"/>
        <v>0</v>
      </c>
      <c r="Y69" s="17">
        <v>45</v>
      </c>
      <c r="Z69" s="36">
        <f t="shared" si="32"/>
        <v>0.69230769230769229</v>
      </c>
      <c r="AA69" s="17">
        <v>18</v>
      </c>
      <c r="AB69" s="36">
        <f t="shared" si="25"/>
        <v>0.8571428571428571</v>
      </c>
      <c r="AC69" s="17">
        <v>10</v>
      </c>
      <c r="AD69" s="36">
        <f t="shared" si="33"/>
        <v>0.15384615384615385</v>
      </c>
      <c r="AE69" s="17">
        <v>2</v>
      </c>
      <c r="AF69" s="36">
        <f t="shared" si="26"/>
        <v>9.5238095238095233E-2</v>
      </c>
      <c r="AG69" s="17">
        <v>6</v>
      </c>
      <c r="AH69" s="36">
        <f t="shared" si="34"/>
        <v>9.2307692307692313E-2</v>
      </c>
      <c r="AI69" s="17">
        <v>1</v>
      </c>
      <c r="AJ69" s="36">
        <f t="shared" si="27"/>
        <v>4.7619047619047616E-2</v>
      </c>
      <c r="AK69" s="17">
        <v>3</v>
      </c>
      <c r="AL69" s="36">
        <f t="shared" si="35"/>
        <v>4.6153846153846156E-2</v>
      </c>
      <c r="AM69" s="17">
        <v>0</v>
      </c>
      <c r="AN69" s="36">
        <f t="shared" si="28"/>
        <v>0</v>
      </c>
      <c r="AO69" s="17">
        <v>65</v>
      </c>
      <c r="AP69" s="17">
        <v>21</v>
      </c>
    </row>
    <row r="70" spans="1:42" ht="15.75" customHeight="1" x14ac:dyDescent="0.25">
      <c r="A70" s="35">
        <v>2024</v>
      </c>
      <c r="B70" s="35">
        <v>171215</v>
      </c>
      <c r="C70" s="33" t="str">
        <f>VLOOKUP(B70,procv!$A$2:$D$142,4,FALSE)</f>
        <v>Sudeste</v>
      </c>
      <c r="D70" s="33" t="s">
        <v>73</v>
      </c>
      <c r="E70" s="17">
        <v>3</v>
      </c>
      <c r="F70" s="36">
        <f t="shared" si="18"/>
        <v>1.2658227848101266E-2</v>
      </c>
      <c r="G70" s="17">
        <v>1</v>
      </c>
      <c r="H70" s="36">
        <f t="shared" si="19"/>
        <v>2.2727272727272728E-2</v>
      </c>
      <c r="I70" s="17">
        <v>3</v>
      </c>
      <c r="J70" s="36">
        <f t="shared" si="20"/>
        <v>1.2658227848101266E-2</v>
      </c>
      <c r="K70" s="17">
        <v>0</v>
      </c>
      <c r="L70" s="36">
        <f t="shared" si="21"/>
        <v>0</v>
      </c>
      <c r="M70" s="17">
        <v>231</v>
      </c>
      <c r="N70" s="36">
        <f t="shared" si="29"/>
        <v>0.97468354430379744</v>
      </c>
      <c r="O70" s="17">
        <v>43</v>
      </c>
      <c r="P70" s="36">
        <f t="shared" si="22"/>
        <v>0.97727272727272729</v>
      </c>
      <c r="Q70" s="17">
        <v>0</v>
      </c>
      <c r="R70" s="36">
        <f t="shared" si="30"/>
        <v>0</v>
      </c>
      <c r="S70" s="17">
        <v>0</v>
      </c>
      <c r="T70" s="36">
        <f t="shared" si="23"/>
        <v>0</v>
      </c>
      <c r="U70" s="17">
        <v>7</v>
      </c>
      <c r="V70" s="36">
        <f t="shared" si="31"/>
        <v>2.9535864978902954E-2</v>
      </c>
      <c r="W70" s="17">
        <v>2</v>
      </c>
      <c r="X70" s="36">
        <f t="shared" si="24"/>
        <v>4.5454545454545456E-2</v>
      </c>
      <c r="Y70" s="17">
        <v>159</v>
      </c>
      <c r="Z70" s="36">
        <f t="shared" si="32"/>
        <v>0.67088607594936711</v>
      </c>
      <c r="AA70" s="17">
        <v>27</v>
      </c>
      <c r="AB70" s="36">
        <f t="shared" si="25"/>
        <v>0.61363636363636365</v>
      </c>
      <c r="AC70" s="17">
        <v>38</v>
      </c>
      <c r="AD70" s="36">
        <f t="shared" si="33"/>
        <v>0.16033755274261605</v>
      </c>
      <c r="AE70" s="17">
        <v>9</v>
      </c>
      <c r="AF70" s="36">
        <f t="shared" si="26"/>
        <v>0.20454545454545456</v>
      </c>
      <c r="AG70" s="17">
        <v>28</v>
      </c>
      <c r="AH70" s="36">
        <f t="shared" si="34"/>
        <v>0.11814345991561181</v>
      </c>
      <c r="AI70" s="17">
        <v>3</v>
      </c>
      <c r="AJ70" s="36">
        <f t="shared" si="27"/>
        <v>6.8181818181818177E-2</v>
      </c>
      <c r="AK70" s="17">
        <v>5</v>
      </c>
      <c r="AL70" s="36">
        <f t="shared" si="35"/>
        <v>2.1097046413502109E-2</v>
      </c>
      <c r="AM70" s="17">
        <v>3</v>
      </c>
      <c r="AN70" s="36">
        <f t="shared" si="28"/>
        <v>6.8181818181818177E-2</v>
      </c>
      <c r="AO70" s="17">
        <v>237</v>
      </c>
      <c r="AP70" s="17">
        <v>44</v>
      </c>
    </row>
    <row r="71" spans="1:42" ht="15.75" customHeight="1" x14ac:dyDescent="0.25">
      <c r="A71" s="35">
        <v>2024</v>
      </c>
      <c r="B71" s="35">
        <v>171240</v>
      </c>
      <c r="C71" s="33" t="str">
        <f>VLOOKUP(B71,procv!$A$2:$D$142,4,FALSE)</f>
        <v>Capim Dourado</v>
      </c>
      <c r="D71" s="33" t="s">
        <v>74</v>
      </c>
      <c r="E71" s="17">
        <v>12</v>
      </c>
      <c r="F71" s="36">
        <f t="shared" si="18"/>
        <v>4.0816326530612242E-2</v>
      </c>
      <c r="G71" s="17">
        <v>5</v>
      </c>
      <c r="H71" s="36">
        <f t="shared" si="19"/>
        <v>3.5714285714285712E-2</v>
      </c>
      <c r="I71" s="17">
        <v>22</v>
      </c>
      <c r="J71" s="36">
        <f t="shared" si="20"/>
        <v>7.4829931972789115E-2</v>
      </c>
      <c r="K71" s="17">
        <v>6</v>
      </c>
      <c r="L71" s="36">
        <f t="shared" si="21"/>
        <v>4.2857142857142858E-2</v>
      </c>
      <c r="M71" s="17">
        <v>260</v>
      </c>
      <c r="N71" s="36">
        <f t="shared" si="29"/>
        <v>0.88435374149659862</v>
      </c>
      <c r="O71" s="17">
        <v>129</v>
      </c>
      <c r="P71" s="36">
        <f t="shared" si="22"/>
        <v>0.92142857142857137</v>
      </c>
      <c r="Q71" s="17">
        <v>9</v>
      </c>
      <c r="R71" s="36">
        <f t="shared" si="30"/>
        <v>3.0612244897959183E-2</v>
      </c>
      <c r="S71" s="17">
        <v>5</v>
      </c>
      <c r="T71" s="36">
        <f t="shared" si="23"/>
        <v>3.5714285714285712E-2</v>
      </c>
      <c r="U71" s="17">
        <v>11</v>
      </c>
      <c r="V71" s="36">
        <f t="shared" si="31"/>
        <v>3.7414965986394558E-2</v>
      </c>
      <c r="W71" s="17">
        <v>3</v>
      </c>
      <c r="X71" s="36">
        <f t="shared" si="24"/>
        <v>2.1428571428571429E-2</v>
      </c>
      <c r="Y71" s="17">
        <v>209</v>
      </c>
      <c r="Z71" s="36">
        <f t="shared" si="32"/>
        <v>0.71088435374149661</v>
      </c>
      <c r="AA71" s="17">
        <v>101</v>
      </c>
      <c r="AB71" s="36">
        <f t="shared" si="25"/>
        <v>0.72142857142857142</v>
      </c>
      <c r="AC71" s="17">
        <v>50</v>
      </c>
      <c r="AD71" s="36">
        <f t="shared" si="33"/>
        <v>0.17006802721088435</v>
      </c>
      <c r="AE71" s="17">
        <v>24</v>
      </c>
      <c r="AF71" s="36">
        <f t="shared" si="26"/>
        <v>0.17142857142857143</v>
      </c>
      <c r="AG71" s="17">
        <v>12</v>
      </c>
      <c r="AH71" s="36">
        <f t="shared" si="34"/>
        <v>4.0816326530612242E-2</v>
      </c>
      <c r="AI71" s="17">
        <v>5</v>
      </c>
      <c r="AJ71" s="36">
        <f t="shared" si="27"/>
        <v>3.5714285714285712E-2</v>
      </c>
      <c r="AK71" s="17">
        <v>3</v>
      </c>
      <c r="AL71" s="36">
        <f t="shared" si="35"/>
        <v>1.020408163265306E-2</v>
      </c>
      <c r="AM71" s="17">
        <v>2</v>
      </c>
      <c r="AN71" s="36">
        <f t="shared" si="28"/>
        <v>1.4285714285714285E-2</v>
      </c>
      <c r="AO71" s="17">
        <v>294</v>
      </c>
      <c r="AP71" s="17">
        <v>140</v>
      </c>
    </row>
    <row r="72" spans="1:42" ht="15.75" customHeight="1" x14ac:dyDescent="0.25">
      <c r="A72" s="35">
        <v>2024</v>
      </c>
      <c r="B72" s="35">
        <v>171245</v>
      </c>
      <c r="C72" s="33" t="str">
        <f>VLOOKUP(B72,procv!$A$2:$D$142,4,FALSE)</f>
        <v>Bico do Papagaio</v>
      </c>
      <c r="D72" s="33" t="s">
        <v>75</v>
      </c>
      <c r="E72" s="17">
        <v>7</v>
      </c>
      <c r="F72" s="36">
        <f t="shared" si="18"/>
        <v>1.6203703703703703E-2</v>
      </c>
      <c r="G72" s="17">
        <v>1</v>
      </c>
      <c r="H72" s="36">
        <f t="shared" si="19"/>
        <v>1.2048192771084338E-2</v>
      </c>
      <c r="I72" s="17">
        <v>22</v>
      </c>
      <c r="J72" s="36">
        <f t="shared" si="20"/>
        <v>5.0925925925925923E-2</v>
      </c>
      <c r="K72" s="17">
        <v>4</v>
      </c>
      <c r="L72" s="36">
        <f t="shared" si="21"/>
        <v>4.8192771084337352E-2</v>
      </c>
      <c r="M72" s="17">
        <v>403</v>
      </c>
      <c r="N72" s="36">
        <f t="shared" si="29"/>
        <v>0.93287037037037035</v>
      </c>
      <c r="O72" s="17">
        <v>78</v>
      </c>
      <c r="P72" s="36">
        <f t="shared" si="22"/>
        <v>0.93975903614457834</v>
      </c>
      <c r="Q72" s="17">
        <v>5</v>
      </c>
      <c r="R72" s="36">
        <f t="shared" si="30"/>
        <v>1.1574074074074073E-2</v>
      </c>
      <c r="S72" s="17">
        <v>0</v>
      </c>
      <c r="T72" s="36">
        <f t="shared" si="23"/>
        <v>0</v>
      </c>
      <c r="U72" s="17">
        <v>15</v>
      </c>
      <c r="V72" s="36">
        <f t="shared" si="31"/>
        <v>3.4722222222222224E-2</v>
      </c>
      <c r="W72" s="17">
        <v>4</v>
      </c>
      <c r="X72" s="36">
        <f t="shared" si="24"/>
        <v>4.8192771084337352E-2</v>
      </c>
      <c r="Y72" s="17">
        <v>317</v>
      </c>
      <c r="Z72" s="36">
        <f t="shared" si="32"/>
        <v>0.73379629629629628</v>
      </c>
      <c r="AA72" s="17">
        <v>62</v>
      </c>
      <c r="AB72" s="36">
        <f t="shared" si="25"/>
        <v>0.74698795180722888</v>
      </c>
      <c r="AC72" s="17">
        <v>61</v>
      </c>
      <c r="AD72" s="36">
        <f t="shared" si="33"/>
        <v>0.14120370370370369</v>
      </c>
      <c r="AE72" s="17">
        <v>10</v>
      </c>
      <c r="AF72" s="36">
        <f t="shared" si="26"/>
        <v>0.12048192771084337</v>
      </c>
      <c r="AG72" s="17">
        <v>27</v>
      </c>
      <c r="AH72" s="36">
        <f t="shared" si="34"/>
        <v>6.25E-2</v>
      </c>
      <c r="AI72" s="17">
        <v>5</v>
      </c>
      <c r="AJ72" s="36">
        <f t="shared" si="27"/>
        <v>6.0240963855421686E-2</v>
      </c>
      <c r="AK72" s="17">
        <v>7</v>
      </c>
      <c r="AL72" s="36">
        <f t="shared" si="35"/>
        <v>1.6203703703703703E-2</v>
      </c>
      <c r="AM72" s="17">
        <v>2</v>
      </c>
      <c r="AN72" s="36">
        <f t="shared" si="28"/>
        <v>2.4096385542168676E-2</v>
      </c>
      <c r="AO72" s="17">
        <v>432</v>
      </c>
      <c r="AP72" s="17">
        <v>83</v>
      </c>
    </row>
    <row r="73" spans="1:42" ht="15.75" customHeight="1" x14ac:dyDescent="0.25">
      <c r="A73" s="35">
        <v>2024</v>
      </c>
      <c r="B73" s="35">
        <v>171250</v>
      </c>
      <c r="C73" s="33" t="str">
        <f>VLOOKUP(B73,procv!$A$2:$D$142,4,FALSE)</f>
        <v>Cantão</v>
      </c>
      <c r="D73" s="33" t="s">
        <v>76</v>
      </c>
      <c r="E73" s="17">
        <v>6</v>
      </c>
      <c r="F73" s="36">
        <f t="shared" si="18"/>
        <v>1.2526096033402923E-2</v>
      </c>
      <c r="G73" s="17">
        <v>1</v>
      </c>
      <c r="H73" s="36">
        <f t="shared" si="19"/>
        <v>1.2048192771084338E-2</v>
      </c>
      <c r="I73" s="17">
        <v>17</v>
      </c>
      <c r="J73" s="36">
        <f t="shared" si="20"/>
        <v>3.5490605427974949E-2</v>
      </c>
      <c r="K73" s="17">
        <v>3</v>
      </c>
      <c r="L73" s="36">
        <f t="shared" si="21"/>
        <v>3.614457831325301E-2</v>
      </c>
      <c r="M73" s="17">
        <v>456</v>
      </c>
      <c r="N73" s="36">
        <f t="shared" si="29"/>
        <v>0.95198329853862218</v>
      </c>
      <c r="O73" s="17">
        <v>79</v>
      </c>
      <c r="P73" s="36">
        <f t="shared" si="22"/>
        <v>0.95180722891566261</v>
      </c>
      <c r="Q73" s="17">
        <v>4</v>
      </c>
      <c r="R73" s="36">
        <f t="shared" si="30"/>
        <v>8.350730688935281E-3</v>
      </c>
      <c r="S73" s="17">
        <v>0</v>
      </c>
      <c r="T73" s="36">
        <f t="shared" si="23"/>
        <v>0</v>
      </c>
      <c r="U73" s="17">
        <v>10</v>
      </c>
      <c r="V73" s="36">
        <f t="shared" si="31"/>
        <v>2.0876826722338204E-2</v>
      </c>
      <c r="W73" s="17">
        <v>1</v>
      </c>
      <c r="X73" s="36">
        <f t="shared" si="24"/>
        <v>1.2048192771084338E-2</v>
      </c>
      <c r="Y73" s="17">
        <v>322</v>
      </c>
      <c r="Z73" s="36">
        <f t="shared" si="32"/>
        <v>0.67223382045929014</v>
      </c>
      <c r="AA73" s="17">
        <v>53</v>
      </c>
      <c r="AB73" s="36">
        <f t="shared" si="25"/>
        <v>0.63855421686746983</v>
      </c>
      <c r="AC73" s="17">
        <v>87</v>
      </c>
      <c r="AD73" s="36">
        <f t="shared" si="33"/>
        <v>0.18162839248434237</v>
      </c>
      <c r="AE73" s="17">
        <v>18</v>
      </c>
      <c r="AF73" s="36">
        <f t="shared" si="26"/>
        <v>0.21686746987951808</v>
      </c>
      <c r="AG73" s="17">
        <v>53</v>
      </c>
      <c r="AH73" s="36">
        <f t="shared" si="34"/>
        <v>0.11064718162839249</v>
      </c>
      <c r="AI73" s="17">
        <v>11</v>
      </c>
      <c r="AJ73" s="36">
        <f t="shared" si="27"/>
        <v>0.13253012048192772</v>
      </c>
      <c r="AK73" s="17">
        <v>3</v>
      </c>
      <c r="AL73" s="36">
        <f t="shared" si="35"/>
        <v>6.2630480167014616E-3</v>
      </c>
      <c r="AM73" s="17">
        <v>0</v>
      </c>
      <c r="AN73" s="36">
        <f t="shared" si="28"/>
        <v>0</v>
      </c>
      <c r="AO73" s="17">
        <v>479</v>
      </c>
      <c r="AP73" s="17">
        <v>83</v>
      </c>
    </row>
    <row r="74" spans="1:42" ht="15.75" customHeight="1" x14ac:dyDescent="0.25">
      <c r="A74" s="35">
        <v>2024</v>
      </c>
      <c r="B74" s="35">
        <v>171270</v>
      </c>
      <c r="C74" s="33" t="str">
        <f>VLOOKUP(B74,procv!$A$2:$D$142,4,FALSE)</f>
        <v>Amor Perfeito</v>
      </c>
      <c r="D74" s="33" t="s">
        <v>77</v>
      </c>
      <c r="E74" s="17">
        <v>1</v>
      </c>
      <c r="F74" s="36">
        <f t="shared" si="18"/>
        <v>3.1446540880503146E-3</v>
      </c>
      <c r="G74" s="17">
        <v>0</v>
      </c>
      <c r="H74" s="36">
        <f t="shared" si="19"/>
        <v>0</v>
      </c>
      <c r="I74" s="17">
        <v>10</v>
      </c>
      <c r="J74" s="36">
        <f t="shared" si="20"/>
        <v>3.1446540880503145E-2</v>
      </c>
      <c r="K74" s="17">
        <v>3</v>
      </c>
      <c r="L74" s="36">
        <f t="shared" si="21"/>
        <v>3.0927835051546393E-2</v>
      </c>
      <c r="M74" s="17">
        <v>307</v>
      </c>
      <c r="N74" s="36">
        <f t="shared" si="29"/>
        <v>0.96540880503144655</v>
      </c>
      <c r="O74" s="17">
        <v>94</v>
      </c>
      <c r="P74" s="36">
        <f t="shared" si="22"/>
        <v>0.96907216494845361</v>
      </c>
      <c r="Q74" s="17">
        <v>8</v>
      </c>
      <c r="R74" s="36">
        <f t="shared" si="30"/>
        <v>2.5157232704402517E-2</v>
      </c>
      <c r="S74" s="17">
        <v>4</v>
      </c>
      <c r="T74" s="36">
        <f t="shared" si="23"/>
        <v>4.1237113402061855E-2</v>
      </c>
      <c r="U74" s="17">
        <v>5</v>
      </c>
      <c r="V74" s="36">
        <f t="shared" si="31"/>
        <v>1.5723270440251572E-2</v>
      </c>
      <c r="W74" s="17">
        <v>2</v>
      </c>
      <c r="X74" s="36">
        <f t="shared" si="24"/>
        <v>2.0618556701030927E-2</v>
      </c>
      <c r="Y74" s="17">
        <v>227</v>
      </c>
      <c r="Z74" s="36">
        <f t="shared" si="32"/>
        <v>0.71383647798742134</v>
      </c>
      <c r="AA74" s="17">
        <v>70</v>
      </c>
      <c r="AB74" s="36">
        <f t="shared" si="25"/>
        <v>0.72164948453608246</v>
      </c>
      <c r="AC74" s="17">
        <v>51</v>
      </c>
      <c r="AD74" s="36">
        <f t="shared" si="33"/>
        <v>0.16037735849056603</v>
      </c>
      <c r="AE74" s="17">
        <v>13</v>
      </c>
      <c r="AF74" s="36">
        <f t="shared" si="26"/>
        <v>0.13402061855670103</v>
      </c>
      <c r="AG74" s="17">
        <v>23</v>
      </c>
      <c r="AH74" s="36">
        <f t="shared" si="34"/>
        <v>7.2327044025157231E-2</v>
      </c>
      <c r="AI74" s="17">
        <v>6</v>
      </c>
      <c r="AJ74" s="36">
        <f t="shared" si="27"/>
        <v>6.1855670103092786E-2</v>
      </c>
      <c r="AK74" s="17">
        <v>4</v>
      </c>
      <c r="AL74" s="36">
        <f t="shared" si="35"/>
        <v>1.2578616352201259E-2</v>
      </c>
      <c r="AM74" s="17">
        <v>2</v>
      </c>
      <c r="AN74" s="36">
        <f t="shared" si="28"/>
        <v>2.0618556701030927E-2</v>
      </c>
      <c r="AO74" s="17">
        <v>318</v>
      </c>
      <c r="AP74" s="17">
        <v>97</v>
      </c>
    </row>
    <row r="75" spans="1:42" ht="15.75" customHeight="1" x14ac:dyDescent="0.25">
      <c r="A75" s="35">
        <v>2024</v>
      </c>
      <c r="B75" s="35">
        <v>171280</v>
      </c>
      <c r="C75" s="33" t="str">
        <f>VLOOKUP(B75,procv!$A$2:$D$142,4,FALSE)</f>
        <v>Bico do Papagaio</v>
      </c>
      <c r="D75" s="33" t="s">
        <v>78</v>
      </c>
      <c r="E75" s="17">
        <v>6</v>
      </c>
      <c r="F75" s="36">
        <f t="shared" si="18"/>
        <v>1.4742014742014743E-2</v>
      </c>
      <c r="G75" s="17">
        <v>2</v>
      </c>
      <c r="H75" s="36">
        <f t="shared" si="19"/>
        <v>2.3255813953488372E-2</v>
      </c>
      <c r="I75" s="17">
        <v>27</v>
      </c>
      <c r="J75" s="36">
        <f t="shared" si="20"/>
        <v>6.6339066339066333E-2</v>
      </c>
      <c r="K75" s="17">
        <v>12</v>
      </c>
      <c r="L75" s="36">
        <f t="shared" si="21"/>
        <v>0.13953488372093023</v>
      </c>
      <c r="M75" s="17">
        <v>374</v>
      </c>
      <c r="N75" s="36">
        <f t="shared" si="29"/>
        <v>0.91891891891891897</v>
      </c>
      <c r="O75" s="17">
        <v>72</v>
      </c>
      <c r="P75" s="36">
        <f t="shared" si="22"/>
        <v>0.83720930232558144</v>
      </c>
      <c r="Q75" s="17">
        <v>3</v>
      </c>
      <c r="R75" s="36">
        <f t="shared" si="30"/>
        <v>7.3710073710073713E-3</v>
      </c>
      <c r="S75" s="17">
        <v>1</v>
      </c>
      <c r="T75" s="36">
        <f t="shared" si="23"/>
        <v>1.1627906976744186E-2</v>
      </c>
      <c r="U75" s="17">
        <v>15</v>
      </c>
      <c r="V75" s="36">
        <f t="shared" si="31"/>
        <v>3.6855036855036855E-2</v>
      </c>
      <c r="W75" s="17">
        <v>1</v>
      </c>
      <c r="X75" s="36">
        <f t="shared" si="24"/>
        <v>1.1627906976744186E-2</v>
      </c>
      <c r="Y75" s="17">
        <v>301</v>
      </c>
      <c r="Z75" s="36">
        <f t="shared" si="32"/>
        <v>0.73955773955773951</v>
      </c>
      <c r="AA75" s="17">
        <v>55</v>
      </c>
      <c r="AB75" s="36">
        <f t="shared" si="25"/>
        <v>0.63953488372093026</v>
      </c>
      <c r="AC75" s="17">
        <v>56</v>
      </c>
      <c r="AD75" s="36">
        <f t="shared" si="33"/>
        <v>0.13759213759213759</v>
      </c>
      <c r="AE75" s="17">
        <v>16</v>
      </c>
      <c r="AF75" s="36">
        <f t="shared" si="26"/>
        <v>0.18604651162790697</v>
      </c>
      <c r="AG75" s="17">
        <v>29</v>
      </c>
      <c r="AH75" s="36">
        <f t="shared" si="34"/>
        <v>7.125307125307126E-2</v>
      </c>
      <c r="AI75" s="17">
        <v>11</v>
      </c>
      <c r="AJ75" s="36">
        <f t="shared" si="27"/>
        <v>0.12790697674418605</v>
      </c>
      <c r="AK75" s="17">
        <v>3</v>
      </c>
      <c r="AL75" s="36">
        <f t="shared" si="35"/>
        <v>7.3710073710073713E-3</v>
      </c>
      <c r="AM75" s="17">
        <v>2</v>
      </c>
      <c r="AN75" s="36">
        <f t="shared" si="28"/>
        <v>2.3255813953488372E-2</v>
      </c>
      <c r="AO75" s="17">
        <v>407</v>
      </c>
      <c r="AP75" s="17">
        <v>86</v>
      </c>
    </row>
    <row r="76" spans="1:42" ht="15.75" customHeight="1" x14ac:dyDescent="0.25">
      <c r="A76" s="35">
        <v>2024</v>
      </c>
      <c r="B76" s="35">
        <v>171320</v>
      </c>
      <c r="C76" s="33" t="str">
        <f>VLOOKUP(B76,procv!$A$2:$D$142,4,FALSE)</f>
        <v>Capim Dourado</v>
      </c>
      <c r="D76" s="33" t="s">
        <v>79</v>
      </c>
      <c r="E76" s="17">
        <v>20</v>
      </c>
      <c r="F76" s="36">
        <f t="shared" si="18"/>
        <v>1.713796058269066E-2</v>
      </c>
      <c r="G76" s="17">
        <v>9</v>
      </c>
      <c r="H76" s="36">
        <f t="shared" si="19"/>
        <v>4.4999999999999998E-2</v>
      </c>
      <c r="I76" s="17">
        <v>37</v>
      </c>
      <c r="J76" s="36">
        <f t="shared" si="20"/>
        <v>3.1705227077977724E-2</v>
      </c>
      <c r="K76" s="17">
        <v>7</v>
      </c>
      <c r="L76" s="36">
        <f t="shared" si="21"/>
        <v>3.5000000000000003E-2</v>
      </c>
      <c r="M76" s="16">
        <v>1110</v>
      </c>
      <c r="N76" s="36">
        <f t="shared" si="29"/>
        <v>0.95115681233933158</v>
      </c>
      <c r="O76" s="17">
        <v>184</v>
      </c>
      <c r="P76" s="36">
        <f t="shared" si="22"/>
        <v>0.92</v>
      </c>
      <c r="Q76" s="17">
        <v>7</v>
      </c>
      <c r="R76" s="36">
        <f t="shared" si="30"/>
        <v>5.9982862039417309E-3</v>
      </c>
      <c r="S76" s="17">
        <v>3</v>
      </c>
      <c r="T76" s="36">
        <f t="shared" si="23"/>
        <v>1.4999999999999999E-2</v>
      </c>
      <c r="U76" s="17">
        <v>57</v>
      </c>
      <c r="V76" s="36">
        <f t="shared" si="31"/>
        <v>4.8843187660668377E-2</v>
      </c>
      <c r="W76" s="17">
        <v>11</v>
      </c>
      <c r="X76" s="36">
        <f t="shared" si="24"/>
        <v>5.5E-2</v>
      </c>
      <c r="Y76" s="17">
        <v>798</v>
      </c>
      <c r="Z76" s="36">
        <f t="shared" si="32"/>
        <v>0.68380462724935731</v>
      </c>
      <c r="AA76" s="17">
        <v>147</v>
      </c>
      <c r="AB76" s="36">
        <f t="shared" si="25"/>
        <v>0.73499999999999999</v>
      </c>
      <c r="AC76" s="17">
        <v>208</v>
      </c>
      <c r="AD76" s="36">
        <f t="shared" si="33"/>
        <v>0.17823479005998286</v>
      </c>
      <c r="AE76" s="17">
        <v>27</v>
      </c>
      <c r="AF76" s="36">
        <f t="shared" si="26"/>
        <v>0.13500000000000001</v>
      </c>
      <c r="AG76" s="17">
        <v>79</v>
      </c>
      <c r="AH76" s="36">
        <f t="shared" si="34"/>
        <v>6.7694944301628104E-2</v>
      </c>
      <c r="AI76" s="17">
        <v>9</v>
      </c>
      <c r="AJ76" s="36">
        <f t="shared" si="27"/>
        <v>4.4999999999999998E-2</v>
      </c>
      <c r="AK76" s="17">
        <v>18</v>
      </c>
      <c r="AL76" s="36">
        <f t="shared" si="35"/>
        <v>1.5424164524421594E-2</v>
      </c>
      <c r="AM76" s="17">
        <v>3</v>
      </c>
      <c r="AN76" s="36">
        <f t="shared" si="28"/>
        <v>1.4999999999999999E-2</v>
      </c>
      <c r="AO76" s="16">
        <v>1167</v>
      </c>
      <c r="AP76" s="17">
        <v>200</v>
      </c>
    </row>
    <row r="77" spans="1:42" ht="15.75" customHeight="1" x14ac:dyDescent="0.25">
      <c r="A77" s="35">
        <v>2024</v>
      </c>
      <c r="B77" s="35">
        <v>171330</v>
      </c>
      <c r="C77" s="33" t="str">
        <f>VLOOKUP(B77,procv!$A$2:$D$142,4,FALSE)</f>
        <v>Capim Dourado</v>
      </c>
      <c r="D77" s="33" t="s">
        <v>80</v>
      </c>
      <c r="E77" s="17">
        <v>15</v>
      </c>
      <c r="F77" s="36">
        <f t="shared" si="18"/>
        <v>1.6129032258064516E-2</v>
      </c>
      <c r="G77" s="17">
        <v>4</v>
      </c>
      <c r="H77" s="36">
        <f t="shared" si="19"/>
        <v>1.7167381974248927E-2</v>
      </c>
      <c r="I77" s="17">
        <v>38</v>
      </c>
      <c r="J77" s="36">
        <f t="shared" si="20"/>
        <v>4.0860215053763443E-2</v>
      </c>
      <c r="K77" s="17">
        <v>9</v>
      </c>
      <c r="L77" s="36">
        <f t="shared" si="21"/>
        <v>3.8626609442060089E-2</v>
      </c>
      <c r="M77" s="17">
        <v>877</v>
      </c>
      <c r="N77" s="36">
        <f t="shared" si="29"/>
        <v>0.94301075268817203</v>
      </c>
      <c r="O77" s="17">
        <v>220</v>
      </c>
      <c r="P77" s="36">
        <f t="shared" si="22"/>
        <v>0.94420600858369097</v>
      </c>
      <c r="Q77" s="17">
        <v>8</v>
      </c>
      <c r="R77" s="36">
        <f t="shared" si="30"/>
        <v>8.6021505376344086E-3</v>
      </c>
      <c r="S77" s="17">
        <v>3</v>
      </c>
      <c r="T77" s="36">
        <f t="shared" si="23"/>
        <v>1.2875536480686695E-2</v>
      </c>
      <c r="U77" s="17">
        <v>29</v>
      </c>
      <c r="V77" s="36">
        <f t="shared" si="31"/>
        <v>3.118279569892473E-2</v>
      </c>
      <c r="W77" s="17">
        <v>9</v>
      </c>
      <c r="X77" s="36">
        <f t="shared" si="24"/>
        <v>3.8626609442060089E-2</v>
      </c>
      <c r="Y77" s="17">
        <v>658</v>
      </c>
      <c r="Z77" s="36">
        <f t="shared" si="32"/>
        <v>0.7075268817204301</v>
      </c>
      <c r="AA77" s="17">
        <v>164</v>
      </c>
      <c r="AB77" s="36">
        <f t="shared" si="25"/>
        <v>0.70386266094420602</v>
      </c>
      <c r="AC77" s="17">
        <v>140</v>
      </c>
      <c r="AD77" s="36">
        <f t="shared" si="33"/>
        <v>0.15053763440860216</v>
      </c>
      <c r="AE77" s="17">
        <v>38</v>
      </c>
      <c r="AF77" s="36">
        <f t="shared" si="26"/>
        <v>0.1630901287553648</v>
      </c>
      <c r="AG77" s="17">
        <v>83</v>
      </c>
      <c r="AH77" s="36">
        <f t="shared" si="34"/>
        <v>8.924731182795699E-2</v>
      </c>
      <c r="AI77" s="17">
        <v>19</v>
      </c>
      <c r="AJ77" s="36">
        <f t="shared" si="27"/>
        <v>8.15450643776824E-2</v>
      </c>
      <c r="AK77" s="17">
        <v>12</v>
      </c>
      <c r="AL77" s="36">
        <f t="shared" si="35"/>
        <v>1.2903225806451613E-2</v>
      </c>
      <c r="AM77" s="17">
        <v>0</v>
      </c>
      <c r="AN77" s="36">
        <f t="shared" si="28"/>
        <v>0</v>
      </c>
      <c r="AO77" s="17">
        <v>930</v>
      </c>
      <c r="AP77" s="17">
        <v>233</v>
      </c>
    </row>
    <row r="78" spans="1:42" ht="15.75" customHeight="1" x14ac:dyDescent="0.25">
      <c r="A78" s="35">
        <v>2024</v>
      </c>
      <c r="B78" s="35">
        <v>171360</v>
      </c>
      <c r="C78" s="33" t="str">
        <f>VLOOKUP(B78,procv!$A$2:$D$142,4,FALSE)</f>
        <v>Amor Perfeito</v>
      </c>
      <c r="D78" s="33" t="s">
        <v>81</v>
      </c>
      <c r="E78" s="17">
        <v>7</v>
      </c>
      <c r="F78" s="36">
        <f t="shared" si="18"/>
        <v>1.2068965517241379E-2</v>
      </c>
      <c r="G78" s="17">
        <v>2</v>
      </c>
      <c r="H78" s="36">
        <f t="shared" si="19"/>
        <v>1.0256410256410256E-2</v>
      </c>
      <c r="I78" s="17">
        <v>14</v>
      </c>
      <c r="J78" s="36">
        <f t="shared" si="20"/>
        <v>2.4137931034482758E-2</v>
      </c>
      <c r="K78" s="17">
        <v>6</v>
      </c>
      <c r="L78" s="36">
        <f t="shared" si="21"/>
        <v>3.0769230769230771E-2</v>
      </c>
      <c r="M78" s="17">
        <v>559</v>
      </c>
      <c r="N78" s="36">
        <f t="shared" si="29"/>
        <v>0.96379310344827585</v>
      </c>
      <c r="O78" s="17">
        <v>187</v>
      </c>
      <c r="P78" s="36">
        <f t="shared" si="22"/>
        <v>0.95897435897435901</v>
      </c>
      <c r="Q78" s="17">
        <v>4</v>
      </c>
      <c r="R78" s="36">
        <f t="shared" si="30"/>
        <v>6.8965517241379309E-3</v>
      </c>
      <c r="S78" s="17">
        <v>1</v>
      </c>
      <c r="T78" s="36">
        <f t="shared" si="23"/>
        <v>5.1282051282051282E-3</v>
      </c>
      <c r="U78" s="17">
        <v>21</v>
      </c>
      <c r="V78" s="36">
        <f t="shared" si="31"/>
        <v>3.6206896551724141E-2</v>
      </c>
      <c r="W78" s="17">
        <v>8</v>
      </c>
      <c r="X78" s="36">
        <f t="shared" si="24"/>
        <v>4.1025641025641026E-2</v>
      </c>
      <c r="Y78" s="17">
        <v>412</v>
      </c>
      <c r="Z78" s="36">
        <f t="shared" si="32"/>
        <v>0.71034482758620687</v>
      </c>
      <c r="AA78" s="17">
        <v>137</v>
      </c>
      <c r="AB78" s="36">
        <f t="shared" si="25"/>
        <v>0.70256410256410251</v>
      </c>
      <c r="AC78" s="17">
        <v>94</v>
      </c>
      <c r="AD78" s="36">
        <f t="shared" si="33"/>
        <v>0.16206896551724137</v>
      </c>
      <c r="AE78" s="17">
        <v>37</v>
      </c>
      <c r="AF78" s="36">
        <f t="shared" si="26"/>
        <v>0.18974358974358974</v>
      </c>
      <c r="AG78" s="17">
        <v>41</v>
      </c>
      <c r="AH78" s="36">
        <f t="shared" si="34"/>
        <v>7.0689655172413796E-2</v>
      </c>
      <c r="AI78" s="17">
        <v>11</v>
      </c>
      <c r="AJ78" s="36">
        <f t="shared" si="27"/>
        <v>5.6410256410256411E-2</v>
      </c>
      <c r="AK78" s="17">
        <v>8</v>
      </c>
      <c r="AL78" s="36">
        <f t="shared" si="35"/>
        <v>1.3793103448275862E-2</v>
      </c>
      <c r="AM78" s="17">
        <v>1</v>
      </c>
      <c r="AN78" s="36">
        <f t="shared" si="28"/>
        <v>5.1282051282051282E-3</v>
      </c>
      <c r="AO78" s="17">
        <v>580</v>
      </c>
      <c r="AP78" s="17">
        <v>195</v>
      </c>
    </row>
    <row r="79" spans="1:42" ht="15.75" customHeight="1" x14ac:dyDescent="0.25">
      <c r="A79" s="35">
        <v>2024</v>
      </c>
      <c r="B79" s="35">
        <v>171370</v>
      </c>
      <c r="C79" s="33" t="str">
        <f>VLOOKUP(B79,procv!$A$2:$D$142,4,FALSE)</f>
        <v>Cantão</v>
      </c>
      <c r="D79" s="33" t="s">
        <v>82</v>
      </c>
      <c r="E79" s="17">
        <v>0</v>
      </c>
      <c r="F79" s="36">
        <f t="shared" si="18"/>
        <v>0</v>
      </c>
      <c r="G79" s="17">
        <v>0</v>
      </c>
      <c r="H79" s="36">
        <f t="shared" si="19"/>
        <v>0</v>
      </c>
      <c r="I79" s="17">
        <v>8</v>
      </c>
      <c r="J79" s="36">
        <f t="shared" si="20"/>
        <v>3.3613445378151259E-2</v>
      </c>
      <c r="K79" s="17">
        <v>0</v>
      </c>
      <c r="L79" s="36">
        <f t="shared" si="21"/>
        <v>0</v>
      </c>
      <c r="M79" s="17">
        <v>230</v>
      </c>
      <c r="N79" s="36">
        <f t="shared" si="29"/>
        <v>0.96638655462184875</v>
      </c>
      <c r="O79" s="17">
        <v>25</v>
      </c>
      <c r="P79" s="36">
        <f t="shared" si="22"/>
        <v>1</v>
      </c>
      <c r="Q79" s="17">
        <v>3</v>
      </c>
      <c r="R79" s="36">
        <f t="shared" si="30"/>
        <v>1.2605042016806723E-2</v>
      </c>
      <c r="S79" s="17">
        <v>0</v>
      </c>
      <c r="T79" s="36">
        <f t="shared" si="23"/>
        <v>0</v>
      </c>
      <c r="U79" s="17">
        <v>12</v>
      </c>
      <c r="V79" s="36">
        <f t="shared" si="31"/>
        <v>5.0420168067226892E-2</v>
      </c>
      <c r="W79" s="17">
        <v>4</v>
      </c>
      <c r="X79" s="36">
        <f t="shared" si="24"/>
        <v>0.16</v>
      </c>
      <c r="Y79" s="17">
        <v>157</v>
      </c>
      <c r="Z79" s="36">
        <f t="shared" si="32"/>
        <v>0.65966386554621848</v>
      </c>
      <c r="AA79" s="17">
        <v>12</v>
      </c>
      <c r="AB79" s="36">
        <f t="shared" si="25"/>
        <v>0.48</v>
      </c>
      <c r="AC79" s="17">
        <v>46</v>
      </c>
      <c r="AD79" s="36">
        <f t="shared" si="33"/>
        <v>0.19327731092436976</v>
      </c>
      <c r="AE79" s="17">
        <v>8</v>
      </c>
      <c r="AF79" s="36">
        <f t="shared" si="26"/>
        <v>0.32</v>
      </c>
      <c r="AG79" s="17">
        <v>15</v>
      </c>
      <c r="AH79" s="36">
        <f t="shared" si="34"/>
        <v>6.3025210084033612E-2</v>
      </c>
      <c r="AI79" s="17">
        <v>1</v>
      </c>
      <c r="AJ79" s="36">
        <f t="shared" si="27"/>
        <v>0.04</v>
      </c>
      <c r="AK79" s="17">
        <v>5</v>
      </c>
      <c r="AL79" s="36">
        <f t="shared" si="35"/>
        <v>2.100840336134454E-2</v>
      </c>
      <c r="AM79" s="17">
        <v>0</v>
      </c>
      <c r="AN79" s="36">
        <f t="shared" si="28"/>
        <v>0</v>
      </c>
      <c r="AO79" s="17">
        <v>238</v>
      </c>
      <c r="AP79" s="17">
        <v>25</v>
      </c>
    </row>
    <row r="80" spans="1:42" ht="15.75" customHeight="1" x14ac:dyDescent="0.25">
      <c r="A80" s="35">
        <v>2024</v>
      </c>
      <c r="B80" s="35">
        <v>171395</v>
      </c>
      <c r="C80" s="33" t="str">
        <f>VLOOKUP(B80,procv!$A$2:$D$142,4,FALSE)</f>
        <v>Médio Norte Araguaia</v>
      </c>
      <c r="D80" s="33" t="s">
        <v>83</v>
      </c>
      <c r="E80" s="17">
        <v>4</v>
      </c>
      <c r="F80" s="36">
        <f t="shared" si="18"/>
        <v>8.4745762711864406E-3</v>
      </c>
      <c r="G80" s="17">
        <v>3</v>
      </c>
      <c r="H80" s="36">
        <f t="shared" si="19"/>
        <v>0.05</v>
      </c>
      <c r="I80" s="17">
        <v>13</v>
      </c>
      <c r="J80" s="36">
        <f t="shared" si="20"/>
        <v>2.7542372881355932E-2</v>
      </c>
      <c r="K80" s="17">
        <v>6</v>
      </c>
      <c r="L80" s="36">
        <f t="shared" si="21"/>
        <v>0.1</v>
      </c>
      <c r="M80" s="17">
        <v>455</v>
      </c>
      <c r="N80" s="36">
        <f t="shared" si="29"/>
        <v>0.96398305084745761</v>
      </c>
      <c r="O80" s="17">
        <v>51</v>
      </c>
      <c r="P80" s="36">
        <f t="shared" si="22"/>
        <v>0.85</v>
      </c>
      <c r="Q80" s="17">
        <v>3</v>
      </c>
      <c r="R80" s="36">
        <f t="shared" si="30"/>
        <v>6.3559322033898309E-3</v>
      </c>
      <c r="S80" s="17">
        <v>0</v>
      </c>
      <c r="T80" s="36">
        <f t="shared" si="23"/>
        <v>0</v>
      </c>
      <c r="U80" s="17">
        <v>16</v>
      </c>
      <c r="V80" s="36">
        <f t="shared" si="31"/>
        <v>3.3898305084745763E-2</v>
      </c>
      <c r="W80" s="17">
        <v>3</v>
      </c>
      <c r="X80" s="36">
        <f t="shared" si="24"/>
        <v>0.05</v>
      </c>
      <c r="Y80" s="17">
        <v>348</v>
      </c>
      <c r="Z80" s="36">
        <f t="shared" si="32"/>
        <v>0.73728813559322037</v>
      </c>
      <c r="AA80" s="17">
        <v>41</v>
      </c>
      <c r="AB80" s="36">
        <f t="shared" si="25"/>
        <v>0.68333333333333335</v>
      </c>
      <c r="AC80" s="17">
        <v>75</v>
      </c>
      <c r="AD80" s="36">
        <f t="shared" si="33"/>
        <v>0.15889830508474576</v>
      </c>
      <c r="AE80" s="17">
        <v>9</v>
      </c>
      <c r="AF80" s="36">
        <f t="shared" si="26"/>
        <v>0.15</v>
      </c>
      <c r="AG80" s="17">
        <v>25</v>
      </c>
      <c r="AH80" s="36">
        <f t="shared" si="34"/>
        <v>5.2966101694915252E-2</v>
      </c>
      <c r="AI80" s="17">
        <v>6</v>
      </c>
      <c r="AJ80" s="36">
        <f t="shared" si="27"/>
        <v>0.1</v>
      </c>
      <c r="AK80" s="17">
        <v>5</v>
      </c>
      <c r="AL80" s="36">
        <f t="shared" si="35"/>
        <v>1.059322033898305E-2</v>
      </c>
      <c r="AM80" s="17">
        <v>1</v>
      </c>
      <c r="AN80" s="36">
        <f t="shared" si="28"/>
        <v>1.6666666666666666E-2</v>
      </c>
      <c r="AO80" s="17">
        <v>472</v>
      </c>
      <c r="AP80" s="17">
        <v>60</v>
      </c>
    </row>
    <row r="81" spans="1:42" ht="15.75" customHeight="1" x14ac:dyDescent="0.25">
      <c r="A81" s="35">
        <v>2024</v>
      </c>
      <c r="B81" s="35">
        <v>171420</v>
      </c>
      <c r="C81" s="33" t="str">
        <f>VLOOKUP(B81,procv!$A$2:$D$142,4,FALSE)</f>
        <v>Amor Perfeito</v>
      </c>
      <c r="D81" s="33" t="s">
        <v>84</v>
      </c>
      <c r="E81" s="17">
        <v>11</v>
      </c>
      <c r="F81" s="36">
        <f t="shared" si="18"/>
        <v>1.0999999999999999E-2</v>
      </c>
      <c r="G81" s="17">
        <v>0</v>
      </c>
      <c r="H81" s="36">
        <f t="shared" si="19"/>
        <v>0</v>
      </c>
      <c r="I81" s="17">
        <v>23</v>
      </c>
      <c r="J81" s="36">
        <f t="shared" si="20"/>
        <v>2.3E-2</v>
      </c>
      <c r="K81" s="17">
        <v>5</v>
      </c>
      <c r="L81" s="36">
        <f t="shared" si="21"/>
        <v>2.1645021645021644E-2</v>
      </c>
      <c r="M81" s="17">
        <v>966</v>
      </c>
      <c r="N81" s="36">
        <f t="shared" si="29"/>
        <v>0.96599999999999997</v>
      </c>
      <c r="O81" s="17">
        <v>226</v>
      </c>
      <c r="P81" s="36">
        <f t="shared" si="22"/>
        <v>0.97835497835497831</v>
      </c>
      <c r="Q81" s="17">
        <v>9</v>
      </c>
      <c r="R81" s="36">
        <f t="shared" si="30"/>
        <v>8.9999999999999993E-3</v>
      </c>
      <c r="S81" s="17">
        <v>0</v>
      </c>
      <c r="T81" s="36">
        <f t="shared" si="23"/>
        <v>0</v>
      </c>
      <c r="U81" s="17">
        <v>34</v>
      </c>
      <c r="V81" s="36">
        <f t="shared" si="31"/>
        <v>3.4000000000000002E-2</v>
      </c>
      <c r="W81" s="17">
        <v>7</v>
      </c>
      <c r="X81" s="36">
        <f t="shared" si="24"/>
        <v>3.0303030303030304E-2</v>
      </c>
      <c r="Y81" s="17">
        <v>653</v>
      </c>
      <c r="Z81" s="36">
        <f t="shared" si="32"/>
        <v>0.65300000000000002</v>
      </c>
      <c r="AA81" s="17">
        <v>157</v>
      </c>
      <c r="AB81" s="36">
        <f t="shared" si="25"/>
        <v>0.67965367965367962</v>
      </c>
      <c r="AC81" s="17">
        <v>192</v>
      </c>
      <c r="AD81" s="36">
        <f t="shared" si="33"/>
        <v>0.192</v>
      </c>
      <c r="AE81" s="17">
        <v>40</v>
      </c>
      <c r="AF81" s="36">
        <f t="shared" si="26"/>
        <v>0.17316017316017315</v>
      </c>
      <c r="AG81" s="17">
        <v>86</v>
      </c>
      <c r="AH81" s="36">
        <f t="shared" si="34"/>
        <v>8.5999999999999993E-2</v>
      </c>
      <c r="AI81" s="17">
        <v>19</v>
      </c>
      <c r="AJ81" s="36">
        <f t="shared" si="27"/>
        <v>8.2251082251082255E-2</v>
      </c>
      <c r="AK81" s="17">
        <v>26</v>
      </c>
      <c r="AL81" s="36">
        <f t="shared" si="35"/>
        <v>2.5999999999999999E-2</v>
      </c>
      <c r="AM81" s="17">
        <v>8</v>
      </c>
      <c r="AN81" s="36">
        <f t="shared" si="28"/>
        <v>3.4632034632034632E-2</v>
      </c>
      <c r="AO81" s="16">
        <v>1000</v>
      </c>
      <c r="AP81" s="17">
        <v>231</v>
      </c>
    </row>
    <row r="82" spans="1:42" ht="15.75" customHeight="1" x14ac:dyDescent="0.25">
      <c r="A82" s="35">
        <v>2024</v>
      </c>
      <c r="B82" s="35">
        <v>171430</v>
      </c>
      <c r="C82" s="33" t="str">
        <f>VLOOKUP(B82,procv!$A$2:$D$142,4,FALSE)</f>
        <v>Bico do Papagaio</v>
      </c>
      <c r="D82" s="33" t="s">
        <v>85</v>
      </c>
      <c r="E82" s="17">
        <v>5</v>
      </c>
      <c r="F82" s="36">
        <f t="shared" si="18"/>
        <v>8.9766606822262122E-3</v>
      </c>
      <c r="G82" s="17">
        <v>3</v>
      </c>
      <c r="H82" s="36">
        <f t="shared" si="19"/>
        <v>2.4390243902439025E-2</v>
      </c>
      <c r="I82" s="17">
        <v>31</v>
      </c>
      <c r="J82" s="36">
        <f t="shared" si="20"/>
        <v>5.565529622980251E-2</v>
      </c>
      <c r="K82" s="17">
        <v>12</v>
      </c>
      <c r="L82" s="36">
        <f t="shared" si="21"/>
        <v>9.7560975609756101E-2</v>
      </c>
      <c r="M82" s="17">
        <v>521</v>
      </c>
      <c r="N82" s="36">
        <f t="shared" si="29"/>
        <v>0.93536804308797128</v>
      </c>
      <c r="O82" s="17">
        <v>108</v>
      </c>
      <c r="P82" s="36">
        <f t="shared" si="22"/>
        <v>0.87804878048780488</v>
      </c>
      <c r="Q82" s="17">
        <v>4</v>
      </c>
      <c r="R82" s="36">
        <f t="shared" si="30"/>
        <v>7.1813285457809697E-3</v>
      </c>
      <c r="S82" s="17">
        <v>2</v>
      </c>
      <c r="T82" s="36">
        <f t="shared" si="23"/>
        <v>1.6260162601626018E-2</v>
      </c>
      <c r="U82" s="17">
        <v>32</v>
      </c>
      <c r="V82" s="36">
        <f t="shared" si="31"/>
        <v>5.7450628366247758E-2</v>
      </c>
      <c r="W82" s="17">
        <v>2</v>
      </c>
      <c r="X82" s="36">
        <f t="shared" si="24"/>
        <v>1.6260162601626018E-2</v>
      </c>
      <c r="Y82" s="17">
        <v>404</v>
      </c>
      <c r="Z82" s="36">
        <f t="shared" si="32"/>
        <v>0.72531418312387796</v>
      </c>
      <c r="AA82" s="17">
        <v>97</v>
      </c>
      <c r="AB82" s="36">
        <f t="shared" si="25"/>
        <v>0.78861788617886175</v>
      </c>
      <c r="AC82" s="17">
        <v>85</v>
      </c>
      <c r="AD82" s="36">
        <f t="shared" si="33"/>
        <v>0.15260323159784561</v>
      </c>
      <c r="AE82" s="17">
        <v>15</v>
      </c>
      <c r="AF82" s="36">
        <f t="shared" si="26"/>
        <v>0.12195121951219512</v>
      </c>
      <c r="AG82" s="17">
        <v>30</v>
      </c>
      <c r="AH82" s="36">
        <f t="shared" si="34"/>
        <v>5.385996409335727E-2</v>
      </c>
      <c r="AI82" s="17">
        <v>5</v>
      </c>
      <c r="AJ82" s="36">
        <f t="shared" si="27"/>
        <v>4.065040650406504E-2</v>
      </c>
      <c r="AK82" s="17">
        <v>2</v>
      </c>
      <c r="AL82" s="36">
        <f t="shared" si="35"/>
        <v>3.5906642728904849E-3</v>
      </c>
      <c r="AM82" s="17">
        <v>2</v>
      </c>
      <c r="AN82" s="36">
        <f t="shared" si="28"/>
        <v>1.6260162601626018E-2</v>
      </c>
      <c r="AO82" s="17">
        <v>557</v>
      </c>
      <c r="AP82" s="17">
        <v>123</v>
      </c>
    </row>
    <row r="83" spans="1:42" ht="15.75" customHeight="1" x14ac:dyDescent="0.25">
      <c r="A83" s="35">
        <v>2024</v>
      </c>
      <c r="B83" s="35">
        <v>171488</v>
      </c>
      <c r="C83" s="33" t="str">
        <f>VLOOKUP(B83,procv!$A$2:$D$142,4,FALSE)</f>
        <v>Médio Norte Araguaia</v>
      </c>
      <c r="D83" s="33" t="s">
        <v>86</v>
      </c>
      <c r="E83" s="17">
        <v>13</v>
      </c>
      <c r="F83" s="36">
        <f t="shared" si="18"/>
        <v>9.6726190476190479E-3</v>
      </c>
      <c r="G83" s="17">
        <v>3</v>
      </c>
      <c r="H83" s="36">
        <f t="shared" si="19"/>
        <v>1.1811023622047244E-2</v>
      </c>
      <c r="I83" s="17">
        <v>52</v>
      </c>
      <c r="J83" s="36">
        <f t="shared" si="20"/>
        <v>3.8690476190476192E-2</v>
      </c>
      <c r="K83" s="17">
        <v>13</v>
      </c>
      <c r="L83" s="36">
        <f t="shared" si="21"/>
        <v>5.1181102362204724E-2</v>
      </c>
      <c r="M83" s="16">
        <v>1279</v>
      </c>
      <c r="N83" s="36">
        <f t="shared" si="29"/>
        <v>0.95163690476190477</v>
      </c>
      <c r="O83" s="17">
        <v>238</v>
      </c>
      <c r="P83" s="36">
        <f t="shared" si="22"/>
        <v>0.93700787401574803</v>
      </c>
      <c r="Q83" s="17">
        <v>14</v>
      </c>
      <c r="R83" s="36">
        <f t="shared" si="30"/>
        <v>1.0416666666666666E-2</v>
      </c>
      <c r="S83" s="17">
        <v>5</v>
      </c>
      <c r="T83" s="36">
        <f t="shared" si="23"/>
        <v>1.968503937007874E-2</v>
      </c>
      <c r="U83" s="17">
        <v>70</v>
      </c>
      <c r="V83" s="36">
        <f t="shared" si="31"/>
        <v>5.2083333333333336E-2</v>
      </c>
      <c r="W83" s="17">
        <v>17</v>
      </c>
      <c r="X83" s="36">
        <f t="shared" si="24"/>
        <v>6.6929133858267723E-2</v>
      </c>
      <c r="Y83" s="17">
        <v>955</v>
      </c>
      <c r="Z83" s="36">
        <f t="shared" si="32"/>
        <v>0.71056547619047616</v>
      </c>
      <c r="AA83" s="17">
        <v>169</v>
      </c>
      <c r="AB83" s="36">
        <f t="shared" si="25"/>
        <v>0.66535433070866146</v>
      </c>
      <c r="AC83" s="17">
        <v>185</v>
      </c>
      <c r="AD83" s="36">
        <f t="shared" si="33"/>
        <v>0.13764880952380953</v>
      </c>
      <c r="AE83" s="17">
        <v>39</v>
      </c>
      <c r="AF83" s="36">
        <f t="shared" si="26"/>
        <v>0.15354330708661418</v>
      </c>
      <c r="AG83" s="17">
        <v>98</v>
      </c>
      <c r="AH83" s="36">
        <f t="shared" si="34"/>
        <v>7.2916666666666671E-2</v>
      </c>
      <c r="AI83" s="17">
        <v>22</v>
      </c>
      <c r="AJ83" s="36">
        <f t="shared" si="27"/>
        <v>8.6614173228346455E-2</v>
      </c>
      <c r="AK83" s="17">
        <v>22</v>
      </c>
      <c r="AL83" s="36">
        <f t="shared" si="35"/>
        <v>1.636904761904762E-2</v>
      </c>
      <c r="AM83" s="17">
        <v>2</v>
      </c>
      <c r="AN83" s="36">
        <f t="shared" si="28"/>
        <v>7.874015748031496E-3</v>
      </c>
      <c r="AO83" s="16">
        <v>1344</v>
      </c>
      <c r="AP83" s="17">
        <v>254</v>
      </c>
    </row>
    <row r="84" spans="1:42" ht="15.75" customHeight="1" x14ac:dyDescent="0.25">
      <c r="A84" s="35">
        <v>2024</v>
      </c>
      <c r="B84" s="35">
        <v>171500</v>
      </c>
      <c r="C84" s="33" t="str">
        <f>VLOOKUP(B84,procv!$A$2:$D$142,4,FALSE)</f>
        <v>Cantão</v>
      </c>
      <c r="D84" s="33" t="s">
        <v>87</v>
      </c>
      <c r="E84" s="17">
        <v>5</v>
      </c>
      <c r="F84" s="36">
        <f t="shared" si="18"/>
        <v>1.1655011655011656E-2</v>
      </c>
      <c r="G84" s="17">
        <v>0</v>
      </c>
      <c r="H84" s="36">
        <f t="shared" si="19"/>
        <v>0</v>
      </c>
      <c r="I84" s="17">
        <v>16</v>
      </c>
      <c r="J84" s="36">
        <f t="shared" si="20"/>
        <v>3.7296037296037296E-2</v>
      </c>
      <c r="K84" s="17">
        <v>1</v>
      </c>
      <c r="L84" s="36">
        <f t="shared" si="21"/>
        <v>4.7619047619047616E-2</v>
      </c>
      <c r="M84" s="17">
        <v>408</v>
      </c>
      <c r="N84" s="36">
        <f t="shared" si="29"/>
        <v>0.95104895104895104</v>
      </c>
      <c r="O84" s="17">
        <v>20</v>
      </c>
      <c r="P84" s="36">
        <f t="shared" si="22"/>
        <v>0.95238095238095233</v>
      </c>
      <c r="Q84" s="17">
        <v>4</v>
      </c>
      <c r="R84" s="36">
        <f t="shared" si="30"/>
        <v>9.324009324009324E-3</v>
      </c>
      <c r="S84" s="17">
        <v>0</v>
      </c>
      <c r="T84" s="36">
        <f t="shared" si="23"/>
        <v>0</v>
      </c>
      <c r="U84" s="17">
        <v>12</v>
      </c>
      <c r="V84" s="36">
        <f t="shared" si="31"/>
        <v>2.7972027972027972E-2</v>
      </c>
      <c r="W84" s="17">
        <v>2</v>
      </c>
      <c r="X84" s="36">
        <f t="shared" si="24"/>
        <v>9.5238095238095233E-2</v>
      </c>
      <c r="Y84" s="17">
        <v>301</v>
      </c>
      <c r="Z84" s="36">
        <f t="shared" si="32"/>
        <v>0.70163170163170163</v>
      </c>
      <c r="AA84" s="17">
        <v>9</v>
      </c>
      <c r="AB84" s="36">
        <f t="shared" si="25"/>
        <v>0.42857142857142855</v>
      </c>
      <c r="AC84" s="17">
        <v>71</v>
      </c>
      <c r="AD84" s="36">
        <f t="shared" si="33"/>
        <v>0.1655011655011655</v>
      </c>
      <c r="AE84" s="17">
        <v>9</v>
      </c>
      <c r="AF84" s="36">
        <f t="shared" si="26"/>
        <v>0.42857142857142855</v>
      </c>
      <c r="AG84" s="17">
        <v>31</v>
      </c>
      <c r="AH84" s="36">
        <f t="shared" si="34"/>
        <v>7.2261072261072257E-2</v>
      </c>
      <c r="AI84" s="17">
        <v>1</v>
      </c>
      <c r="AJ84" s="36">
        <f t="shared" si="27"/>
        <v>4.7619047619047616E-2</v>
      </c>
      <c r="AK84" s="17">
        <v>10</v>
      </c>
      <c r="AL84" s="36">
        <f t="shared" si="35"/>
        <v>2.3310023310023312E-2</v>
      </c>
      <c r="AM84" s="17">
        <v>0</v>
      </c>
      <c r="AN84" s="36">
        <f t="shared" si="28"/>
        <v>0</v>
      </c>
      <c r="AO84" s="17">
        <v>429</v>
      </c>
      <c r="AP84" s="17">
        <v>21</v>
      </c>
    </row>
    <row r="85" spans="1:42" ht="15.75" customHeight="1" x14ac:dyDescent="0.25">
      <c r="A85" s="35">
        <v>2024</v>
      </c>
      <c r="B85" s="35">
        <v>171510</v>
      </c>
      <c r="C85" s="33" t="str">
        <f>VLOOKUP(B85,procv!$A$2:$D$142,4,FALSE)</f>
        <v>Capim Dourado</v>
      </c>
      <c r="D85" s="33" t="s">
        <v>88</v>
      </c>
      <c r="E85" s="17">
        <v>1</v>
      </c>
      <c r="F85" s="36">
        <f t="shared" si="18"/>
        <v>3.1250000000000002E-3</v>
      </c>
      <c r="G85" s="17">
        <v>0</v>
      </c>
      <c r="H85" s="36">
        <f t="shared" si="19"/>
        <v>0</v>
      </c>
      <c r="I85" s="17">
        <v>15</v>
      </c>
      <c r="J85" s="36">
        <f t="shared" si="20"/>
        <v>4.6875E-2</v>
      </c>
      <c r="K85" s="17">
        <v>6</v>
      </c>
      <c r="L85" s="36">
        <f t="shared" si="21"/>
        <v>5.7142857142857141E-2</v>
      </c>
      <c r="M85" s="17">
        <v>304</v>
      </c>
      <c r="N85" s="36">
        <f t="shared" si="29"/>
        <v>0.95</v>
      </c>
      <c r="O85" s="17">
        <v>99</v>
      </c>
      <c r="P85" s="36">
        <f t="shared" si="22"/>
        <v>0.94285714285714284</v>
      </c>
      <c r="Q85" s="17">
        <v>4</v>
      </c>
      <c r="R85" s="36">
        <f t="shared" si="30"/>
        <v>1.2500000000000001E-2</v>
      </c>
      <c r="S85" s="17">
        <v>2</v>
      </c>
      <c r="T85" s="36">
        <f t="shared" si="23"/>
        <v>1.9047619047619049E-2</v>
      </c>
      <c r="U85" s="17">
        <v>12</v>
      </c>
      <c r="V85" s="36">
        <f t="shared" si="31"/>
        <v>3.7499999999999999E-2</v>
      </c>
      <c r="W85" s="17">
        <v>5</v>
      </c>
      <c r="X85" s="36">
        <f t="shared" si="24"/>
        <v>4.7619047619047616E-2</v>
      </c>
      <c r="Y85" s="17">
        <v>214</v>
      </c>
      <c r="Z85" s="36">
        <f t="shared" si="32"/>
        <v>0.66874999999999996</v>
      </c>
      <c r="AA85" s="17">
        <v>66</v>
      </c>
      <c r="AB85" s="36">
        <f t="shared" si="25"/>
        <v>0.62857142857142856</v>
      </c>
      <c r="AC85" s="17">
        <v>63</v>
      </c>
      <c r="AD85" s="36">
        <f t="shared" si="33"/>
        <v>0.19687499999999999</v>
      </c>
      <c r="AE85" s="17">
        <v>24</v>
      </c>
      <c r="AF85" s="36">
        <f t="shared" si="26"/>
        <v>0.22857142857142856</v>
      </c>
      <c r="AG85" s="17">
        <v>21</v>
      </c>
      <c r="AH85" s="36">
        <f t="shared" si="34"/>
        <v>6.5625000000000003E-2</v>
      </c>
      <c r="AI85" s="17">
        <v>8</v>
      </c>
      <c r="AJ85" s="36">
        <f t="shared" si="27"/>
        <v>7.6190476190476197E-2</v>
      </c>
      <c r="AK85" s="17">
        <v>6</v>
      </c>
      <c r="AL85" s="36">
        <f t="shared" si="35"/>
        <v>1.8749999999999999E-2</v>
      </c>
      <c r="AM85" s="17">
        <v>0</v>
      </c>
      <c r="AN85" s="36">
        <f t="shared" si="28"/>
        <v>0</v>
      </c>
      <c r="AO85" s="17">
        <v>320</v>
      </c>
      <c r="AP85" s="17">
        <v>105</v>
      </c>
    </row>
    <row r="86" spans="1:42" ht="15.75" customHeight="1" x14ac:dyDescent="0.25">
      <c r="A86" s="35">
        <v>2024</v>
      </c>
      <c r="B86" s="35">
        <v>171515</v>
      </c>
      <c r="C86" s="33" t="str">
        <f>VLOOKUP(B86,procv!$A$2:$D$142,4,FALSE)</f>
        <v>Sudeste</v>
      </c>
      <c r="D86" s="33" t="s">
        <v>89</v>
      </c>
      <c r="E86" s="17">
        <v>1</v>
      </c>
      <c r="F86" s="36">
        <f t="shared" si="18"/>
        <v>3.4602076124567475E-3</v>
      </c>
      <c r="G86" s="17">
        <v>0</v>
      </c>
      <c r="H86" s="36">
        <f t="shared" si="19"/>
        <v>0</v>
      </c>
      <c r="I86" s="17">
        <v>3</v>
      </c>
      <c r="J86" s="36">
        <f t="shared" si="20"/>
        <v>1.0380622837370242E-2</v>
      </c>
      <c r="K86" s="17">
        <v>0</v>
      </c>
      <c r="L86" s="36">
        <f t="shared" si="21"/>
        <v>0</v>
      </c>
      <c r="M86" s="17">
        <v>285</v>
      </c>
      <c r="N86" s="36">
        <f t="shared" si="29"/>
        <v>0.98615916955017302</v>
      </c>
      <c r="O86" s="17">
        <v>30</v>
      </c>
      <c r="P86" s="36">
        <f t="shared" si="22"/>
        <v>1</v>
      </c>
      <c r="Q86" s="17">
        <v>5</v>
      </c>
      <c r="R86" s="36">
        <f t="shared" si="30"/>
        <v>1.7301038062283738E-2</v>
      </c>
      <c r="S86" s="17">
        <v>1</v>
      </c>
      <c r="T86" s="36">
        <f t="shared" si="23"/>
        <v>3.3333333333333333E-2</v>
      </c>
      <c r="U86" s="17">
        <v>15</v>
      </c>
      <c r="V86" s="36">
        <f t="shared" si="31"/>
        <v>5.1903114186851208E-2</v>
      </c>
      <c r="W86" s="17">
        <v>2</v>
      </c>
      <c r="X86" s="36">
        <f t="shared" si="24"/>
        <v>6.6666666666666666E-2</v>
      </c>
      <c r="Y86" s="17">
        <v>204</v>
      </c>
      <c r="Z86" s="36">
        <f t="shared" si="32"/>
        <v>0.70588235294117652</v>
      </c>
      <c r="AA86" s="17">
        <v>21</v>
      </c>
      <c r="AB86" s="36">
        <f t="shared" si="25"/>
        <v>0.7</v>
      </c>
      <c r="AC86" s="17">
        <v>40</v>
      </c>
      <c r="AD86" s="36">
        <f t="shared" si="33"/>
        <v>0.13840830449826991</v>
      </c>
      <c r="AE86" s="17">
        <v>5</v>
      </c>
      <c r="AF86" s="36">
        <f t="shared" si="26"/>
        <v>0.16666666666666666</v>
      </c>
      <c r="AG86" s="17">
        <v>19</v>
      </c>
      <c r="AH86" s="36">
        <f t="shared" si="34"/>
        <v>6.5743944636678195E-2</v>
      </c>
      <c r="AI86" s="17">
        <v>1</v>
      </c>
      <c r="AJ86" s="36">
        <f t="shared" si="27"/>
        <v>3.3333333333333333E-2</v>
      </c>
      <c r="AK86" s="17">
        <v>6</v>
      </c>
      <c r="AL86" s="36">
        <f t="shared" si="35"/>
        <v>2.0761245674740483E-2</v>
      </c>
      <c r="AM86" s="17">
        <v>0</v>
      </c>
      <c r="AN86" s="36">
        <f t="shared" si="28"/>
        <v>0</v>
      </c>
      <c r="AO86" s="17">
        <v>289</v>
      </c>
      <c r="AP86" s="17">
        <v>30</v>
      </c>
    </row>
    <row r="87" spans="1:42" ht="15.75" customHeight="1" x14ac:dyDescent="0.25">
      <c r="A87" s="35">
        <v>2024</v>
      </c>
      <c r="B87" s="35">
        <v>171525</v>
      </c>
      <c r="C87" s="33" t="str">
        <f>VLOOKUP(B87,procv!$A$2:$D$142,4,FALSE)</f>
        <v>Sudeste</v>
      </c>
      <c r="D87" s="33" t="s">
        <v>90</v>
      </c>
      <c r="E87" s="17">
        <v>0</v>
      </c>
      <c r="F87" s="36">
        <f t="shared" si="18"/>
        <v>0</v>
      </c>
      <c r="G87" s="17">
        <v>0</v>
      </c>
      <c r="H87" s="36">
        <f t="shared" si="19"/>
        <v>0</v>
      </c>
      <c r="I87" s="17">
        <v>5</v>
      </c>
      <c r="J87" s="36">
        <f t="shared" si="20"/>
        <v>0.10416666666666667</v>
      </c>
      <c r="K87" s="17">
        <v>4</v>
      </c>
      <c r="L87" s="36">
        <f t="shared" si="21"/>
        <v>0.12903225806451613</v>
      </c>
      <c r="M87" s="17">
        <v>43</v>
      </c>
      <c r="N87" s="36">
        <f t="shared" si="29"/>
        <v>0.89583333333333337</v>
      </c>
      <c r="O87" s="17">
        <v>27</v>
      </c>
      <c r="P87" s="36">
        <f t="shared" si="22"/>
        <v>0.87096774193548387</v>
      </c>
      <c r="Q87" s="17">
        <v>0</v>
      </c>
      <c r="R87" s="36">
        <f t="shared" si="30"/>
        <v>0</v>
      </c>
      <c r="S87" s="17">
        <v>0</v>
      </c>
      <c r="T87" s="36">
        <f t="shared" si="23"/>
        <v>0</v>
      </c>
      <c r="U87" s="17">
        <v>1</v>
      </c>
      <c r="V87" s="36">
        <f t="shared" si="31"/>
        <v>2.0833333333333332E-2</v>
      </c>
      <c r="W87" s="17">
        <v>1</v>
      </c>
      <c r="X87" s="36">
        <f t="shared" si="24"/>
        <v>3.2258064516129031E-2</v>
      </c>
      <c r="Y87" s="17">
        <v>42</v>
      </c>
      <c r="Z87" s="36">
        <f t="shared" si="32"/>
        <v>0.875</v>
      </c>
      <c r="AA87" s="17">
        <v>27</v>
      </c>
      <c r="AB87" s="36">
        <f t="shared" si="25"/>
        <v>0.87096774193548387</v>
      </c>
      <c r="AC87" s="17">
        <v>4</v>
      </c>
      <c r="AD87" s="36">
        <f t="shared" si="33"/>
        <v>8.3333333333333329E-2</v>
      </c>
      <c r="AE87" s="17">
        <v>3</v>
      </c>
      <c r="AF87" s="36">
        <f t="shared" si="26"/>
        <v>9.6774193548387094E-2</v>
      </c>
      <c r="AG87" s="17">
        <v>1</v>
      </c>
      <c r="AH87" s="36">
        <f t="shared" si="34"/>
        <v>2.0833333333333332E-2</v>
      </c>
      <c r="AI87" s="17">
        <v>0</v>
      </c>
      <c r="AJ87" s="36">
        <f t="shared" si="27"/>
        <v>0</v>
      </c>
      <c r="AK87" s="17">
        <v>0</v>
      </c>
      <c r="AL87" s="36">
        <f t="shared" si="35"/>
        <v>0</v>
      </c>
      <c r="AM87" s="17">
        <v>0</v>
      </c>
      <c r="AN87" s="36">
        <f t="shared" si="28"/>
        <v>0</v>
      </c>
      <c r="AO87" s="17">
        <v>48</v>
      </c>
      <c r="AP87" s="17">
        <v>31</v>
      </c>
    </row>
    <row r="88" spans="1:42" ht="15.75" customHeight="1" x14ac:dyDescent="0.25">
      <c r="A88" s="35">
        <v>2024</v>
      </c>
      <c r="B88" s="35">
        <v>171550</v>
      </c>
      <c r="C88" s="33" t="str">
        <f>VLOOKUP(B88,procv!$A$2:$D$142,4,FALSE)</f>
        <v>Amor Perfeito</v>
      </c>
      <c r="D88" s="33" t="s">
        <v>91</v>
      </c>
      <c r="E88" s="17">
        <v>1</v>
      </c>
      <c r="F88" s="36">
        <f t="shared" si="18"/>
        <v>5.3763440860215058E-3</v>
      </c>
      <c r="G88" s="17">
        <v>1</v>
      </c>
      <c r="H88" s="36">
        <f t="shared" si="19"/>
        <v>4.7619047619047616E-2</v>
      </c>
      <c r="I88" s="17">
        <v>7</v>
      </c>
      <c r="J88" s="36">
        <f t="shared" si="20"/>
        <v>3.7634408602150539E-2</v>
      </c>
      <c r="K88" s="17">
        <v>1</v>
      </c>
      <c r="L88" s="36">
        <f t="shared" si="21"/>
        <v>4.7619047619047616E-2</v>
      </c>
      <c r="M88" s="17">
        <v>178</v>
      </c>
      <c r="N88" s="36">
        <f t="shared" si="29"/>
        <v>0.956989247311828</v>
      </c>
      <c r="O88" s="17">
        <v>19</v>
      </c>
      <c r="P88" s="36">
        <f t="shared" si="22"/>
        <v>0.90476190476190477</v>
      </c>
      <c r="Q88" s="17">
        <v>0</v>
      </c>
      <c r="R88" s="36">
        <f t="shared" si="30"/>
        <v>0</v>
      </c>
      <c r="S88" s="17">
        <v>0</v>
      </c>
      <c r="T88" s="36">
        <f t="shared" si="23"/>
        <v>0</v>
      </c>
      <c r="U88" s="17">
        <v>6</v>
      </c>
      <c r="V88" s="36">
        <f t="shared" si="31"/>
        <v>3.2258064516129031E-2</v>
      </c>
      <c r="W88" s="17">
        <v>0</v>
      </c>
      <c r="X88" s="36">
        <f t="shared" si="24"/>
        <v>0</v>
      </c>
      <c r="Y88" s="17">
        <v>134</v>
      </c>
      <c r="Z88" s="36">
        <f t="shared" si="32"/>
        <v>0.72043010752688175</v>
      </c>
      <c r="AA88" s="17">
        <v>12</v>
      </c>
      <c r="AB88" s="36">
        <f t="shared" si="25"/>
        <v>0.5714285714285714</v>
      </c>
      <c r="AC88" s="17">
        <v>23</v>
      </c>
      <c r="AD88" s="36">
        <f t="shared" si="33"/>
        <v>0.12365591397849462</v>
      </c>
      <c r="AE88" s="17">
        <v>5</v>
      </c>
      <c r="AF88" s="36">
        <f t="shared" si="26"/>
        <v>0.23809523809523808</v>
      </c>
      <c r="AG88" s="17">
        <v>13</v>
      </c>
      <c r="AH88" s="36">
        <f t="shared" si="34"/>
        <v>6.9892473118279563E-2</v>
      </c>
      <c r="AI88" s="17">
        <v>2</v>
      </c>
      <c r="AJ88" s="36">
        <f t="shared" si="27"/>
        <v>9.5238095238095233E-2</v>
      </c>
      <c r="AK88" s="17">
        <v>10</v>
      </c>
      <c r="AL88" s="36">
        <f t="shared" si="35"/>
        <v>5.3763440860215055E-2</v>
      </c>
      <c r="AM88" s="17">
        <v>2</v>
      </c>
      <c r="AN88" s="36">
        <f t="shared" si="28"/>
        <v>9.5238095238095233E-2</v>
      </c>
      <c r="AO88" s="17">
        <v>186</v>
      </c>
      <c r="AP88" s="17">
        <v>21</v>
      </c>
    </row>
    <row r="89" spans="1:42" ht="15.75" customHeight="1" x14ac:dyDescent="0.25">
      <c r="A89" s="35">
        <v>2024</v>
      </c>
      <c r="B89" s="35">
        <v>172100</v>
      </c>
      <c r="C89" s="33" t="str">
        <f>VLOOKUP(B89,procv!$A$2:$D$142,4,FALSE)</f>
        <v>Capim Dourado</v>
      </c>
      <c r="D89" s="33" t="s">
        <v>92</v>
      </c>
      <c r="E89" s="17">
        <v>224</v>
      </c>
      <c r="F89" s="36">
        <f t="shared" si="18"/>
        <v>1.4097803511863554E-2</v>
      </c>
      <c r="G89" s="17">
        <v>144</v>
      </c>
      <c r="H89" s="36">
        <f t="shared" si="19"/>
        <v>3.7974683544303799E-2</v>
      </c>
      <c r="I89" s="17">
        <v>546</v>
      </c>
      <c r="J89" s="36">
        <f t="shared" si="20"/>
        <v>3.436339606016741E-2</v>
      </c>
      <c r="K89" s="17">
        <v>195</v>
      </c>
      <c r="L89" s="36">
        <f t="shared" si="21"/>
        <v>5.1424050632911396E-2</v>
      </c>
      <c r="M89" s="16">
        <v>15119</v>
      </c>
      <c r="N89" s="36">
        <f t="shared" si="29"/>
        <v>0.95153880042796901</v>
      </c>
      <c r="O89" s="16">
        <v>3453</v>
      </c>
      <c r="P89" s="36">
        <f t="shared" si="22"/>
        <v>0.91060126582278478</v>
      </c>
      <c r="Q89" s="17">
        <v>198</v>
      </c>
      <c r="R89" s="36">
        <f t="shared" si="30"/>
        <v>1.2461451318522249E-2</v>
      </c>
      <c r="S89" s="17">
        <v>61</v>
      </c>
      <c r="T89" s="36">
        <f t="shared" si="23"/>
        <v>1.608649789029536E-2</v>
      </c>
      <c r="U89" s="17">
        <v>632</v>
      </c>
      <c r="V89" s="36">
        <f t="shared" si="31"/>
        <v>3.977594562275788E-2</v>
      </c>
      <c r="W89" s="17">
        <v>147</v>
      </c>
      <c r="X89" s="36">
        <f t="shared" si="24"/>
        <v>3.8765822784810125E-2</v>
      </c>
      <c r="Y89" s="16">
        <v>10797</v>
      </c>
      <c r="Z89" s="36">
        <f t="shared" si="32"/>
        <v>0.67952671659638741</v>
      </c>
      <c r="AA89" s="16">
        <v>2654</v>
      </c>
      <c r="AB89" s="36">
        <f t="shared" si="25"/>
        <v>0.69989451476793252</v>
      </c>
      <c r="AC89" s="16">
        <v>2653</v>
      </c>
      <c r="AD89" s="36">
        <f t="shared" si="33"/>
        <v>0.16697086034363395</v>
      </c>
      <c r="AE89" s="17">
        <v>609</v>
      </c>
      <c r="AF89" s="36">
        <f t="shared" si="26"/>
        <v>0.16060126582278481</v>
      </c>
      <c r="AG89" s="16">
        <v>1288</v>
      </c>
      <c r="AH89" s="36">
        <f t="shared" si="34"/>
        <v>8.1062370193215438E-2</v>
      </c>
      <c r="AI89" s="17">
        <v>234</v>
      </c>
      <c r="AJ89" s="36">
        <f t="shared" si="27"/>
        <v>6.1708860759493674E-2</v>
      </c>
      <c r="AK89" s="17">
        <v>321</v>
      </c>
      <c r="AL89" s="36">
        <f t="shared" si="35"/>
        <v>2.0202655925483037E-2</v>
      </c>
      <c r="AM89" s="17">
        <v>87</v>
      </c>
      <c r="AN89" s="36">
        <f t="shared" si="28"/>
        <v>2.2943037974683545E-2</v>
      </c>
      <c r="AO89" s="16">
        <v>15889</v>
      </c>
      <c r="AP89" s="16">
        <v>3792</v>
      </c>
    </row>
    <row r="90" spans="1:42" ht="15.75" customHeight="1" x14ac:dyDescent="0.25">
      <c r="A90" s="35">
        <v>2024</v>
      </c>
      <c r="B90" s="35">
        <v>171570</v>
      </c>
      <c r="C90" s="33" t="str">
        <f>VLOOKUP(B90,procv!$A$2:$D$142,4,FALSE)</f>
        <v>Cerrado Tocantins Araguaia</v>
      </c>
      <c r="D90" s="33" t="s">
        <v>93</v>
      </c>
      <c r="E90" s="17">
        <v>11</v>
      </c>
      <c r="F90" s="36">
        <f t="shared" si="18"/>
        <v>1.9713261648745518E-2</v>
      </c>
      <c r="G90" s="17">
        <v>4</v>
      </c>
      <c r="H90" s="36">
        <f t="shared" si="19"/>
        <v>3.4782608695652174E-2</v>
      </c>
      <c r="I90" s="17">
        <v>45</v>
      </c>
      <c r="J90" s="36">
        <f t="shared" si="20"/>
        <v>8.0645161290322578E-2</v>
      </c>
      <c r="K90" s="17">
        <v>7</v>
      </c>
      <c r="L90" s="36">
        <f t="shared" si="21"/>
        <v>6.0869565217391307E-2</v>
      </c>
      <c r="M90" s="17">
        <v>502</v>
      </c>
      <c r="N90" s="36">
        <f t="shared" si="29"/>
        <v>0.89964157706093195</v>
      </c>
      <c r="O90" s="17">
        <v>104</v>
      </c>
      <c r="P90" s="36">
        <f t="shared" si="22"/>
        <v>0.90434782608695652</v>
      </c>
      <c r="Q90" s="17">
        <v>7</v>
      </c>
      <c r="R90" s="36">
        <f t="shared" si="30"/>
        <v>1.2544802867383513E-2</v>
      </c>
      <c r="S90" s="17">
        <v>2</v>
      </c>
      <c r="T90" s="36">
        <f t="shared" si="23"/>
        <v>1.7391304347826087E-2</v>
      </c>
      <c r="U90" s="17">
        <v>20</v>
      </c>
      <c r="V90" s="36">
        <f t="shared" si="31"/>
        <v>3.5842293906810034E-2</v>
      </c>
      <c r="W90" s="17">
        <v>1</v>
      </c>
      <c r="X90" s="36">
        <f t="shared" si="24"/>
        <v>8.6956521739130436E-3</v>
      </c>
      <c r="Y90" s="17">
        <v>406</v>
      </c>
      <c r="Z90" s="36">
        <f t="shared" si="32"/>
        <v>0.72759856630824371</v>
      </c>
      <c r="AA90" s="17">
        <v>83</v>
      </c>
      <c r="AB90" s="36">
        <f t="shared" si="25"/>
        <v>0.72173913043478266</v>
      </c>
      <c r="AC90" s="17">
        <v>81</v>
      </c>
      <c r="AD90" s="36">
        <f t="shared" si="33"/>
        <v>0.14516129032258066</v>
      </c>
      <c r="AE90" s="17">
        <v>20</v>
      </c>
      <c r="AF90" s="36">
        <f t="shared" si="26"/>
        <v>0.17391304347826086</v>
      </c>
      <c r="AG90" s="17">
        <v>38</v>
      </c>
      <c r="AH90" s="36">
        <f t="shared" si="34"/>
        <v>6.8100358422939072E-2</v>
      </c>
      <c r="AI90" s="17">
        <v>7</v>
      </c>
      <c r="AJ90" s="36">
        <f t="shared" si="27"/>
        <v>6.0869565217391307E-2</v>
      </c>
      <c r="AK90" s="17">
        <v>6</v>
      </c>
      <c r="AL90" s="36">
        <f t="shared" si="35"/>
        <v>1.0752688172043012E-2</v>
      </c>
      <c r="AM90" s="17">
        <v>2</v>
      </c>
      <c r="AN90" s="36">
        <f t="shared" si="28"/>
        <v>1.7391304347826087E-2</v>
      </c>
      <c r="AO90" s="17">
        <v>558</v>
      </c>
      <c r="AP90" s="17">
        <v>115</v>
      </c>
    </row>
    <row r="91" spans="1:42" ht="15.75" customHeight="1" x14ac:dyDescent="0.25">
      <c r="A91" s="35">
        <v>2024</v>
      </c>
      <c r="B91" s="35">
        <v>171380</v>
      </c>
      <c r="C91" s="33" t="str">
        <f>VLOOKUP(B91,procv!$A$2:$D$142,4,FALSE)</f>
        <v>Bico do Papagaio</v>
      </c>
      <c r="D91" s="33" t="s">
        <v>94</v>
      </c>
      <c r="E91" s="17">
        <v>3</v>
      </c>
      <c r="F91" s="36">
        <f t="shared" si="18"/>
        <v>1.8404907975460124E-2</v>
      </c>
      <c r="G91" s="17">
        <v>2</v>
      </c>
      <c r="H91" s="36">
        <f t="shared" si="19"/>
        <v>2.0618556701030927E-2</v>
      </c>
      <c r="I91" s="17">
        <v>7</v>
      </c>
      <c r="J91" s="36">
        <f t="shared" si="20"/>
        <v>4.2944785276073622E-2</v>
      </c>
      <c r="K91" s="17">
        <v>2</v>
      </c>
      <c r="L91" s="36">
        <f t="shared" si="21"/>
        <v>2.0618556701030927E-2</v>
      </c>
      <c r="M91" s="17">
        <v>153</v>
      </c>
      <c r="N91" s="36">
        <f t="shared" si="29"/>
        <v>0.93865030674846628</v>
      </c>
      <c r="O91" s="17">
        <v>93</v>
      </c>
      <c r="P91" s="36">
        <f t="shared" si="22"/>
        <v>0.95876288659793818</v>
      </c>
      <c r="Q91" s="17">
        <v>1</v>
      </c>
      <c r="R91" s="36">
        <f t="shared" si="30"/>
        <v>6.1349693251533744E-3</v>
      </c>
      <c r="S91" s="17">
        <v>1</v>
      </c>
      <c r="T91" s="36">
        <f t="shared" si="23"/>
        <v>1.0309278350515464E-2</v>
      </c>
      <c r="U91" s="17">
        <v>6</v>
      </c>
      <c r="V91" s="36">
        <f t="shared" si="31"/>
        <v>3.6809815950920248E-2</v>
      </c>
      <c r="W91" s="17">
        <v>5</v>
      </c>
      <c r="X91" s="36">
        <f t="shared" si="24"/>
        <v>5.1546391752577317E-2</v>
      </c>
      <c r="Y91" s="17">
        <v>108</v>
      </c>
      <c r="Z91" s="36">
        <f t="shared" si="32"/>
        <v>0.66257668711656437</v>
      </c>
      <c r="AA91" s="17">
        <v>66</v>
      </c>
      <c r="AB91" s="36">
        <f t="shared" si="25"/>
        <v>0.68041237113402064</v>
      </c>
      <c r="AC91" s="17">
        <v>30</v>
      </c>
      <c r="AD91" s="36">
        <f t="shared" si="33"/>
        <v>0.18404907975460122</v>
      </c>
      <c r="AE91" s="17">
        <v>19</v>
      </c>
      <c r="AF91" s="36">
        <f t="shared" si="26"/>
        <v>0.19587628865979381</v>
      </c>
      <c r="AG91" s="17">
        <v>15</v>
      </c>
      <c r="AH91" s="36">
        <f t="shared" si="34"/>
        <v>9.202453987730061E-2</v>
      </c>
      <c r="AI91" s="17">
        <v>5</v>
      </c>
      <c r="AJ91" s="36">
        <f t="shared" si="27"/>
        <v>5.1546391752577317E-2</v>
      </c>
      <c r="AK91" s="17">
        <v>3</v>
      </c>
      <c r="AL91" s="36">
        <f t="shared" si="35"/>
        <v>1.8404907975460124E-2</v>
      </c>
      <c r="AM91" s="17">
        <v>1</v>
      </c>
      <c r="AN91" s="36">
        <f t="shared" si="28"/>
        <v>1.0309278350515464E-2</v>
      </c>
      <c r="AO91" s="17">
        <v>163</v>
      </c>
      <c r="AP91" s="17">
        <v>97</v>
      </c>
    </row>
    <row r="92" spans="1:42" ht="15.75" customHeight="1" x14ac:dyDescent="0.25">
      <c r="A92" s="35">
        <v>2024</v>
      </c>
      <c r="B92" s="35">
        <v>171575</v>
      </c>
      <c r="C92" s="33" t="str">
        <f>VLOOKUP(B92,procv!$A$2:$D$142,4,FALSE)</f>
        <v>Ilha do Bananal</v>
      </c>
      <c r="D92" s="33" t="s">
        <v>95</v>
      </c>
      <c r="E92" s="17">
        <v>8</v>
      </c>
      <c r="F92" s="36">
        <f t="shared" si="18"/>
        <v>9.4562647754137114E-3</v>
      </c>
      <c r="G92" s="17">
        <v>1</v>
      </c>
      <c r="H92" s="36">
        <f t="shared" si="19"/>
        <v>1.282051282051282E-2</v>
      </c>
      <c r="I92" s="17">
        <v>23</v>
      </c>
      <c r="J92" s="36">
        <f t="shared" si="20"/>
        <v>2.7186761229314422E-2</v>
      </c>
      <c r="K92" s="17">
        <v>3</v>
      </c>
      <c r="L92" s="36">
        <f t="shared" si="21"/>
        <v>3.8461538461538464E-2</v>
      </c>
      <c r="M92" s="17">
        <v>815</v>
      </c>
      <c r="N92" s="36">
        <f t="shared" si="29"/>
        <v>0.96335697399527187</v>
      </c>
      <c r="O92" s="17">
        <v>74</v>
      </c>
      <c r="P92" s="36">
        <f t="shared" si="22"/>
        <v>0.94871794871794868</v>
      </c>
      <c r="Q92" s="17">
        <v>13</v>
      </c>
      <c r="R92" s="36">
        <f t="shared" si="30"/>
        <v>1.5366430260047281E-2</v>
      </c>
      <c r="S92" s="17">
        <v>0</v>
      </c>
      <c r="T92" s="36">
        <f t="shared" si="23"/>
        <v>0</v>
      </c>
      <c r="U92" s="17">
        <v>22</v>
      </c>
      <c r="V92" s="36">
        <f t="shared" si="31"/>
        <v>2.6004728132387706E-2</v>
      </c>
      <c r="W92" s="17">
        <v>1</v>
      </c>
      <c r="X92" s="36">
        <f t="shared" si="24"/>
        <v>1.282051282051282E-2</v>
      </c>
      <c r="Y92" s="17">
        <v>569</v>
      </c>
      <c r="Z92" s="36">
        <f t="shared" si="32"/>
        <v>0.67257683215130026</v>
      </c>
      <c r="AA92" s="17">
        <v>52</v>
      </c>
      <c r="AB92" s="36">
        <f t="shared" si="25"/>
        <v>0.66666666666666663</v>
      </c>
      <c r="AC92" s="17">
        <v>145</v>
      </c>
      <c r="AD92" s="36">
        <f t="shared" si="33"/>
        <v>0.17139479905437352</v>
      </c>
      <c r="AE92" s="17">
        <v>18</v>
      </c>
      <c r="AF92" s="36">
        <f t="shared" si="26"/>
        <v>0.23076923076923078</v>
      </c>
      <c r="AG92" s="17">
        <v>75</v>
      </c>
      <c r="AH92" s="36">
        <f t="shared" si="34"/>
        <v>8.8652482269503549E-2</v>
      </c>
      <c r="AI92" s="17">
        <v>4</v>
      </c>
      <c r="AJ92" s="36">
        <f t="shared" si="27"/>
        <v>5.128205128205128E-2</v>
      </c>
      <c r="AK92" s="17">
        <v>22</v>
      </c>
      <c r="AL92" s="36">
        <f t="shared" si="35"/>
        <v>2.6004728132387706E-2</v>
      </c>
      <c r="AM92" s="17">
        <v>3</v>
      </c>
      <c r="AN92" s="36">
        <f t="shared" si="28"/>
        <v>3.8461538461538464E-2</v>
      </c>
      <c r="AO92" s="17">
        <v>846</v>
      </c>
      <c r="AP92" s="17">
        <v>78</v>
      </c>
    </row>
    <row r="93" spans="1:42" ht="15.75" customHeight="1" x14ac:dyDescent="0.25">
      <c r="A93" s="35">
        <v>2024</v>
      </c>
      <c r="B93" s="35">
        <v>171610</v>
      </c>
      <c r="C93" s="33" t="str">
        <f>VLOOKUP(B93,procv!$A$2:$D$142,4,FALSE)</f>
        <v>Cantão</v>
      </c>
      <c r="D93" s="33" t="s">
        <v>96</v>
      </c>
      <c r="E93" s="17">
        <v>9</v>
      </c>
      <c r="F93" s="36">
        <f t="shared" si="18"/>
        <v>3.3519553072625698E-3</v>
      </c>
      <c r="G93" s="17">
        <v>1</v>
      </c>
      <c r="H93" s="36">
        <f t="shared" si="19"/>
        <v>2.9069767441860465E-3</v>
      </c>
      <c r="I93" s="17">
        <v>57</v>
      </c>
      <c r="J93" s="36">
        <f t="shared" si="20"/>
        <v>2.1229050279329607E-2</v>
      </c>
      <c r="K93" s="17">
        <v>8</v>
      </c>
      <c r="L93" s="36">
        <f t="shared" si="21"/>
        <v>2.3255813953488372E-2</v>
      </c>
      <c r="M93" s="16">
        <v>2619</v>
      </c>
      <c r="N93" s="36">
        <f t="shared" si="29"/>
        <v>0.97541899441340785</v>
      </c>
      <c r="O93" s="17">
        <v>335</v>
      </c>
      <c r="P93" s="36">
        <f t="shared" si="22"/>
        <v>0.97383720930232553</v>
      </c>
      <c r="Q93" s="17">
        <v>28</v>
      </c>
      <c r="R93" s="36">
        <f t="shared" si="30"/>
        <v>1.0428305400372439E-2</v>
      </c>
      <c r="S93" s="17">
        <v>6</v>
      </c>
      <c r="T93" s="36">
        <f t="shared" si="23"/>
        <v>1.7441860465116279E-2</v>
      </c>
      <c r="U93" s="17">
        <v>112</v>
      </c>
      <c r="V93" s="36">
        <f t="shared" si="31"/>
        <v>4.1713221601489756E-2</v>
      </c>
      <c r="W93" s="17">
        <v>19</v>
      </c>
      <c r="X93" s="36">
        <f t="shared" si="24"/>
        <v>5.5232558139534885E-2</v>
      </c>
      <c r="Y93" s="16">
        <v>1760</v>
      </c>
      <c r="Z93" s="36">
        <f t="shared" si="32"/>
        <v>0.65549348230912474</v>
      </c>
      <c r="AA93" s="17">
        <v>238</v>
      </c>
      <c r="AB93" s="36">
        <f t="shared" si="25"/>
        <v>0.69186046511627908</v>
      </c>
      <c r="AC93" s="17">
        <v>458</v>
      </c>
      <c r="AD93" s="36">
        <f t="shared" si="33"/>
        <v>0.17057728119180632</v>
      </c>
      <c r="AE93" s="17">
        <v>44</v>
      </c>
      <c r="AF93" s="36">
        <f t="shared" si="26"/>
        <v>0.12790697674418605</v>
      </c>
      <c r="AG93" s="17">
        <v>266</v>
      </c>
      <c r="AH93" s="36">
        <f t="shared" si="34"/>
        <v>9.9068901303538182E-2</v>
      </c>
      <c r="AI93" s="17">
        <v>33</v>
      </c>
      <c r="AJ93" s="36">
        <f t="shared" si="27"/>
        <v>9.5930232558139539E-2</v>
      </c>
      <c r="AK93" s="17">
        <v>61</v>
      </c>
      <c r="AL93" s="36">
        <f t="shared" si="35"/>
        <v>2.2718808193668529E-2</v>
      </c>
      <c r="AM93" s="17">
        <v>4</v>
      </c>
      <c r="AN93" s="36">
        <f t="shared" si="28"/>
        <v>1.1627906976744186E-2</v>
      </c>
      <c r="AO93" s="16">
        <v>2685</v>
      </c>
      <c r="AP93" s="17">
        <v>344</v>
      </c>
    </row>
    <row r="94" spans="1:42" ht="15.75" customHeight="1" x14ac:dyDescent="0.25">
      <c r="A94" s="35">
        <v>2024</v>
      </c>
      <c r="B94" s="35">
        <v>171620</v>
      </c>
      <c r="C94" s="33" t="str">
        <f>VLOOKUP(B94,procv!$A$2:$D$142,4,FALSE)</f>
        <v>Sudeste</v>
      </c>
      <c r="D94" s="33" t="s">
        <v>97</v>
      </c>
      <c r="E94" s="17">
        <v>29</v>
      </c>
      <c r="F94" s="36">
        <f t="shared" si="18"/>
        <v>3.4939759036144581E-2</v>
      </c>
      <c r="G94" s="17">
        <v>5</v>
      </c>
      <c r="H94" s="36">
        <f t="shared" si="19"/>
        <v>1.7482517482517484E-2</v>
      </c>
      <c r="I94" s="17">
        <v>56</v>
      </c>
      <c r="J94" s="36">
        <f t="shared" si="20"/>
        <v>6.746987951807229E-2</v>
      </c>
      <c r="K94" s="17">
        <v>20</v>
      </c>
      <c r="L94" s="36">
        <f t="shared" si="21"/>
        <v>6.9930069930069935E-2</v>
      </c>
      <c r="M94" s="17">
        <v>745</v>
      </c>
      <c r="N94" s="36">
        <f t="shared" si="29"/>
        <v>0.89759036144578308</v>
      </c>
      <c r="O94" s="17">
        <v>261</v>
      </c>
      <c r="P94" s="36">
        <f t="shared" si="22"/>
        <v>0.91258741258741261</v>
      </c>
      <c r="Q94" s="17">
        <v>5</v>
      </c>
      <c r="R94" s="36">
        <f t="shared" si="30"/>
        <v>6.024096385542169E-3</v>
      </c>
      <c r="S94" s="17">
        <v>4</v>
      </c>
      <c r="T94" s="36">
        <f t="shared" si="23"/>
        <v>1.3986013986013986E-2</v>
      </c>
      <c r="U94" s="17">
        <v>18</v>
      </c>
      <c r="V94" s="36">
        <f t="shared" si="31"/>
        <v>2.1686746987951807E-2</v>
      </c>
      <c r="W94" s="17">
        <v>9</v>
      </c>
      <c r="X94" s="36">
        <f t="shared" si="24"/>
        <v>3.1468531468531472E-2</v>
      </c>
      <c r="Y94" s="17">
        <v>570</v>
      </c>
      <c r="Z94" s="36">
        <f t="shared" si="32"/>
        <v>0.68674698795180722</v>
      </c>
      <c r="AA94" s="17">
        <v>196</v>
      </c>
      <c r="AB94" s="36">
        <f t="shared" si="25"/>
        <v>0.68531468531468531</v>
      </c>
      <c r="AC94" s="17">
        <v>143</v>
      </c>
      <c r="AD94" s="36">
        <f t="shared" si="33"/>
        <v>0.17228915662650601</v>
      </c>
      <c r="AE94" s="17">
        <v>47</v>
      </c>
      <c r="AF94" s="36">
        <f t="shared" si="26"/>
        <v>0.16433566433566432</v>
      </c>
      <c r="AG94" s="17">
        <v>70</v>
      </c>
      <c r="AH94" s="36">
        <f t="shared" si="34"/>
        <v>8.4337349397590355E-2</v>
      </c>
      <c r="AI94" s="17">
        <v>23</v>
      </c>
      <c r="AJ94" s="36">
        <f t="shared" si="27"/>
        <v>8.0419580419580416E-2</v>
      </c>
      <c r="AK94" s="17">
        <v>24</v>
      </c>
      <c r="AL94" s="36">
        <f t="shared" si="35"/>
        <v>2.891566265060241E-2</v>
      </c>
      <c r="AM94" s="17">
        <v>7</v>
      </c>
      <c r="AN94" s="36">
        <f t="shared" si="28"/>
        <v>2.4475524475524476E-2</v>
      </c>
      <c r="AO94" s="17">
        <v>830</v>
      </c>
      <c r="AP94" s="17">
        <v>286</v>
      </c>
    </row>
    <row r="95" spans="1:42" ht="15.75" customHeight="1" x14ac:dyDescent="0.25">
      <c r="A95" s="35">
        <v>2024</v>
      </c>
      <c r="B95" s="35">
        <v>171630</v>
      </c>
      <c r="C95" s="33" t="str">
        <f>VLOOKUP(B95,procv!$A$2:$D$142,4,FALSE)</f>
        <v>Médio Norte Araguaia</v>
      </c>
      <c r="D95" s="33" t="s">
        <v>98</v>
      </c>
      <c r="E95" s="17">
        <v>4</v>
      </c>
      <c r="F95" s="36">
        <f t="shared" si="18"/>
        <v>9.2592592592592587E-3</v>
      </c>
      <c r="G95" s="17">
        <v>1</v>
      </c>
      <c r="H95" s="36">
        <f t="shared" si="19"/>
        <v>1.4285714285714285E-2</v>
      </c>
      <c r="I95" s="17">
        <v>18</v>
      </c>
      <c r="J95" s="36">
        <f t="shared" si="20"/>
        <v>4.1666666666666664E-2</v>
      </c>
      <c r="K95" s="17">
        <v>3</v>
      </c>
      <c r="L95" s="36">
        <f t="shared" si="21"/>
        <v>4.2857142857142858E-2</v>
      </c>
      <c r="M95" s="17">
        <v>410</v>
      </c>
      <c r="N95" s="36">
        <f t="shared" si="29"/>
        <v>0.94907407407407407</v>
      </c>
      <c r="O95" s="17">
        <v>66</v>
      </c>
      <c r="P95" s="36">
        <f t="shared" si="22"/>
        <v>0.94285714285714284</v>
      </c>
      <c r="Q95" s="17">
        <v>3</v>
      </c>
      <c r="R95" s="36">
        <f t="shared" si="30"/>
        <v>6.9444444444444441E-3</v>
      </c>
      <c r="S95" s="17">
        <v>2</v>
      </c>
      <c r="T95" s="36">
        <f t="shared" si="23"/>
        <v>2.8571428571428571E-2</v>
      </c>
      <c r="U95" s="17">
        <v>13</v>
      </c>
      <c r="V95" s="36">
        <f t="shared" si="31"/>
        <v>3.0092592592592591E-2</v>
      </c>
      <c r="W95" s="17">
        <v>1</v>
      </c>
      <c r="X95" s="36">
        <f t="shared" si="24"/>
        <v>1.4285714285714285E-2</v>
      </c>
      <c r="Y95" s="17">
        <v>301</v>
      </c>
      <c r="Z95" s="36">
        <f t="shared" si="32"/>
        <v>0.6967592592592593</v>
      </c>
      <c r="AA95" s="17">
        <v>46</v>
      </c>
      <c r="AB95" s="36">
        <f t="shared" si="25"/>
        <v>0.65714285714285714</v>
      </c>
      <c r="AC95" s="17">
        <v>76</v>
      </c>
      <c r="AD95" s="36">
        <f t="shared" si="33"/>
        <v>0.17592592592592593</v>
      </c>
      <c r="AE95" s="17">
        <v>16</v>
      </c>
      <c r="AF95" s="36">
        <f t="shared" si="26"/>
        <v>0.22857142857142856</v>
      </c>
      <c r="AG95" s="17">
        <v>28</v>
      </c>
      <c r="AH95" s="36">
        <f t="shared" si="34"/>
        <v>6.4814814814814811E-2</v>
      </c>
      <c r="AI95" s="17">
        <v>2</v>
      </c>
      <c r="AJ95" s="36">
        <f t="shared" si="27"/>
        <v>2.8571428571428571E-2</v>
      </c>
      <c r="AK95" s="17">
        <v>11</v>
      </c>
      <c r="AL95" s="36">
        <f t="shared" si="35"/>
        <v>2.5462962962962962E-2</v>
      </c>
      <c r="AM95" s="17">
        <v>3</v>
      </c>
      <c r="AN95" s="36">
        <f t="shared" si="28"/>
        <v>4.2857142857142858E-2</v>
      </c>
      <c r="AO95" s="17">
        <v>432</v>
      </c>
      <c r="AP95" s="17">
        <v>70</v>
      </c>
    </row>
    <row r="96" spans="1:42" ht="15.75" customHeight="1" x14ac:dyDescent="0.25">
      <c r="A96" s="35">
        <v>2024</v>
      </c>
      <c r="B96" s="35">
        <v>171650</v>
      </c>
      <c r="C96" s="33" t="str">
        <f>VLOOKUP(B96,procv!$A$2:$D$142,4,FALSE)</f>
        <v>Cerrado Tocantins Araguaia</v>
      </c>
      <c r="D96" s="33" t="s">
        <v>99</v>
      </c>
      <c r="E96" s="17">
        <v>19</v>
      </c>
      <c r="F96" s="36">
        <f t="shared" si="18"/>
        <v>1.2467191601049869E-2</v>
      </c>
      <c r="G96" s="17">
        <v>3</v>
      </c>
      <c r="H96" s="36">
        <f t="shared" si="19"/>
        <v>1.9230769230769232E-2</v>
      </c>
      <c r="I96" s="17">
        <v>64</v>
      </c>
      <c r="J96" s="36">
        <f t="shared" si="20"/>
        <v>4.1994750656167978E-2</v>
      </c>
      <c r="K96" s="17">
        <v>8</v>
      </c>
      <c r="L96" s="36">
        <f t="shared" si="21"/>
        <v>5.128205128205128E-2</v>
      </c>
      <c r="M96" s="16">
        <v>1441</v>
      </c>
      <c r="N96" s="36">
        <f t="shared" si="29"/>
        <v>0.9455380577427821</v>
      </c>
      <c r="O96" s="17">
        <v>145</v>
      </c>
      <c r="P96" s="36">
        <f t="shared" si="22"/>
        <v>0.92948717948717952</v>
      </c>
      <c r="Q96" s="17">
        <v>13</v>
      </c>
      <c r="R96" s="36">
        <f t="shared" si="30"/>
        <v>8.5301837270341206E-3</v>
      </c>
      <c r="S96" s="17">
        <v>2</v>
      </c>
      <c r="T96" s="36">
        <f t="shared" si="23"/>
        <v>1.282051282051282E-2</v>
      </c>
      <c r="U96" s="17">
        <v>37</v>
      </c>
      <c r="V96" s="36">
        <f t="shared" si="31"/>
        <v>2.4278215223097113E-2</v>
      </c>
      <c r="W96" s="17">
        <v>5</v>
      </c>
      <c r="X96" s="36">
        <f t="shared" si="24"/>
        <v>3.2051282051282048E-2</v>
      </c>
      <c r="Y96" s="16">
        <v>1041</v>
      </c>
      <c r="Z96" s="36">
        <f t="shared" si="32"/>
        <v>0.68307086614173229</v>
      </c>
      <c r="AA96" s="17">
        <v>104</v>
      </c>
      <c r="AB96" s="36">
        <f t="shared" si="25"/>
        <v>0.66666666666666663</v>
      </c>
      <c r="AC96" s="17">
        <v>269</v>
      </c>
      <c r="AD96" s="36">
        <f t="shared" si="33"/>
        <v>0.17650918635170604</v>
      </c>
      <c r="AE96" s="17">
        <v>24</v>
      </c>
      <c r="AF96" s="36">
        <f t="shared" si="26"/>
        <v>0.15384615384615385</v>
      </c>
      <c r="AG96" s="17">
        <v>135</v>
      </c>
      <c r="AH96" s="36">
        <f t="shared" si="34"/>
        <v>8.8582677165354326E-2</v>
      </c>
      <c r="AI96" s="17">
        <v>19</v>
      </c>
      <c r="AJ96" s="36">
        <f t="shared" si="27"/>
        <v>0.12179487179487179</v>
      </c>
      <c r="AK96" s="17">
        <v>29</v>
      </c>
      <c r="AL96" s="36">
        <f t="shared" si="35"/>
        <v>1.9028871391076115E-2</v>
      </c>
      <c r="AM96" s="17">
        <v>2</v>
      </c>
      <c r="AN96" s="36">
        <f t="shared" si="28"/>
        <v>1.282051282051282E-2</v>
      </c>
      <c r="AO96" s="16">
        <v>1524</v>
      </c>
      <c r="AP96" s="17">
        <v>156</v>
      </c>
    </row>
    <row r="97" spans="1:42" ht="15.75" customHeight="1" x14ac:dyDescent="0.25">
      <c r="A97" s="35">
        <v>2024</v>
      </c>
      <c r="B97" s="35">
        <v>171660</v>
      </c>
      <c r="C97" s="33" t="str">
        <f>VLOOKUP(B97,procv!$A$2:$D$142,4,FALSE)</f>
        <v>Ilha do Bananal</v>
      </c>
      <c r="D97" s="33" t="s">
        <v>100</v>
      </c>
      <c r="E97" s="17">
        <v>4</v>
      </c>
      <c r="F97" s="36">
        <f t="shared" si="18"/>
        <v>6.2111801242236021E-3</v>
      </c>
      <c r="G97" s="17">
        <v>0</v>
      </c>
      <c r="H97" s="36">
        <f t="shared" si="19"/>
        <v>0</v>
      </c>
      <c r="I97" s="17">
        <v>20</v>
      </c>
      <c r="J97" s="36">
        <f t="shared" si="20"/>
        <v>3.1055900621118012E-2</v>
      </c>
      <c r="K97" s="17">
        <v>5</v>
      </c>
      <c r="L97" s="36">
        <f t="shared" si="21"/>
        <v>4.4247787610619468E-2</v>
      </c>
      <c r="M97" s="17">
        <v>620</v>
      </c>
      <c r="N97" s="36">
        <f t="shared" si="29"/>
        <v>0.96273291925465843</v>
      </c>
      <c r="O97" s="17">
        <v>108</v>
      </c>
      <c r="P97" s="36">
        <f t="shared" si="22"/>
        <v>0.95575221238938057</v>
      </c>
      <c r="Q97" s="17">
        <v>3</v>
      </c>
      <c r="R97" s="36">
        <f t="shared" si="30"/>
        <v>4.658385093167702E-3</v>
      </c>
      <c r="S97" s="17">
        <v>0</v>
      </c>
      <c r="T97" s="36">
        <f t="shared" si="23"/>
        <v>0</v>
      </c>
      <c r="U97" s="17">
        <v>18</v>
      </c>
      <c r="V97" s="36">
        <f t="shared" si="31"/>
        <v>2.7950310559006212E-2</v>
      </c>
      <c r="W97" s="17">
        <v>1</v>
      </c>
      <c r="X97" s="36">
        <f t="shared" si="24"/>
        <v>8.8495575221238937E-3</v>
      </c>
      <c r="Y97" s="17">
        <v>433</v>
      </c>
      <c r="Z97" s="36">
        <f t="shared" si="32"/>
        <v>0.67236024844720499</v>
      </c>
      <c r="AA97" s="17">
        <v>82</v>
      </c>
      <c r="AB97" s="36">
        <f t="shared" si="25"/>
        <v>0.72566371681415931</v>
      </c>
      <c r="AC97" s="17">
        <v>108</v>
      </c>
      <c r="AD97" s="36">
        <f t="shared" si="33"/>
        <v>0.16770186335403728</v>
      </c>
      <c r="AE97" s="17">
        <v>15</v>
      </c>
      <c r="AF97" s="36">
        <f t="shared" si="26"/>
        <v>0.13274336283185842</v>
      </c>
      <c r="AG97" s="17">
        <v>60</v>
      </c>
      <c r="AH97" s="36">
        <f t="shared" si="34"/>
        <v>9.3167701863354033E-2</v>
      </c>
      <c r="AI97" s="17">
        <v>12</v>
      </c>
      <c r="AJ97" s="36">
        <f t="shared" si="27"/>
        <v>0.10619469026548672</v>
      </c>
      <c r="AK97" s="17">
        <v>22</v>
      </c>
      <c r="AL97" s="36">
        <f t="shared" si="35"/>
        <v>3.4161490683229816E-2</v>
      </c>
      <c r="AM97" s="17">
        <v>3</v>
      </c>
      <c r="AN97" s="36">
        <f t="shared" si="28"/>
        <v>2.6548672566371681E-2</v>
      </c>
      <c r="AO97" s="17">
        <v>644</v>
      </c>
      <c r="AP97" s="17">
        <v>113</v>
      </c>
    </row>
    <row r="98" spans="1:42" ht="15.75" customHeight="1" x14ac:dyDescent="0.25">
      <c r="A98" s="35">
        <v>2024</v>
      </c>
      <c r="B98" s="35">
        <v>171665</v>
      </c>
      <c r="C98" s="33" t="str">
        <f>VLOOKUP(B98,procv!$A$2:$D$142,4,FALSE)</f>
        <v>Cerrado Tocantins Araguaia</v>
      </c>
      <c r="D98" s="33" t="s">
        <v>101</v>
      </c>
      <c r="E98" s="17">
        <v>3</v>
      </c>
      <c r="F98" s="36">
        <f t="shared" si="18"/>
        <v>6.1855670103092781E-3</v>
      </c>
      <c r="G98" s="17">
        <v>0</v>
      </c>
      <c r="H98" s="36">
        <f t="shared" si="19"/>
        <v>0</v>
      </c>
      <c r="I98" s="17">
        <v>15</v>
      </c>
      <c r="J98" s="36">
        <f t="shared" si="20"/>
        <v>3.0927835051546393E-2</v>
      </c>
      <c r="K98" s="17">
        <v>3</v>
      </c>
      <c r="L98" s="36">
        <f t="shared" si="21"/>
        <v>3.9473684210526314E-2</v>
      </c>
      <c r="M98" s="17">
        <v>467</v>
      </c>
      <c r="N98" s="36">
        <f t="shared" si="29"/>
        <v>0.96288659793814435</v>
      </c>
      <c r="O98" s="17">
        <v>73</v>
      </c>
      <c r="P98" s="36">
        <f t="shared" si="22"/>
        <v>0.96052631578947367</v>
      </c>
      <c r="Q98" s="17">
        <v>7</v>
      </c>
      <c r="R98" s="36">
        <f t="shared" si="30"/>
        <v>1.443298969072165E-2</v>
      </c>
      <c r="S98" s="17">
        <v>0</v>
      </c>
      <c r="T98" s="36">
        <f t="shared" si="23"/>
        <v>0</v>
      </c>
      <c r="U98" s="17">
        <v>16</v>
      </c>
      <c r="V98" s="36">
        <f t="shared" si="31"/>
        <v>3.2989690721649485E-2</v>
      </c>
      <c r="W98" s="17">
        <v>3</v>
      </c>
      <c r="X98" s="36">
        <f t="shared" si="24"/>
        <v>3.9473684210526314E-2</v>
      </c>
      <c r="Y98" s="17">
        <v>315</v>
      </c>
      <c r="Z98" s="36">
        <f t="shared" si="32"/>
        <v>0.64948453608247425</v>
      </c>
      <c r="AA98" s="17">
        <v>51</v>
      </c>
      <c r="AB98" s="36">
        <f t="shared" si="25"/>
        <v>0.67105263157894735</v>
      </c>
      <c r="AC98" s="17">
        <v>93</v>
      </c>
      <c r="AD98" s="36">
        <f t="shared" si="33"/>
        <v>0.19175257731958764</v>
      </c>
      <c r="AE98" s="17">
        <v>14</v>
      </c>
      <c r="AF98" s="36">
        <f t="shared" si="26"/>
        <v>0.18421052631578946</v>
      </c>
      <c r="AG98" s="17">
        <v>46</v>
      </c>
      <c r="AH98" s="36">
        <f t="shared" si="34"/>
        <v>9.4845360824742264E-2</v>
      </c>
      <c r="AI98" s="17">
        <v>6</v>
      </c>
      <c r="AJ98" s="36">
        <f t="shared" si="27"/>
        <v>7.8947368421052627E-2</v>
      </c>
      <c r="AK98" s="17">
        <v>8</v>
      </c>
      <c r="AL98" s="36">
        <f t="shared" si="35"/>
        <v>1.6494845360824743E-2</v>
      </c>
      <c r="AM98" s="17">
        <v>2</v>
      </c>
      <c r="AN98" s="36">
        <f t="shared" si="28"/>
        <v>2.6315789473684209E-2</v>
      </c>
      <c r="AO98" s="17">
        <v>485</v>
      </c>
      <c r="AP98" s="17">
        <v>76</v>
      </c>
    </row>
    <row r="99" spans="1:42" ht="15.75" customHeight="1" x14ac:dyDescent="0.25">
      <c r="A99" s="35">
        <v>2024</v>
      </c>
      <c r="B99" s="35">
        <v>171700</v>
      </c>
      <c r="C99" s="33" t="str">
        <f>VLOOKUP(B99,procv!$A$2:$D$142,4,FALSE)</f>
        <v>Amor Perfeito</v>
      </c>
      <c r="D99" s="33" t="s">
        <v>102</v>
      </c>
      <c r="E99" s="17">
        <v>6</v>
      </c>
      <c r="F99" s="36">
        <f t="shared" si="18"/>
        <v>1.1131725417439703E-2</v>
      </c>
      <c r="G99" s="17">
        <v>1</v>
      </c>
      <c r="H99" s="36">
        <f t="shared" si="19"/>
        <v>1.0638297872340425E-2</v>
      </c>
      <c r="I99" s="17">
        <v>14</v>
      </c>
      <c r="J99" s="36">
        <f t="shared" si="20"/>
        <v>2.5974025974025976E-2</v>
      </c>
      <c r="K99" s="17">
        <v>4</v>
      </c>
      <c r="L99" s="36">
        <f t="shared" si="21"/>
        <v>4.2553191489361701E-2</v>
      </c>
      <c r="M99" s="17">
        <v>519</v>
      </c>
      <c r="N99" s="36">
        <f t="shared" si="29"/>
        <v>0.96289424860853434</v>
      </c>
      <c r="O99" s="17">
        <v>89</v>
      </c>
      <c r="P99" s="36">
        <f t="shared" si="22"/>
        <v>0.94680851063829785</v>
      </c>
      <c r="Q99" s="17">
        <v>4</v>
      </c>
      <c r="R99" s="36">
        <f t="shared" si="30"/>
        <v>7.4211502782931356E-3</v>
      </c>
      <c r="S99" s="17">
        <v>2</v>
      </c>
      <c r="T99" s="36">
        <f t="shared" si="23"/>
        <v>2.1276595744680851E-2</v>
      </c>
      <c r="U99" s="17">
        <v>18</v>
      </c>
      <c r="V99" s="36">
        <f t="shared" si="31"/>
        <v>3.3395176252319109E-2</v>
      </c>
      <c r="W99" s="17">
        <v>3</v>
      </c>
      <c r="X99" s="36">
        <f t="shared" si="24"/>
        <v>3.1914893617021274E-2</v>
      </c>
      <c r="Y99" s="17">
        <v>369</v>
      </c>
      <c r="Z99" s="36">
        <f t="shared" si="32"/>
        <v>0.6846011131725418</v>
      </c>
      <c r="AA99" s="17">
        <v>59</v>
      </c>
      <c r="AB99" s="36">
        <f t="shared" si="25"/>
        <v>0.62765957446808507</v>
      </c>
      <c r="AC99" s="17">
        <v>89</v>
      </c>
      <c r="AD99" s="36">
        <f t="shared" si="33"/>
        <v>0.16512059369202226</v>
      </c>
      <c r="AE99" s="17">
        <v>16</v>
      </c>
      <c r="AF99" s="36">
        <f t="shared" si="26"/>
        <v>0.1702127659574468</v>
      </c>
      <c r="AG99" s="17">
        <v>47</v>
      </c>
      <c r="AH99" s="36">
        <f t="shared" si="34"/>
        <v>8.7198515769944335E-2</v>
      </c>
      <c r="AI99" s="17">
        <v>12</v>
      </c>
      <c r="AJ99" s="36">
        <f t="shared" si="27"/>
        <v>0.1276595744680851</v>
      </c>
      <c r="AK99" s="17">
        <v>12</v>
      </c>
      <c r="AL99" s="36">
        <f t="shared" si="35"/>
        <v>2.2263450834879406E-2</v>
      </c>
      <c r="AM99" s="17">
        <v>2</v>
      </c>
      <c r="AN99" s="36">
        <f t="shared" si="28"/>
        <v>2.1276595744680851E-2</v>
      </c>
      <c r="AO99" s="17">
        <v>539</v>
      </c>
      <c r="AP99" s="17">
        <v>94</v>
      </c>
    </row>
    <row r="100" spans="1:42" ht="15.75" customHeight="1" x14ac:dyDescent="0.25">
      <c r="A100" s="35">
        <v>2024</v>
      </c>
      <c r="B100" s="35">
        <v>171720</v>
      </c>
      <c r="C100" s="33" t="str">
        <f>VLOOKUP(B100,procv!$A$2:$D$142,4,FALSE)</f>
        <v>Médio Norte Araguaia</v>
      </c>
      <c r="D100" s="33" t="s">
        <v>103</v>
      </c>
      <c r="E100" s="17">
        <v>3</v>
      </c>
      <c r="F100" s="36">
        <f t="shared" si="18"/>
        <v>1.2500000000000001E-2</v>
      </c>
      <c r="G100" s="17">
        <v>1</v>
      </c>
      <c r="H100" s="36">
        <f t="shared" si="19"/>
        <v>3.7037037037037035E-2</v>
      </c>
      <c r="I100" s="17">
        <v>13</v>
      </c>
      <c r="J100" s="36">
        <f t="shared" si="20"/>
        <v>5.4166666666666669E-2</v>
      </c>
      <c r="K100" s="17">
        <v>2</v>
      </c>
      <c r="L100" s="36">
        <f t="shared" si="21"/>
        <v>7.407407407407407E-2</v>
      </c>
      <c r="M100" s="17">
        <v>224</v>
      </c>
      <c r="N100" s="36">
        <f t="shared" si="29"/>
        <v>0.93333333333333335</v>
      </c>
      <c r="O100" s="17">
        <v>24</v>
      </c>
      <c r="P100" s="36">
        <f t="shared" si="22"/>
        <v>0.88888888888888884</v>
      </c>
      <c r="Q100" s="17">
        <v>5</v>
      </c>
      <c r="R100" s="36">
        <f t="shared" si="30"/>
        <v>2.0833333333333332E-2</v>
      </c>
      <c r="S100" s="17">
        <v>1</v>
      </c>
      <c r="T100" s="36">
        <f t="shared" si="23"/>
        <v>3.7037037037037035E-2</v>
      </c>
      <c r="U100" s="17">
        <v>12</v>
      </c>
      <c r="V100" s="36">
        <f t="shared" si="31"/>
        <v>0.05</v>
      </c>
      <c r="W100" s="17">
        <v>1</v>
      </c>
      <c r="X100" s="36">
        <f t="shared" si="24"/>
        <v>3.7037037037037035E-2</v>
      </c>
      <c r="Y100" s="17">
        <v>160</v>
      </c>
      <c r="Z100" s="36">
        <f t="shared" si="32"/>
        <v>0.66666666666666663</v>
      </c>
      <c r="AA100" s="17">
        <v>20</v>
      </c>
      <c r="AB100" s="36">
        <f t="shared" si="25"/>
        <v>0.7407407407407407</v>
      </c>
      <c r="AC100" s="17">
        <v>39</v>
      </c>
      <c r="AD100" s="36">
        <f t="shared" si="33"/>
        <v>0.16250000000000001</v>
      </c>
      <c r="AE100" s="17">
        <v>4</v>
      </c>
      <c r="AF100" s="36">
        <f t="shared" si="26"/>
        <v>0.14814814814814814</v>
      </c>
      <c r="AG100" s="17">
        <v>21</v>
      </c>
      <c r="AH100" s="36">
        <f t="shared" si="34"/>
        <v>8.7499999999999994E-2</v>
      </c>
      <c r="AI100" s="17">
        <v>1</v>
      </c>
      <c r="AJ100" s="36">
        <f t="shared" si="27"/>
        <v>3.7037037037037035E-2</v>
      </c>
      <c r="AK100" s="17">
        <v>3</v>
      </c>
      <c r="AL100" s="36">
        <f t="shared" si="35"/>
        <v>1.2500000000000001E-2</v>
      </c>
      <c r="AM100" s="17">
        <v>0</v>
      </c>
      <c r="AN100" s="36">
        <f t="shared" si="28"/>
        <v>0</v>
      </c>
      <c r="AO100" s="17">
        <v>240</v>
      </c>
      <c r="AP100" s="17">
        <v>27</v>
      </c>
    </row>
    <row r="101" spans="1:42" ht="15.75" customHeight="1" x14ac:dyDescent="0.25">
      <c r="A101" s="35">
        <v>2024</v>
      </c>
      <c r="B101" s="35">
        <v>171750</v>
      </c>
      <c r="C101" s="33" t="str">
        <f>VLOOKUP(B101,procv!$A$2:$D$142,4,FALSE)</f>
        <v>Cantão</v>
      </c>
      <c r="D101" s="33" t="s">
        <v>104</v>
      </c>
      <c r="E101" s="17">
        <v>5</v>
      </c>
      <c r="F101" s="36">
        <f t="shared" si="18"/>
        <v>7.3099415204678359E-3</v>
      </c>
      <c r="G101" s="17">
        <v>2</v>
      </c>
      <c r="H101" s="36">
        <f t="shared" si="19"/>
        <v>1.2195121951219513E-2</v>
      </c>
      <c r="I101" s="17">
        <v>22</v>
      </c>
      <c r="J101" s="36">
        <f t="shared" si="20"/>
        <v>3.2163742690058478E-2</v>
      </c>
      <c r="K101" s="17">
        <v>4</v>
      </c>
      <c r="L101" s="36">
        <f t="shared" si="21"/>
        <v>2.4390243902439025E-2</v>
      </c>
      <c r="M101" s="17">
        <v>657</v>
      </c>
      <c r="N101" s="36">
        <f t="shared" si="29"/>
        <v>0.96052631578947367</v>
      </c>
      <c r="O101" s="17">
        <v>158</v>
      </c>
      <c r="P101" s="36">
        <f t="shared" si="22"/>
        <v>0.96341463414634143</v>
      </c>
      <c r="Q101" s="17">
        <v>8</v>
      </c>
      <c r="R101" s="36">
        <f t="shared" si="30"/>
        <v>1.1695906432748537E-2</v>
      </c>
      <c r="S101" s="17">
        <v>3</v>
      </c>
      <c r="T101" s="36">
        <f t="shared" si="23"/>
        <v>1.8292682926829267E-2</v>
      </c>
      <c r="U101" s="17">
        <v>17</v>
      </c>
      <c r="V101" s="36">
        <f t="shared" si="31"/>
        <v>2.4853801169590642E-2</v>
      </c>
      <c r="W101" s="17">
        <v>1</v>
      </c>
      <c r="X101" s="36">
        <f t="shared" si="24"/>
        <v>6.0975609756097563E-3</v>
      </c>
      <c r="Y101" s="17">
        <v>445</v>
      </c>
      <c r="Z101" s="36">
        <f t="shared" si="32"/>
        <v>0.65058479532163738</v>
      </c>
      <c r="AA101" s="17">
        <v>96</v>
      </c>
      <c r="AB101" s="36">
        <f t="shared" si="25"/>
        <v>0.58536585365853655</v>
      </c>
      <c r="AC101" s="17">
        <v>131</v>
      </c>
      <c r="AD101" s="36">
        <f t="shared" si="33"/>
        <v>0.19152046783625731</v>
      </c>
      <c r="AE101" s="17">
        <v>44</v>
      </c>
      <c r="AF101" s="36">
        <f t="shared" si="26"/>
        <v>0.26829268292682928</v>
      </c>
      <c r="AG101" s="17">
        <v>75</v>
      </c>
      <c r="AH101" s="36">
        <f t="shared" si="34"/>
        <v>0.10964912280701754</v>
      </c>
      <c r="AI101" s="17">
        <v>19</v>
      </c>
      <c r="AJ101" s="36">
        <f t="shared" si="27"/>
        <v>0.11585365853658537</v>
      </c>
      <c r="AK101" s="17">
        <v>8</v>
      </c>
      <c r="AL101" s="36">
        <f t="shared" si="35"/>
        <v>1.1695906432748537E-2</v>
      </c>
      <c r="AM101" s="17">
        <v>1</v>
      </c>
      <c r="AN101" s="36">
        <f t="shared" si="28"/>
        <v>6.0975609756097563E-3</v>
      </c>
      <c r="AO101" s="17">
        <v>684</v>
      </c>
      <c r="AP101" s="17">
        <v>164</v>
      </c>
    </row>
    <row r="102" spans="1:42" ht="15.75" customHeight="1" x14ac:dyDescent="0.25">
      <c r="A102" s="35">
        <v>2024</v>
      </c>
      <c r="B102" s="35">
        <v>171780</v>
      </c>
      <c r="C102" s="33" t="str">
        <f>VLOOKUP(B102,procv!$A$2:$D$142,4,FALSE)</f>
        <v>Sudeste</v>
      </c>
      <c r="D102" s="33" t="s">
        <v>105</v>
      </c>
      <c r="E102" s="17">
        <v>5</v>
      </c>
      <c r="F102" s="36">
        <f t="shared" si="18"/>
        <v>1.3157894736842105E-2</v>
      </c>
      <c r="G102" s="17">
        <v>3</v>
      </c>
      <c r="H102" s="36">
        <f t="shared" si="19"/>
        <v>3.896103896103896E-2</v>
      </c>
      <c r="I102" s="17">
        <v>9</v>
      </c>
      <c r="J102" s="36">
        <f t="shared" si="20"/>
        <v>2.368421052631579E-2</v>
      </c>
      <c r="K102" s="17">
        <v>0</v>
      </c>
      <c r="L102" s="36">
        <f t="shared" si="21"/>
        <v>0</v>
      </c>
      <c r="M102" s="17">
        <v>366</v>
      </c>
      <c r="N102" s="36">
        <f t="shared" si="29"/>
        <v>0.9631578947368421</v>
      </c>
      <c r="O102" s="17">
        <v>74</v>
      </c>
      <c r="P102" s="36">
        <f t="shared" si="22"/>
        <v>0.96103896103896103</v>
      </c>
      <c r="Q102" s="17">
        <v>3</v>
      </c>
      <c r="R102" s="36">
        <f t="shared" si="30"/>
        <v>7.8947368421052634E-3</v>
      </c>
      <c r="S102" s="17">
        <v>1</v>
      </c>
      <c r="T102" s="36">
        <f t="shared" si="23"/>
        <v>1.2987012987012988E-2</v>
      </c>
      <c r="U102" s="17">
        <v>7</v>
      </c>
      <c r="V102" s="36">
        <f t="shared" si="31"/>
        <v>1.8421052631578946E-2</v>
      </c>
      <c r="W102" s="17">
        <v>3</v>
      </c>
      <c r="X102" s="36">
        <f t="shared" si="24"/>
        <v>3.896103896103896E-2</v>
      </c>
      <c r="Y102" s="17">
        <v>284</v>
      </c>
      <c r="Z102" s="36">
        <f t="shared" si="32"/>
        <v>0.74736842105263157</v>
      </c>
      <c r="AA102" s="17">
        <v>51</v>
      </c>
      <c r="AB102" s="36">
        <f t="shared" si="25"/>
        <v>0.66233766233766234</v>
      </c>
      <c r="AC102" s="17">
        <v>56</v>
      </c>
      <c r="AD102" s="36">
        <f t="shared" si="33"/>
        <v>0.14736842105263157</v>
      </c>
      <c r="AE102" s="17">
        <v>14</v>
      </c>
      <c r="AF102" s="36">
        <f t="shared" si="26"/>
        <v>0.18181818181818182</v>
      </c>
      <c r="AG102" s="17">
        <v>27</v>
      </c>
      <c r="AH102" s="36">
        <f t="shared" si="34"/>
        <v>7.1052631578947367E-2</v>
      </c>
      <c r="AI102" s="17">
        <v>7</v>
      </c>
      <c r="AJ102" s="36">
        <f t="shared" si="27"/>
        <v>9.0909090909090912E-2</v>
      </c>
      <c r="AK102" s="17">
        <v>3</v>
      </c>
      <c r="AL102" s="36">
        <f t="shared" si="35"/>
        <v>7.8947368421052634E-3</v>
      </c>
      <c r="AM102" s="17">
        <v>1</v>
      </c>
      <c r="AN102" s="36">
        <f t="shared" si="28"/>
        <v>1.2987012987012988E-2</v>
      </c>
      <c r="AO102" s="17">
        <v>380</v>
      </c>
      <c r="AP102" s="17">
        <v>77</v>
      </c>
    </row>
    <row r="103" spans="1:42" ht="15.75" customHeight="1" x14ac:dyDescent="0.25">
      <c r="A103" s="35">
        <v>2024</v>
      </c>
      <c r="B103" s="35">
        <v>171790</v>
      </c>
      <c r="C103" s="33" t="str">
        <f>VLOOKUP(B103,procv!$A$2:$D$142,4,FALSE)</f>
        <v>Amor Perfeito</v>
      </c>
      <c r="D103" s="33" t="s">
        <v>106</v>
      </c>
      <c r="E103" s="17">
        <v>5</v>
      </c>
      <c r="F103" s="36">
        <f t="shared" si="18"/>
        <v>9.5602294455066923E-3</v>
      </c>
      <c r="G103" s="17">
        <v>0</v>
      </c>
      <c r="H103" s="36">
        <f t="shared" si="19"/>
        <v>0</v>
      </c>
      <c r="I103" s="17">
        <v>33</v>
      </c>
      <c r="J103" s="36">
        <f t="shared" si="20"/>
        <v>6.3097514340344163E-2</v>
      </c>
      <c r="K103" s="17">
        <v>15</v>
      </c>
      <c r="L103" s="36">
        <f t="shared" si="21"/>
        <v>0.06</v>
      </c>
      <c r="M103" s="17">
        <v>485</v>
      </c>
      <c r="N103" s="36">
        <f t="shared" si="29"/>
        <v>0.92734225621414912</v>
      </c>
      <c r="O103" s="17">
        <v>235</v>
      </c>
      <c r="P103" s="36">
        <f t="shared" si="22"/>
        <v>0.94</v>
      </c>
      <c r="Q103" s="17">
        <v>5</v>
      </c>
      <c r="R103" s="36">
        <f t="shared" si="30"/>
        <v>9.5602294455066923E-3</v>
      </c>
      <c r="S103" s="17">
        <v>2</v>
      </c>
      <c r="T103" s="36">
        <f t="shared" si="23"/>
        <v>8.0000000000000002E-3</v>
      </c>
      <c r="U103" s="17">
        <v>19</v>
      </c>
      <c r="V103" s="36">
        <f t="shared" si="31"/>
        <v>3.6328871892925434E-2</v>
      </c>
      <c r="W103" s="17">
        <v>6</v>
      </c>
      <c r="X103" s="36">
        <f t="shared" si="24"/>
        <v>2.4E-2</v>
      </c>
      <c r="Y103" s="17">
        <v>363</v>
      </c>
      <c r="Z103" s="36">
        <f t="shared" si="32"/>
        <v>0.6940726577437859</v>
      </c>
      <c r="AA103" s="17">
        <v>172</v>
      </c>
      <c r="AB103" s="36">
        <f t="shared" si="25"/>
        <v>0.68799999999999994</v>
      </c>
      <c r="AC103" s="17">
        <v>77</v>
      </c>
      <c r="AD103" s="36">
        <f t="shared" si="33"/>
        <v>0.14722753346080306</v>
      </c>
      <c r="AE103" s="17">
        <v>38</v>
      </c>
      <c r="AF103" s="36">
        <f t="shared" si="26"/>
        <v>0.152</v>
      </c>
      <c r="AG103" s="17">
        <v>51</v>
      </c>
      <c r="AH103" s="36">
        <f t="shared" si="34"/>
        <v>9.7514340344168254E-2</v>
      </c>
      <c r="AI103" s="17">
        <v>29</v>
      </c>
      <c r="AJ103" s="36">
        <f t="shared" si="27"/>
        <v>0.11600000000000001</v>
      </c>
      <c r="AK103" s="17">
        <v>8</v>
      </c>
      <c r="AL103" s="36">
        <f t="shared" si="35"/>
        <v>1.5296367112810707E-2</v>
      </c>
      <c r="AM103" s="17">
        <v>3</v>
      </c>
      <c r="AN103" s="36">
        <f t="shared" si="28"/>
        <v>1.2E-2</v>
      </c>
      <c r="AO103" s="17">
        <v>523</v>
      </c>
      <c r="AP103" s="17">
        <v>250</v>
      </c>
    </row>
    <row r="104" spans="1:42" ht="15.75" customHeight="1" x14ac:dyDescent="0.25">
      <c r="A104" s="35">
        <v>2024</v>
      </c>
      <c r="B104" s="35">
        <v>171800</v>
      </c>
      <c r="C104" s="33" t="str">
        <f>VLOOKUP(B104,procv!$A$2:$D$142,4,FALSE)</f>
        <v>Sudeste</v>
      </c>
      <c r="D104" s="33" t="s">
        <v>107</v>
      </c>
      <c r="E104" s="17">
        <v>0</v>
      </c>
      <c r="F104" s="36">
        <f t="shared" si="18"/>
        <v>0</v>
      </c>
      <c r="G104" s="17">
        <v>0</v>
      </c>
      <c r="H104" s="36">
        <f t="shared" si="19"/>
        <v>0</v>
      </c>
      <c r="I104" s="17">
        <v>1</v>
      </c>
      <c r="J104" s="36">
        <f t="shared" si="20"/>
        <v>1.2500000000000001E-2</v>
      </c>
      <c r="K104" s="17">
        <v>0</v>
      </c>
      <c r="L104" s="36">
        <f t="shared" si="21"/>
        <v>0</v>
      </c>
      <c r="M104" s="17">
        <v>79</v>
      </c>
      <c r="N104" s="36">
        <f t="shared" si="29"/>
        <v>0.98750000000000004</v>
      </c>
      <c r="O104" s="17">
        <v>67</v>
      </c>
      <c r="P104" s="36">
        <f t="shared" si="22"/>
        <v>1</v>
      </c>
      <c r="Q104" s="17">
        <v>2</v>
      </c>
      <c r="R104" s="36">
        <f t="shared" si="30"/>
        <v>2.5000000000000001E-2</v>
      </c>
      <c r="S104" s="17">
        <v>2</v>
      </c>
      <c r="T104" s="36">
        <f t="shared" si="23"/>
        <v>2.9850746268656716E-2</v>
      </c>
      <c r="U104" s="17">
        <v>1</v>
      </c>
      <c r="V104" s="36">
        <f t="shared" si="31"/>
        <v>1.2500000000000001E-2</v>
      </c>
      <c r="W104" s="17">
        <v>1</v>
      </c>
      <c r="X104" s="36">
        <f t="shared" si="24"/>
        <v>1.4925373134328358E-2</v>
      </c>
      <c r="Y104" s="17">
        <v>60</v>
      </c>
      <c r="Z104" s="36">
        <f t="shared" si="32"/>
        <v>0.75</v>
      </c>
      <c r="AA104" s="17">
        <v>48</v>
      </c>
      <c r="AB104" s="36">
        <f t="shared" si="25"/>
        <v>0.71641791044776115</v>
      </c>
      <c r="AC104" s="17">
        <v>12</v>
      </c>
      <c r="AD104" s="36">
        <f t="shared" si="33"/>
        <v>0.15</v>
      </c>
      <c r="AE104" s="17">
        <v>12</v>
      </c>
      <c r="AF104" s="36">
        <f t="shared" si="26"/>
        <v>0.17910447761194029</v>
      </c>
      <c r="AG104" s="17">
        <v>4</v>
      </c>
      <c r="AH104" s="36">
        <f t="shared" si="34"/>
        <v>0.05</v>
      </c>
      <c r="AI104" s="17">
        <v>3</v>
      </c>
      <c r="AJ104" s="36">
        <f t="shared" si="27"/>
        <v>4.4776119402985072E-2</v>
      </c>
      <c r="AK104" s="17">
        <v>1</v>
      </c>
      <c r="AL104" s="36">
        <f t="shared" si="35"/>
        <v>1.2500000000000001E-2</v>
      </c>
      <c r="AM104" s="17">
        <v>1</v>
      </c>
      <c r="AN104" s="36">
        <f t="shared" si="28"/>
        <v>1.4925373134328358E-2</v>
      </c>
      <c r="AO104" s="17">
        <v>80</v>
      </c>
      <c r="AP104" s="17">
        <v>67</v>
      </c>
    </row>
    <row r="105" spans="1:42" ht="15.75" customHeight="1" x14ac:dyDescent="0.25">
      <c r="A105" s="35">
        <v>2024</v>
      </c>
      <c r="B105" s="35">
        <v>171820</v>
      </c>
      <c r="C105" s="33" t="str">
        <f>VLOOKUP(B105,procv!$A$2:$D$142,4,FALSE)</f>
        <v>Amor Perfeito</v>
      </c>
      <c r="D105" s="33" t="s">
        <v>108</v>
      </c>
      <c r="E105" s="17">
        <v>37</v>
      </c>
      <c r="F105" s="36">
        <f t="shared" si="18"/>
        <v>7.8207567110547445E-3</v>
      </c>
      <c r="G105" s="17">
        <v>11</v>
      </c>
      <c r="H105" s="36">
        <f t="shared" si="19"/>
        <v>1.4322916666666666E-2</v>
      </c>
      <c r="I105" s="17">
        <v>126</v>
      </c>
      <c r="J105" s="36">
        <f t="shared" si="20"/>
        <v>2.6632847178186429E-2</v>
      </c>
      <c r="K105" s="17">
        <v>21</v>
      </c>
      <c r="L105" s="36">
        <f t="shared" si="21"/>
        <v>2.734375E-2</v>
      </c>
      <c r="M105" s="16">
        <v>4568</v>
      </c>
      <c r="N105" s="36">
        <f t="shared" si="29"/>
        <v>0.96554639611075888</v>
      </c>
      <c r="O105" s="17">
        <v>736</v>
      </c>
      <c r="P105" s="36">
        <f t="shared" si="22"/>
        <v>0.95833333333333337</v>
      </c>
      <c r="Q105" s="17">
        <v>39</v>
      </c>
      <c r="R105" s="36">
        <f t="shared" si="30"/>
        <v>8.2435003170577038E-3</v>
      </c>
      <c r="S105" s="17">
        <v>8</v>
      </c>
      <c r="T105" s="36">
        <f t="shared" si="23"/>
        <v>1.0416666666666666E-2</v>
      </c>
      <c r="U105" s="17">
        <v>180</v>
      </c>
      <c r="V105" s="36">
        <f t="shared" si="31"/>
        <v>3.8046924540266328E-2</v>
      </c>
      <c r="W105" s="17">
        <v>40</v>
      </c>
      <c r="X105" s="36">
        <f t="shared" si="24"/>
        <v>5.2083333333333336E-2</v>
      </c>
      <c r="Y105" s="16">
        <v>3165</v>
      </c>
      <c r="Z105" s="36">
        <f t="shared" si="32"/>
        <v>0.6689917564996829</v>
      </c>
      <c r="AA105" s="17">
        <v>514</v>
      </c>
      <c r="AB105" s="36">
        <f t="shared" si="25"/>
        <v>0.66927083333333337</v>
      </c>
      <c r="AC105" s="17">
        <v>793</v>
      </c>
      <c r="AD105" s="36">
        <f t="shared" si="33"/>
        <v>0.16761783978017333</v>
      </c>
      <c r="AE105" s="17">
        <v>123</v>
      </c>
      <c r="AF105" s="36">
        <f t="shared" si="26"/>
        <v>0.16015625</v>
      </c>
      <c r="AG105" s="17">
        <v>434</v>
      </c>
      <c r="AH105" s="36">
        <f t="shared" si="34"/>
        <v>9.1735362502642151E-2</v>
      </c>
      <c r="AI105" s="17">
        <v>60</v>
      </c>
      <c r="AJ105" s="36">
        <f t="shared" si="27"/>
        <v>7.8125E-2</v>
      </c>
      <c r="AK105" s="17">
        <v>120</v>
      </c>
      <c r="AL105" s="36">
        <f t="shared" si="35"/>
        <v>2.5364616360177554E-2</v>
      </c>
      <c r="AM105" s="17">
        <v>23</v>
      </c>
      <c r="AN105" s="36">
        <f t="shared" si="28"/>
        <v>2.9947916666666668E-2</v>
      </c>
      <c r="AO105" s="16">
        <v>4731</v>
      </c>
      <c r="AP105" s="17">
        <v>768</v>
      </c>
    </row>
    <row r="106" spans="1:42" ht="15.75" customHeight="1" x14ac:dyDescent="0.25">
      <c r="A106" s="35">
        <v>2024</v>
      </c>
      <c r="B106" s="35">
        <v>171830</v>
      </c>
      <c r="C106" s="33" t="str">
        <f>VLOOKUP(B106,procv!$A$2:$D$142,4,FALSE)</f>
        <v>Bico do Papagaio</v>
      </c>
      <c r="D106" s="33" t="s">
        <v>109</v>
      </c>
      <c r="E106" s="17">
        <v>10</v>
      </c>
      <c r="F106" s="36">
        <f t="shared" si="18"/>
        <v>1.524390243902439E-2</v>
      </c>
      <c r="G106" s="17">
        <v>3</v>
      </c>
      <c r="H106" s="36">
        <f t="shared" si="19"/>
        <v>1.4778325123152709E-2</v>
      </c>
      <c r="I106" s="17">
        <v>34</v>
      </c>
      <c r="J106" s="36">
        <f t="shared" si="20"/>
        <v>5.1829268292682924E-2</v>
      </c>
      <c r="K106" s="17">
        <v>7</v>
      </c>
      <c r="L106" s="36">
        <f t="shared" si="21"/>
        <v>3.4482758620689655E-2</v>
      </c>
      <c r="M106" s="17">
        <v>612</v>
      </c>
      <c r="N106" s="36">
        <f t="shared" si="29"/>
        <v>0.93292682926829273</v>
      </c>
      <c r="O106" s="17">
        <v>193</v>
      </c>
      <c r="P106" s="36">
        <f t="shared" si="22"/>
        <v>0.95073891625615758</v>
      </c>
      <c r="Q106" s="17">
        <v>5</v>
      </c>
      <c r="R106" s="36">
        <f t="shared" si="30"/>
        <v>7.621951219512195E-3</v>
      </c>
      <c r="S106" s="17">
        <v>2</v>
      </c>
      <c r="T106" s="36">
        <f t="shared" si="23"/>
        <v>9.852216748768473E-3</v>
      </c>
      <c r="U106" s="17">
        <v>34</v>
      </c>
      <c r="V106" s="36">
        <f t="shared" si="31"/>
        <v>5.1829268292682924E-2</v>
      </c>
      <c r="W106" s="17">
        <v>11</v>
      </c>
      <c r="X106" s="36">
        <f t="shared" si="24"/>
        <v>5.4187192118226604E-2</v>
      </c>
      <c r="Y106" s="17">
        <v>459</v>
      </c>
      <c r="Z106" s="36">
        <f t="shared" si="32"/>
        <v>0.69969512195121952</v>
      </c>
      <c r="AA106" s="17">
        <v>144</v>
      </c>
      <c r="AB106" s="36">
        <f t="shared" si="25"/>
        <v>0.70935960591133007</v>
      </c>
      <c r="AC106" s="17">
        <v>108</v>
      </c>
      <c r="AD106" s="36">
        <f t="shared" si="33"/>
        <v>0.16463414634146342</v>
      </c>
      <c r="AE106" s="17">
        <v>34</v>
      </c>
      <c r="AF106" s="36">
        <f t="shared" si="26"/>
        <v>0.16748768472906403</v>
      </c>
      <c r="AG106" s="17">
        <v>44</v>
      </c>
      <c r="AH106" s="36">
        <f t="shared" si="34"/>
        <v>6.7073170731707321E-2</v>
      </c>
      <c r="AI106" s="17">
        <v>10</v>
      </c>
      <c r="AJ106" s="36">
        <f t="shared" si="27"/>
        <v>4.9261083743842367E-2</v>
      </c>
      <c r="AK106" s="17">
        <v>6</v>
      </c>
      <c r="AL106" s="36">
        <f t="shared" si="35"/>
        <v>9.1463414634146336E-3</v>
      </c>
      <c r="AM106" s="17">
        <v>2</v>
      </c>
      <c r="AN106" s="36">
        <f t="shared" si="28"/>
        <v>9.852216748768473E-3</v>
      </c>
      <c r="AO106" s="17">
        <v>656</v>
      </c>
      <c r="AP106" s="17">
        <v>203</v>
      </c>
    </row>
    <row r="107" spans="1:42" ht="15.75" customHeight="1" x14ac:dyDescent="0.25">
      <c r="A107" s="35">
        <v>2024</v>
      </c>
      <c r="B107" s="35">
        <v>171840</v>
      </c>
      <c r="C107" s="33" t="str">
        <f>VLOOKUP(B107,procv!$A$2:$D$142,4,FALSE)</f>
        <v>Cerrado Tocantins Araguaia</v>
      </c>
      <c r="D107" s="33" t="s">
        <v>110</v>
      </c>
      <c r="E107" s="17">
        <v>2</v>
      </c>
      <c r="F107" s="36">
        <f t="shared" si="18"/>
        <v>7.6045627376425855E-3</v>
      </c>
      <c r="G107" s="17">
        <v>1</v>
      </c>
      <c r="H107" s="36">
        <f t="shared" si="19"/>
        <v>3.4482758620689655E-2</v>
      </c>
      <c r="I107" s="17">
        <v>12</v>
      </c>
      <c r="J107" s="36">
        <f t="shared" si="20"/>
        <v>4.5627376425855515E-2</v>
      </c>
      <c r="K107" s="17">
        <v>1</v>
      </c>
      <c r="L107" s="36">
        <f t="shared" si="21"/>
        <v>3.4482758620689655E-2</v>
      </c>
      <c r="M107" s="17">
        <v>249</v>
      </c>
      <c r="N107" s="36">
        <f t="shared" si="29"/>
        <v>0.94676806083650189</v>
      </c>
      <c r="O107" s="17">
        <v>27</v>
      </c>
      <c r="P107" s="36">
        <f t="shared" si="22"/>
        <v>0.93103448275862066</v>
      </c>
      <c r="Q107" s="17">
        <v>4</v>
      </c>
      <c r="R107" s="36">
        <f t="shared" si="30"/>
        <v>1.5209125475285171E-2</v>
      </c>
      <c r="S107" s="17">
        <v>1</v>
      </c>
      <c r="T107" s="36">
        <f t="shared" si="23"/>
        <v>3.4482758620689655E-2</v>
      </c>
      <c r="U107" s="17">
        <v>8</v>
      </c>
      <c r="V107" s="36">
        <f t="shared" si="31"/>
        <v>3.0418250950570342E-2</v>
      </c>
      <c r="W107" s="17">
        <v>0</v>
      </c>
      <c r="X107" s="36">
        <f t="shared" si="24"/>
        <v>0</v>
      </c>
      <c r="Y107" s="17">
        <v>167</v>
      </c>
      <c r="Z107" s="36">
        <f t="shared" si="32"/>
        <v>0.63498098859315588</v>
      </c>
      <c r="AA107" s="17">
        <v>19</v>
      </c>
      <c r="AB107" s="36">
        <f t="shared" si="25"/>
        <v>0.65517241379310343</v>
      </c>
      <c r="AC107" s="17">
        <v>43</v>
      </c>
      <c r="AD107" s="36">
        <f t="shared" si="33"/>
        <v>0.1634980988593156</v>
      </c>
      <c r="AE107" s="17">
        <v>5</v>
      </c>
      <c r="AF107" s="36">
        <f t="shared" si="26"/>
        <v>0.17241379310344829</v>
      </c>
      <c r="AG107" s="17">
        <v>29</v>
      </c>
      <c r="AH107" s="36">
        <f t="shared" si="34"/>
        <v>0.11026615969581749</v>
      </c>
      <c r="AI107" s="17">
        <v>3</v>
      </c>
      <c r="AJ107" s="36">
        <f t="shared" si="27"/>
        <v>0.10344827586206896</v>
      </c>
      <c r="AK107" s="17">
        <v>12</v>
      </c>
      <c r="AL107" s="36">
        <f t="shared" si="35"/>
        <v>4.5627376425855515E-2</v>
      </c>
      <c r="AM107" s="17">
        <v>1</v>
      </c>
      <c r="AN107" s="36">
        <f t="shared" si="28"/>
        <v>3.4482758620689655E-2</v>
      </c>
      <c r="AO107" s="17">
        <v>263</v>
      </c>
      <c r="AP107" s="17">
        <v>29</v>
      </c>
    </row>
    <row r="108" spans="1:42" ht="15.75" customHeight="1" x14ac:dyDescent="0.25">
      <c r="A108" s="35">
        <v>2024</v>
      </c>
      <c r="B108" s="35">
        <v>171845</v>
      </c>
      <c r="C108" s="33" t="str">
        <f>VLOOKUP(B108,procv!$A$2:$D$142,4,FALSE)</f>
        <v>Cantão</v>
      </c>
      <c r="D108" s="33" t="s">
        <v>111</v>
      </c>
      <c r="E108" s="17">
        <v>2</v>
      </c>
      <c r="F108" s="36">
        <f t="shared" si="18"/>
        <v>8.5470085470085479E-3</v>
      </c>
      <c r="G108" s="17">
        <v>1</v>
      </c>
      <c r="H108" s="36">
        <f t="shared" si="19"/>
        <v>1.9230769230769232E-2</v>
      </c>
      <c r="I108" s="17">
        <v>5</v>
      </c>
      <c r="J108" s="36">
        <f t="shared" si="20"/>
        <v>2.1367521367521368E-2</v>
      </c>
      <c r="K108" s="17">
        <v>1</v>
      </c>
      <c r="L108" s="36">
        <f t="shared" si="21"/>
        <v>1.9230769230769232E-2</v>
      </c>
      <c r="M108" s="17">
        <v>227</v>
      </c>
      <c r="N108" s="36">
        <f t="shared" si="29"/>
        <v>0.97008547008547008</v>
      </c>
      <c r="O108" s="17">
        <v>50</v>
      </c>
      <c r="P108" s="36">
        <f t="shared" si="22"/>
        <v>0.96153846153846156</v>
      </c>
      <c r="Q108" s="17">
        <v>2</v>
      </c>
      <c r="R108" s="36">
        <f t="shared" si="30"/>
        <v>8.5470085470085479E-3</v>
      </c>
      <c r="S108" s="17">
        <v>0</v>
      </c>
      <c r="T108" s="36">
        <f t="shared" si="23"/>
        <v>0</v>
      </c>
      <c r="U108" s="17">
        <v>9</v>
      </c>
      <c r="V108" s="36">
        <f t="shared" si="31"/>
        <v>3.8461538461538464E-2</v>
      </c>
      <c r="W108" s="17">
        <v>0</v>
      </c>
      <c r="X108" s="36">
        <f t="shared" si="24"/>
        <v>0</v>
      </c>
      <c r="Y108" s="17">
        <v>156</v>
      </c>
      <c r="Z108" s="36">
        <f t="shared" si="32"/>
        <v>0.66666666666666663</v>
      </c>
      <c r="AA108" s="17">
        <v>35</v>
      </c>
      <c r="AB108" s="36">
        <f t="shared" si="25"/>
        <v>0.67307692307692313</v>
      </c>
      <c r="AC108" s="17">
        <v>41</v>
      </c>
      <c r="AD108" s="36">
        <f t="shared" si="33"/>
        <v>0.1752136752136752</v>
      </c>
      <c r="AE108" s="17">
        <v>8</v>
      </c>
      <c r="AF108" s="36">
        <f t="shared" si="26"/>
        <v>0.15384615384615385</v>
      </c>
      <c r="AG108" s="17">
        <v>23</v>
      </c>
      <c r="AH108" s="36">
        <f t="shared" si="34"/>
        <v>9.8290598290598288E-2</v>
      </c>
      <c r="AI108" s="17">
        <v>8</v>
      </c>
      <c r="AJ108" s="36">
        <f t="shared" si="27"/>
        <v>0.15384615384615385</v>
      </c>
      <c r="AK108" s="17">
        <v>3</v>
      </c>
      <c r="AL108" s="36">
        <f t="shared" si="35"/>
        <v>1.282051282051282E-2</v>
      </c>
      <c r="AM108" s="17">
        <v>1</v>
      </c>
      <c r="AN108" s="36">
        <f t="shared" si="28"/>
        <v>1.9230769230769232E-2</v>
      </c>
      <c r="AO108" s="17">
        <v>234</v>
      </c>
      <c r="AP108" s="17">
        <v>52</v>
      </c>
    </row>
    <row r="109" spans="1:42" ht="15.75" customHeight="1" x14ac:dyDescent="0.25">
      <c r="A109" s="35">
        <v>2024</v>
      </c>
      <c r="B109" s="35">
        <v>171850</v>
      </c>
      <c r="C109" s="33" t="str">
        <f>VLOOKUP(B109,procv!$A$2:$D$142,4,FALSE)</f>
        <v>Cerrado Tocantins Araguaia</v>
      </c>
      <c r="D109" s="33" t="s">
        <v>112</v>
      </c>
      <c r="E109" s="17">
        <v>4</v>
      </c>
      <c r="F109" s="36">
        <f t="shared" si="18"/>
        <v>9.0909090909090905E-3</v>
      </c>
      <c r="G109" s="17">
        <v>3</v>
      </c>
      <c r="H109" s="36">
        <f t="shared" si="19"/>
        <v>5.6603773584905662E-2</v>
      </c>
      <c r="I109" s="17">
        <v>27</v>
      </c>
      <c r="J109" s="36">
        <f t="shared" si="20"/>
        <v>6.1363636363636363E-2</v>
      </c>
      <c r="K109" s="17">
        <v>3</v>
      </c>
      <c r="L109" s="36">
        <f t="shared" si="21"/>
        <v>5.6603773584905662E-2</v>
      </c>
      <c r="M109" s="17">
        <v>409</v>
      </c>
      <c r="N109" s="36">
        <f t="shared" si="29"/>
        <v>0.92954545454545456</v>
      </c>
      <c r="O109" s="17">
        <v>47</v>
      </c>
      <c r="P109" s="36">
        <f t="shared" si="22"/>
        <v>0.8867924528301887</v>
      </c>
      <c r="Q109" s="17">
        <v>3</v>
      </c>
      <c r="R109" s="36">
        <f t="shared" si="30"/>
        <v>6.8181818181818179E-3</v>
      </c>
      <c r="S109" s="17">
        <v>0</v>
      </c>
      <c r="T109" s="36">
        <f t="shared" si="23"/>
        <v>0</v>
      </c>
      <c r="U109" s="17">
        <v>26</v>
      </c>
      <c r="V109" s="36">
        <f t="shared" si="31"/>
        <v>5.909090909090909E-2</v>
      </c>
      <c r="W109" s="17">
        <v>3</v>
      </c>
      <c r="X109" s="36">
        <f t="shared" si="24"/>
        <v>5.6603773584905662E-2</v>
      </c>
      <c r="Y109" s="17">
        <v>337</v>
      </c>
      <c r="Z109" s="36">
        <f t="shared" si="32"/>
        <v>0.76590909090909087</v>
      </c>
      <c r="AA109" s="17">
        <v>43</v>
      </c>
      <c r="AB109" s="36">
        <f t="shared" si="25"/>
        <v>0.81132075471698117</v>
      </c>
      <c r="AC109" s="17">
        <v>48</v>
      </c>
      <c r="AD109" s="36">
        <f t="shared" si="33"/>
        <v>0.10909090909090909</v>
      </c>
      <c r="AE109" s="17">
        <v>7</v>
      </c>
      <c r="AF109" s="36">
        <f t="shared" si="26"/>
        <v>0.13207547169811321</v>
      </c>
      <c r="AG109" s="17">
        <v>23</v>
      </c>
      <c r="AH109" s="36">
        <f t="shared" si="34"/>
        <v>5.2272727272727269E-2</v>
      </c>
      <c r="AI109" s="17">
        <v>0</v>
      </c>
      <c r="AJ109" s="36">
        <f t="shared" si="27"/>
        <v>0</v>
      </c>
      <c r="AK109" s="17">
        <v>3</v>
      </c>
      <c r="AL109" s="36">
        <f t="shared" si="35"/>
        <v>6.8181818181818179E-3</v>
      </c>
      <c r="AM109" s="17">
        <v>0</v>
      </c>
      <c r="AN109" s="36">
        <f t="shared" si="28"/>
        <v>0</v>
      </c>
      <c r="AO109" s="17">
        <v>440</v>
      </c>
      <c r="AP109" s="17">
        <v>53</v>
      </c>
    </row>
    <row r="110" spans="1:42" ht="15.75" customHeight="1" x14ac:dyDescent="0.25">
      <c r="A110" s="35">
        <v>2024</v>
      </c>
      <c r="B110" s="35">
        <v>171855</v>
      </c>
      <c r="C110" s="33" t="str">
        <f>VLOOKUP(B110,procv!$A$2:$D$142,4,FALSE)</f>
        <v>Bico do Papagaio</v>
      </c>
      <c r="D110" s="33" t="s">
        <v>113</v>
      </c>
      <c r="E110" s="17">
        <v>4</v>
      </c>
      <c r="F110" s="36">
        <f t="shared" si="18"/>
        <v>7.0052539404553416E-3</v>
      </c>
      <c r="G110" s="17">
        <v>1</v>
      </c>
      <c r="H110" s="36">
        <f t="shared" si="19"/>
        <v>9.3457943925233638E-3</v>
      </c>
      <c r="I110" s="17">
        <v>17</v>
      </c>
      <c r="J110" s="36">
        <f t="shared" si="20"/>
        <v>2.9772329246935202E-2</v>
      </c>
      <c r="K110" s="17">
        <v>5</v>
      </c>
      <c r="L110" s="36">
        <f t="shared" si="21"/>
        <v>4.6728971962616821E-2</v>
      </c>
      <c r="M110" s="17">
        <v>550</v>
      </c>
      <c r="N110" s="36">
        <f t="shared" si="29"/>
        <v>0.96322241681260945</v>
      </c>
      <c r="O110" s="17">
        <v>101</v>
      </c>
      <c r="P110" s="36">
        <f t="shared" si="22"/>
        <v>0.94392523364485981</v>
      </c>
      <c r="Q110" s="17">
        <v>5</v>
      </c>
      <c r="R110" s="36">
        <f t="shared" si="30"/>
        <v>8.7565674255691769E-3</v>
      </c>
      <c r="S110" s="17">
        <v>2</v>
      </c>
      <c r="T110" s="36">
        <f t="shared" si="23"/>
        <v>1.8691588785046728E-2</v>
      </c>
      <c r="U110" s="17">
        <v>34</v>
      </c>
      <c r="V110" s="36">
        <f t="shared" si="31"/>
        <v>5.9544658493870403E-2</v>
      </c>
      <c r="W110" s="17">
        <v>7</v>
      </c>
      <c r="X110" s="36">
        <f t="shared" si="24"/>
        <v>6.5420560747663545E-2</v>
      </c>
      <c r="Y110" s="17">
        <v>413</v>
      </c>
      <c r="Z110" s="36">
        <f t="shared" si="32"/>
        <v>0.72329246935201397</v>
      </c>
      <c r="AA110" s="17">
        <v>70</v>
      </c>
      <c r="AB110" s="36">
        <f t="shared" si="25"/>
        <v>0.65420560747663548</v>
      </c>
      <c r="AC110" s="17">
        <v>72</v>
      </c>
      <c r="AD110" s="36">
        <f t="shared" si="33"/>
        <v>0.12609457092819615</v>
      </c>
      <c r="AE110" s="17">
        <v>15</v>
      </c>
      <c r="AF110" s="36">
        <f t="shared" si="26"/>
        <v>0.14018691588785046</v>
      </c>
      <c r="AG110" s="17">
        <v>36</v>
      </c>
      <c r="AH110" s="36">
        <f t="shared" si="34"/>
        <v>6.3047285464098074E-2</v>
      </c>
      <c r="AI110" s="17">
        <v>9</v>
      </c>
      <c r="AJ110" s="36">
        <f t="shared" si="27"/>
        <v>8.4112149532710276E-2</v>
      </c>
      <c r="AK110" s="17">
        <v>11</v>
      </c>
      <c r="AL110" s="36">
        <f t="shared" si="35"/>
        <v>1.9264448336252189E-2</v>
      </c>
      <c r="AM110" s="17">
        <v>4</v>
      </c>
      <c r="AN110" s="36">
        <f t="shared" si="28"/>
        <v>3.7383177570093455E-2</v>
      </c>
      <c r="AO110" s="17">
        <v>571</v>
      </c>
      <c r="AP110" s="17">
        <v>107</v>
      </c>
    </row>
    <row r="111" spans="1:42" ht="15.75" customHeight="1" x14ac:dyDescent="0.25">
      <c r="A111" s="35">
        <v>2024</v>
      </c>
      <c r="B111" s="35">
        <v>171865</v>
      </c>
      <c r="C111" s="33" t="str">
        <f>VLOOKUP(B111,procv!$A$2:$D$142,4,FALSE)</f>
        <v>Sudeste</v>
      </c>
      <c r="D111" s="33" t="s">
        <v>114</v>
      </c>
      <c r="E111" s="17">
        <v>0</v>
      </c>
      <c r="F111" s="36">
        <f t="shared" si="18"/>
        <v>0</v>
      </c>
      <c r="G111" s="17">
        <v>0</v>
      </c>
      <c r="H111" s="36">
        <f t="shared" si="19"/>
        <v>0</v>
      </c>
      <c r="I111" s="17">
        <v>6</v>
      </c>
      <c r="J111" s="36">
        <f t="shared" si="20"/>
        <v>2.0547945205479451E-2</v>
      </c>
      <c r="K111" s="17">
        <v>3</v>
      </c>
      <c r="L111" s="36">
        <f t="shared" si="21"/>
        <v>7.8947368421052627E-2</v>
      </c>
      <c r="M111" s="17">
        <v>286</v>
      </c>
      <c r="N111" s="36">
        <f t="shared" si="29"/>
        <v>0.97945205479452058</v>
      </c>
      <c r="O111" s="17">
        <v>35</v>
      </c>
      <c r="P111" s="36">
        <f t="shared" si="22"/>
        <v>0.92105263157894735</v>
      </c>
      <c r="Q111" s="17">
        <v>2</v>
      </c>
      <c r="R111" s="36">
        <f t="shared" si="30"/>
        <v>6.8493150684931503E-3</v>
      </c>
      <c r="S111" s="17">
        <v>1</v>
      </c>
      <c r="T111" s="36">
        <f t="shared" si="23"/>
        <v>2.6315789473684209E-2</v>
      </c>
      <c r="U111" s="17">
        <v>16</v>
      </c>
      <c r="V111" s="36">
        <f t="shared" si="31"/>
        <v>5.4794520547945202E-2</v>
      </c>
      <c r="W111" s="17">
        <v>4</v>
      </c>
      <c r="X111" s="36">
        <f t="shared" si="24"/>
        <v>0.10526315789473684</v>
      </c>
      <c r="Y111" s="17">
        <v>220</v>
      </c>
      <c r="Z111" s="36">
        <f t="shared" si="32"/>
        <v>0.75342465753424659</v>
      </c>
      <c r="AA111" s="17">
        <v>25</v>
      </c>
      <c r="AB111" s="36">
        <f t="shared" si="25"/>
        <v>0.65789473684210531</v>
      </c>
      <c r="AC111" s="17">
        <v>43</v>
      </c>
      <c r="AD111" s="36">
        <f t="shared" si="33"/>
        <v>0.14726027397260275</v>
      </c>
      <c r="AE111" s="17">
        <v>4</v>
      </c>
      <c r="AF111" s="36">
        <f t="shared" si="26"/>
        <v>0.10526315789473684</v>
      </c>
      <c r="AG111" s="17">
        <v>10</v>
      </c>
      <c r="AH111" s="36">
        <f t="shared" si="34"/>
        <v>3.4246575342465752E-2</v>
      </c>
      <c r="AI111" s="17">
        <v>4</v>
      </c>
      <c r="AJ111" s="36">
        <f t="shared" si="27"/>
        <v>0.10526315789473684</v>
      </c>
      <c r="AK111" s="17">
        <v>1</v>
      </c>
      <c r="AL111" s="36">
        <f t="shared" si="35"/>
        <v>3.4246575342465752E-3</v>
      </c>
      <c r="AM111" s="17">
        <v>0</v>
      </c>
      <c r="AN111" s="36">
        <f t="shared" si="28"/>
        <v>0</v>
      </c>
      <c r="AO111" s="17">
        <v>292</v>
      </c>
      <c r="AP111" s="17">
        <v>38</v>
      </c>
    </row>
    <row r="112" spans="1:42" ht="15.75" customHeight="1" x14ac:dyDescent="0.25">
      <c r="A112" s="35">
        <v>2024</v>
      </c>
      <c r="B112" s="35">
        <v>171870</v>
      </c>
      <c r="C112" s="33" t="str">
        <f>VLOOKUP(B112,procv!$A$2:$D$142,4,FALSE)</f>
        <v>Capim Dourado</v>
      </c>
      <c r="D112" s="33" t="s">
        <v>115</v>
      </c>
      <c r="E112" s="17">
        <v>0</v>
      </c>
      <c r="F112" s="36">
        <f t="shared" si="18"/>
        <v>0</v>
      </c>
      <c r="G112" s="17">
        <v>2</v>
      </c>
      <c r="H112" s="36">
        <f t="shared" si="19"/>
        <v>3.2258064516129031E-2</v>
      </c>
      <c r="I112" s="17">
        <v>7</v>
      </c>
      <c r="J112" s="36">
        <f t="shared" si="20"/>
        <v>3.3018867924528301E-2</v>
      </c>
      <c r="K112" s="17">
        <v>2</v>
      </c>
      <c r="L112" s="36">
        <f t="shared" si="21"/>
        <v>3.2258064516129031E-2</v>
      </c>
      <c r="M112" s="17">
        <v>205</v>
      </c>
      <c r="N112" s="36">
        <f t="shared" si="29"/>
        <v>0.96698113207547165</v>
      </c>
      <c r="O112" s="17">
        <v>58</v>
      </c>
      <c r="P112" s="36">
        <f t="shared" si="22"/>
        <v>0.93548387096774188</v>
      </c>
      <c r="Q112" s="17">
        <v>3</v>
      </c>
      <c r="R112" s="36">
        <f t="shared" si="30"/>
        <v>1.4150943396226415E-2</v>
      </c>
      <c r="S112" s="17">
        <v>3</v>
      </c>
      <c r="T112" s="36">
        <f t="shared" si="23"/>
        <v>4.8387096774193547E-2</v>
      </c>
      <c r="U112" s="17">
        <v>7</v>
      </c>
      <c r="V112" s="36">
        <f t="shared" si="31"/>
        <v>3.3018867924528301E-2</v>
      </c>
      <c r="W112" s="17">
        <v>3</v>
      </c>
      <c r="X112" s="36">
        <f t="shared" si="24"/>
        <v>4.8387096774193547E-2</v>
      </c>
      <c r="Y112" s="17">
        <v>136</v>
      </c>
      <c r="Z112" s="36">
        <f t="shared" si="32"/>
        <v>0.64150943396226412</v>
      </c>
      <c r="AA112" s="17">
        <v>42</v>
      </c>
      <c r="AB112" s="36">
        <f t="shared" si="25"/>
        <v>0.67741935483870963</v>
      </c>
      <c r="AC112" s="17">
        <v>43</v>
      </c>
      <c r="AD112" s="36">
        <f t="shared" si="33"/>
        <v>0.20283018867924529</v>
      </c>
      <c r="AE112" s="17">
        <v>8</v>
      </c>
      <c r="AF112" s="36">
        <f t="shared" si="26"/>
        <v>0.12903225806451613</v>
      </c>
      <c r="AG112" s="17">
        <v>20</v>
      </c>
      <c r="AH112" s="36">
        <f t="shared" si="34"/>
        <v>9.4339622641509441E-2</v>
      </c>
      <c r="AI112" s="17">
        <v>5</v>
      </c>
      <c r="AJ112" s="36">
        <f t="shared" si="27"/>
        <v>8.0645161290322578E-2</v>
      </c>
      <c r="AK112" s="17">
        <v>3</v>
      </c>
      <c r="AL112" s="36">
        <f t="shared" si="35"/>
        <v>1.4150943396226415E-2</v>
      </c>
      <c r="AM112" s="17">
        <v>1</v>
      </c>
      <c r="AN112" s="36">
        <f t="shared" si="28"/>
        <v>1.6129032258064516E-2</v>
      </c>
      <c r="AO112" s="17">
        <v>212</v>
      </c>
      <c r="AP112" s="17">
        <v>62</v>
      </c>
    </row>
    <row r="113" spans="1:42" ht="15.75" customHeight="1" x14ac:dyDescent="0.25">
      <c r="A113" s="35">
        <v>2024</v>
      </c>
      <c r="B113" s="35">
        <v>171875</v>
      </c>
      <c r="C113" s="33" t="str">
        <f>VLOOKUP(B113,procv!$A$2:$D$142,4,FALSE)</f>
        <v>Capim Dourado</v>
      </c>
      <c r="D113" s="33" t="s">
        <v>116</v>
      </c>
      <c r="E113" s="17">
        <v>9</v>
      </c>
      <c r="F113" s="36">
        <f t="shared" si="18"/>
        <v>1.768172888015717E-2</v>
      </c>
      <c r="G113" s="17">
        <v>4</v>
      </c>
      <c r="H113" s="36">
        <f t="shared" si="19"/>
        <v>3.669724770642202E-2</v>
      </c>
      <c r="I113" s="17">
        <v>33</v>
      </c>
      <c r="J113" s="36">
        <f t="shared" si="20"/>
        <v>6.4833005893909626E-2</v>
      </c>
      <c r="K113" s="17">
        <v>4</v>
      </c>
      <c r="L113" s="36">
        <f t="shared" si="21"/>
        <v>3.669724770642202E-2</v>
      </c>
      <c r="M113" s="17">
        <v>467</v>
      </c>
      <c r="N113" s="36">
        <f t="shared" si="29"/>
        <v>0.91748526522593321</v>
      </c>
      <c r="O113" s="17">
        <v>101</v>
      </c>
      <c r="P113" s="36">
        <f t="shared" si="22"/>
        <v>0.92660550458715596</v>
      </c>
      <c r="Q113" s="17">
        <v>7</v>
      </c>
      <c r="R113" s="36">
        <f t="shared" si="30"/>
        <v>1.37524557956778E-2</v>
      </c>
      <c r="S113" s="17">
        <v>2</v>
      </c>
      <c r="T113" s="36">
        <f t="shared" si="23"/>
        <v>1.834862385321101E-2</v>
      </c>
      <c r="U113" s="17">
        <v>16</v>
      </c>
      <c r="V113" s="36">
        <f t="shared" si="31"/>
        <v>3.1434184675834968E-2</v>
      </c>
      <c r="W113" s="17">
        <v>3</v>
      </c>
      <c r="X113" s="36">
        <f t="shared" si="24"/>
        <v>2.7522935779816515E-2</v>
      </c>
      <c r="Y113" s="17">
        <v>383</v>
      </c>
      <c r="Z113" s="36">
        <f t="shared" si="32"/>
        <v>0.75245579567779963</v>
      </c>
      <c r="AA113" s="17">
        <v>84</v>
      </c>
      <c r="AB113" s="36">
        <f t="shared" si="25"/>
        <v>0.77064220183486243</v>
      </c>
      <c r="AC113" s="17">
        <v>64</v>
      </c>
      <c r="AD113" s="36">
        <f t="shared" si="33"/>
        <v>0.12573673870333987</v>
      </c>
      <c r="AE113" s="17">
        <v>14</v>
      </c>
      <c r="AF113" s="36">
        <f t="shared" si="26"/>
        <v>0.12844036697247707</v>
      </c>
      <c r="AG113" s="17">
        <v>32</v>
      </c>
      <c r="AH113" s="36">
        <f t="shared" si="34"/>
        <v>6.2868369351669937E-2</v>
      </c>
      <c r="AI113" s="17">
        <v>4</v>
      </c>
      <c r="AJ113" s="36">
        <f t="shared" si="27"/>
        <v>3.669724770642202E-2</v>
      </c>
      <c r="AK113" s="17">
        <v>7</v>
      </c>
      <c r="AL113" s="36">
        <f t="shared" si="35"/>
        <v>1.37524557956778E-2</v>
      </c>
      <c r="AM113" s="17">
        <v>2</v>
      </c>
      <c r="AN113" s="36">
        <f t="shared" si="28"/>
        <v>1.834862385321101E-2</v>
      </c>
      <c r="AO113" s="17">
        <v>509</v>
      </c>
      <c r="AP113" s="17">
        <v>109</v>
      </c>
    </row>
    <row r="114" spans="1:42" ht="15.75" customHeight="1" x14ac:dyDescent="0.25">
      <c r="A114" s="35">
        <v>2024</v>
      </c>
      <c r="B114" s="35">
        <v>171880</v>
      </c>
      <c r="C114" s="33" t="str">
        <f>VLOOKUP(B114,procv!$A$2:$D$142,4,FALSE)</f>
        <v>Bico do Papagaio</v>
      </c>
      <c r="D114" s="33" t="s">
        <v>117</v>
      </c>
      <c r="E114" s="17">
        <v>12</v>
      </c>
      <c r="F114" s="36">
        <f t="shared" si="18"/>
        <v>2.3668639053254437E-2</v>
      </c>
      <c r="G114" s="17">
        <v>8</v>
      </c>
      <c r="H114" s="36">
        <f t="shared" si="19"/>
        <v>5.0955414012738856E-2</v>
      </c>
      <c r="I114" s="17">
        <v>29</v>
      </c>
      <c r="J114" s="36">
        <f t="shared" si="20"/>
        <v>5.7199211045364892E-2</v>
      </c>
      <c r="K114" s="17">
        <v>9</v>
      </c>
      <c r="L114" s="36">
        <f t="shared" si="21"/>
        <v>5.7324840764331211E-2</v>
      </c>
      <c r="M114" s="17">
        <v>466</v>
      </c>
      <c r="N114" s="36">
        <f t="shared" si="29"/>
        <v>0.9191321499013807</v>
      </c>
      <c r="O114" s="17">
        <v>140</v>
      </c>
      <c r="P114" s="36">
        <f t="shared" si="22"/>
        <v>0.89171974522292996</v>
      </c>
      <c r="Q114" s="17">
        <v>14</v>
      </c>
      <c r="R114" s="36">
        <f t="shared" si="30"/>
        <v>2.7613412228796843E-2</v>
      </c>
      <c r="S114" s="17">
        <v>7</v>
      </c>
      <c r="T114" s="36">
        <f t="shared" si="23"/>
        <v>4.4585987261146494E-2</v>
      </c>
      <c r="U114" s="17">
        <v>24</v>
      </c>
      <c r="V114" s="36">
        <f t="shared" si="31"/>
        <v>4.7337278106508875E-2</v>
      </c>
      <c r="W114" s="17">
        <v>10</v>
      </c>
      <c r="X114" s="36">
        <f t="shared" si="24"/>
        <v>6.3694267515923567E-2</v>
      </c>
      <c r="Y114" s="17">
        <v>368</v>
      </c>
      <c r="Z114" s="36">
        <f t="shared" si="32"/>
        <v>0.7258382642998028</v>
      </c>
      <c r="AA114" s="17">
        <v>107</v>
      </c>
      <c r="AB114" s="36">
        <f t="shared" si="25"/>
        <v>0.68152866242038213</v>
      </c>
      <c r="AC114" s="17">
        <v>58</v>
      </c>
      <c r="AD114" s="36">
        <f t="shared" si="33"/>
        <v>0.11439842209072978</v>
      </c>
      <c r="AE114" s="17">
        <v>22</v>
      </c>
      <c r="AF114" s="36">
        <f t="shared" si="26"/>
        <v>0.14012738853503184</v>
      </c>
      <c r="AG114" s="17">
        <v>34</v>
      </c>
      <c r="AH114" s="36">
        <f t="shared" si="34"/>
        <v>6.7061143984220903E-2</v>
      </c>
      <c r="AI114" s="17">
        <v>9</v>
      </c>
      <c r="AJ114" s="36">
        <f t="shared" si="27"/>
        <v>5.7324840764331211E-2</v>
      </c>
      <c r="AK114" s="17">
        <v>9</v>
      </c>
      <c r="AL114" s="36">
        <f t="shared" si="35"/>
        <v>1.7751479289940829E-2</v>
      </c>
      <c r="AM114" s="17">
        <v>2</v>
      </c>
      <c r="AN114" s="36">
        <f t="shared" si="28"/>
        <v>1.2738853503184714E-2</v>
      </c>
      <c r="AO114" s="17">
        <v>507</v>
      </c>
      <c r="AP114" s="17">
        <v>157</v>
      </c>
    </row>
    <row r="115" spans="1:42" ht="15.75" customHeight="1" x14ac:dyDescent="0.25">
      <c r="A115" s="35">
        <v>2024</v>
      </c>
      <c r="B115" s="35">
        <v>171884</v>
      </c>
      <c r="C115" s="33" t="str">
        <f>VLOOKUP(B115,procv!$A$2:$D$142,4,FALSE)</f>
        <v>Ilha do Bananal</v>
      </c>
      <c r="D115" s="33" t="s">
        <v>118</v>
      </c>
      <c r="E115" s="17">
        <v>1</v>
      </c>
      <c r="F115" s="36">
        <f t="shared" si="18"/>
        <v>2.2471910112359553E-3</v>
      </c>
      <c r="G115" s="17">
        <v>1</v>
      </c>
      <c r="H115" s="36">
        <f t="shared" si="19"/>
        <v>1.0869565217391304E-2</v>
      </c>
      <c r="I115" s="17">
        <v>13</v>
      </c>
      <c r="J115" s="36">
        <f t="shared" si="20"/>
        <v>2.9213483146067417E-2</v>
      </c>
      <c r="K115" s="17">
        <v>5</v>
      </c>
      <c r="L115" s="36">
        <f t="shared" si="21"/>
        <v>5.434782608695652E-2</v>
      </c>
      <c r="M115" s="17">
        <v>431</v>
      </c>
      <c r="N115" s="36">
        <f t="shared" si="29"/>
        <v>0.96853932584269664</v>
      </c>
      <c r="O115" s="17">
        <v>86</v>
      </c>
      <c r="P115" s="36">
        <f t="shared" si="22"/>
        <v>0.93478260869565222</v>
      </c>
      <c r="Q115" s="17">
        <v>6</v>
      </c>
      <c r="R115" s="36">
        <f t="shared" si="30"/>
        <v>1.3483146067415731E-2</v>
      </c>
      <c r="S115" s="17">
        <v>1</v>
      </c>
      <c r="T115" s="36">
        <f t="shared" si="23"/>
        <v>1.0869565217391304E-2</v>
      </c>
      <c r="U115" s="17">
        <v>13</v>
      </c>
      <c r="V115" s="36">
        <f t="shared" si="31"/>
        <v>2.9213483146067417E-2</v>
      </c>
      <c r="W115" s="17">
        <v>1</v>
      </c>
      <c r="X115" s="36">
        <f t="shared" si="24"/>
        <v>1.0869565217391304E-2</v>
      </c>
      <c r="Y115" s="17">
        <v>291</v>
      </c>
      <c r="Z115" s="36">
        <f t="shared" si="32"/>
        <v>0.65393258426966294</v>
      </c>
      <c r="AA115" s="17">
        <v>54</v>
      </c>
      <c r="AB115" s="36">
        <f t="shared" si="25"/>
        <v>0.58695652173913049</v>
      </c>
      <c r="AC115" s="17">
        <v>81</v>
      </c>
      <c r="AD115" s="36">
        <f t="shared" si="33"/>
        <v>0.18202247191011237</v>
      </c>
      <c r="AE115" s="17">
        <v>24</v>
      </c>
      <c r="AF115" s="36">
        <f t="shared" si="26"/>
        <v>0.2608695652173913</v>
      </c>
      <c r="AG115" s="17">
        <v>41</v>
      </c>
      <c r="AH115" s="36">
        <f t="shared" si="34"/>
        <v>9.2134831460674152E-2</v>
      </c>
      <c r="AI115" s="17">
        <v>12</v>
      </c>
      <c r="AJ115" s="36">
        <f t="shared" si="27"/>
        <v>0.13043478260869565</v>
      </c>
      <c r="AK115" s="17">
        <v>13</v>
      </c>
      <c r="AL115" s="36">
        <f t="shared" si="35"/>
        <v>2.9213483146067417E-2</v>
      </c>
      <c r="AM115" s="17">
        <v>0</v>
      </c>
      <c r="AN115" s="36">
        <f t="shared" si="28"/>
        <v>0</v>
      </c>
      <c r="AO115" s="17">
        <v>445</v>
      </c>
      <c r="AP115" s="17">
        <v>92</v>
      </c>
    </row>
    <row r="116" spans="1:42" ht="15.75" customHeight="1" x14ac:dyDescent="0.25">
      <c r="A116" s="35">
        <v>2024</v>
      </c>
      <c r="B116" s="35">
        <v>171886</v>
      </c>
      <c r="C116" s="33" t="str">
        <f>VLOOKUP(B116,procv!$A$2:$D$142,4,FALSE)</f>
        <v>Médio Norte Araguaia</v>
      </c>
      <c r="D116" s="33" t="s">
        <v>119</v>
      </c>
      <c r="E116" s="17">
        <v>18</v>
      </c>
      <c r="F116" s="36">
        <f t="shared" si="18"/>
        <v>3.0252100840336135E-2</v>
      </c>
      <c r="G116" s="17">
        <v>11</v>
      </c>
      <c r="H116" s="36">
        <f t="shared" si="19"/>
        <v>8.7999999999999995E-2</v>
      </c>
      <c r="I116" s="17">
        <v>27</v>
      </c>
      <c r="J116" s="36">
        <f t="shared" si="20"/>
        <v>4.53781512605042E-2</v>
      </c>
      <c r="K116" s="17">
        <v>8</v>
      </c>
      <c r="L116" s="36">
        <f t="shared" si="21"/>
        <v>6.4000000000000001E-2</v>
      </c>
      <c r="M116" s="17">
        <v>550</v>
      </c>
      <c r="N116" s="36">
        <f t="shared" si="29"/>
        <v>0.92436974789915971</v>
      </c>
      <c r="O116" s="17">
        <v>106</v>
      </c>
      <c r="P116" s="36">
        <f t="shared" si="22"/>
        <v>0.84799999999999998</v>
      </c>
      <c r="Q116" s="17">
        <v>9</v>
      </c>
      <c r="R116" s="36">
        <f t="shared" si="30"/>
        <v>1.5126050420168067E-2</v>
      </c>
      <c r="S116" s="17">
        <v>3</v>
      </c>
      <c r="T116" s="36">
        <f t="shared" si="23"/>
        <v>2.4E-2</v>
      </c>
      <c r="U116" s="17">
        <v>22</v>
      </c>
      <c r="V116" s="36">
        <f t="shared" si="31"/>
        <v>3.6974789915966387E-2</v>
      </c>
      <c r="W116" s="17">
        <v>3</v>
      </c>
      <c r="X116" s="36">
        <f t="shared" si="24"/>
        <v>2.4E-2</v>
      </c>
      <c r="Y116" s="17">
        <v>384</v>
      </c>
      <c r="Z116" s="36">
        <f t="shared" si="32"/>
        <v>0.64537815126050424</v>
      </c>
      <c r="AA116" s="17">
        <v>85</v>
      </c>
      <c r="AB116" s="36">
        <f t="shared" si="25"/>
        <v>0.68</v>
      </c>
      <c r="AC116" s="17">
        <v>113</v>
      </c>
      <c r="AD116" s="36">
        <f t="shared" si="33"/>
        <v>0.18991596638655461</v>
      </c>
      <c r="AE116" s="17">
        <v>19</v>
      </c>
      <c r="AF116" s="36">
        <f t="shared" si="26"/>
        <v>0.152</v>
      </c>
      <c r="AG116" s="17">
        <v>51</v>
      </c>
      <c r="AH116" s="36">
        <f t="shared" si="34"/>
        <v>8.5714285714285715E-2</v>
      </c>
      <c r="AI116" s="17">
        <v>10</v>
      </c>
      <c r="AJ116" s="36">
        <f t="shared" si="27"/>
        <v>0.08</v>
      </c>
      <c r="AK116" s="17">
        <v>16</v>
      </c>
      <c r="AL116" s="36">
        <f t="shared" si="35"/>
        <v>2.689075630252101E-2</v>
      </c>
      <c r="AM116" s="17">
        <v>5</v>
      </c>
      <c r="AN116" s="36">
        <f t="shared" si="28"/>
        <v>0.04</v>
      </c>
      <c r="AO116" s="17">
        <v>595</v>
      </c>
      <c r="AP116" s="17">
        <v>125</v>
      </c>
    </row>
    <row r="117" spans="1:42" ht="15.75" customHeight="1" x14ac:dyDescent="0.25">
      <c r="A117" s="35">
        <v>2024</v>
      </c>
      <c r="B117" s="35">
        <v>171888</v>
      </c>
      <c r="C117" s="33" t="str">
        <f>VLOOKUP(B117,procv!$A$2:$D$142,4,FALSE)</f>
        <v>Cerrado Tocantins Araguaia</v>
      </c>
      <c r="D117" s="33" t="s">
        <v>120</v>
      </c>
      <c r="E117" s="17">
        <v>4</v>
      </c>
      <c r="F117" s="36">
        <f t="shared" si="18"/>
        <v>1.2500000000000001E-2</v>
      </c>
      <c r="G117" s="17">
        <v>2</v>
      </c>
      <c r="H117" s="36">
        <f t="shared" si="19"/>
        <v>4.2553191489361701E-2</v>
      </c>
      <c r="I117" s="17">
        <v>18</v>
      </c>
      <c r="J117" s="36">
        <f t="shared" si="20"/>
        <v>5.6250000000000001E-2</v>
      </c>
      <c r="K117" s="17">
        <v>3</v>
      </c>
      <c r="L117" s="36">
        <f t="shared" si="21"/>
        <v>6.3829787234042548E-2</v>
      </c>
      <c r="M117" s="17">
        <v>298</v>
      </c>
      <c r="N117" s="36">
        <f t="shared" si="29"/>
        <v>0.93125000000000002</v>
      </c>
      <c r="O117" s="17">
        <v>42</v>
      </c>
      <c r="P117" s="36">
        <f t="shared" si="22"/>
        <v>0.8936170212765957</v>
      </c>
      <c r="Q117" s="17">
        <v>1</v>
      </c>
      <c r="R117" s="36">
        <f t="shared" si="30"/>
        <v>3.1250000000000002E-3</v>
      </c>
      <c r="S117" s="17">
        <v>0</v>
      </c>
      <c r="T117" s="36">
        <f t="shared" si="23"/>
        <v>0</v>
      </c>
      <c r="U117" s="17">
        <v>11</v>
      </c>
      <c r="V117" s="36">
        <f t="shared" si="31"/>
        <v>3.4375000000000003E-2</v>
      </c>
      <c r="W117" s="17">
        <v>1</v>
      </c>
      <c r="X117" s="36">
        <f t="shared" si="24"/>
        <v>2.1276595744680851E-2</v>
      </c>
      <c r="Y117" s="17">
        <v>226</v>
      </c>
      <c r="Z117" s="36">
        <f t="shared" si="32"/>
        <v>0.70625000000000004</v>
      </c>
      <c r="AA117" s="17">
        <v>30</v>
      </c>
      <c r="AB117" s="36">
        <f t="shared" si="25"/>
        <v>0.63829787234042556</v>
      </c>
      <c r="AC117" s="17">
        <v>61</v>
      </c>
      <c r="AD117" s="36">
        <f t="shared" si="33"/>
        <v>0.19062499999999999</v>
      </c>
      <c r="AE117" s="17">
        <v>11</v>
      </c>
      <c r="AF117" s="36">
        <f t="shared" si="26"/>
        <v>0.23404255319148937</v>
      </c>
      <c r="AG117" s="17">
        <v>12</v>
      </c>
      <c r="AH117" s="36">
        <f t="shared" si="34"/>
        <v>3.7499999999999999E-2</v>
      </c>
      <c r="AI117" s="17">
        <v>4</v>
      </c>
      <c r="AJ117" s="36">
        <f t="shared" si="27"/>
        <v>8.5106382978723402E-2</v>
      </c>
      <c r="AK117" s="17">
        <v>9</v>
      </c>
      <c r="AL117" s="36">
        <f t="shared" si="35"/>
        <v>2.8125000000000001E-2</v>
      </c>
      <c r="AM117" s="17">
        <v>1</v>
      </c>
      <c r="AN117" s="36">
        <f t="shared" si="28"/>
        <v>2.1276595744680851E-2</v>
      </c>
      <c r="AO117" s="17">
        <v>320</v>
      </c>
      <c r="AP117" s="17">
        <v>47</v>
      </c>
    </row>
    <row r="118" spans="1:42" ht="15.75" customHeight="1" x14ac:dyDescent="0.25">
      <c r="A118" s="35">
        <v>2024</v>
      </c>
      <c r="B118" s="35">
        <v>171889</v>
      </c>
      <c r="C118" s="33" t="str">
        <f>VLOOKUP(B118,procv!$A$2:$D$142,4,FALSE)</f>
        <v>Ilha do Bananal</v>
      </c>
      <c r="D118" s="33" t="s">
        <v>121</v>
      </c>
      <c r="E118" s="17">
        <v>0</v>
      </c>
      <c r="F118" s="36">
        <f t="shared" si="18"/>
        <v>0</v>
      </c>
      <c r="G118" s="17">
        <v>0</v>
      </c>
      <c r="H118" s="36">
        <f t="shared" si="19"/>
        <v>0</v>
      </c>
      <c r="I118" s="17">
        <v>9</v>
      </c>
      <c r="J118" s="36">
        <f t="shared" si="20"/>
        <v>4.5454545454545456E-2</v>
      </c>
      <c r="K118" s="17">
        <v>2</v>
      </c>
      <c r="L118" s="36">
        <f t="shared" si="21"/>
        <v>6.4516129032258063E-2</v>
      </c>
      <c r="M118" s="17">
        <v>189</v>
      </c>
      <c r="N118" s="36">
        <f t="shared" si="29"/>
        <v>0.95454545454545459</v>
      </c>
      <c r="O118" s="17">
        <v>29</v>
      </c>
      <c r="P118" s="36">
        <f t="shared" si="22"/>
        <v>0.93548387096774188</v>
      </c>
      <c r="Q118" s="17">
        <v>1</v>
      </c>
      <c r="R118" s="36">
        <f t="shared" si="30"/>
        <v>5.0505050505050509E-3</v>
      </c>
      <c r="S118" s="17">
        <v>0</v>
      </c>
      <c r="T118" s="36">
        <f t="shared" si="23"/>
        <v>0</v>
      </c>
      <c r="U118" s="17">
        <v>11</v>
      </c>
      <c r="V118" s="36">
        <f t="shared" si="31"/>
        <v>5.5555555555555552E-2</v>
      </c>
      <c r="W118" s="17">
        <v>2</v>
      </c>
      <c r="X118" s="36">
        <f t="shared" si="24"/>
        <v>6.4516129032258063E-2</v>
      </c>
      <c r="Y118" s="17">
        <v>127</v>
      </c>
      <c r="Z118" s="36">
        <f t="shared" si="32"/>
        <v>0.64141414141414144</v>
      </c>
      <c r="AA118" s="17">
        <v>23</v>
      </c>
      <c r="AB118" s="36">
        <f t="shared" si="25"/>
        <v>0.74193548387096775</v>
      </c>
      <c r="AC118" s="17">
        <v>39</v>
      </c>
      <c r="AD118" s="36">
        <f t="shared" si="33"/>
        <v>0.19696969696969696</v>
      </c>
      <c r="AE118" s="17">
        <v>4</v>
      </c>
      <c r="AF118" s="36">
        <f t="shared" si="26"/>
        <v>0.12903225806451613</v>
      </c>
      <c r="AG118" s="17">
        <v>18</v>
      </c>
      <c r="AH118" s="36">
        <f t="shared" si="34"/>
        <v>9.0909090909090912E-2</v>
      </c>
      <c r="AI118" s="17">
        <v>2</v>
      </c>
      <c r="AJ118" s="36">
        <f t="shared" si="27"/>
        <v>6.4516129032258063E-2</v>
      </c>
      <c r="AK118" s="17">
        <v>2</v>
      </c>
      <c r="AL118" s="36">
        <f t="shared" si="35"/>
        <v>1.0101010101010102E-2</v>
      </c>
      <c r="AM118" s="17">
        <v>0</v>
      </c>
      <c r="AN118" s="36">
        <f t="shared" si="28"/>
        <v>0</v>
      </c>
      <c r="AO118" s="17">
        <v>198</v>
      </c>
      <c r="AP118" s="17">
        <v>31</v>
      </c>
    </row>
    <row r="119" spans="1:42" ht="15.75" customHeight="1" x14ac:dyDescent="0.25">
      <c r="A119" s="35">
        <v>2024</v>
      </c>
      <c r="B119" s="35">
        <v>171890</v>
      </c>
      <c r="C119" s="33" t="str">
        <f>VLOOKUP(B119,procv!$A$2:$D$142,4,FALSE)</f>
        <v>Amor Perfeito</v>
      </c>
      <c r="D119" s="33" t="s">
        <v>122</v>
      </c>
      <c r="E119" s="17">
        <v>3</v>
      </c>
      <c r="F119" s="36">
        <f t="shared" si="18"/>
        <v>6.1099796334012219E-3</v>
      </c>
      <c r="G119" s="17">
        <v>3</v>
      </c>
      <c r="H119" s="36">
        <f t="shared" si="19"/>
        <v>2.9411764705882353E-2</v>
      </c>
      <c r="I119" s="17">
        <v>10</v>
      </c>
      <c r="J119" s="36">
        <f t="shared" si="20"/>
        <v>2.0366598778004074E-2</v>
      </c>
      <c r="K119" s="17">
        <v>3</v>
      </c>
      <c r="L119" s="36">
        <f t="shared" si="21"/>
        <v>2.9411764705882353E-2</v>
      </c>
      <c r="M119" s="17">
        <v>478</v>
      </c>
      <c r="N119" s="36">
        <f t="shared" si="29"/>
        <v>0.97352342158859473</v>
      </c>
      <c r="O119" s="17">
        <v>96</v>
      </c>
      <c r="P119" s="36">
        <f t="shared" si="22"/>
        <v>0.94117647058823528</v>
      </c>
      <c r="Q119" s="17">
        <v>3</v>
      </c>
      <c r="R119" s="36">
        <f t="shared" si="30"/>
        <v>6.1099796334012219E-3</v>
      </c>
      <c r="S119" s="17">
        <v>0</v>
      </c>
      <c r="T119" s="36">
        <f t="shared" si="23"/>
        <v>0</v>
      </c>
      <c r="U119" s="17">
        <v>22</v>
      </c>
      <c r="V119" s="36">
        <f t="shared" si="31"/>
        <v>4.4806517311608958E-2</v>
      </c>
      <c r="W119" s="17">
        <v>7</v>
      </c>
      <c r="X119" s="36">
        <f t="shared" si="24"/>
        <v>6.8627450980392163E-2</v>
      </c>
      <c r="Y119" s="17">
        <v>348</v>
      </c>
      <c r="Z119" s="36">
        <f t="shared" si="32"/>
        <v>0.70875763747454179</v>
      </c>
      <c r="AA119" s="17">
        <v>63</v>
      </c>
      <c r="AB119" s="36">
        <f t="shared" si="25"/>
        <v>0.61764705882352944</v>
      </c>
      <c r="AC119" s="17">
        <v>81</v>
      </c>
      <c r="AD119" s="36">
        <f t="shared" si="33"/>
        <v>0.164969450101833</v>
      </c>
      <c r="AE119" s="17">
        <v>21</v>
      </c>
      <c r="AF119" s="36">
        <f t="shared" si="26"/>
        <v>0.20588235294117646</v>
      </c>
      <c r="AG119" s="17">
        <v>32</v>
      </c>
      <c r="AH119" s="36">
        <f t="shared" si="34"/>
        <v>6.5173116089613028E-2</v>
      </c>
      <c r="AI119" s="17">
        <v>9</v>
      </c>
      <c r="AJ119" s="36">
        <f t="shared" si="27"/>
        <v>8.8235294117647065E-2</v>
      </c>
      <c r="AK119" s="17">
        <v>5</v>
      </c>
      <c r="AL119" s="36">
        <f t="shared" si="35"/>
        <v>1.0183299389002037E-2</v>
      </c>
      <c r="AM119" s="17">
        <v>2</v>
      </c>
      <c r="AN119" s="36">
        <f t="shared" si="28"/>
        <v>1.9607843137254902E-2</v>
      </c>
      <c r="AO119" s="17">
        <v>491</v>
      </c>
      <c r="AP119" s="17">
        <v>102</v>
      </c>
    </row>
    <row r="120" spans="1:42" ht="15.75" customHeight="1" x14ac:dyDescent="0.25">
      <c r="A120" s="35">
        <v>2024</v>
      </c>
      <c r="B120" s="35">
        <v>171900</v>
      </c>
      <c r="C120" s="33" t="str">
        <f>VLOOKUP(B120,procv!$A$2:$D$142,4,FALSE)</f>
        <v>Capim Dourado</v>
      </c>
      <c r="D120" s="33" t="s">
        <v>123</v>
      </c>
      <c r="E120" s="17">
        <v>3</v>
      </c>
      <c r="F120" s="36">
        <f t="shared" si="18"/>
        <v>6.369426751592357E-3</v>
      </c>
      <c r="G120" s="17">
        <v>2</v>
      </c>
      <c r="H120" s="36">
        <f t="shared" si="19"/>
        <v>1.8018018018018018E-2</v>
      </c>
      <c r="I120" s="17">
        <v>18</v>
      </c>
      <c r="J120" s="36">
        <f t="shared" si="20"/>
        <v>3.8216560509554139E-2</v>
      </c>
      <c r="K120" s="17">
        <v>4</v>
      </c>
      <c r="L120" s="36">
        <f t="shared" si="21"/>
        <v>3.6036036036036036E-2</v>
      </c>
      <c r="M120" s="17">
        <v>450</v>
      </c>
      <c r="N120" s="36">
        <f t="shared" si="29"/>
        <v>0.95541401273885351</v>
      </c>
      <c r="O120" s="17">
        <v>105</v>
      </c>
      <c r="P120" s="36">
        <f t="shared" si="22"/>
        <v>0.94594594594594594</v>
      </c>
      <c r="Q120" s="17">
        <v>7</v>
      </c>
      <c r="R120" s="36">
        <f t="shared" si="30"/>
        <v>1.4861995753715499E-2</v>
      </c>
      <c r="S120" s="17">
        <v>2</v>
      </c>
      <c r="T120" s="36">
        <f t="shared" si="23"/>
        <v>1.8018018018018018E-2</v>
      </c>
      <c r="U120" s="17">
        <v>15</v>
      </c>
      <c r="V120" s="36">
        <f t="shared" si="31"/>
        <v>3.1847133757961783E-2</v>
      </c>
      <c r="W120" s="17">
        <v>1</v>
      </c>
      <c r="X120" s="36">
        <f t="shared" si="24"/>
        <v>9.0090090090090089E-3</v>
      </c>
      <c r="Y120" s="17">
        <v>326</v>
      </c>
      <c r="Z120" s="36">
        <f t="shared" si="32"/>
        <v>0.69214437367303605</v>
      </c>
      <c r="AA120" s="17">
        <v>78</v>
      </c>
      <c r="AB120" s="36">
        <f t="shared" si="25"/>
        <v>0.70270270270270274</v>
      </c>
      <c r="AC120" s="17">
        <v>87</v>
      </c>
      <c r="AD120" s="36">
        <f t="shared" si="33"/>
        <v>0.18471337579617833</v>
      </c>
      <c r="AE120" s="17">
        <v>23</v>
      </c>
      <c r="AF120" s="36">
        <f t="shared" si="26"/>
        <v>0.2072072072072072</v>
      </c>
      <c r="AG120" s="17">
        <v>28</v>
      </c>
      <c r="AH120" s="36">
        <f t="shared" si="34"/>
        <v>5.9447983014861996E-2</v>
      </c>
      <c r="AI120" s="17">
        <v>7</v>
      </c>
      <c r="AJ120" s="36">
        <f t="shared" si="27"/>
        <v>6.3063063063063057E-2</v>
      </c>
      <c r="AK120" s="17">
        <v>8</v>
      </c>
      <c r="AL120" s="36">
        <f t="shared" si="35"/>
        <v>1.6985138004246284E-2</v>
      </c>
      <c r="AM120" s="17">
        <v>0</v>
      </c>
      <c r="AN120" s="36">
        <f t="shared" si="28"/>
        <v>0</v>
      </c>
      <c r="AO120" s="17">
        <v>471</v>
      </c>
      <c r="AP120" s="17">
        <v>111</v>
      </c>
    </row>
    <row r="121" spans="1:42" ht="15.75" customHeight="1" x14ac:dyDescent="0.25">
      <c r="A121" s="35">
        <v>2024</v>
      </c>
      <c r="B121" s="35">
        <v>172000</v>
      </c>
      <c r="C121" s="33" t="str">
        <f>VLOOKUP(B121,procv!$A$2:$D$142,4,FALSE)</f>
        <v>Bico do Papagaio</v>
      </c>
      <c r="D121" s="33" t="s">
        <v>124</v>
      </c>
      <c r="E121" s="17">
        <v>1</v>
      </c>
      <c r="F121" s="36">
        <f t="shared" si="18"/>
        <v>2.7855153203342618E-3</v>
      </c>
      <c r="G121" s="17">
        <v>1</v>
      </c>
      <c r="H121" s="36">
        <f t="shared" si="19"/>
        <v>0.04</v>
      </c>
      <c r="I121" s="17">
        <v>19</v>
      </c>
      <c r="J121" s="36">
        <f t="shared" si="20"/>
        <v>5.2924791086350974E-2</v>
      </c>
      <c r="K121" s="17">
        <v>0</v>
      </c>
      <c r="L121" s="36">
        <f t="shared" si="21"/>
        <v>0</v>
      </c>
      <c r="M121" s="17">
        <v>339</v>
      </c>
      <c r="N121" s="36">
        <f t="shared" si="29"/>
        <v>0.94428969359331472</v>
      </c>
      <c r="O121" s="17">
        <v>24</v>
      </c>
      <c r="P121" s="36">
        <f t="shared" si="22"/>
        <v>0.96</v>
      </c>
      <c r="Q121" s="17">
        <v>3</v>
      </c>
      <c r="R121" s="36">
        <f t="shared" si="30"/>
        <v>8.356545961002786E-3</v>
      </c>
      <c r="S121" s="17">
        <v>0</v>
      </c>
      <c r="T121" s="36">
        <f t="shared" si="23"/>
        <v>0</v>
      </c>
      <c r="U121" s="17">
        <v>8</v>
      </c>
      <c r="V121" s="36">
        <f t="shared" si="31"/>
        <v>2.2284122562674095E-2</v>
      </c>
      <c r="W121" s="17">
        <v>1</v>
      </c>
      <c r="X121" s="36">
        <f t="shared" si="24"/>
        <v>0.04</v>
      </c>
      <c r="Y121" s="17">
        <v>274</v>
      </c>
      <c r="Z121" s="36">
        <f t="shared" si="32"/>
        <v>0.76323119777158777</v>
      </c>
      <c r="AA121" s="17">
        <v>20</v>
      </c>
      <c r="AB121" s="36">
        <f t="shared" si="25"/>
        <v>0.8</v>
      </c>
      <c r="AC121" s="17">
        <v>47</v>
      </c>
      <c r="AD121" s="36">
        <f t="shared" si="33"/>
        <v>0.1309192200557103</v>
      </c>
      <c r="AE121" s="17">
        <v>2</v>
      </c>
      <c r="AF121" s="36">
        <f t="shared" si="26"/>
        <v>0.08</v>
      </c>
      <c r="AG121" s="17">
        <v>25</v>
      </c>
      <c r="AH121" s="36">
        <f t="shared" si="34"/>
        <v>6.9637883008356549E-2</v>
      </c>
      <c r="AI121" s="17">
        <v>2</v>
      </c>
      <c r="AJ121" s="36">
        <f t="shared" si="27"/>
        <v>0.08</v>
      </c>
      <c r="AK121" s="17">
        <v>2</v>
      </c>
      <c r="AL121" s="36">
        <f t="shared" si="35"/>
        <v>5.5710306406685237E-3</v>
      </c>
      <c r="AM121" s="17">
        <v>0</v>
      </c>
      <c r="AN121" s="36">
        <f t="shared" si="28"/>
        <v>0</v>
      </c>
      <c r="AO121" s="17">
        <v>359</v>
      </c>
      <c r="AP121" s="17">
        <v>25</v>
      </c>
    </row>
    <row r="122" spans="1:42" ht="15.75" customHeight="1" x14ac:dyDescent="0.25">
      <c r="A122" s="35">
        <v>2024</v>
      </c>
      <c r="B122" s="35">
        <v>172010</v>
      </c>
      <c r="C122" s="33" t="str">
        <f>VLOOKUP(B122,procv!$A$2:$D$142,4,FALSE)</f>
        <v>Bico do Papagaio</v>
      </c>
      <c r="D122" s="33" t="s">
        <v>125</v>
      </c>
      <c r="E122" s="17">
        <v>15</v>
      </c>
      <c r="F122" s="36">
        <f t="shared" si="18"/>
        <v>1.7730496453900711E-2</v>
      </c>
      <c r="G122" s="17">
        <v>4</v>
      </c>
      <c r="H122" s="36">
        <f t="shared" si="19"/>
        <v>1.7167381974248927E-2</v>
      </c>
      <c r="I122" s="17">
        <v>35</v>
      </c>
      <c r="J122" s="36">
        <f t="shared" si="20"/>
        <v>4.1371158392434985E-2</v>
      </c>
      <c r="K122" s="17">
        <v>8</v>
      </c>
      <c r="L122" s="36">
        <f t="shared" si="21"/>
        <v>3.4334763948497854E-2</v>
      </c>
      <c r="M122" s="17">
        <v>796</v>
      </c>
      <c r="N122" s="36">
        <f t="shared" si="29"/>
        <v>0.94089834515366433</v>
      </c>
      <c r="O122" s="17">
        <v>221</v>
      </c>
      <c r="P122" s="36">
        <f t="shared" si="22"/>
        <v>0.94849785407725318</v>
      </c>
      <c r="Q122" s="17">
        <v>13</v>
      </c>
      <c r="R122" s="36">
        <f t="shared" si="30"/>
        <v>1.5366430260047281E-2</v>
      </c>
      <c r="S122" s="17">
        <v>6</v>
      </c>
      <c r="T122" s="36">
        <f t="shared" si="23"/>
        <v>2.575107296137339E-2</v>
      </c>
      <c r="U122" s="17">
        <v>36</v>
      </c>
      <c r="V122" s="36">
        <f t="shared" si="31"/>
        <v>4.2553191489361701E-2</v>
      </c>
      <c r="W122" s="17">
        <v>5</v>
      </c>
      <c r="X122" s="36">
        <f t="shared" si="24"/>
        <v>2.1459227467811159E-2</v>
      </c>
      <c r="Y122" s="17">
        <v>591</v>
      </c>
      <c r="Z122" s="36">
        <f t="shared" si="32"/>
        <v>0.6985815602836879</v>
      </c>
      <c r="AA122" s="17">
        <v>167</v>
      </c>
      <c r="AB122" s="36">
        <f t="shared" si="25"/>
        <v>0.71673819742489275</v>
      </c>
      <c r="AC122" s="17">
        <v>130</v>
      </c>
      <c r="AD122" s="36">
        <f t="shared" si="33"/>
        <v>0.15366430260047281</v>
      </c>
      <c r="AE122" s="17">
        <v>42</v>
      </c>
      <c r="AF122" s="36">
        <f t="shared" si="26"/>
        <v>0.18025751072961374</v>
      </c>
      <c r="AG122" s="17">
        <v>67</v>
      </c>
      <c r="AH122" s="36">
        <f t="shared" si="34"/>
        <v>7.9196217494089838E-2</v>
      </c>
      <c r="AI122" s="17">
        <v>11</v>
      </c>
      <c r="AJ122" s="36">
        <f t="shared" si="27"/>
        <v>4.7210300429184553E-2</v>
      </c>
      <c r="AK122" s="17">
        <v>9</v>
      </c>
      <c r="AL122" s="36">
        <f t="shared" si="35"/>
        <v>1.0638297872340425E-2</v>
      </c>
      <c r="AM122" s="17">
        <v>2</v>
      </c>
      <c r="AN122" s="36">
        <f t="shared" si="28"/>
        <v>8.5836909871244635E-3</v>
      </c>
      <c r="AO122" s="17">
        <v>846</v>
      </c>
      <c r="AP122" s="17">
        <v>233</v>
      </c>
    </row>
    <row r="123" spans="1:42" ht="15.75" customHeight="1" x14ac:dyDescent="0.25">
      <c r="A123" s="35">
        <v>2024</v>
      </c>
      <c r="B123" s="35">
        <v>172015</v>
      </c>
      <c r="C123" s="33" t="str">
        <f>VLOOKUP(B123,procv!$A$2:$D$142,4,FALSE)</f>
        <v>Capim Dourado</v>
      </c>
      <c r="D123" s="33" t="s">
        <v>126</v>
      </c>
      <c r="E123" s="17">
        <v>2</v>
      </c>
      <c r="F123" s="36">
        <f t="shared" si="18"/>
        <v>7.4349442379182153E-3</v>
      </c>
      <c r="G123" s="17">
        <v>0</v>
      </c>
      <c r="H123" s="36">
        <f t="shared" si="19"/>
        <v>0</v>
      </c>
      <c r="I123" s="17">
        <v>9</v>
      </c>
      <c r="J123" s="36">
        <f t="shared" si="20"/>
        <v>3.3457249070631967E-2</v>
      </c>
      <c r="K123" s="17">
        <v>0</v>
      </c>
      <c r="L123" s="36">
        <f t="shared" si="21"/>
        <v>0</v>
      </c>
      <c r="M123" s="17">
        <v>258</v>
      </c>
      <c r="N123" s="36">
        <f t="shared" si="29"/>
        <v>0.95910780669144979</v>
      </c>
      <c r="O123" s="17">
        <v>64</v>
      </c>
      <c r="P123" s="36">
        <f t="shared" si="22"/>
        <v>1</v>
      </c>
      <c r="Q123" s="17">
        <v>7</v>
      </c>
      <c r="R123" s="36">
        <f t="shared" si="30"/>
        <v>2.6022304832713755E-2</v>
      </c>
      <c r="S123" s="17">
        <v>2</v>
      </c>
      <c r="T123" s="36">
        <f t="shared" si="23"/>
        <v>3.125E-2</v>
      </c>
      <c r="U123" s="17">
        <v>10</v>
      </c>
      <c r="V123" s="36">
        <f t="shared" si="31"/>
        <v>3.717472118959108E-2</v>
      </c>
      <c r="W123" s="17">
        <v>1</v>
      </c>
      <c r="X123" s="36">
        <f t="shared" si="24"/>
        <v>1.5625E-2</v>
      </c>
      <c r="Y123" s="17">
        <v>197</v>
      </c>
      <c r="Z123" s="36">
        <f t="shared" si="32"/>
        <v>0.73234200743494426</v>
      </c>
      <c r="AA123" s="17">
        <v>48</v>
      </c>
      <c r="AB123" s="36">
        <f t="shared" si="25"/>
        <v>0.75</v>
      </c>
      <c r="AC123" s="17">
        <v>41</v>
      </c>
      <c r="AD123" s="36">
        <f t="shared" si="33"/>
        <v>0.15241635687732341</v>
      </c>
      <c r="AE123" s="17">
        <v>11</v>
      </c>
      <c r="AF123" s="36">
        <f t="shared" si="26"/>
        <v>0.171875</v>
      </c>
      <c r="AG123" s="17">
        <v>12</v>
      </c>
      <c r="AH123" s="36">
        <f t="shared" si="34"/>
        <v>4.4609665427509292E-2</v>
      </c>
      <c r="AI123" s="17">
        <v>0</v>
      </c>
      <c r="AJ123" s="36">
        <f t="shared" si="27"/>
        <v>0</v>
      </c>
      <c r="AK123" s="17">
        <v>2</v>
      </c>
      <c r="AL123" s="36">
        <f t="shared" si="35"/>
        <v>7.4349442379182153E-3</v>
      </c>
      <c r="AM123" s="17">
        <v>2</v>
      </c>
      <c r="AN123" s="36">
        <f t="shared" si="28"/>
        <v>3.125E-2</v>
      </c>
      <c r="AO123" s="17">
        <v>269</v>
      </c>
      <c r="AP123" s="17">
        <v>64</v>
      </c>
    </row>
    <row r="124" spans="1:42" ht="15.75" customHeight="1" x14ac:dyDescent="0.25">
      <c r="A124" s="35">
        <v>2024</v>
      </c>
      <c r="B124" s="35">
        <v>172020</v>
      </c>
      <c r="C124" s="33" t="str">
        <f>VLOOKUP(B124,procv!$A$2:$D$142,4,FALSE)</f>
        <v>Bico do Papagaio</v>
      </c>
      <c r="D124" s="33" t="s">
        <v>127</v>
      </c>
      <c r="E124" s="17">
        <v>24</v>
      </c>
      <c r="F124" s="36">
        <f t="shared" si="18"/>
        <v>1.6794961511546535E-2</v>
      </c>
      <c r="G124" s="17">
        <v>5</v>
      </c>
      <c r="H124" s="36">
        <f t="shared" si="19"/>
        <v>1.9157088122605363E-2</v>
      </c>
      <c r="I124" s="17">
        <v>89</v>
      </c>
      <c r="J124" s="36">
        <f t="shared" si="20"/>
        <v>6.2281315605318403E-2</v>
      </c>
      <c r="K124" s="17">
        <v>13</v>
      </c>
      <c r="L124" s="36">
        <f t="shared" si="21"/>
        <v>4.9808429118773943E-2</v>
      </c>
      <c r="M124" s="16">
        <v>1316</v>
      </c>
      <c r="N124" s="36">
        <f t="shared" si="29"/>
        <v>0.92092372288313507</v>
      </c>
      <c r="O124" s="17">
        <v>243</v>
      </c>
      <c r="P124" s="36">
        <f t="shared" si="22"/>
        <v>0.93103448275862066</v>
      </c>
      <c r="Q124" s="17">
        <v>28</v>
      </c>
      <c r="R124" s="36">
        <f t="shared" si="30"/>
        <v>1.9594121763470959E-2</v>
      </c>
      <c r="S124" s="17">
        <v>7</v>
      </c>
      <c r="T124" s="36">
        <f t="shared" si="23"/>
        <v>2.681992337164751E-2</v>
      </c>
      <c r="U124" s="17">
        <v>63</v>
      </c>
      <c r="V124" s="36">
        <f t="shared" si="31"/>
        <v>4.4086773967809655E-2</v>
      </c>
      <c r="W124" s="17">
        <v>10</v>
      </c>
      <c r="X124" s="36">
        <f t="shared" si="24"/>
        <v>3.8314176245210725E-2</v>
      </c>
      <c r="Y124" s="16">
        <v>1010</v>
      </c>
      <c r="Z124" s="36">
        <f t="shared" si="32"/>
        <v>0.70678796361091667</v>
      </c>
      <c r="AA124" s="17">
        <v>177</v>
      </c>
      <c r="AB124" s="36">
        <f t="shared" si="25"/>
        <v>0.67816091954022983</v>
      </c>
      <c r="AC124" s="17">
        <v>218</v>
      </c>
      <c r="AD124" s="36">
        <f t="shared" si="33"/>
        <v>0.15255423372988103</v>
      </c>
      <c r="AE124" s="17">
        <v>46</v>
      </c>
      <c r="AF124" s="36">
        <f t="shared" si="26"/>
        <v>0.17624521072796934</v>
      </c>
      <c r="AG124" s="17">
        <v>90</v>
      </c>
      <c r="AH124" s="36">
        <f t="shared" si="34"/>
        <v>6.2981105668299509E-2</v>
      </c>
      <c r="AI124" s="17">
        <v>16</v>
      </c>
      <c r="AJ124" s="36">
        <f t="shared" si="27"/>
        <v>6.1302681992337162E-2</v>
      </c>
      <c r="AK124" s="17">
        <v>20</v>
      </c>
      <c r="AL124" s="36">
        <f t="shared" si="35"/>
        <v>1.3995801259622114E-2</v>
      </c>
      <c r="AM124" s="17">
        <v>5</v>
      </c>
      <c r="AN124" s="36">
        <f t="shared" si="28"/>
        <v>1.9157088122605363E-2</v>
      </c>
      <c r="AO124" s="16">
        <v>1429</v>
      </c>
      <c r="AP124" s="17">
        <v>261</v>
      </c>
    </row>
    <row r="125" spans="1:42" ht="15.75" customHeight="1" x14ac:dyDescent="0.25">
      <c r="A125" s="35">
        <v>2024</v>
      </c>
      <c r="B125" s="35">
        <v>172025</v>
      </c>
      <c r="C125" s="33" t="str">
        <f>VLOOKUP(B125,procv!$A$2:$D$142,4,FALSE)</f>
        <v>Ilha do Bananal</v>
      </c>
      <c r="D125" s="33" t="s">
        <v>128</v>
      </c>
      <c r="E125" s="17">
        <v>1</v>
      </c>
      <c r="F125" s="36">
        <f t="shared" si="18"/>
        <v>2.1978021978021978E-3</v>
      </c>
      <c r="G125" s="17">
        <v>0</v>
      </c>
      <c r="H125" s="36">
        <f t="shared" si="19"/>
        <v>0</v>
      </c>
      <c r="I125" s="17">
        <v>13</v>
      </c>
      <c r="J125" s="36">
        <f t="shared" si="20"/>
        <v>2.8571428571428571E-2</v>
      </c>
      <c r="K125" s="17">
        <v>2</v>
      </c>
      <c r="L125" s="36">
        <f t="shared" si="21"/>
        <v>3.6363636363636362E-2</v>
      </c>
      <c r="M125" s="17">
        <v>441</v>
      </c>
      <c r="N125" s="36">
        <f t="shared" si="29"/>
        <v>0.96923076923076923</v>
      </c>
      <c r="O125" s="17">
        <v>53</v>
      </c>
      <c r="P125" s="36">
        <f t="shared" si="22"/>
        <v>0.96363636363636362</v>
      </c>
      <c r="Q125" s="17">
        <v>4</v>
      </c>
      <c r="R125" s="36">
        <f t="shared" si="30"/>
        <v>8.7912087912087912E-3</v>
      </c>
      <c r="S125" s="17">
        <v>1</v>
      </c>
      <c r="T125" s="36">
        <f t="shared" si="23"/>
        <v>1.8181818181818181E-2</v>
      </c>
      <c r="U125" s="17">
        <v>10</v>
      </c>
      <c r="V125" s="36">
        <f t="shared" si="31"/>
        <v>2.197802197802198E-2</v>
      </c>
      <c r="W125" s="17">
        <v>1</v>
      </c>
      <c r="X125" s="36">
        <f t="shared" si="24"/>
        <v>1.8181818181818181E-2</v>
      </c>
      <c r="Y125" s="17">
        <v>302</v>
      </c>
      <c r="Z125" s="36">
        <f t="shared" si="32"/>
        <v>0.66373626373626371</v>
      </c>
      <c r="AA125" s="17">
        <v>41</v>
      </c>
      <c r="AB125" s="36">
        <f t="shared" si="25"/>
        <v>0.74545454545454548</v>
      </c>
      <c r="AC125" s="17">
        <v>91</v>
      </c>
      <c r="AD125" s="36">
        <f t="shared" si="33"/>
        <v>0.2</v>
      </c>
      <c r="AE125" s="17">
        <v>9</v>
      </c>
      <c r="AF125" s="36">
        <f t="shared" si="26"/>
        <v>0.16363636363636364</v>
      </c>
      <c r="AG125" s="17">
        <v>42</v>
      </c>
      <c r="AH125" s="36">
        <f t="shared" si="34"/>
        <v>9.2307692307692313E-2</v>
      </c>
      <c r="AI125" s="17">
        <v>3</v>
      </c>
      <c r="AJ125" s="36">
        <f t="shared" si="27"/>
        <v>5.4545454545454543E-2</v>
      </c>
      <c r="AK125" s="17">
        <v>6</v>
      </c>
      <c r="AL125" s="36">
        <f t="shared" si="35"/>
        <v>1.3186813186813187E-2</v>
      </c>
      <c r="AM125" s="17">
        <v>0</v>
      </c>
      <c r="AN125" s="36">
        <f t="shared" si="28"/>
        <v>0</v>
      </c>
      <c r="AO125" s="17">
        <v>455</v>
      </c>
      <c r="AP125" s="17">
        <v>55</v>
      </c>
    </row>
    <row r="126" spans="1:42" ht="15.75" customHeight="1" x14ac:dyDescent="0.25">
      <c r="A126" s="35">
        <v>2024</v>
      </c>
      <c r="B126" s="35">
        <v>172030</v>
      </c>
      <c r="C126" s="33" t="str">
        <f>VLOOKUP(B126,procv!$A$2:$D$142,4,FALSE)</f>
        <v>Bico do Papagaio</v>
      </c>
      <c r="D126" s="33" t="s">
        <v>129</v>
      </c>
      <c r="E126" s="17">
        <v>9</v>
      </c>
      <c r="F126" s="36">
        <f t="shared" si="18"/>
        <v>2.8846153846153848E-2</v>
      </c>
      <c r="G126" s="17">
        <v>3</v>
      </c>
      <c r="H126" s="36">
        <f t="shared" si="19"/>
        <v>2.097902097902098E-2</v>
      </c>
      <c r="I126" s="17">
        <v>18</v>
      </c>
      <c r="J126" s="36">
        <f t="shared" si="20"/>
        <v>5.7692307692307696E-2</v>
      </c>
      <c r="K126" s="17">
        <v>7</v>
      </c>
      <c r="L126" s="36">
        <f t="shared" si="21"/>
        <v>4.8951048951048952E-2</v>
      </c>
      <c r="M126" s="17">
        <v>285</v>
      </c>
      <c r="N126" s="36">
        <f t="shared" si="29"/>
        <v>0.91346153846153844</v>
      </c>
      <c r="O126" s="17">
        <v>133</v>
      </c>
      <c r="P126" s="36">
        <f t="shared" si="22"/>
        <v>0.93006993006993011</v>
      </c>
      <c r="Q126" s="17">
        <v>6</v>
      </c>
      <c r="R126" s="36">
        <f t="shared" si="30"/>
        <v>1.9230769230769232E-2</v>
      </c>
      <c r="S126" s="17">
        <v>4</v>
      </c>
      <c r="T126" s="36">
        <f t="shared" si="23"/>
        <v>2.7972027972027972E-2</v>
      </c>
      <c r="U126" s="17">
        <v>18</v>
      </c>
      <c r="V126" s="36">
        <f t="shared" si="31"/>
        <v>5.7692307692307696E-2</v>
      </c>
      <c r="W126" s="17">
        <v>9</v>
      </c>
      <c r="X126" s="36">
        <f t="shared" si="24"/>
        <v>6.2937062937062943E-2</v>
      </c>
      <c r="Y126" s="17">
        <v>207</v>
      </c>
      <c r="Z126" s="36">
        <f t="shared" si="32"/>
        <v>0.66346153846153844</v>
      </c>
      <c r="AA126" s="17">
        <v>102</v>
      </c>
      <c r="AB126" s="36">
        <f t="shared" si="25"/>
        <v>0.71328671328671334</v>
      </c>
      <c r="AC126" s="17">
        <v>53</v>
      </c>
      <c r="AD126" s="36">
        <f t="shared" si="33"/>
        <v>0.16987179487179488</v>
      </c>
      <c r="AE126" s="17">
        <v>20</v>
      </c>
      <c r="AF126" s="36">
        <f t="shared" si="26"/>
        <v>0.13986013986013987</v>
      </c>
      <c r="AG126" s="17">
        <v>22</v>
      </c>
      <c r="AH126" s="36">
        <f t="shared" si="34"/>
        <v>7.0512820512820512E-2</v>
      </c>
      <c r="AI126" s="17">
        <v>5</v>
      </c>
      <c r="AJ126" s="36">
        <f t="shared" si="27"/>
        <v>3.4965034965034968E-2</v>
      </c>
      <c r="AK126" s="17">
        <v>6</v>
      </c>
      <c r="AL126" s="36">
        <f t="shared" si="35"/>
        <v>1.9230769230769232E-2</v>
      </c>
      <c r="AM126" s="17">
        <v>3</v>
      </c>
      <c r="AN126" s="36">
        <f t="shared" si="28"/>
        <v>2.097902097902098E-2</v>
      </c>
      <c r="AO126" s="17">
        <v>312</v>
      </c>
      <c r="AP126" s="17">
        <v>143</v>
      </c>
    </row>
    <row r="127" spans="1:42" ht="15.75" customHeight="1" x14ac:dyDescent="0.25">
      <c r="A127" s="35">
        <v>2024</v>
      </c>
      <c r="B127" s="35">
        <v>172049</v>
      </c>
      <c r="C127" s="33" t="str">
        <f>VLOOKUP(B127,procv!$A$2:$D$142,4,FALSE)</f>
        <v>Ilha do Bananal</v>
      </c>
      <c r="D127" s="33" t="s">
        <v>130</v>
      </c>
      <c r="E127" s="17">
        <v>8</v>
      </c>
      <c r="F127" s="36">
        <f t="shared" si="18"/>
        <v>2.7118644067796609E-2</v>
      </c>
      <c r="G127" s="17">
        <v>2</v>
      </c>
      <c r="H127" s="36">
        <f t="shared" si="19"/>
        <v>2.2727272727272728E-2</v>
      </c>
      <c r="I127" s="17">
        <v>9</v>
      </c>
      <c r="J127" s="36">
        <f t="shared" si="20"/>
        <v>3.0508474576271188E-2</v>
      </c>
      <c r="K127" s="17">
        <v>2</v>
      </c>
      <c r="L127" s="36">
        <f t="shared" si="21"/>
        <v>2.2727272727272728E-2</v>
      </c>
      <c r="M127" s="17">
        <v>278</v>
      </c>
      <c r="N127" s="36">
        <f t="shared" si="29"/>
        <v>0.94237288135593222</v>
      </c>
      <c r="O127" s="17">
        <v>84</v>
      </c>
      <c r="P127" s="36">
        <f t="shared" si="22"/>
        <v>0.95454545454545459</v>
      </c>
      <c r="Q127" s="17">
        <v>1</v>
      </c>
      <c r="R127" s="36">
        <f t="shared" si="30"/>
        <v>3.3898305084745762E-3</v>
      </c>
      <c r="S127" s="17">
        <v>0</v>
      </c>
      <c r="T127" s="36">
        <f t="shared" si="23"/>
        <v>0</v>
      </c>
      <c r="U127" s="17">
        <v>16</v>
      </c>
      <c r="V127" s="36">
        <f t="shared" si="31"/>
        <v>5.4237288135593219E-2</v>
      </c>
      <c r="W127" s="17">
        <v>6</v>
      </c>
      <c r="X127" s="36">
        <f t="shared" si="24"/>
        <v>6.8181818181818177E-2</v>
      </c>
      <c r="Y127" s="17">
        <v>200</v>
      </c>
      <c r="Z127" s="36">
        <f t="shared" si="32"/>
        <v>0.67796610169491522</v>
      </c>
      <c r="AA127" s="17">
        <v>54</v>
      </c>
      <c r="AB127" s="36">
        <f t="shared" si="25"/>
        <v>0.61363636363636365</v>
      </c>
      <c r="AC127" s="17">
        <v>45</v>
      </c>
      <c r="AD127" s="36">
        <f t="shared" si="33"/>
        <v>0.15254237288135594</v>
      </c>
      <c r="AE127" s="17">
        <v>13</v>
      </c>
      <c r="AF127" s="36">
        <f t="shared" si="26"/>
        <v>0.14772727272727273</v>
      </c>
      <c r="AG127" s="17">
        <v>23</v>
      </c>
      <c r="AH127" s="36">
        <f t="shared" si="34"/>
        <v>7.796610169491526E-2</v>
      </c>
      <c r="AI127" s="17">
        <v>10</v>
      </c>
      <c r="AJ127" s="36">
        <f t="shared" si="27"/>
        <v>0.11363636363636363</v>
      </c>
      <c r="AK127" s="17">
        <v>10</v>
      </c>
      <c r="AL127" s="36">
        <f t="shared" si="35"/>
        <v>3.3898305084745763E-2</v>
      </c>
      <c r="AM127" s="17">
        <v>5</v>
      </c>
      <c r="AN127" s="36">
        <f t="shared" si="28"/>
        <v>5.6818181818181816E-2</v>
      </c>
      <c r="AO127" s="17">
        <v>295</v>
      </c>
      <c r="AP127" s="17">
        <v>88</v>
      </c>
    </row>
    <row r="128" spans="1:42" ht="15.75" customHeight="1" x14ac:dyDescent="0.25">
      <c r="A128" s="35">
        <v>2024</v>
      </c>
      <c r="B128" s="35">
        <v>172065</v>
      </c>
      <c r="C128" s="33" t="str">
        <f>VLOOKUP(B128,procv!$A$2:$D$142,4,FALSE)</f>
        <v>Amor Perfeito</v>
      </c>
      <c r="D128" s="33" t="s">
        <v>131</v>
      </c>
      <c r="E128" s="17">
        <v>11</v>
      </c>
      <c r="F128" s="36">
        <f t="shared" si="18"/>
        <v>1.4686248331108143E-2</v>
      </c>
      <c r="G128" s="17">
        <v>9</v>
      </c>
      <c r="H128" s="36">
        <f t="shared" si="19"/>
        <v>5.3254437869822487E-2</v>
      </c>
      <c r="I128" s="17">
        <v>14</v>
      </c>
      <c r="J128" s="36">
        <f t="shared" si="20"/>
        <v>1.8691588785046728E-2</v>
      </c>
      <c r="K128" s="17">
        <v>6</v>
      </c>
      <c r="L128" s="36">
        <f t="shared" si="21"/>
        <v>3.5502958579881658E-2</v>
      </c>
      <c r="M128" s="17">
        <v>724</v>
      </c>
      <c r="N128" s="36">
        <f t="shared" si="29"/>
        <v>0.96662216288384517</v>
      </c>
      <c r="O128" s="17">
        <v>154</v>
      </c>
      <c r="P128" s="36">
        <f t="shared" si="22"/>
        <v>0.91124260355029585</v>
      </c>
      <c r="Q128" s="17">
        <v>5</v>
      </c>
      <c r="R128" s="36">
        <f t="shared" si="30"/>
        <v>6.6755674232309749E-3</v>
      </c>
      <c r="S128" s="17">
        <v>0</v>
      </c>
      <c r="T128" s="36">
        <f t="shared" si="23"/>
        <v>0</v>
      </c>
      <c r="U128" s="17">
        <v>31</v>
      </c>
      <c r="V128" s="36">
        <f t="shared" si="31"/>
        <v>4.1388518024032039E-2</v>
      </c>
      <c r="W128" s="17">
        <v>4</v>
      </c>
      <c r="X128" s="36">
        <f t="shared" si="24"/>
        <v>2.3668639053254437E-2</v>
      </c>
      <c r="Y128" s="17">
        <v>541</v>
      </c>
      <c r="Z128" s="36">
        <f t="shared" si="32"/>
        <v>0.72229639519359146</v>
      </c>
      <c r="AA128" s="17">
        <v>121</v>
      </c>
      <c r="AB128" s="36">
        <f t="shared" si="25"/>
        <v>0.71597633136094674</v>
      </c>
      <c r="AC128" s="17">
        <v>104</v>
      </c>
      <c r="AD128" s="36">
        <f t="shared" si="33"/>
        <v>0.13885180240320427</v>
      </c>
      <c r="AE128" s="17">
        <v>30</v>
      </c>
      <c r="AF128" s="36">
        <f t="shared" si="26"/>
        <v>0.17751479289940827</v>
      </c>
      <c r="AG128" s="17">
        <v>51</v>
      </c>
      <c r="AH128" s="36">
        <f t="shared" si="34"/>
        <v>6.8090787716955939E-2</v>
      </c>
      <c r="AI128" s="17">
        <v>11</v>
      </c>
      <c r="AJ128" s="36">
        <f t="shared" si="27"/>
        <v>6.5088757396449703E-2</v>
      </c>
      <c r="AK128" s="17">
        <v>17</v>
      </c>
      <c r="AL128" s="36">
        <f t="shared" si="35"/>
        <v>2.2696929238985315E-2</v>
      </c>
      <c r="AM128" s="17">
        <v>3</v>
      </c>
      <c r="AN128" s="36">
        <f t="shared" si="28"/>
        <v>1.7751479289940829E-2</v>
      </c>
      <c r="AO128" s="17">
        <v>749</v>
      </c>
      <c r="AP128" s="17">
        <v>169</v>
      </c>
    </row>
    <row r="129" spans="1:42" ht="15.75" customHeight="1" x14ac:dyDescent="0.25">
      <c r="A129" s="35">
        <v>2024</v>
      </c>
      <c r="B129" s="35">
        <v>172080</v>
      </c>
      <c r="C129" s="33" t="str">
        <f>VLOOKUP(B129,procv!$A$2:$D$142,4,FALSE)</f>
        <v>Bico do Papagaio</v>
      </c>
      <c r="D129" s="33" t="s">
        <v>132</v>
      </c>
      <c r="E129" s="17">
        <v>40</v>
      </c>
      <c r="F129" s="36">
        <f t="shared" si="18"/>
        <v>2.6720106880427523E-2</v>
      </c>
      <c r="G129" s="17">
        <v>4</v>
      </c>
      <c r="H129" s="36">
        <f t="shared" si="19"/>
        <v>1.3071895424836602E-2</v>
      </c>
      <c r="I129" s="17">
        <v>101</v>
      </c>
      <c r="J129" s="36">
        <f t="shared" si="20"/>
        <v>6.7468269873079495E-2</v>
      </c>
      <c r="K129" s="17">
        <v>10</v>
      </c>
      <c r="L129" s="36">
        <f t="shared" si="21"/>
        <v>3.2679738562091505E-2</v>
      </c>
      <c r="M129" s="16">
        <v>1356</v>
      </c>
      <c r="N129" s="36">
        <f t="shared" si="29"/>
        <v>0.905811623246493</v>
      </c>
      <c r="O129" s="17">
        <v>292</v>
      </c>
      <c r="P129" s="36">
        <f t="shared" si="22"/>
        <v>0.95424836601307195</v>
      </c>
      <c r="Q129" s="17">
        <v>36</v>
      </c>
      <c r="R129" s="36">
        <f t="shared" si="30"/>
        <v>2.4048096192384769E-2</v>
      </c>
      <c r="S129" s="17">
        <v>5</v>
      </c>
      <c r="T129" s="36">
        <f t="shared" si="23"/>
        <v>1.6339869281045753E-2</v>
      </c>
      <c r="U129" s="17">
        <v>80</v>
      </c>
      <c r="V129" s="36">
        <f t="shared" si="31"/>
        <v>5.3440213760855046E-2</v>
      </c>
      <c r="W129" s="17">
        <v>3</v>
      </c>
      <c r="X129" s="36">
        <f t="shared" si="24"/>
        <v>9.8039215686274508E-3</v>
      </c>
      <c r="Y129" s="16">
        <v>1054</v>
      </c>
      <c r="Z129" s="36">
        <f t="shared" si="32"/>
        <v>0.70407481629926516</v>
      </c>
      <c r="AA129" s="17">
        <v>237</v>
      </c>
      <c r="AB129" s="36">
        <f t="shared" si="25"/>
        <v>0.77450980392156865</v>
      </c>
      <c r="AC129" s="17">
        <v>216</v>
      </c>
      <c r="AD129" s="36">
        <f t="shared" si="33"/>
        <v>0.14428857715430862</v>
      </c>
      <c r="AE129" s="17">
        <v>50</v>
      </c>
      <c r="AF129" s="36">
        <f t="shared" si="26"/>
        <v>0.16339869281045752</v>
      </c>
      <c r="AG129" s="17">
        <v>97</v>
      </c>
      <c r="AH129" s="36">
        <f t="shared" si="34"/>
        <v>6.4796259185036745E-2</v>
      </c>
      <c r="AI129" s="17">
        <v>11</v>
      </c>
      <c r="AJ129" s="36">
        <f t="shared" si="27"/>
        <v>3.5947712418300651E-2</v>
      </c>
      <c r="AK129" s="17">
        <v>14</v>
      </c>
      <c r="AL129" s="36">
        <f t="shared" si="35"/>
        <v>9.3520374081496327E-3</v>
      </c>
      <c r="AM129" s="17">
        <v>0</v>
      </c>
      <c r="AN129" s="36">
        <f t="shared" si="28"/>
        <v>0</v>
      </c>
      <c r="AO129" s="16">
        <v>1497</v>
      </c>
      <c r="AP129" s="17">
        <v>306</v>
      </c>
    </row>
    <row r="130" spans="1:42" ht="15.75" customHeight="1" x14ac:dyDescent="0.25">
      <c r="A130" s="35">
        <v>2024</v>
      </c>
      <c r="B130" s="35">
        <v>172085</v>
      </c>
      <c r="C130" s="33" t="str">
        <f>VLOOKUP(B130,procv!$A$2:$D$142,4,FALSE)</f>
        <v>Ilha do Bananal</v>
      </c>
      <c r="D130" s="33" t="s">
        <v>133</v>
      </c>
      <c r="E130" s="17">
        <v>1</v>
      </c>
      <c r="F130" s="36">
        <f t="shared" ref="F130:F193" si="36">IFERROR(E130/$AO130,0)</f>
        <v>4.0816326530612249E-3</v>
      </c>
      <c r="G130" s="17">
        <v>0</v>
      </c>
      <c r="H130" s="36">
        <f t="shared" ref="H130:H193" si="37">IFERROR(G130/$AP130,0)</f>
        <v>0</v>
      </c>
      <c r="I130" s="17">
        <v>6</v>
      </c>
      <c r="J130" s="36">
        <f t="shared" ref="J130:J193" si="38">IFERROR(I130/$AO130,0)</f>
        <v>2.4489795918367346E-2</v>
      </c>
      <c r="K130" s="17">
        <v>0</v>
      </c>
      <c r="L130" s="36">
        <f t="shared" ref="L130:L193" si="39">IFERROR(K130/$AP130,0)</f>
        <v>0</v>
      </c>
      <c r="M130" s="17">
        <v>238</v>
      </c>
      <c r="N130" s="36">
        <f t="shared" si="29"/>
        <v>0.97142857142857142</v>
      </c>
      <c r="O130" s="17">
        <v>21</v>
      </c>
      <c r="P130" s="36">
        <f t="shared" ref="P130:P193" si="40">IFERROR(O130/$AP130,0)</f>
        <v>1</v>
      </c>
      <c r="Q130" s="17">
        <v>3</v>
      </c>
      <c r="R130" s="36">
        <f t="shared" si="30"/>
        <v>1.2244897959183673E-2</v>
      </c>
      <c r="S130" s="17">
        <v>0</v>
      </c>
      <c r="T130" s="36">
        <f t="shared" ref="T130:T193" si="41">IFERROR(S130/$AP130,0)</f>
        <v>0</v>
      </c>
      <c r="U130" s="17">
        <v>5</v>
      </c>
      <c r="V130" s="36">
        <f t="shared" si="31"/>
        <v>2.0408163265306121E-2</v>
      </c>
      <c r="W130" s="17">
        <v>0</v>
      </c>
      <c r="X130" s="36">
        <f t="shared" ref="X130:X193" si="42">IFERROR(W130/$AP130,0)</f>
        <v>0</v>
      </c>
      <c r="Y130" s="17">
        <v>169</v>
      </c>
      <c r="Z130" s="36">
        <f t="shared" si="32"/>
        <v>0.68979591836734699</v>
      </c>
      <c r="AA130" s="17">
        <v>14</v>
      </c>
      <c r="AB130" s="36">
        <f t="shared" ref="AB130:AB193" si="43">IFERROR(AA130/$AP130,0)</f>
        <v>0.66666666666666663</v>
      </c>
      <c r="AC130" s="17">
        <v>41</v>
      </c>
      <c r="AD130" s="36">
        <f t="shared" si="33"/>
        <v>0.16734693877551021</v>
      </c>
      <c r="AE130" s="17">
        <v>6</v>
      </c>
      <c r="AF130" s="36">
        <f t="shared" ref="AF130:AF193" si="44">IFERROR(AE130/$AP130,0)</f>
        <v>0.2857142857142857</v>
      </c>
      <c r="AG130" s="17">
        <v>20</v>
      </c>
      <c r="AH130" s="36">
        <f t="shared" si="34"/>
        <v>8.1632653061224483E-2</v>
      </c>
      <c r="AI130" s="17">
        <v>0</v>
      </c>
      <c r="AJ130" s="36">
        <f t="shared" ref="AJ130:AJ193" si="45">IFERROR(AI130/$AP130,0)</f>
        <v>0</v>
      </c>
      <c r="AK130" s="17">
        <v>7</v>
      </c>
      <c r="AL130" s="36">
        <f t="shared" si="35"/>
        <v>2.8571428571428571E-2</v>
      </c>
      <c r="AM130" s="17">
        <v>1</v>
      </c>
      <c r="AN130" s="36">
        <f t="shared" ref="AN130:AN193" si="46">IFERROR(AM130/$AP130,0)</f>
        <v>4.7619047619047616E-2</v>
      </c>
      <c r="AO130" s="17">
        <v>245</v>
      </c>
      <c r="AP130" s="17">
        <v>21</v>
      </c>
    </row>
    <row r="131" spans="1:42" ht="15.75" customHeight="1" x14ac:dyDescent="0.25">
      <c r="A131" s="35">
        <v>2024</v>
      </c>
      <c r="B131" s="35">
        <v>170825</v>
      </c>
      <c r="C131" s="33" t="str">
        <f>VLOOKUP(B131,procv!$A$2:$D$142,4,FALSE)</f>
        <v>Capim Dourado</v>
      </c>
      <c r="D131" s="33" t="s">
        <v>134</v>
      </c>
      <c r="E131" s="17">
        <v>1</v>
      </c>
      <c r="F131" s="36">
        <f t="shared" si="36"/>
        <v>7.874015748031496E-3</v>
      </c>
      <c r="G131" s="17">
        <v>1</v>
      </c>
      <c r="H131" s="36">
        <f t="shared" si="37"/>
        <v>2.3255813953488372E-2</v>
      </c>
      <c r="I131" s="17">
        <v>6</v>
      </c>
      <c r="J131" s="36">
        <f t="shared" si="38"/>
        <v>4.7244094488188976E-2</v>
      </c>
      <c r="K131" s="17">
        <v>0</v>
      </c>
      <c r="L131" s="36">
        <f t="shared" si="39"/>
        <v>0</v>
      </c>
      <c r="M131" s="17">
        <v>120</v>
      </c>
      <c r="N131" s="36">
        <f t="shared" ref="N131:N162" si="47">IFERROR(M131/$AO131,0)</f>
        <v>0.94488188976377951</v>
      </c>
      <c r="O131" s="17">
        <v>42</v>
      </c>
      <c r="P131" s="36">
        <f t="shared" si="40"/>
        <v>0.97674418604651159</v>
      </c>
      <c r="Q131" s="17">
        <v>0</v>
      </c>
      <c r="R131" s="36">
        <f t="shared" ref="R131:R162" si="48">IFERROR(Q131/$AO131,0)</f>
        <v>0</v>
      </c>
      <c r="S131" s="17">
        <v>0</v>
      </c>
      <c r="T131" s="36">
        <f t="shared" si="41"/>
        <v>0</v>
      </c>
      <c r="U131" s="17">
        <v>3</v>
      </c>
      <c r="V131" s="36">
        <f t="shared" ref="V131:V162" si="49">IFERROR(U131/$AO131,0)</f>
        <v>2.3622047244094488E-2</v>
      </c>
      <c r="W131" s="17">
        <v>1</v>
      </c>
      <c r="X131" s="36">
        <f t="shared" si="42"/>
        <v>2.3255813953488372E-2</v>
      </c>
      <c r="Y131" s="17">
        <v>80</v>
      </c>
      <c r="Z131" s="36">
        <f t="shared" ref="Z131:Z162" si="50">IFERROR(Y131/$AO131,0)</f>
        <v>0.62992125984251968</v>
      </c>
      <c r="AA131" s="17">
        <v>32</v>
      </c>
      <c r="AB131" s="36">
        <f t="shared" si="43"/>
        <v>0.7441860465116279</v>
      </c>
      <c r="AC131" s="17">
        <v>31</v>
      </c>
      <c r="AD131" s="36">
        <f t="shared" ref="AD131:AD162" si="51">IFERROR(AC131/$AO131,0)</f>
        <v>0.24409448818897639</v>
      </c>
      <c r="AE131" s="17">
        <v>7</v>
      </c>
      <c r="AF131" s="36">
        <f t="shared" si="44"/>
        <v>0.16279069767441862</v>
      </c>
      <c r="AG131" s="17">
        <v>9</v>
      </c>
      <c r="AH131" s="36">
        <f t="shared" ref="AH131:AH162" si="52">IFERROR(AG131/$AO131,0)</f>
        <v>7.0866141732283464E-2</v>
      </c>
      <c r="AI131" s="17">
        <v>2</v>
      </c>
      <c r="AJ131" s="36">
        <f t="shared" si="45"/>
        <v>4.6511627906976744E-2</v>
      </c>
      <c r="AK131" s="17">
        <v>4</v>
      </c>
      <c r="AL131" s="36">
        <f t="shared" ref="AL131:AL162" si="53">IFERROR(AK131/$AO131,0)</f>
        <v>3.1496062992125984E-2</v>
      </c>
      <c r="AM131" s="17">
        <v>1</v>
      </c>
      <c r="AN131" s="36">
        <f t="shared" si="46"/>
        <v>2.3255813953488372E-2</v>
      </c>
      <c r="AO131" s="17">
        <v>127</v>
      </c>
      <c r="AP131" s="17">
        <v>43</v>
      </c>
    </row>
    <row r="132" spans="1:42" ht="15.75" customHeight="1" x14ac:dyDescent="0.25">
      <c r="A132" s="35">
        <v>2024</v>
      </c>
      <c r="B132" s="35">
        <v>172090</v>
      </c>
      <c r="C132" s="33" t="str">
        <f>VLOOKUP(B132,procv!$A$2:$D$142,4,FALSE)</f>
        <v>Sudeste</v>
      </c>
      <c r="D132" s="33" t="s">
        <v>135</v>
      </c>
      <c r="E132" s="17">
        <v>10</v>
      </c>
      <c r="F132" s="36">
        <f t="shared" si="36"/>
        <v>1.0288065843621399E-2</v>
      </c>
      <c r="G132" s="17">
        <v>1</v>
      </c>
      <c r="H132" s="36">
        <f t="shared" si="37"/>
        <v>4.5871559633027525E-3</v>
      </c>
      <c r="I132" s="17">
        <v>35</v>
      </c>
      <c r="J132" s="36">
        <f t="shared" si="38"/>
        <v>3.60082304526749E-2</v>
      </c>
      <c r="K132" s="17">
        <v>10</v>
      </c>
      <c r="L132" s="36">
        <f t="shared" si="39"/>
        <v>4.5871559633027525E-2</v>
      </c>
      <c r="M132" s="17">
        <v>927</v>
      </c>
      <c r="N132" s="36">
        <f t="shared" si="47"/>
        <v>0.95370370370370372</v>
      </c>
      <c r="O132" s="17">
        <v>207</v>
      </c>
      <c r="P132" s="36">
        <f t="shared" si="40"/>
        <v>0.94954128440366969</v>
      </c>
      <c r="Q132" s="17">
        <v>7</v>
      </c>
      <c r="R132" s="36">
        <f t="shared" si="48"/>
        <v>7.2016460905349796E-3</v>
      </c>
      <c r="S132" s="17">
        <v>3</v>
      </c>
      <c r="T132" s="36">
        <f t="shared" si="41"/>
        <v>1.3761467889908258E-2</v>
      </c>
      <c r="U132" s="17">
        <v>25</v>
      </c>
      <c r="V132" s="36">
        <f t="shared" si="49"/>
        <v>2.5720164609053499E-2</v>
      </c>
      <c r="W132" s="17">
        <v>3</v>
      </c>
      <c r="X132" s="36">
        <f t="shared" si="42"/>
        <v>1.3761467889908258E-2</v>
      </c>
      <c r="Y132" s="17">
        <v>642</v>
      </c>
      <c r="Z132" s="36">
        <f t="shared" si="50"/>
        <v>0.66049382716049387</v>
      </c>
      <c r="AA132" s="17">
        <v>146</v>
      </c>
      <c r="AB132" s="36">
        <f t="shared" si="43"/>
        <v>0.66972477064220182</v>
      </c>
      <c r="AC132" s="17">
        <v>176</v>
      </c>
      <c r="AD132" s="36">
        <f t="shared" si="51"/>
        <v>0.18106995884773663</v>
      </c>
      <c r="AE132" s="17">
        <v>41</v>
      </c>
      <c r="AF132" s="36">
        <f t="shared" si="44"/>
        <v>0.18807339449541285</v>
      </c>
      <c r="AG132" s="17">
        <v>95</v>
      </c>
      <c r="AH132" s="36">
        <f t="shared" si="52"/>
        <v>9.7736625514403291E-2</v>
      </c>
      <c r="AI132" s="17">
        <v>18</v>
      </c>
      <c r="AJ132" s="36">
        <f t="shared" si="45"/>
        <v>8.2568807339449546E-2</v>
      </c>
      <c r="AK132" s="17">
        <v>27</v>
      </c>
      <c r="AL132" s="36">
        <f t="shared" si="53"/>
        <v>2.7777777777777776E-2</v>
      </c>
      <c r="AM132" s="17">
        <v>7</v>
      </c>
      <c r="AN132" s="36">
        <f t="shared" si="46"/>
        <v>3.2110091743119268E-2</v>
      </c>
      <c r="AO132" s="17">
        <v>972</v>
      </c>
      <c r="AP132" s="17">
        <v>218</v>
      </c>
    </row>
    <row r="133" spans="1:42" ht="15.75" customHeight="1" x14ac:dyDescent="0.25">
      <c r="A133" s="35">
        <v>2024</v>
      </c>
      <c r="B133" s="35">
        <v>172093</v>
      </c>
      <c r="C133" s="33" t="str">
        <f>VLOOKUP(B133,procv!$A$2:$D$142,4,FALSE)</f>
        <v>Sudeste</v>
      </c>
      <c r="D133" s="33" t="s">
        <v>136</v>
      </c>
      <c r="E133" s="17">
        <v>1</v>
      </c>
      <c r="F133" s="36">
        <f t="shared" si="36"/>
        <v>3.875968992248062E-3</v>
      </c>
      <c r="G133" s="17">
        <v>0</v>
      </c>
      <c r="H133" s="36">
        <f t="shared" si="37"/>
        <v>0</v>
      </c>
      <c r="I133" s="17">
        <v>6</v>
      </c>
      <c r="J133" s="36">
        <f t="shared" si="38"/>
        <v>2.3255813953488372E-2</v>
      </c>
      <c r="K133" s="17">
        <v>2</v>
      </c>
      <c r="L133" s="36">
        <f t="shared" si="39"/>
        <v>7.1428571428571425E-2</v>
      </c>
      <c r="M133" s="17">
        <v>251</v>
      </c>
      <c r="N133" s="36">
        <f t="shared" si="47"/>
        <v>0.97286821705426352</v>
      </c>
      <c r="O133" s="17">
        <v>26</v>
      </c>
      <c r="P133" s="36">
        <f t="shared" si="40"/>
        <v>0.9285714285714286</v>
      </c>
      <c r="Q133" s="17">
        <v>1</v>
      </c>
      <c r="R133" s="36">
        <f t="shared" si="48"/>
        <v>3.875968992248062E-3</v>
      </c>
      <c r="S133" s="17">
        <v>0</v>
      </c>
      <c r="T133" s="36">
        <f t="shared" si="41"/>
        <v>0</v>
      </c>
      <c r="U133" s="17">
        <v>9</v>
      </c>
      <c r="V133" s="36">
        <f t="shared" si="49"/>
        <v>3.4883720930232558E-2</v>
      </c>
      <c r="W133" s="17">
        <v>2</v>
      </c>
      <c r="X133" s="36">
        <f t="shared" si="42"/>
        <v>7.1428571428571425E-2</v>
      </c>
      <c r="Y133" s="17">
        <v>195</v>
      </c>
      <c r="Z133" s="36">
        <f t="shared" si="50"/>
        <v>0.7558139534883721</v>
      </c>
      <c r="AA133" s="17">
        <v>17</v>
      </c>
      <c r="AB133" s="36">
        <f t="shared" si="43"/>
        <v>0.6071428571428571</v>
      </c>
      <c r="AC133" s="17">
        <v>24</v>
      </c>
      <c r="AD133" s="36">
        <f t="shared" si="51"/>
        <v>9.3023255813953487E-2</v>
      </c>
      <c r="AE133" s="17">
        <v>5</v>
      </c>
      <c r="AF133" s="36">
        <f t="shared" si="44"/>
        <v>0.17857142857142858</v>
      </c>
      <c r="AG133" s="17">
        <v>24</v>
      </c>
      <c r="AH133" s="36">
        <f t="shared" si="52"/>
        <v>9.3023255813953487E-2</v>
      </c>
      <c r="AI133" s="17">
        <v>2</v>
      </c>
      <c r="AJ133" s="36">
        <f t="shared" si="45"/>
        <v>7.1428571428571425E-2</v>
      </c>
      <c r="AK133" s="17">
        <v>5</v>
      </c>
      <c r="AL133" s="36">
        <f t="shared" si="53"/>
        <v>1.937984496124031E-2</v>
      </c>
      <c r="AM133" s="17">
        <v>2</v>
      </c>
      <c r="AN133" s="36">
        <f t="shared" si="46"/>
        <v>7.1428571428571425E-2</v>
      </c>
      <c r="AO133" s="17">
        <v>258</v>
      </c>
      <c r="AP133" s="17">
        <v>28</v>
      </c>
    </row>
    <row r="134" spans="1:42" ht="15.75" customHeight="1" x14ac:dyDescent="0.25">
      <c r="A134" s="35">
        <v>2024</v>
      </c>
      <c r="B134" s="35">
        <v>172097</v>
      </c>
      <c r="C134" s="33" t="str">
        <f>VLOOKUP(B134,procv!$A$2:$D$142,4,FALSE)</f>
        <v>Ilha do Bananal</v>
      </c>
      <c r="D134" s="33" t="s">
        <v>137</v>
      </c>
      <c r="E134" s="17">
        <v>0</v>
      </c>
      <c r="F134" s="36">
        <f t="shared" si="36"/>
        <v>0</v>
      </c>
      <c r="G134" s="17">
        <v>0</v>
      </c>
      <c r="H134" s="36">
        <f t="shared" si="37"/>
        <v>0</v>
      </c>
      <c r="I134" s="17">
        <v>7</v>
      </c>
      <c r="J134" s="36">
        <f t="shared" si="38"/>
        <v>2.681992337164751E-2</v>
      </c>
      <c r="K134" s="17">
        <v>1</v>
      </c>
      <c r="L134" s="36">
        <f t="shared" si="39"/>
        <v>3.4482758620689655E-2</v>
      </c>
      <c r="M134" s="17">
        <v>254</v>
      </c>
      <c r="N134" s="36">
        <f t="shared" si="47"/>
        <v>0.97318007662835249</v>
      </c>
      <c r="O134" s="17">
        <v>28</v>
      </c>
      <c r="P134" s="36">
        <f t="shared" si="40"/>
        <v>0.96551724137931039</v>
      </c>
      <c r="Q134" s="17">
        <v>2</v>
      </c>
      <c r="R134" s="36">
        <f t="shared" si="48"/>
        <v>7.6628352490421452E-3</v>
      </c>
      <c r="S134" s="17">
        <v>0</v>
      </c>
      <c r="T134" s="36">
        <f t="shared" si="41"/>
        <v>0</v>
      </c>
      <c r="U134" s="17">
        <v>12</v>
      </c>
      <c r="V134" s="36">
        <f t="shared" si="49"/>
        <v>4.5977011494252873E-2</v>
      </c>
      <c r="W134" s="17">
        <v>1</v>
      </c>
      <c r="X134" s="36">
        <f t="shared" si="42"/>
        <v>3.4482758620689655E-2</v>
      </c>
      <c r="Y134" s="17">
        <v>161</v>
      </c>
      <c r="Z134" s="36">
        <f t="shared" si="50"/>
        <v>0.61685823754789271</v>
      </c>
      <c r="AA134" s="17">
        <v>22</v>
      </c>
      <c r="AB134" s="36">
        <f t="shared" si="43"/>
        <v>0.75862068965517238</v>
      </c>
      <c r="AC134" s="17">
        <v>48</v>
      </c>
      <c r="AD134" s="36">
        <f t="shared" si="51"/>
        <v>0.18390804597701149</v>
      </c>
      <c r="AE134" s="17">
        <v>3</v>
      </c>
      <c r="AF134" s="36">
        <f t="shared" si="44"/>
        <v>0.10344827586206896</v>
      </c>
      <c r="AG134" s="17">
        <v>27</v>
      </c>
      <c r="AH134" s="36">
        <f t="shared" si="52"/>
        <v>0.10344827586206896</v>
      </c>
      <c r="AI134" s="17">
        <v>2</v>
      </c>
      <c r="AJ134" s="36">
        <f t="shared" si="45"/>
        <v>6.8965517241379309E-2</v>
      </c>
      <c r="AK134" s="17">
        <v>11</v>
      </c>
      <c r="AL134" s="36">
        <f t="shared" si="53"/>
        <v>4.2145593869731802E-2</v>
      </c>
      <c r="AM134" s="17">
        <v>1</v>
      </c>
      <c r="AN134" s="36">
        <f t="shared" si="46"/>
        <v>3.4482758620689655E-2</v>
      </c>
      <c r="AO134" s="17">
        <v>261</v>
      </c>
      <c r="AP134" s="17">
        <v>29</v>
      </c>
    </row>
    <row r="135" spans="1:42" ht="15.75" customHeight="1" x14ac:dyDescent="0.25">
      <c r="A135" s="35">
        <v>2024</v>
      </c>
      <c r="B135" s="35">
        <v>172110</v>
      </c>
      <c r="C135" s="33" t="str">
        <f>VLOOKUP(B135,procv!$A$2:$D$142,4,FALSE)</f>
        <v>Capim Dourado</v>
      </c>
      <c r="D135" s="33" t="s">
        <v>138</v>
      </c>
      <c r="E135" s="17">
        <v>17</v>
      </c>
      <c r="F135" s="36">
        <f t="shared" si="36"/>
        <v>1.9036954087346025E-2</v>
      </c>
      <c r="G135" s="17">
        <v>15</v>
      </c>
      <c r="H135" s="36">
        <f t="shared" si="37"/>
        <v>2.564102564102564E-2</v>
      </c>
      <c r="I135" s="17">
        <v>28</v>
      </c>
      <c r="J135" s="36">
        <f t="shared" si="38"/>
        <v>3.1354983202687571E-2</v>
      </c>
      <c r="K135" s="17">
        <v>17</v>
      </c>
      <c r="L135" s="36">
        <f t="shared" si="39"/>
        <v>2.9059829059829061E-2</v>
      </c>
      <c r="M135" s="17">
        <v>848</v>
      </c>
      <c r="N135" s="36">
        <f t="shared" si="47"/>
        <v>0.94960806270996645</v>
      </c>
      <c r="O135" s="17">
        <v>553</v>
      </c>
      <c r="P135" s="36">
        <f t="shared" si="40"/>
        <v>0.94529914529914527</v>
      </c>
      <c r="Q135" s="17">
        <v>6</v>
      </c>
      <c r="R135" s="36">
        <f t="shared" si="48"/>
        <v>6.7189249720044789E-3</v>
      </c>
      <c r="S135" s="17">
        <v>7</v>
      </c>
      <c r="T135" s="36">
        <f t="shared" si="41"/>
        <v>1.1965811965811967E-2</v>
      </c>
      <c r="U135" s="17">
        <v>10</v>
      </c>
      <c r="V135" s="36">
        <f t="shared" si="49"/>
        <v>1.1198208286674132E-2</v>
      </c>
      <c r="W135" s="17">
        <v>7</v>
      </c>
      <c r="X135" s="36">
        <f t="shared" si="42"/>
        <v>1.1965811965811967E-2</v>
      </c>
      <c r="Y135" s="17">
        <v>571</v>
      </c>
      <c r="Z135" s="36">
        <f t="shared" si="50"/>
        <v>0.63941769316909292</v>
      </c>
      <c r="AA135" s="17">
        <v>365</v>
      </c>
      <c r="AB135" s="36">
        <f t="shared" si="43"/>
        <v>0.62393162393162394</v>
      </c>
      <c r="AC135" s="17">
        <v>212</v>
      </c>
      <c r="AD135" s="36">
        <f t="shared" si="51"/>
        <v>0.23740201567749161</v>
      </c>
      <c r="AE135" s="17">
        <v>148</v>
      </c>
      <c r="AF135" s="36">
        <f t="shared" si="44"/>
        <v>0.25299145299145298</v>
      </c>
      <c r="AG135" s="17">
        <v>79</v>
      </c>
      <c r="AH135" s="36">
        <f t="shared" si="52"/>
        <v>8.8465845464725648E-2</v>
      </c>
      <c r="AI135" s="17">
        <v>49</v>
      </c>
      <c r="AJ135" s="36">
        <f t="shared" si="45"/>
        <v>8.3760683760683755E-2</v>
      </c>
      <c r="AK135" s="17">
        <v>15</v>
      </c>
      <c r="AL135" s="36">
        <f t="shared" si="53"/>
        <v>1.6797312430011199E-2</v>
      </c>
      <c r="AM135" s="17">
        <v>9</v>
      </c>
      <c r="AN135" s="36">
        <f t="shared" si="46"/>
        <v>1.5384615384615385E-2</v>
      </c>
      <c r="AO135" s="17">
        <v>893</v>
      </c>
      <c r="AP135" s="17">
        <v>585</v>
      </c>
    </row>
    <row r="136" spans="1:42" ht="15.75" customHeight="1" x14ac:dyDescent="0.25">
      <c r="A136" s="35">
        <v>2024</v>
      </c>
      <c r="B136" s="35">
        <v>172120</v>
      </c>
      <c r="C136" s="33" t="str">
        <f>VLOOKUP(B136,procv!$A$2:$D$142,4,FALSE)</f>
        <v>Bico do Papagaio</v>
      </c>
      <c r="D136" s="33" t="s">
        <v>139</v>
      </c>
      <c r="E136" s="17">
        <v>19</v>
      </c>
      <c r="F136" s="36">
        <f t="shared" si="36"/>
        <v>1.2258064516129033E-2</v>
      </c>
      <c r="G136" s="17">
        <v>13</v>
      </c>
      <c r="H136" s="36">
        <f t="shared" si="37"/>
        <v>1.8678160919540231E-2</v>
      </c>
      <c r="I136" s="17">
        <v>65</v>
      </c>
      <c r="J136" s="36">
        <f t="shared" si="38"/>
        <v>4.1935483870967745E-2</v>
      </c>
      <c r="K136" s="17">
        <v>40</v>
      </c>
      <c r="L136" s="36">
        <f t="shared" si="39"/>
        <v>5.7471264367816091E-2</v>
      </c>
      <c r="M136" s="16">
        <v>1466</v>
      </c>
      <c r="N136" s="36">
        <f t="shared" si="47"/>
        <v>0.94580645161290322</v>
      </c>
      <c r="O136" s="17">
        <v>643</v>
      </c>
      <c r="P136" s="36">
        <f t="shared" si="40"/>
        <v>0.92385057471264365</v>
      </c>
      <c r="Q136" s="17">
        <v>18</v>
      </c>
      <c r="R136" s="36">
        <f t="shared" si="48"/>
        <v>1.1612903225806452E-2</v>
      </c>
      <c r="S136" s="17">
        <v>8</v>
      </c>
      <c r="T136" s="36">
        <f t="shared" si="41"/>
        <v>1.1494252873563218E-2</v>
      </c>
      <c r="U136" s="17">
        <v>90</v>
      </c>
      <c r="V136" s="36">
        <f t="shared" si="49"/>
        <v>5.8064516129032261E-2</v>
      </c>
      <c r="W136" s="17">
        <v>33</v>
      </c>
      <c r="X136" s="36">
        <f t="shared" si="42"/>
        <v>4.7413793103448273E-2</v>
      </c>
      <c r="Y136" s="16">
        <v>1075</v>
      </c>
      <c r="Z136" s="36">
        <f t="shared" si="50"/>
        <v>0.69354838709677424</v>
      </c>
      <c r="AA136" s="17">
        <v>473</v>
      </c>
      <c r="AB136" s="36">
        <f t="shared" si="43"/>
        <v>0.6795977011494253</v>
      </c>
      <c r="AC136" s="17">
        <v>241</v>
      </c>
      <c r="AD136" s="36">
        <f t="shared" si="51"/>
        <v>0.15548387096774194</v>
      </c>
      <c r="AE136" s="17">
        <v>126</v>
      </c>
      <c r="AF136" s="36">
        <f t="shared" si="44"/>
        <v>0.18103448275862069</v>
      </c>
      <c r="AG136" s="17">
        <v>110</v>
      </c>
      <c r="AH136" s="36">
        <f t="shared" si="52"/>
        <v>7.0967741935483872E-2</v>
      </c>
      <c r="AI136" s="17">
        <v>48</v>
      </c>
      <c r="AJ136" s="36">
        <f t="shared" si="45"/>
        <v>6.8965517241379309E-2</v>
      </c>
      <c r="AK136" s="17">
        <v>16</v>
      </c>
      <c r="AL136" s="36">
        <f t="shared" si="53"/>
        <v>1.032258064516129E-2</v>
      </c>
      <c r="AM136" s="17">
        <v>8</v>
      </c>
      <c r="AN136" s="36">
        <f t="shared" si="46"/>
        <v>1.1494252873563218E-2</v>
      </c>
      <c r="AO136" s="16">
        <v>1550</v>
      </c>
      <c r="AP136" s="17">
        <v>696</v>
      </c>
    </row>
    <row r="137" spans="1:42" ht="15.75" customHeight="1" x14ac:dyDescent="0.25">
      <c r="A137" s="35">
        <v>2024</v>
      </c>
      <c r="B137" s="35">
        <v>172125</v>
      </c>
      <c r="C137" s="33" t="str">
        <f>VLOOKUP(B137,procv!$A$2:$D$142,4,FALSE)</f>
        <v>Cerrado Tocantins Araguaia</v>
      </c>
      <c r="D137" s="33" t="s">
        <v>140</v>
      </c>
      <c r="E137" s="17">
        <v>2</v>
      </c>
      <c r="F137" s="36">
        <f t="shared" si="36"/>
        <v>8.368200836820083E-3</v>
      </c>
      <c r="G137" s="17">
        <v>1</v>
      </c>
      <c r="H137" s="36">
        <f t="shared" si="37"/>
        <v>3.0303030303030304E-2</v>
      </c>
      <c r="I137" s="17">
        <v>5</v>
      </c>
      <c r="J137" s="36">
        <f t="shared" si="38"/>
        <v>2.0920502092050208E-2</v>
      </c>
      <c r="K137" s="17">
        <v>0</v>
      </c>
      <c r="L137" s="36">
        <f t="shared" si="39"/>
        <v>0</v>
      </c>
      <c r="M137" s="17">
        <v>232</v>
      </c>
      <c r="N137" s="36">
        <f t="shared" si="47"/>
        <v>0.97071129707112969</v>
      </c>
      <c r="O137" s="17">
        <v>32</v>
      </c>
      <c r="P137" s="36">
        <f t="shared" si="40"/>
        <v>0.96969696969696972</v>
      </c>
      <c r="Q137" s="17">
        <v>1</v>
      </c>
      <c r="R137" s="36">
        <f t="shared" si="48"/>
        <v>4.1841004184100415E-3</v>
      </c>
      <c r="S137" s="17">
        <v>0</v>
      </c>
      <c r="T137" s="36">
        <f t="shared" si="41"/>
        <v>0</v>
      </c>
      <c r="U137" s="17">
        <v>7</v>
      </c>
      <c r="V137" s="36">
        <f t="shared" si="49"/>
        <v>2.9288702928870293E-2</v>
      </c>
      <c r="W137" s="17">
        <v>1</v>
      </c>
      <c r="X137" s="36">
        <f t="shared" si="42"/>
        <v>3.0303030303030304E-2</v>
      </c>
      <c r="Y137" s="17">
        <v>170</v>
      </c>
      <c r="Z137" s="36">
        <f t="shared" si="50"/>
        <v>0.71129707112970708</v>
      </c>
      <c r="AA137" s="17">
        <v>27</v>
      </c>
      <c r="AB137" s="36">
        <f t="shared" si="43"/>
        <v>0.81818181818181823</v>
      </c>
      <c r="AC137" s="17">
        <v>35</v>
      </c>
      <c r="AD137" s="36">
        <f t="shared" si="51"/>
        <v>0.14644351464435146</v>
      </c>
      <c r="AE137" s="17">
        <v>3</v>
      </c>
      <c r="AF137" s="36">
        <f t="shared" si="44"/>
        <v>9.0909090909090912E-2</v>
      </c>
      <c r="AG137" s="17">
        <v>23</v>
      </c>
      <c r="AH137" s="36">
        <f t="shared" si="52"/>
        <v>9.6234309623430964E-2</v>
      </c>
      <c r="AI137" s="17">
        <v>1</v>
      </c>
      <c r="AJ137" s="36">
        <f t="shared" si="45"/>
        <v>3.0303030303030304E-2</v>
      </c>
      <c r="AK137" s="17">
        <v>3</v>
      </c>
      <c r="AL137" s="36">
        <f t="shared" si="53"/>
        <v>1.2552301255230125E-2</v>
      </c>
      <c r="AM137" s="17">
        <v>1</v>
      </c>
      <c r="AN137" s="36">
        <f t="shared" si="46"/>
        <v>3.0303030303030304E-2</v>
      </c>
      <c r="AO137" s="17">
        <v>239</v>
      </c>
      <c r="AP137" s="17">
        <v>33</v>
      </c>
    </row>
    <row r="138" spans="1:42" ht="15.75" customHeight="1" x14ac:dyDescent="0.25">
      <c r="A138" s="35">
        <v>2024</v>
      </c>
      <c r="B138" s="35">
        <v>172130</v>
      </c>
      <c r="C138" s="33" t="str">
        <f>VLOOKUP(B138,procv!$A$2:$D$142,4,FALSE)</f>
        <v>Cerrado Tocantins Araguaia</v>
      </c>
      <c r="D138" s="33" t="s">
        <v>141</v>
      </c>
      <c r="E138" s="17">
        <v>1</v>
      </c>
      <c r="F138" s="36">
        <f t="shared" si="36"/>
        <v>5.3191489361702126E-3</v>
      </c>
      <c r="G138" s="17">
        <v>0</v>
      </c>
      <c r="H138" s="36">
        <f t="shared" si="37"/>
        <v>0</v>
      </c>
      <c r="I138" s="17">
        <v>9</v>
      </c>
      <c r="J138" s="36">
        <f t="shared" si="38"/>
        <v>4.7872340425531915E-2</v>
      </c>
      <c r="K138" s="17">
        <v>4</v>
      </c>
      <c r="L138" s="36">
        <f t="shared" si="39"/>
        <v>0.15384615384615385</v>
      </c>
      <c r="M138" s="17">
        <v>178</v>
      </c>
      <c r="N138" s="36">
        <f t="shared" si="47"/>
        <v>0.94680851063829785</v>
      </c>
      <c r="O138" s="17">
        <v>22</v>
      </c>
      <c r="P138" s="36">
        <f t="shared" si="40"/>
        <v>0.84615384615384615</v>
      </c>
      <c r="Q138" s="17">
        <v>2</v>
      </c>
      <c r="R138" s="36">
        <f t="shared" si="48"/>
        <v>1.0638297872340425E-2</v>
      </c>
      <c r="S138" s="17">
        <v>0</v>
      </c>
      <c r="T138" s="36">
        <f t="shared" si="41"/>
        <v>0</v>
      </c>
      <c r="U138" s="17">
        <v>5</v>
      </c>
      <c r="V138" s="36">
        <f t="shared" si="49"/>
        <v>2.6595744680851064E-2</v>
      </c>
      <c r="W138" s="17">
        <v>1</v>
      </c>
      <c r="X138" s="36">
        <f t="shared" si="42"/>
        <v>3.8461538461538464E-2</v>
      </c>
      <c r="Y138" s="17">
        <v>143</v>
      </c>
      <c r="Z138" s="36">
        <f t="shared" si="50"/>
        <v>0.76063829787234039</v>
      </c>
      <c r="AA138" s="17">
        <v>21</v>
      </c>
      <c r="AB138" s="36">
        <f t="shared" si="43"/>
        <v>0.80769230769230771</v>
      </c>
      <c r="AC138" s="17">
        <v>28</v>
      </c>
      <c r="AD138" s="36">
        <f t="shared" si="51"/>
        <v>0.14893617021276595</v>
      </c>
      <c r="AE138" s="17">
        <v>4</v>
      </c>
      <c r="AF138" s="36">
        <f t="shared" si="44"/>
        <v>0.15384615384615385</v>
      </c>
      <c r="AG138" s="17">
        <v>9</v>
      </c>
      <c r="AH138" s="36">
        <f t="shared" si="52"/>
        <v>4.7872340425531915E-2</v>
      </c>
      <c r="AI138" s="17">
        <v>0</v>
      </c>
      <c r="AJ138" s="36">
        <f t="shared" si="45"/>
        <v>0</v>
      </c>
      <c r="AK138" s="17">
        <v>1</v>
      </c>
      <c r="AL138" s="36">
        <f t="shared" si="53"/>
        <v>5.3191489361702126E-3</v>
      </c>
      <c r="AM138" s="17">
        <v>0</v>
      </c>
      <c r="AN138" s="36">
        <f t="shared" si="46"/>
        <v>0</v>
      </c>
      <c r="AO138" s="17">
        <v>188</v>
      </c>
      <c r="AP138" s="17">
        <v>26</v>
      </c>
    </row>
    <row r="139" spans="1:42" ht="15.75" customHeight="1" x14ac:dyDescent="0.25">
      <c r="A139" s="35">
        <v>2024</v>
      </c>
      <c r="B139" s="35">
        <v>172208</v>
      </c>
      <c r="C139" s="33" t="str">
        <f>VLOOKUP(B139,procv!$A$2:$D$142,4,FALSE)</f>
        <v>Médio Norte Araguaia</v>
      </c>
      <c r="D139" s="33" t="s">
        <v>142</v>
      </c>
      <c r="E139" s="17">
        <v>13</v>
      </c>
      <c r="F139" s="36">
        <f t="shared" si="36"/>
        <v>1.6069221260815822E-2</v>
      </c>
      <c r="G139" s="17">
        <v>1</v>
      </c>
      <c r="H139" s="36">
        <f t="shared" si="37"/>
        <v>7.6335877862595417E-3</v>
      </c>
      <c r="I139" s="17">
        <v>39</v>
      </c>
      <c r="J139" s="36">
        <f t="shared" si="38"/>
        <v>4.8207663782447466E-2</v>
      </c>
      <c r="K139" s="17">
        <v>3</v>
      </c>
      <c r="L139" s="36">
        <f t="shared" si="39"/>
        <v>2.2900763358778626E-2</v>
      </c>
      <c r="M139" s="17">
        <v>757</v>
      </c>
      <c r="N139" s="36">
        <f t="shared" si="47"/>
        <v>0.93572311495673666</v>
      </c>
      <c r="O139" s="17">
        <v>127</v>
      </c>
      <c r="P139" s="36">
        <f t="shared" si="40"/>
        <v>0.96946564885496178</v>
      </c>
      <c r="Q139" s="17">
        <v>9</v>
      </c>
      <c r="R139" s="36">
        <f t="shared" si="48"/>
        <v>1.1124845488257108E-2</v>
      </c>
      <c r="S139" s="17">
        <v>3</v>
      </c>
      <c r="T139" s="36">
        <f t="shared" si="41"/>
        <v>2.2900763358778626E-2</v>
      </c>
      <c r="U139" s="17">
        <v>30</v>
      </c>
      <c r="V139" s="36">
        <f t="shared" si="49"/>
        <v>3.7082818294190356E-2</v>
      </c>
      <c r="W139" s="17">
        <v>4</v>
      </c>
      <c r="X139" s="36">
        <f t="shared" si="42"/>
        <v>3.0534351145038167E-2</v>
      </c>
      <c r="Y139" s="17">
        <v>552</v>
      </c>
      <c r="Z139" s="36">
        <f t="shared" si="50"/>
        <v>0.68232385661310258</v>
      </c>
      <c r="AA139" s="17">
        <v>97</v>
      </c>
      <c r="AB139" s="36">
        <f t="shared" si="43"/>
        <v>0.74045801526717558</v>
      </c>
      <c r="AC139" s="17">
        <v>131</v>
      </c>
      <c r="AD139" s="36">
        <f t="shared" si="51"/>
        <v>0.16192830655129789</v>
      </c>
      <c r="AE139" s="17">
        <v>19</v>
      </c>
      <c r="AF139" s="36">
        <f t="shared" si="44"/>
        <v>0.14503816793893129</v>
      </c>
      <c r="AG139" s="17">
        <v>77</v>
      </c>
      <c r="AH139" s="36">
        <f t="shared" si="52"/>
        <v>9.5179233621755246E-2</v>
      </c>
      <c r="AI139" s="17">
        <v>8</v>
      </c>
      <c r="AJ139" s="36">
        <f t="shared" si="45"/>
        <v>6.1068702290076333E-2</v>
      </c>
      <c r="AK139" s="17">
        <v>10</v>
      </c>
      <c r="AL139" s="36">
        <f t="shared" si="53"/>
        <v>1.2360939431396786E-2</v>
      </c>
      <c r="AM139" s="17">
        <v>0</v>
      </c>
      <c r="AN139" s="36">
        <f t="shared" si="46"/>
        <v>0</v>
      </c>
      <c r="AO139" s="17">
        <v>809</v>
      </c>
      <c r="AP139" s="17">
        <v>131</v>
      </c>
    </row>
    <row r="140" spans="1:42" ht="15.75" customHeight="1" x14ac:dyDescent="0.25">
      <c r="A140" s="35">
        <v>2024</v>
      </c>
      <c r="B140" s="35">
        <v>172210</v>
      </c>
      <c r="C140" s="33" t="str">
        <f>VLOOKUP(B140,procv!$A$2:$D$142,4,FALSE)</f>
        <v>Médio Norte Araguaia</v>
      </c>
      <c r="D140" s="33" t="s">
        <v>143</v>
      </c>
      <c r="E140" s="17">
        <v>12</v>
      </c>
      <c r="F140" s="36">
        <f t="shared" si="36"/>
        <v>1.3363028953229399E-2</v>
      </c>
      <c r="G140" s="17">
        <v>3</v>
      </c>
      <c r="H140" s="36">
        <f t="shared" si="37"/>
        <v>1.6304347826086956E-2</v>
      </c>
      <c r="I140" s="17">
        <v>28</v>
      </c>
      <c r="J140" s="36">
        <f t="shared" si="38"/>
        <v>3.1180400890868598E-2</v>
      </c>
      <c r="K140" s="17">
        <v>10</v>
      </c>
      <c r="L140" s="36">
        <f t="shared" si="39"/>
        <v>5.434782608695652E-2</v>
      </c>
      <c r="M140" s="17">
        <v>858</v>
      </c>
      <c r="N140" s="36">
        <f t="shared" si="47"/>
        <v>0.95545657015590202</v>
      </c>
      <c r="O140" s="17">
        <v>171</v>
      </c>
      <c r="P140" s="36">
        <f t="shared" si="40"/>
        <v>0.92934782608695654</v>
      </c>
      <c r="Q140" s="17">
        <v>10</v>
      </c>
      <c r="R140" s="36">
        <f t="shared" si="48"/>
        <v>1.1135857461024499E-2</v>
      </c>
      <c r="S140" s="17">
        <v>2</v>
      </c>
      <c r="T140" s="36">
        <f t="shared" si="41"/>
        <v>1.0869565217391304E-2</v>
      </c>
      <c r="U140" s="17">
        <v>37</v>
      </c>
      <c r="V140" s="36">
        <f t="shared" si="49"/>
        <v>4.1202672605790643E-2</v>
      </c>
      <c r="W140" s="17">
        <v>5</v>
      </c>
      <c r="X140" s="36">
        <f t="shared" si="42"/>
        <v>2.717391304347826E-2</v>
      </c>
      <c r="Y140" s="17">
        <v>641</v>
      </c>
      <c r="Z140" s="36">
        <f t="shared" si="50"/>
        <v>0.71380846325167036</v>
      </c>
      <c r="AA140" s="17">
        <v>143</v>
      </c>
      <c r="AB140" s="36">
        <f t="shared" si="43"/>
        <v>0.77717391304347827</v>
      </c>
      <c r="AC140" s="17">
        <v>127</v>
      </c>
      <c r="AD140" s="36">
        <f t="shared" si="51"/>
        <v>0.14142538975501115</v>
      </c>
      <c r="AE140" s="17">
        <v>17</v>
      </c>
      <c r="AF140" s="36">
        <f t="shared" si="44"/>
        <v>9.2391304347826081E-2</v>
      </c>
      <c r="AG140" s="17">
        <v>61</v>
      </c>
      <c r="AH140" s="36">
        <f t="shared" si="52"/>
        <v>6.7928730512249444E-2</v>
      </c>
      <c r="AI140" s="17">
        <v>14</v>
      </c>
      <c r="AJ140" s="36">
        <f t="shared" si="45"/>
        <v>7.6086956521739135E-2</v>
      </c>
      <c r="AK140" s="17">
        <v>22</v>
      </c>
      <c r="AL140" s="36">
        <f t="shared" si="53"/>
        <v>2.4498886414253896E-2</v>
      </c>
      <c r="AM140" s="17">
        <v>3</v>
      </c>
      <c r="AN140" s="36">
        <f t="shared" si="46"/>
        <v>1.6304347826086956E-2</v>
      </c>
      <c r="AO140" s="17">
        <v>898</v>
      </c>
      <c r="AP140" s="17">
        <v>184</v>
      </c>
    </row>
    <row r="141" spans="1:42" ht="15.75" customHeight="1" x14ac:dyDescent="0.25">
      <c r="A141" s="37">
        <v>2023</v>
      </c>
      <c r="B141" s="35">
        <v>170025</v>
      </c>
      <c r="C141" s="33" t="str">
        <f>VLOOKUP(B141,procv!$A$2:$D$142,4,FALSE)</f>
        <v>Cantão</v>
      </c>
      <c r="D141" s="33" t="s">
        <v>5</v>
      </c>
      <c r="E141" s="17">
        <v>4</v>
      </c>
      <c r="F141" s="36">
        <f t="shared" si="36"/>
        <v>1.2698412698412698E-2</v>
      </c>
      <c r="G141" s="17">
        <v>0</v>
      </c>
      <c r="H141" s="36">
        <f t="shared" si="37"/>
        <v>0</v>
      </c>
      <c r="I141" s="17">
        <v>9</v>
      </c>
      <c r="J141" s="36">
        <f t="shared" si="38"/>
        <v>2.8571428571428571E-2</v>
      </c>
      <c r="K141" s="17">
        <v>0</v>
      </c>
      <c r="L141" s="36">
        <f t="shared" si="39"/>
        <v>0</v>
      </c>
      <c r="M141" s="17">
        <v>302</v>
      </c>
      <c r="N141" s="36">
        <f t="shared" si="47"/>
        <v>0.95873015873015877</v>
      </c>
      <c r="O141" s="17">
        <v>19</v>
      </c>
      <c r="P141" s="36">
        <f t="shared" si="40"/>
        <v>1</v>
      </c>
      <c r="Q141" s="17">
        <v>1</v>
      </c>
      <c r="R141" s="36">
        <f t="shared" si="48"/>
        <v>3.1746031746031746E-3</v>
      </c>
      <c r="S141" s="17">
        <v>0</v>
      </c>
      <c r="T141" s="36">
        <f t="shared" si="41"/>
        <v>0</v>
      </c>
      <c r="U141" s="17">
        <v>11</v>
      </c>
      <c r="V141" s="36">
        <f t="shared" si="49"/>
        <v>3.4920634920634921E-2</v>
      </c>
      <c r="W141" s="17">
        <v>0</v>
      </c>
      <c r="X141" s="36">
        <f t="shared" si="42"/>
        <v>0</v>
      </c>
      <c r="Y141" s="17">
        <v>215</v>
      </c>
      <c r="Z141" s="36">
        <f t="shared" si="50"/>
        <v>0.68253968253968256</v>
      </c>
      <c r="AA141" s="17">
        <v>13</v>
      </c>
      <c r="AB141" s="36">
        <f t="shared" si="43"/>
        <v>0.68421052631578949</v>
      </c>
      <c r="AC141" s="17">
        <v>51</v>
      </c>
      <c r="AD141" s="36">
        <f t="shared" si="51"/>
        <v>0.16190476190476191</v>
      </c>
      <c r="AE141" s="17">
        <v>4</v>
      </c>
      <c r="AF141" s="36">
        <f t="shared" si="44"/>
        <v>0.21052631578947367</v>
      </c>
      <c r="AG141" s="17">
        <v>28</v>
      </c>
      <c r="AH141" s="36">
        <f t="shared" si="52"/>
        <v>8.8888888888888892E-2</v>
      </c>
      <c r="AI141" s="17">
        <v>2</v>
      </c>
      <c r="AJ141" s="36">
        <f t="shared" si="45"/>
        <v>0.10526315789473684</v>
      </c>
      <c r="AK141" s="17">
        <v>9</v>
      </c>
      <c r="AL141" s="36">
        <f t="shared" si="53"/>
        <v>2.8571428571428571E-2</v>
      </c>
      <c r="AM141" s="17">
        <v>0</v>
      </c>
      <c r="AN141" s="36">
        <f t="shared" si="46"/>
        <v>0</v>
      </c>
      <c r="AO141" s="17">
        <v>315</v>
      </c>
      <c r="AP141" s="17">
        <v>19</v>
      </c>
    </row>
    <row r="142" spans="1:42" ht="15.75" customHeight="1" x14ac:dyDescent="0.25">
      <c r="A142" s="37">
        <v>2023</v>
      </c>
      <c r="B142" s="35">
        <v>170030</v>
      </c>
      <c r="C142" s="33" t="str">
        <f>VLOOKUP(B142,procv!$A$2:$D$142,4,FALSE)</f>
        <v>Bico do Papagaio</v>
      </c>
      <c r="D142" s="33" t="s">
        <v>6</v>
      </c>
      <c r="E142" s="17">
        <v>5</v>
      </c>
      <c r="F142" s="36">
        <f t="shared" si="36"/>
        <v>2.1929824561403508E-2</v>
      </c>
      <c r="G142" s="17">
        <v>2</v>
      </c>
      <c r="H142" s="36">
        <f t="shared" si="37"/>
        <v>2.7397260273972601E-2</v>
      </c>
      <c r="I142" s="17">
        <v>10</v>
      </c>
      <c r="J142" s="36">
        <f t="shared" si="38"/>
        <v>4.3859649122807015E-2</v>
      </c>
      <c r="K142" s="17">
        <v>2</v>
      </c>
      <c r="L142" s="36">
        <f t="shared" si="39"/>
        <v>2.7397260273972601E-2</v>
      </c>
      <c r="M142" s="17">
        <v>213</v>
      </c>
      <c r="N142" s="36">
        <f t="shared" si="47"/>
        <v>0.93421052631578949</v>
      </c>
      <c r="O142" s="17">
        <v>69</v>
      </c>
      <c r="P142" s="36">
        <f t="shared" si="40"/>
        <v>0.9452054794520548</v>
      </c>
      <c r="Q142" s="17">
        <v>2</v>
      </c>
      <c r="R142" s="36">
        <f t="shared" si="48"/>
        <v>8.771929824561403E-3</v>
      </c>
      <c r="S142" s="17">
        <v>0</v>
      </c>
      <c r="T142" s="36">
        <f t="shared" si="41"/>
        <v>0</v>
      </c>
      <c r="U142" s="17">
        <v>8</v>
      </c>
      <c r="V142" s="36">
        <f t="shared" si="49"/>
        <v>3.5087719298245612E-2</v>
      </c>
      <c r="W142" s="17">
        <v>1</v>
      </c>
      <c r="X142" s="36">
        <f t="shared" si="42"/>
        <v>1.3698630136986301E-2</v>
      </c>
      <c r="Y142" s="17">
        <v>158</v>
      </c>
      <c r="Z142" s="36">
        <f t="shared" si="50"/>
        <v>0.69298245614035092</v>
      </c>
      <c r="AA142" s="17">
        <v>55</v>
      </c>
      <c r="AB142" s="36">
        <f t="shared" si="43"/>
        <v>0.75342465753424659</v>
      </c>
      <c r="AC142" s="17">
        <v>39</v>
      </c>
      <c r="AD142" s="36">
        <f t="shared" si="51"/>
        <v>0.17105263157894737</v>
      </c>
      <c r="AE142" s="17">
        <v>13</v>
      </c>
      <c r="AF142" s="36">
        <f t="shared" si="44"/>
        <v>0.17808219178082191</v>
      </c>
      <c r="AG142" s="17">
        <v>16</v>
      </c>
      <c r="AH142" s="36">
        <f t="shared" si="52"/>
        <v>7.0175438596491224E-2</v>
      </c>
      <c r="AI142" s="17">
        <v>3</v>
      </c>
      <c r="AJ142" s="36">
        <f t="shared" si="45"/>
        <v>4.1095890410958902E-2</v>
      </c>
      <c r="AK142" s="17">
        <v>5</v>
      </c>
      <c r="AL142" s="36">
        <f t="shared" si="53"/>
        <v>2.1929824561403508E-2</v>
      </c>
      <c r="AM142" s="17">
        <v>1</v>
      </c>
      <c r="AN142" s="36">
        <f t="shared" si="46"/>
        <v>1.3698630136986301E-2</v>
      </c>
      <c r="AO142" s="17">
        <v>228</v>
      </c>
      <c r="AP142" s="17">
        <v>73</v>
      </c>
    </row>
    <row r="143" spans="1:42" ht="15.75" customHeight="1" x14ac:dyDescent="0.25">
      <c r="A143" s="37">
        <v>2023</v>
      </c>
      <c r="B143" s="35">
        <v>170035</v>
      </c>
      <c r="C143" s="33" t="str">
        <f>VLOOKUP(B143,procv!$A$2:$D$142,4,FALSE)</f>
        <v>Ilha do Bananal</v>
      </c>
      <c r="D143" s="33" t="s">
        <v>7</v>
      </c>
      <c r="E143" s="17">
        <v>4</v>
      </c>
      <c r="F143" s="36">
        <f t="shared" si="36"/>
        <v>8.1632653061224497E-3</v>
      </c>
      <c r="G143" s="17">
        <v>3</v>
      </c>
      <c r="H143" s="36">
        <f t="shared" si="37"/>
        <v>5.0847457627118647E-2</v>
      </c>
      <c r="I143" s="17">
        <v>23</v>
      </c>
      <c r="J143" s="36">
        <f t="shared" si="38"/>
        <v>4.6938775510204082E-2</v>
      </c>
      <c r="K143" s="17">
        <v>3</v>
      </c>
      <c r="L143" s="36">
        <f t="shared" si="39"/>
        <v>5.0847457627118647E-2</v>
      </c>
      <c r="M143" s="17">
        <v>463</v>
      </c>
      <c r="N143" s="36">
        <f t="shared" si="47"/>
        <v>0.94489795918367347</v>
      </c>
      <c r="O143" s="17">
        <v>53</v>
      </c>
      <c r="P143" s="36">
        <f t="shared" si="40"/>
        <v>0.89830508474576276</v>
      </c>
      <c r="Q143" s="17">
        <v>9</v>
      </c>
      <c r="R143" s="36">
        <f t="shared" si="48"/>
        <v>1.8367346938775512E-2</v>
      </c>
      <c r="S143" s="17">
        <v>2</v>
      </c>
      <c r="T143" s="36">
        <f t="shared" si="41"/>
        <v>3.3898305084745763E-2</v>
      </c>
      <c r="U143" s="17">
        <v>18</v>
      </c>
      <c r="V143" s="36">
        <f t="shared" si="49"/>
        <v>3.6734693877551024E-2</v>
      </c>
      <c r="W143" s="17">
        <v>3</v>
      </c>
      <c r="X143" s="36">
        <f t="shared" si="42"/>
        <v>5.0847457627118647E-2</v>
      </c>
      <c r="Y143" s="17">
        <v>295</v>
      </c>
      <c r="Z143" s="36">
        <f t="shared" si="50"/>
        <v>0.60204081632653061</v>
      </c>
      <c r="AA143" s="17">
        <v>34</v>
      </c>
      <c r="AB143" s="36">
        <f t="shared" si="43"/>
        <v>0.57627118644067798</v>
      </c>
      <c r="AC143" s="17">
        <v>95</v>
      </c>
      <c r="AD143" s="36">
        <f t="shared" si="51"/>
        <v>0.19387755102040816</v>
      </c>
      <c r="AE143" s="17">
        <v>8</v>
      </c>
      <c r="AF143" s="36">
        <f t="shared" si="44"/>
        <v>0.13559322033898305</v>
      </c>
      <c r="AG143" s="17">
        <v>56</v>
      </c>
      <c r="AH143" s="36">
        <f t="shared" si="52"/>
        <v>0.11428571428571428</v>
      </c>
      <c r="AI143" s="17">
        <v>10</v>
      </c>
      <c r="AJ143" s="36">
        <f t="shared" si="45"/>
        <v>0.16949152542372881</v>
      </c>
      <c r="AK143" s="17">
        <v>17</v>
      </c>
      <c r="AL143" s="36">
        <f t="shared" si="53"/>
        <v>3.4693877551020408E-2</v>
      </c>
      <c r="AM143" s="17">
        <v>2</v>
      </c>
      <c r="AN143" s="36">
        <f t="shared" si="46"/>
        <v>3.3898305084745763E-2</v>
      </c>
      <c r="AO143" s="17">
        <v>490</v>
      </c>
      <c r="AP143" s="17">
        <v>59</v>
      </c>
    </row>
    <row r="144" spans="1:42" ht="15.75" customHeight="1" x14ac:dyDescent="0.25">
      <c r="A144" s="37">
        <v>2023</v>
      </c>
      <c r="B144" s="35">
        <v>170040</v>
      </c>
      <c r="C144" s="33" t="str">
        <f>VLOOKUP(B144,procv!$A$2:$D$142,4,FALSE)</f>
        <v>Sudeste</v>
      </c>
      <c r="D144" s="33" t="s">
        <v>8</v>
      </c>
      <c r="E144" s="17">
        <v>4</v>
      </c>
      <c r="F144" s="36">
        <f t="shared" si="36"/>
        <v>7.0422535211267607E-3</v>
      </c>
      <c r="G144" s="17">
        <v>2</v>
      </c>
      <c r="H144" s="36">
        <f t="shared" si="37"/>
        <v>1.1428571428571429E-2</v>
      </c>
      <c r="I144" s="17">
        <v>21</v>
      </c>
      <c r="J144" s="36">
        <f t="shared" si="38"/>
        <v>3.6971830985915492E-2</v>
      </c>
      <c r="K144" s="17">
        <v>5</v>
      </c>
      <c r="L144" s="36">
        <f t="shared" si="39"/>
        <v>2.8571428571428571E-2</v>
      </c>
      <c r="M144" s="17">
        <v>543</v>
      </c>
      <c r="N144" s="36">
        <f t="shared" si="47"/>
        <v>0.95598591549295775</v>
      </c>
      <c r="O144" s="17">
        <v>168</v>
      </c>
      <c r="P144" s="36">
        <f t="shared" si="40"/>
        <v>0.96</v>
      </c>
      <c r="Q144" s="17">
        <v>2</v>
      </c>
      <c r="R144" s="36">
        <f t="shared" si="48"/>
        <v>3.5211267605633804E-3</v>
      </c>
      <c r="S144" s="17">
        <v>1</v>
      </c>
      <c r="T144" s="36">
        <f t="shared" si="41"/>
        <v>5.7142857142857143E-3</v>
      </c>
      <c r="U144" s="17">
        <v>14</v>
      </c>
      <c r="V144" s="36">
        <f t="shared" si="49"/>
        <v>2.464788732394366E-2</v>
      </c>
      <c r="W144" s="17">
        <v>4</v>
      </c>
      <c r="X144" s="36">
        <f t="shared" si="42"/>
        <v>2.2857142857142857E-2</v>
      </c>
      <c r="Y144" s="17">
        <v>399</v>
      </c>
      <c r="Z144" s="36">
        <f t="shared" si="50"/>
        <v>0.70246478873239437</v>
      </c>
      <c r="AA144" s="17">
        <v>120</v>
      </c>
      <c r="AB144" s="36">
        <f t="shared" si="43"/>
        <v>0.68571428571428572</v>
      </c>
      <c r="AC144" s="17">
        <v>109</v>
      </c>
      <c r="AD144" s="36">
        <f t="shared" si="51"/>
        <v>0.19190140845070422</v>
      </c>
      <c r="AE144" s="17">
        <v>39</v>
      </c>
      <c r="AF144" s="36">
        <f t="shared" si="44"/>
        <v>0.22285714285714286</v>
      </c>
      <c r="AG144" s="17">
        <v>33</v>
      </c>
      <c r="AH144" s="36">
        <f t="shared" si="52"/>
        <v>5.8098591549295774E-2</v>
      </c>
      <c r="AI144" s="17">
        <v>8</v>
      </c>
      <c r="AJ144" s="36">
        <f t="shared" si="45"/>
        <v>4.5714285714285714E-2</v>
      </c>
      <c r="AK144" s="17">
        <v>11</v>
      </c>
      <c r="AL144" s="36">
        <f t="shared" si="53"/>
        <v>1.936619718309859E-2</v>
      </c>
      <c r="AM144" s="17">
        <v>3</v>
      </c>
      <c r="AN144" s="36">
        <f t="shared" si="46"/>
        <v>1.7142857142857144E-2</v>
      </c>
      <c r="AO144" s="17">
        <v>568</v>
      </c>
      <c r="AP144" s="17">
        <v>175</v>
      </c>
    </row>
    <row r="145" spans="1:42" ht="15.75" customHeight="1" x14ac:dyDescent="0.25">
      <c r="A145" s="37">
        <v>2023</v>
      </c>
      <c r="B145" s="35">
        <v>170070</v>
      </c>
      <c r="C145" s="33" t="str">
        <f>VLOOKUP(B145,procv!$A$2:$D$142,4,FALSE)</f>
        <v>Ilha do Bananal</v>
      </c>
      <c r="D145" s="33" t="s">
        <v>9</v>
      </c>
      <c r="E145" s="17">
        <v>24</v>
      </c>
      <c r="F145" s="36">
        <f t="shared" si="36"/>
        <v>3.0341340075853349E-2</v>
      </c>
      <c r="G145" s="17">
        <v>0</v>
      </c>
      <c r="H145" s="36">
        <f t="shared" si="37"/>
        <v>0</v>
      </c>
      <c r="I145" s="17">
        <v>36</v>
      </c>
      <c r="J145" s="36">
        <f t="shared" si="38"/>
        <v>4.5512010113780026E-2</v>
      </c>
      <c r="K145" s="17">
        <v>4</v>
      </c>
      <c r="L145" s="36">
        <f t="shared" si="39"/>
        <v>2.0408163265306121E-2</v>
      </c>
      <c r="M145" s="17">
        <v>731</v>
      </c>
      <c r="N145" s="36">
        <f t="shared" si="47"/>
        <v>0.92414664981036665</v>
      </c>
      <c r="O145" s="17">
        <v>192</v>
      </c>
      <c r="P145" s="36">
        <f t="shared" si="40"/>
        <v>0.97959183673469385</v>
      </c>
      <c r="Q145" s="17">
        <v>6</v>
      </c>
      <c r="R145" s="36">
        <f t="shared" si="48"/>
        <v>7.5853350189633373E-3</v>
      </c>
      <c r="S145" s="17">
        <v>0</v>
      </c>
      <c r="T145" s="36">
        <f t="shared" si="41"/>
        <v>0</v>
      </c>
      <c r="U145" s="17">
        <v>19</v>
      </c>
      <c r="V145" s="36">
        <f t="shared" si="49"/>
        <v>2.402022756005057E-2</v>
      </c>
      <c r="W145" s="17">
        <v>1</v>
      </c>
      <c r="X145" s="36">
        <f t="shared" si="42"/>
        <v>5.1020408163265302E-3</v>
      </c>
      <c r="Y145" s="17">
        <v>488</v>
      </c>
      <c r="Z145" s="36">
        <f t="shared" si="50"/>
        <v>0.61694058154235143</v>
      </c>
      <c r="AA145" s="17">
        <v>124</v>
      </c>
      <c r="AB145" s="36">
        <f t="shared" si="43"/>
        <v>0.63265306122448983</v>
      </c>
      <c r="AC145" s="17">
        <v>160</v>
      </c>
      <c r="AD145" s="36">
        <f t="shared" si="51"/>
        <v>0.20227560050568899</v>
      </c>
      <c r="AE145" s="17">
        <v>47</v>
      </c>
      <c r="AF145" s="36">
        <f t="shared" si="44"/>
        <v>0.23979591836734693</v>
      </c>
      <c r="AG145" s="17">
        <v>89</v>
      </c>
      <c r="AH145" s="36">
        <f t="shared" si="52"/>
        <v>0.1125158027812895</v>
      </c>
      <c r="AI145" s="17">
        <v>20</v>
      </c>
      <c r="AJ145" s="36">
        <f t="shared" si="45"/>
        <v>0.10204081632653061</v>
      </c>
      <c r="AK145" s="17">
        <v>29</v>
      </c>
      <c r="AL145" s="36">
        <f t="shared" si="53"/>
        <v>3.6662452591656132E-2</v>
      </c>
      <c r="AM145" s="17">
        <v>4</v>
      </c>
      <c r="AN145" s="36">
        <f t="shared" si="46"/>
        <v>2.0408163265306121E-2</v>
      </c>
      <c r="AO145" s="17">
        <v>791</v>
      </c>
      <c r="AP145" s="17">
        <v>196</v>
      </c>
    </row>
    <row r="146" spans="1:42" ht="15.75" customHeight="1" x14ac:dyDescent="0.25">
      <c r="A146" s="37">
        <v>2023</v>
      </c>
      <c r="B146" s="35">
        <v>170100</v>
      </c>
      <c r="C146" s="33" t="str">
        <f>VLOOKUP(B146,procv!$A$2:$D$142,4,FALSE)</f>
        <v>Bico do Papagaio</v>
      </c>
      <c r="D146" s="33" t="s">
        <v>10</v>
      </c>
      <c r="E146" s="17">
        <v>15</v>
      </c>
      <c r="F146" s="36">
        <f t="shared" si="36"/>
        <v>1.7921146953405017E-2</v>
      </c>
      <c r="G146" s="17">
        <v>8</v>
      </c>
      <c r="H146" s="36">
        <f t="shared" si="37"/>
        <v>2.7491408934707903E-2</v>
      </c>
      <c r="I146" s="17">
        <v>40</v>
      </c>
      <c r="J146" s="36">
        <f t="shared" si="38"/>
        <v>4.778972520908005E-2</v>
      </c>
      <c r="K146" s="17">
        <v>18</v>
      </c>
      <c r="L146" s="36">
        <f t="shared" si="39"/>
        <v>6.1855670103092786E-2</v>
      </c>
      <c r="M146" s="17">
        <v>782</v>
      </c>
      <c r="N146" s="36">
        <f t="shared" si="47"/>
        <v>0.93428912783751494</v>
      </c>
      <c r="O146" s="17">
        <v>265</v>
      </c>
      <c r="P146" s="36">
        <f t="shared" si="40"/>
        <v>0.9106529209621993</v>
      </c>
      <c r="Q146" s="17">
        <v>3</v>
      </c>
      <c r="R146" s="36">
        <f t="shared" si="48"/>
        <v>3.5842293906810036E-3</v>
      </c>
      <c r="S146" s="17">
        <v>1</v>
      </c>
      <c r="T146" s="36">
        <f t="shared" si="41"/>
        <v>3.4364261168384879E-3</v>
      </c>
      <c r="U146" s="17">
        <v>34</v>
      </c>
      <c r="V146" s="36">
        <f t="shared" si="49"/>
        <v>4.0621266427718038E-2</v>
      </c>
      <c r="W146" s="17">
        <v>12</v>
      </c>
      <c r="X146" s="36">
        <f t="shared" si="42"/>
        <v>4.1237113402061855E-2</v>
      </c>
      <c r="Y146" s="17">
        <v>580</v>
      </c>
      <c r="Z146" s="36">
        <f t="shared" si="50"/>
        <v>0.69295101553166072</v>
      </c>
      <c r="AA146" s="17">
        <v>197</v>
      </c>
      <c r="AB146" s="36">
        <f t="shared" si="43"/>
        <v>0.67697594501718217</v>
      </c>
      <c r="AC146" s="17">
        <v>150</v>
      </c>
      <c r="AD146" s="36">
        <f t="shared" si="51"/>
        <v>0.17921146953405018</v>
      </c>
      <c r="AE146" s="17">
        <v>59</v>
      </c>
      <c r="AF146" s="36">
        <f t="shared" si="44"/>
        <v>0.20274914089347079</v>
      </c>
      <c r="AG146" s="17">
        <v>60</v>
      </c>
      <c r="AH146" s="36">
        <f t="shared" si="52"/>
        <v>7.1684587813620068E-2</v>
      </c>
      <c r="AI146" s="17">
        <v>19</v>
      </c>
      <c r="AJ146" s="36">
        <f t="shared" si="45"/>
        <v>6.5292096219931275E-2</v>
      </c>
      <c r="AK146" s="17">
        <v>10</v>
      </c>
      <c r="AL146" s="36">
        <f t="shared" si="53"/>
        <v>1.1947431302270013E-2</v>
      </c>
      <c r="AM146" s="17">
        <v>3</v>
      </c>
      <c r="AN146" s="36">
        <f t="shared" si="46"/>
        <v>1.0309278350515464E-2</v>
      </c>
      <c r="AO146" s="17">
        <v>837</v>
      </c>
      <c r="AP146" s="17">
        <v>291</v>
      </c>
    </row>
    <row r="147" spans="1:42" ht="15.75" customHeight="1" x14ac:dyDescent="0.25">
      <c r="A147" s="37">
        <v>2023</v>
      </c>
      <c r="B147" s="35">
        <v>170105</v>
      </c>
      <c r="C147" s="33" t="str">
        <f>VLOOKUP(B147,procv!$A$2:$D$142,4,FALSE)</f>
        <v>Bico do Papagaio</v>
      </c>
      <c r="D147" s="33" t="s">
        <v>11</v>
      </c>
      <c r="E147" s="17">
        <v>5</v>
      </c>
      <c r="F147" s="36">
        <f t="shared" si="36"/>
        <v>1.5151515151515152E-2</v>
      </c>
      <c r="G147" s="17">
        <v>0</v>
      </c>
      <c r="H147" s="36">
        <f t="shared" si="37"/>
        <v>0</v>
      </c>
      <c r="I147" s="17">
        <v>12</v>
      </c>
      <c r="J147" s="36">
        <f t="shared" si="38"/>
        <v>3.6363636363636362E-2</v>
      </c>
      <c r="K147" s="17">
        <v>4</v>
      </c>
      <c r="L147" s="36">
        <f t="shared" si="39"/>
        <v>6.5573770491803282E-2</v>
      </c>
      <c r="M147" s="17">
        <v>313</v>
      </c>
      <c r="N147" s="36">
        <f t="shared" si="47"/>
        <v>0.94848484848484849</v>
      </c>
      <c r="O147" s="17">
        <v>57</v>
      </c>
      <c r="P147" s="36">
        <f t="shared" si="40"/>
        <v>0.93442622950819676</v>
      </c>
      <c r="Q147" s="17">
        <v>6</v>
      </c>
      <c r="R147" s="36">
        <f t="shared" si="48"/>
        <v>1.8181818181818181E-2</v>
      </c>
      <c r="S147" s="17">
        <v>1</v>
      </c>
      <c r="T147" s="36">
        <f t="shared" si="41"/>
        <v>1.6393442622950821E-2</v>
      </c>
      <c r="U147" s="17">
        <v>15</v>
      </c>
      <c r="V147" s="36">
        <f t="shared" si="49"/>
        <v>4.5454545454545456E-2</v>
      </c>
      <c r="W147" s="17">
        <v>1</v>
      </c>
      <c r="X147" s="36">
        <f t="shared" si="42"/>
        <v>1.6393442622950821E-2</v>
      </c>
      <c r="Y147" s="17">
        <v>239</v>
      </c>
      <c r="Z147" s="36">
        <f t="shared" si="50"/>
        <v>0.72424242424242424</v>
      </c>
      <c r="AA147" s="17">
        <v>42</v>
      </c>
      <c r="AB147" s="36">
        <f t="shared" si="43"/>
        <v>0.68852459016393441</v>
      </c>
      <c r="AC147" s="17">
        <v>51</v>
      </c>
      <c r="AD147" s="36">
        <f t="shared" si="51"/>
        <v>0.15454545454545454</v>
      </c>
      <c r="AE147" s="17">
        <v>11</v>
      </c>
      <c r="AF147" s="36">
        <f t="shared" si="44"/>
        <v>0.18032786885245902</v>
      </c>
      <c r="AG147" s="17">
        <v>17</v>
      </c>
      <c r="AH147" s="36">
        <f t="shared" si="52"/>
        <v>5.1515151515151514E-2</v>
      </c>
      <c r="AI147" s="17">
        <v>6</v>
      </c>
      <c r="AJ147" s="36">
        <f t="shared" si="45"/>
        <v>9.8360655737704916E-2</v>
      </c>
      <c r="AK147" s="17">
        <v>2</v>
      </c>
      <c r="AL147" s="36">
        <f t="shared" si="53"/>
        <v>6.0606060606060606E-3</v>
      </c>
      <c r="AM147" s="17">
        <v>0</v>
      </c>
      <c r="AN147" s="36">
        <f t="shared" si="46"/>
        <v>0</v>
      </c>
      <c r="AO147" s="17">
        <v>330</v>
      </c>
      <c r="AP147" s="17">
        <v>61</v>
      </c>
    </row>
    <row r="148" spans="1:42" ht="15.75" customHeight="1" x14ac:dyDescent="0.25">
      <c r="A148" s="37">
        <v>2023</v>
      </c>
      <c r="B148" s="35">
        <v>170110</v>
      </c>
      <c r="C148" s="33" t="str">
        <f>VLOOKUP(B148,procv!$A$2:$D$142,4,FALSE)</f>
        <v>Capim Dourado</v>
      </c>
      <c r="D148" s="33" t="s">
        <v>12</v>
      </c>
      <c r="E148" s="17">
        <v>1</v>
      </c>
      <c r="F148" s="36">
        <f t="shared" si="36"/>
        <v>2.0202020202020202E-3</v>
      </c>
      <c r="G148" s="17">
        <v>0</v>
      </c>
      <c r="H148" s="36">
        <f t="shared" si="37"/>
        <v>0</v>
      </c>
      <c r="I148" s="17">
        <v>12</v>
      </c>
      <c r="J148" s="36">
        <f t="shared" si="38"/>
        <v>2.4242424242424242E-2</v>
      </c>
      <c r="K148" s="17">
        <v>0</v>
      </c>
      <c r="L148" s="36">
        <f t="shared" si="39"/>
        <v>0</v>
      </c>
      <c r="M148" s="17">
        <v>482</v>
      </c>
      <c r="N148" s="36">
        <f t="shared" si="47"/>
        <v>0.97373737373737379</v>
      </c>
      <c r="O148" s="17">
        <v>81</v>
      </c>
      <c r="P148" s="36">
        <f t="shared" si="40"/>
        <v>1</v>
      </c>
      <c r="Q148" s="17">
        <v>1</v>
      </c>
      <c r="R148" s="36">
        <f t="shared" si="48"/>
        <v>2.0202020202020202E-3</v>
      </c>
      <c r="S148" s="17">
        <v>0</v>
      </c>
      <c r="T148" s="36">
        <f t="shared" si="41"/>
        <v>0</v>
      </c>
      <c r="U148" s="17">
        <v>22</v>
      </c>
      <c r="V148" s="36">
        <f t="shared" si="49"/>
        <v>4.4444444444444446E-2</v>
      </c>
      <c r="W148" s="17">
        <v>3</v>
      </c>
      <c r="X148" s="36">
        <f t="shared" si="42"/>
        <v>3.7037037037037035E-2</v>
      </c>
      <c r="Y148" s="17">
        <v>339</v>
      </c>
      <c r="Z148" s="36">
        <f t="shared" si="50"/>
        <v>0.68484848484848482</v>
      </c>
      <c r="AA148" s="17">
        <v>55</v>
      </c>
      <c r="AB148" s="36">
        <f t="shared" si="43"/>
        <v>0.67901234567901236</v>
      </c>
      <c r="AC148" s="17">
        <v>84</v>
      </c>
      <c r="AD148" s="36">
        <f t="shared" si="51"/>
        <v>0.16969696969696971</v>
      </c>
      <c r="AE148" s="17">
        <v>16</v>
      </c>
      <c r="AF148" s="36">
        <f t="shared" si="44"/>
        <v>0.19753086419753085</v>
      </c>
      <c r="AG148" s="17">
        <v>33</v>
      </c>
      <c r="AH148" s="36">
        <f t="shared" si="52"/>
        <v>6.6666666666666666E-2</v>
      </c>
      <c r="AI148" s="17">
        <v>2</v>
      </c>
      <c r="AJ148" s="36">
        <f t="shared" si="45"/>
        <v>2.4691358024691357E-2</v>
      </c>
      <c r="AK148" s="17">
        <v>16</v>
      </c>
      <c r="AL148" s="36">
        <f t="shared" si="53"/>
        <v>3.2323232323232323E-2</v>
      </c>
      <c r="AM148" s="17">
        <v>5</v>
      </c>
      <c r="AN148" s="36">
        <f t="shared" si="46"/>
        <v>6.1728395061728392E-2</v>
      </c>
      <c r="AO148" s="17">
        <v>495</v>
      </c>
      <c r="AP148" s="17">
        <v>81</v>
      </c>
    </row>
    <row r="149" spans="1:42" ht="15.75" customHeight="1" x14ac:dyDescent="0.25">
      <c r="A149" s="37">
        <v>2023</v>
      </c>
      <c r="B149" s="35">
        <v>170130</v>
      </c>
      <c r="C149" s="33" t="str">
        <f>VLOOKUP(B149,procv!$A$2:$D$142,4,FALSE)</f>
        <v>Médio Norte Araguaia</v>
      </c>
      <c r="D149" s="33" t="s">
        <v>13</v>
      </c>
      <c r="E149" s="17">
        <v>13</v>
      </c>
      <c r="F149" s="36">
        <f t="shared" si="36"/>
        <v>2.1103896103896104E-2</v>
      </c>
      <c r="G149" s="17">
        <v>6</v>
      </c>
      <c r="H149" s="36">
        <f t="shared" si="37"/>
        <v>5.3571428571428568E-2</v>
      </c>
      <c r="I149" s="17">
        <v>35</v>
      </c>
      <c r="J149" s="36">
        <f t="shared" si="38"/>
        <v>5.6818181818181816E-2</v>
      </c>
      <c r="K149" s="17">
        <v>5</v>
      </c>
      <c r="L149" s="36">
        <f t="shared" si="39"/>
        <v>4.4642857142857144E-2</v>
      </c>
      <c r="M149" s="17">
        <v>568</v>
      </c>
      <c r="N149" s="36">
        <f t="shared" si="47"/>
        <v>0.92207792207792205</v>
      </c>
      <c r="O149" s="17">
        <v>101</v>
      </c>
      <c r="P149" s="36">
        <f t="shared" si="40"/>
        <v>0.9017857142857143</v>
      </c>
      <c r="Q149" s="17">
        <v>6</v>
      </c>
      <c r="R149" s="36">
        <f t="shared" si="48"/>
        <v>9.74025974025974E-3</v>
      </c>
      <c r="S149" s="17">
        <v>0</v>
      </c>
      <c r="T149" s="36">
        <f t="shared" si="41"/>
        <v>0</v>
      </c>
      <c r="U149" s="17">
        <v>25</v>
      </c>
      <c r="V149" s="36">
        <f t="shared" si="49"/>
        <v>4.0584415584415584E-2</v>
      </c>
      <c r="W149" s="17">
        <v>2</v>
      </c>
      <c r="X149" s="36">
        <f t="shared" si="42"/>
        <v>1.7857142857142856E-2</v>
      </c>
      <c r="Y149" s="17">
        <v>435</v>
      </c>
      <c r="Z149" s="36">
        <f t="shared" si="50"/>
        <v>0.70616883116883122</v>
      </c>
      <c r="AA149" s="17">
        <v>85</v>
      </c>
      <c r="AB149" s="36">
        <f t="shared" si="43"/>
        <v>0.7589285714285714</v>
      </c>
      <c r="AC149" s="17">
        <v>95</v>
      </c>
      <c r="AD149" s="36">
        <f t="shared" si="51"/>
        <v>0.15422077922077923</v>
      </c>
      <c r="AE149" s="17">
        <v>15</v>
      </c>
      <c r="AF149" s="36">
        <f t="shared" si="44"/>
        <v>0.13392857142857142</v>
      </c>
      <c r="AG149" s="17">
        <v>47</v>
      </c>
      <c r="AH149" s="36">
        <f t="shared" si="52"/>
        <v>7.6298701298701296E-2</v>
      </c>
      <c r="AI149" s="17">
        <v>8</v>
      </c>
      <c r="AJ149" s="36">
        <f t="shared" si="45"/>
        <v>7.1428571428571425E-2</v>
      </c>
      <c r="AK149" s="17">
        <v>8</v>
      </c>
      <c r="AL149" s="36">
        <f t="shared" si="53"/>
        <v>1.2987012987012988E-2</v>
      </c>
      <c r="AM149" s="17">
        <v>2</v>
      </c>
      <c r="AN149" s="36">
        <f t="shared" si="46"/>
        <v>1.7857142857142856E-2</v>
      </c>
      <c r="AO149" s="17">
        <v>616</v>
      </c>
      <c r="AP149" s="17">
        <v>112</v>
      </c>
    </row>
    <row r="150" spans="1:42" ht="15.75" customHeight="1" x14ac:dyDescent="0.25">
      <c r="A150" s="37">
        <v>2023</v>
      </c>
      <c r="B150" s="35">
        <v>170190</v>
      </c>
      <c r="C150" s="33" t="str">
        <f>VLOOKUP(B150,procv!$A$2:$D$142,4,FALSE)</f>
        <v>Cantão</v>
      </c>
      <c r="D150" s="33" t="s">
        <v>14</v>
      </c>
      <c r="E150" s="17">
        <v>7</v>
      </c>
      <c r="F150" s="36">
        <f t="shared" si="36"/>
        <v>1.1419249592169658E-2</v>
      </c>
      <c r="G150" s="17">
        <v>7</v>
      </c>
      <c r="H150" s="36">
        <f t="shared" si="37"/>
        <v>3.888888888888889E-2</v>
      </c>
      <c r="I150" s="17">
        <v>27</v>
      </c>
      <c r="J150" s="36">
        <f t="shared" si="38"/>
        <v>4.4045676998368678E-2</v>
      </c>
      <c r="K150" s="17">
        <v>9</v>
      </c>
      <c r="L150" s="36">
        <f t="shared" si="39"/>
        <v>0.05</v>
      </c>
      <c r="M150" s="17">
        <v>579</v>
      </c>
      <c r="N150" s="36">
        <f t="shared" si="47"/>
        <v>0.94453507340946163</v>
      </c>
      <c r="O150" s="17">
        <v>164</v>
      </c>
      <c r="P150" s="36">
        <f t="shared" si="40"/>
        <v>0.91111111111111109</v>
      </c>
      <c r="Q150" s="17">
        <v>3</v>
      </c>
      <c r="R150" s="36">
        <f t="shared" si="48"/>
        <v>4.8939641109298528E-3</v>
      </c>
      <c r="S150" s="17">
        <v>1</v>
      </c>
      <c r="T150" s="36">
        <f t="shared" si="41"/>
        <v>5.5555555555555558E-3</v>
      </c>
      <c r="U150" s="17">
        <v>14</v>
      </c>
      <c r="V150" s="36">
        <f t="shared" si="49"/>
        <v>2.2838499184339316E-2</v>
      </c>
      <c r="W150" s="17">
        <v>5</v>
      </c>
      <c r="X150" s="36">
        <f t="shared" si="42"/>
        <v>2.7777777777777776E-2</v>
      </c>
      <c r="Y150" s="17">
        <v>430</v>
      </c>
      <c r="Z150" s="36">
        <f t="shared" si="50"/>
        <v>0.70146818923327892</v>
      </c>
      <c r="AA150" s="17">
        <v>126</v>
      </c>
      <c r="AB150" s="36">
        <f t="shared" si="43"/>
        <v>0.7</v>
      </c>
      <c r="AC150" s="17">
        <v>104</v>
      </c>
      <c r="AD150" s="36">
        <f t="shared" si="51"/>
        <v>0.16965742251223492</v>
      </c>
      <c r="AE150" s="17">
        <v>30</v>
      </c>
      <c r="AF150" s="36">
        <f t="shared" si="44"/>
        <v>0.16666666666666666</v>
      </c>
      <c r="AG150" s="17">
        <v>54</v>
      </c>
      <c r="AH150" s="36">
        <f t="shared" si="52"/>
        <v>8.8091353996737357E-2</v>
      </c>
      <c r="AI150" s="17">
        <v>13</v>
      </c>
      <c r="AJ150" s="36">
        <f t="shared" si="45"/>
        <v>7.2222222222222215E-2</v>
      </c>
      <c r="AK150" s="17">
        <v>8</v>
      </c>
      <c r="AL150" s="36">
        <f t="shared" si="53"/>
        <v>1.3050570962479609E-2</v>
      </c>
      <c r="AM150" s="17">
        <v>5</v>
      </c>
      <c r="AN150" s="36">
        <f t="shared" si="46"/>
        <v>2.7777777777777776E-2</v>
      </c>
      <c r="AO150" s="17">
        <v>613</v>
      </c>
      <c r="AP150" s="17">
        <v>180</v>
      </c>
    </row>
    <row r="151" spans="1:42" ht="15.75" customHeight="1" x14ac:dyDescent="0.25">
      <c r="A151" s="37">
        <v>2023</v>
      </c>
      <c r="B151" s="35">
        <v>170200</v>
      </c>
      <c r="C151" s="33" t="str">
        <f>VLOOKUP(B151,procv!$A$2:$D$142,4,FALSE)</f>
        <v>Ilha do Bananal</v>
      </c>
      <c r="D151" s="33" t="s">
        <v>15</v>
      </c>
      <c r="E151" s="17">
        <v>4</v>
      </c>
      <c r="F151" s="36">
        <f t="shared" si="36"/>
        <v>6.5681444991789817E-3</v>
      </c>
      <c r="G151" s="17">
        <v>0</v>
      </c>
      <c r="H151" s="36">
        <f t="shared" si="37"/>
        <v>0</v>
      </c>
      <c r="I151" s="17">
        <v>29</v>
      </c>
      <c r="J151" s="36">
        <f t="shared" si="38"/>
        <v>4.7619047619047616E-2</v>
      </c>
      <c r="K151" s="17">
        <v>4</v>
      </c>
      <c r="L151" s="36">
        <f t="shared" si="39"/>
        <v>6.25E-2</v>
      </c>
      <c r="M151" s="17">
        <v>576</v>
      </c>
      <c r="N151" s="36">
        <f t="shared" si="47"/>
        <v>0.94581280788177335</v>
      </c>
      <c r="O151" s="17">
        <v>60</v>
      </c>
      <c r="P151" s="36">
        <f t="shared" si="40"/>
        <v>0.9375</v>
      </c>
      <c r="Q151" s="17">
        <v>3</v>
      </c>
      <c r="R151" s="36">
        <f t="shared" si="48"/>
        <v>4.9261083743842365E-3</v>
      </c>
      <c r="S151" s="17">
        <v>1</v>
      </c>
      <c r="T151" s="36">
        <f t="shared" si="41"/>
        <v>1.5625E-2</v>
      </c>
      <c r="U151" s="17">
        <v>24</v>
      </c>
      <c r="V151" s="36">
        <f t="shared" si="49"/>
        <v>3.9408866995073892E-2</v>
      </c>
      <c r="W151" s="17">
        <v>4</v>
      </c>
      <c r="X151" s="36">
        <f t="shared" si="42"/>
        <v>6.25E-2</v>
      </c>
      <c r="Y151" s="17">
        <v>351</v>
      </c>
      <c r="Z151" s="36">
        <f t="shared" si="50"/>
        <v>0.57635467980295563</v>
      </c>
      <c r="AA151" s="17">
        <v>34</v>
      </c>
      <c r="AB151" s="36">
        <f t="shared" si="43"/>
        <v>0.53125</v>
      </c>
      <c r="AC151" s="17">
        <v>136</v>
      </c>
      <c r="AD151" s="36">
        <f t="shared" si="51"/>
        <v>0.22331691297208539</v>
      </c>
      <c r="AE151" s="17">
        <v>12</v>
      </c>
      <c r="AF151" s="36">
        <f t="shared" si="44"/>
        <v>0.1875</v>
      </c>
      <c r="AG151" s="17">
        <v>73</v>
      </c>
      <c r="AH151" s="36">
        <f t="shared" si="52"/>
        <v>0.11986863711001643</v>
      </c>
      <c r="AI151" s="17">
        <v>11</v>
      </c>
      <c r="AJ151" s="36">
        <f t="shared" si="45"/>
        <v>0.171875</v>
      </c>
      <c r="AK151" s="17">
        <v>22</v>
      </c>
      <c r="AL151" s="36">
        <f t="shared" si="53"/>
        <v>3.6124794745484398E-2</v>
      </c>
      <c r="AM151" s="17">
        <v>2</v>
      </c>
      <c r="AN151" s="36">
        <f t="shared" si="46"/>
        <v>3.125E-2</v>
      </c>
      <c r="AO151" s="17">
        <v>609</v>
      </c>
      <c r="AP151" s="17">
        <v>64</v>
      </c>
    </row>
    <row r="152" spans="1:42" ht="15.75" customHeight="1" x14ac:dyDescent="0.25">
      <c r="A152" s="37">
        <v>2023</v>
      </c>
      <c r="B152" s="35">
        <v>170210</v>
      </c>
      <c r="C152" s="33" t="str">
        <f>VLOOKUP(B152,procv!$A$2:$D$142,4,FALSE)</f>
        <v>Médio Norte Araguaia</v>
      </c>
      <c r="D152" s="33" t="s">
        <v>16</v>
      </c>
      <c r="E152" s="17">
        <v>73</v>
      </c>
      <c r="F152" s="36">
        <f t="shared" si="36"/>
        <v>7.6729030901828881E-3</v>
      </c>
      <c r="G152" s="17">
        <v>13</v>
      </c>
      <c r="H152" s="36">
        <f t="shared" si="37"/>
        <v>5.2250803858520899E-3</v>
      </c>
      <c r="I152" s="17">
        <v>420</v>
      </c>
      <c r="J152" s="36">
        <f t="shared" si="38"/>
        <v>4.4145469833928946E-2</v>
      </c>
      <c r="K152" s="17">
        <v>146</v>
      </c>
      <c r="L152" s="36">
        <f t="shared" si="39"/>
        <v>5.8681672025723476E-2</v>
      </c>
      <c r="M152" s="16">
        <v>9021</v>
      </c>
      <c r="N152" s="36">
        <f t="shared" si="47"/>
        <v>0.94818162707588816</v>
      </c>
      <c r="O152" s="16">
        <v>2329</v>
      </c>
      <c r="P152" s="36">
        <f t="shared" si="40"/>
        <v>0.93609324758842438</v>
      </c>
      <c r="Q152" s="17">
        <v>78</v>
      </c>
      <c r="R152" s="36">
        <f t="shared" si="48"/>
        <v>8.1984443977296609E-3</v>
      </c>
      <c r="S152" s="17">
        <v>17</v>
      </c>
      <c r="T152" s="36">
        <f t="shared" si="41"/>
        <v>6.8327974276527334E-3</v>
      </c>
      <c r="U152" s="17">
        <v>359</v>
      </c>
      <c r="V152" s="36">
        <f t="shared" si="49"/>
        <v>3.7733865881858314E-2</v>
      </c>
      <c r="W152" s="17">
        <v>71</v>
      </c>
      <c r="X152" s="36">
        <f t="shared" si="42"/>
        <v>2.8536977491961414E-2</v>
      </c>
      <c r="Y152" s="16">
        <v>6899</v>
      </c>
      <c r="Z152" s="36">
        <f t="shared" si="50"/>
        <v>0.72514189615303759</v>
      </c>
      <c r="AA152" s="16">
        <v>2079</v>
      </c>
      <c r="AB152" s="36">
        <f t="shared" si="43"/>
        <v>0.83561093247588425</v>
      </c>
      <c r="AC152" s="16">
        <v>1365</v>
      </c>
      <c r="AD152" s="36">
        <f t="shared" si="51"/>
        <v>0.14347277696026908</v>
      </c>
      <c r="AE152" s="17">
        <v>229</v>
      </c>
      <c r="AF152" s="36">
        <f t="shared" si="44"/>
        <v>9.2041800643086813E-2</v>
      </c>
      <c r="AG152" s="17">
        <v>671</v>
      </c>
      <c r="AH152" s="36">
        <f t="shared" si="52"/>
        <v>7.0527643472776957E-2</v>
      </c>
      <c r="AI152" s="17">
        <v>77</v>
      </c>
      <c r="AJ152" s="36">
        <f t="shared" si="45"/>
        <v>3.0948553054662379E-2</v>
      </c>
      <c r="AK152" s="17">
        <v>142</v>
      </c>
      <c r="AL152" s="36">
        <f t="shared" si="53"/>
        <v>1.4925373134328358E-2</v>
      </c>
      <c r="AM152" s="17">
        <v>15</v>
      </c>
      <c r="AN152" s="36">
        <f t="shared" si="46"/>
        <v>6.0289389067524112E-3</v>
      </c>
      <c r="AO152" s="16">
        <v>9514</v>
      </c>
      <c r="AP152" s="16">
        <v>2488</v>
      </c>
    </row>
    <row r="153" spans="1:42" ht="15.75" customHeight="1" x14ac:dyDescent="0.25">
      <c r="A153" s="37">
        <v>2023</v>
      </c>
      <c r="B153" s="35">
        <v>170215</v>
      </c>
      <c r="C153" s="33" t="str">
        <f>VLOOKUP(B153,procv!$A$2:$D$142,4,FALSE)</f>
        <v>Médio Norte Araguaia</v>
      </c>
      <c r="D153" s="33" t="s">
        <v>17</v>
      </c>
      <c r="E153" s="17">
        <v>4</v>
      </c>
      <c r="F153" s="36">
        <f t="shared" si="36"/>
        <v>1.2578616352201259E-2</v>
      </c>
      <c r="G153" s="17">
        <v>1</v>
      </c>
      <c r="H153" s="36">
        <f t="shared" si="37"/>
        <v>1.1363636363636364E-2</v>
      </c>
      <c r="I153" s="17">
        <v>12</v>
      </c>
      <c r="J153" s="36">
        <f t="shared" si="38"/>
        <v>3.7735849056603772E-2</v>
      </c>
      <c r="K153" s="17">
        <v>4</v>
      </c>
      <c r="L153" s="36">
        <f t="shared" si="39"/>
        <v>4.5454545454545456E-2</v>
      </c>
      <c r="M153" s="17">
        <v>302</v>
      </c>
      <c r="N153" s="36">
        <f t="shared" si="47"/>
        <v>0.94968553459119498</v>
      </c>
      <c r="O153" s="17">
        <v>83</v>
      </c>
      <c r="P153" s="36">
        <f t="shared" si="40"/>
        <v>0.94318181818181823</v>
      </c>
      <c r="Q153" s="17">
        <v>3</v>
      </c>
      <c r="R153" s="36">
        <f t="shared" si="48"/>
        <v>9.433962264150943E-3</v>
      </c>
      <c r="S153" s="17">
        <v>0</v>
      </c>
      <c r="T153" s="36">
        <f t="shared" si="41"/>
        <v>0</v>
      </c>
      <c r="U153" s="17">
        <v>6</v>
      </c>
      <c r="V153" s="36">
        <f t="shared" si="49"/>
        <v>1.8867924528301886E-2</v>
      </c>
      <c r="W153" s="17">
        <v>3</v>
      </c>
      <c r="X153" s="36">
        <f t="shared" si="42"/>
        <v>3.4090909090909088E-2</v>
      </c>
      <c r="Y153" s="17">
        <v>227</v>
      </c>
      <c r="Z153" s="36">
        <f t="shared" si="50"/>
        <v>0.71383647798742134</v>
      </c>
      <c r="AA153" s="17">
        <v>65</v>
      </c>
      <c r="AB153" s="36">
        <f t="shared" si="43"/>
        <v>0.73863636363636365</v>
      </c>
      <c r="AC153" s="17">
        <v>53</v>
      </c>
      <c r="AD153" s="36">
        <f t="shared" si="51"/>
        <v>0.16666666666666666</v>
      </c>
      <c r="AE153" s="17">
        <v>15</v>
      </c>
      <c r="AF153" s="36">
        <f t="shared" si="44"/>
        <v>0.17045454545454544</v>
      </c>
      <c r="AG153" s="17">
        <v>24</v>
      </c>
      <c r="AH153" s="36">
        <f t="shared" si="52"/>
        <v>7.5471698113207544E-2</v>
      </c>
      <c r="AI153" s="17">
        <v>5</v>
      </c>
      <c r="AJ153" s="36">
        <f t="shared" si="45"/>
        <v>5.6818181818181816E-2</v>
      </c>
      <c r="AK153" s="17">
        <v>5</v>
      </c>
      <c r="AL153" s="36">
        <f t="shared" si="53"/>
        <v>1.5723270440251572E-2</v>
      </c>
      <c r="AM153" s="17">
        <v>0</v>
      </c>
      <c r="AN153" s="36">
        <f t="shared" si="46"/>
        <v>0</v>
      </c>
      <c r="AO153" s="17">
        <v>318</v>
      </c>
      <c r="AP153" s="17">
        <v>88</v>
      </c>
    </row>
    <row r="154" spans="1:42" ht="15.75" customHeight="1" x14ac:dyDescent="0.25">
      <c r="A154" s="37">
        <v>2023</v>
      </c>
      <c r="B154" s="35">
        <v>170220</v>
      </c>
      <c r="C154" s="33" t="str">
        <f>VLOOKUP(B154,procv!$A$2:$D$142,4,FALSE)</f>
        <v>Bico do Papagaio</v>
      </c>
      <c r="D154" s="33" t="s">
        <v>18</v>
      </c>
      <c r="E154" s="17">
        <v>52</v>
      </c>
      <c r="F154" s="36">
        <f t="shared" si="36"/>
        <v>1.6214530714062987E-2</v>
      </c>
      <c r="G154" s="17">
        <v>23</v>
      </c>
      <c r="H154" s="36">
        <f t="shared" si="37"/>
        <v>3.543913713405239E-2</v>
      </c>
      <c r="I154" s="17">
        <v>159</v>
      </c>
      <c r="J154" s="36">
        <f t="shared" si="38"/>
        <v>4.9579045837231057E-2</v>
      </c>
      <c r="K154" s="17">
        <v>32</v>
      </c>
      <c r="L154" s="36">
        <f t="shared" si="39"/>
        <v>4.930662557781202E-2</v>
      </c>
      <c r="M154" s="16">
        <v>2996</v>
      </c>
      <c r="N154" s="36">
        <f t="shared" si="47"/>
        <v>0.93420642344870597</v>
      </c>
      <c r="O154" s="17">
        <v>594</v>
      </c>
      <c r="P154" s="36">
        <f t="shared" si="40"/>
        <v>0.9152542372881356</v>
      </c>
      <c r="Q154" s="17">
        <v>68</v>
      </c>
      <c r="R154" s="36">
        <f t="shared" si="48"/>
        <v>2.1203617087620828E-2</v>
      </c>
      <c r="S154" s="17">
        <v>20</v>
      </c>
      <c r="T154" s="36">
        <f t="shared" si="41"/>
        <v>3.0816640986132512E-2</v>
      </c>
      <c r="U154" s="17">
        <v>209</v>
      </c>
      <c r="V154" s="36">
        <f t="shared" si="49"/>
        <v>6.5169940754599309E-2</v>
      </c>
      <c r="W154" s="17">
        <v>36</v>
      </c>
      <c r="X154" s="36">
        <f t="shared" si="42"/>
        <v>5.5469953775038522E-2</v>
      </c>
      <c r="Y154" s="16">
        <v>2354</v>
      </c>
      <c r="Z154" s="36">
        <f t="shared" si="50"/>
        <v>0.73401933270969755</v>
      </c>
      <c r="AA154" s="17">
        <v>474</v>
      </c>
      <c r="AB154" s="36">
        <f t="shared" si="43"/>
        <v>0.73035439137134051</v>
      </c>
      <c r="AC154" s="17">
        <v>398</v>
      </c>
      <c r="AD154" s="36">
        <f t="shared" si="51"/>
        <v>0.12410352354225132</v>
      </c>
      <c r="AE154" s="17">
        <v>82</v>
      </c>
      <c r="AF154" s="36">
        <f t="shared" si="44"/>
        <v>0.1263482280431433</v>
      </c>
      <c r="AG154" s="17">
        <v>153</v>
      </c>
      <c r="AH154" s="36">
        <f t="shared" si="52"/>
        <v>4.7708138447146865E-2</v>
      </c>
      <c r="AI154" s="17">
        <v>28</v>
      </c>
      <c r="AJ154" s="36">
        <f t="shared" si="45"/>
        <v>4.3143297380585519E-2</v>
      </c>
      <c r="AK154" s="17">
        <v>25</v>
      </c>
      <c r="AL154" s="36">
        <f t="shared" si="53"/>
        <v>7.7954474586841285E-3</v>
      </c>
      <c r="AM154" s="17">
        <v>9</v>
      </c>
      <c r="AN154" s="36">
        <f t="shared" si="46"/>
        <v>1.386748844375963E-2</v>
      </c>
      <c r="AO154" s="16">
        <v>3207</v>
      </c>
      <c r="AP154" s="17">
        <v>649</v>
      </c>
    </row>
    <row r="155" spans="1:42" ht="15.75" customHeight="1" x14ac:dyDescent="0.25">
      <c r="A155" s="37">
        <v>2023</v>
      </c>
      <c r="B155" s="35">
        <v>170230</v>
      </c>
      <c r="C155" s="33" t="str">
        <f>VLOOKUP(B155,procv!$A$2:$D$142,4,FALSE)</f>
        <v>Cerrado Tocantins Araguaia</v>
      </c>
      <c r="D155" s="33" t="s">
        <v>19</v>
      </c>
      <c r="E155" s="17">
        <v>10</v>
      </c>
      <c r="F155" s="36">
        <f t="shared" si="36"/>
        <v>3.2573289902280131E-2</v>
      </c>
      <c r="G155" s="17">
        <v>2</v>
      </c>
      <c r="H155" s="36">
        <f t="shared" si="37"/>
        <v>1.8691588785046728E-2</v>
      </c>
      <c r="I155" s="17">
        <v>17</v>
      </c>
      <c r="J155" s="36">
        <f t="shared" si="38"/>
        <v>5.5374592833876218E-2</v>
      </c>
      <c r="K155" s="17">
        <v>7</v>
      </c>
      <c r="L155" s="36">
        <f t="shared" si="39"/>
        <v>6.5420560747663545E-2</v>
      </c>
      <c r="M155" s="17">
        <v>280</v>
      </c>
      <c r="N155" s="36">
        <f t="shared" si="47"/>
        <v>0.91205211726384361</v>
      </c>
      <c r="O155" s="17">
        <v>98</v>
      </c>
      <c r="P155" s="36">
        <f t="shared" si="40"/>
        <v>0.91588785046728971</v>
      </c>
      <c r="Q155" s="17">
        <v>1</v>
      </c>
      <c r="R155" s="36">
        <f t="shared" si="48"/>
        <v>3.2573289902280132E-3</v>
      </c>
      <c r="S155" s="17">
        <v>1</v>
      </c>
      <c r="T155" s="36">
        <f t="shared" si="41"/>
        <v>9.3457943925233638E-3</v>
      </c>
      <c r="U155" s="17">
        <v>10</v>
      </c>
      <c r="V155" s="36">
        <f t="shared" si="49"/>
        <v>3.2573289902280131E-2</v>
      </c>
      <c r="W155" s="17">
        <v>3</v>
      </c>
      <c r="X155" s="36">
        <f t="shared" si="42"/>
        <v>2.8037383177570093E-2</v>
      </c>
      <c r="Y155" s="17">
        <v>205</v>
      </c>
      <c r="Z155" s="36">
        <f t="shared" si="50"/>
        <v>0.66775244299674263</v>
      </c>
      <c r="AA155" s="17">
        <v>77</v>
      </c>
      <c r="AB155" s="36">
        <f t="shared" si="43"/>
        <v>0.71962616822429903</v>
      </c>
      <c r="AC155" s="17">
        <v>54</v>
      </c>
      <c r="AD155" s="36">
        <f t="shared" si="51"/>
        <v>0.1758957654723127</v>
      </c>
      <c r="AE155" s="17">
        <v>13</v>
      </c>
      <c r="AF155" s="36">
        <f t="shared" si="44"/>
        <v>0.12149532710280374</v>
      </c>
      <c r="AG155" s="17">
        <v>25</v>
      </c>
      <c r="AH155" s="36">
        <f t="shared" si="52"/>
        <v>8.143322475570032E-2</v>
      </c>
      <c r="AI155" s="17">
        <v>12</v>
      </c>
      <c r="AJ155" s="36">
        <f t="shared" si="45"/>
        <v>0.11214953271028037</v>
      </c>
      <c r="AK155" s="17">
        <v>12</v>
      </c>
      <c r="AL155" s="36">
        <f t="shared" si="53"/>
        <v>3.9087947882736153E-2</v>
      </c>
      <c r="AM155" s="17">
        <v>1</v>
      </c>
      <c r="AN155" s="36">
        <f t="shared" si="46"/>
        <v>9.3457943925233638E-3</v>
      </c>
      <c r="AO155" s="17">
        <v>307</v>
      </c>
      <c r="AP155" s="17">
        <v>107</v>
      </c>
    </row>
    <row r="156" spans="1:42" ht="15.75" customHeight="1" x14ac:dyDescent="0.25">
      <c r="A156" s="37">
        <v>2023</v>
      </c>
      <c r="B156" s="35">
        <v>170240</v>
      </c>
      <c r="C156" s="33" t="str">
        <f>VLOOKUP(B156,procv!$A$2:$D$142,4,FALSE)</f>
        <v>Sudeste</v>
      </c>
      <c r="D156" s="33" t="s">
        <v>20</v>
      </c>
      <c r="E156" s="17">
        <v>5</v>
      </c>
      <c r="F156" s="36">
        <f t="shared" si="36"/>
        <v>8.1168831168831161E-3</v>
      </c>
      <c r="G156" s="17">
        <v>0</v>
      </c>
      <c r="H156" s="36">
        <f t="shared" si="37"/>
        <v>0</v>
      </c>
      <c r="I156" s="17">
        <v>11</v>
      </c>
      <c r="J156" s="36">
        <f t="shared" si="38"/>
        <v>1.7857142857142856E-2</v>
      </c>
      <c r="K156" s="17">
        <v>0</v>
      </c>
      <c r="L156" s="36">
        <f t="shared" si="39"/>
        <v>0</v>
      </c>
      <c r="M156" s="17">
        <v>600</v>
      </c>
      <c r="N156" s="36">
        <f t="shared" si="47"/>
        <v>0.97402597402597402</v>
      </c>
      <c r="O156" s="17">
        <v>23</v>
      </c>
      <c r="P156" s="36">
        <f t="shared" si="40"/>
        <v>1</v>
      </c>
      <c r="Q156" s="17">
        <v>4</v>
      </c>
      <c r="R156" s="36">
        <f t="shared" si="48"/>
        <v>6.4935064935064939E-3</v>
      </c>
      <c r="S156" s="17">
        <v>0</v>
      </c>
      <c r="T156" s="36">
        <f t="shared" si="41"/>
        <v>0</v>
      </c>
      <c r="U156" s="17">
        <v>24</v>
      </c>
      <c r="V156" s="36">
        <f t="shared" si="49"/>
        <v>3.896103896103896E-2</v>
      </c>
      <c r="W156" s="17">
        <v>1</v>
      </c>
      <c r="X156" s="36">
        <f t="shared" si="42"/>
        <v>4.3478260869565216E-2</v>
      </c>
      <c r="Y156" s="17">
        <v>449</v>
      </c>
      <c r="Z156" s="36">
        <f t="shared" si="50"/>
        <v>0.72889610389610393</v>
      </c>
      <c r="AA156" s="17">
        <v>19</v>
      </c>
      <c r="AB156" s="36">
        <f t="shared" si="43"/>
        <v>0.82608695652173914</v>
      </c>
      <c r="AC156" s="17">
        <v>96</v>
      </c>
      <c r="AD156" s="36">
        <f t="shared" si="51"/>
        <v>0.15584415584415584</v>
      </c>
      <c r="AE156" s="17">
        <v>2</v>
      </c>
      <c r="AF156" s="36">
        <f t="shared" si="44"/>
        <v>8.6956521739130432E-2</v>
      </c>
      <c r="AG156" s="17">
        <v>34</v>
      </c>
      <c r="AH156" s="36">
        <f t="shared" si="52"/>
        <v>5.5194805194805192E-2</v>
      </c>
      <c r="AI156" s="17">
        <v>0</v>
      </c>
      <c r="AJ156" s="36">
        <f t="shared" si="45"/>
        <v>0</v>
      </c>
      <c r="AK156" s="17">
        <v>9</v>
      </c>
      <c r="AL156" s="36">
        <f t="shared" si="53"/>
        <v>1.461038961038961E-2</v>
      </c>
      <c r="AM156" s="17">
        <v>1</v>
      </c>
      <c r="AN156" s="36">
        <f t="shared" si="46"/>
        <v>4.3478260869565216E-2</v>
      </c>
      <c r="AO156" s="17">
        <v>616</v>
      </c>
      <c r="AP156" s="17">
        <v>23</v>
      </c>
    </row>
    <row r="157" spans="1:42" ht="15.75" customHeight="1" x14ac:dyDescent="0.25">
      <c r="A157" s="37">
        <v>2023</v>
      </c>
      <c r="B157" s="35">
        <v>170255</v>
      </c>
      <c r="C157" s="33" t="str">
        <f>VLOOKUP(B157,procv!$A$2:$D$142,4,FALSE)</f>
        <v>Bico do Papagaio</v>
      </c>
      <c r="D157" s="33" t="s">
        <v>21</v>
      </c>
      <c r="E157" s="17">
        <v>22</v>
      </c>
      <c r="F157" s="36">
        <f t="shared" si="36"/>
        <v>1.7147310989867499E-2</v>
      </c>
      <c r="G157" s="17">
        <v>8</v>
      </c>
      <c r="H157" s="36">
        <f t="shared" si="37"/>
        <v>2.7586206896551724E-2</v>
      </c>
      <c r="I157" s="17">
        <v>62</v>
      </c>
      <c r="J157" s="36">
        <f t="shared" si="38"/>
        <v>4.8324240062353856E-2</v>
      </c>
      <c r="K157" s="17">
        <v>18</v>
      </c>
      <c r="L157" s="36">
        <f t="shared" si="39"/>
        <v>6.2068965517241378E-2</v>
      </c>
      <c r="M157" s="16">
        <v>1199</v>
      </c>
      <c r="N157" s="36">
        <f t="shared" si="47"/>
        <v>0.93452844894777864</v>
      </c>
      <c r="O157" s="17">
        <v>264</v>
      </c>
      <c r="P157" s="36">
        <f t="shared" si="40"/>
        <v>0.91034482758620694</v>
      </c>
      <c r="Q157" s="17">
        <v>36</v>
      </c>
      <c r="R157" s="36">
        <f t="shared" si="48"/>
        <v>2.8059236165237724E-2</v>
      </c>
      <c r="S157" s="17">
        <v>7</v>
      </c>
      <c r="T157" s="36">
        <f t="shared" si="41"/>
        <v>2.4137931034482758E-2</v>
      </c>
      <c r="U157" s="17">
        <v>77</v>
      </c>
      <c r="V157" s="36">
        <f t="shared" si="49"/>
        <v>6.0015588464536244E-2</v>
      </c>
      <c r="W157" s="17">
        <v>21</v>
      </c>
      <c r="X157" s="36">
        <f t="shared" si="42"/>
        <v>7.2413793103448282E-2</v>
      </c>
      <c r="Y157" s="17">
        <v>925</v>
      </c>
      <c r="Z157" s="36">
        <f t="shared" si="50"/>
        <v>0.72096648480124703</v>
      </c>
      <c r="AA157" s="17">
        <v>208</v>
      </c>
      <c r="AB157" s="36">
        <f t="shared" si="43"/>
        <v>0.71724137931034482</v>
      </c>
      <c r="AC157" s="17">
        <v>154</v>
      </c>
      <c r="AD157" s="36">
        <f t="shared" si="51"/>
        <v>0.12003117692907249</v>
      </c>
      <c r="AE157" s="17">
        <v>27</v>
      </c>
      <c r="AF157" s="36">
        <f t="shared" si="44"/>
        <v>9.3103448275862075E-2</v>
      </c>
      <c r="AG157" s="17">
        <v>72</v>
      </c>
      <c r="AH157" s="36">
        <f t="shared" si="52"/>
        <v>5.6118472330475448E-2</v>
      </c>
      <c r="AI157" s="17">
        <v>21</v>
      </c>
      <c r="AJ157" s="36">
        <f t="shared" si="45"/>
        <v>7.2413793103448282E-2</v>
      </c>
      <c r="AK157" s="17">
        <v>19</v>
      </c>
      <c r="AL157" s="36">
        <f t="shared" si="53"/>
        <v>1.4809041309431021E-2</v>
      </c>
      <c r="AM157" s="17">
        <v>6</v>
      </c>
      <c r="AN157" s="36">
        <f t="shared" si="46"/>
        <v>2.0689655172413793E-2</v>
      </c>
      <c r="AO157" s="16">
        <v>1283</v>
      </c>
      <c r="AP157" s="17">
        <v>290</v>
      </c>
    </row>
    <row r="158" spans="1:42" ht="15.75" customHeight="1" x14ac:dyDescent="0.25">
      <c r="A158" s="37">
        <v>2023</v>
      </c>
      <c r="B158" s="35">
        <v>170270</v>
      </c>
      <c r="C158" s="33" t="str">
        <f>VLOOKUP(B158,procv!$A$2:$D$142,4,FALSE)</f>
        <v>Sudeste</v>
      </c>
      <c r="D158" s="33" t="s">
        <v>22</v>
      </c>
      <c r="E158" s="17">
        <v>1</v>
      </c>
      <c r="F158" s="36">
        <f t="shared" si="36"/>
        <v>2.7777777777777779E-3</v>
      </c>
      <c r="G158" s="17">
        <v>1</v>
      </c>
      <c r="H158" s="36">
        <f t="shared" si="37"/>
        <v>1.3698630136986301E-2</v>
      </c>
      <c r="I158" s="17">
        <v>7</v>
      </c>
      <c r="J158" s="36">
        <f t="shared" si="38"/>
        <v>1.9444444444444445E-2</v>
      </c>
      <c r="K158" s="17">
        <v>1</v>
      </c>
      <c r="L158" s="36">
        <f t="shared" si="39"/>
        <v>1.3698630136986301E-2</v>
      </c>
      <c r="M158" s="17">
        <v>352</v>
      </c>
      <c r="N158" s="36">
        <f t="shared" si="47"/>
        <v>0.97777777777777775</v>
      </c>
      <c r="O158" s="17">
        <v>71</v>
      </c>
      <c r="P158" s="36">
        <f t="shared" si="40"/>
        <v>0.9726027397260274</v>
      </c>
      <c r="Q158" s="17">
        <v>2</v>
      </c>
      <c r="R158" s="36">
        <f t="shared" si="48"/>
        <v>5.5555555555555558E-3</v>
      </c>
      <c r="S158" s="17">
        <v>1</v>
      </c>
      <c r="T158" s="36">
        <f t="shared" si="41"/>
        <v>1.3698630136986301E-2</v>
      </c>
      <c r="U158" s="17">
        <v>16</v>
      </c>
      <c r="V158" s="36">
        <f t="shared" si="49"/>
        <v>4.4444444444444446E-2</v>
      </c>
      <c r="W158" s="17">
        <v>4</v>
      </c>
      <c r="X158" s="36">
        <f t="shared" si="42"/>
        <v>5.4794520547945202E-2</v>
      </c>
      <c r="Y158" s="17">
        <v>255</v>
      </c>
      <c r="Z158" s="36">
        <f t="shared" si="50"/>
        <v>0.70833333333333337</v>
      </c>
      <c r="AA158" s="17">
        <v>53</v>
      </c>
      <c r="AB158" s="36">
        <f t="shared" si="43"/>
        <v>0.72602739726027399</v>
      </c>
      <c r="AC158" s="17">
        <v>48</v>
      </c>
      <c r="AD158" s="36">
        <f t="shared" si="51"/>
        <v>0.13333333333333333</v>
      </c>
      <c r="AE158" s="17">
        <v>11</v>
      </c>
      <c r="AF158" s="36">
        <f t="shared" si="44"/>
        <v>0.15068493150684931</v>
      </c>
      <c r="AG158" s="17">
        <v>33</v>
      </c>
      <c r="AH158" s="36">
        <f t="shared" si="52"/>
        <v>9.166666666666666E-2</v>
      </c>
      <c r="AI158" s="17">
        <v>4</v>
      </c>
      <c r="AJ158" s="36">
        <f t="shared" si="45"/>
        <v>5.4794520547945202E-2</v>
      </c>
      <c r="AK158" s="17">
        <v>6</v>
      </c>
      <c r="AL158" s="36">
        <f t="shared" si="53"/>
        <v>1.6666666666666666E-2</v>
      </c>
      <c r="AM158" s="17">
        <v>0</v>
      </c>
      <c r="AN158" s="36">
        <f t="shared" si="46"/>
        <v>0</v>
      </c>
      <c r="AO158" s="17">
        <v>360</v>
      </c>
      <c r="AP158" s="17">
        <v>73</v>
      </c>
    </row>
    <row r="159" spans="1:42" ht="15.75" customHeight="1" x14ac:dyDescent="0.25">
      <c r="A159" s="37">
        <v>2023</v>
      </c>
      <c r="B159" s="35">
        <v>170290</v>
      </c>
      <c r="C159" s="33" t="str">
        <f>VLOOKUP(B159,procv!$A$2:$D$142,4,FALSE)</f>
        <v>Bico do Papagaio</v>
      </c>
      <c r="D159" s="33" t="s">
        <v>23</v>
      </c>
      <c r="E159" s="17">
        <v>22</v>
      </c>
      <c r="F159" s="36">
        <f t="shared" si="36"/>
        <v>3.4428794992175271E-2</v>
      </c>
      <c r="G159" s="17">
        <v>19</v>
      </c>
      <c r="H159" s="36">
        <f t="shared" si="37"/>
        <v>3.9175257731958762E-2</v>
      </c>
      <c r="I159" s="17">
        <v>65</v>
      </c>
      <c r="J159" s="36">
        <f t="shared" si="38"/>
        <v>0.10172143974960876</v>
      </c>
      <c r="K159" s="17">
        <v>53</v>
      </c>
      <c r="L159" s="36">
        <f t="shared" si="39"/>
        <v>0.10927835051546392</v>
      </c>
      <c r="M159" s="17">
        <v>552</v>
      </c>
      <c r="N159" s="36">
        <f t="shared" si="47"/>
        <v>0.863849765258216</v>
      </c>
      <c r="O159" s="17">
        <v>413</v>
      </c>
      <c r="P159" s="36">
        <f t="shared" si="40"/>
        <v>0.85154639175257729</v>
      </c>
      <c r="Q159" s="17">
        <v>12</v>
      </c>
      <c r="R159" s="36">
        <f t="shared" si="48"/>
        <v>1.8779342723004695E-2</v>
      </c>
      <c r="S159" s="17">
        <v>12</v>
      </c>
      <c r="T159" s="36">
        <f t="shared" si="41"/>
        <v>2.4742268041237112E-2</v>
      </c>
      <c r="U159" s="17">
        <v>34</v>
      </c>
      <c r="V159" s="36">
        <f t="shared" si="49"/>
        <v>5.3208137715179966E-2</v>
      </c>
      <c r="W159" s="17">
        <v>22</v>
      </c>
      <c r="X159" s="36">
        <f t="shared" si="42"/>
        <v>4.536082474226804E-2</v>
      </c>
      <c r="Y159" s="17">
        <v>434</v>
      </c>
      <c r="Z159" s="36">
        <f t="shared" si="50"/>
        <v>0.67918622848200316</v>
      </c>
      <c r="AA159" s="17">
        <v>327</v>
      </c>
      <c r="AB159" s="36">
        <f t="shared" si="43"/>
        <v>0.67422680412371139</v>
      </c>
      <c r="AC159" s="17">
        <v>100</v>
      </c>
      <c r="AD159" s="36">
        <f t="shared" si="51"/>
        <v>0.1564945226917058</v>
      </c>
      <c r="AE159" s="17">
        <v>79</v>
      </c>
      <c r="AF159" s="36">
        <f t="shared" si="44"/>
        <v>0.16288659793814433</v>
      </c>
      <c r="AG159" s="17">
        <v>50</v>
      </c>
      <c r="AH159" s="36">
        <f t="shared" si="52"/>
        <v>7.82472613458529E-2</v>
      </c>
      <c r="AI159" s="17">
        <v>40</v>
      </c>
      <c r="AJ159" s="36">
        <f t="shared" si="45"/>
        <v>8.247422680412371E-2</v>
      </c>
      <c r="AK159" s="17">
        <v>9</v>
      </c>
      <c r="AL159" s="36">
        <f t="shared" si="53"/>
        <v>1.4084507042253521E-2</v>
      </c>
      <c r="AM159" s="17">
        <v>5</v>
      </c>
      <c r="AN159" s="36">
        <f t="shared" si="46"/>
        <v>1.0309278350515464E-2</v>
      </c>
      <c r="AO159" s="17">
        <v>639</v>
      </c>
      <c r="AP159" s="17">
        <v>485</v>
      </c>
    </row>
    <row r="160" spans="1:42" ht="15.75" customHeight="1" x14ac:dyDescent="0.25">
      <c r="A160" s="37">
        <v>2023</v>
      </c>
      <c r="B160" s="35">
        <v>170300</v>
      </c>
      <c r="C160" s="33" t="str">
        <f>VLOOKUP(B160,procv!$A$2:$D$142,4,FALSE)</f>
        <v>Médio Norte Araguaia</v>
      </c>
      <c r="D160" s="33" t="s">
        <v>24</v>
      </c>
      <c r="E160" s="17">
        <v>13</v>
      </c>
      <c r="F160" s="36">
        <f t="shared" si="36"/>
        <v>1.8413597733711047E-2</v>
      </c>
      <c r="G160" s="17">
        <v>2</v>
      </c>
      <c r="H160" s="36">
        <f t="shared" si="37"/>
        <v>1.3513513513513514E-2</v>
      </c>
      <c r="I160" s="17">
        <v>49</v>
      </c>
      <c r="J160" s="36">
        <f t="shared" si="38"/>
        <v>6.9405099150141647E-2</v>
      </c>
      <c r="K160" s="17">
        <v>6</v>
      </c>
      <c r="L160" s="36">
        <f t="shared" si="39"/>
        <v>4.0540540540540543E-2</v>
      </c>
      <c r="M160" s="17">
        <v>644</v>
      </c>
      <c r="N160" s="36">
        <f t="shared" si="47"/>
        <v>0.91218130311614731</v>
      </c>
      <c r="O160" s="17">
        <v>140</v>
      </c>
      <c r="P160" s="36">
        <f t="shared" si="40"/>
        <v>0.94594594594594594</v>
      </c>
      <c r="Q160" s="17">
        <v>12</v>
      </c>
      <c r="R160" s="36">
        <f t="shared" si="48"/>
        <v>1.69971671388102E-2</v>
      </c>
      <c r="S160" s="17">
        <v>1</v>
      </c>
      <c r="T160" s="36">
        <f t="shared" si="41"/>
        <v>6.7567567567567571E-3</v>
      </c>
      <c r="U160" s="17">
        <v>24</v>
      </c>
      <c r="V160" s="36">
        <f t="shared" si="49"/>
        <v>3.39943342776204E-2</v>
      </c>
      <c r="W160" s="17">
        <v>7</v>
      </c>
      <c r="X160" s="36">
        <f t="shared" si="42"/>
        <v>4.72972972972973E-2</v>
      </c>
      <c r="Y160" s="17">
        <v>495</v>
      </c>
      <c r="Z160" s="36">
        <f t="shared" si="50"/>
        <v>0.70113314447592068</v>
      </c>
      <c r="AA160" s="17">
        <v>107</v>
      </c>
      <c r="AB160" s="36">
        <f t="shared" si="43"/>
        <v>0.72297297297297303</v>
      </c>
      <c r="AC160" s="17">
        <v>124</v>
      </c>
      <c r="AD160" s="36">
        <f t="shared" si="51"/>
        <v>0.17563739376770537</v>
      </c>
      <c r="AE160" s="17">
        <v>20</v>
      </c>
      <c r="AF160" s="36">
        <f t="shared" si="44"/>
        <v>0.13513513513513514</v>
      </c>
      <c r="AG160" s="17">
        <v>45</v>
      </c>
      <c r="AH160" s="36">
        <f t="shared" si="52"/>
        <v>6.3739376770538245E-2</v>
      </c>
      <c r="AI160" s="17">
        <v>12</v>
      </c>
      <c r="AJ160" s="36">
        <f t="shared" si="45"/>
        <v>8.1081081081081086E-2</v>
      </c>
      <c r="AK160" s="17">
        <v>6</v>
      </c>
      <c r="AL160" s="36">
        <f t="shared" si="53"/>
        <v>8.4985835694051E-3</v>
      </c>
      <c r="AM160" s="17">
        <v>1</v>
      </c>
      <c r="AN160" s="36">
        <f t="shared" si="46"/>
        <v>6.7567567567567571E-3</v>
      </c>
      <c r="AO160" s="17">
        <v>706</v>
      </c>
      <c r="AP160" s="17">
        <v>148</v>
      </c>
    </row>
    <row r="161" spans="1:42" ht="15.75" customHeight="1" x14ac:dyDescent="0.25">
      <c r="A161" s="37">
        <v>2023</v>
      </c>
      <c r="B161" s="35">
        <v>170305</v>
      </c>
      <c r="C161" s="33" t="str">
        <f>VLOOKUP(B161,procv!$A$2:$D$142,4,FALSE)</f>
        <v>Cerrado Tocantins Araguaia</v>
      </c>
      <c r="D161" s="33" t="s">
        <v>25</v>
      </c>
      <c r="E161" s="17">
        <v>3</v>
      </c>
      <c r="F161" s="36">
        <f t="shared" si="36"/>
        <v>8.2644628099173556E-3</v>
      </c>
      <c r="G161" s="17">
        <v>2</v>
      </c>
      <c r="H161" s="36">
        <f t="shared" si="37"/>
        <v>3.5087719298245612E-2</v>
      </c>
      <c r="I161" s="17">
        <v>11</v>
      </c>
      <c r="J161" s="36">
        <f t="shared" si="38"/>
        <v>3.0303030303030304E-2</v>
      </c>
      <c r="K161" s="17">
        <v>0</v>
      </c>
      <c r="L161" s="36">
        <f t="shared" si="39"/>
        <v>0</v>
      </c>
      <c r="M161" s="17">
        <v>349</v>
      </c>
      <c r="N161" s="36">
        <f t="shared" si="47"/>
        <v>0.9614325068870524</v>
      </c>
      <c r="O161" s="17">
        <v>55</v>
      </c>
      <c r="P161" s="36">
        <f t="shared" si="40"/>
        <v>0.96491228070175439</v>
      </c>
      <c r="Q161" s="17">
        <v>2</v>
      </c>
      <c r="R161" s="36">
        <f t="shared" si="48"/>
        <v>5.5096418732782371E-3</v>
      </c>
      <c r="S161" s="17">
        <v>1</v>
      </c>
      <c r="T161" s="36">
        <f t="shared" si="41"/>
        <v>1.7543859649122806E-2</v>
      </c>
      <c r="U161" s="17">
        <v>18</v>
      </c>
      <c r="V161" s="36">
        <f t="shared" si="49"/>
        <v>4.9586776859504134E-2</v>
      </c>
      <c r="W161" s="17">
        <v>1</v>
      </c>
      <c r="X161" s="36">
        <f t="shared" si="42"/>
        <v>1.7543859649122806E-2</v>
      </c>
      <c r="Y161" s="17">
        <v>255</v>
      </c>
      <c r="Z161" s="36">
        <f t="shared" si="50"/>
        <v>0.7024793388429752</v>
      </c>
      <c r="AA161" s="17">
        <v>38</v>
      </c>
      <c r="AB161" s="36">
        <f t="shared" si="43"/>
        <v>0.66666666666666663</v>
      </c>
      <c r="AC161" s="17">
        <v>48</v>
      </c>
      <c r="AD161" s="36">
        <f t="shared" si="51"/>
        <v>0.13223140495867769</v>
      </c>
      <c r="AE161" s="17">
        <v>7</v>
      </c>
      <c r="AF161" s="36">
        <f t="shared" si="44"/>
        <v>0.12280701754385964</v>
      </c>
      <c r="AG161" s="17">
        <v>29</v>
      </c>
      <c r="AH161" s="36">
        <f t="shared" si="52"/>
        <v>7.9889807162534437E-2</v>
      </c>
      <c r="AI161" s="17">
        <v>9</v>
      </c>
      <c r="AJ161" s="36">
        <f t="shared" si="45"/>
        <v>0.15789473684210525</v>
      </c>
      <c r="AK161" s="17">
        <v>11</v>
      </c>
      <c r="AL161" s="36">
        <f t="shared" si="53"/>
        <v>3.0303030303030304E-2</v>
      </c>
      <c r="AM161" s="17">
        <v>1</v>
      </c>
      <c r="AN161" s="36">
        <f t="shared" si="46"/>
        <v>1.7543859649122806E-2</v>
      </c>
      <c r="AO161" s="17">
        <v>363</v>
      </c>
      <c r="AP161" s="17">
        <v>57</v>
      </c>
    </row>
    <row r="162" spans="1:42" ht="15.75" customHeight="1" x14ac:dyDescent="0.25">
      <c r="A162" s="37">
        <v>2023</v>
      </c>
      <c r="B162" s="35">
        <v>170307</v>
      </c>
      <c r="C162" s="33" t="str">
        <f>VLOOKUP(B162,procv!$A$2:$D$142,4,FALSE)</f>
        <v>Médio Norte Araguaia</v>
      </c>
      <c r="D162" s="33" t="s">
        <v>26</v>
      </c>
      <c r="E162" s="17">
        <v>1</v>
      </c>
      <c r="F162" s="36">
        <f t="shared" si="36"/>
        <v>1.838235294117647E-3</v>
      </c>
      <c r="G162" s="17">
        <v>0</v>
      </c>
      <c r="H162" s="36">
        <f t="shared" si="37"/>
        <v>0</v>
      </c>
      <c r="I162" s="17">
        <v>44</v>
      </c>
      <c r="J162" s="36">
        <f t="shared" si="38"/>
        <v>8.0882352941176475E-2</v>
      </c>
      <c r="K162" s="17">
        <v>4</v>
      </c>
      <c r="L162" s="36">
        <f t="shared" si="39"/>
        <v>5.6338028169014086E-2</v>
      </c>
      <c r="M162" s="17">
        <v>499</v>
      </c>
      <c r="N162" s="36">
        <f t="shared" si="47"/>
        <v>0.91727941176470584</v>
      </c>
      <c r="O162" s="17">
        <v>67</v>
      </c>
      <c r="P162" s="36">
        <f t="shared" si="40"/>
        <v>0.94366197183098588</v>
      </c>
      <c r="Q162" s="17">
        <v>2</v>
      </c>
      <c r="R162" s="36">
        <f t="shared" si="48"/>
        <v>3.6764705882352941E-3</v>
      </c>
      <c r="S162" s="17">
        <v>1</v>
      </c>
      <c r="T162" s="36">
        <f t="shared" si="41"/>
        <v>1.4084507042253521E-2</v>
      </c>
      <c r="U162" s="17">
        <v>16</v>
      </c>
      <c r="V162" s="36">
        <f t="shared" si="49"/>
        <v>2.9411764705882353E-2</v>
      </c>
      <c r="W162" s="17">
        <v>0</v>
      </c>
      <c r="X162" s="36">
        <f t="shared" si="42"/>
        <v>0</v>
      </c>
      <c r="Y162" s="17">
        <v>398</v>
      </c>
      <c r="Z162" s="36">
        <f t="shared" si="50"/>
        <v>0.73161764705882348</v>
      </c>
      <c r="AA162" s="17">
        <v>46</v>
      </c>
      <c r="AB162" s="36">
        <f t="shared" si="43"/>
        <v>0.647887323943662</v>
      </c>
      <c r="AC162" s="17">
        <v>83</v>
      </c>
      <c r="AD162" s="36">
        <f t="shared" si="51"/>
        <v>0.15257352941176472</v>
      </c>
      <c r="AE162" s="17">
        <v>16</v>
      </c>
      <c r="AF162" s="36">
        <f t="shared" si="44"/>
        <v>0.22535211267605634</v>
      </c>
      <c r="AG162" s="17">
        <v>40</v>
      </c>
      <c r="AH162" s="36">
        <f t="shared" si="52"/>
        <v>7.3529411764705885E-2</v>
      </c>
      <c r="AI162" s="17">
        <v>7</v>
      </c>
      <c r="AJ162" s="36">
        <f t="shared" si="45"/>
        <v>9.8591549295774641E-2</v>
      </c>
      <c r="AK162" s="17">
        <v>5</v>
      </c>
      <c r="AL162" s="36">
        <f t="shared" si="53"/>
        <v>9.1911764705882356E-3</v>
      </c>
      <c r="AM162" s="17">
        <v>1</v>
      </c>
      <c r="AN162" s="36">
        <f t="shared" si="46"/>
        <v>1.4084507042253521E-2</v>
      </c>
      <c r="AO162" s="17">
        <v>544</v>
      </c>
      <c r="AP162" s="17">
        <v>71</v>
      </c>
    </row>
    <row r="163" spans="1:42" ht="15.75" customHeight="1" x14ac:dyDescent="0.25">
      <c r="A163" s="37">
        <v>2023</v>
      </c>
      <c r="B163" s="35">
        <v>170310</v>
      </c>
      <c r="C163" s="33" t="str">
        <f>VLOOKUP(B163,procv!$A$2:$D$142,4,FALSE)</f>
        <v>Cantão</v>
      </c>
      <c r="D163" s="33" t="s">
        <v>27</v>
      </c>
      <c r="E163" s="17">
        <v>7</v>
      </c>
      <c r="F163" s="36">
        <f t="shared" si="36"/>
        <v>1.4799154334038054E-2</v>
      </c>
      <c r="G163" s="17">
        <v>4</v>
      </c>
      <c r="H163" s="36">
        <f t="shared" si="37"/>
        <v>4.4444444444444446E-2</v>
      </c>
      <c r="I163" s="17">
        <v>11</v>
      </c>
      <c r="J163" s="36">
        <f t="shared" si="38"/>
        <v>2.3255813953488372E-2</v>
      </c>
      <c r="K163" s="17">
        <v>6</v>
      </c>
      <c r="L163" s="36">
        <f t="shared" si="39"/>
        <v>6.6666666666666666E-2</v>
      </c>
      <c r="M163" s="17">
        <v>455</v>
      </c>
      <c r="N163" s="36">
        <f t="shared" ref="N163:N191" si="54">IFERROR(M163/$AO163,0)</f>
        <v>0.96194503171247359</v>
      </c>
      <c r="O163" s="17">
        <v>80</v>
      </c>
      <c r="P163" s="36">
        <f t="shared" si="40"/>
        <v>0.88888888888888884</v>
      </c>
      <c r="Q163" s="17">
        <v>8</v>
      </c>
      <c r="R163" s="36">
        <f t="shared" ref="R163:R191" si="55">IFERROR(Q163/$AO163,0)</f>
        <v>1.6913319238900635E-2</v>
      </c>
      <c r="S163" s="17">
        <v>2</v>
      </c>
      <c r="T163" s="36">
        <f t="shared" si="41"/>
        <v>2.2222222222222223E-2</v>
      </c>
      <c r="U163" s="17">
        <v>19</v>
      </c>
      <c r="V163" s="36">
        <f t="shared" ref="V163:V191" si="56">IFERROR(U163/$AO163,0)</f>
        <v>4.0169133192389003E-2</v>
      </c>
      <c r="W163" s="17">
        <v>2</v>
      </c>
      <c r="X163" s="36">
        <f t="shared" si="42"/>
        <v>2.2222222222222223E-2</v>
      </c>
      <c r="Y163" s="17">
        <v>321</v>
      </c>
      <c r="Z163" s="36">
        <f t="shared" ref="Z163:Z191" si="57">IFERROR(Y163/$AO163,0)</f>
        <v>0.67864693446088797</v>
      </c>
      <c r="AA163" s="17">
        <v>63</v>
      </c>
      <c r="AB163" s="36">
        <f t="shared" si="43"/>
        <v>0.7</v>
      </c>
      <c r="AC163" s="17">
        <v>74</v>
      </c>
      <c r="AD163" s="36">
        <f t="shared" ref="AD163:AD191" si="58">IFERROR(AC163/$AO163,0)</f>
        <v>0.15644820295983086</v>
      </c>
      <c r="AE163" s="17">
        <v>12</v>
      </c>
      <c r="AF163" s="36">
        <f t="shared" si="44"/>
        <v>0.13333333333333333</v>
      </c>
      <c r="AG163" s="17">
        <v>44</v>
      </c>
      <c r="AH163" s="36">
        <f t="shared" ref="AH163:AH191" si="59">IFERROR(AG163/$AO163,0)</f>
        <v>9.3023255813953487E-2</v>
      </c>
      <c r="AI163" s="17">
        <v>11</v>
      </c>
      <c r="AJ163" s="36">
        <f t="shared" si="45"/>
        <v>0.12222222222222222</v>
      </c>
      <c r="AK163" s="17">
        <v>7</v>
      </c>
      <c r="AL163" s="36">
        <f t="shared" ref="AL163:AL191" si="60">IFERROR(AK163/$AO163,0)</f>
        <v>1.4799154334038054E-2</v>
      </c>
      <c r="AM163" s="17">
        <v>0</v>
      </c>
      <c r="AN163" s="36">
        <f t="shared" si="46"/>
        <v>0</v>
      </c>
      <c r="AO163" s="17">
        <v>473</v>
      </c>
      <c r="AP163" s="17">
        <v>90</v>
      </c>
    </row>
    <row r="164" spans="1:42" ht="15.75" customHeight="1" x14ac:dyDescent="0.25">
      <c r="A164" s="37">
        <v>2023</v>
      </c>
      <c r="B164" s="35">
        <v>170320</v>
      </c>
      <c r="C164" s="33" t="str">
        <f>VLOOKUP(B164,procv!$A$2:$D$142,4,FALSE)</f>
        <v>Cerrado Tocantins Araguaia</v>
      </c>
      <c r="D164" s="33" t="s">
        <v>28</v>
      </c>
      <c r="E164" s="17">
        <v>5</v>
      </c>
      <c r="F164" s="36">
        <f t="shared" si="36"/>
        <v>2.0833333333333332E-2</v>
      </c>
      <c r="G164" s="17">
        <v>3</v>
      </c>
      <c r="H164" s="36">
        <f t="shared" si="37"/>
        <v>4.6153846153846156E-2</v>
      </c>
      <c r="I164" s="17">
        <v>8</v>
      </c>
      <c r="J164" s="36">
        <f t="shared" si="38"/>
        <v>3.3333333333333333E-2</v>
      </c>
      <c r="K164" s="17">
        <v>4</v>
      </c>
      <c r="L164" s="36">
        <f t="shared" si="39"/>
        <v>6.1538461538461542E-2</v>
      </c>
      <c r="M164" s="17">
        <v>227</v>
      </c>
      <c r="N164" s="36">
        <f t="shared" si="54"/>
        <v>0.9458333333333333</v>
      </c>
      <c r="O164" s="17">
        <v>58</v>
      </c>
      <c r="P164" s="36">
        <f t="shared" si="40"/>
        <v>0.89230769230769236</v>
      </c>
      <c r="Q164" s="17">
        <v>4</v>
      </c>
      <c r="R164" s="36">
        <f t="shared" si="55"/>
        <v>1.6666666666666666E-2</v>
      </c>
      <c r="S164" s="17">
        <v>1</v>
      </c>
      <c r="T164" s="36">
        <f t="shared" si="41"/>
        <v>1.5384615384615385E-2</v>
      </c>
      <c r="U164" s="17">
        <v>7</v>
      </c>
      <c r="V164" s="36">
        <f t="shared" si="56"/>
        <v>2.9166666666666667E-2</v>
      </c>
      <c r="W164" s="17">
        <v>3</v>
      </c>
      <c r="X164" s="36">
        <f t="shared" si="42"/>
        <v>4.6153846153846156E-2</v>
      </c>
      <c r="Y164" s="17">
        <v>158</v>
      </c>
      <c r="Z164" s="36">
        <f t="shared" si="57"/>
        <v>0.65833333333333333</v>
      </c>
      <c r="AA164" s="17">
        <v>42</v>
      </c>
      <c r="AB164" s="36">
        <f t="shared" si="43"/>
        <v>0.64615384615384619</v>
      </c>
      <c r="AC164" s="17">
        <v>45</v>
      </c>
      <c r="AD164" s="36">
        <f t="shared" si="58"/>
        <v>0.1875</v>
      </c>
      <c r="AE164" s="17">
        <v>13</v>
      </c>
      <c r="AF164" s="36">
        <f t="shared" si="44"/>
        <v>0.2</v>
      </c>
      <c r="AG164" s="17">
        <v>19</v>
      </c>
      <c r="AH164" s="36">
        <f t="shared" si="59"/>
        <v>7.9166666666666663E-2</v>
      </c>
      <c r="AI164" s="17">
        <v>4</v>
      </c>
      <c r="AJ164" s="36">
        <f t="shared" si="45"/>
        <v>6.1538461538461542E-2</v>
      </c>
      <c r="AK164" s="17">
        <v>7</v>
      </c>
      <c r="AL164" s="36">
        <f t="shared" si="60"/>
        <v>2.9166666666666667E-2</v>
      </c>
      <c r="AM164" s="17">
        <v>2</v>
      </c>
      <c r="AN164" s="36">
        <f t="shared" si="46"/>
        <v>3.0769230769230771E-2</v>
      </c>
      <c r="AO164" s="17">
        <v>240</v>
      </c>
      <c r="AP164" s="17">
        <v>65</v>
      </c>
    </row>
    <row r="165" spans="1:42" ht="15.75" customHeight="1" x14ac:dyDescent="0.25">
      <c r="A165" s="37">
        <v>2023</v>
      </c>
      <c r="B165" s="35">
        <v>170330</v>
      </c>
      <c r="C165" s="33" t="str">
        <f>VLOOKUP(B165,procv!$A$2:$D$142,4,FALSE)</f>
        <v>Cerrado Tocantins Araguaia</v>
      </c>
      <c r="D165" s="33" t="s">
        <v>29</v>
      </c>
      <c r="E165" s="17">
        <v>0</v>
      </c>
      <c r="F165" s="36">
        <f t="shared" si="36"/>
        <v>0</v>
      </c>
      <c r="G165" s="17">
        <v>0</v>
      </c>
      <c r="H165" s="36">
        <f t="shared" si="37"/>
        <v>0</v>
      </c>
      <c r="I165" s="17">
        <v>11</v>
      </c>
      <c r="J165" s="36">
        <f t="shared" si="38"/>
        <v>5.2884615384615384E-2</v>
      </c>
      <c r="K165" s="17">
        <v>4</v>
      </c>
      <c r="L165" s="36">
        <f t="shared" si="39"/>
        <v>4.0404040404040407E-2</v>
      </c>
      <c r="M165" s="17">
        <v>197</v>
      </c>
      <c r="N165" s="36">
        <f t="shared" si="54"/>
        <v>0.94711538461538458</v>
      </c>
      <c r="O165" s="17">
        <v>95</v>
      </c>
      <c r="P165" s="36">
        <f t="shared" si="40"/>
        <v>0.95959595959595956</v>
      </c>
      <c r="Q165" s="17">
        <v>1</v>
      </c>
      <c r="R165" s="36">
        <f t="shared" si="55"/>
        <v>4.807692307692308E-3</v>
      </c>
      <c r="S165" s="17">
        <v>0</v>
      </c>
      <c r="T165" s="36">
        <f t="shared" si="41"/>
        <v>0</v>
      </c>
      <c r="U165" s="17">
        <v>9</v>
      </c>
      <c r="V165" s="36">
        <f t="shared" si="56"/>
        <v>4.3269230769230768E-2</v>
      </c>
      <c r="W165" s="17">
        <v>3</v>
      </c>
      <c r="X165" s="36">
        <f t="shared" si="42"/>
        <v>3.0303030303030304E-2</v>
      </c>
      <c r="Y165" s="17">
        <v>144</v>
      </c>
      <c r="Z165" s="36">
        <f t="shared" si="57"/>
        <v>0.69230769230769229</v>
      </c>
      <c r="AA165" s="17">
        <v>68</v>
      </c>
      <c r="AB165" s="36">
        <f t="shared" si="43"/>
        <v>0.68686868686868685</v>
      </c>
      <c r="AC165" s="17">
        <v>34</v>
      </c>
      <c r="AD165" s="36">
        <f t="shared" si="58"/>
        <v>0.16346153846153846</v>
      </c>
      <c r="AE165" s="17">
        <v>19</v>
      </c>
      <c r="AF165" s="36">
        <f t="shared" si="44"/>
        <v>0.19191919191919191</v>
      </c>
      <c r="AG165" s="17">
        <v>15</v>
      </c>
      <c r="AH165" s="36">
        <f t="shared" si="59"/>
        <v>7.2115384615384609E-2</v>
      </c>
      <c r="AI165" s="17">
        <v>8</v>
      </c>
      <c r="AJ165" s="36">
        <f t="shared" si="45"/>
        <v>8.0808080808080815E-2</v>
      </c>
      <c r="AK165" s="17">
        <v>5</v>
      </c>
      <c r="AL165" s="36">
        <f t="shared" si="60"/>
        <v>2.403846153846154E-2</v>
      </c>
      <c r="AM165" s="17">
        <v>1</v>
      </c>
      <c r="AN165" s="36">
        <f t="shared" si="46"/>
        <v>1.0101010101010102E-2</v>
      </c>
      <c r="AO165" s="17">
        <v>208</v>
      </c>
      <c r="AP165" s="17">
        <v>99</v>
      </c>
    </row>
    <row r="166" spans="1:42" ht="15.75" customHeight="1" x14ac:dyDescent="0.25">
      <c r="A166" s="37">
        <v>2023</v>
      </c>
      <c r="B166" s="35">
        <v>170360</v>
      </c>
      <c r="C166" s="33" t="str">
        <f>VLOOKUP(B166,procv!$A$2:$D$142,4,FALSE)</f>
        <v>Cerrado Tocantins Araguaia</v>
      </c>
      <c r="D166" s="33" t="s">
        <v>30</v>
      </c>
      <c r="E166" s="17">
        <v>2</v>
      </c>
      <c r="F166" s="36">
        <f t="shared" si="36"/>
        <v>7.6923076923076927E-3</v>
      </c>
      <c r="G166" s="17">
        <v>0</v>
      </c>
      <c r="H166" s="36">
        <f t="shared" si="37"/>
        <v>0</v>
      </c>
      <c r="I166" s="17">
        <v>6</v>
      </c>
      <c r="J166" s="36">
        <f t="shared" si="38"/>
        <v>2.3076923076923078E-2</v>
      </c>
      <c r="K166" s="17">
        <v>0</v>
      </c>
      <c r="L166" s="36">
        <f t="shared" si="39"/>
        <v>0</v>
      </c>
      <c r="M166" s="17">
        <v>252</v>
      </c>
      <c r="N166" s="36">
        <f t="shared" si="54"/>
        <v>0.96923076923076923</v>
      </c>
      <c r="O166" s="17">
        <v>32</v>
      </c>
      <c r="P166" s="36">
        <f t="shared" si="40"/>
        <v>1</v>
      </c>
      <c r="Q166" s="17">
        <v>2</v>
      </c>
      <c r="R166" s="36">
        <f t="shared" si="55"/>
        <v>7.6923076923076927E-3</v>
      </c>
      <c r="S166" s="17">
        <v>0</v>
      </c>
      <c r="T166" s="36">
        <f t="shared" si="41"/>
        <v>0</v>
      </c>
      <c r="U166" s="17">
        <v>6</v>
      </c>
      <c r="V166" s="36">
        <f t="shared" si="56"/>
        <v>2.3076923076923078E-2</v>
      </c>
      <c r="W166" s="17">
        <v>0</v>
      </c>
      <c r="X166" s="36">
        <f t="shared" si="42"/>
        <v>0</v>
      </c>
      <c r="Y166" s="17">
        <v>182</v>
      </c>
      <c r="Z166" s="36">
        <f t="shared" si="57"/>
        <v>0.7</v>
      </c>
      <c r="AA166" s="17">
        <v>23</v>
      </c>
      <c r="AB166" s="36">
        <f t="shared" si="43"/>
        <v>0.71875</v>
      </c>
      <c r="AC166" s="17">
        <v>40</v>
      </c>
      <c r="AD166" s="36">
        <f t="shared" si="58"/>
        <v>0.15384615384615385</v>
      </c>
      <c r="AE166" s="17">
        <v>7</v>
      </c>
      <c r="AF166" s="36">
        <f t="shared" si="44"/>
        <v>0.21875</v>
      </c>
      <c r="AG166" s="17">
        <v>29</v>
      </c>
      <c r="AH166" s="36">
        <f t="shared" si="59"/>
        <v>0.11153846153846154</v>
      </c>
      <c r="AI166" s="17">
        <v>2</v>
      </c>
      <c r="AJ166" s="36">
        <f t="shared" si="45"/>
        <v>6.25E-2</v>
      </c>
      <c r="AK166" s="17">
        <v>1</v>
      </c>
      <c r="AL166" s="36">
        <f t="shared" si="60"/>
        <v>3.8461538461538464E-3</v>
      </c>
      <c r="AM166" s="17">
        <v>0</v>
      </c>
      <c r="AN166" s="36">
        <f t="shared" si="46"/>
        <v>0</v>
      </c>
      <c r="AO166" s="17">
        <v>260</v>
      </c>
      <c r="AP166" s="17">
        <v>32</v>
      </c>
    </row>
    <row r="167" spans="1:42" ht="15.75" customHeight="1" x14ac:dyDescent="0.25">
      <c r="A167" s="37">
        <v>2023</v>
      </c>
      <c r="B167" s="35">
        <v>170370</v>
      </c>
      <c r="C167" s="33" t="str">
        <f>VLOOKUP(B167,procv!$A$2:$D$142,4,FALSE)</f>
        <v>Amor Perfeito</v>
      </c>
      <c r="D167" s="33" t="s">
        <v>31</v>
      </c>
      <c r="E167" s="17">
        <v>2</v>
      </c>
      <c r="F167" s="36">
        <f t="shared" si="36"/>
        <v>6.0790273556231003E-3</v>
      </c>
      <c r="G167" s="17">
        <v>0</v>
      </c>
      <c r="H167" s="36">
        <f t="shared" si="37"/>
        <v>0</v>
      </c>
      <c r="I167" s="17">
        <v>14</v>
      </c>
      <c r="J167" s="36">
        <f t="shared" si="38"/>
        <v>4.2553191489361701E-2</v>
      </c>
      <c r="K167" s="17">
        <v>4</v>
      </c>
      <c r="L167" s="36">
        <f t="shared" si="39"/>
        <v>5.5555555555555552E-2</v>
      </c>
      <c r="M167" s="17">
        <v>313</v>
      </c>
      <c r="N167" s="36">
        <f t="shared" si="54"/>
        <v>0.95136778115501519</v>
      </c>
      <c r="O167" s="17">
        <v>68</v>
      </c>
      <c r="P167" s="36">
        <f t="shared" si="40"/>
        <v>0.94444444444444442</v>
      </c>
      <c r="Q167" s="17">
        <v>2</v>
      </c>
      <c r="R167" s="36">
        <f t="shared" si="55"/>
        <v>6.0790273556231003E-3</v>
      </c>
      <c r="S167" s="17">
        <v>0</v>
      </c>
      <c r="T167" s="36">
        <f t="shared" si="41"/>
        <v>0</v>
      </c>
      <c r="U167" s="17">
        <v>11</v>
      </c>
      <c r="V167" s="36">
        <f t="shared" si="56"/>
        <v>3.3434650455927049E-2</v>
      </c>
      <c r="W167" s="17">
        <v>4</v>
      </c>
      <c r="X167" s="36">
        <f t="shared" si="42"/>
        <v>5.5555555555555552E-2</v>
      </c>
      <c r="Y167" s="17">
        <v>219</v>
      </c>
      <c r="Z167" s="36">
        <f t="shared" si="57"/>
        <v>0.66565349544072949</v>
      </c>
      <c r="AA167" s="17">
        <v>49</v>
      </c>
      <c r="AB167" s="36">
        <f t="shared" si="43"/>
        <v>0.68055555555555558</v>
      </c>
      <c r="AC167" s="17">
        <v>63</v>
      </c>
      <c r="AD167" s="36">
        <f t="shared" si="58"/>
        <v>0.19148936170212766</v>
      </c>
      <c r="AE167" s="17">
        <v>12</v>
      </c>
      <c r="AF167" s="36">
        <f t="shared" si="44"/>
        <v>0.16666666666666666</v>
      </c>
      <c r="AG167" s="17">
        <v>30</v>
      </c>
      <c r="AH167" s="36">
        <f t="shared" si="59"/>
        <v>9.1185410334346503E-2</v>
      </c>
      <c r="AI167" s="17">
        <v>7</v>
      </c>
      <c r="AJ167" s="36">
        <f t="shared" si="45"/>
        <v>9.7222222222222224E-2</v>
      </c>
      <c r="AK167" s="17">
        <v>4</v>
      </c>
      <c r="AL167" s="36">
        <f t="shared" si="60"/>
        <v>1.2158054711246201E-2</v>
      </c>
      <c r="AM167" s="17">
        <v>0</v>
      </c>
      <c r="AN167" s="36">
        <f t="shared" si="46"/>
        <v>0</v>
      </c>
      <c r="AO167" s="17">
        <v>329</v>
      </c>
      <c r="AP167" s="17">
        <v>72</v>
      </c>
    </row>
    <row r="168" spans="1:42" ht="15.75" customHeight="1" x14ac:dyDescent="0.25">
      <c r="A168" s="37">
        <v>2023</v>
      </c>
      <c r="B168" s="35">
        <v>170380</v>
      </c>
      <c r="C168" s="33" t="str">
        <f>VLOOKUP(B168,procv!$A$2:$D$142,4,FALSE)</f>
        <v>Bico do Papagaio</v>
      </c>
      <c r="D168" s="33" t="s">
        <v>32</v>
      </c>
      <c r="E168" s="17">
        <v>14</v>
      </c>
      <c r="F168" s="36">
        <f t="shared" si="36"/>
        <v>1.5233949945593036E-2</v>
      </c>
      <c r="G168" s="17">
        <v>0</v>
      </c>
      <c r="H168" s="36">
        <f t="shared" si="37"/>
        <v>0</v>
      </c>
      <c r="I168" s="17">
        <v>55</v>
      </c>
      <c r="J168" s="36">
        <f t="shared" si="38"/>
        <v>5.9847660500544068E-2</v>
      </c>
      <c r="K168" s="17">
        <v>5</v>
      </c>
      <c r="L168" s="36">
        <f t="shared" si="39"/>
        <v>3.6764705882352942E-2</v>
      </c>
      <c r="M168" s="17">
        <v>850</v>
      </c>
      <c r="N168" s="36">
        <f t="shared" si="54"/>
        <v>0.92491838955386285</v>
      </c>
      <c r="O168" s="17">
        <v>131</v>
      </c>
      <c r="P168" s="36">
        <f t="shared" si="40"/>
        <v>0.96323529411764708</v>
      </c>
      <c r="Q168" s="17">
        <v>14</v>
      </c>
      <c r="R168" s="36">
        <f t="shared" si="55"/>
        <v>1.5233949945593036E-2</v>
      </c>
      <c r="S168" s="17">
        <v>2</v>
      </c>
      <c r="T168" s="36">
        <f t="shared" si="41"/>
        <v>1.4705882352941176E-2</v>
      </c>
      <c r="U168" s="17">
        <v>32</v>
      </c>
      <c r="V168" s="36">
        <f t="shared" si="56"/>
        <v>3.4820457018498369E-2</v>
      </c>
      <c r="W168" s="17">
        <v>6</v>
      </c>
      <c r="X168" s="36">
        <f t="shared" si="42"/>
        <v>4.4117647058823532E-2</v>
      </c>
      <c r="Y168" s="17">
        <v>684</v>
      </c>
      <c r="Z168" s="36">
        <f t="shared" si="57"/>
        <v>0.74428726877040263</v>
      </c>
      <c r="AA168" s="17">
        <v>104</v>
      </c>
      <c r="AB168" s="36">
        <f t="shared" si="43"/>
        <v>0.76470588235294112</v>
      </c>
      <c r="AC168" s="17">
        <v>113</v>
      </c>
      <c r="AD168" s="36">
        <f t="shared" si="58"/>
        <v>0.12295973884657237</v>
      </c>
      <c r="AE168" s="17">
        <v>16</v>
      </c>
      <c r="AF168" s="36">
        <f t="shared" si="44"/>
        <v>0.11764705882352941</v>
      </c>
      <c r="AG168" s="17">
        <v>65</v>
      </c>
      <c r="AH168" s="36">
        <f t="shared" si="59"/>
        <v>7.0729053318824814E-2</v>
      </c>
      <c r="AI168" s="17">
        <v>6</v>
      </c>
      <c r="AJ168" s="36">
        <f t="shared" si="45"/>
        <v>4.4117647058823532E-2</v>
      </c>
      <c r="AK168" s="17">
        <v>11</v>
      </c>
      <c r="AL168" s="36">
        <f t="shared" si="60"/>
        <v>1.1969532100108813E-2</v>
      </c>
      <c r="AM168" s="17">
        <v>2</v>
      </c>
      <c r="AN168" s="36">
        <f t="shared" si="46"/>
        <v>1.4705882352941176E-2</v>
      </c>
      <c r="AO168" s="17">
        <v>919</v>
      </c>
      <c r="AP168" s="17">
        <v>136</v>
      </c>
    </row>
    <row r="169" spans="1:42" ht="15.75" customHeight="1" x14ac:dyDescent="0.25">
      <c r="A169" s="37">
        <v>2023</v>
      </c>
      <c r="B169" s="35">
        <v>170382</v>
      </c>
      <c r="C169" s="33" t="str">
        <f>VLOOKUP(B169,procv!$A$2:$D$142,4,FALSE)</f>
        <v>Bico do Papagaio</v>
      </c>
      <c r="D169" s="33" t="s">
        <v>33</v>
      </c>
      <c r="E169" s="17">
        <v>4</v>
      </c>
      <c r="F169" s="36">
        <f t="shared" si="36"/>
        <v>1.8604651162790697E-2</v>
      </c>
      <c r="G169" s="17">
        <v>0</v>
      </c>
      <c r="H169" s="36">
        <f t="shared" si="37"/>
        <v>0</v>
      </c>
      <c r="I169" s="17">
        <v>4</v>
      </c>
      <c r="J169" s="36">
        <f t="shared" si="38"/>
        <v>1.8604651162790697E-2</v>
      </c>
      <c r="K169" s="17">
        <v>2</v>
      </c>
      <c r="L169" s="36">
        <f t="shared" si="39"/>
        <v>3.9215686274509803E-2</v>
      </c>
      <c r="M169" s="17">
        <v>207</v>
      </c>
      <c r="N169" s="36">
        <f t="shared" si="54"/>
        <v>0.96279069767441861</v>
      </c>
      <c r="O169" s="17">
        <v>49</v>
      </c>
      <c r="P169" s="36">
        <f t="shared" si="40"/>
        <v>0.96078431372549022</v>
      </c>
      <c r="Q169" s="17">
        <v>5</v>
      </c>
      <c r="R169" s="36">
        <f t="shared" si="55"/>
        <v>2.3255813953488372E-2</v>
      </c>
      <c r="S169" s="17">
        <v>1</v>
      </c>
      <c r="T169" s="36">
        <f t="shared" si="41"/>
        <v>1.9607843137254902E-2</v>
      </c>
      <c r="U169" s="17">
        <v>10</v>
      </c>
      <c r="V169" s="36">
        <f t="shared" si="56"/>
        <v>4.6511627906976744E-2</v>
      </c>
      <c r="W169" s="17">
        <v>2</v>
      </c>
      <c r="X169" s="36">
        <f t="shared" si="42"/>
        <v>3.9215686274509803E-2</v>
      </c>
      <c r="Y169" s="17">
        <v>166</v>
      </c>
      <c r="Z169" s="36">
        <f t="shared" si="57"/>
        <v>0.77209302325581397</v>
      </c>
      <c r="AA169" s="17">
        <v>40</v>
      </c>
      <c r="AB169" s="36">
        <f t="shared" si="43"/>
        <v>0.78431372549019607</v>
      </c>
      <c r="AC169" s="17">
        <v>21</v>
      </c>
      <c r="AD169" s="36">
        <f t="shared" si="58"/>
        <v>9.7674418604651161E-2</v>
      </c>
      <c r="AE169" s="17">
        <v>5</v>
      </c>
      <c r="AF169" s="36">
        <f t="shared" si="44"/>
        <v>9.8039215686274508E-2</v>
      </c>
      <c r="AG169" s="17">
        <v>9</v>
      </c>
      <c r="AH169" s="36">
        <f t="shared" si="59"/>
        <v>4.1860465116279069E-2</v>
      </c>
      <c r="AI169" s="17">
        <v>2</v>
      </c>
      <c r="AJ169" s="36">
        <f t="shared" si="45"/>
        <v>3.9215686274509803E-2</v>
      </c>
      <c r="AK169" s="17">
        <v>4</v>
      </c>
      <c r="AL169" s="36">
        <f t="shared" si="60"/>
        <v>1.8604651162790697E-2</v>
      </c>
      <c r="AM169" s="17">
        <v>1</v>
      </c>
      <c r="AN169" s="36">
        <f t="shared" si="46"/>
        <v>1.9607843137254902E-2</v>
      </c>
      <c r="AO169" s="17">
        <v>215</v>
      </c>
      <c r="AP169" s="17">
        <v>51</v>
      </c>
    </row>
    <row r="170" spans="1:42" ht="15.75" customHeight="1" x14ac:dyDescent="0.25">
      <c r="A170" s="37">
        <v>2023</v>
      </c>
      <c r="B170" s="35">
        <v>170384</v>
      </c>
      <c r="C170" s="33" t="str">
        <f>VLOOKUP(B170,procv!$A$2:$D$142,4,FALSE)</f>
        <v>Médio Norte Araguaia</v>
      </c>
      <c r="D170" s="33" t="s">
        <v>34</v>
      </c>
      <c r="E170" s="17">
        <v>10</v>
      </c>
      <c r="F170" s="36">
        <f t="shared" si="36"/>
        <v>1.2345679012345678E-2</v>
      </c>
      <c r="G170" s="17">
        <v>5</v>
      </c>
      <c r="H170" s="36">
        <f t="shared" si="37"/>
        <v>1.7985611510791366E-2</v>
      </c>
      <c r="I170" s="17">
        <v>54</v>
      </c>
      <c r="J170" s="36">
        <f t="shared" si="38"/>
        <v>6.6666666666666666E-2</v>
      </c>
      <c r="K170" s="17">
        <v>18</v>
      </c>
      <c r="L170" s="36">
        <f t="shared" si="39"/>
        <v>6.4748201438848921E-2</v>
      </c>
      <c r="M170" s="17">
        <v>746</v>
      </c>
      <c r="N170" s="36">
        <f t="shared" si="54"/>
        <v>0.92098765432098761</v>
      </c>
      <c r="O170" s="17">
        <v>255</v>
      </c>
      <c r="P170" s="36">
        <f t="shared" si="40"/>
        <v>0.91726618705035967</v>
      </c>
      <c r="Q170" s="17">
        <v>8</v>
      </c>
      <c r="R170" s="36">
        <f t="shared" si="55"/>
        <v>9.876543209876543E-3</v>
      </c>
      <c r="S170" s="17">
        <v>1</v>
      </c>
      <c r="T170" s="36">
        <f t="shared" si="41"/>
        <v>3.5971223021582736E-3</v>
      </c>
      <c r="U170" s="17">
        <v>23</v>
      </c>
      <c r="V170" s="36">
        <f t="shared" si="56"/>
        <v>2.8395061728395062E-2</v>
      </c>
      <c r="W170" s="17">
        <v>10</v>
      </c>
      <c r="X170" s="36">
        <f t="shared" si="42"/>
        <v>3.5971223021582732E-2</v>
      </c>
      <c r="Y170" s="17">
        <v>614</v>
      </c>
      <c r="Z170" s="36">
        <f t="shared" si="57"/>
        <v>0.75802469135802464</v>
      </c>
      <c r="AA170" s="17">
        <v>211</v>
      </c>
      <c r="AB170" s="36">
        <f t="shared" si="43"/>
        <v>0.75899280575539574</v>
      </c>
      <c r="AC170" s="17">
        <v>116</v>
      </c>
      <c r="AD170" s="36">
        <f t="shared" si="58"/>
        <v>0.14320987654320988</v>
      </c>
      <c r="AE170" s="17">
        <v>40</v>
      </c>
      <c r="AF170" s="36">
        <f t="shared" si="44"/>
        <v>0.14388489208633093</v>
      </c>
      <c r="AG170" s="17">
        <v>40</v>
      </c>
      <c r="AH170" s="36">
        <f t="shared" si="59"/>
        <v>4.9382716049382713E-2</v>
      </c>
      <c r="AI170" s="17">
        <v>10</v>
      </c>
      <c r="AJ170" s="36">
        <f t="shared" si="45"/>
        <v>3.5971223021582732E-2</v>
      </c>
      <c r="AK170" s="17">
        <v>9</v>
      </c>
      <c r="AL170" s="36">
        <f t="shared" si="60"/>
        <v>1.1111111111111112E-2</v>
      </c>
      <c r="AM170" s="17">
        <v>6</v>
      </c>
      <c r="AN170" s="36">
        <f t="shared" si="46"/>
        <v>2.1582733812949641E-2</v>
      </c>
      <c r="AO170" s="17">
        <v>810</v>
      </c>
      <c r="AP170" s="17">
        <v>278</v>
      </c>
    </row>
    <row r="171" spans="1:42" ht="15.75" customHeight="1" x14ac:dyDescent="0.25">
      <c r="A171" s="37">
        <v>2023</v>
      </c>
      <c r="B171" s="35">
        <v>170386</v>
      </c>
      <c r="C171" s="33" t="str">
        <f>VLOOKUP(B171,procv!$A$2:$D$142,4,FALSE)</f>
        <v>Ilha do Bananal</v>
      </c>
      <c r="D171" s="33" t="s">
        <v>35</v>
      </c>
      <c r="E171" s="17">
        <v>2</v>
      </c>
      <c r="F171" s="36">
        <f t="shared" si="36"/>
        <v>5.9701492537313433E-3</v>
      </c>
      <c r="G171" s="17">
        <v>2</v>
      </c>
      <c r="H171" s="36">
        <f t="shared" si="37"/>
        <v>4.1666666666666664E-2</v>
      </c>
      <c r="I171" s="17">
        <v>14</v>
      </c>
      <c r="J171" s="36">
        <f t="shared" si="38"/>
        <v>4.1791044776119404E-2</v>
      </c>
      <c r="K171" s="17">
        <v>4</v>
      </c>
      <c r="L171" s="36">
        <f t="shared" si="39"/>
        <v>8.3333333333333329E-2</v>
      </c>
      <c r="M171" s="17">
        <v>319</v>
      </c>
      <c r="N171" s="36">
        <f t="shared" si="54"/>
        <v>0.9522388059701492</v>
      </c>
      <c r="O171" s="17">
        <v>42</v>
      </c>
      <c r="P171" s="36">
        <f t="shared" si="40"/>
        <v>0.875</v>
      </c>
      <c r="Q171" s="17">
        <v>8</v>
      </c>
      <c r="R171" s="36">
        <f t="shared" si="55"/>
        <v>2.3880597014925373E-2</v>
      </c>
      <c r="S171" s="17">
        <v>0</v>
      </c>
      <c r="T171" s="36">
        <f t="shared" si="41"/>
        <v>0</v>
      </c>
      <c r="U171" s="17">
        <v>13</v>
      </c>
      <c r="V171" s="36">
        <f t="shared" si="56"/>
        <v>3.880597014925373E-2</v>
      </c>
      <c r="W171" s="17">
        <v>0</v>
      </c>
      <c r="X171" s="36">
        <f t="shared" si="42"/>
        <v>0</v>
      </c>
      <c r="Y171" s="17">
        <v>219</v>
      </c>
      <c r="Z171" s="36">
        <f t="shared" si="57"/>
        <v>0.65373134328358207</v>
      </c>
      <c r="AA171" s="17">
        <v>36</v>
      </c>
      <c r="AB171" s="36">
        <f t="shared" si="43"/>
        <v>0.75</v>
      </c>
      <c r="AC171" s="17">
        <v>52</v>
      </c>
      <c r="AD171" s="36">
        <f t="shared" si="58"/>
        <v>0.15522388059701492</v>
      </c>
      <c r="AE171" s="17">
        <v>11</v>
      </c>
      <c r="AF171" s="36">
        <f t="shared" si="44"/>
        <v>0.22916666666666666</v>
      </c>
      <c r="AG171" s="17">
        <v>33</v>
      </c>
      <c r="AH171" s="36">
        <f t="shared" si="59"/>
        <v>9.8507462686567168E-2</v>
      </c>
      <c r="AI171" s="17">
        <v>1</v>
      </c>
      <c r="AJ171" s="36">
        <f t="shared" si="45"/>
        <v>2.0833333333333332E-2</v>
      </c>
      <c r="AK171" s="17">
        <v>10</v>
      </c>
      <c r="AL171" s="36">
        <f t="shared" si="60"/>
        <v>2.9850746268656716E-2</v>
      </c>
      <c r="AM171" s="17">
        <v>0</v>
      </c>
      <c r="AN171" s="36">
        <f t="shared" si="46"/>
        <v>0</v>
      </c>
      <c r="AO171" s="17">
        <v>335</v>
      </c>
      <c r="AP171" s="17">
        <v>48</v>
      </c>
    </row>
    <row r="172" spans="1:42" ht="15.75" customHeight="1" x14ac:dyDescent="0.25">
      <c r="A172" s="37">
        <v>2023</v>
      </c>
      <c r="B172" s="35">
        <v>170388</v>
      </c>
      <c r="C172" s="33" t="str">
        <f>VLOOKUP(B172,procv!$A$2:$D$142,4,FALSE)</f>
        <v>Médio Norte Araguaia</v>
      </c>
      <c r="D172" s="33" t="s">
        <v>36</v>
      </c>
      <c r="E172" s="17">
        <v>2</v>
      </c>
      <c r="F172" s="36">
        <f t="shared" si="36"/>
        <v>6.5789473684210523E-3</v>
      </c>
      <c r="G172" s="17">
        <v>1</v>
      </c>
      <c r="H172" s="36">
        <f t="shared" si="37"/>
        <v>1.1904761904761904E-2</v>
      </c>
      <c r="I172" s="17">
        <v>12</v>
      </c>
      <c r="J172" s="36">
        <f t="shared" si="38"/>
        <v>3.9473684210526314E-2</v>
      </c>
      <c r="K172" s="17">
        <v>6</v>
      </c>
      <c r="L172" s="36">
        <f t="shared" si="39"/>
        <v>7.1428571428571425E-2</v>
      </c>
      <c r="M172" s="17">
        <v>290</v>
      </c>
      <c r="N172" s="36">
        <f t="shared" si="54"/>
        <v>0.95394736842105265</v>
      </c>
      <c r="O172" s="17">
        <v>77</v>
      </c>
      <c r="P172" s="36">
        <f t="shared" si="40"/>
        <v>0.91666666666666663</v>
      </c>
      <c r="Q172" s="17">
        <v>1</v>
      </c>
      <c r="R172" s="36">
        <f t="shared" si="55"/>
        <v>3.2894736842105261E-3</v>
      </c>
      <c r="S172" s="17">
        <v>0</v>
      </c>
      <c r="T172" s="36">
        <f t="shared" si="41"/>
        <v>0</v>
      </c>
      <c r="U172" s="17">
        <v>16</v>
      </c>
      <c r="V172" s="36">
        <f t="shared" si="56"/>
        <v>5.2631578947368418E-2</v>
      </c>
      <c r="W172" s="17">
        <v>8</v>
      </c>
      <c r="X172" s="36">
        <f t="shared" si="42"/>
        <v>9.5238095238095233E-2</v>
      </c>
      <c r="Y172" s="17">
        <v>230</v>
      </c>
      <c r="Z172" s="36">
        <f t="shared" si="57"/>
        <v>0.75657894736842102</v>
      </c>
      <c r="AA172" s="17">
        <v>63</v>
      </c>
      <c r="AB172" s="36">
        <f t="shared" si="43"/>
        <v>0.75</v>
      </c>
      <c r="AC172" s="17">
        <v>33</v>
      </c>
      <c r="AD172" s="36">
        <f t="shared" si="58"/>
        <v>0.10855263157894737</v>
      </c>
      <c r="AE172" s="17">
        <v>7</v>
      </c>
      <c r="AF172" s="36">
        <f t="shared" si="44"/>
        <v>8.3333333333333329E-2</v>
      </c>
      <c r="AG172" s="17">
        <v>20</v>
      </c>
      <c r="AH172" s="36">
        <f t="shared" si="59"/>
        <v>6.5789473684210523E-2</v>
      </c>
      <c r="AI172" s="17">
        <v>4</v>
      </c>
      <c r="AJ172" s="36">
        <f t="shared" si="45"/>
        <v>4.7619047619047616E-2</v>
      </c>
      <c r="AK172" s="17">
        <v>4</v>
      </c>
      <c r="AL172" s="36">
        <f t="shared" si="60"/>
        <v>1.3157894736842105E-2</v>
      </c>
      <c r="AM172" s="17">
        <v>2</v>
      </c>
      <c r="AN172" s="36">
        <f t="shared" si="46"/>
        <v>2.3809523809523808E-2</v>
      </c>
      <c r="AO172" s="17">
        <v>304</v>
      </c>
      <c r="AP172" s="17">
        <v>84</v>
      </c>
    </row>
    <row r="173" spans="1:42" ht="15.75" customHeight="1" x14ac:dyDescent="0.25">
      <c r="A173" s="37">
        <v>2023</v>
      </c>
      <c r="B173" s="35">
        <v>170389</v>
      </c>
      <c r="C173" s="33" t="str">
        <f>VLOOKUP(B173,procv!$A$2:$D$142,4,FALSE)</f>
        <v>Bico do Papagaio</v>
      </c>
      <c r="D173" s="33" t="s">
        <v>37</v>
      </c>
      <c r="E173" s="17">
        <v>3</v>
      </c>
      <c r="F173" s="36">
        <f t="shared" si="36"/>
        <v>6.8181818181818179E-3</v>
      </c>
      <c r="G173" s="17">
        <v>1</v>
      </c>
      <c r="H173" s="36">
        <f t="shared" si="37"/>
        <v>8.4745762711864406E-3</v>
      </c>
      <c r="I173" s="17">
        <v>35</v>
      </c>
      <c r="J173" s="36">
        <f t="shared" si="38"/>
        <v>7.9545454545454544E-2</v>
      </c>
      <c r="K173" s="17">
        <v>10</v>
      </c>
      <c r="L173" s="36">
        <f t="shared" si="39"/>
        <v>8.4745762711864403E-2</v>
      </c>
      <c r="M173" s="17">
        <v>402</v>
      </c>
      <c r="N173" s="36">
        <f t="shared" si="54"/>
        <v>0.91363636363636369</v>
      </c>
      <c r="O173" s="17">
        <v>107</v>
      </c>
      <c r="P173" s="36">
        <f t="shared" si="40"/>
        <v>0.90677966101694918</v>
      </c>
      <c r="Q173" s="17">
        <v>6</v>
      </c>
      <c r="R173" s="36">
        <f t="shared" si="55"/>
        <v>1.3636363636363636E-2</v>
      </c>
      <c r="S173" s="17">
        <v>3</v>
      </c>
      <c r="T173" s="36">
        <f t="shared" si="41"/>
        <v>2.5423728813559324E-2</v>
      </c>
      <c r="U173" s="17">
        <v>13</v>
      </c>
      <c r="V173" s="36">
        <f t="shared" si="56"/>
        <v>2.9545454545454545E-2</v>
      </c>
      <c r="W173" s="17">
        <v>2</v>
      </c>
      <c r="X173" s="36">
        <f t="shared" si="42"/>
        <v>1.6949152542372881E-2</v>
      </c>
      <c r="Y173" s="17">
        <v>313</v>
      </c>
      <c r="Z173" s="36">
        <f t="shared" si="57"/>
        <v>0.71136363636363631</v>
      </c>
      <c r="AA173" s="17">
        <v>85</v>
      </c>
      <c r="AB173" s="36">
        <f t="shared" si="43"/>
        <v>0.72033898305084743</v>
      </c>
      <c r="AC173" s="17">
        <v>72</v>
      </c>
      <c r="AD173" s="36">
        <f t="shared" si="58"/>
        <v>0.16363636363636364</v>
      </c>
      <c r="AE173" s="17">
        <v>22</v>
      </c>
      <c r="AF173" s="36">
        <f t="shared" si="44"/>
        <v>0.1864406779661017</v>
      </c>
      <c r="AG173" s="17">
        <v>28</v>
      </c>
      <c r="AH173" s="36">
        <f t="shared" si="59"/>
        <v>6.363636363636363E-2</v>
      </c>
      <c r="AI173" s="17">
        <v>6</v>
      </c>
      <c r="AJ173" s="36">
        <f t="shared" si="45"/>
        <v>5.0847457627118647E-2</v>
      </c>
      <c r="AK173" s="17">
        <v>8</v>
      </c>
      <c r="AL173" s="36">
        <f t="shared" si="60"/>
        <v>1.8181818181818181E-2</v>
      </c>
      <c r="AM173" s="17">
        <v>0</v>
      </c>
      <c r="AN173" s="36">
        <f t="shared" si="46"/>
        <v>0</v>
      </c>
      <c r="AO173" s="17">
        <v>440</v>
      </c>
      <c r="AP173" s="17">
        <v>118</v>
      </c>
    </row>
    <row r="174" spans="1:42" ht="15.75" customHeight="1" x14ac:dyDescent="0.25">
      <c r="A174" s="37">
        <v>2023</v>
      </c>
      <c r="B174" s="35">
        <v>170390</v>
      </c>
      <c r="C174" s="33" t="str">
        <f>VLOOKUP(B174,procv!$A$2:$D$142,4,FALSE)</f>
        <v>Cantão</v>
      </c>
      <c r="D174" s="33" t="s">
        <v>38</v>
      </c>
      <c r="E174" s="17">
        <v>12</v>
      </c>
      <c r="F174" s="36">
        <f t="shared" si="36"/>
        <v>2.6373626373626374E-2</v>
      </c>
      <c r="G174" s="17">
        <v>8</v>
      </c>
      <c r="H174" s="36">
        <f t="shared" si="37"/>
        <v>5.7971014492753624E-2</v>
      </c>
      <c r="I174" s="17">
        <v>29</v>
      </c>
      <c r="J174" s="36">
        <f t="shared" si="38"/>
        <v>6.3736263736263732E-2</v>
      </c>
      <c r="K174" s="17">
        <v>7</v>
      </c>
      <c r="L174" s="36">
        <f t="shared" si="39"/>
        <v>5.0724637681159424E-2</v>
      </c>
      <c r="M174" s="17">
        <v>414</v>
      </c>
      <c r="N174" s="36">
        <f t="shared" si="54"/>
        <v>0.90989010989010988</v>
      </c>
      <c r="O174" s="17">
        <v>123</v>
      </c>
      <c r="P174" s="36">
        <f t="shared" si="40"/>
        <v>0.89130434782608692</v>
      </c>
      <c r="Q174" s="17">
        <v>5</v>
      </c>
      <c r="R174" s="36">
        <f t="shared" si="55"/>
        <v>1.098901098901099E-2</v>
      </c>
      <c r="S174" s="17">
        <v>1</v>
      </c>
      <c r="T174" s="36">
        <f t="shared" si="41"/>
        <v>7.246376811594203E-3</v>
      </c>
      <c r="U174" s="17">
        <v>18</v>
      </c>
      <c r="V174" s="36">
        <f t="shared" si="56"/>
        <v>3.9560439560439559E-2</v>
      </c>
      <c r="W174" s="17">
        <v>4</v>
      </c>
      <c r="X174" s="36">
        <f t="shared" si="42"/>
        <v>2.8985507246376812E-2</v>
      </c>
      <c r="Y174" s="17">
        <v>320</v>
      </c>
      <c r="Z174" s="36">
        <f t="shared" si="57"/>
        <v>0.70329670329670335</v>
      </c>
      <c r="AA174" s="17">
        <v>107</v>
      </c>
      <c r="AB174" s="36">
        <f t="shared" si="43"/>
        <v>0.77536231884057971</v>
      </c>
      <c r="AC174" s="17">
        <v>74</v>
      </c>
      <c r="AD174" s="36">
        <f t="shared" si="58"/>
        <v>0.16263736263736264</v>
      </c>
      <c r="AE174" s="17">
        <v>17</v>
      </c>
      <c r="AF174" s="36">
        <f t="shared" si="44"/>
        <v>0.12318840579710146</v>
      </c>
      <c r="AG174" s="17">
        <v>32</v>
      </c>
      <c r="AH174" s="36">
        <f t="shared" si="59"/>
        <v>7.032967032967033E-2</v>
      </c>
      <c r="AI174" s="17">
        <v>8</v>
      </c>
      <c r="AJ174" s="36">
        <f t="shared" si="45"/>
        <v>5.7971014492753624E-2</v>
      </c>
      <c r="AK174" s="17">
        <v>6</v>
      </c>
      <c r="AL174" s="36">
        <f t="shared" si="60"/>
        <v>1.3186813186813187E-2</v>
      </c>
      <c r="AM174" s="17">
        <v>1</v>
      </c>
      <c r="AN174" s="36">
        <f t="shared" si="46"/>
        <v>7.246376811594203E-3</v>
      </c>
      <c r="AO174" s="17">
        <v>455</v>
      </c>
      <c r="AP174" s="17">
        <v>138</v>
      </c>
    </row>
    <row r="175" spans="1:42" ht="15.75" customHeight="1" x14ac:dyDescent="0.25">
      <c r="A175" s="37">
        <v>2023</v>
      </c>
      <c r="B175" s="35">
        <v>170410</v>
      </c>
      <c r="C175" s="33" t="str">
        <f>VLOOKUP(B175,procv!$A$2:$D$142,4,FALSE)</f>
        <v>Cerrado Tocantins Araguaia</v>
      </c>
      <c r="D175" s="33" t="s">
        <v>39</v>
      </c>
      <c r="E175" s="17">
        <v>2</v>
      </c>
      <c r="F175" s="36">
        <f t="shared" si="36"/>
        <v>1.1363636363636364E-2</v>
      </c>
      <c r="G175" s="17">
        <v>0</v>
      </c>
      <c r="H175" s="36">
        <f t="shared" si="37"/>
        <v>0</v>
      </c>
      <c r="I175" s="17">
        <v>13</v>
      </c>
      <c r="J175" s="36">
        <f t="shared" si="38"/>
        <v>7.3863636363636367E-2</v>
      </c>
      <c r="K175" s="17">
        <v>8</v>
      </c>
      <c r="L175" s="36">
        <f t="shared" si="39"/>
        <v>0.18181818181818182</v>
      </c>
      <c r="M175" s="17">
        <v>161</v>
      </c>
      <c r="N175" s="36">
        <f t="shared" si="54"/>
        <v>0.91477272727272729</v>
      </c>
      <c r="O175" s="17">
        <v>36</v>
      </c>
      <c r="P175" s="36">
        <f t="shared" si="40"/>
        <v>0.81818181818181823</v>
      </c>
      <c r="Q175" s="17">
        <v>1</v>
      </c>
      <c r="R175" s="36">
        <f t="shared" si="55"/>
        <v>5.681818181818182E-3</v>
      </c>
      <c r="S175" s="17">
        <v>0</v>
      </c>
      <c r="T175" s="36">
        <f t="shared" si="41"/>
        <v>0</v>
      </c>
      <c r="U175" s="17">
        <v>4</v>
      </c>
      <c r="V175" s="36">
        <f t="shared" si="56"/>
        <v>2.2727272727272728E-2</v>
      </c>
      <c r="W175" s="17">
        <v>1</v>
      </c>
      <c r="X175" s="36">
        <f t="shared" si="42"/>
        <v>2.2727272727272728E-2</v>
      </c>
      <c r="Y175" s="17">
        <v>118</v>
      </c>
      <c r="Z175" s="36">
        <f t="shared" si="57"/>
        <v>0.67045454545454541</v>
      </c>
      <c r="AA175" s="17">
        <v>31</v>
      </c>
      <c r="AB175" s="36">
        <f t="shared" si="43"/>
        <v>0.70454545454545459</v>
      </c>
      <c r="AC175" s="17">
        <v>33</v>
      </c>
      <c r="AD175" s="36">
        <f t="shared" si="58"/>
        <v>0.1875</v>
      </c>
      <c r="AE175" s="17">
        <v>8</v>
      </c>
      <c r="AF175" s="36">
        <f t="shared" si="44"/>
        <v>0.18181818181818182</v>
      </c>
      <c r="AG175" s="17">
        <v>17</v>
      </c>
      <c r="AH175" s="36">
        <f t="shared" si="59"/>
        <v>9.6590909090909088E-2</v>
      </c>
      <c r="AI175" s="17">
        <v>4</v>
      </c>
      <c r="AJ175" s="36">
        <f t="shared" si="45"/>
        <v>9.0909090909090912E-2</v>
      </c>
      <c r="AK175" s="17">
        <v>3</v>
      </c>
      <c r="AL175" s="36">
        <f t="shared" si="60"/>
        <v>1.7045454545454544E-2</v>
      </c>
      <c r="AM175" s="17">
        <v>0</v>
      </c>
      <c r="AN175" s="36">
        <f t="shared" si="46"/>
        <v>0</v>
      </c>
      <c r="AO175" s="17">
        <v>176</v>
      </c>
      <c r="AP175" s="17">
        <v>44</v>
      </c>
    </row>
    <row r="176" spans="1:42" ht="15.75" customHeight="1" x14ac:dyDescent="0.25">
      <c r="A176" s="37">
        <v>2023</v>
      </c>
      <c r="B176" s="35">
        <v>170510</v>
      </c>
      <c r="C176" s="33" t="str">
        <f>VLOOKUP(B176,procv!$A$2:$D$142,4,FALSE)</f>
        <v>Amor Perfeito</v>
      </c>
      <c r="D176" s="33" t="s">
        <v>40</v>
      </c>
      <c r="E176" s="17">
        <v>1</v>
      </c>
      <c r="F176" s="36">
        <f t="shared" si="36"/>
        <v>2.4449877750611247E-3</v>
      </c>
      <c r="G176" s="17">
        <v>0</v>
      </c>
      <c r="H176" s="36">
        <f t="shared" si="37"/>
        <v>0</v>
      </c>
      <c r="I176" s="17">
        <v>11</v>
      </c>
      <c r="J176" s="36">
        <f t="shared" si="38"/>
        <v>2.6894865525672371E-2</v>
      </c>
      <c r="K176" s="17">
        <v>2</v>
      </c>
      <c r="L176" s="36">
        <f t="shared" si="39"/>
        <v>2.8169014084507043E-2</v>
      </c>
      <c r="M176" s="17">
        <v>397</v>
      </c>
      <c r="N176" s="36">
        <f t="shared" si="54"/>
        <v>0.97066014669926648</v>
      </c>
      <c r="O176" s="17">
        <v>69</v>
      </c>
      <c r="P176" s="36">
        <f t="shared" si="40"/>
        <v>0.971830985915493</v>
      </c>
      <c r="Q176" s="17">
        <v>4</v>
      </c>
      <c r="R176" s="36">
        <f t="shared" si="55"/>
        <v>9.7799511002444987E-3</v>
      </c>
      <c r="S176" s="17">
        <v>0</v>
      </c>
      <c r="T176" s="36">
        <f t="shared" si="41"/>
        <v>0</v>
      </c>
      <c r="U176" s="17">
        <v>20</v>
      </c>
      <c r="V176" s="36">
        <f t="shared" si="56"/>
        <v>4.8899755501222497E-2</v>
      </c>
      <c r="W176" s="17">
        <v>1</v>
      </c>
      <c r="X176" s="36">
        <f t="shared" si="42"/>
        <v>1.4084507042253521E-2</v>
      </c>
      <c r="Y176" s="17">
        <v>264</v>
      </c>
      <c r="Z176" s="36">
        <f t="shared" si="57"/>
        <v>0.6454767726161369</v>
      </c>
      <c r="AA176" s="17">
        <v>42</v>
      </c>
      <c r="AB176" s="36">
        <f t="shared" si="43"/>
        <v>0.59154929577464788</v>
      </c>
      <c r="AC176" s="17">
        <v>68</v>
      </c>
      <c r="AD176" s="36">
        <f t="shared" si="58"/>
        <v>0.16625916870415647</v>
      </c>
      <c r="AE176" s="17">
        <v>9</v>
      </c>
      <c r="AF176" s="36">
        <f t="shared" si="44"/>
        <v>0.12676056338028169</v>
      </c>
      <c r="AG176" s="17">
        <v>42</v>
      </c>
      <c r="AH176" s="36">
        <f t="shared" si="59"/>
        <v>0.10268948655256724</v>
      </c>
      <c r="AI176" s="17">
        <v>15</v>
      </c>
      <c r="AJ176" s="36">
        <f t="shared" si="45"/>
        <v>0.21126760563380281</v>
      </c>
      <c r="AK176" s="17">
        <v>11</v>
      </c>
      <c r="AL176" s="36">
        <f t="shared" si="60"/>
        <v>2.6894865525672371E-2</v>
      </c>
      <c r="AM176" s="17">
        <v>4</v>
      </c>
      <c r="AN176" s="36">
        <f t="shared" si="46"/>
        <v>5.6338028169014086E-2</v>
      </c>
      <c r="AO176" s="17">
        <v>409</v>
      </c>
      <c r="AP176" s="17">
        <v>71</v>
      </c>
    </row>
    <row r="177" spans="1:42" ht="15.75" customHeight="1" x14ac:dyDescent="0.25">
      <c r="A177" s="37">
        <v>2023</v>
      </c>
      <c r="B177" s="35">
        <v>170460</v>
      </c>
      <c r="C177" s="33" t="str">
        <f>VLOOKUP(B177,procv!$A$2:$D$142,4,FALSE)</f>
        <v>Cantão</v>
      </c>
      <c r="D177" s="33" t="s">
        <v>41</v>
      </c>
      <c r="E177" s="17">
        <v>1</v>
      </c>
      <c r="F177" s="36">
        <f t="shared" si="36"/>
        <v>4.830917874396135E-3</v>
      </c>
      <c r="G177" s="17">
        <v>0</v>
      </c>
      <c r="H177" s="36">
        <f t="shared" si="37"/>
        <v>0</v>
      </c>
      <c r="I177" s="17">
        <v>5</v>
      </c>
      <c r="J177" s="36">
        <f t="shared" si="38"/>
        <v>2.4154589371980676E-2</v>
      </c>
      <c r="K177" s="17">
        <v>1</v>
      </c>
      <c r="L177" s="36">
        <f t="shared" si="39"/>
        <v>2.4390243902439025E-2</v>
      </c>
      <c r="M177" s="17">
        <v>201</v>
      </c>
      <c r="N177" s="36">
        <f t="shared" si="54"/>
        <v>0.97101449275362317</v>
      </c>
      <c r="O177" s="17">
        <v>40</v>
      </c>
      <c r="P177" s="36">
        <f t="shared" si="40"/>
        <v>0.97560975609756095</v>
      </c>
      <c r="Q177" s="17">
        <v>1</v>
      </c>
      <c r="R177" s="36">
        <f t="shared" si="55"/>
        <v>4.830917874396135E-3</v>
      </c>
      <c r="S177" s="17">
        <v>0</v>
      </c>
      <c r="T177" s="36">
        <f t="shared" si="41"/>
        <v>0</v>
      </c>
      <c r="U177" s="17">
        <v>6</v>
      </c>
      <c r="V177" s="36">
        <f t="shared" si="56"/>
        <v>2.8985507246376812E-2</v>
      </c>
      <c r="W177" s="17">
        <v>2</v>
      </c>
      <c r="X177" s="36">
        <f t="shared" si="42"/>
        <v>4.878048780487805E-2</v>
      </c>
      <c r="Y177" s="17">
        <v>147</v>
      </c>
      <c r="Z177" s="36">
        <f t="shared" si="57"/>
        <v>0.71014492753623193</v>
      </c>
      <c r="AA177" s="17">
        <v>27</v>
      </c>
      <c r="AB177" s="36">
        <f t="shared" si="43"/>
        <v>0.65853658536585369</v>
      </c>
      <c r="AC177" s="17">
        <v>32</v>
      </c>
      <c r="AD177" s="36">
        <f t="shared" si="58"/>
        <v>0.15458937198067632</v>
      </c>
      <c r="AE177" s="17">
        <v>8</v>
      </c>
      <c r="AF177" s="36">
        <f t="shared" si="44"/>
        <v>0.1951219512195122</v>
      </c>
      <c r="AG177" s="17">
        <v>19</v>
      </c>
      <c r="AH177" s="36">
        <f t="shared" si="59"/>
        <v>9.1787439613526575E-2</v>
      </c>
      <c r="AI177" s="17">
        <v>4</v>
      </c>
      <c r="AJ177" s="36">
        <f t="shared" si="45"/>
        <v>9.7560975609756101E-2</v>
      </c>
      <c r="AK177" s="17">
        <v>2</v>
      </c>
      <c r="AL177" s="36">
        <f t="shared" si="60"/>
        <v>9.6618357487922701E-3</v>
      </c>
      <c r="AM177" s="17">
        <v>0</v>
      </c>
      <c r="AN177" s="36">
        <f t="shared" si="46"/>
        <v>0</v>
      </c>
      <c r="AO177" s="17">
        <v>207</v>
      </c>
      <c r="AP177" s="17">
        <v>41</v>
      </c>
    </row>
    <row r="178" spans="1:42" ht="15.75" customHeight="1" x14ac:dyDescent="0.25">
      <c r="A178" s="37">
        <v>2023</v>
      </c>
      <c r="B178" s="35">
        <v>170550</v>
      </c>
      <c r="C178" s="33" t="str">
        <f>VLOOKUP(B178,procv!$A$2:$D$142,4,FALSE)</f>
        <v>Cerrado Tocantins Araguaia</v>
      </c>
      <c r="D178" s="33" t="s">
        <v>42</v>
      </c>
      <c r="E178" s="17">
        <v>14</v>
      </c>
      <c r="F178" s="36">
        <f t="shared" si="36"/>
        <v>8.6741016109045856E-3</v>
      </c>
      <c r="G178" s="17">
        <v>2</v>
      </c>
      <c r="H178" s="36">
        <f t="shared" si="37"/>
        <v>1.2121212121212121E-2</v>
      </c>
      <c r="I178" s="17">
        <v>55</v>
      </c>
      <c r="J178" s="36">
        <f t="shared" si="38"/>
        <v>3.4076827757125158E-2</v>
      </c>
      <c r="K178" s="17">
        <v>13</v>
      </c>
      <c r="L178" s="36">
        <f t="shared" si="39"/>
        <v>7.8787878787878782E-2</v>
      </c>
      <c r="M178" s="16">
        <v>1545</v>
      </c>
      <c r="N178" s="36">
        <f t="shared" si="54"/>
        <v>0.95724907063197029</v>
      </c>
      <c r="O178" s="17">
        <v>150</v>
      </c>
      <c r="P178" s="36">
        <f t="shared" si="40"/>
        <v>0.90909090909090906</v>
      </c>
      <c r="Q178" s="17">
        <v>17</v>
      </c>
      <c r="R178" s="36">
        <f t="shared" si="55"/>
        <v>1.0532837670384139E-2</v>
      </c>
      <c r="S178" s="17">
        <v>4</v>
      </c>
      <c r="T178" s="36">
        <f t="shared" si="41"/>
        <v>2.4242424242424242E-2</v>
      </c>
      <c r="U178" s="17">
        <v>57</v>
      </c>
      <c r="V178" s="36">
        <f t="shared" si="56"/>
        <v>3.5315985130111527E-2</v>
      </c>
      <c r="W178" s="17">
        <v>8</v>
      </c>
      <c r="X178" s="36">
        <f t="shared" si="42"/>
        <v>4.8484848484848485E-2</v>
      </c>
      <c r="Y178" s="16">
        <v>1083</v>
      </c>
      <c r="Z178" s="36">
        <f t="shared" si="57"/>
        <v>0.67100371747211895</v>
      </c>
      <c r="AA178" s="17">
        <v>110</v>
      </c>
      <c r="AB178" s="36">
        <f t="shared" si="43"/>
        <v>0.66666666666666663</v>
      </c>
      <c r="AC178" s="17">
        <v>276</v>
      </c>
      <c r="AD178" s="36">
        <f t="shared" si="58"/>
        <v>0.17100371747211895</v>
      </c>
      <c r="AE178" s="17">
        <v>32</v>
      </c>
      <c r="AF178" s="36">
        <f t="shared" si="44"/>
        <v>0.19393939393939394</v>
      </c>
      <c r="AG178" s="17">
        <v>144</v>
      </c>
      <c r="AH178" s="36">
        <f t="shared" si="59"/>
        <v>8.9219330855018583E-2</v>
      </c>
      <c r="AI178" s="17">
        <v>10</v>
      </c>
      <c r="AJ178" s="36">
        <f t="shared" si="45"/>
        <v>6.0606060606060608E-2</v>
      </c>
      <c r="AK178" s="17">
        <v>37</v>
      </c>
      <c r="AL178" s="36">
        <f t="shared" si="60"/>
        <v>2.292441140024783E-2</v>
      </c>
      <c r="AM178" s="17">
        <v>1</v>
      </c>
      <c r="AN178" s="36">
        <f t="shared" si="46"/>
        <v>6.0606060606060606E-3</v>
      </c>
      <c r="AO178" s="16">
        <v>1614</v>
      </c>
      <c r="AP178" s="17">
        <v>165</v>
      </c>
    </row>
    <row r="179" spans="1:42" ht="15.75" customHeight="1" x14ac:dyDescent="0.25">
      <c r="A179" s="37">
        <v>2023</v>
      </c>
      <c r="B179" s="35">
        <v>171670</v>
      </c>
      <c r="C179" s="33" t="str">
        <f>VLOOKUP(B179,procv!$A$2:$D$142,4,FALSE)</f>
        <v>Cerrado Tocantins Araguaia</v>
      </c>
      <c r="D179" s="33" t="s">
        <v>43</v>
      </c>
      <c r="E179" s="17">
        <v>9</v>
      </c>
      <c r="F179" s="36">
        <f t="shared" si="36"/>
        <v>2.5210084033613446E-2</v>
      </c>
      <c r="G179" s="17">
        <v>3</v>
      </c>
      <c r="H179" s="36">
        <f t="shared" si="37"/>
        <v>4.2253521126760563E-2</v>
      </c>
      <c r="I179" s="17">
        <v>19</v>
      </c>
      <c r="J179" s="36">
        <f t="shared" si="38"/>
        <v>5.3221288515406161E-2</v>
      </c>
      <c r="K179" s="17">
        <v>7</v>
      </c>
      <c r="L179" s="36">
        <f t="shared" si="39"/>
        <v>9.8591549295774641E-2</v>
      </c>
      <c r="M179" s="17">
        <v>329</v>
      </c>
      <c r="N179" s="36">
        <f t="shared" si="54"/>
        <v>0.92156862745098034</v>
      </c>
      <c r="O179" s="17">
        <v>61</v>
      </c>
      <c r="P179" s="36">
        <f t="shared" si="40"/>
        <v>0.85915492957746475</v>
      </c>
      <c r="Q179" s="17">
        <v>3</v>
      </c>
      <c r="R179" s="36">
        <f t="shared" si="55"/>
        <v>8.4033613445378148E-3</v>
      </c>
      <c r="S179" s="17">
        <v>1</v>
      </c>
      <c r="T179" s="36">
        <f t="shared" si="41"/>
        <v>1.4084507042253521E-2</v>
      </c>
      <c r="U179" s="17">
        <v>12</v>
      </c>
      <c r="V179" s="36">
        <f t="shared" si="56"/>
        <v>3.3613445378151259E-2</v>
      </c>
      <c r="W179" s="17">
        <v>1</v>
      </c>
      <c r="X179" s="36">
        <f t="shared" si="42"/>
        <v>1.4084507042253521E-2</v>
      </c>
      <c r="Y179" s="17">
        <v>254</v>
      </c>
      <c r="Z179" s="36">
        <f t="shared" si="57"/>
        <v>0.71148459383753504</v>
      </c>
      <c r="AA179" s="17">
        <v>52</v>
      </c>
      <c r="AB179" s="36">
        <f t="shared" si="43"/>
        <v>0.73239436619718312</v>
      </c>
      <c r="AC179" s="17">
        <v>54</v>
      </c>
      <c r="AD179" s="36">
        <f t="shared" si="58"/>
        <v>0.15126050420168066</v>
      </c>
      <c r="AE179" s="17">
        <v>13</v>
      </c>
      <c r="AF179" s="36">
        <f t="shared" si="44"/>
        <v>0.18309859154929578</v>
      </c>
      <c r="AG179" s="17">
        <v>25</v>
      </c>
      <c r="AH179" s="36">
        <f t="shared" si="59"/>
        <v>7.0028011204481794E-2</v>
      </c>
      <c r="AI179" s="17">
        <v>2</v>
      </c>
      <c r="AJ179" s="36">
        <f t="shared" si="45"/>
        <v>2.8169014084507043E-2</v>
      </c>
      <c r="AK179" s="17">
        <v>9</v>
      </c>
      <c r="AL179" s="36">
        <f t="shared" si="60"/>
        <v>2.5210084033613446E-2</v>
      </c>
      <c r="AM179" s="17">
        <v>2</v>
      </c>
      <c r="AN179" s="36">
        <f t="shared" si="46"/>
        <v>2.8169014084507043E-2</v>
      </c>
      <c r="AO179" s="17">
        <v>357</v>
      </c>
      <c r="AP179" s="17">
        <v>71</v>
      </c>
    </row>
    <row r="180" spans="1:42" ht="15.75" customHeight="1" x14ac:dyDescent="0.25">
      <c r="A180" s="37">
        <v>2023</v>
      </c>
      <c r="B180" s="35">
        <v>170555</v>
      </c>
      <c r="C180" s="33" t="str">
        <f>VLOOKUP(B180,procv!$A$2:$D$142,4,FALSE)</f>
        <v>Sudeste</v>
      </c>
      <c r="D180" s="33" t="s">
        <v>44</v>
      </c>
      <c r="E180" s="17">
        <v>5</v>
      </c>
      <c r="F180" s="36">
        <f t="shared" si="36"/>
        <v>8.7873462214411256E-3</v>
      </c>
      <c r="G180" s="17">
        <v>3</v>
      </c>
      <c r="H180" s="36">
        <f t="shared" si="37"/>
        <v>1.7857142857142856E-2</v>
      </c>
      <c r="I180" s="17">
        <v>11</v>
      </c>
      <c r="J180" s="36">
        <f t="shared" si="38"/>
        <v>1.9332161687170474E-2</v>
      </c>
      <c r="K180" s="17">
        <v>2</v>
      </c>
      <c r="L180" s="36">
        <f t="shared" si="39"/>
        <v>1.1904761904761904E-2</v>
      </c>
      <c r="M180" s="17">
        <v>553</v>
      </c>
      <c r="N180" s="36">
        <f t="shared" si="54"/>
        <v>0.97188049209138838</v>
      </c>
      <c r="O180" s="17">
        <v>163</v>
      </c>
      <c r="P180" s="36">
        <f t="shared" si="40"/>
        <v>0.97023809523809523</v>
      </c>
      <c r="Q180" s="17">
        <v>4</v>
      </c>
      <c r="R180" s="36">
        <f t="shared" si="55"/>
        <v>7.0298769771528994E-3</v>
      </c>
      <c r="S180" s="17">
        <v>1</v>
      </c>
      <c r="T180" s="36">
        <f t="shared" si="41"/>
        <v>5.9523809523809521E-3</v>
      </c>
      <c r="U180" s="17">
        <v>26</v>
      </c>
      <c r="V180" s="36">
        <f t="shared" si="56"/>
        <v>4.5694200351493852E-2</v>
      </c>
      <c r="W180" s="17">
        <v>4</v>
      </c>
      <c r="X180" s="36">
        <f t="shared" si="42"/>
        <v>2.3809523809523808E-2</v>
      </c>
      <c r="Y180" s="17">
        <v>417</v>
      </c>
      <c r="Z180" s="36">
        <f t="shared" si="57"/>
        <v>0.73286467486818985</v>
      </c>
      <c r="AA180" s="17">
        <v>130</v>
      </c>
      <c r="AB180" s="36">
        <f t="shared" si="43"/>
        <v>0.77380952380952384</v>
      </c>
      <c r="AC180" s="17">
        <v>77</v>
      </c>
      <c r="AD180" s="36">
        <f t="shared" si="58"/>
        <v>0.13532513181019332</v>
      </c>
      <c r="AE180" s="17">
        <v>19</v>
      </c>
      <c r="AF180" s="36">
        <f t="shared" si="44"/>
        <v>0.1130952380952381</v>
      </c>
      <c r="AG180" s="17">
        <v>32</v>
      </c>
      <c r="AH180" s="36">
        <f t="shared" si="59"/>
        <v>5.6239015817223195E-2</v>
      </c>
      <c r="AI180" s="17">
        <v>10</v>
      </c>
      <c r="AJ180" s="36">
        <f t="shared" si="45"/>
        <v>5.9523809523809521E-2</v>
      </c>
      <c r="AK180" s="17">
        <v>13</v>
      </c>
      <c r="AL180" s="36">
        <f t="shared" si="60"/>
        <v>2.2847100175746926E-2</v>
      </c>
      <c r="AM180" s="17">
        <v>4</v>
      </c>
      <c r="AN180" s="36">
        <f t="shared" si="46"/>
        <v>2.3809523809523808E-2</v>
      </c>
      <c r="AO180" s="17">
        <v>569</v>
      </c>
      <c r="AP180" s="17">
        <v>168</v>
      </c>
    </row>
    <row r="181" spans="1:42" ht="15.75" customHeight="1" x14ac:dyDescent="0.25">
      <c r="A181" s="37">
        <v>2023</v>
      </c>
      <c r="B181" s="35">
        <v>170560</v>
      </c>
      <c r="C181" s="33" t="str">
        <f>VLOOKUP(B181,procv!$A$2:$D$142,4,FALSE)</f>
        <v>Sudeste</v>
      </c>
      <c r="D181" s="33" t="s">
        <v>45</v>
      </c>
      <c r="E181" s="17">
        <v>3</v>
      </c>
      <c r="F181" s="36">
        <f t="shared" si="36"/>
        <v>6.8027210884353739E-3</v>
      </c>
      <c r="G181" s="17">
        <v>1</v>
      </c>
      <c r="H181" s="36">
        <f t="shared" si="37"/>
        <v>6.5789473684210523E-3</v>
      </c>
      <c r="I181" s="17">
        <v>12</v>
      </c>
      <c r="J181" s="36">
        <f t="shared" si="38"/>
        <v>2.7210884353741496E-2</v>
      </c>
      <c r="K181" s="17">
        <v>6</v>
      </c>
      <c r="L181" s="36">
        <f t="shared" si="39"/>
        <v>3.9473684210526314E-2</v>
      </c>
      <c r="M181" s="17">
        <v>426</v>
      </c>
      <c r="N181" s="36">
        <f t="shared" si="54"/>
        <v>0.96598639455782309</v>
      </c>
      <c r="O181" s="17">
        <v>145</v>
      </c>
      <c r="P181" s="36">
        <f t="shared" si="40"/>
        <v>0.95394736842105265</v>
      </c>
      <c r="Q181" s="17">
        <v>6</v>
      </c>
      <c r="R181" s="36">
        <f t="shared" si="55"/>
        <v>1.3605442176870748E-2</v>
      </c>
      <c r="S181" s="17">
        <v>4</v>
      </c>
      <c r="T181" s="36">
        <f t="shared" si="41"/>
        <v>2.6315789473684209E-2</v>
      </c>
      <c r="U181" s="17">
        <v>19</v>
      </c>
      <c r="V181" s="36">
        <f t="shared" si="56"/>
        <v>4.3083900226757371E-2</v>
      </c>
      <c r="W181" s="17">
        <v>8</v>
      </c>
      <c r="X181" s="36">
        <f t="shared" si="42"/>
        <v>5.2631578947368418E-2</v>
      </c>
      <c r="Y181" s="17">
        <v>330</v>
      </c>
      <c r="Z181" s="36">
        <f t="shared" si="57"/>
        <v>0.74829931972789121</v>
      </c>
      <c r="AA181" s="17">
        <v>111</v>
      </c>
      <c r="AB181" s="36">
        <f t="shared" si="43"/>
        <v>0.73026315789473684</v>
      </c>
      <c r="AC181" s="17">
        <v>68</v>
      </c>
      <c r="AD181" s="36">
        <f t="shared" si="58"/>
        <v>0.15419501133786848</v>
      </c>
      <c r="AE181" s="17">
        <v>24</v>
      </c>
      <c r="AF181" s="36">
        <f t="shared" si="44"/>
        <v>0.15789473684210525</v>
      </c>
      <c r="AG181" s="17">
        <v>17</v>
      </c>
      <c r="AH181" s="36">
        <f t="shared" si="59"/>
        <v>3.8548752834467119E-2</v>
      </c>
      <c r="AI181" s="17">
        <v>5</v>
      </c>
      <c r="AJ181" s="36">
        <f t="shared" si="45"/>
        <v>3.2894736842105261E-2</v>
      </c>
      <c r="AK181" s="17">
        <v>1</v>
      </c>
      <c r="AL181" s="36">
        <f t="shared" si="60"/>
        <v>2.2675736961451248E-3</v>
      </c>
      <c r="AM181" s="17">
        <v>0</v>
      </c>
      <c r="AN181" s="36">
        <f t="shared" si="46"/>
        <v>0</v>
      </c>
      <c r="AO181" s="17">
        <v>441</v>
      </c>
      <c r="AP181" s="17">
        <v>152</v>
      </c>
    </row>
    <row r="182" spans="1:42" ht="15.75" customHeight="1" x14ac:dyDescent="0.25">
      <c r="A182" s="37">
        <v>2023</v>
      </c>
      <c r="B182" s="35">
        <v>170600</v>
      </c>
      <c r="C182" s="33" t="str">
        <f>VLOOKUP(B182,procv!$A$2:$D$142,4,FALSE)</f>
        <v>Cerrado Tocantins Araguaia</v>
      </c>
      <c r="D182" s="33" t="s">
        <v>46</v>
      </c>
      <c r="E182" s="17">
        <v>13</v>
      </c>
      <c r="F182" s="36">
        <f t="shared" si="36"/>
        <v>2.355072463768116E-2</v>
      </c>
      <c r="G182" s="17">
        <v>3</v>
      </c>
      <c r="H182" s="36">
        <f t="shared" si="37"/>
        <v>2.4390243902439025E-2</v>
      </c>
      <c r="I182" s="17">
        <v>15</v>
      </c>
      <c r="J182" s="36">
        <f t="shared" si="38"/>
        <v>2.717391304347826E-2</v>
      </c>
      <c r="K182" s="17">
        <v>2</v>
      </c>
      <c r="L182" s="36">
        <f t="shared" si="39"/>
        <v>1.6260162601626018E-2</v>
      </c>
      <c r="M182" s="17">
        <v>524</v>
      </c>
      <c r="N182" s="36">
        <f t="shared" si="54"/>
        <v>0.94927536231884058</v>
      </c>
      <c r="O182" s="17">
        <v>118</v>
      </c>
      <c r="P182" s="36">
        <f t="shared" si="40"/>
        <v>0.95934959349593496</v>
      </c>
      <c r="Q182" s="17">
        <v>9</v>
      </c>
      <c r="R182" s="36">
        <f t="shared" si="55"/>
        <v>1.6304347826086956E-2</v>
      </c>
      <c r="S182" s="17">
        <v>3</v>
      </c>
      <c r="T182" s="36">
        <f t="shared" si="41"/>
        <v>2.4390243902439025E-2</v>
      </c>
      <c r="U182" s="17">
        <v>32</v>
      </c>
      <c r="V182" s="36">
        <f t="shared" si="56"/>
        <v>5.7971014492753624E-2</v>
      </c>
      <c r="W182" s="17">
        <v>6</v>
      </c>
      <c r="X182" s="36">
        <f t="shared" si="42"/>
        <v>4.878048780487805E-2</v>
      </c>
      <c r="Y182" s="17">
        <v>419</v>
      </c>
      <c r="Z182" s="36">
        <f t="shared" si="57"/>
        <v>0.75905797101449279</v>
      </c>
      <c r="AA182" s="17">
        <v>96</v>
      </c>
      <c r="AB182" s="36">
        <f t="shared" si="43"/>
        <v>0.78048780487804881</v>
      </c>
      <c r="AC182" s="17">
        <v>52</v>
      </c>
      <c r="AD182" s="36">
        <f t="shared" si="58"/>
        <v>9.420289855072464E-2</v>
      </c>
      <c r="AE182" s="17">
        <v>12</v>
      </c>
      <c r="AF182" s="36">
        <f t="shared" si="44"/>
        <v>9.7560975609756101E-2</v>
      </c>
      <c r="AG182" s="17">
        <v>31</v>
      </c>
      <c r="AH182" s="36">
        <f t="shared" si="59"/>
        <v>5.6159420289855072E-2</v>
      </c>
      <c r="AI182" s="17">
        <v>6</v>
      </c>
      <c r="AJ182" s="36">
        <f t="shared" si="45"/>
        <v>4.878048780487805E-2</v>
      </c>
      <c r="AK182" s="17">
        <v>9</v>
      </c>
      <c r="AL182" s="36">
        <f t="shared" si="60"/>
        <v>1.6304347826086956E-2</v>
      </c>
      <c r="AM182" s="17">
        <v>0</v>
      </c>
      <c r="AN182" s="36">
        <f t="shared" si="46"/>
        <v>0</v>
      </c>
      <c r="AO182" s="17">
        <v>552</v>
      </c>
      <c r="AP182" s="17">
        <v>123</v>
      </c>
    </row>
    <row r="183" spans="1:42" ht="15.75" customHeight="1" x14ac:dyDescent="0.25">
      <c r="A183" s="37">
        <v>2023</v>
      </c>
      <c r="B183" s="35">
        <v>170610</v>
      </c>
      <c r="C183" s="33" t="str">
        <f>VLOOKUP(B183,procv!$A$2:$D$142,4,FALSE)</f>
        <v>Cantão</v>
      </c>
      <c r="D183" s="33" t="s">
        <v>47</v>
      </c>
      <c r="E183" s="17">
        <v>3</v>
      </c>
      <c r="F183" s="36">
        <f t="shared" si="36"/>
        <v>5.905511811023622E-3</v>
      </c>
      <c r="G183" s="17">
        <v>1</v>
      </c>
      <c r="H183" s="36">
        <f t="shared" si="37"/>
        <v>1.4492753623188406E-2</v>
      </c>
      <c r="I183" s="17">
        <v>6</v>
      </c>
      <c r="J183" s="36">
        <f t="shared" si="38"/>
        <v>1.1811023622047244E-2</v>
      </c>
      <c r="K183" s="17">
        <v>0</v>
      </c>
      <c r="L183" s="36">
        <f t="shared" si="39"/>
        <v>0</v>
      </c>
      <c r="M183" s="17">
        <v>499</v>
      </c>
      <c r="N183" s="36">
        <f t="shared" si="54"/>
        <v>0.98228346456692917</v>
      </c>
      <c r="O183" s="17">
        <v>68</v>
      </c>
      <c r="P183" s="36">
        <f t="shared" si="40"/>
        <v>0.98550724637681164</v>
      </c>
      <c r="Q183" s="17">
        <v>6</v>
      </c>
      <c r="R183" s="36">
        <f t="shared" si="55"/>
        <v>1.1811023622047244E-2</v>
      </c>
      <c r="S183" s="17">
        <v>0</v>
      </c>
      <c r="T183" s="36">
        <f t="shared" si="41"/>
        <v>0</v>
      </c>
      <c r="U183" s="17">
        <v>24</v>
      </c>
      <c r="V183" s="36">
        <f t="shared" si="56"/>
        <v>4.7244094488188976E-2</v>
      </c>
      <c r="W183" s="17">
        <v>3</v>
      </c>
      <c r="X183" s="36">
        <f t="shared" si="42"/>
        <v>4.3478260869565216E-2</v>
      </c>
      <c r="Y183" s="17">
        <v>347</v>
      </c>
      <c r="Z183" s="36">
        <f t="shared" si="57"/>
        <v>0.68307086614173229</v>
      </c>
      <c r="AA183" s="17">
        <v>48</v>
      </c>
      <c r="AB183" s="36">
        <f t="shared" si="43"/>
        <v>0.69565217391304346</v>
      </c>
      <c r="AC183" s="17">
        <v>63</v>
      </c>
      <c r="AD183" s="36">
        <f t="shared" si="58"/>
        <v>0.12401574803149606</v>
      </c>
      <c r="AE183" s="17">
        <v>9</v>
      </c>
      <c r="AF183" s="36">
        <f t="shared" si="44"/>
        <v>0.13043478260869565</v>
      </c>
      <c r="AG183" s="17">
        <v>59</v>
      </c>
      <c r="AH183" s="36">
        <f t="shared" si="59"/>
        <v>0.11614173228346457</v>
      </c>
      <c r="AI183" s="17">
        <v>9</v>
      </c>
      <c r="AJ183" s="36">
        <f t="shared" si="45"/>
        <v>0.13043478260869565</v>
      </c>
      <c r="AK183" s="17">
        <v>9</v>
      </c>
      <c r="AL183" s="36">
        <f t="shared" si="60"/>
        <v>1.7716535433070866E-2</v>
      </c>
      <c r="AM183" s="17">
        <v>0</v>
      </c>
      <c r="AN183" s="36">
        <f t="shared" si="46"/>
        <v>0</v>
      </c>
      <c r="AO183" s="17">
        <v>508</v>
      </c>
      <c r="AP183" s="17">
        <v>69</v>
      </c>
    </row>
    <row r="184" spans="1:42" ht="15.75" customHeight="1" x14ac:dyDescent="0.25">
      <c r="A184" s="37">
        <v>2023</v>
      </c>
      <c r="B184" s="35">
        <v>170625</v>
      </c>
      <c r="C184" s="33" t="str">
        <f>VLOOKUP(B184,procv!$A$2:$D$142,4,FALSE)</f>
        <v>Ilha do Bananal</v>
      </c>
      <c r="D184" s="33" t="s">
        <v>48</v>
      </c>
      <c r="E184" s="17">
        <v>1</v>
      </c>
      <c r="F184" s="36">
        <f t="shared" si="36"/>
        <v>5.9880239520958087E-3</v>
      </c>
      <c r="G184" s="17">
        <v>0</v>
      </c>
      <c r="H184" s="36">
        <f t="shared" si="37"/>
        <v>0</v>
      </c>
      <c r="I184" s="17">
        <v>10</v>
      </c>
      <c r="J184" s="36">
        <f t="shared" si="38"/>
        <v>5.9880239520958084E-2</v>
      </c>
      <c r="K184" s="17">
        <v>0</v>
      </c>
      <c r="L184" s="36">
        <f t="shared" si="39"/>
        <v>0</v>
      </c>
      <c r="M184" s="17">
        <v>156</v>
      </c>
      <c r="N184" s="36">
        <f t="shared" si="54"/>
        <v>0.93413173652694614</v>
      </c>
      <c r="O184" s="17">
        <v>7</v>
      </c>
      <c r="P184" s="36">
        <f t="shared" si="40"/>
        <v>1</v>
      </c>
      <c r="Q184" s="17">
        <v>1</v>
      </c>
      <c r="R184" s="36">
        <f t="shared" si="55"/>
        <v>5.9880239520958087E-3</v>
      </c>
      <c r="S184" s="17">
        <v>0</v>
      </c>
      <c r="T184" s="36">
        <f t="shared" si="41"/>
        <v>0</v>
      </c>
      <c r="U184" s="17">
        <v>2</v>
      </c>
      <c r="V184" s="36">
        <f t="shared" si="56"/>
        <v>1.1976047904191617E-2</v>
      </c>
      <c r="W184" s="17">
        <v>0</v>
      </c>
      <c r="X184" s="36">
        <f t="shared" si="42"/>
        <v>0</v>
      </c>
      <c r="Y184" s="17">
        <v>119</v>
      </c>
      <c r="Z184" s="36">
        <f t="shared" si="57"/>
        <v>0.71257485029940115</v>
      </c>
      <c r="AA184" s="17">
        <v>7</v>
      </c>
      <c r="AB184" s="36">
        <f t="shared" si="43"/>
        <v>1</v>
      </c>
      <c r="AC184" s="17">
        <v>34</v>
      </c>
      <c r="AD184" s="36">
        <f t="shared" si="58"/>
        <v>0.20359281437125748</v>
      </c>
      <c r="AE184" s="17">
        <v>0</v>
      </c>
      <c r="AF184" s="36">
        <f t="shared" si="44"/>
        <v>0</v>
      </c>
      <c r="AG184" s="17">
        <v>10</v>
      </c>
      <c r="AH184" s="36">
        <f t="shared" si="59"/>
        <v>5.9880239520958084E-2</v>
      </c>
      <c r="AI184" s="17">
        <v>0</v>
      </c>
      <c r="AJ184" s="36">
        <f t="shared" si="45"/>
        <v>0</v>
      </c>
      <c r="AK184" s="17">
        <v>1</v>
      </c>
      <c r="AL184" s="36">
        <f t="shared" si="60"/>
        <v>5.9880239520958087E-3</v>
      </c>
      <c r="AM184" s="17">
        <v>0</v>
      </c>
      <c r="AN184" s="36">
        <f t="shared" si="46"/>
        <v>0</v>
      </c>
      <c r="AO184" s="17">
        <v>167</v>
      </c>
      <c r="AP184" s="17">
        <v>7</v>
      </c>
    </row>
    <row r="185" spans="1:42" ht="15.75" customHeight="1" x14ac:dyDescent="0.25">
      <c r="A185" s="37">
        <v>2023</v>
      </c>
      <c r="B185" s="35">
        <v>170650</v>
      </c>
      <c r="C185" s="33" t="str">
        <f>VLOOKUP(B185,procv!$A$2:$D$142,4,FALSE)</f>
        <v>Médio Norte Araguaia</v>
      </c>
      <c r="D185" s="33" t="s">
        <v>49</v>
      </c>
      <c r="E185" s="17">
        <v>7</v>
      </c>
      <c r="F185" s="36">
        <f t="shared" si="36"/>
        <v>2.8925619834710745E-2</v>
      </c>
      <c r="G185" s="17">
        <v>0</v>
      </c>
      <c r="H185" s="36">
        <f t="shared" si="37"/>
        <v>0</v>
      </c>
      <c r="I185" s="17">
        <v>12</v>
      </c>
      <c r="J185" s="36">
        <f t="shared" si="38"/>
        <v>4.9586776859504134E-2</v>
      </c>
      <c r="K185" s="17">
        <v>3</v>
      </c>
      <c r="L185" s="36">
        <f t="shared" si="39"/>
        <v>0.13043478260869565</v>
      </c>
      <c r="M185" s="17">
        <v>223</v>
      </c>
      <c r="N185" s="36">
        <f t="shared" si="54"/>
        <v>0.92148760330578516</v>
      </c>
      <c r="O185" s="17">
        <v>20</v>
      </c>
      <c r="P185" s="36">
        <f t="shared" si="40"/>
        <v>0.86956521739130432</v>
      </c>
      <c r="Q185" s="17">
        <v>6</v>
      </c>
      <c r="R185" s="36">
        <f t="shared" si="55"/>
        <v>2.4793388429752067E-2</v>
      </c>
      <c r="S185" s="17">
        <v>0</v>
      </c>
      <c r="T185" s="36">
        <f t="shared" si="41"/>
        <v>0</v>
      </c>
      <c r="U185" s="17">
        <v>5</v>
      </c>
      <c r="V185" s="36">
        <f t="shared" si="56"/>
        <v>2.0661157024793389E-2</v>
      </c>
      <c r="W185" s="17">
        <v>0</v>
      </c>
      <c r="X185" s="36">
        <f t="shared" si="42"/>
        <v>0</v>
      </c>
      <c r="Y185" s="17">
        <v>162</v>
      </c>
      <c r="Z185" s="36">
        <f t="shared" si="57"/>
        <v>0.66942148760330578</v>
      </c>
      <c r="AA185" s="17">
        <v>15</v>
      </c>
      <c r="AB185" s="36">
        <f t="shared" si="43"/>
        <v>0.65217391304347827</v>
      </c>
      <c r="AC185" s="17">
        <v>45</v>
      </c>
      <c r="AD185" s="36">
        <f t="shared" si="58"/>
        <v>0.18595041322314049</v>
      </c>
      <c r="AE185" s="17">
        <v>4</v>
      </c>
      <c r="AF185" s="36">
        <f t="shared" si="44"/>
        <v>0.17391304347826086</v>
      </c>
      <c r="AG185" s="17">
        <v>20</v>
      </c>
      <c r="AH185" s="36">
        <f t="shared" si="59"/>
        <v>8.2644628099173556E-2</v>
      </c>
      <c r="AI185" s="17">
        <v>2</v>
      </c>
      <c r="AJ185" s="36">
        <f t="shared" si="45"/>
        <v>8.6956521739130432E-2</v>
      </c>
      <c r="AK185" s="17">
        <v>4</v>
      </c>
      <c r="AL185" s="36">
        <f t="shared" si="60"/>
        <v>1.6528925619834711E-2</v>
      </c>
      <c r="AM185" s="17">
        <v>2</v>
      </c>
      <c r="AN185" s="36">
        <f t="shared" si="46"/>
        <v>8.6956521739130432E-2</v>
      </c>
      <c r="AO185" s="17">
        <v>242</v>
      </c>
      <c r="AP185" s="17">
        <v>23</v>
      </c>
    </row>
    <row r="186" spans="1:42" ht="15.75" customHeight="1" x14ac:dyDescent="0.25">
      <c r="A186" s="37">
        <v>2023</v>
      </c>
      <c r="B186" s="35">
        <v>170700</v>
      </c>
      <c r="C186" s="33" t="str">
        <f>VLOOKUP(B186,procv!$A$2:$D$142,4,FALSE)</f>
        <v>Sudeste</v>
      </c>
      <c r="D186" s="33" t="s">
        <v>50</v>
      </c>
      <c r="E186" s="17">
        <v>13</v>
      </c>
      <c r="F186" s="36">
        <f t="shared" si="36"/>
        <v>1.1216566005176877E-2</v>
      </c>
      <c r="G186" s="17">
        <v>3</v>
      </c>
      <c r="H186" s="36">
        <f t="shared" si="37"/>
        <v>1.6483516483516484E-2</v>
      </c>
      <c r="I186" s="17">
        <v>46</v>
      </c>
      <c r="J186" s="36">
        <f t="shared" si="38"/>
        <v>3.9689387402933561E-2</v>
      </c>
      <c r="K186" s="17">
        <v>13</v>
      </c>
      <c r="L186" s="36">
        <f t="shared" si="39"/>
        <v>7.1428571428571425E-2</v>
      </c>
      <c r="M186" s="16">
        <v>1100</v>
      </c>
      <c r="N186" s="36">
        <f t="shared" si="54"/>
        <v>0.94909404659188956</v>
      </c>
      <c r="O186" s="17">
        <v>166</v>
      </c>
      <c r="P186" s="36">
        <f t="shared" si="40"/>
        <v>0.91208791208791207</v>
      </c>
      <c r="Q186" s="17">
        <v>9</v>
      </c>
      <c r="R186" s="36">
        <f t="shared" si="55"/>
        <v>7.7653149266609144E-3</v>
      </c>
      <c r="S186" s="17">
        <v>0</v>
      </c>
      <c r="T186" s="36">
        <f t="shared" si="41"/>
        <v>0</v>
      </c>
      <c r="U186" s="17">
        <v>53</v>
      </c>
      <c r="V186" s="36">
        <f t="shared" si="56"/>
        <v>4.5729076790336498E-2</v>
      </c>
      <c r="W186" s="17">
        <v>11</v>
      </c>
      <c r="X186" s="36">
        <f t="shared" si="42"/>
        <v>6.043956043956044E-2</v>
      </c>
      <c r="Y186" s="17">
        <v>806</v>
      </c>
      <c r="Z186" s="36">
        <f t="shared" si="57"/>
        <v>0.69542709232096633</v>
      </c>
      <c r="AA186" s="17">
        <v>127</v>
      </c>
      <c r="AB186" s="36">
        <f t="shared" si="43"/>
        <v>0.69780219780219777</v>
      </c>
      <c r="AC186" s="17">
        <v>178</v>
      </c>
      <c r="AD186" s="36">
        <f t="shared" si="58"/>
        <v>0.1535806729939603</v>
      </c>
      <c r="AE186" s="17">
        <v>28</v>
      </c>
      <c r="AF186" s="36">
        <f t="shared" si="44"/>
        <v>0.15384615384615385</v>
      </c>
      <c r="AG186" s="17">
        <v>90</v>
      </c>
      <c r="AH186" s="36">
        <f t="shared" si="59"/>
        <v>7.7653149266609142E-2</v>
      </c>
      <c r="AI186" s="17">
        <v>12</v>
      </c>
      <c r="AJ186" s="36">
        <f t="shared" si="45"/>
        <v>6.5934065934065936E-2</v>
      </c>
      <c r="AK186" s="17">
        <v>23</v>
      </c>
      <c r="AL186" s="36">
        <f t="shared" si="60"/>
        <v>1.9844693701466781E-2</v>
      </c>
      <c r="AM186" s="17">
        <v>4</v>
      </c>
      <c r="AN186" s="36">
        <f t="shared" si="46"/>
        <v>2.197802197802198E-2</v>
      </c>
      <c r="AO186" s="16">
        <v>1159</v>
      </c>
      <c r="AP186" s="17">
        <v>182</v>
      </c>
    </row>
    <row r="187" spans="1:42" ht="15.75" customHeight="1" x14ac:dyDescent="0.25">
      <c r="A187" s="37">
        <v>2023</v>
      </c>
      <c r="B187" s="35">
        <v>170710</v>
      </c>
      <c r="C187" s="33" t="str">
        <f>VLOOKUP(B187,procv!$A$2:$D$142,4,FALSE)</f>
        <v>Cantão</v>
      </c>
      <c r="D187" s="33" t="s">
        <v>51</v>
      </c>
      <c r="E187" s="17">
        <v>4</v>
      </c>
      <c r="F187" s="36">
        <f t="shared" si="36"/>
        <v>5.6577086280056579E-3</v>
      </c>
      <c r="G187" s="17">
        <v>2</v>
      </c>
      <c r="H187" s="36">
        <f t="shared" si="37"/>
        <v>2.3255813953488372E-2</v>
      </c>
      <c r="I187" s="17">
        <v>23</v>
      </c>
      <c r="J187" s="36">
        <f t="shared" si="38"/>
        <v>3.2531824611032531E-2</v>
      </c>
      <c r="K187" s="17">
        <v>6</v>
      </c>
      <c r="L187" s="36">
        <f t="shared" si="39"/>
        <v>6.9767441860465115E-2</v>
      </c>
      <c r="M187" s="17">
        <v>680</v>
      </c>
      <c r="N187" s="36">
        <f t="shared" si="54"/>
        <v>0.96181046676096182</v>
      </c>
      <c r="O187" s="17">
        <v>78</v>
      </c>
      <c r="P187" s="36">
        <f t="shared" si="40"/>
        <v>0.90697674418604646</v>
      </c>
      <c r="Q187" s="17">
        <v>4</v>
      </c>
      <c r="R187" s="36">
        <f t="shared" si="55"/>
        <v>5.6577086280056579E-3</v>
      </c>
      <c r="S187" s="17">
        <v>1</v>
      </c>
      <c r="T187" s="36">
        <f t="shared" si="41"/>
        <v>1.1627906976744186E-2</v>
      </c>
      <c r="U187" s="17">
        <v>23</v>
      </c>
      <c r="V187" s="36">
        <f t="shared" si="56"/>
        <v>3.2531824611032531E-2</v>
      </c>
      <c r="W187" s="17">
        <v>2</v>
      </c>
      <c r="X187" s="36">
        <f t="shared" si="42"/>
        <v>2.3255813953488372E-2</v>
      </c>
      <c r="Y187" s="17">
        <v>491</v>
      </c>
      <c r="Z187" s="36">
        <f t="shared" si="57"/>
        <v>0.69448373408769448</v>
      </c>
      <c r="AA187" s="17">
        <v>63</v>
      </c>
      <c r="AB187" s="36">
        <f t="shared" si="43"/>
        <v>0.73255813953488369</v>
      </c>
      <c r="AC187" s="17">
        <v>116</v>
      </c>
      <c r="AD187" s="36">
        <f t="shared" si="58"/>
        <v>0.16407355021216408</v>
      </c>
      <c r="AE187" s="17">
        <v>13</v>
      </c>
      <c r="AF187" s="36">
        <f t="shared" si="44"/>
        <v>0.15116279069767441</v>
      </c>
      <c r="AG187" s="17">
        <v>65</v>
      </c>
      <c r="AH187" s="36">
        <f t="shared" si="59"/>
        <v>9.1937765205091934E-2</v>
      </c>
      <c r="AI187" s="17">
        <v>6</v>
      </c>
      <c r="AJ187" s="36">
        <f t="shared" si="45"/>
        <v>6.9767441860465115E-2</v>
      </c>
      <c r="AK187" s="17">
        <v>8</v>
      </c>
      <c r="AL187" s="36">
        <f t="shared" si="60"/>
        <v>1.1315417256011316E-2</v>
      </c>
      <c r="AM187" s="17">
        <v>1</v>
      </c>
      <c r="AN187" s="36">
        <f t="shared" si="46"/>
        <v>1.1627906976744186E-2</v>
      </c>
      <c r="AO187" s="17">
        <v>707</v>
      </c>
      <c r="AP187" s="17">
        <v>86</v>
      </c>
    </row>
    <row r="188" spans="1:42" ht="15.75" customHeight="1" x14ac:dyDescent="0.25">
      <c r="A188" s="37">
        <v>2023</v>
      </c>
      <c r="B188" s="35">
        <v>170720</v>
      </c>
      <c r="C188" s="33" t="str">
        <f>VLOOKUP(B188,procv!$A$2:$D$142,4,FALSE)</f>
        <v>Cantão</v>
      </c>
      <c r="D188" s="33" t="s">
        <v>52</v>
      </c>
      <c r="E188" s="17">
        <v>5</v>
      </c>
      <c r="F188" s="36">
        <f t="shared" si="36"/>
        <v>1.2224938875305624E-2</v>
      </c>
      <c r="G188" s="17">
        <v>1</v>
      </c>
      <c r="H188" s="36">
        <f t="shared" si="37"/>
        <v>8.8495575221238937E-3</v>
      </c>
      <c r="I188" s="17">
        <v>15</v>
      </c>
      <c r="J188" s="36">
        <f t="shared" si="38"/>
        <v>3.6674816625916873E-2</v>
      </c>
      <c r="K188" s="17">
        <v>2</v>
      </c>
      <c r="L188" s="36">
        <f t="shared" si="39"/>
        <v>1.7699115044247787E-2</v>
      </c>
      <c r="M188" s="17">
        <v>389</v>
      </c>
      <c r="N188" s="36">
        <f t="shared" si="54"/>
        <v>0.9511002444987775</v>
      </c>
      <c r="O188" s="17">
        <v>110</v>
      </c>
      <c r="P188" s="36">
        <f t="shared" si="40"/>
        <v>0.97345132743362828</v>
      </c>
      <c r="Q188" s="17">
        <v>4</v>
      </c>
      <c r="R188" s="36">
        <f t="shared" si="55"/>
        <v>9.7799511002444987E-3</v>
      </c>
      <c r="S188" s="17">
        <v>1</v>
      </c>
      <c r="T188" s="36">
        <f t="shared" si="41"/>
        <v>8.8495575221238937E-3</v>
      </c>
      <c r="U188" s="17">
        <v>25</v>
      </c>
      <c r="V188" s="36">
        <f t="shared" si="56"/>
        <v>6.1124694376528114E-2</v>
      </c>
      <c r="W188" s="17">
        <v>9</v>
      </c>
      <c r="X188" s="36">
        <f t="shared" si="42"/>
        <v>7.9646017699115043E-2</v>
      </c>
      <c r="Y188" s="17">
        <v>275</v>
      </c>
      <c r="Z188" s="36">
        <f t="shared" si="57"/>
        <v>0.67237163814180934</v>
      </c>
      <c r="AA188" s="17">
        <v>79</v>
      </c>
      <c r="AB188" s="36">
        <f t="shared" si="43"/>
        <v>0.69911504424778759</v>
      </c>
      <c r="AC188" s="17">
        <v>67</v>
      </c>
      <c r="AD188" s="36">
        <f t="shared" si="58"/>
        <v>0.16381418092909536</v>
      </c>
      <c r="AE188" s="17">
        <v>15</v>
      </c>
      <c r="AF188" s="36">
        <f t="shared" si="44"/>
        <v>0.13274336283185842</v>
      </c>
      <c r="AG188" s="17">
        <v>27</v>
      </c>
      <c r="AH188" s="36">
        <f t="shared" si="59"/>
        <v>6.6014669926650366E-2</v>
      </c>
      <c r="AI188" s="17">
        <v>7</v>
      </c>
      <c r="AJ188" s="36">
        <f t="shared" si="45"/>
        <v>6.1946902654867256E-2</v>
      </c>
      <c r="AK188" s="17">
        <v>11</v>
      </c>
      <c r="AL188" s="36">
        <f t="shared" si="60"/>
        <v>2.6894865525672371E-2</v>
      </c>
      <c r="AM188" s="17">
        <v>2</v>
      </c>
      <c r="AN188" s="36">
        <f t="shared" si="46"/>
        <v>1.7699115044247787E-2</v>
      </c>
      <c r="AO188" s="17">
        <v>409</v>
      </c>
      <c r="AP188" s="17">
        <v>113</v>
      </c>
    </row>
    <row r="189" spans="1:42" ht="15.75" customHeight="1" x14ac:dyDescent="0.25">
      <c r="A189" s="37">
        <v>2023</v>
      </c>
      <c r="B189" s="35">
        <v>170730</v>
      </c>
      <c r="C189" s="33" t="str">
        <f>VLOOKUP(B189,procv!$A$2:$D$142,4,FALSE)</f>
        <v>Ilha do Bananal</v>
      </c>
      <c r="D189" s="33" t="s">
        <v>53</v>
      </c>
      <c r="E189" s="17">
        <v>3</v>
      </c>
      <c r="F189" s="36">
        <f t="shared" si="36"/>
        <v>8.9552238805970154E-3</v>
      </c>
      <c r="G189" s="17">
        <v>2</v>
      </c>
      <c r="H189" s="36">
        <f t="shared" si="37"/>
        <v>2.3809523809523808E-2</v>
      </c>
      <c r="I189" s="17">
        <v>11</v>
      </c>
      <c r="J189" s="36">
        <f t="shared" si="38"/>
        <v>3.2835820895522387E-2</v>
      </c>
      <c r="K189" s="17">
        <v>5</v>
      </c>
      <c r="L189" s="36">
        <f t="shared" si="39"/>
        <v>5.9523809523809521E-2</v>
      </c>
      <c r="M189" s="17">
        <v>321</v>
      </c>
      <c r="N189" s="36">
        <f t="shared" si="54"/>
        <v>0.95820895522388061</v>
      </c>
      <c r="O189" s="17">
        <v>77</v>
      </c>
      <c r="P189" s="36">
        <f t="shared" si="40"/>
        <v>0.91666666666666663</v>
      </c>
      <c r="Q189" s="17">
        <v>2</v>
      </c>
      <c r="R189" s="36">
        <f t="shared" si="55"/>
        <v>5.9701492537313433E-3</v>
      </c>
      <c r="S189" s="17">
        <v>2</v>
      </c>
      <c r="T189" s="36">
        <f t="shared" si="41"/>
        <v>2.3809523809523808E-2</v>
      </c>
      <c r="U189" s="17">
        <v>10</v>
      </c>
      <c r="V189" s="36">
        <f t="shared" si="56"/>
        <v>2.9850746268656716E-2</v>
      </c>
      <c r="W189" s="17">
        <v>4</v>
      </c>
      <c r="X189" s="36">
        <f t="shared" si="42"/>
        <v>4.7619047619047616E-2</v>
      </c>
      <c r="Y189" s="17">
        <v>236</v>
      </c>
      <c r="Z189" s="36">
        <f t="shared" si="57"/>
        <v>0.70447761194029845</v>
      </c>
      <c r="AA189" s="17">
        <v>60</v>
      </c>
      <c r="AB189" s="36">
        <f t="shared" si="43"/>
        <v>0.7142857142857143</v>
      </c>
      <c r="AC189" s="17">
        <v>57</v>
      </c>
      <c r="AD189" s="36">
        <f t="shared" si="58"/>
        <v>0.17014925373134329</v>
      </c>
      <c r="AE189" s="17">
        <v>12</v>
      </c>
      <c r="AF189" s="36">
        <f t="shared" si="44"/>
        <v>0.14285714285714285</v>
      </c>
      <c r="AG189" s="17">
        <v>27</v>
      </c>
      <c r="AH189" s="36">
        <f t="shared" si="59"/>
        <v>8.0597014925373134E-2</v>
      </c>
      <c r="AI189" s="17">
        <v>5</v>
      </c>
      <c r="AJ189" s="36">
        <f t="shared" si="45"/>
        <v>5.9523809523809521E-2</v>
      </c>
      <c r="AK189" s="17">
        <v>3</v>
      </c>
      <c r="AL189" s="36">
        <f t="shared" si="60"/>
        <v>8.9552238805970154E-3</v>
      </c>
      <c r="AM189" s="17">
        <v>1</v>
      </c>
      <c r="AN189" s="36">
        <f t="shared" si="46"/>
        <v>1.1904761904761904E-2</v>
      </c>
      <c r="AO189" s="17">
        <v>335</v>
      </c>
      <c r="AP189" s="17">
        <v>84</v>
      </c>
    </row>
    <row r="190" spans="1:42" ht="15.75" customHeight="1" x14ac:dyDescent="0.25">
      <c r="A190" s="37">
        <v>2023</v>
      </c>
      <c r="B190" s="35">
        <v>170740</v>
      </c>
      <c r="C190" s="33" t="str">
        <f>VLOOKUP(B190,procv!$A$2:$D$142,4,FALSE)</f>
        <v>Bico do Papagaio</v>
      </c>
      <c r="D190" s="33" t="s">
        <v>54</v>
      </c>
      <c r="E190" s="17">
        <v>26</v>
      </c>
      <c r="F190" s="36">
        <f t="shared" si="36"/>
        <v>2.3465703971119134E-2</v>
      </c>
      <c r="G190" s="17">
        <v>9</v>
      </c>
      <c r="H190" s="36">
        <f t="shared" si="37"/>
        <v>3.8626609442060089E-2</v>
      </c>
      <c r="I190" s="17">
        <v>86</v>
      </c>
      <c r="J190" s="36">
        <f t="shared" si="38"/>
        <v>7.7617328519855602E-2</v>
      </c>
      <c r="K190" s="17">
        <v>17</v>
      </c>
      <c r="L190" s="36">
        <f t="shared" si="39"/>
        <v>7.2961373390557943E-2</v>
      </c>
      <c r="M190" s="17">
        <v>996</v>
      </c>
      <c r="N190" s="36">
        <f t="shared" si="54"/>
        <v>0.89891696750902528</v>
      </c>
      <c r="O190" s="17">
        <v>207</v>
      </c>
      <c r="P190" s="36">
        <f t="shared" si="40"/>
        <v>0.88841201716738194</v>
      </c>
      <c r="Q190" s="17">
        <v>12</v>
      </c>
      <c r="R190" s="36">
        <f t="shared" si="55"/>
        <v>1.0830324909747292E-2</v>
      </c>
      <c r="S190" s="17">
        <v>4</v>
      </c>
      <c r="T190" s="36">
        <f t="shared" si="41"/>
        <v>1.7167381974248927E-2</v>
      </c>
      <c r="U190" s="17">
        <v>47</v>
      </c>
      <c r="V190" s="36">
        <f t="shared" si="56"/>
        <v>4.2418772563176894E-2</v>
      </c>
      <c r="W190" s="17">
        <v>13</v>
      </c>
      <c r="X190" s="36">
        <f t="shared" si="42"/>
        <v>5.5793991416309016E-2</v>
      </c>
      <c r="Y190" s="17">
        <v>816</v>
      </c>
      <c r="Z190" s="36">
        <f t="shared" si="57"/>
        <v>0.73646209386281591</v>
      </c>
      <c r="AA190" s="17">
        <v>167</v>
      </c>
      <c r="AB190" s="36">
        <f t="shared" si="43"/>
        <v>0.71673819742489275</v>
      </c>
      <c r="AC190" s="17">
        <v>165</v>
      </c>
      <c r="AD190" s="36">
        <f t="shared" si="58"/>
        <v>0.14891696750902528</v>
      </c>
      <c r="AE190" s="17">
        <v>36</v>
      </c>
      <c r="AF190" s="36">
        <f t="shared" si="44"/>
        <v>0.15450643776824036</v>
      </c>
      <c r="AG190" s="17">
        <v>53</v>
      </c>
      <c r="AH190" s="36">
        <f t="shared" si="59"/>
        <v>4.7833935018050541E-2</v>
      </c>
      <c r="AI190" s="17">
        <v>9</v>
      </c>
      <c r="AJ190" s="36">
        <f t="shared" si="45"/>
        <v>3.8626609442060089E-2</v>
      </c>
      <c r="AK190" s="17">
        <v>15</v>
      </c>
      <c r="AL190" s="36">
        <f t="shared" si="60"/>
        <v>1.3537906137184115E-2</v>
      </c>
      <c r="AM190" s="17">
        <v>4</v>
      </c>
      <c r="AN190" s="36">
        <f t="shared" si="46"/>
        <v>1.7167381974248927E-2</v>
      </c>
      <c r="AO190" s="16">
        <v>1108</v>
      </c>
      <c r="AP190" s="17">
        <v>233</v>
      </c>
    </row>
    <row r="191" spans="1:42" ht="15.75" customHeight="1" x14ac:dyDescent="0.25">
      <c r="A191" s="37">
        <v>2023</v>
      </c>
      <c r="B191" s="35">
        <v>170755</v>
      </c>
      <c r="C191" s="33" t="str">
        <f>VLOOKUP(B191,procv!$A$2:$D$142,4,FALSE)</f>
        <v>Amor Perfeito</v>
      </c>
      <c r="D191" s="33" t="s">
        <v>55</v>
      </c>
      <c r="E191" s="17">
        <v>2</v>
      </c>
      <c r="F191" s="36">
        <f t="shared" si="36"/>
        <v>8.4388185654008432E-3</v>
      </c>
      <c r="G191" s="17">
        <v>0</v>
      </c>
      <c r="H191" s="36">
        <f t="shared" si="37"/>
        <v>0</v>
      </c>
      <c r="I191" s="17">
        <v>8</v>
      </c>
      <c r="J191" s="36">
        <f t="shared" si="38"/>
        <v>3.3755274261603373E-2</v>
      </c>
      <c r="K191" s="17">
        <v>2</v>
      </c>
      <c r="L191" s="36">
        <f t="shared" si="39"/>
        <v>2.7777777777777776E-2</v>
      </c>
      <c r="M191" s="17">
        <v>227</v>
      </c>
      <c r="N191" s="36">
        <f t="shared" si="54"/>
        <v>0.95780590717299574</v>
      </c>
      <c r="O191" s="17">
        <v>70</v>
      </c>
      <c r="P191" s="36">
        <f t="shared" si="40"/>
        <v>0.97222222222222221</v>
      </c>
      <c r="Q191" s="17">
        <v>2</v>
      </c>
      <c r="R191" s="36">
        <f t="shared" si="55"/>
        <v>8.4388185654008432E-3</v>
      </c>
      <c r="S191" s="17">
        <v>0</v>
      </c>
      <c r="T191" s="36">
        <f t="shared" si="41"/>
        <v>0</v>
      </c>
      <c r="U191" s="17">
        <v>8</v>
      </c>
      <c r="V191" s="36">
        <f t="shared" si="56"/>
        <v>3.3755274261603373E-2</v>
      </c>
      <c r="W191" s="17">
        <v>3</v>
      </c>
      <c r="X191" s="36">
        <f t="shared" si="42"/>
        <v>4.1666666666666664E-2</v>
      </c>
      <c r="Y191" s="17">
        <v>161</v>
      </c>
      <c r="Z191" s="36">
        <f t="shared" si="57"/>
        <v>0.67932489451476796</v>
      </c>
      <c r="AA191" s="17">
        <v>40</v>
      </c>
      <c r="AB191" s="36">
        <f t="shared" si="43"/>
        <v>0.55555555555555558</v>
      </c>
      <c r="AC191" s="17">
        <v>39</v>
      </c>
      <c r="AD191" s="36">
        <f t="shared" si="58"/>
        <v>0.16455696202531644</v>
      </c>
      <c r="AE191" s="17">
        <v>16</v>
      </c>
      <c r="AF191" s="36">
        <f t="shared" si="44"/>
        <v>0.22222222222222221</v>
      </c>
      <c r="AG191" s="17">
        <v>21</v>
      </c>
      <c r="AH191" s="36">
        <f t="shared" si="59"/>
        <v>8.8607594936708861E-2</v>
      </c>
      <c r="AI191" s="17">
        <v>9</v>
      </c>
      <c r="AJ191" s="36">
        <f t="shared" si="45"/>
        <v>0.125</v>
      </c>
      <c r="AK191" s="17">
        <v>6</v>
      </c>
      <c r="AL191" s="36">
        <f t="shared" si="60"/>
        <v>2.5316455696202531E-2</v>
      </c>
      <c r="AM191" s="17">
        <v>4</v>
      </c>
      <c r="AN191" s="36">
        <f t="shared" si="46"/>
        <v>5.5555555555555552E-2</v>
      </c>
      <c r="AO191" s="17">
        <v>237</v>
      </c>
      <c r="AP191" s="17">
        <v>72</v>
      </c>
    </row>
    <row r="192" spans="1:42" ht="15.75" customHeight="1" x14ac:dyDescent="0.25">
      <c r="A192" s="37">
        <v>2023</v>
      </c>
      <c r="B192" s="35">
        <v>170765</v>
      </c>
      <c r="C192" s="33" t="str">
        <f>VLOOKUP(B192,procv!$A$2:$D$142,4,FALSE)</f>
        <v>Ilha do Bananal</v>
      </c>
      <c r="D192" s="33" t="s">
        <v>56</v>
      </c>
      <c r="E192" s="17">
        <v>2</v>
      </c>
      <c r="F192" s="36">
        <f t="shared" si="36"/>
        <v>6.4724919093851136E-3</v>
      </c>
      <c r="G192" s="17">
        <v>2</v>
      </c>
      <c r="H192" s="36">
        <f t="shared" si="37"/>
        <v>1.7857142857142856E-2</v>
      </c>
      <c r="I192" s="17">
        <v>10</v>
      </c>
      <c r="J192" s="36">
        <f t="shared" si="38"/>
        <v>3.2362459546925564E-2</v>
      </c>
      <c r="K192" s="17">
        <v>6</v>
      </c>
      <c r="L192" s="36">
        <f t="shared" si="39"/>
        <v>5.3571428571428568E-2</v>
      </c>
      <c r="M192" s="17">
        <v>297</v>
      </c>
      <c r="N192" s="36">
        <f t="shared" ref="N192:N255" si="61">IFERROR(M192/$AO192,0)</f>
        <v>0.96116504854368934</v>
      </c>
      <c r="O192" s="17">
        <v>104</v>
      </c>
      <c r="P192" s="36">
        <f t="shared" si="40"/>
        <v>0.9285714285714286</v>
      </c>
      <c r="Q192" s="17">
        <v>8</v>
      </c>
      <c r="R192" s="36">
        <f t="shared" ref="R192:R255" si="62">IFERROR(Q192/$AO192,0)</f>
        <v>2.5889967637540454E-2</v>
      </c>
      <c r="S192" s="17">
        <v>2</v>
      </c>
      <c r="T192" s="36">
        <f t="shared" si="41"/>
        <v>1.7857142857142856E-2</v>
      </c>
      <c r="U192" s="17">
        <v>8</v>
      </c>
      <c r="V192" s="36">
        <f t="shared" ref="V192:V255" si="63">IFERROR(U192/$AO192,0)</f>
        <v>2.5889967637540454E-2</v>
      </c>
      <c r="W192" s="17">
        <v>3</v>
      </c>
      <c r="X192" s="36">
        <f t="shared" si="42"/>
        <v>2.6785714285714284E-2</v>
      </c>
      <c r="Y192" s="17">
        <v>200</v>
      </c>
      <c r="Z192" s="36">
        <f t="shared" ref="Z192:Z255" si="64">IFERROR(Y192/$AO192,0)</f>
        <v>0.6472491909385113</v>
      </c>
      <c r="AA192" s="17">
        <v>76</v>
      </c>
      <c r="AB192" s="36">
        <f t="shared" si="43"/>
        <v>0.6785714285714286</v>
      </c>
      <c r="AC192" s="17">
        <v>59</v>
      </c>
      <c r="AD192" s="36">
        <f t="shared" ref="AD192:AD255" si="65">IFERROR(AC192/$AO192,0)</f>
        <v>0.19093851132686085</v>
      </c>
      <c r="AE192" s="17">
        <v>23</v>
      </c>
      <c r="AF192" s="36">
        <f t="shared" si="44"/>
        <v>0.20535714285714285</v>
      </c>
      <c r="AG192" s="17">
        <v>27</v>
      </c>
      <c r="AH192" s="36">
        <f t="shared" ref="AH192:AH255" si="66">IFERROR(AG192/$AO192,0)</f>
        <v>8.7378640776699032E-2</v>
      </c>
      <c r="AI192" s="17">
        <v>6</v>
      </c>
      <c r="AJ192" s="36">
        <f t="shared" si="45"/>
        <v>5.3571428571428568E-2</v>
      </c>
      <c r="AK192" s="17">
        <v>7</v>
      </c>
      <c r="AL192" s="36">
        <f t="shared" ref="AL192:AL255" si="67">IFERROR(AK192/$AO192,0)</f>
        <v>2.2653721682847898E-2</v>
      </c>
      <c r="AM192" s="17">
        <v>2</v>
      </c>
      <c r="AN192" s="36">
        <f t="shared" si="46"/>
        <v>1.7857142857142856E-2</v>
      </c>
      <c r="AO192" s="17">
        <v>309</v>
      </c>
      <c r="AP192" s="17">
        <v>112</v>
      </c>
    </row>
    <row r="193" spans="1:42" ht="15.75" customHeight="1" x14ac:dyDescent="0.25">
      <c r="A193" s="37">
        <v>2023</v>
      </c>
      <c r="B193" s="35">
        <v>170770</v>
      </c>
      <c r="C193" s="33" t="str">
        <f>VLOOKUP(B193,procv!$A$2:$D$142,4,FALSE)</f>
        <v>Médio Norte Araguaia</v>
      </c>
      <c r="D193" s="33" t="s">
        <v>57</v>
      </c>
      <c r="E193" s="17">
        <v>10</v>
      </c>
      <c r="F193" s="36">
        <f t="shared" si="36"/>
        <v>1.2755102040816327E-2</v>
      </c>
      <c r="G193" s="17">
        <v>5</v>
      </c>
      <c r="H193" s="36">
        <f t="shared" si="37"/>
        <v>2.3696682464454975E-2</v>
      </c>
      <c r="I193" s="17">
        <v>40</v>
      </c>
      <c r="J193" s="36">
        <f t="shared" si="38"/>
        <v>5.1020408163265307E-2</v>
      </c>
      <c r="K193" s="17">
        <v>12</v>
      </c>
      <c r="L193" s="36">
        <f t="shared" si="39"/>
        <v>5.6872037914691941E-2</v>
      </c>
      <c r="M193" s="17">
        <v>734</v>
      </c>
      <c r="N193" s="36">
        <f t="shared" si="61"/>
        <v>0.93622448979591832</v>
      </c>
      <c r="O193" s="17">
        <v>194</v>
      </c>
      <c r="P193" s="36">
        <f t="shared" si="40"/>
        <v>0.91943127962085303</v>
      </c>
      <c r="Q193" s="17">
        <v>10</v>
      </c>
      <c r="R193" s="36">
        <f t="shared" si="62"/>
        <v>1.2755102040816327E-2</v>
      </c>
      <c r="S193" s="17">
        <v>3</v>
      </c>
      <c r="T193" s="36">
        <f t="shared" si="41"/>
        <v>1.4218009478672985E-2</v>
      </c>
      <c r="U193" s="17">
        <v>26</v>
      </c>
      <c r="V193" s="36">
        <f t="shared" si="63"/>
        <v>3.3163265306122451E-2</v>
      </c>
      <c r="W193" s="17">
        <v>6</v>
      </c>
      <c r="X193" s="36">
        <f t="shared" si="42"/>
        <v>2.843601895734597E-2</v>
      </c>
      <c r="Y193" s="17">
        <v>568</v>
      </c>
      <c r="Z193" s="36">
        <f t="shared" si="64"/>
        <v>0.72448979591836737</v>
      </c>
      <c r="AA193" s="17">
        <v>141</v>
      </c>
      <c r="AB193" s="36">
        <f t="shared" si="43"/>
        <v>0.66824644549763035</v>
      </c>
      <c r="AC193" s="17">
        <v>124</v>
      </c>
      <c r="AD193" s="36">
        <f t="shared" si="65"/>
        <v>0.15816326530612246</v>
      </c>
      <c r="AE193" s="17">
        <v>42</v>
      </c>
      <c r="AF193" s="36">
        <f t="shared" si="44"/>
        <v>0.1990521327014218</v>
      </c>
      <c r="AG193" s="17">
        <v>46</v>
      </c>
      <c r="AH193" s="36">
        <f t="shared" si="66"/>
        <v>5.8673469387755105E-2</v>
      </c>
      <c r="AI193" s="17">
        <v>17</v>
      </c>
      <c r="AJ193" s="36">
        <f t="shared" si="45"/>
        <v>8.0568720379146919E-2</v>
      </c>
      <c r="AK193" s="17">
        <v>10</v>
      </c>
      <c r="AL193" s="36">
        <f t="shared" si="67"/>
        <v>1.2755102040816327E-2</v>
      </c>
      <c r="AM193" s="17">
        <v>2</v>
      </c>
      <c r="AN193" s="36">
        <f t="shared" si="46"/>
        <v>9.4786729857819912E-3</v>
      </c>
      <c r="AO193" s="17">
        <v>784</v>
      </c>
      <c r="AP193" s="17">
        <v>211</v>
      </c>
    </row>
    <row r="194" spans="1:42" ht="15.75" customHeight="1" x14ac:dyDescent="0.25">
      <c r="A194" s="37">
        <v>2023</v>
      </c>
      <c r="B194" s="35">
        <v>170820</v>
      </c>
      <c r="C194" s="33" t="str">
        <f>VLOOKUP(B194,procv!$A$2:$D$142,4,FALSE)</f>
        <v>Ilha do Bananal</v>
      </c>
      <c r="D194" s="33" t="s">
        <v>58</v>
      </c>
      <c r="E194" s="17">
        <v>9</v>
      </c>
      <c r="F194" s="36">
        <f t="shared" ref="F194:F257" si="68">IFERROR(E194/$AO194,0)</f>
        <v>8.6788813886210219E-3</v>
      </c>
      <c r="G194" s="17">
        <v>9</v>
      </c>
      <c r="H194" s="36">
        <f t="shared" ref="H194:H257" si="69">IFERROR(G194/$AP194,0)</f>
        <v>2.6785714285714284E-2</v>
      </c>
      <c r="I194" s="17">
        <v>34</v>
      </c>
      <c r="J194" s="36">
        <f t="shared" ref="J194:J257" si="70">IFERROR(I194/$AO194,0)</f>
        <v>3.2786885245901641E-2</v>
      </c>
      <c r="K194" s="17">
        <v>16</v>
      </c>
      <c r="L194" s="36">
        <f t="shared" ref="L194:L257" si="71">IFERROR(K194/$AP194,0)</f>
        <v>4.7619047619047616E-2</v>
      </c>
      <c r="M194" s="17">
        <v>994</v>
      </c>
      <c r="N194" s="36">
        <f t="shared" si="61"/>
        <v>0.95853423336547738</v>
      </c>
      <c r="O194" s="17">
        <v>311</v>
      </c>
      <c r="P194" s="36">
        <f t="shared" ref="P194:P257" si="72">IFERROR(O194/$AP194,0)</f>
        <v>0.92559523809523814</v>
      </c>
      <c r="Q194" s="17">
        <v>12</v>
      </c>
      <c r="R194" s="36">
        <f t="shared" si="62"/>
        <v>1.1571841851494697E-2</v>
      </c>
      <c r="S194" s="17">
        <v>7</v>
      </c>
      <c r="T194" s="36">
        <f t="shared" ref="T194:T257" si="73">IFERROR(S194/$AP194,0)</f>
        <v>2.0833333333333332E-2</v>
      </c>
      <c r="U194" s="17">
        <v>31</v>
      </c>
      <c r="V194" s="36">
        <f t="shared" si="63"/>
        <v>2.9893924783027964E-2</v>
      </c>
      <c r="W194" s="17">
        <v>8</v>
      </c>
      <c r="X194" s="36">
        <f t="shared" ref="X194:X257" si="74">IFERROR(W194/$AP194,0)</f>
        <v>2.3809523809523808E-2</v>
      </c>
      <c r="Y194" s="17">
        <v>701</v>
      </c>
      <c r="Z194" s="36">
        <f t="shared" si="64"/>
        <v>0.67598842815814852</v>
      </c>
      <c r="AA194" s="17">
        <v>224</v>
      </c>
      <c r="AB194" s="36">
        <f t="shared" ref="AB194:AB257" si="75">IFERROR(AA194/$AP194,0)</f>
        <v>0.66666666666666663</v>
      </c>
      <c r="AC194" s="17">
        <v>201</v>
      </c>
      <c r="AD194" s="36">
        <f t="shared" si="65"/>
        <v>0.19382835101253615</v>
      </c>
      <c r="AE194" s="17">
        <v>64</v>
      </c>
      <c r="AF194" s="36">
        <f t="shared" ref="AF194:AF257" si="76">IFERROR(AE194/$AP194,0)</f>
        <v>0.19047619047619047</v>
      </c>
      <c r="AG194" s="17">
        <v>74</v>
      </c>
      <c r="AH194" s="36">
        <f t="shared" si="66"/>
        <v>7.1359691417550622E-2</v>
      </c>
      <c r="AI194" s="17">
        <v>28</v>
      </c>
      <c r="AJ194" s="36">
        <f t="shared" ref="AJ194:AJ257" si="77">IFERROR(AI194/$AP194,0)</f>
        <v>8.3333333333333329E-2</v>
      </c>
      <c r="AK194" s="17">
        <v>18</v>
      </c>
      <c r="AL194" s="36">
        <f t="shared" si="67"/>
        <v>1.7357762777242044E-2</v>
      </c>
      <c r="AM194" s="17">
        <v>5</v>
      </c>
      <c r="AN194" s="36">
        <f t="shared" ref="AN194:AN257" si="78">IFERROR(AM194/$AP194,0)</f>
        <v>1.488095238095238E-2</v>
      </c>
      <c r="AO194" s="16">
        <v>1037</v>
      </c>
      <c r="AP194" s="17">
        <v>336</v>
      </c>
    </row>
    <row r="195" spans="1:42" ht="15.75" customHeight="1" x14ac:dyDescent="0.25">
      <c r="A195" s="37">
        <v>2023</v>
      </c>
      <c r="B195" s="35">
        <v>170830</v>
      </c>
      <c r="C195" s="33" t="str">
        <f>VLOOKUP(B195,procv!$A$2:$D$142,4,FALSE)</f>
        <v>Cerrado Tocantins Araguaia</v>
      </c>
      <c r="D195" s="33" t="s">
        <v>59</v>
      </c>
      <c r="E195" s="17">
        <v>8</v>
      </c>
      <c r="F195" s="36">
        <f t="shared" si="68"/>
        <v>2.7210884353741496E-2</v>
      </c>
      <c r="G195" s="17">
        <v>0</v>
      </c>
      <c r="H195" s="36">
        <f t="shared" si="69"/>
        <v>0</v>
      </c>
      <c r="I195" s="17">
        <v>7</v>
      </c>
      <c r="J195" s="36">
        <f t="shared" si="70"/>
        <v>2.3809523809523808E-2</v>
      </c>
      <c r="K195" s="17">
        <v>1</v>
      </c>
      <c r="L195" s="36">
        <f t="shared" si="71"/>
        <v>1.4492753623188406E-2</v>
      </c>
      <c r="M195" s="17">
        <v>279</v>
      </c>
      <c r="N195" s="36">
        <f t="shared" si="61"/>
        <v>0.94897959183673475</v>
      </c>
      <c r="O195" s="17">
        <v>68</v>
      </c>
      <c r="P195" s="36">
        <f t="shared" si="72"/>
        <v>0.98550724637681164</v>
      </c>
      <c r="Q195" s="17">
        <v>1</v>
      </c>
      <c r="R195" s="36">
        <f t="shared" si="62"/>
        <v>3.4013605442176869E-3</v>
      </c>
      <c r="S195" s="17">
        <v>0</v>
      </c>
      <c r="T195" s="36">
        <f t="shared" si="73"/>
        <v>0</v>
      </c>
      <c r="U195" s="17">
        <v>9</v>
      </c>
      <c r="V195" s="36">
        <f t="shared" si="63"/>
        <v>3.0612244897959183E-2</v>
      </c>
      <c r="W195" s="17">
        <v>5</v>
      </c>
      <c r="X195" s="36">
        <f t="shared" si="74"/>
        <v>7.2463768115942032E-2</v>
      </c>
      <c r="Y195" s="17">
        <v>188</v>
      </c>
      <c r="Z195" s="36">
        <f t="shared" si="64"/>
        <v>0.63945578231292521</v>
      </c>
      <c r="AA195" s="17">
        <v>51</v>
      </c>
      <c r="AB195" s="36">
        <f t="shared" si="75"/>
        <v>0.73913043478260865</v>
      </c>
      <c r="AC195" s="17">
        <v>55</v>
      </c>
      <c r="AD195" s="36">
        <f t="shared" si="65"/>
        <v>0.1870748299319728</v>
      </c>
      <c r="AE195" s="17">
        <v>8</v>
      </c>
      <c r="AF195" s="36">
        <f t="shared" si="76"/>
        <v>0.11594202898550725</v>
      </c>
      <c r="AG195" s="17">
        <v>33</v>
      </c>
      <c r="AH195" s="36">
        <f t="shared" si="66"/>
        <v>0.11224489795918367</v>
      </c>
      <c r="AI195" s="17">
        <v>5</v>
      </c>
      <c r="AJ195" s="36">
        <f t="shared" si="77"/>
        <v>7.2463768115942032E-2</v>
      </c>
      <c r="AK195" s="17">
        <v>8</v>
      </c>
      <c r="AL195" s="36">
        <f t="shared" si="67"/>
        <v>2.7210884353741496E-2</v>
      </c>
      <c r="AM195" s="17">
        <v>0</v>
      </c>
      <c r="AN195" s="36">
        <f t="shared" si="78"/>
        <v>0</v>
      </c>
      <c r="AO195" s="17">
        <v>294</v>
      </c>
      <c r="AP195" s="17">
        <v>69</v>
      </c>
    </row>
    <row r="196" spans="1:42" ht="15.75" customHeight="1" x14ac:dyDescent="0.25">
      <c r="A196" s="37">
        <v>2023</v>
      </c>
      <c r="B196" s="35">
        <v>170900</v>
      </c>
      <c r="C196" s="33" t="str">
        <f>VLOOKUP(B196,procv!$A$2:$D$142,4,FALSE)</f>
        <v>Médio Norte Araguaia</v>
      </c>
      <c r="D196" s="33" t="s">
        <v>60</v>
      </c>
      <c r="E196" s="17">
        <v>24</v>
      </c>
      <c r="F196" s="36">
        <f t="shared" si="68"/>
        <v>2.937576499388005E-2</v>
      </c>
      <c r="G196" s="17">
        <v>21</v>
      </c>
      <c r="H196" s="36">
        <f t="shared" si="69"/>
        <v>4.40251572327044E-2</v>
      </c>
      <c r="I196" s="17">
        <v>50</v>
      </c>
      <c r="J196" s="36">
        <f t="shared" si="70"/>
        <v>6.1199510403916767E-2</v>
      </c>
      <c r="K196" s="17">
        <v>28</v>
      </c>
      <c r="L196" s="36">
        <f t="shared" si="71"/>
        <v>5.8700209643605873E-2</v>
      </c>
      <c r="M196" s="17">
        <v>743</v>
      </c>
      <c r="N196" s="36">
        <f t="shared" si="61"/>
        <v>0.90942472460220314</v>
      </c>
      <c r="O196" s="17">
        <v>428</v>
      </c>
      <c r="P196" s="36">
        <f t="shared" si="72"/>
        <v>0.89727463312368971</v>
      </c>
      <c r="Q196" s="17">
        <v>7</v>
      </c>
      <c r="R196" s="36">
        <f t="shared" si="62"/>
        <v>8.5679314565483469E-3</v>
      </c>
      <c r="S196" s="17">
        <v>5</v>
      </c>
      <c r="T196" s="36">
        <f t="shared" si="73"/>
        <v>1.0482180293501049E-2</v>
      </c>
      <c r="U196" s="17">
        <v>25</v>
      </c>
      <c r="V196" s="36">
        <f t="shared" si="63"/>
        <v>3.0599755201958383E-2</v>
      </c>
      <c r="W196" s="17">
        <v>12</v>
      </c>
      <c r="X196" s="36">
        <f t="shared" si="74"/>
        <v>2.5157232704402517E-2</v>
      </c>
      <c r="Y196" s="17">
        <v>570</v>
      </c>
      <c r="Z196" s="36">
        <f t="shared" si="64"/>
        <v>0.69767441860465118</v>
      </c>
      <c r="AA196" s="17">
        <v>325</v>
      </c>
      <c r="AB196" s="36">
        <f t="shared" si="75"/>
        <v>0.68134171907756813</v>
      </c>
      <c r="AC196" s="17">
        <v>141</v>
      </c>
      <c r="AD196" s="36">
        <f t="shared" si="65"/>
        <v>0.17258261933904528</v>
      </c>
      <c r="AE196" s="17">
        <v>95</v>
      </c>
      <c r="AF196" s="36">
        <f t="shared" si="76"/>
        <v>0.19916142557651992</v>
      </c>
      <c r="AG196" s="17">
        <v>62</v>
      </c>
      <c r="AH196" s="36">
        <f t="shared" si="66"/>
        <v>7.588739290085679E-2</v>
      </c>
      <c r="AI196" s="17">
        <v>31</v>
      </c>
      <c r="AJ196" s="36">
        <f t="shared" si="77"/>
        <v>6.4989517819706494E-2</v>
      </c>
      <c r="AK196" s="17">
        <v>12</v>
      </c>
      <c r="AL196" s="36">
        <f t="shared" si="67"/>
        <v>1.4687882496940025E-2</v>
      </c>
      <c r="AM196" s="17">
        <v>9</v>
      </c>
      <c r="AN196" s="36">
        <f t="shared" si="78"/>
        <v>1.8867924528301886E-2</v>
      </c>
      <c r="AO196" s="17">
        <v>817</v>
      </c>
      <c r="AP196" s="17">
        <v>477</v>
      </c>
    </row>
    <row r="197" spans="1:42" ht="15.75" customHeight="1" x14ac:dyDescent="0.25">
      <c r="A197" s="37">
        <v>2023</v>
      </c>
      <c r="B197" s="35">
        <v>170930</v>
      </c>
      <c r="C197" s="33" t="str">
        <f>VLOOKUP(B197,procv!$A$2:$D$142,4,FALSE)</f>
        <v>Cerrado Tocantins Araguaia</v>
      </c>
      <c r="D197" s="33" t="s">
        <v>61</v>
      </c>
      <c r="E197" s="17">
        <v>17</v>
      </c>
      <c r="F197" s="36">
        <f t="shared" si="68"/>
        <v>1.088348271446863E-2</v>
      </c>
      <c r="G197" s="17">
        <v>4</v>
      </c>
      <c r="H197" s="36">
        <f t="shared" si="69"/>
        <v>1.3888888888888888E-2</v>
      </c>
      <c r="I197" s="17">
        <v>51</v>
      </c>
      <c r="J197" s="36">
        <f t="shared" si="70"/>
        <v>3.265044814340589E-2</v>
      </c>
      <c r="K197" s="17">
        <v>9</v>
      </c>
      <c r="L197" s="36">
        <f t="shared" si="71"/>
        <v>3.125E-2</v>
      </c>
      <c r="M197" s="16">
        <v>1494</v>
      </c>
      <c r="N197" s="36">
        <f t="shared" si="61"/>
        <v>0.95646606914212551</v>
      </c>
      <c r="O197" s="17">
        <v>275</v>
      </c>
      <c r="P197" s="36">
        <f t="shared" si="72"/>
        <v>0.95486111111111116</v>
      </c>
      <c r="Q197" s="17">
        <v>8</v>
      </c>
      <c r="R197" s="36">
        <f t="shared" si="62"/>
        <v>5.1216389244558257E-3</v>
      </c>
      <c r="S197" s="17">
        <v>1</v>
      </c>
      <c r="T197" s="36">
        <f t="shared" si="73"/>
        <v>3.472222222222222E-3</v>
      </c>
      <c r="U197" s="17">
        <v>40</v>
      </c>
      <c r="V197" s="36">
        <f t="shared" si="63"/>
        <v>2.5608194622279128E-2</v>
      </c>
      <c r="W197" s="17">
        <v>2</v>
      </c>
      <c r="X197" s="36">
        <f t="shared" si="74"/>
        <v>6.9444444444444441E-3</v>
      </c>
      <c r="Y197" s="16">
        <v>1094</v>
      </c>
      <c r="Z197" s="36">
        <f t="shared" si="64"/>
        <v>0.70038412291933416</v>
      </c>
      <c r="AA197" s="17">
        <v>230</v>
      </c>
      <c r="AB197" s="36">
        <f t="shared" si="75"/>
        <v>0.79861111111111116</v>
      </c>
      <c r="AC197" s="17">
        <v>293</v>
      </c>
      <c r="AD197" s="36">
        <f t="shared" si="65"/>
        <v>0.18758002560819462</v>
      </c>
      <c r="AE197" s="17">
        <v>51</v>
      </c>
      <c r="AF197" s="36">
        <f t="shared" si="76"/>
        <v>0.17708333333333334</v>
      </c>
      <c r="AG197" s="17">
        <v>103</v>
      </c>
      <c r="AH197" s="36">
        <f t="shared" si="66"/>
        <v>6.5941101152368758E-2</v>
      </c>
      <c r="AI197" s="17">
        <v>3</v>
      </c>
      <c r="AJ197" s="36">
        <f t="shared" si="77"/>
        <v>1.0416666666666666E-2</v>
      </c>
      <c r="AK197" s="17">
        <v>24</v>
      </c>
      <c r="AL197" s="36">
        <f t="shared" si="67"/>
        <v>1.5364916773367477E-2</v>
      </c>
      <c r="AM197" s="17">
        <v>1</v>
      </c>
      <c r="AN197" s="36">
        <f t="shared" si="78"/>
        <v>3.472222222222222E-3</v>
      </c>
      <c r="AO197" s="16">
        <v>1562</v>
      </c>
      <c r="AP197" s="17">
        <v>288</v>
      </c>
    </row>
    <row r="198" spans="1:42" ht="15.75" customHeight="1" x14ac:dyDescent="0.25">
      <c r="A198" s="37">
        <v>2023</v>
      </c>
      <c r="B198" s="35">
        <v>170950</v>
      </c>
      <c r="C198" s="33" t="str">
        <f>VLOOKUP(B198,procv!$A$2:$D$142,4,FALSE)</f>
        <v>Ilha do Bananal</v>
      </c>
      <c r="D198" s="33" t="s">
        <v>62</v>
      </c>
      <c r="E198" s="17">
        <v>107</v>
      </c>
      <c r="F198" s="36">
        <f t="shared" si="68"/>
        <v>2.9179165530406326E-2</v>
      </c>
      <c r="G198" s="17">
        <v>95</v>
      </c>
      <c r="H198" s="36">
        <f t="shared" si="69"/>
        <v>9.8140495867768601E-2</v>
      </c>
      <c r="I198" s="17">
        <v>409</v>
      </c>
      <c r="J198" s="36">
        <f t="shared" si="70"/>
        <v>0.11153531497136623</v>
      </c>
      <c r="K198" s="17">
        <v>358</v>
      </c>
      <c r="L198" s="36">
        <f t="shared" si="71"/>
        <v>0.36983471074380164</v>
      </c>
      <c r="M198" s="16">
        <v>3151</v>
      </c>
      <c r="N198" s="36">
        <f t="shared" si="61"/>
        <v>0.8592855194982274</v>
      </c>
      <c r="O198" s="17">
        <v>515</v>
      </c>
      <c r="P198" s="36">
        <f t="shared" si="72"/>
        <v>0.53202479338842978</v>
      </c>
      <c r="Q198" s="17">
        <v>74</v>
      </c>
      <c r="R198" s="36">
        <f t="shared" si="62"/>
        <v>2.0179983637851104E-2</v>
      </c>
      <c r="S198" s="17">
        <v>50</v>
      </c>
      <c r="T198" s="36">
        <f t="shared" si="73"/>
        <v>5.1652892561983473E-2</v>
      </c>
      <c r="U198" s="17">
        <v>137</v>
      </c>
      <c r="V198" s="36">
        <f t="shared" si="63"/>
        <v>3.7360239978183801E-2</v>
      </c>
      <c r="W198" s="17">
        <v>16</v>
      </c>
      <c r="X198" s="36">
        <f t="shared" si="74"/>
        <v>1.6528925619834711E-2</v>
      </c>
      <c r="Y198" s="16">
        <v>2588</v>
      </c>
      <c r="Z198" s="36">
        <f t="shared" si="64"/>
        <v>0.70575402236160345</v>
      </c>
      <c r="AA198" s="17">
        <v>866</v>
      </c>
      <c r="AB198" s="36">
        <f t="shared" si="75"/>
        <v>0.89462809917355368</v>
      </c>
      <c r="AC198" s="17">
        <v>508</v>
      </c>
      <c r="AD198" s="36">
        <f t="shared" si="65"/>
        <v>0.13853286064903192</v>
      </c>
      <c r="AE198" s="17">
        <v>25</v>
      </c>
      <c r="AF198" s="36">
        <f t="shared" si="76"/>
        <v>2.5826446280991736E-2</v>
      </c>
      <c r="AG198" s="17">
        <v>280</v>
      </c>
      <c r="AH198" s="36">
        <f t="shared" si="66"/>
        <v>7.6356694845923098E-2</v>
      </c>
      <c r="AI198" s="17">
        <v>8</v>
      </c>
      <c r="AJ198" s="36">
        <f t="shared" si="77"/>
        <v>8.2644628099173556E-3</v>
      </c>
      <c r="AK198" s="17">
        <v>80</v>
      </c>
      <c r="AL198" s="36">
        <f t="shared" si="67"/>
        <v>2.1816198527406599E-2</v>
      </c>
      <c r="AM198" s="17">
        <v>3</v>
      </c>
      <c r="AN198" s="36">
        <f t="shared" si="78"/>
        <v>3.0991735537190084E-3</v>
      </c>
      <c r="AO198" s="16">
        <v>3667</v>
      </c>
      <c r="AP198" s="17">
        <v>968</v>
      </c>
    </row>
    <row r="199" spans="1:42" ht="15.75" customHeight="1" x14ac:dyDescent="0.25">
      <c r="A199" s="37">
        <v>2023</v>
      </c>
      <c r="B199" s="35">
        <v>170980</v>
      </c>
      <c r="C199" s="33" t="str">
        <f>VLOOKUP(B199,procv!$A$2:$D$142,4,FALSE)</f>
        <v>Amor Perfeito</v>
      </c>
      <c r="D199" s="33" t="s">
        <v>63</v>
      </c>
      <c r="E199" s="17">
        <v>4</v>
      </c>
      <c r="F199" s="36">
        <f t="shared" si="68"/>
        <v>1.932367149758454E-2</v>
      </c>
      <c r="G199" s="17">
        <v>0</v>
      </c>
      <c r="H199" s="36">
        <f t="shared" si="69"/>
        <v>0</v>
      </c>
      <c r="I199" s="17">
        <v>5</v>
      </c>
      <c r="J199" s="36">
        <f t="shared" si="70"/>
        <v>2.4154589371980676E-2</v>
      </c>
      <c r="K199" s="17">
        <v>0</v>
      </c>
      <c r="L199" s="36">
        <f t="shared" si="71"/>
        <v>0</v>
      </c>
      <c r="M199" s="17">
        <v>198</v>
      </c>
      <c r="N199" s="36">
        <f t="shared" si="61"/>
        <v>0.95652173913043481</v>
      </c>
      <c r="O199" s="17">
        <v>52</v>
      </c>
      <c r="P199" s="36">
        <f t="shared" si="72"/>
        <v>1</v>
      </c>
      <c r="Q199" s="17">
        <v>0</v>
      </c>
      <c r="R199" s="36">
        <f t="shared" si="62"/>
        <v>0</v>
      </c>
      <c r="S199" s="17">
        <v>0</v>
      </c>
      <c r="T199" s="36">
        <f t="shared" si="73"/>
        <v>0</v>
      </c>
      <c r="U199" s="17">
        <v>4</v>
      </c>
      <c r="V199" s="36">
        <f t="shared" si="63"/>
        <v>1.932367149758454E-2</v>
      </c>
      <c r="W199" s="17">
        <v>2</v>
      </c>
      <c r="X199" s="36">
        <f t="shared" si="74"/>
        <v>3.8461538461538464E-2</v>
      </c>
      <c r="Y199" s="17">
        <v>142</v>
      </c>
      <c r="Z199" s="36">
        <f t="shared" si="64"/>
        <v>0.68599033816425126</v>
      </c>
      <c r="AA199" s="17">
        <v>33</v>
      </c>
      <c r="AB199" s="36">
        <f t="shared" si="75"/>
        <v>0.63461538461538458</v>
      </c>
      <c r="AC199" s="17">
        <v>38</v>
      </c>
      <c r="AD199" s="36">
        <f t="shared" si="65"/>
        <v>0.18357487922705315</v>
      </c>
      <c r="AE199" s="17">
        <v>13</v>
      </c>
      <c r="AF199" s="36">
        <f t="shared" si="76"/>
        <v>0.25</v>
      </c>
      <c r="AG199" s="17">
        <v>16</v>
      </c>
      <c r="AH199" s="36">
        <f t="shared" si="66"/>
        <v>7.7294685990338161E-2</v>
      </c>
      <c r="AI199" s="17">
        <v>1</v>
      </c>
      <c r="AJ199" s="36">
        <f t="shared" si="77"/>
        <v>1.9230769230769232E-2</v>
      </c>
      <c r="AK199" s="17">
        <v>7</v>
      </c>
      <c r="AL199" s="36">
        <f t="shared" si="67"/>
        <v>3.3816425120772944E-2</v>
      </c>
      <c r="AM199" s="17">
        <v>3</v>
      </c>
      <c r="AN199" s="36">
        <f t="shared" si="78"/>
        <v>5.7692307692307696E-2</v>
      </c>
      <c r="AO199" s="17">
        <v>207</v>
      </c>
      <c r="AP199" s="17">
        <v>52</v>
      </c>
    </row>
    <row r="200" spans="1:42" ht="15.75" customHeight="1" x14ac:dyDescent="0.25">
      <c r="A200" s="37">
        <v>2023</v>
      </c>
      <c r="B200" s="35">
        <v>171050</v>
      </c>
      <c r="C200" s="33" t="str">
        <f>VLOOKUP(B200,procv!$A$2:$D$142,4,FALSE)</f>
        <v>Cerrado Tocantins Araguaia</v>
      </c>
      <c r="D200" s="33" t="s">
        <v>64</v>
      </c>
      <c r="E200" s="17">
        <v>21</v>
      </c>
      <c r="F200" s="36">
        <f t="shared" si="68"/>
        <v>3.4035656401944892E-2</v>
      </c>
      <c r="G200" s="17">
        <v>15</v>
      </c>
      <c r="H200" s="36">
        <f t="shared" si="69"/>
        <v>4.5180722891566265E-2</v>
      </c>
      <c r="I200" s="17">
        <v>40</v>
      </c>
      <c r="J200" s="36">
        <f t="shared" si="70"/>
        <v>6.4829821717990274E-2</v>
      </c>
      <c r="K200" s="17">
        <v>15</v>
      </c>
      <c r="L200" s="36">
        <f t="shared" si="71"/>
        <v>4.5180722891566265E-2</v>
      </c>
      <c r="M200" s="17">
        <v>556</v>
      </c>
      <c r="N200" s="36">
        <f t="shared" si="61"/>
        <v>0.90113452188006482</v>
      </c>
      <c r="O200" s="17">
        <v>302</v>
      </c>
      <c r="P200" s="36">
        <f t="shared" si="72"/>
        <v>0.90963855421686746</v>
      </c>
      <c r="Q200" s="17">
        <v>8</v>
      </c>
      <c r="R200" s="36">
        <f t="shared" si="62"/>
        <v>1.2965964343598054E-2</v>
      </c>
      <c r="S200" s="17">
        <v>7</v>
      </c>
      <c r="T200" s="36">
        <f t="shared" si="73"/>
        <v>2.1084337349397589E-2</v>
      </c>
      <c r="U200" s="17">
        <v>21</v>
      </c>
      <c r="V200" s="36">
        <f t="shared" si="63"/>
        <v>3.4035656401944892E-2</v>
      </c>
      <c r="W200" s="17">
        <v>9</v>
      </c>
      <c r="X200" s="36">
        <f t="shared" si="74"/>
        <v>2.710843373493976E-2</v>
      </c>
      <c r="Y200" s="17">
        <v>394</v>
      </c>
      <c r="Z200" s="36">
        <f t="shared" si="64"/>
        <v>0.63857374392220423</v>
      </c>
      <c r="AA200" s="17">
        <v>199</v>
      </c>
      <c r="AB200" s="36">
        <f t="shared" si="75"/>
        <v>0.5993975903614458</v>
      </c>
      <c r="AC200" s="17">
        <v>126</v>
      </c>
      <c r="AD200" s="36">
        <f t="shared" si="65"/>
        <v>0.20421393841166938</v>
      </c>
      <c r="AE200" s="17">
        <v>79</v>
      </c>
      <c r="AF200" s="36">
        <f t="shared" si="76"/>
        <v>0.23795180722891565</v>
      </c>
      <c r="AG200" s="17">
        <v>53</v>
      </c>
      <c r="AH200" s="36">
        <f t="shared" si="66"/>
        <v>8.5899513776337116E-2</v>
      </c>
      <c r="AI200" s="17">
        <v>27</v>
      </c>
      <c r="AJ200" s="36">
        <f t="shared" si="77"/>
        <v>8.1325301204819275E-2</v>
      </c>
      <c r="AK200" s="17">
        <v>15</v>
      </c>
      <c r="AL200" s="36">
        <f t="shared" si="67"/>
        <v>2.4311183144246355E-2</v>
      </c>
      <c r="AM200" s="17">
        <v>11</v>
      </c>
      <c r="AN200" s="36">
        <f t="shared" si="78"/>
        <v>3.313253012048193E-2</v>
      </c>
      <c r="AO200" s="17">
        <v>617</v>
      </c>
      <c r="AP200" s="17">
        <v>332</v>
      </c>
    </row>
    <row r="201" spans="1:42" ht="15.75" customHeight="1" x14ac:dyDescent="0.25">
      <c r="A201" s="37">
        <v>2023</v>
      </c>
      <c r="B201" s="35">
        <v>171070</v>
      </c>
      <c r="C201" s="33" t="str">
        <f>VLOOKUP(B201,procv!$A$2:$D$142,4,FALSE)</f>
        <v>Bico do Papagaio</v>
      </c>
      <c r="D201" s="33" t="s">
        <v>65</v>
      </c>
      <c r="E201" s="17">
        <v>13</v>
      </c>
      <c r="F201" s="36">
        <f t="shared" si="68"/>
        <v>3.1707317073170732E-2</v>
      </c>
      <c r="G201" s="17">
        <v>6</v>
      </c>
      <c r="H201" s="36">
        <f t="shared" si="69"/>
        <v>3.9473684210526314E-2</v>
      </c>
      <c r="I201" s="17">
        <v>28</v>
      </c>
      <c r="J201" s="36">
        <f t="shared" si="70"/>
        <v>6.8292682926829273E-2</v>
      </c>
      <c r="K201" s="17">
        <v>13</v>
      </c>
      <c r="L201" s="36">
        <f t="shared" si="71"/>
        <v>8.5526315789473686E-2</v>
      </c>
      <c r="M201" s="17">
        <v>369</v>
      </c>
      <c r="N201" s="36">
        <f t="shared" si="61"/>
        <v>0.9</v>
      </c>
      <c r="O201" s="17">
        <v>133</v>
      </c>
      <c r="P201" s="36">
        <f t="shared" si="72"/>
        <v>0.875</v>
      </c>
      <c r="Q201" s="17">
        <v>6</v>
      </c>
      <c r="R201" s="36">
        <f t="shared" si="62"/>
        <v>1.4634146341463415E-2</v>
      </c>
      <c r="S201" s="17">
        <v>3</v>
      </c>
      <c r="T201" s="36">
        <f t="shared" si="73"/>
        <v>1.9736842105263157E-2</v>
      </c>
      <c r="U201" s="17">
        <v>13</v>
      </c>
      <c r="V201" s="36">
        <f t="shared" si="63"/>
        <v>3.1707317073170732E-2</v>
      </c>
      <c r="W201" s="17">
        <v>8</v>
      </c>
      <c r="X201" s="36">
        <f t="shared" si="74"/>
        <v>5.2631578947368418E-2</v>
      </c>
      <c r="Y201" s="17">
        <v>298</v>
      </c>
      <c r="Z201" s="36">
        <f t="shared" si="64"/>
        <v>0.72682926829268291</v>
      </c>
      <c r="AA201" s="17">
        <v>116</v>
      </c>
      <c r="AB201" s="36">
        <f t="shared" si="75"/>
        <v>0.76315789473684215</v>
      </c>
      <c r="AC201" s="17">
        <v>62</v>
      </c>
      <c r="AD201" s="36">
        <f t="shared" si="65"/>
        <v>0.15121951219512195</v>
      </c>
      <c r="AE201" s="17">
        <v>17</v>
      </c>
      <c r="AF201" s="36">
        <f t="shared" si="76"/>
        <v>0.1118421052631579</v>
      </c>
      <c r="AG201" s="17">
        <v>25</v>
      </c>
      <c r="AH201" s="36">
        <f t="shared" si="66"/>
        <v>6.097560975609756E-2</v>
      </c>
      <c r="AI201" s="17">
        <v>6</v>
      </c>
      <c r="AJ201" s="36">
        <f t="shared" si="77"/>
        <v>3.9473684210526314E-2</v>
      </c>
      <c r="AK201" s="17">
        <v>6</v>
      </c>
      <c r="AL201" s="36">
        <f t="shared" si="67"/>
        <v>1.4634146341463415E-2</v>
      </c>
      <c r="AM201" s="17">
        <v>2</v>
      </c>
      <c r="AN201" s="36">
        <f t="shared" si="78"/>
        <v>1.3157894736842105E-2</v>
      </c>
      <c r="AO201" s="17">
        <v>410</v>
      </c>
      <c r="AP201" s="17">
        <v>152</v>
      </c>
    </row>
    <row r="202" spans="1:42" ht="15.75" customHeight="1" x14ac:dyDescent="0.25">
      <c r="A202" s="37">
        <v>2023</v>
      </c>
      <c r="B202" s="35">
        <v>171090</v>
      </c>
      <c r="C202" s="33" t="str">
        <f>VLOOKUP(B202,procv!$A$2:$D$142,4,FALSE)</f>
        <v>Cerrado Tocantins Araguaia</v>
      </c>
      <c r="D202" s="33" t="s">
        <v>66</v>
      </c>
      <c r="E202" s="17">
        <v>2</v>
      </c>
      <c r="F202" s="36">
        <f t="shared" si="68"/>
        <v>5.208333333333333E-3</v>
      </c>
      <c r="G202" s="17">
        <v>0</v>
      </c>
      <c r="H202" s="36">
        <f t="shared" si="69"/>
        <v>0</v>
      </c>
      <c r="I202" s="17">
        <v>14</v>
      </c>
      <c r="J202" s="36">
        <f t="shared" si="70"/>
        <v>3.6458333333333336E-2</v>
      </c>
      <c r="K202" s="17">
        <v>2</v>
      </c>
      <c r="L202" s="36">
        <f t="shared" si="71"/>
        <v>3.1746031746031744E-2</v>
      </c>
      <c r="M202" s="17">
        <v>368</v>
      </c>
      <c r="N202" s="36">
        <f t="shared" si="61"/>
        <v>0.95833333333333337</v>
      </c>
      <c r="O202" s="17">
        <v>61</v>
      </c>
      <c r="P202" s="36">
        <f t="shared" si="72"/>
        <v>0.96825396825396826</v>
      </c>
      <c r="Q202" s="17">
        <v>0</v>
      </c>
      <c r="R202" s="36">
        <f t="shared" si="62"/>
        <v>0</v>
      </c>
      <c r="S202" s="17">
        <v>0</v>
      </c>
      <c r="T202" s="36">
        <f t="shared" si="73"/>
        <v>0</v>
      </c>
      <c r="U202" s="17">
        <v>11</v>
      </c>
      <c r="V202" s="36">
        <f t="shared" si="63"/>
        <v>2.8645833333333332E-2</v>
      </c>
      <c r="W202" s="17">
        <v>3</v>
      </c>
      <c r="X202" s="36">
        <f t="shared" si="74"/>
        <v>4.7619047619047616E-2</v>
      </c>
      <c r="Y202" s="17">
        <v>273</v>
      </c>
      <c r="Z202" s="36">
        <f t="shared" si="64"/>
        <v>0.7109375</v>
      </c>
      <c r="AA202" s="17">
        <v>42</v>
      </c>
      <c r="AB202" s="36">
        <f t="shared" si="75"/>
        <v>0.66666666666666663</v>
      </c>
      <c r="AC202" s="17">
        <v>61</v>
      </c>
      <c r="AD202" s="36">
        <f t="shared" si="65"/>
        <v>0.15885416666666666</v>
      </c>
      <c r="AE202" s="17">
        <v>11</v>
      </c>
      <c r="AF202" s="36">
        <f t="shared" si="76"/>
        <v>0.17460317460317459</v>
      </c>
      <c r="AG202" s="17">
        <v>32</v>
      </c>
      <c r="AH202" s="36">
        <f t="shared" si="66"/>
        <v>8.3333333333333329E-2</v>
      </c>
      <c r="AI202" s="17">
        <v>6</v>
      </c>
      <c r="AJ202" s="36">
        <f t="shared" si="77"/>
        <v>9.5238095238095233E-2</v>
      </c>
      <c r="AK202" s="17">
        <v>7</v>
      </c>
      <c r="AL202" s="36">
        <f t="shared" si="67"/>
        <v>1.8229166666666668E-2</v>
      </c>
      <c r="AM202" s="17">
        <v>1</v>
      </c>
      <c r="AN202" s="36">
        <f t="shared" si="78"/>
        <v>1.5873015873015872E-2</v>
      </c>
      <c r="AO202" s="17">
        <v>384</v>
      </c>
      <c r="AP202" s="17">
        <v>63</v>
      </c>
    </row>
    <row r="203" spans="1:42" ht="15.75" customHeight="1" x14ac:dyDescent="0.25">
      <c r="A203" s="37">
        <v>2023</v>
      </c>
      <c r="B203" s="35">
        <v>171110</v>
      </c>
      <c r="C203" s="33" t="str">
        <f>VLOOKUP(B203,procv!$A$2:$D$142,4,FALSE)</f>
        <v>Cerrado Tocantins Araguaia</v>
      </c>
      <c r="D203" s="33" t="s">
        <v>67</v>
      </c>
      <c r="E203" s="17">
        <v>5</v>
      </c>
      <c r="F203" s="36">
        <f t="shared" si="68"/>
        <v>2.2321428571428572E-2</v>
      </c>
      <c r="G203" s="17">
        <v>2</v>
      </c>
      <c r="H203" s="36">
        <f t="shared" si="69"/>
        <v>7.1428571428571425E-2</v>
      </c>
      <c r="I203" s="17">
        <v>9</v>
      </c>
      <c r="J203" s="36">
        <f t="shared" si="70"/>
        <v>4.0178571428571432E-2</v>
      </c>
      <c r="K203" s="17">
        <v>3</v>
      </c>
      <c r="L203" s="36">
        <f t="shared" si="71"/>
        <v>0.10714285714285714</v>
      </c>
      <c r="M203" s="17">
        <v>210</v>
      </c>
      <c r="N203" s="36">
        <f t="shared" si="61"/>
        <v>0.9375</v>
      </c>
      <c r="O203" s="17">
        <v>23</v>
      </c>
      <c r="P203" s="36">
        <f t="shared" si="72"/>
        <v>0.8214285714285714</v>
      </c>
      <c r="Q203" s="17">
        <v>6</v>
      </c>
      <c r="R203" s="36">
        <f t="shared" si="62"/>
        <v>2.6785714285714284E-2</v>
      </c>
      <c r="S203" s="17">
        <v>2</v>
      </c>
      <c r="T203" s="36">
        <f t="shared" si="73"/>
        <v>7.1428571428571425E-2</v>
      </c>
      <c r="U203" s="17">
        <v>8</v>
      </c>
      <c r="V203" s="36">
        <f t="shared" si="63"/>
        <v>3.5714285714285712E-2</v>
      </c>
      <c r="W203" s="17">
        <v>1</v>
      </c>
      <c r="X203" s="36">
        <f t="shared" si="74"/>
        <v>3.5714285714285712E-2</v>
      </c>
      <c r="Y203" s="17">
        <v>148</v>
      </c>
      <c r="Z203" s="36">
        <f t="shared" si="64"/>
        <v>0.6607142857142857</v>
      </c>
      <c r="AA203" s="17">
        <v>18</v>
      </c>
      <c r="AB203" s="36">
        <f t="shared" si="75"/>
        <v>0.6428571428571429</v>
      </c>
      <c r="AC203" s="17">
        <v>41</v>
      </c>
      <c r="AD203" s="36">
        <f t="shared" si="65"/>
        <v>0.18303571428571427</v>
      </c>
      <c r="AE203" s="17">
        <v>6</v>
      </c>
      <c r="AF203" s="36">
        <f t="shared" si="76"/>
        <v>0.21428571428571427</v>
      </c>
      <c r="AG203" s="17">
        <v>18</v>
      </c>
      <c r="AH203" s="36">
        <f t="shared" si="66"/>
        <v>8.0357142857142863E-2</v>
      </c>
      <c r="AI203" s="17">
        <v>1</v>
      </c>
      <c r="AJ203" s="36">
        <f t="shared" si="77"/>
        <v>3.5714285714285712E-2</v>
      </c>
      <c r="AK203" s="17">
        <v>3</v>
      </c>
      <c r="AL203" s="36">
        <f t="shared" si="67"/>
        <v>1.3392857142857142E-2</v>
      </c>
      <c r="AM203" s="17">
        <v>0</v>
      </c>
      <c r="AN203" s="36">
        <f t="shared" si="78"/>
        <v>0</v>
      </c>
      <c r="AO203" s="17">
        <v>224</v>
      </c>
      <c r="AP203" s="17">
        <v>28</v>
      </c>
    </row>
    <row r="204" spans="1:42" ht="15.75" customHeight="1" x14ac:dyDescent="0.25">
      <c r="A204" s="37">
        <v>2023</v>
      </c>
      <c r="B204" s="35">
        <v>171150</v>
      </c>
      <c r="C204" s="33" t="str">
        <f>VLOOKUP(B204,procv!$A$2:$D$142,4,FALSE)</f>
        <v>Ilha do Bananal</v>
      </c>
      <c r="D204" s="33" t="s">
        <v>68</v>
      </c>
      <c r="E204" s="17">
        <v>5</v>
      </c>
      <c r="F204" s="36">
        <f t="shared" si="68"/>
        <v>1.4925373134328358E-2</v>
      </c>
      <c r="G204" s="17">
        <v>1</v>
      </c>
      <c r="H204" s="36">
        <f t="shared" si="69"/>
        <v>1.9607843137254902E-2</v>
      </c>
      <c r="I204" s="17">
        <v>9</v>
      </c>
      <c r="J204" s="36">
        <f t="shared" si="70"/>
        <v>2.6865671641791045E-2</v>
      </c>
      <c r="K204" s="17">
        <v>0</v>
      </c>
      <c r="L204" s="36">
        <f t="shared" si="71"/>
        <v>0</v>
      </c>
      <c r="M204" s="17">
        <v>321</v>
      </c>
      <c r="N204" s="36">
        <f t="shared" si="61"/>
        <v>0.95820895522388061</v>
      </c>
      <c r="O204" s="17">
        <v>50</v>
      </c>
      <c r="P204" s="36">
        <f t="shared" si="72"/>
        <v>0.98039215686274506</v>
      </c>
      <c r="Q204" s="17">
        <v>4</v>
      </c>
      <c r="R204" s="36">
        <f t="shared" si="62"/>
        <v>1.1940298507462687E-2</v>
      </c>
      <c r="S204" s="17">
        <v>0</v>
      </c>
      <c r="T204" s="36">
        <f t="shared" si="73"/>
        <v>0</v>
      </c>
      <c r="U204" s="17">
        <v>18</v>
      </c>
      <c r="V204" s="36">
        <f t="shared" si="63"/>
        <v>5.3731343283582089E-2</v>
      </c>
      <c r="W204" s="17">
        <v>6</v>
      </c>
      <c r="X204" s="36">
        <f t="shared" si="74"/>
        <v>0.11764705882352941</v>
      </c>
      <c r="Y204" s="17">
        <v>225</v>
      </c>
      <c r="Z204" s="36">
        <f t="shared" si="64"/>
        <v>0.67164179104477617</v>
      </c>
      <c r="AA204" s="17">
        <v>35</v>
      </c>
      <c r="AB204" s="36">
        <f t="shared" si="75"/>
        <v>0.68627450980392157</v>
      </c>
      <c r="AC204" s="17">
        <v>58</v>
      </c>
      <c r="AD204" s="36">
        <f t="shared" si="65"/>
        <v>0.17313432835820897</v>
      </c>
      <c r="AE204" s="17">
        <v>7</v>
      </c>
      <c r="AF204" s="36">
        <f t="shared" si="76"/>
        <v>0.13725490196078433</v>
      </c>
      <c r="AG204" s="17">
        <v>24</v>
      </c>
      <c r="AH204" s="36">
        <f t="shared" si="66"/>
        <v>7.1641791044776124E-2</v>
      </c>
      <c r="AI204" s="17">
        <v>2</v>
      </c>
      <c r="AJ204" s="36">
        <f t="shared" si="77"/>
        <v>3.9215686274509803E-2</v>
      </c>
      <c r="AK204" s="17">
        <v>6</v>
      </c>
      <c r="AL204" s="36">
        <f t="shared" si="67"/>
        <v>1.7910447761194031E-2</v>
      </c>
      <c r="AM204" s="17">
        <v>1</v>
      </c>
      <c r="AN204" s="36">
        <f t="shared" si="78"/>
        <v>1.9607843137254902E-2</v>
      </c>
      <c r="AO204" s="17">
        <v>335</v>
      </c>
      <c r="AP204" s="17">
        <v>51</v>
      </c>
    </row>
    <row r="205" spans="1:42" ht="15.75" customHeight="1" x14ac:dyDescent="0.25">
      <c r="A205" s="37">
        <v>2023</v>
      </c>
      <c r="B205" s="35">
        <v>171180</v>
      </c>
      <c r="C205" s="33" t="str">
        <f>VLOOKUP(B205,procv!$A$2:$D$142,4,FALSE)</f>
        <v>Cerrado Tocantins Araguaia</v>
      </c>
      <c r="D205" s="33" t="s">
        <v>69</v>
      </c>
      <c r="E205" s="17">
        <v>3</v>
      </c>
      <c r="F205" s="36">
        <f t="shared" si="68"/>
        <v>1.4150943396226415E-2</v>
      </c>
      <c r="G205" s="17">
        <v>1</v>
      </c>
      <c r="H205" s="36">
        <f t="shared" si="69"/>
        <v>1.9230769230769232E-2</v>
      </c>
      <c r="I205" s="17">
        <v>11</v>
      </c>
      <c r="J205" s="36">
        <f t="shared" si="70"/>
        <v>5.1886792452830191E-2</v>
      </c>
      <c r="K205" s="17">
        <v>2</v>
      </c>
      <c r="L205" s="36">
        <f t="shared" si="71"/>
        <v>3.8461538461538464E-2</v>
      </c>
      <c r="M205" s="17">
        <v>198</v>
      </c>
      <c r="N205" s="36">
        <f t="shared" si="61"/>
        <v>0.93396226415094341</v>
      </c>
      <c r="O205" s="17">
        <v>49</v>
      </c>
      <c r="P205" s="36">
        <f t="shared" si="72"/>
        <v>0.94230769230769229</v>
      </c>
      <c r="Q205" s="17">
        <v>6</v>
      </c>
      <c r="R205" s="36">
        <f t="shared" si="62"/>
        <v>2.8301886792452831E-2</v>
      </c>
      <c r="S205" s="17">
        <v>0</v>
      </c>
      <c r="T205" s="36">
        <f t="shared" si="73"/>
        <v>0</v>
      </c>
      <c r="U205" s="17">
        <v>7</v>
      </c>
      <c r="V205" s="36">
        <f t="shared" si="63"/>
        <v>3.3018867924528301E-2</v>
      </c>
      <c r="W205" s="17">
        <v>4</v>
      </c>
      <c r="X205" s="36">
        <f t="shared" si="74"/>
        <v>7.6923076923076927E-2</v>
      </c>
      <c r="Y205" s="17">
        <v>138</v>
      </c>
      <c r="Z205" s="36">
        <f t="shared" si="64"/>
        <v>0.65094339622641506</v>
      </c>
      <c r="AA205" s="17">
        <v>36</v>
      </c>
      <c r="AB205" s="36">
        <f t="shared" si="75"/>
        <v>0.69230769230769229</v>
      </c>
      <c r="AC205" s="17">
        <v>37</v>
      </c>
      <c r="AD205" s="36">
        <f t="shared" si="65"/>
        <v>0.17452830188679244</v>
      </c>
      <c r="AE205" s="17">
        <v>10</v>
      </c>
      <c r="AF205" s="36">
        <f t="shared" si="76"/>
        <v>0.19230769230769232</v>
      </c>
      <c r="AG205" s="17">
        <v>20</v>
      </c>
      <c r="AH205" s="36">
        <f t="shared" si="66"/>
        <v>9.4339622641509441E-2</v>
      </c>
      <c r="AI205" s="17">
        <v>2</v>
      </c>
      <c r="AJ205" s="36">
        <f t="shared" si="77"/>
        <v>3.8461538461538464E-2</v>
      </c>
      <c r="AK205" s="17">
        <v>4</v>
      </c>
      <c r="AL205" s="36">
        <f t="shared" si="67"/>
        <v>1.8867924528301886E-2</v>
      </c>
      <c r="AM205" s="17">
        <v>0</v>
      </c>
      <c r="AN205" s="36">
        <f t="shared" si="78"/>
        <v>0</v>
      </c>
      <c r="AO205" s="17">
        <v>212</v>
      </c>
      <c r="AP205" s="17">
        <v>52</v>
      </c>
    </row>
    <row r="206" spans="1:42" ht="15.75" customHeight="1" x14ac:dyDescent="0.25">
      <c r="A206" s="37">
        <v>2023</v>
      </c>
      <c r="B206" s="35">
        <v>171190</v>
      </c>
      <c r="C206" s="33" t="str">
        <f>VLOOKUP(B206,procv!$A$2:$D$142,4,FALSE)</f>
        <v>Cantão</v>
      </c>
      <c r="D206" s="33" t="s">
        <v>70</v>
      </c>
      <c r="E206" s="17">
        <v>13</v>
      </c>
      <c r="F206" s="36">
        <f t="shared" si="68"/>
        <v>2.3941068139963169E-2</v>
      </c>
      <c r="G206" s="17">
        <v>9</v>
      </c>
      <c r="H206" s="36">
        <f t="shared" si="69"/>
        <v>3.0821917808219176E-2</v>
      </c>
      <c r="I206" s="17">
        <v>21</v>
      </c>
      <c r="J206" s="36">
        <f t="shared" si="70"/>
        <v>3.8674033149171269E-2</v>
      </c>
      <c r="K206" s="17">
        <v>12</v>
      </c>
      <c r="L206" s="36">
        <f t="shared" si="71"/>
        <v>4.1095890410958902E-2</v>
      </c>
      <c r="M206" s="17">
        <v>509</v>
      </c>
      <c r="N206" s="36">
        <f t="shared" si="61"/>
        <v>0.93738489871086561</v>
      </c>
      <c r="O206" s="17">
        <v>271</v>
      </c>
      <c r="P206" s="36">
        <f t="shared" si="72"/>
        <v>0.92808219178082196</v>
      </c>
      <c r="Q206" s="17">
        <v>7</v>
      </c>
      <c r="R206" s="36">
        <f t="shared" si="62"/>
        <v>1.289134438305709E-2</v>
      </c>
      <c r="S206" s="17">
        <v>6</v>
      </c>
      <c r="T206" s="36">
        <f t="shared" si="73"/>
        <v>2.0547945205479451E-2</v>
      </c>
      <c r="U206" s="17">
        <v>14</v>
      </c>
      <c r="V206" s="36">
        <f t="shared" si="63"/>
        <v>2.5782688766114181E-2</v>
      </c>
      <c r="W206" s="17">
        <v>5</v>
      </c>
      <c r="X206" s="36">
        <f t="shared" si="74"/>
        <v>1.7123287671232876E-2</v>
      </c>
      <c r="Y206" s="17">
        <v>355</v>
      </c>
      <c r="Z206" s="36">
        <f t="shared" si="64"/>
        <v>0.65377532228360957</v>
      </c>
      <c r="AA206" s="17">
        <v>187</v>
      </c>
      <c r="AB206" s="36">
        <f t="shared" si="75"/>
        <v>0.6404109589041096</v>
      </c>
      <c r="AC206" s="17">
        <v>98</v>
      </c>
      <c r="AD206" s="36">
        <f t="shared" si="65"/>
        <v>0.18047882136279927</v>
      </c>
      <c r="AE206" s="17">
        <v>60</v>
      </c>
      <c r="AF206" s="36">
        <f t="shared" si="76"/>
        <v>0.20547945205479451</v>
      </c>
      <c r="AG206" s="17">
        <v>54</v>
      </c>
      <c r="AH206" s="36">
        <f t="shared" si="66"/>
        <v>9.9447513812154692E-2</v>
      </c>
      <c r="AI206" s="17">
        <v>25</v>
      </c>
      <c r="AJ206" s="36">
        <f t="shared" si="77"/>
        <v>8.5616438356164379E-2</v>
      </c>
      <c r="AK206" s="17">
        <v>15</v>
      </c>
      <c r="AL206" s="36">
        <f t="shared" si="67"/>
        <v>2.7624309392265192E-2</v>
      </c>
      <c r="AM206" s="17">
        <v>9</v>
      </c>
      <c r="AN206" s="36">
        <f t="shared" si="78"/>
        <v>3.0821917808219176E-2</v>
      </c>
      <c r="AO206" s="17">
        <v>543</v>
      </c>
      <c r="AP206" s="17">
        <v>292</v>
      </c>
    </row>
    <row r="207" spans="1:42" ht="15.75" customHeight="1" x14ac:dyDescent="0.25">
      <c r="A207" s="37">
        <v>2023</v>
      </c>
      <c r="B207" s="35">
        <v>171195</v>
      </c>
      <c r="C207" s="33" t="str">
        <f>VLOOKUP(B207,procv!$A$2:$D$142,4,FALSE)</f>
        <v>Capim Dourado</v>
      </c>
      <c r="D207" s="33" t="s">
        <v>71</v>
      </c>
      <c r="E207" s="17">
        <v>4</v>
      </c>
      <c r="F207" s="36">
        <f t="shared" si="68"/>
        <v>6.7796610169491523E-3</v>
      </c>
      <c r="G207" s="17">
        <v>2</v>
      </c>
      <c r="H207" s="36">
        <f t="shared" si="69"/>
        <v>1.9607843137254902E-2</v>
      </c>
      <c r="I207" s="17">
        <v>22</v>
      </c>
      <c r="J207" s="36">
        <f t="shared" si="70"/>
        <v>3.7288135593220341E-2</v>
      </c>
      <c r="K207" s="17">
        <v>5</v>
      </c>
      <c r="L207" s="36">
        <f t="shared" si="71"/>
        <v>4.9019607843137254E-2</v>
      </c>
      <c r="M207" s="17">
        <v>564</v>
      </c>
      <c r="N207" s="36">
        <f t="shared" si="61"/>
        <v>0.95593220338983054</v>
      </c>
      <c r="O207" s="17">
        <v>95</v>
      </c>
      <c r="P207" s="36">
        <f t="shared" si="72"/>
        <v>0.93137254901960786</v>
      </c>
      <c r="Q207" s="17">
        <v>16</v>
      </c>
      <c r="R207" s="36">
        <f t="shared" si="62"/>
        <v>2.7118644067796609E-2</v>
      </c>
      <c r="S207" s="17">
        <v>4</v>
      </c>
      <c r="T207" s="36">
        <f t="shared" si="73"/>
        <v>3.9215686274509803E-2</v>
      </c>
      <c r="U207" s="17">
        <v>22</v>
      </c>
      <c r="V207" s="36">
        <f t="shared" si="63"/>
        <v>3.7288135593220341E-2</v>
      </c>
      <c r="W207" s="17">
        <v>6</v>
      </c>
      <c r="X207" s="36">
        <f t="shared" si="74"/>
        <v>5.8823529411764705E-2</v>
      </c>
      <c r="Y207" s="17">
        <v>436</v>
      </c>
      <c r="Z207" s="36">
        <f t="shared" si="64"/>
        <v>0.73898305084745763</v>
      </c>
      <c r="AA207" s="17">
        <v>66</v>
      </c>
      <c r="AB207" s="36">
        <f t="shared" si="75"/>
        <v>0.6470588235294118</v>
      </c>
      <c r="AC207" s="17">
        <v>79</v>
      </c>
      <c r="AD207" s="36">
        <f t="shared" si="65"/>
        <v>0.13389830508474576</v>
      </c>
      <c r="AE207" s="17">
        <v>18</v>
      </c>
      <c r="AF207" s="36">
        <f t="shared" si="76"/>
        <v>0.17647058823529413</v>
      </c>
      <c r="AG207" s="17">
        <v>33</v>
      </c>
      <c r="AH207" s="36">
        <f t="shared" si="66"/>
        <v>5.5932203389830508E-2</v>
      </c>
      <c r="AI207" s="17">
        <v>8</v>
      </c>
      <c r="AJ207" s="36">
        <f t="shared" si="77"/>
        <v>7.8431372549019607E-2</v>
      </c>
      <c r="AK207" s="17">
        <v>4</v>
      </c>
      <c r="AL207" s="36">
        <f t="shared" si="67"/>
        <v>6.7796610169491523E-3</v>
      </c>
      <c r="AM207" s="17">
        <v>0</v>
      </c>
      <c r="AN207" s="36">
        <f t="shared" si="78"/>
        <v>0</v>
      </c>
      <c r="AO207" s="17">
        <v>590</v>
      </c>
      <c r="AP207" s="17">
        <v>102</v>
      </c>
    </row>
    <row r="208" spans="1:42" ht="15.75" customHeight="1" x14ac:dyDescent="0.25">
      <c r="A208" s="37">
        <v>2023</v>
      </c>
      <c r="B208" s="35">
        <v>171200</v>
      </c>
      <c r="C208" s="33" t="str">
        <f>VLOOKUP(B208,procv!$A$2:$D$142,4,FALSE)</f>
        <v>Capim Dourado</v>
      </c>
      <c r="D208" s="33" t="s">
        <v>72</v>
      </c>
      <c r="E208" s="17">
        <v>2</v>
      </c>
      <c r="F208" s="36">
        <f t="shared" si="68"/>
        <v>6.6666666666666666E-2</v>
      </c>
      <c r="G208" s="17">
        <v>2</v>
      </c>
      <c r="H208" s="36">
        <f t="shared" si="69"/>
        <v>0.08</v>
      </c>
      <c r="I208" s="17">
        <v>0</v>
      </c>
      <c r="J208" s="36">
        <f t="shared" si="70"/>
        <v>0</v>
      </c>
      <c r="K208" s="17">
        <v>0</v>
      </c>
      <c r="L208" s="36">
        <f t="shared" si="71"/>
        <v>0</v>
      </c>
      <c r="M208" s="17">
        <v>28</v>
      </c>
      <c r="N208" s="36">
        <f t="shared" si="61"/>
        <v>0.93333333333333335</v>
      </c>
      <c r="O208" s="17">
        <v>23</v>
      </c>
      <c r="P208" s="36">
        <f t="shared" si="72"/>
        <v>0.92</v>
      </c>
      <c r="Q208" s="17">
        <v>1</v>
      </c>
      <c r="R208" s="36">
        <f t="shared" si="62"/>
        <v>3.3333333333333333E-2</v>
      </c>
      <c r="S208" s="17">
        <v>1</v>
      </c>
      <c r="T208" s="36">
        <f t="shared" si="73"/>
        <v>0.04</v>
      </c>
      <c r="U208" s="17">
        <v>1</v>
      </c>
      <c r="V208" s="36">
        <f t="shared" si="63"/>
        <v>3.3333333333333333E-2</v>
      </c>
      <c r="W208" s="17">
        <v>1</v>
      </c>
      <c r="X208" s="36">
        <f t="shared" si="74"/>
        <v>0.04</v>
      </c>
      <c r="Y208" s="17">
        <v>19</v>
      </c>
      <c r="Z208" s="36">
        <f t="shared" si="64"/>
        <v>0.6333333333333333</v>
      </c>
      <c r="AA208" s="17">
        <v>17</v>
      </c>
      <c r="AB208" s="36">
        <f t="shared" si="75"/>
        <v>0.68</v>
      </c>
      <c r="AC208" s="17">
        <v>7</v>
      </c>
      <c r="AD208" s="36">
        <f t="shared" si="65"/>
        <v>0.23333333333333334</v>
      </c>
      <c r="AE208" s="17">
        <v>5</v>
      </c>
      <c r="AF208" s="36">
        <f t="shared" si="76"/>
        <v>0.2</v>
      </c>
      <c r="AG208" s="17">
        <v>0</v>
      </c>
      <c r="AH208" s="36">
        <f t="shared" si="66"/>
        <v>0</v>
      </c>
      <c r="AI208" s="17">
        <v>0</v>
      </c>
      <c r="AJ208" s="36">
        <f t="shared" si="77"/>
        <v>0</v>
      </c>
      <c r="AK208" s="17">
        <v>2</v>
      </c>
      <c r="AL208" s="36">
        <f t="shared" si="67"/>
        <v>6.6666666666666666E-2</v>
      </c>
      <c r="AM208" s="17">
        <v>1</v>
      </c>
      <c r="AN208" s="36">
        <f t="shared" si="78"/>
        <v>0.04</v>
      </c>
      <c r="AO208" s="17">
        <v>30</v>
      </c>
      <c r="AP208" s="17">
        <v>25</v>
      </c>
    </row>
    <row r="209" spans="1:42" ht="15.75" customHeight="1" x14ac:dyDescent="0.25">
      <c r="A209" s="37">
        <v>2023</v>
      </c>
      <c r="B209" s="35">
        <v>171215</v>
      </c>
      <c r="C209" s="33" t="str">
        <f>VLOOKUP(B209,procv!$A$2:$D$142,4,FALSE)</f>
        <v>Sudeste</v>
      </c>
      <c r="D209" s="33" t="s">
        <v>73</v>
      </c>
      <c r="E209" s="17">
        <v>2</v>
      </c>
      <c r="F209" s="36">
        <f t="shared" si="68"/>
        <v>9.9502487562189053E-3</v>
      </c>
      <c r="G209" s="17">
        <v>0</v>
      </c>
      <c r="H209" s="36">
        <f t="shared" si="69"/>
        <v>0</v>
      </c>
      <c r="I209" s="17">
        <v>1</v>
      </c>
      <c r="J209" s="36">
        <f t="shared" si="70"/>
        <v>4.9751243781094526E-3</v>
      </c>
      <c r="K209" s="17">
        <v>0</v>
      </c>
      <c r="L209" s="36">
        <f t="shared" si="71"/>
        <v>0</v>
      </c>
      <c r="M209" s="17">
        <v>198</v>
      </c>
      <c r="N209" s="36">
        <f t="shared" si="61"/>
        <v>0.9850746268656716</v>
      </c>
      <c r="O209" s="17">
        <v>40</v>
      </c>
      <c r="P209" s="36">
        <f t="shared" si="72"/>
        <v>1</v>
      </c>
      <c r="Q209" s="17">
        <v>0</v>
      </c>
      <c r="R209" s="36">
        <f t="shared" si="62"/>
        <v>0</v>
      </c>
      <c r="S209" s="17">
        <v>0</v>
      </c>
      <c r="T209" s="36">
        <f t="shared" si="73"/>
        <v>0</v>
      </c>
      <c r="U209" s="17">
        <v>3</v>
      </c>
      <c r="V209" s="36">
        <f t="shared" si="63"/>
        <v>1.4925373134328358E-2</v>
      </c>
      <c r="W209" s="17">
        <v>1</v>
      </c>
      <c r="X209" s="36">
        <f t="shared" si="74"/>
        <v>2.5000000000000001E-2</v>
      </c>
      <c r="Y209" s="17">
        <v>135</v>
      </c>
      <c r="Z209" s="36">
        <f t="shared" si="64"/>
        <v>0.67164179104477617</v>
      </c>
      <c r="AA209" s="17">
        <v>24</v>
      </c>
      <c r="AB209" s="36">
        <f t="shared" si="75"/>
        <v>0.6</v>
      </c>
      <c r="AC209" s="17">
        <v>38</v>
      </c>
      <c r="AD209" s="36">
        <f t="shared" si="65"/>
        <v>0.1890547263681592</v>
      </c>
      <c r="AE209" s="17">
        <v>9</v>
      </c>
      <c r="AF209" s="36">
        <f t="shared" si="76"/>
        <v>0.22500000000000001</v>
      </c>
      <c r="AG209" s="17">
        <v>20</v>
      </c>
      <c r="AH209" s="36">
        <f t="shared" si="66"/>
        <v>9.950248756218906E-2</v>
      </c>
      <c r="AI209" s="17">
        <v>4</v>
      </c>
      <c r="AJ209" s="36">
        <f t="shared" si="77"/>
        <v>0.1</v>
      </c>
      <c r="AK209" s="17">
        <v>5</v>
      </c>
      <c r="AL209" s="36">
        <f t="shared" si="67"/>
        <v>2.4875621890547265E-2</v>
      </c>
      <c r="AM209" s="17">
        <v>2</v>
      </c>
      <c r="AN209" s="36">
        <f t="shared" si="78"/>
        <v>0.05</v>
      </c>
      <c r="AO209" s="17">
        <v>201</v>
      </c>
      <c r="AP209" s="17">
        <v>40</v>
      </c>
    </row>
    <row r="210" spans="1:42" ht="15.75" customHeight="1" x14ac:dyDescent="0.25">
      <c r="A210" s="37">
        <v>2023</v>
      </c>
      <c r="B210" s="35">
        <v>171240</v>
      </c>
      <c r="C210" s="33" t="str">
        <f>VLOOKUP(B210,procv!$A$2:$D$142,4,FALSE)</f>
        <v>Capim Dourado</v>
      </c>
      <c r="D210" s="33" t="s">
        <v>74</v>
      </c>
      <c r="E210" s="17">
        <v>14</v>
      </c>
      <c r="F210" s="36">
        <f t="shared" si="68"/>
        <v>4.40251572327044E-2</v>
      </c>
      <c r="G210" s="17">
        <v>2</v>
      </c>
      <c r="H210" s="36">
        <f t="shared" si="69"/>
        <v>1.5625E-2</v>
      </c>
      <c r="I210" s="17">
        <v>25</v>
      </c>
      <c r="J210" s="36">
        <f t="shared" si="70"/>
        <v>7.8616352201257858E-2</v>
      </c>
      <c r="K210" s="17">
        <v>9</v>
      </c>
      <c r="L210" s="36">
        <f t="shared" si="71"/>
        <v>7.03125E-2</v>
      </c>
      <c r="M210" s="17">
        <v>279</v>
      </c>
      <c r="N210" s="36">
        <f t="shared" si="61"/>
        <v>0.87735849056603776</v>
      </c>
      <c r="O210" s="17">
        <v>117</v>
      </c>
      <c r="P210" s="36">
        <f t="shared" si="72"/>
        <v>0.9140625</v>
      </c>
      <c r="Q210" s="17">
        <v>5</v>
      </c>
      <c r="R210" s="36">
        <f t="shared" si="62"/>
        <v>1.5723270440251572E-2</v>
      </c>
      <c r="S210" s="17">
        <v>3</v>
      </c>
      <c r="T210" s="36">
        <f t="shared" si="73"/>
        <v>2.34375E-2</v>
      </c>
      <c r="U210" s="17">
        <v>17</v>
      </c>
      <c r="V210" s="36">
        <f t="shared" si="63"/>
        <v>5.3459119496855348E-2</v>
      </c>
      <c r="W210" s="17">
        <v>4</v>
      </c>
      <c r="X210" s="36">
        <f t="shared" si="74"/>
        <v>3.125E-2</v>
      </c>
      <c r="Y210" s="17">
        <v>237</v>
      </c>
      <c r="Z210" s="36">
        <f t="shared" si="64"/>
        <v>0.74528301886792447</v>
      </c>
      <c r="AA210" s="17">
        <v>94</v>
      </c>
      <c r="AB210" s="36">
        <f t="shared" si="75"/>
        <v>0.734375</v>
      </c>
      <c r="AC210" s="17">
        <v>37</v>
      </c>
      <c r="AD210" s="36">
        <f t="shared" si="65"/>
        <v>0.11635220125786164</v>
      </c>
      <c r="AE210" s="17">
        <v>21</v>
      </c>
      <c r="AF210" s="36">
        <f t="shared" si="76"/>
        <v>0.1640625</v>
      </c>
      <c r="AG210" s="17">
        <v>19</v>
      </c>
      <c r="AH210" s="36">
        <f t="shared" si="66"/>
        <v>5.9748427672955975E-2</v>
      </c>
      <c r="AI210" s="17">
        <v>6</v>
      </c>
      <c r="AJ210" s="36">
        <f t="shared" si="77"/>
        <v>4.6875E-2</v>
      </c>
      <c r="AK210" s="17">
        <v>3</v>
      </c>
      <c r="AL210" s="36">
        <f t="shared" si="67"/>
        <v>9.433962264150943E-3</v>
      </c>
      <c r="AM210" s="17">
        <v>0</v>
      </c>
      <c r="AN210" s="36">
        <f t="shared" si="78"/>
        <v>0</v>
      </c>
      <c r="AO210" s="17">
        <v>318</v>
      </c>
      <c r="AP210" s="17">
        <v>128</v>
      </c>
    </row>
    <row r="211" spans="1:42" ht="15.75" customHeight="1" x14ac:dyDescent="0.25">
      <c r="A211" s="37">
        <v>2023</v>
      </c>
      <c r="B211" s="35">
        <v>171245</v>
      </c>
      <c r="C211" s="33" t="str">
        <f>VLOOKUP(B211,procv!$A$2:$D$142,4,FALSE)</f>
        <v>Bico do Papagaio</v>
      </c>
      <c r="D211" s="33" t="s">
        <v>75</v>
      </c>
      <c r="E211" s="17">
        <v>3</v>
      </c>
      <c r="F211" s="36">
        <f t="shared" si="68"/>
        <v>8.130081300813009E-3</v>
      </c>
      <c r="G211" s="17">
        <v>1</v>
      </c>
      <c r="H211" s="36">
        <f t="shared" si="69"/>
        <v>1.4705882352941176E-2</v>
      </c>
      <c r="I211" s="17">
        <v>26</v>
      </c>
      <c r="J211" s="36">
        <f t="shared" si="70"/>
        <v>7.0460704607046065E-2</v>
      </c>
      <c r="K211" s="17">
        <v>3</v>
      </c>
      <c r="L211" s="36">
        <f t="shared" si="71"/>
        <v>4.4117647058823532E-2</v>
      </c>
      <c r="M211" s="17">
        <v>340</v>
      </c>
      <c r="N211" s="36">
        <f t="shared" si="61"/>
        <v>0.92140921409214094</v>
      </c>
      <c r="O211" s="17">
        <v>64</v>
      </c>
      <c r="P211" s="36">
        <f t="shared" si="72"/>
        <v>0.94117647058823528</v>
      </c>
      <c r="Q211" s="17">
        <v>3</v>
      </c>
      <c r="R211" s="36">
        <f t="shared" si="62"/>
        <v>8.130081300813009E-3</v>
      </c>
      <c r="S211" s="17">
        <v>0</v>
      </c>
      <c r="T211" s="36">
        <f t="shared" si="73"/>
        <v>0</v>
      </c>
      <c r="U211" s="17">
        <v>12</v>
      </c>
      <c r="V211" s="36">
        <f t="shared" si="63"/>
        <v>3.2520325203252036E-2</v>
      </c>
      <c r="W211" s="17">
        <v>4</v>
      </c>
      <c r="X211" s="36">
        <f t="shared" si="74"/>
        <v>5.8823529411764705E-2</v>
      </c>
      <c r="Y211" s="17">
        <v>276</v>
      </c>
      <c r="Z211" s="36">
        <f t="shared" si="64"/>
        <v>0.74796747967479671</v>
      </c>
      <c r="AA211" s="17">
        <v>46</v>
      </c>
      <c r="AB211" s="36">
        <f t="shared" si="75"/>
        <v>0.67647058823529416</v>
      </c>
      <c r="AC211" s="17">
        <v>55</v>
      </c>
      <c r="AD211" s="36">
        <f t="shared" si="65"/>
        <v>0.14905149051490515</v>
      </c>
      <c r="AE211" s="17">
        <v>15</v>
      </c>
      <c r="AF211" s="36">
        <f t="shared" si="76"/>
        <v>0.22058823529411764</v>
      </c>
      <c r="AG211" s="17">
        <v>18</v>
      </c>
      <c r="AH211" s="36">
        <f t="shared" si="66"/>
        <v>4.878048780487805E-2</v>
      </c>
      <c r="AI211" s="17">
        <v>2</v>
      </c>
      <c r="AJ211" s="36">
        <f t="shared" si="77"/>
        <v>2.9411764705882353E-2</v>
      </c>
      <c r="AK211" s="17">
        <v>5</v>
      </c>
      <c r="AL211" s="36">
        <f t="shared" si="67"/>
        <v>1.3550135501355014E-2</v>
      </c>
      <c r="AM211" s="17">
        <v>1</v>
      </c>
      <c r="AN211" s="36">
        <f t="shared" si="78"/>
        <v>1.4705882352941176E-2</v>
      </c>
      <c r="AO211" s="17">
        <v>369</v>
      </c>
      <c r="AP211" s="17">
        <v>68</v>
      </c>
    </row>
    <row r="212" spans="1:42" ht="15.75" customHeight="1" x14ac:dyDescent="0.25">
      <c r="A212" s="37">
        <v>2023</v>
      </c>
      <c r="B212" s="35">
        <v>171250</v>
      </c>
      <c r="C212" s="33" t="str">
        <f>VLOOKUP(B212,procv!$A$2:$D$142,4,FALSE)</f>
        <v>Cantão</v>
      </c>
      <c r="D212" s="33" t="s">
        <v>76</v>
      </c>
      <c r="E212" s="17">
        <v>1</v>
      </c>
      <c r="F212" s="36">
        <f t="shared" si="68"/>
        <v>1.9120458891013384E-3</v>
      </c>
      <c r="G212" s="17">
        <v>0</v>
      </c>
      <c r="H212" s="36">
        <f t="shared" si="69"/>
        <v>0</v>
      </c>
      <c r="I212" s="17">
        <v>21</v>
      </c>
      <c r="J212" s="36">
        <f t="shared" si="70"/>
        <v>4.0152963671128104E-2</v>
      </c>
      <c r="K212" s="17">
        <v>5</v>
      </c>
      <c r="L212" s="36">
        <f t="shared" si="71"/>
        <v>6.6666666666666666E-2</v>
      </c>
      <c r="M212" s="17">
        <v>501</v>
      </c>
      <c r="N212" s="36">
        <f t="shared" si="61"/>
        <v>0.9579349904397706</v>
      </c>
      <c r="O212" s="17">
        <v>70</v>
      </c>
      <c r="P212" s="36">
        <f t="shared" si="72"/>
        <v>0.93333333333333335</v>
      </c>
      <c r="Q212" s="17">
        <v>1</v>
      </c>
      <c r="R212" s="36">
        <f t="shared" si="62"/>
        <v>1.9120458891013384E-3</v>
      </c>
      <c r="S212" s="17">
        <v>0</v>
      </c>
      <c r="T212" s="36">
        <f t="shared" si="73"/>
        <v>0</v>
      </c>
      <c r="U212" s="17">
        <v>11</v>
      </c>
      <c r="V212" s="36">
        <f t="shared" si="63"/>
        <v>2.1032504780114723E-2</v>
      </c>
      <c r="W212" s="17">
        <v>2</v>
      </c>
      <c r="X212" s="36">
        <f t="shared" si="74"/>
        <v>2.6666666666666668E-2</v>
      </c>
      <c r="Y212" s="17">
        <v>338</v>
      </c>
      <c r="Z212" s="36">
        <f t="shared" si="64"/>
        <v>0.64627151051625242</v>
      </c>
      <c r="AA212" s="17">
        <v>47</v>
      </c>
      <c r="AB212" s="36">
        <f t="shared" si="75"/>
        <v>0.62666666666666671</v>
      </c>
      <c r="AC212" s="17">
        <v>113</v>
      </c>
      <c r="AD212" s="36">
        <f t="shared" si="65"/>
        <v>0.21606118546845124</v>
      </c>
      <c r="AE212" s="17">
        <v>18</v>
      </c>
      <c r="AF212" s="36">
        <f t="shared" si="76"/>
        <v>0.24</v>
      </c>
      <c r="AG212" s="17">
        <v>51</v>
      </c>
      <c r="AH212" s="36">
        <f t="shared" si="66"/>
        <v>9.7514340344168254E-2</v>
      </c>
      <c r="AI212" s="17">
        <v>7</v>
      </c>
      <c r="AJ212" s="36">
        <f t="shared" si="77"/>
        <v>9.3333333333333338E-2</v>
      </c>
      <c r="AK212" s="17">
        <v>9</v>
      </c>
      <c r="AL212" s="36">
        <f t="shared" si="67"/>
        <v>1.7208413001912046E-2</v>
      </c>
      <c r="AM212" s="17">
        <v>1</v>
      </c>
      <c r="AN212" s="36">
        <f t="shared" si="78"/>
        <v>1.3333333333333334E-2</v>
      </c>
      <c r="AO212" s="17">
        <v>523</v>
      </c>
      <c r="AP212" s="17">
        <v>75</v>
      </c>
    </row>
    <row r="213" spans="1:42" ht="15.75" customHeight="1" x14ac:dyDescent="0.25">
      <c r="A213" s="37">
        <v>2023</v>
      </c>
      <c r="B213" s="35">
        <v>171270</v>
      </c>
      <c r="C213" s="33" t="str">
        <f>VLOOKUP(B213,procv!$A$2:$D$142,4,FALSE)</f>
        <v>Amor Perfeito</v>
      </c>
      <c r="D213" s="33" t="s">
        <v>77</v>
      </c>
      <c r="E213" s="17">
        <v>3</v>
      </c>
      <c r="F213" s="36">
        <f t="shared" si="68"/>
        <v>8.4745762711864406E-3</v>
      </c>
      <c r="G213" s="17">
        <v>1</v>
      </c>
      <c r="H213" s="36">
        <f t="shared" si="69"/>
        <v>9.9009900990099011E-3</v>
      </c>
      <c r="I213" s="17">
        <v>19</v>
      </c>
      <c r="J213" s="36">
        <f t="shared" si="70"/>
        <v>5.3672316384180789E-2</v>
      </c>
      <c r="K213" s="17">
        <v>6</v>
      </c>
      <c r="L213" s="36">
        <f t="shared" si="71"/>
        <v>5.9405940594059403E-2</v>
      </c>
      <c r="M213" s="17">
        <v>332</v>
      </c>
      <c r="N213" s="36">
        <f t="shared" si="61"/>
        <v>0.93785310734463279</v>
      </c>
      <c r="O213" s="17">
        <v>94</v>
      </c>
      <c r="P213" s="36">
        <f t="shared" si="72"/>
        <v>0.93069306930693074</v>
      </c>
      <c r="Q213" s="17">
        <v>5</v>
      </c>
      <c r="R213" s="36">
        <f t="shared" si="62"/>
        <v>1.4124293785310734E-2</v>
      </c>
      <c r="S213" s="17">
        <v>1</v>
      </c>
      <c r="T213" s="36">
        <f t="shared" si="73"/>
        <v>9.9009900990099011E-3</v>
      </c>
      <c r="U213" s="17">
        <v>11</v>
      </c>
      <c r="V213" s="36">
        <f t="shared" si="63"/>
        <v>3.1073446327683617E-2</v>
      </c>
      <c r="W213" s="17">
        <v>4</v>
      </c>
      <c r="X213" s="36">
        <f t="shared" si="74"/>
        <v>3.9603960396039604E-2</v>
      </c>
      <c r="Y213" s="17">
        <v>261</v>
      </c>
      <c r="Z213" s="36">
        <f t="shared" si="64"/>
        <v>0.73728813559322037</v>
      </c>
      <c r="AA213" s="17">
        <v>73</v>
      </c>
      <c r="AB213" s="36">
        <f t="shared" si="75"/>
        <v>0.72277227722772275</v>
      </c>
      <c r="AC213" s="17">
        <v>49</v>
      </c>
      <c r="AD213" s="36">
        <f t="shared" si="65"/>
        <v>0.1384180790960452</v>
      </c>
      <c r="AE213" s="17">
        <v>14</v>
      </c>
      <c r="AF213" s="36">
        <f t="shared" si="76"/>
        <v>0.13861386138613863</v>
      </c>
      <c r="AG213" s="17">
        <v>26</v>
      </c>
      <c r="AH213" s="36">
        <f t="shared" si="66"/>
        <v>7.3446327683615822E-2</v>
      </c>
      <c r="AI213" s="17">
        <v>7</v>
      </c>
      <c r="AJ213" s="36">
        <f t="shared" si="77"/>
        <v>6.9306930693069313E-2</v>
      </c>
      <c r="AK213" s="17">
        <v>2</v>
      </c>
      <c r="AL213" s="36">
        <f t="shared" si="67"/>
        <v>5.6497175141242938E-3</v>
      </c>
      <c r="AM213" s="17">
        <v>2</v>
      </c>
      <c r="AN213" s="36">
        <f t="shared" si="78"/>
        <v>1.9801980198019802E-2</v>
      </c>
      <c r="AO213" s="17">
        <v>354</v>
      </c>
      <c r="AP213" s="17">
        <v>101</v>
      </c>
    </row>
    <row r="214" spans="1:42" ht="15.75" customHeight="1" x14ac:dyDescent="0.25">
      <c r="A214" s="37">
        <v>2023</v>
      </c>
      <c r="B214" s="35">
        <v>171280</v>
      </c>
      <c r="C214" s="33" t="str">
        <f>VLOOKUP(B214,procv!$A$2:$D$142,4,FALSE)</f>
        <v>Bico do Papagaio</v>
      </c>
      <c r="D214" s="33" t="s">
        <v>78</v>
      </c>
      <c r="E214" s="17">
        <v>6</v>
      </c>
      <c r="F214" s="36">
        <f t="shared" si="68"/>
        <v>1.4457831325301205E-2</v>
      </c>
      <c r="G214" s="17">
        <v>3</v>
      </c>
      <c r="H214" s="36">
        <f t="shared" si="69"/>
        <v>3.3707865168539325E-2</v>
      </c>
      <c r="I214" s="17">
        <v>29</v>
      </c>
      <c r="J214" s="36">
        <f t="shared" si="70"/>
        <v>6.9879518072289162E-2</v>
      </c>
      <c r="K214" s="17">
        <v>6</v>
      </c>
      <c r="L214" s="36">
        <f t="shared" si="71"/>
        <v>6.741573033707865E-2</v>
      </c>
      <c r="M214" s="17">
        <v>380</v>
      </c>
      <c r="N214" s="36">
        <f t="shared" si="61"/>
        <v>0.91566265060240959</v>
      </c>
      <c r="O214" s="17">
        <v>80</v>
      </c>
      <c r="P214" s="36">
        <f t="shared" si="72"/>
        <v>0.898876404494382</v>
      </c>
      <c r="Q214" s="17">
        <v>4</v>
      </c>
      <c r="R214" s="36">
        <f t="shared" si="62"/>
        <v>9.6385542168674707E-3</v>
      </c>
      <c r="S214" s="17">
        <v>1</v>
      </c>
      <c r="T214" s="36">
        <f t="shared" si="73"/>
        <v>1.1235955056179775E-2</v>
      </c>
      <c r="U214" s="17">
        <v>18</v>
      </c>
      <c r="V214" s="36">
        <f t="shared" si="63"/>
        <v>4.3373493975903614E-2</v>
      </c>
      <c r="W214" s="17">
        <v>2</v>
      </c>
      <c r="X214" s="36">
        <f t="shared" si="74"/>
        <v>2.247191011235955E-2</v>
      </c>
      <c r="Y214" s="17">
        <v>306</v>
      </c>
      <c r="Z214" s="36">
        <f t="shared" si="64"/>
        <v>0.73734939759036144</v>
      </c>
      <c r="AA214" s="17">
        <v>66</v>
      </c>
      <c r="AB214" s="36">
        <f t="shared" si="75"/>
        <v>0.7415730337078652</v>
      </c>
      <c r="AC214" s="17">
        <v>55</v>
      </c>
      <c r="AD214" s="36">
        <f t="shared" si="65"/>
        <v>0.13253012048192772</v>
      </c>
      <c r="AE214" s="17">
        <v>11</v>
      </c>
      <c r="AF214" s="36">
        <f t="shared" si="76"/>
        <v>0.12359550561797752</v>
      </c>
      <c r="AG214" s="17">
        <v>28</v>
      </c>
      <c r="AH214" s="36">
        <f t="shared" si="66"/>
        <v>6.746987951807229E-2</v>
      </c>
      <c r="AI214" s="17">
        <v>8</v>
      </c>
      <c r="AJ214" s="36">
        <f t="shared" si="77"/>
        <v>8.98876404494382E-2</v>
      </c>
      <c r="AK214" s="17">
        <v>4</v>
      </c>
      <c r="AL214" s="36">
        <f t="shared" si="67"/>
        <v>9.6385542168674707E-3</v>
      </c>
      <c r="AM214" s="17">
        <v>1</v>
      </c>
      <c r="AN214" s="36">
        <f t="shared" si="78"/>
        <v>1.1235955056179775E-2</v>
      </c>
      <c r="AO214" s="17">
        <v>415</v>
      </c>
      <c r="AP214" s="17">
        <v>89</v>
      </c>
    </row>
    <row r="215" spans="1:42" ht="15.75" customHeight="1" x14ac:dyDescent="0.25">
      <c r="A215" s="37">
        <v>2023</v>
      </c>
      <c r="B215" s="35">
        <v>171320</v>
      </c>
      <c r="C215" s="33" t="str">
        <f>VLOOKUP(B215,procv!$A$2:$D$142,4,FALSE)</f>
        <v>Capim Dourado</v>
      </c>
      <c r="D215" s="33" t="s">
        <v>79</v>
      </c>
      <c r="E215" s="17">
        <v>18</v>
      </c>
      <c r="F215" s="36">
        <f t="shared" si="68"/>
        <v>1.393188854489164E-2</v>
      </c>
      <c r="G215" s="17">
        <v>4</v>
      </c>
      <c r="H215" s="36">
        <f t="shared" si="69"/>
        <v>1.7094017094017096E-2</v>
      </c>
      <c r="I215" s="17">
        <v>53</v>
      </c>
      <c r="J215" s="36">
        <f t="shared" si="70"/>
        <v>4.1021671826625389E-2</v>
      </c>
      <c r="K215" s="17">
        <v>9</v>
      </c>
      <c r="L215" s="36">
        <f t="shared" si="71"/>
        <v>3.8461538461538464E-2</v>
      </c>
      <c r="M215" s="16">
        <v>1221</v>
      </c>
      <c r="N215" s="36">
        <f t="shared" si="61"/>
        <v>0.945046439628483</v>
      </c>
      <c r="O215" s="17">
        <v>221</v>
      </c>
      <c r="P215" s="36">
        <f t="shared" si="72"/>
        <v>0.94444444444444442</v>
      </c>
      <c r="Q215" s="17">
        <v>12</v>
      </c>
      <c r="R215" s="36">
        <f t="shared" si="62"/>
        <v>9.2879256965944269E-3</v>
      </c>
      <c r="S215" s="17">
        <v>4</v>
      </c>
      <c r="T215" s="36">
        <f t="shared" si="73"/>
        <v>1.7094017094017096E-2</v>
      </c>
      <c r="U215" s="17">
        <v>47</v>
      </c>
      <c r="V215" s="36">
        <f t="shared" si="63"/>
        <v>3.637770897832817E-2</v>
      </c>
      <c r="W215" s="17">
        <v>7</v>
      </c>
      <c r="X215" s="36">
        <f t="shared" si="74"/>
        <v>2.9914529914529916E-2</v>
      </c>
      <c r="Y215" s="17">
        <v>895</v>
      </c>
      <c r="Z215" s="36">
        <f t="shared" si="64"/>
        <v>0.69272445820433437</v>
      </c>
      <c r="AA215" s="17">
        <v>167</v>
      </c>
      <c r="AB215" s="36">
        <f t="shared" si="75"/>
        <v>0.71367521367521369</v>
      </c>
      <c r="AC215" s="17">
        <v>223</v>
      </c>
      <c r="AD215" s="36">
        <f t="shared" si="65"/>
        <v>0.17260061919504643</v>
      </c>
      <c r="AE215" s="17">
        <v>41</v>
      </c>
      <c r="AF215" s="36">
        <f t="shared" si="76"/>
        <v>0.1752136752136752</v>
      </c>
      <c r="AG215" s="17">
        <v>95</v>
      </c>
      <c r="AH215" s="36">
        <f t="shared" si="66"/>
        <v>7.3529411764705885E-2</v>
      </c>
      <c r="AI215" s="17">
        <v>14</v>
      </c>
      <c r="AJ215" s="36">
        <f t="shared" si="77"/>
        <v>5.9829059829059832E-2</v>
      </c>
      <c r="AK215" s="17">
        <v>20</v>
      </c>
      <c r="AL215" s="36">
        <f t="shared" si="67"/>
        <v>1.5479876160990712E-2</v>
      </c>
      <c r="AM215" s="17">
        <v>1</v>
      </c>
      <c r="AN215" s="36">
        <f t="shared" si="78"/>
        <v>4.2735042735042739E-3</v>
      </c>
      <c r="AO215" s="16">
        <v>1292</v>
      </c>
      <c r="AP215" s="17">
        <v>234</v>
      </c>
    </row>
    <row r="216" spans="1:42" ht="15.75" customHeight="1" x14ac:dyDescent="0.25">
      <c r="A216" s="37">
        <v>2023</v>
      </c>
      <c r="B216" s="35">
        <v>171330</v>
      </c>
      <c r="C216" s="33" t="str">
        <f>VLOOKUP(B216,procv!$A$2:$D$142,4,FALSE)</f>
        <v>Capim Dourado</v>
      </c>
      <c r="D216" s="33" t="s">
        <v>80</v>
      </c>
      <c r="E216" s="17">
        <v>5</v>
      </c>
      <c r="F216" s="36">
        <f t="shared" si="68"/>
        <v>5.6882821387940841E-3</v>
      </c>
      <c r="G216" s="17">
        <v>2</v>
      </c>
      <c r="H216" s="36">
        <f t="shared" si="69"/>
        <v>9.7560975609756097E-3</v>
      </c>
      <c r="I216" s="17">
        <v>20</v>
      </c>
      <c r="J216" s="36">
        <f t="shared" si="70"/>
        <v>2.2753128555176336E-2</v>
      </c>
      <c r="K216" s="17">
        <v>2</v>
      </c>
      <c r="L216" s="36">
        <f t="shared" si="71"/>
        <v>9.7560975609756097E-3</v>
      </c>
      <c r="M216" s="17">
        <v>854</v>
      </c>
      <c r="N216" s="36">
        <f t="shared" si="61"/>
        <v>0.97155858930602956</v>
      </c>
      <c r="O216" s="17">
        <v>201</v>
      </c>
      <c r="P216" s="36">
        <f t="shared" si="72"/>
        <v>0.98048780487804876</v>
      </c>
      <c r="Q216" s="17">
        <v>7</v>
      </c>
      <c r="R216" s="36">
        <f t="shared" si="62"/>
        <v>7.9635949943117172E-3</v>
      </c>
      <c r="S216" s="17">
        <v>1</v>
      </c>
      <c r="T216" s="36">
        <f t="shared" si="73"/>
        <v>4.8780487804878049E-3</v>
      </c>
      <c r="U216" s="17">
        <v>23</v>
      </c>
      <c r="V216" s="36">
        <f t="shared" si="63"/>
        <v>2.6166097838452786E-2</v>
      </c>
      <c r="W216" s="17">
        <v>7</v>
      </c>
      <c r="X216" s="36">
        <f t="shared" si="74"/>
        <v>3.4146341463414637E-2</v>
      </c>
      <c r="Y216" s="17">
        <v>615</v>
      </c>
      <c r="Z216" s="36">
        <f t="shared" si="64"/>
        <v>0.69965870307167233</v>
      </c>
      <c r="AA216" s="17">
        <v>136</v>
      </c>
      <c r="AB216" s="36">
        <f t="shared" si="75"/>
        <v>0.6634146341463415</v>
      </c>
      <c r="AC216" s="17">
        <v>142</v>
      </c>
      <c r="AD216" s="36">
        <f t="shared" si="65"/>
        <v>0.16154721274175199</v>
      </c>
      <c r="AE216" s="17">
        <v>40</v>
      </c>
      <c r="AF216" s="36">
        <f t="shared" si="76"/>
        <v>0.1951219512195122</v>
      </c>
      <c r="AG216" s="17">
        <v>79</v>
      </c>
      <c r="AH216" s="36">
        <f t="shared" si="66"/>
        <v>8.987485779294653E-2</v>
      </c>
      <c r="AI216" s="17">
        <v>19</v>
      </c>
      <c r="AJ216" s="36">
        <f t="shared" si="77"/>
        <v>9.2682926829268292E-2</v>
      </c>
      <c r="AK216" s="17">
        <v>13</v>
      </c>
      <c r="AL216" s="36">
        <f t="shared" si="67"/>
        <v>1.4789533560864619E-2</v>
      </c>
      <c r="AM216" s="17">
        <v>2</v>
      </c>
      <c r="AN216" s="36">
        <f t="shared" si="78"/>
        <v>9.7560975609756097E-3</v>
      </c>
      <c r="AO216" s="17">
        <v>879</v>
      </c>
      <c r="AP216" s="17">
        <v>205</v>
      </c>
    </row>
    <row r="217" spans="1:42" ht="15.75" customHeight="1" x14ac:dyDescent="0.25">
      <c r="A217" s="37">
        <v>2023</v>
      </c>
      <c r="B217" s="35">
        <v>171360</v>
      </c>
      <c r="C217" s="33" t="str">
        <f>VLOOKUP(B217,procv!$A$2:$D$142,4,FALSE)</f>
        <v>Amor Perfeito</v>
      </c>
      <c r="D217" s="33" t="s">
        <v>81</v>
      </c>
      <c r="E217" s="17">
        <v>4</v>
      </c>
      <c r="F217" s="36">
        <f t="shared" si="68"/>
        <v>6.8728522336769758E-3</v>
      </c>
      <c r="G217" s="17">
        <v>2</v>
      </c>
      <c r="H217" s="36">
        <f t="shared" si="69"/>
        <v>9.7560975609756097E-3</v>
      </c>
      <c r="I217" s="17">
        <v>17</v>
      </c>
      <c r="J217" s="36">
        <f t="shared" si="70"/>
        <v>2.9209621993127148E-2</v>
      </c>
      <c r="K217" s="17">
        <v>8</v>
      </c>
      <c r="L217" s="36">
        <f t="shared" si="71"/>
        <v>3.9024390243902439E-2</v>
      </c>
      <c r="M217" s="17">
        <v>561</v>
      </c>
      <c r="N217" s="36">
        <f t="shared" si="61"/>
        <v>0.96391752577319589</v>
      </c>
      <c r="O217" s="17">
        <v>195</v>
      </c>
      <c r="P217" s="36">
        <f t="shared" si="72"/>
        <v>0.95121951219512191</v>
      </c>
      <c r="Q217" s="17">
        <v>3</v>
      </c>
      <c r="R217" s="36">
        <f t="shared" si="62"/>
        <v>5.1546391752577319E-3</v>
      </c>
      <c r="S217" s="17">
        <v>2</v>
      </c>
      <c r="T217" s="36">
        <f t="shared" si="73"/>
        <v>9.7560975609756097E-3</v>
      </c>
      <c r="U217" s="17">
        <v>16</v>
      </c>
      <c r="V217" s="36">
        <f t="shared" si="63"/>
        <v>2.7491408934707903E-2</v>
      </c>
      <c r="W217" s="17">
        <v>6</v>
      </c>
      <c r="X217" s="36">
        <f t="shared" si="74"/>
        <v>2.9268292682926831E-2</v>
      </c>
      <c r="Y217" s="17">
        <v>413</v>
      </c>
      <c r="Z217" s="36">
        <f t="shared" si="64"/>
        <v>0.7096219931271478</v>
      </c>
      <c r="AA217" s="17">
        <v>142</v>
      </c>
      <c r="AB217" s="36">
        <f t="shared" si="75"/>
        <v>0.69268292682926824</v>
      </c>
      <c r="AC217" s="17">
        <v>101</v>
      </c>
      <c r="AD217" s="36">
        <f t="shared" si="65"/>
        <v>0.17353951890034364</v>
      </c>
      <c r="AE217" s="17">
        <v>38</v>
      </c>
      <c r="AF217" s="36">
        <f t="shared" si="76"/>
        <v>0.18536585365853658</v>
      </c>
      <c r="AG217" s="17">
        <v>40</v>
      </c>
      <c r="AH217" s="36">
        <f t="shared" si="66"/>
        <v>6.8728522336769765E-2</v>
      </c>
      <c r="AI217" s="17">
        <v>14</v>
      </c>
      <c r="AJ217" s="36">
        <f t="shared" si="77"/>
        <v>6.8292682926829273E-2</v>
      </c>
      <c r="AK217" s="17">
        <v>9</v>
      </c>
      <c r="AL217" s="36">
        <f t="shared" si="67"/>
        <v>1.5463917525773196E-2</v>
      </c>
      <c r="AM217" s="17">
        <v>3</v>
      </c>
      <c r="AN217" s="36">
        <f t="shared" si="78"/>
        <v>1.4634146341463415E-2</v>
      </c>
      <c r="AO217" s="17">
        <v>582</v>
      </c>
      <c r="AP217" s="17">
        <v>205</v>
      </c>
    </row>
    <row r="218" spans="1:42" ht="15.75" customHeight="1" x14ac:dyDescent="0.25">
      <c r="A218" s="37">
        <v>2023</v>
      </c>
      <c r="B218" s="35">
        <v>171370</v>
      </c>
      <c r="C218" s="33" t="str">
        <f>VLOOKUP(B218,procv!$A$2:$D$142,4,FALSE)</f>
        <v>Cantão</v>
      </c>
      <c r="D218" s="33" t="s">
        <v>82</v>
      </c>
      <c r="E218" s="17">
        <v>1</v>
      </c>
      <c r="F218" s="36">
        <f t="shared" si="68"/>
        <v>4.2194092827004216E-3</v>
      </c>
      <c r="G218" s="17">
        <v>1</v>
      </c>
      <c r="H218" s="36">
        <f t="shared" si="69"/>
        <v>3.8461538461538464E-2</v>
      </c>
      <c r="I218" s="17">
        <v>6</v>
      </c>
      <c r="J218" s="36">
        <f t="shared" si="70"/>
        <v>2.5316455696202531E-2</v>
      </c>
      <c r="K218" s="17">
        <v>2</v>
      </c>
      <c r="L218" s="36">
        <f t="shared" si="71"/>
        <v>7.6923076923076927E-2</v>
      </c>
      <c r="M218" s="17">
        <v>230</v>
      </c>
      <c r="N218" s="36">
        <f t="shared" si="61"/>
        <v>0.97046413502109707</v>
      </c>
      <c r="O218" s="17">
        <v>23</v>
      </c>
      <c r="P218" s="36">
        <f t="shared" si="72"/>
        <v>0.88461538461538458</v>
      </c>
      <c r="Q218" s="17">
        <v>4</v>
      </c>
      <c r="R218" s="36">
        <f t="shared" si="62"/>
        <v>1.6877637130801686E-2</v>
      </c>
      <c r="S218" s="17">
        <v>2</v>
      </c>
      <c r="T218" s="36">
        <f t="shared" si="73"/>
        <v>7.6923076923076927E-2</v>
      </c>
      <c r="U218" s="17">
        <v>8</v>
      </c>
      <c r="V218" s="36">
        <f t="shared" si="63"/>
        <v>3.3755274261603373E-2</v>
      </c>
      <c r="W218" s="17">
        <v>1</v>
      </c>
      <c r="X218" s="36">
        <f t="shared" si="74"/>
        <v>3.8461538461538464E-2</v>
      </c>
      <c r="Y218" s="17">
        <v>162</v>
      </c>
      <c r="Z218" s="36">
        <f t="shared" si="64"/>
        <v>0.68354430379746833</v>
      </c>
      <c r="AA218" s="17">
        <v>15</v>
      </c>
      <c r="AB218" s="36">
        <f t="shared" si="75"/>
        <v>0.57692307692307687</v>
      </c>
      <c r="AC218" s="17">
        <v>47</v>
      </c>
      <c r="AD218" s="36">
        <f t="shared" si="65"/>
        <v>0.19831223628691982</v>
      </c>
      <c r="AE218" s="17">
        <v>8</v>
      </c>
      <c r="AF218" s="36">
        <f t="shared" si="76"/>
        <v>0.30769230769230771</v>
      </c>
      <c r="AG218" s="17">
        <v>12</v>
      </c>
      <c r="AH218" s="36">
        <f t="shared" si="66"/>
        <v>5.0632911392405063E-2</v>
      </c>
      <c r="AI218" s="17">
        <v>0</v>
      </c>
      <c r="AJ218" s="36">
        <f t="shared" si="77"/>
        <v>0</v>
      </c>
      <c r="AK218" s="17">
        <v>4</v>
      </c>
      <c r="AL218" s="36">
        <f t="shared" si="67"/>
        <v>1.6877637130801686E-2</v>
      </c>
      <c r="AM218" s="17">
        <v>0</v>
      </c>
      <c r="AN218" s="36">
        <f t="shared" si="78"/>
        <v>0</v>
      </c>
      <c r="AO218" s="17">
        <v>237</v>
      </c>
      <c r="AP218" s="17">
        <v>26</v>
      </c>
    </row>
    <row r="219" spans="1:42" ht="15.75" customHeight="1" x14ac:dyDescent="0.25">
      <c r="A219" s="37">
        <v>2023</v>
      </c>
      <c r="B219" s="35">
        <v>171395</v>
      </c>
      <c r="C219" s="33" t="str">
        <f>VLOOKUP(B219,procv!$A$2:$D$142,4,FALSE)</f>
        <v>Médio Norte Araguaia</v>
      </c>
      <c r="D219" s="33" t="s">
        <v>83</v>
      </c>
      <c r="E219" s="17">
        <v>4</v>
      </c>
      <c r="F219" s="36">
        <f t="shared" si="68"/>
        <v>8.1799591002044997E-3</v>
      </c>
      <c r="G219" s="17">
        <v>3</v>
      </c>
      <c r="H219" s="36">
        <f t="shared" si="69"/>
        <v>3.7037037037037035E-2</v>
      </c>
      <c r="I219" s="17">
        <v>11</v>
      </c>
      <c r="J219" s="36">
        <f t="shared" si="70"/>
        <v>2.2494887525562373E-2</v>
      </c>
      <c r="K219" s="17">
        <v>2</v>
      </c>
      <c r="L219" s="36">
        <f t="shared" si="71"/>
        <v>2.4691358024691357E-2</v>
      </c>
      <c r="M219" s="17">
        <v>474</v>
      </c>
      <c r="N219" s="36">
        <f t="shared" si="61"/>
        <v>0.96932515337423308</v>
      </c>
      <c r="O219" s="17">
        <v>76</v>
      </c>
      <c r="P219" s="36">
        <f t="shared" si="72"/>
        <v>0.93827160493827155</v>
      </c>
      <c r="Q219" s="17">
        <v>2</v>
      </c>
      <c r="R219" s="36">
        <f t="shared" si="62"/>
        <v>4.0899795501022499E-3</v>
      </c>
      <c r="S219" s="17">
        <v>0</v>
      </c>
      <c r="T219" s="36">
        <f t="shared" si="73"/>
        <v>0</v>
      </c>
      <c r="U219" s="17">
        <v>15</v>
      </c>
      <c r="V219" s="36">
        <f t="shared" si="63"/>
        <v>3.0674846625766871E-2</v>
      </c>
      <c r="W219" s="17">
        <v>7</v>
      </c>
      <c r="X219" s="36">
        <f t="shared" si="74"/>
        <v>8.6419753086419748E-2</v>
      </c>
      <c r="Y219" s="17">
        <v>373</v>
      </c>
      <c r="Z219" s="36">
        <f t="shared" si="64"/>
        <v>0.76278118609406953</v>
      </c>
      <c r="AA219" s="17">
        <v>60</v>
      </c>
      <c r="AB219" s="36">
        <f t="shared" si="75"/>
        <v>0.7407407407407407</v>
      </c>
      <c r="AC219" s="17">
        <v>74</v>
      </c>
      <c r="AD219" s="36">
        <f t="shared" si="65"/>
        <v>0.15132924335378323</v>
      </c>
      <c r="AE219" s="17">
        <v>13</v>
      </c>
      <c r="AF219" s="36">
        <f t="shared" si="76"/>
        <v>0.16049382716049382</v>
      </c>
      <c r="AG219" s="17">
        <v>22</v>
      </c>
      <c r="AH219" s="36">
        <f t="shared" si="66"/>
        <v>4.4989775051124746E-2</v>
      </c>
      <c r="AI219" s="17">
        <v>1</v>
      </c>
      <c r="AJ219" s="36">
        <f t="shared" si="77"/>
        <v>1.2345679012345678E-2</v>
      </c>
      <c r="AK219" s="17">
        <v>3</v>
      </c>
      <c r="AL219" s="36">
        <f t="shared" si="67"/>
        <v>6.1349693251533744E-3</v>
      </c>
      <c r="AM219" s="17">
        <v>0</v>
      </c>
      <c r="AN219" s="36">
        <f t="shared" si="78"/>
        <v>0</v>
      </c>
      <c r="AO219" s="17">
        <v>489</v>
      </c>
      <c r="AP219" s="17">
        <v>81</v>
      </c>
    </row>
    <row r="220" spans="1:42" ht="15.75" customHeight="1" x14ac:dyDescent="0.25">
      <c r="A220" s="37">
        <v>2023</v>
      </c>
      <c r="B220" s="35">
        <v>171420</v>
      </c>
      <c r="C220" s="33" t="str">
        <f>VLOOKUP(B220,procv!$A$2:$D$142,4,FALSE)</f>
        <v>Amor Perfeito</v>
      </c>
      <c r="D220" s="33" t="s">
        <v>84</v>
      </c>
      <c r="E220" s="17">
        <v>12</v>
      </c>
      <c r="F220" s="36">
        <f t="shared" si="68"/>
        <v>1.1834319526627219E-2</v>
      </c>
      <c r="G220" s="17">
        <v>1</v>
      </c>
      <c r="H220" s="36">
        <f t="shared" si="69"/>
        <v>4.2372881355932203E-3</v>
      </c>
      <c r="I220" s="17">
        <v>31</v>
      </c>
      <c r="J220" s="36">
        <f t="shared" si="70"/>
        <v>3.0571992110453649E-2</v>
      </c>
      <c r="K220" s="17">
        <v>7</v>
      </c>
      <c r="L220" s="36">
        <f t="shared" si="71"/>
        <v>2.9661016949152543E-2</v>
      </c>
      <c r="M220" s="17">
        <v>971</v>
      </c>
      <c r="N220" s="36">
        <f t="shared" si="61"/>
        <v>0.95759368836291914</v>
      </c>
      <c r="O220" s="17">
        <v>228</v>
      </c>
      <c r="P220" s="36">
        <f t="shared" si="72"/>
        <v>0.96610169491525422</v>
      </c>
      <c r="Q220" s="17">
        <v>10</v>
      </c>
      <c r="R220" s="36">
        <f t="shared" si="62"/>
        <v>9.8619329388560158E-3</v>
      </c>
      <c r="S220" s="17">
        <v>5</v>
      </c>
      <c r="T220" s="36">
        <f t="shared" si="73"/>
        <v>2.1186440677966101E-2</v>
      </c>
      <c r="U220" s="17">
        <v>35</v>
      </c>
      <c r="V220" s="36">
        <f t="shared" si="63"/>
        <v>3.4516765285996058E-2</v>
      </c>
      <c r="W220" s="17">
        <v>8</v>
      </c>
      <c r="X220" s="36">
        <f t="shared" si="74"/>
        <v>3.3898305084745763E-2</v>
      </c>
      <c r="Y220" s="17">
        <v>693</v>
      </c>
      <c r="Z220" s="36">
        <f t="shared" si="64"/>
        <v>0.68343195266272194</v>
      </c>
      <c r="AA220" s="17">
        <v>167</v>
      </c>
      <c r="AB220" s="36">
        <f t="shared" si="75"/>
        <v>0.7076271186440678</v>
      </c>
      <c r="AC220" s="17">
        <v>170</v>
      </c>
      <c r="AD220" s="36">
        <f t="shared" si="65"/>
        <v>0.16765285996055226</v>
      </c>
      <c r="AE220" s="17">
        <v>36</v>
      </c>
      <c r="AF220" s="36">
        <f t="shared" si="76"/>
        <v>0.15254237288135594</v>
      </c>
      <c r="AG220" s="17">
        <v>83</v>
      </c>
      <c r="AH220" s="36">
        <f t="shared" si="66"/>
        <v>8.1854043392504933E-2</v>
      </c>
      <c r="AI220" s="17">
        <v>16</v>
      </c>
      <c r="AJ220" s="36">
        <f t="shared" si="77"/>
        <v>6.7796610169491525E-2</v>
      </c>
      <c r="AK220" s="17">
        <v>23</v>
      </c>
      <c r="AL220" s="36">
        <f t="shared" si="67"/>
        <v>2.2682445759368838E-2</v>
      </c>
      <c r="AM220" s="17">
        <v>4</v>
      </c>
      <c r="AN220" s="36">
        <f t="shared" si="78"/>
        <v>1.6949152542372881E-2</v>
      </c>
      <c r="AO220" s="16">
        <v>1014</v>
      </c>
      <c r="AP220" s="17">
        <v>236</v>
      </c>
    </row>
    <row r="221" spans="1:42" ht="15.75" customHeight="1" x14ac:dyDescent="0.25">
      <c r="A221" s="37">
        <v>2023</v>
      </c>
      <c r="B221" s="35">
        <v>171430</v>
      </c>
      <c r="C221" s="33" t="str">
        <f>VLOOKUP(B221,procv!$A$2:$D$142,4,FALSE)</f>
        <v>Bico do Papagaio</v>
      </c>
      <c r="D221" s="33" t="s">
        <v>85</v>
      </c>
      <c r="E221" s="17">
        <v>7</v>
      </c>
      <c r="F221" s="36">
        <f t="shared" si="68"/>
        <v>1.5590200445434299E-2</v>
      </c>
      <c r="G221" s="17">
        <v>1</v>
      </c>
      <c r="H221" s="36">
        <f t="shared" si="69"/>
        <v>9.2592592592592587E-3</v>
      </c>
      <c r="I221" s="17">
        <v>26</v>
      </c>
      <c r="J221" s="36">
        <f t="shared" si="70"/>
        <v>5.7906458797327393E-2</v>
      </c>
      <c r="K221" s="17">
        <v>10</v>
      </c>
      <c r="L221" s="36">
        <f t="shared" si="71"/>
        <v>9.2592592592592587E-2</v>
      </c>
      <c r="M221" s="17">
        <v>416</v>
      </c>
      <c r="N221" s="36">
        <f t="shared" si="61"/>
        <v>0.92650334075723828</v>
      </c>
      <c r="O221" s="17">
        <v>97</v>
      </c>
      <c r="P221" s="36">
        <f t="shared" si="72"/>
        <v>0.89814814814814814</v>
      </c>
      <c r="Q221" s="17">
        <v>7</v>
      </c>
      <c r="R221" s="36">
        <f t="shared" si="62"/>
        <v>1.5590200445434299E-2</v>
      </c>
      <c r="S221" s="17">
        <v>2</v>
      </c>
      <c r="T221" s="36">
        <f t="shared" si="73"/>
        <v>1.8518518518518517E-2</v>
      </c>
      <c r="U221" s="17">
        <v>24</v>
      </c>
      <c r="V221" s="36">
        <f t="shared" si="63"/>
        <v>5.3452115812917596E-2</v>
      </c>
      <c r="W221" s="17">
        <v>5</v>
      </c>
      <c r="X221" s="36">
        <f t="shared" si="74"/>
        <v>4.6296296296296294E-2</v>
      </c>
      <c r="Y221" s="17">
        <v>329</v>
      </c>
      <c r="Z221" s="36">
        <f t="shared" si="64"/>
        <v>0.732739420935412</v>
      </c>
      <c r="AA221" s="17">
        <v>84</v>
      </c>
      <c r="AB221" s="36">
        <f t="shared" si="75"/>
        <v>0.77777777777777779</v>
      </c>
      <c r="AC221" s="17">
        <v>67</v>
      </c>
      <c r="AD221" s="36">
        <f t="shared" si="65"/>
        <v>0.1492204899777283</v>
      </c>
      <c r="AE221" s="17">
        <v>13</v>
      </c>
      <c r="AF221" s="36">
        <f t="shared" si="76"/>
        <v>0.12037037037037036</v>
      </c>
      <c r="AG221" s="17">
        <v>18</v>
      </c>
      <c r="AH221" s="36">
        <f t="shared" si="66"/>
        <v>4.0089086859688199E-2</v>
      </c>
      <c r="AI221" s="17">
        <v>2</v>
      </c>
      <c r="AJ221" s="36">
        <f t="shared" si="77"/>
        <v>1.8518518518518517E-2</v>
      </c>
      <c r="AK221" s="17">
        <v>4</v>
      </c>
      <c r="AL221" s="36">
        <f t="shared" si="67"/>
        <v>8.9086859688195987E-3</v>
      </c>
      <c r="AM221" s="17">
        <v>2</v>
      </c>
      <c r="AN221" s="36">
        <f t="shared" si="78"/>
        <v>1.8518518518518517E-2</v>
      </c>
      <c r="AO221" s="17">
        <v>449</v>
      </c>
      <c r="AP221" s="17">
        <v>108</v>
      </c>
    </row>
    <row r="222" spans="1:42" ht="15.75" customHeight="1" x14ac:dyDescent="0.25">
      <c r="A222" s="37">
        <v>2023</v>
      </c>
      <c r="B222" s="35">
        <v>171488</v>
      </c>
      <c r="C222" s="33" t="str">
        <f>VLOOKUP(B222,procv!$A$2:$D$142,4,FALSE)</f>
        <v>Médio Norte Araguaia</v>
      </c>
      <c r="D222" s="33" t="s">
        <v>86</v>
      </c>
      <c r="E222" s="17">
        <v>20</v>
      </c>
      <c r="F222" s="36">
        <f t="shared" si="68"/>
        <v>1.6025641025641024E-2</v>
      </c>
      <c r="G222" s="17">
        <v>10</v>
      </c>
      <c r="H222" s="36">
        <f t="shared" si="69"/>
        <v>4.6511627906976744E-2</v>
      </c>
      <c r="I222" s="17">
        <v>61</v>
      </c>
      <c r="J222" s="36">
        <f t="shared" si="70"/>
        <v>4.8878205128205128E-2</v>
      </c>
      <c r="K222" s="17">
        <v>17</v>
      </c>
      <c r="L222" s="36">
        <f t="shared" si="71"/>
        <v>7.9069767441860464E-2</v>
      </c>
      <c r="M222" s="16">
        <v>1167</v>
      </c>
      <c r="N222" s="36">
        <f t="shared" si="61"/>
        <v>0.93509615384615385</v>
      </c>
      <c r="O222" s="17">
        <v>188</v>
      </c>
      <c r="P222" s="36">
        <f t="shared" si="72"/>
        <v>0.87441860465116283</v>
      </c>
      <c r="Q222" s="17">
        <v>12</v>
      </c>
      <c r="R222" s="36">
        <f t="shared" si="62"/>
        <v>9.6153846153846159E-3</v>
      </c>
      <c r="S222" s="17">
        <v>5</v>
      </c>
      <c r="T222" s="36">
        <f t="shared" si="73"/>
        <v>2.3255813953488372E-2</v>
      </c>
      <c r="U222" s="17">
        <v>45</v>
      </c>
      <c r="V222" s="36">
        <f t="shared" si="63"/>
        <v>3.6057692307692304E-2</v>
      </c>
      <c r="W222" s="17">
        <v>10</v>
      </c>
      <c r="X222" s="36">
        <f t="shared" si="74"/>
        <v>4.6511627906976744E-2</v>
      </c>
      <c r="Y222" s="17">
        <v>892</v>
      </c>
      <c r="Z222" s="36">
        <f t="shared" si="64"/>
        <v>0.71474358974358976</v>
      </c>
      <c r="AA222" s="17">
        <v>140</v>
      </c>
      <c r="AB222" s="36">
        <f t="shared" si="75"/>
        <v>0.65116279069767447</v>
      </c>
      <c r="AC222" s="17">
        <v>186</v>
      </c>
      <c r="AD222" s="36">
        <f t="shared" si="65"/>
        <v>0.14903846153846154</v>
      </c>
      <c r="AE222" s="17">
        <v>39</v>
      </c>
      <c r="AF222" s="36">
        <f t="shared" si="76"/>
        <v>0.18139534883720931</v>
      </c>
      <c r="AG222" s="17">
        <v>90</v>
      </c>
      <c r="AH222" s="36">
        <f t="shared" si="66"/>
        <v>7.2115384615384609E-2</v>
      </c>
      <c r="AI222" s="17">
        <v>16</v>
      </c>
      <c r="AJ222" s="36">
        <f t="shared" si="77"/>
        <v>7.441860465116279E-2</v>
      </c>
      <c r="AK222" s="17">
        <v>23</v>
      </c>
      <c r="AL222" s="36">
        <f t="shared" si="67"/>
        <v>1.842948717948718E-2</v>
      </c>
      <c r="AM222" s="17">
        <v>5</v>
      </c>
      <c r="AN222" s="36">
        <f t="shared" si="78"/>
        <v>2.3255813953488372E-2</v>
      </c>
      <c r="AO222" s="16">
        <v>1248</v>
      </c>
      <c r="AP222" s="17">
        <v>215</v>
      </c>
    </row>
    <row r="223" spans="1:42" ht="15.75" customHeight="1" x14ac:dyDescent="0.25">
      <c r="A223" s="37">
        <v>2023</v>
      </c>
      <c r="B223" s="35">
        <v>171500</v>
      </c>
      <c r="C223" s="33" t="str">
        <f>VLOOKUP(B223,procv!$A$2:$D$142,4,FALSE)</f>
        <v>Cantão</v>
      </c>
      <c r="D223" s="33" t="s">
        <v>87</v>
      </c>
      <c r="E223" s="17">
        <v>4</v>
      </c>
      <c r="F223" s="36">
        <f t="shared" si="68"/>
        <v>9.5693779904306216E-3</v>
      </c>
      <c r="G223" s="17">
        <v>0</v>
      </c>
      <c r="H223" s="36">
        <f t="shared" si="69"/>
        <v>0</v>
      </c>
      <c r="I223" s="17">
        <v>11</v>
      </c>
      <c r="J223" s="36">
        <f t="shared" si="70"/>
        <v>2.6315789473684209E-2</v>
      </c>
      <c r="K223" s="17">
        <v>1</v>
      </c>
      <c r="L223" s="36">
        <f t="shared" si="71"/>
        <v>3.4482758620689655E-2</v>
      </c>
      <c r="M223" s="17">
        <v>403</v>
      </c>
      <c r="N223" s="36">
        <f t="shared" si="61"/>
        <v>0.96411483253588515</v>
      </c>
      <c r="O223" s="17">
        <v>28</v>
      </c>
      <c r="P223" s="36">
        <f t="shared" si="72"/>
        <v>0.96551724137931039</v>
      </c>
      <c r="Q223" s="17">
        <v>2</v>
      </c>
      <c r="R223" s="36">
        <f t="shared" si="62"/>
        <v>4.7846889952153108E-3</v>
      </c>
      <c r="S223" s="17">
        <v>0</v>
      </c>
      <c r="T223" s="36">
        <f t="shared" si="73"/>
        <v>0</v>
      </c>
      <c r="U223" s="17">
        <v>14</v>
      </c>
      <c r="V223" s="36">
        <f t="shared" si="63"/>
        <v>3.3492822966507178E-2</v>
      </c>
      <c r="W223" s="17">
        <v>2</v>
      </c>
      <c r="X223" s="36">
        <f t="shared" si="74"/>
        <v>6.8965517241379309E-2</v>
      </c>
      <c r="Y223" s="17">
        <v>295</v>
      </c>
      <c r="Z223" s="36">
        <f t="shared" si="64"/>
        <v>0.70574162679425834</v>
      </c>
      <c r="AA223" s="17">
        <v>19</v>
      </c>
      <c r="AB223" s="36">
        <f t="shared" si="75"/>
        <v>0.65517241379310343</v>
      </c>
      <c r="AC223" s="17">
        <v>70</v>
      </c>
      <c r="AD223" s="36">
        <f t="shared" si="65"/>
        <v>0.1674641148325359</v>
      </c>
      <c r="AE223" s="17">
        <v>6</v>
      </c>
      <c r="AF223" s="36">
        <f t="shared" si="76"/>
        <v>0.20689655172413793</v>
      </c>
      <c r="AG223" s="17">
        <v>28</v>
      </c>
      <c r="AH223" s="36">
        <f t="shared" si="66"/>
        <v>6.6985645933014357E-2</v>
      </c>
      <c r="AI223" s="17">
        <v>1</v>
      </c>
      <c r="AJ223" s="36">
        <f t="shared" si="77"/>
        <v>3.4482758620689655E-2</v>
      </c>
      <c r="AK223" s="17">
        <v>9</v>
      </c>
      <c r="AL223" s="36">
        <f t="shared" si="67"/>
        <v>2.1531100478468901E-2</v>
      </c>
      <c r="AM223" s="17">
        <v>1</v>
      </c>
      <c r="AN223" s="36">
        <f t="shared" si="78"/>
        <v>3.4482758620689655E-2</v>
      </c>
      <c r="AO223" s="17">
        <v>418</v>
      </c>
      <c r="AP223" s="17">
        <v>29</v>
      </c>
    </row>
    <row r="224" spans="1:42" ht="15.75" customHeight="1" x14ac:dyDescent="0.25">
      <c r="A224" s="37">
        <v>2023</v>
      </c>
      <c r="B224" s="35">
        <v>171510</v>
      </c>
      <c r="C224" s="33" t="str">
        <f>VLOOKUP(B224,procv!$A$2:$D$142,4,FALSE)</f>
        <v>Capim Dourado</v>
      </c>
      <c r="D224" s="33" t="s">
        <v>88</v>
      </c>
      <c r="E224" s="17">
        <v>8</v>
      </c>
      <c r="F224" s="36">
        <f t="shared" si="68"/>
        <v>2.0942408376963352E-2</v>
      </c>
      <c r="G224" s="17">
        <v>5</v>
      </c>
      <c r="H224" s="36">
        <f t="shared" si="69"/>
        <v>4.716981132075472E-2</v>
      </c>
      <c r="I224" s="17">
        <v>19</v>
      </c>
      <c r="J224" s="36">
        <f t="shared" si="70"/>
        <v>4.9738219895287955E-2</v>
      </c>
      <c r="K224" s="17">
        <v>7</v>
      </c>
      <c r="L224" s="36">
        <f t="shared" si="71"/>
        <v>6.6037735849056603E-2</v>
      </c>
      <c r="M224" s="17">
        <v>355</v>
      </c>
      <c r="N224" s="36">
        <f t="shared" si="61"/>
        <v>0.9293193717277487</v>
      </c>
      <c r="O224" s="17">
        <v>94</v>
      </c>
      <c r="P224" s="36">
        <f t="shared" si="72"/>
        <v>0.8867924528301887</v>
      </c>
      <c r="Q224" s="17">
        <v>5</v>
      </c>
      <c r="R224" s="36">
        <f t="shared" si="62"/>
        <v>1.3089005235602094E-2</v>
      </c>
      <c r="S224" s="17">
        <v>2</v>
      </c>
      <c r="T224" s="36">
        <f t="shared" si="73"/>
        <v>1.8867924528301886E-2</v>
      </c>
      <c r="U224" s="17">
        <v>12</v>
      </c>
      <c r="V224" s="36">
        <f t="shared" si="63"/>
        <v>3.1413612565445025E-2</v>
      </c>
      <c r="W224" s="17">
        <v>3</v>
      </c>
      <c r="X224" s="36">
        <f t="shared" si="74"/>
        <v>2.8301886792452831E-2</v>
      </c>
      <c r="Y224" s="17">
        <v>270</v>
      </c>
      <c r="Z224" s="36">
        <f t="shared" si="64"/>
        <v>0.70680628272251311</v>
      </c>
      <c r="AA224" s="17">
        <v>74</v>
      </c>
      <c r="AB224" s="36">
        <f t="shared" si="75"/>
        <v>0.69811320754716977</v>
      </c>
      <c r="AC224" s="17">
        <v>58</v>
      </c>
      <c r="AD224" s="36">
        <f t="shared" si="65"/>
        <v>0.15183246073298429</v>
      </c>
      <c r="AE224" s="17">
        <v>16</v>
      </c>
      <c r="AF224" s="36">
        <f t="shared" si="76"/>
        <v>0.15094339622641509</v>
      </c>
      <c r="AG224" s="17">
        <v>28</v>
      </c>
      <c r="AH224" s="36">
        <f t="shared" si="66"/>
        <v>7.3298429319371722E-2</v>
      </c>
      <c r="AI224" s="17">
        <v>8</v>
      </c>
      <c r="AJ224" s="36">
        <f t="shared" si="77"/>
        <v>7.5471698113207544E-2</v>
      </c>
      <c r="AK224" s="17">
        <v>9</v>
      </c>
      <c r="AL224" s="36">
        <f t="shared" si="67"/>
        <v>2.356020942408377E-2</v>
      </c>
      <c r="AM224" s="17">
        <v>3</v>
      </c>
      <c r="AN224" s="36">
        <f t="shared" si="78"/>
        <v>2.8301886792452831E-2</v>
      </c>
      <c r="AO224" s="17">
        <v>382</v>
      </c>
      <c r="AP224" s="17">
        <v>106</v>
      </c>
    </row>
    <row r="225" spans="1:42" ht="15.75" customHeight="1" x14ac:dyDescent="0.25">
      <c r="A225" s="37">
        <v>2023</v>
      </c>
      <c r="B225" s="35">
        <v>171515</v>
      </c>
      <c r="C225" s="33" t="str">
        <f>VLOOKUP(B225,procv!$A$2:$D$142,4,FALSE)</f>
        <v>Sudeste</v>
      </c>
      <c r="D225" s="33" t="s">
        <v>89</v>
      </c>
      <c r="E225" s="17">
        <v>1</v>
      </c>
      <c r="F225" s="36">
        <f t="shared" si="68"/>
        <v>3.4602076124567475E-3</v>
      </c>
      <c r="G225" s="17">
        <v>0</v>
      </c>
      <c r="H225" s="36">
        <f t="shared" si="69"/>
        <v>0</v>
      </c>
      <c r="I225" s="17">
        <v>6</v>
      </c>
      <c r="J225" s="36">
        <f t="shared" si="70"/>
        <v>2.0761245674740483E-2</v>
      </c>
      <c r="K225" s="17">
        <v>0</v>
      </c>
      <c r="L225" s="36">
        <f t="shared" si="71"/>
        <v>0</v>
      </c>
      <c r="M225" s="17">
        <v>282</v>
      </c>
      <c r="N225" s="36">
        <f t="shared" si="61"/>
        <v>0.97577854671280273</v>
      </c>
      <c r="O225" s="17">
        <v>23</v>
      </c>
      <c r="P225" s="36">
        <f t="shared" si="72"/>
        <v>1</v>
      </c>
      <c r="Q225" s="17">
        <v>5</v>
      </c>
      <c r="R225" s="36">
        <f t="shared" si="62"/>
        <v>1.7301038062283738E-2</v>
      </c>
      <c r="S225" s="17">
        <v>0</v>
      </c>
      <c r="T225" s="36">
        <f t="shared" si="73"/>
        <v>0</v>
      </c>
      <c r="U225" s="17">
        <v>12</v>
      </c>
      <c r="V225" s="36">
        <f t="shared" si="63"/>
        <v>4.1522491349480967E-2</v>
      </c>
      <c r="W225" s="17">
        <v>1</v>
      </c>
      <c r="X225" s="36">
        <f t="shared" si="74"/>
        <v>4.3478260869565216E-2</v>
      </c>
      <c r="Y225" s="17">
        <v>204</v>
      </c>
      <c r="Z225" s="36">
        <f t="shared" si="64"/>
        <v>0.70588235294117652</v>
      </c>
      <c r="AA225" s="17">
        <v>19</v>
      </c>
      <c r="AB225" s="36">
        <f t="shared" si="75"/>
        <v>0.82608695652173914</v>
      </c>
      <c r="AC225" s="17">
        <v>40</v>
      </c>
      <c r="AD225" s="36">
        <f t="shared" si="65"/>
        <v>0.13840830449826991</v>
      </c>
      <c r="AE225" s="17">
        <v>3</v>
      </c>
      <c r="AF225" s="36">
        <f t="shared" si="76"/>
        <v>0.13043478260869565</v>
      </c>
      <c r="AG225" s="17">
        <v>23</v>
      </c>
      <c r="AH225" s="36">
        <f t="shared" si="66"/>
        <v>7.9584775086505188E-2</v>
      </c>
      <c r="AI225" s="17">
        <v>0</v>
      </c>
      <c r="AJ225" s="36">
        <f t="shared" si="77"/>
        <v>0</v>
      </c>
      <c r="AK225" s="17">
        <v>5</v>
      </c>
      <c r="AL225" s="36">
        <f t="shared" si="67"/>
        <v>1.7301038062283738E-2</v>
      </c>
      <c r="AM225" s="17">
        <v>0</v>
      </c>
      <c r="AN225" s="36">
        <f t="shared" si="78"/>
        <v>0</v>
      </c>
      <c r="AO225" s="17">
        <v>289</v>
      </c>
      <c r="AP225" s="17">
        <v>23</v>
      </c>
    </row>
    <row r="226" spans="1:42" ht="15.75" customHeight="1" x14ac:dyDescent="0.25">
      <c r="A226" s="37">
        <v>2023</v>
      </c>
      <c r="B226" s="35">
        <v>171525</v>
      </c>
      <c r="C226" s="33" t="str">
        <f>VLOOKUP(B226,procv!$A$2:$D$142,4,FALSE)</f>
        <v>Sudeste</v>
      </c>
      <c r="D226" s="33" t="s">
        <v>90</v>
      </c>
      <c r="E226" s="17">
        <v>1</v>
      </c>
      <c r="F226" s="36">
        <f t="shared" si="68"/>
        <v>1.9607843137254902E-2</v>
      </c>
      <c r="G226" s="17">
        <v>1</v>
      </c>
      <c r="H226" s="36">
        <f t="shared" si="69"/>
        <v>3.4482758620689655E-2</v>
      </c>
      <c r="I226" s="17">
        <v>3</v>
      </c>
      <c r="J226" s="36">
        <f t="shared" si="70"/>
        <v>5.8823529411764705E-2</v>
      </c>
      <c r="K226" s="17">
        <v>2</v>
      </c>
      <c r="L226" s="36">
        <f t="shared" si="71"/>
        <v>6.8965517241379309E-2</v>
      </c>
      <c r="M226" s="17">
        <v>47</v>
      </c>
      <c r="N226" s="36">
        <f t="shared" si="61"/>
        <v>0.92156862745098034</v>
      </c>
      <c r="O226" s="17">
        <v>26</v>
      </c>
      <c r="P226" s="36">
        <f t="shared" si="72"/>
        <v>0.89655172413793105</v>
      </c>
      <c r="Q226" s="17">
        <v>1</v>
      </c>
      <c r="R226" s="36">
        <f t="shared" si="62"/>
        <v>1.9607843137254902E-2</v>
      </c>
      <c r="S226" s="17">
        <v>1</v>
      </c>
      <c r="T226" s="36">
        <f t="shared" si="73"/>
        <v>3.4482758620689655E-2</v>
      </c>
      <c r="U226" s="17">
        <v>4</v>
      </c>
      <c r="V226" s="36">
        <f t="shared" si="63"/>
        <v>7.8431372549019607E-2</v>
      </c>
      <c r="W226" s="17">
        <v>3</v>
      </c>
      <c r="X226" s="36">
        <f t="shared" si="74"/>
        <v>0.10344827586206896</v>
      </c>
      <c r="Y226" s="17">
        <v>36</v>
      </c>
      <c r="Z226" s="36">
        <f t="shared" si="64"/>
        <v>0.70588235294117652</v>
      </c>
      <c r="AA226" s="17">
        <v>21</v>
      </c>
      <c r="AB226" s="36">
        <f t="shared" si="75"/>
        <v>0.72413793103448276</v>
      </c>
      <c r="AC226" s="17">
        <v>9</v>
      </c>
      <c r="AD226" s="36">
        <f t="shared" si="65"/>
        <v>0.17647058823529413</v>
      </c>
      <c r="AE226" s="17">
        <v>3</v>
      </c>
      <c r="AF226" s="36">
        <f t="shared" si="76"/>
        <v>0.10344827586206896</v>
      </c>
      <c r="AG226" s="17">
        <v>1</v>
      </c>
      <c r="AH226" s="36">
        <f t="shared" si="66"/>
        <v>1.9607843137254902E-2</v>
      </c>
      <c r="AI226" s="17">
        <v>0</v>
      </c>
      <c r="AJ226" s="36">
        <f t="shared" si="77"/>
        <v>0</v>
      </c>
      <c r="AK226" s="17">
        <v>0</v>
      </c>
      <c r="AL226" s="36">
        <f t="shared" si="67"/>
        <v>0</v>
      </c>
      <c r="AM226" s="17">
        <v>1</v>
      </c>
      <c r="AN226" s="36">
        <f t="shared" si="78"/>
        <v>3.4482758620689655E-2</v>
      </c>
      <c r="AO226" s="17">
        <v>51</v>
      </c>
      <c r="AP226" s="17">
        <v>29</v>
      </c>
    </row>
    <row r="227" spans="1:42" ht="15.75" customHeight="1" x14ac:dyDescent="0.25">
      <c r="A227" s="37">
        <v>2023</v>
      </c>
      <c r="B227" s="35">
        <v>171550</v>
      </c>
      <c r="C227" s="33" t="str">
        <f>VLOOKUP(B227,procv!$A$2:$D$142,4,FALSE)</f>
        <v>Amor Perfeito</v>
      </c>
      <c r="D227" s="33" t="s">
        <v>91</v>
      </c>
      <c r="E227" s="17">
        <v>0</v>
      </c>
      <c r="F227" s="36">
        <f t="shared" si="68"/>
        <v>0</v>
      </c>
      <c r="G227" s="17">
        <v>0</v>
      </c>
      <c r="H227" s="36">
        <f t="shared" si="69"/>
        <v>0</v>
      </c>
      <c r="I227" s="17">
        <v>4</v>
      </c>
      <c r="J227" s="36">
        <f t="shared" si="70"/>
        <v>2.0202020202020204E-2</v>
      </c>
      <c r="K227" s="17">
        <v>1</v>
      </c>
      <c r="L227" s="36">
        <f t="shared" si="71"/>
        <v>3.3333333333333333E-2</v>
      </c>
      <c r="M227" s="17">
        <v>194</v>
      </c>
      <c r="N227" s="36">
        <f t="shared" si="61"/>
        <v>0.97979797979797978</v>
      </c>
      <c r="O227" s="17">
        <v>29</v>
      </c>
      <c r="P227" s="36">
        <f t="shared" si="72"/>
        <v>0.96666666666666667</v>
      </c>
      <c r="Q227" s="17">
        <v>1</v>
      </c>
      <c r="R227" s="36">
        <f t="shared" si="62"/>
        <v>5.0505050505050509E-3</v>
      </c>
      <c r="S227" s="17">
        <v>0</v>
      </c>
      <c r="T227" s="36">
        <f t="shared" si="73"/>
        <v>0</v>
      </c>
      <c r="U227" s="17">
        <v>8</v>
      </c>
      <c r="V227" s="36">
        <f t="shared" si="63"/>
        <v>4.0404040404040407E-2</v>
      </c>
      <c r="W227" s="17">
        <v>0</v>
      </c>
      <c r="X227" s="36">
        <f t="shared" si="74"/>
        <v>0</v>
      </c>
      <c r="Y227" s="17">
        <v>136</v>
      </c>
      <c r="Z227" s="36">
        <f t="shared" si="64"/>
        <v>0.68686868686868685</v>
      </c>
      <c r="AA227" s="17">
        <v>22</v>
      </c>
      <c r="AB227" s="36">
        <f t="shared" si="75"/>
        <v>0.73333333333333328</v>
      </c>
      <c r="AC227" s="17">
        <v>39</v>
      </c>
      <c r="AD227" s="36">
        <f t="shared" si="65"/>
        <v>0.19696969696969696</v>
      </c>
      <c r="AE227" s="17">
        <v>8</v>
      </c>
      <c r="AF227" s="36">
        <f t="shared" si="76"/>
        <v>0.26666666666666666</v>
      </c>
      <c r="AG227" s="17">
        <v>8</v>
      </c>
      <c r="AH227" s="36">
        <f t="shared" si="66"/>
        <v>4.0404040404040407E-2</v>
      </c>
      <c r="AI227" s="17">
        <v>0</v>
      </c>
      <c r="AJ227" s="36">
        <f t="shared" si="77"/>
        <v>0</v>
      </c>
      <c r="AK227" s="17">
        <v>6</v>
      </c>
      <c r="AL227" s="36">
        <f t="shared" si="67"/>
        <v>3.0303030303030304E-2</v>
      </c>
      <c r="AM227" s="17">
        <v>0</v>
      </c>
      <c r="AN227" s="36">
        <f t="shared" si="78"/>
        <v>0</v>
      </c>
      <c r="AO227" s="17">
        <v>198</v>
      </c>
      <c r="AP227" s="17">
        <v>30</v>
      </c>
    </row>
    <row r="228" spans="1:42" ht="15.75" customHeight="1" x14ac:dyDescent="0.25">
      <c r="A228" s="37">
        <v>2023</v>
      </c>
      <c r="B228" s="35">
        <v>172100</v>
      </c>
      <c r="C228" s="33" t="str">
        <f>VLOOKUP(B228,procv!$A$2:$D$142,4,FALSE)</f>
        <v>Capim Dourado</v>
      </c>
      <c r="D228" s="33" t="s">
        <v>92</v>
      </c>
      <c r="E228" s="17">
        <v>216</v>
      </c>
      <c r="F228" s="36">
        <f t="shared" si="68"/>
        <v>1.424802110817942E-2</v>
      </c>
      <c r="G228" s="17">
        <v>132</v>
      </c>
      <c r="H228" s="36">
        <f t="shared" si="69"/>
        <v>4.4670050761421318E-2</v>
      </c>
      <c r="I228" s="17">
        <v>501</v>
      </c>
      <c r="J228" s="36">
        <f t="shared" si="70"/>
        <v>3.304749340369393E-2</v>
      </c>
      <c r="K228" s="17">
        <v>152</v>
      </c>
      <c r="L228" s="36">
        <f t="shared" si="71"/>
        <v>5.1438240270727582E-2</v>
      </c>
      <c r="M228" s="16">
        <v>14443</v>
      </c>
      <c r="N228" s="36">
        <f t="shared" si="61"/>
        <v>0.9527044854881267</v>
      </c>
      <c r="O228" s="16">
        <v>2671</v>
      </c>
      <c r="P228" s="36">
        <f t="shared" si="72"/>
        <v>0.90389170896785109</v>
      </c>
      <c r="Q228" s="17">
        <v>180</v>
      </c>
      <c r="R228" s="36">
        <f t="shared" si="62"/>
        <v>1.1873350923482849E-2</v>
      </c>
      <c r="S228" s="17">
        <v>45</v>
      </c>
      <c r="T228" s="36">
        <f t="shared" si="73"/>
        <v>1.5228426395939087E-2</v>
      </c>
      <c r="U228" s="17">
        <v>624</v>
      </c>
      <c r="V228" s="36">
        <f t="shared" si="63"/>
        <v>4.1160949868073879E-2</v>
      </c>
      <c r="W228" s="17">
        <v>124</v>
      </c>
      <c r="X228" s="36">
        <f t="shared" si="74"/>
        <v>4.1962774957698817E-2</v>
      </c>
      <c r="Y228" s="16">
        <v>10497</v>
      </c>
      <c r="Z228" s="36">
        <f t="shared" si="64"/>
        <v>0.69241424802110818</v>
      </c>
      <c r="AA228" s="16">
        <v>2062</v>
      </c>
      <c r="AB228" s="36">
        <f t="shared" si="75"/>
        <v>0.69780033840947542</v>
      </c>
      <c r="AC228" s="16">
        <v>2480</v>
      </c>
      <c r="AD228" s="36">
        <f t="shared" si="65"/>
        <v>0.16358839050131926</v>
      </c>
      <c r="AE228" s="17">
        <v>496</v>
      </c>
      <c r="AF228" s="36">
        <f t="shared" si="76"/>
        <v>0.16785109983079527</v>
      </c>
      <c r="AG228" s="16">
        <v>1113</v>
      </c>
      <c r="AH228" s="36">
        <f t="shared" si="66"/>
        <v>7.341688654353562E-2</v>
      </c>
      <c r="AI228" s="17">
        <v>170</v>
      </c>
      <c r="AJ228" s="36">
        <f t="shared" si="77"/>
        <v>5.7529610829103212E-2</v>
      </c>
      <c r="AK228" s="17">
        <v>266</v>
      </c>
      <c r="AL228" s="36">
        <f t="shared" si="67"/>
        <v>1.7546174142480209E-2</v>
      </c>
      <c r="AM228" s="17">
        <v>58</v>
      </c>
      <c r="AN228" s="36">
        <f t="shared" si="78"/>
        <v>1.9627749576988155E-2</v>
      </c>
      <c r="AO228" s="16">
        <v>15160</v>
      </c>
      <c r="AP228" s="16">
        <v>2955</v>
      </c>
    </row>
    <row r="229" spans="1:42" ht="15.75" customHeight="1" x14ac:dyDescent="0.25">
      <c r="A229" s="37">
        <v>2023</v>
      </c>
      <c r="B229" s="35">
        <v>171570</v>
      </c>
      <c r="C229" s="33" t="str">
        <f>VLOOKUP(B229,procv!$A$2:$D$142,4,FALSE)</f>
        <v>Cerrado Tocantins Araguaia</v>
      </c>
      <c r="D229" s="33" t="s">
        <v>93</v>
      </c>
      <c r="E229" s="17">
        <v>13</v>
      </c>
      <c r="F229" s="36">
        <f t="shared" si="68"/>
        <v>2.4344569288389514E-2</v>
      </c>
      <c r="G229" s="17">
        <v>3</v>
      </c>
      <c r="H229" s="36">
        <f t="shared" si="69"/>
        <v>2.7522935779816515E-2</v>
      </c>
      <c r="I229" s="17">
        <v>46</v>
      </c>
      <c r="J229" s="36">
        <f t="shared" si="70"/>
        <v>8.6142322097378279E-2</v>
      </c>
      <c r="K229" s="17">
        <v>8</v>
      </c>
      <c r="L229" s="36">
        <f t="shared" si="71"/>
        <v>7.3394495412844041E-2</v>
      </c>
      <c r="M229" s="17">
        <v>475</v>
      </c>
      <c r="N229" s="36">
        <f t="shared" si="61"/>
        <v>0.88951310861423216</v>
      </c>
      <c r="O229" s="17">
        <v>98</v>
      </c>
      <c r="P229" s="36">
        <f t="shared" si="72"/>
        <v>0.8990825688073395</v>
      </c>
      <c r="Q229" s="17">
        <v>8</v>
      </c>
      <c r="R229" s="36">
        <f t="shared" si="62"/>
        <v>1.4981273408239701E-2</v>
      </c>
      <c r="S229" s="17">
        <v>4</v>
      </c>
      <c r="T229" s="36">
        <f t="shared" si="73"/>
        <v>3.669724770642202E-2</v>
      </c>
      <c r="U229" s="17">
        <v>20</v>
      </c>
      <c r="V229" s="36">
        <f t="shared" si="63"/>
        <v>3.7453183520599252E-2</v>
      </c>
      <c r="W229" s="17">
        <v>0</v>
      </c>
      <c r="X229" s="36">
        <f t="shared" si="74"/>
        <v>0</v>
      </c>
      <c r="Y229" s="17">
        <v>385</v>
      </c>
      <c r="Z229" s="36">
        <f t="shared" si="64"/>
        <v>0.72097378277153557</v>
      </c>
      <c r="AA229" s="17">
        <v>79</v>
      </c>
      <c r="AB229" s="36">
        <f t="shared" si="75"/>
        <v>0.72477064220183485</v>
      </c>
      <c r="AC229" s="17">
        <v>82</v>
      </c>
      <c r="AD229" s="36">
        <f t="shared" si="65"/>
        <v>0.15355805243445692</v>
      </c>
      <c r="AE229" s="17">
        <v>18</v>
      </c>
      <c r="AF229" s="36">
        <f t="shared" si="76"/>
        <v>0.16513761467889909</v>
      </c>
      <c r="AG229" s="17">
        <v>27</v>
      </c>
      <c r="AH229" s="36">
        <f t="shared" si="66"/>
        <v>5.0561797752808987E-2</v>
      </c>
      <c r="AI229" s="17">
        <v>6</v>
      </c>
      <c r="AJ229" s="36">
        <f t="shared" si="77"/>
        <v>5.5045871559633031E-2</v>
      </c>
      <c r="AK229" s="17">
        <v>12</v>
      </c>
      <c r="AL229" s="36">
        <f t="shared" si="67"/>
        <v>2.247191011235955E-2</v>
      </c>
      <c r="AM229" s="17">
        <v>2</v>
      </c>
      <c r="AN229" s="36">
        <f t="shared" si="78"/>
        <v>1.834862385321101E-2</v>
      </c>
      <c r="AO229" s="17">
        <v>534</v>
      </c>
      <c r="AP229" s="17">
        <v>109</v>
      </c>
    </row>
    <row r="230" spans="1:42" ht="15.75" customHeight="1" x14ac:dyDescent="0.25">
      <c r="A230" s="37">
        <v>2023</v>
      </c>
      <c r="B230" s="35">
        <v>171380</v>
      </c>
      <c r="C230" s="33" t="str">
        <f>VLOOKUP(B230,procv!$A$2:$D$142,4,FALSE)</f>
        <v>Bico do Papagaio</v>
      </c>
      <c r="D230" s="33" t="s">
        <v>94</v>
      </c>
      <c r="E230" s="17">
        <v>2</v>
      </c>
      <c r="F230" s="36">
        <f t="shared" si="68"/>
        <v>1.1299435028248588E-2</v>
      </c>
      <c r="G230" s="17">
        <v>2</v>
      </c>
      <c r="H230" s="36">
        <f t="shared" si="69"/>
        <v>1.3333333333333334E-2</v>
      </c>
      <c r="I230" s="17">
        <v>8</v>
      </c>
      <c r="J230" s="36">
        <f t="shared" si="70"/>
        <v>4.519774011299435E-2</v>
      </c>
      <c r="K230" s="17">
        <v>6</v>
      </c>
      <c r="L230" s="36">
        <f t="shared" si="71"/>
        <v>0.04</v>
      </c>
      <c r="M230" s="17">
        <v>167</v>
      </c>
      <c r="N230" s="36">
        <f t="shared" si="61"/>
        <v>0.94350282485875703</v>
      </c>
      <c r="O230" s="17">
        <v>142</v>
      </c>
      <c r="P230" s="36">
        <f t="shared" si="72"/>
        <v>0.94666666666666666</v>
      </c>
      <c r="Q230" s="17">
        <v>5</v>
      </c>
      <c r="R230" s="36">
        <f t="shared" si="62"/>
        <v>2.8248587570621469E-2</v>
      </c>
      <c r="S230" s="17">
        <v>4</v>
      </c>
      <c r="T230" s="36">
        <f t="shared" si="73"/>
        <v>2.6666666666666668E-2</v>
      </c>
      <c r="U230" s="17">
        <v>9</v>
      </c>
      <c r="V230" s="36">
        <f t="shared" si="63"/>
        <v>5.0847457627118647E-2</v>
      </c>
      <c r="W230" s="17">
        <v>10</v>
      </c>
      <c r="X230" s="36">
        <f t="shared" si="74"/>
        <v>6.6666666666666666E-2</v>
      </c>
      <c r="Y230" s="17">
        <v>117</v>
      </c>
      <c r="Z230" s="36">
        <f t="shared" si="64"/>
        <v>0.66101694915254239</v>
      </c>
      <c r="AA230" s="17">
        <v>103</v>
      </c>
      <c r="AB230" s="36">
        <f t="shared" si="75"/>
        <v>0.68666666666666665</v>
      </c>
      <c r="AC230" s="17">
        <v>30</v>
      </c>
      <c r="AD230" s="36">
        <f t="shared" si="65"/>
        <v>0.16949152542372881</v>
      </c>
      <c r="AE230" s="17">
        <v>26</v>
      </c>
      <c r="AF230" s="36">
        <f t="shared" si="76"/>
        <v>0.17333333333333334</v>
      </c>
      <c r="AG230" s="17">
        <v>15</v>
      </c>
      <c r="AH230" s="36">
        <f t="shared" si="66"/>
        <v>8.4745762711864403E-2</v>
      </c>
      <c r="AI230" s="17">
        <v>7</v>
      </c>
      <c r="AJ230" s="36">
        <f t="shared" si="77"/>
        <v>4.6666666666666669E-2</v>
      </c>
      <c r="AK230" s="17">
        <v>1</v>
      </c>
      <c r="AL230" s="36">
        <f t="shared" si="67"/>
        <v>5.6497175141242938E-3</v>
      </c>
      <c r="AM230" s="17">
        <v>0</v>
      </c>
      <c r="AN230" s="36">
        <f t="shared" si="78"/>
        <v>0</v>
      </c>
      <c r="AO230" s="17">
        <v>177</v>
      </c>
      <c r="AP230" s="17">
        <v>150</v>
      </c>
    </row>
    <row r="231" spans="1:42" ht="15.75" customHeight="1" x14ac:dyDescent="0.25">
      <c r="A231" s="37">
        <v>2023</v>
      </c>
      <c r="B231" s="35">
        <v>171575</v>
      </c>
      <c r="C231" s="33" t="str">
        <f>VLOOKUP(B231,procv!$A$2:$D$142,4,FALSE)</f>
        <v>Ilha do Bananal</v>
      </c>
      <c r="D231" s="33" t="s">
        <v>95</v>
      </c>
      <c r="E231" s="17">
        <v>6</v>
      </c>
      <c r="F231" s="36">
        <f t="shared" si="68"/>
        <v>7.18562874251497E-3</v>
      </c>
      <c r="G231" s="17">
        <v>0</v>
      </c>
      <c r="H231" s="36">
        <f t="shared" si="69"/>
        <v>0</v>
      </c>
      <c r="I231" s="17">
        <v>20</v>
      </c>
      <c r="J231" s="36">
        <f t="shared" si="70"/>
        <v>2.3952095808383235E-2</v>
      </c>
      <c r="K231" s="17">
        <v>1</v>
      </c>
      <c r="L231" s="36">
        <f t="shared" si="71"/>
        <v>1.0638297872340425E-2</v>
      </c>
      <c r="M231" s="17">
        <v>809</v>
      </c>
      <c r="N231" s="36">
        <f t="shared" si="61"/>
        <v>0.96886227544910175</v>
      </c>
      <c r="O231" s="17">
        <v>93</v>
      </c>
      <c r="P231" s="36">
        <f t="shared" si="72"/>
        <v>0.98936170212765961</v>
      </c>
      <c r="Q231" s="17">
        <v>5</v>
      </c>
      <c r="R231" s="36">
        <f t="shared" si="62"/>
        <v>5.9880239520958087E-3</v>
      </c>
      <c r="S231" s="17">
        <v>0</v>
      </c>
      <c r="T231" s="36">
        <f t="shared" si="73"/>
        <v>0</v>
      </c>
      <c r="U231" s="17">
        <v>19</v>
      </c>
      <c r="V231" s="36">
        <f t="shared" si="63"/>
        <v>2.2754491017964073E-2</v>
      </c>
      <c r="W231" s="17">
        <v>1</v>
      </c>
      <c r="X231" s="36">
        <f t="shared" si="74"/>
        <v>1.0638297872340425E-2</v>
      </c>
      <c r="Y231" s="17">
        <v>594</v>
      </c>
      <c r="Z231" s="36">
        <f t="shared" si="64"/>
        <v>0.71137724550898207</v>
      </c>
      <c r="AA231" s="17">
        <v>72</v>
      </c>
      <c r="AB231" s="36">
        <f t="shared" si="75"/>
        <v>0.76595744680851063</v>
      </c>
      <c r="AC231" s="17">
        <v>135</v>
      </c>
      <c r="AD231" s="36">
        <f t="shared" si="65"/>
        <v>0.16167664670658682</v>
      </c>
      <c r="AE231" s="17">
        <v>11</v>
      </c>
      <c r="AF231" s="36">
        <f t="shared" si="76"/>
        <v>0.11702127659574468</v>
      </c>
      <c r="AG231" s="17">
        <v>68</v>
      </c>
      <c r="AH231" s="36">
        <f t="shared" si="66"/>
        <v>8.1437125748502995E-2</v>
      </c>
      <c r="AI231" s="17">
        <v>7</v>
      </c>
      <c r="AJ231" s="36">
        <f t="shared" si="77"/>
        <v>7.4468085106382975E-2</v>
      </c>
      <c r="AK231" s="17">
        <v>14</v>
      </c>
      <c r="AL231" s="36">
        <f t="shared" si="67"/>
        <v>1.6766467065868262E-2</v>
      </c>
      <c r="AM231" s="17">
        <v>3</v>
      </c>
      <c r="AN231" s="36">
        <f t="shared" si="78"/>
        <v>3.1914893617021274E-2</v>
      </c>
      <c r="AO231" s="17">
        <v>835</v>
      </c>
      <c r="AP231" s="17">
        <v>94</v>
      </c>
    </row>
    <row r="232" spans="1:42" ht="15.75" customHeight="1" x14ac:dyDescent="0.25">
      <c r="A232" s="37">
        <v>2023</v>
      </c>
      <c r="B232" s="35">
        <v>171610</v>
      </c>
      <c r="C232" s="33" t="str">
        <f>VLOOKUP(B232,procv!$A$2:$D$142,4,FALSE)</f>
        <v>Cantão</v>
      </c>
      <c r="D232" s="33" t="s">
        <v>96</v>
      </c>
      <c r="E232" s="17">
        <v>16</v>
      </c>
      <c r="F232" s="36">
        <f t="shared" si="68"/>
        <v>6.1728395061728392E-3</v>
      </c>
      <c r="G232" s="17">
        <v>3</v>
      </c>
      <c r="H232" s="36">
        <f t="shared" si="69"/>
        <v>9.74025974025974E-3</v>
      </c>
      <c r="I232" s="17">
        <v>69</v>
      </c>
      <c r="J232" s="36">
        <f t="shared" si="70"/>
        <v>2.6620370370370371E-2</v>
      </c>
      <c r="K232" s="17">
        <v>9</v>
      </c>
      <c r="L232" s="36">
        <f t="shared" si="71"/>
        <v>2.922077922077922E-2</v>
      </c>
      <c r="M232" s="16">
        <v>2507</v>
      </c>
      <c r="N232" s="36">
        <f t="shared" si="61"/>
        <v>0.96720679012345678</v>
      </c>
      <c r="O232" s="17">
        <v>296</v>
      </c>
      <c r="P232" s="36">
        <f t="shared" si="72"/>
        <v>0.96103896103896103</v>
      </c>
      <c r="Q232" s="17">
        <v>21</v>
      </c>
      <c r="R232" s="36">
        <f t="shared" si="62"/>
        <v>8.1018518518518514E-3</v>
      </c>
      <c r="S232" s="17">
        <v>3</v>
      </c>
      <c r="T232" s="36">
        <f t="shared" si="73"/>
        <v>9.74025974025974E-3</v>
      </c>
      <c r="U232" s="17">
        <v>116</v>
      </c>
      <c r="V232" s="36">
        <f t="shared" si="63"/>
        <v>4.4753086419753084E-2</v>
      </c>
      <c r="W232" s="17">
        <v>13</v>
      </c>
      <c r="X232" s="36">
        <f t="shared" si="74"/>
        <v>4.2207792207792208E-2</v>
      </c>
      <c r="Y232" s="16">
        <v>1728</v>
      </c>
      <c r="Z232" s="36">
        <f t="shared" si="64"/>
        <v>0.66666666666666663</v>
      </c>
      <c r="AA232" s="17">
        <v>216</v>
      </c>
      <c r="AB232" s="36">
        <f t="shared" si="75"/>
        <v>0.70129870129870131</v>
      </c>
      <c r="AC232" s="17">
        <v>419</v>
      </c>
      <c r="AD232" s="36">
        <f t="shared" si="65"/>
        <v>0.16165123456790123</v>
      </c>
      <c r="AE232" s="17">
        <v>50</v>
      </c>
      <c r="AF232" s="36">
        <f t="shared" si="76"/>
        <v>0.16233766233766234</v>
      </c>
      <c r="AG232" s="17">
        <v>243</v>
      </c>
      <c r="AH232" s="36">
        <f t="shared" si="66"/>
        <v>9.375E-2</v>
      </c>
      <c r="AI232" s="17">
        <v>18</v>
      </c>
      <c r="AJ232" s="36">
        <f t="shared" si="77"/>
        <v>5.844155844155844E-2</v>
      </c>
      <c r="AK232" s="17">
        <v>65</v>
      </c>
      <c r="AL232" s="36">
        <f t="shared" si="67"/>
        <v>2.5077160493827161E-2</v>
      </c>
      <c r="AM232" s="17">
        <v>8</v>
      </c>
      <c r="AN232" s="36">
        <f t="shared" si="78"/>
        <v>2.5974025974025976E-2</v>
      </c>
      <c r="AO232" s="16">
        <v>2592</v>
      </c>
      <c r="AP232" s="17">
        <v>308</v>
      </c>
    </row>
    <row r="233" spans="1:42" ht="15.75" customHeight="1" x14ac:dyDescent="0.25">
      <c r="A233" s="37">
        <v>2023</v>
      </c>
      <c r="B233" s="35">
        <v>171620</v>
      </c>
      <c r="C233" s="33" t="str">
        <f>VLOOKUP(B233,procv!$A$2:$D$142,4,FALSE)</f>
        <v>Sudeste</v>
      </c>
      <c r="D233" s="33" t="s">
        <v>97</v>
      </c>
      <c r="E233" s="17">
        <v>20</v>
      </c>
      <c r="F233" s="36">
        <f t="shared" si="68"/>
        <v>2.2222222222222223E-2</v>
      </c>
      <c r="G233" s="17">
        <v>4</v>
      </c>
      <c r="H233" s="36">
        <f t="shared" si="69"/>
        <v>2.0512820512820513E-2</v>
      </c>
      <c r="I233" s="17">
        <v>47</v>
      </c>
      <c r="J233" s="36">
        <f t="shared" si="70"/>
        <v>5.2222222222222225E-2</v>
      </c>
      <c r="K233" s="17">
        <v>6</v>
      </c>
      <c r="L233" s="36">
        <f t="shared" si="71"/>
        <v>3.0769230769230771E-2</v>
      </c>
      <c r="M233" s="17">
        <v>833</v>
      </c>
      <c r="N233" s="36">
        <f t="shared" si="61"/>
        <v>0.92555555555555558</v>
      </c>
      <c r="O233" s="17">
        <v>185</v>
      </c>
      <c r="P233" s="36">
        <f t="shared" si="72"/>
        <v>0.94871794871794868</v>
      </c>
      <c r="Q233" s="17">
        <v>15</v>
      </c>
      <c r="R233" s="36">
        <f t="shared" si="62"/>
        <v>1.6666666666666666E-2</v>
      </c>
      <c r="S233" s="17">
        <v>5</v>
      </c>
      <c r="T233" s="36">
        <f t="shared" si="73"/>
        <v>2.564102564102564E-2</v>
      </c>
      <c r="U233" s="17">
        <v>30</v>
      </c>
      <c r="V233" s="36">
        <f t="shared" si="63"/>
        <v>3.3333333333333333E-2</v>
      </c>
      <c r="W233" s="17">
        <v>6</v>
      </c>
      <c r="X233" s="36">
        <f t="shared" si="74"/>
        <v>3.0769230769230771E-2</v>
      </c>
      <c r="Y233" s="17">
        <v>636</v>
      </c>
      <c r="Z233" s="36">
        <f t="shared" si="64"/>
        <v>0.70666666666666667</v>
      </c>
      <c r="AA233" s="17">
        <v>143</v>
      </c>
      <c r="AB233" s="36">
        <f t="shared" si="75"/>
        <v>0.73333333333333328</v>
      </c>
      <c r="AC233" s="17">
        <v>139</v>
      </c>
      <c r="AD233" s="36">
        <f t="shared" si="65"/>
        <v>0.15444444444444444</v>
      </c>
      <c r="AE233" s="17">
        <v>27</v>
      </c>
      <c r="AF233" s="36">
        <f t="shared" si="76"/>
        <v>0.13846153846153847</v>
      </c>
      <c r="AG233" s="17">
        <v>66</v>
      </c>
      <c r="AH233" s="36">
        <f t="shared" si="66"/>
        <v>7.3333333333333334E-2</v>
      </c>
      <c r="AI233" s="17">
        <v>12</v>
      </c>
      <c r="AJ233" s="36">
        <f t="shared" si="77"/>
        <v>6.1538461538461542E-2</v>
      </c>
      <c r="AK233" s="17">
        <v>14</v>
      </c>
      <c r="AL233" s="36">
        <f t="shared" si="67"/>
        <v>1.5555555555555555E-2</v>
      </c>
      <c r="AM233" s="17">
        <v>2</v>
      </c>
      <c r="AN233" s="36">
        <f t="shared" si="78"/>
        <v>1.0256410256410256E-2</v>
      </c>
      <c r="AO233" s="17">
        <v>900</v>
      </c>
      <c r="AP233" s="17">
        <v>195</v>
      </c>
    </row>
    <row r="234" spans="1:42" ht="15.75" customHeight="1" x14ac:dyDescent="0.25">
      <c r="A234" s="37">
        <v>2023</v>
      </c>
      <c r="B234" s="35">
        <v>171630</v>
      </c>
      <c r="C234" s="33" t="str">
        <f>VLOOKUP(B234,procv!$A$2:$D$142,4,FALSE)</f>
        <v>Médio Norte Araguaia</v>
      </c>
      <c r="D234" s="33" t="s">
        <v>98</v>
      </c>
      <c r="E234" s="17">
        <v>4</v>
      </c>
      <c r="F234" s="36">
        <f t="shared" si="68"/>
        <v>9.6153846153846159E-3</v>
      </c>
      <c r="G234" s="17">
        <v>2</v>
      </c>
      <c r="H234" s="36">
        <f t="shared" si="69"/>
        <v>2.2727272727272728E-2</v>
      </c>
      <c r="I234" s="17">
        <v>23</v>
      </c>
      <c r="J234" s="36">
        <f t="shared" si="70"/>
        <v>5.5288461538461536E-2</v>
      </c>
      <c r="K234" s="17">
        <v>7</v>
      </c>
      <c r="L234" s="36">
        <f t="shared" si="71"/>
        <v>7.9545454545454544E-2</v>
      </c>
      <c r="M234" s="17">
        <v>389</v>
      </c>
      <c r="N234" s="36">
        <f t="shared" si="61"/>
        <v>0.93509615384615385</v>
      </c>
      <c r="O234" s="17">
        <v>79</v>
      </c>
      <c r="P234" s="36">
        <f t="shared" si="72"/>
        <v>0.89772727272727271</v>
      </c>
      <c r="Q234" s="17">
        <v>1</v>
      </c>
      <c r="R234" s="36">
        <f t="shared" si="62"/>
        <v>2.403846153846154E-3</v>
      </c>
      <c r="S234" s="17">
        <v>0</v>
      </c>
      <c r="T234" s="36">
        <f t="shared" si="73"/>
        <v>0</v>
      </c>
      <c r="U234" s="17">
        <v>20</v>
      </c>
      <c r="V234" s="36">
        <f t="shared" si="63"/>
        <v>4.807692307692308E-2</v>
      </c>
      <c r="W234" s="17">
        <v>3</v>
      </c>
      <c r="X234" s="36">
        <f t="shared" si="74"/>
        <v>3.4090909090909088E-2</v>
      </c>
      <c r="Y234" s="17">
        <v>279</v>
      </c>
      <c r="Z234" s="36">
        <f t="shared" si="64"/>
        <v>0.67067307692307687</v>
      </c>
      <c r="AA234" s="17">
        <v>59</v>
      </c>
      <c r="AB234" s="36">
        <f t="shared" si="75"/>
        <v>0.67045454545454541</v>
      </c>
      <c r="AC234" s="17">
        <v>64</v>
      </c>
      <c r="AD234" s="36">
        <f t="shared" si="65"/>
        <v>0.15384615384615385</v>
      </c>
      <c r="AE234" s="17">
        <v>19</v>
      </c>
      <c r="AF234" s="36">
        <f t="shared" si="76"/>
        <v>0.21590909090909091</v>
      </c>
      <c r="AG234" s="17">
        <v>42</v>
      </c>
      <c r="AH234" s="36">
        <f t="shared" si="66"/>
        <v>0.10096153846153846</v>
      </c>
      <c r="AI234" s="17">
        <v>6</v>
      </c>
      <c r="AJ234" s="36">
        <f t="shared" si="77"/>
        <v>6.8181818181818177E-2</v>
      </c>
      <c r="AK234" s="17">
        <v>10</v>
      </c>
      <c r="AL234" s="36">
        <f t="shared" si="67"/>
        <v>2.403846153846154E-2</v>
      </c>
      <c r="AM234" s="17">
        <v>1</v>
      </c>
      <c r="AN234" s="36">
        <f t="shared" si="78"/>
        <v>1.1363636363636364E-2</v>
      </c>
      <c r="AO234" s="17">
        <v>416</v>
      </c>
      <c r="AP234" s="17">
        <v>88</v>
      </c>
    </row>
    <row r="235" spans="1:42" ht="15.75" customHeight="1" x14ac:dyDescent="0.25">
      <c r="A235" s="37">
        <v>2023</v>
      </c>
      <c r="B235" s="35">
        <v>171650</v>
      </c>
      <c r="C235" s="33" t="str">
        <f>VLOOKUP(B235,procv!$A$2:$D$142,4,FALSE)</f>
        <v>Cerrado Tocantins Araguaia</v>
      </c>
      <c r="D235" s="33" t="s">
        <v>99</v>
      </c>
      <c r="E235" s="17">
        <v>23</v>
      </c>
      <c r="F235" s="36">
        <f t="shared" si="68"/>
        <v>1.7267267267267267E-2</v>
      </c>
      <c r="G235" s="17">
        <v>6</v>
      </c>
      <c r="H235" s="36">
        <f t="shared" si="69"/>
        <v>4.5112781954887216E-2</v>
      </c>
      <c r="I235" s="17">
        <v>67</v>
      </c>
      <c r="J235" s="36">
        <f t="shared" si="70"/>
        <v>5.0300300300300298E-2</v>
      </c>
      <c r="K235" s="17">
        <v>3</v>
      </c>
      <c r="L235" s="36">
        <f t="shared" si="71"/>
        <v>2.2556390977443608E-2</v>
      </c>
      <c r="M235" s="16">
        <v>1242</v>
      </c>
      <c r="N235" s="36">
        <f t="shared" si="61"/>
        <v>0.93243243243243246</v>
      </c>
      <c r="O235" s="17">
        <v>124</v>
      </c>
      <c r="P235" s="36">
        <f t="shared" si="72"/>
        <v>0.93233082706766912</v>
      </c>
      <c r="Q235" s="17">
        <v>11</v>
      </c>
      <c r="R235" s="36">
        <f t="shared" si="62"/>
        <v>8.2582582582582578E-3</v>
      </c>
      <c r="S235" s="17">
        <v>1</v>
      </c>
      <c r="T235" s="36">
        <f t="shared" si="73"/>
        <v>7.5187969924812026E-3</v>
      </c>
      <c r="U235" s="17">
        <v>38</v>
      </c>
      <c r="V235" s="36">
        <f t="shared" si="63"/>
        <v>2.8528528528528527E-2</v>
      </c>
      <c r="W235" s="17">
        <v>6</v>
      </c>
      <c r="X235" s="36">
        <f t="shared" si="74"/>
        <v>4.5112781954887216E-2</v>
      </c>
      <c r="Y235" s="17">
        <v>917</v>
      </c>
      <c r="Z235" s="36">
        <f t="shared" si="64"/>
        <v>0.68843843843843844</v>
      </c>
      <c r="AA235" s="17">
        <v>96</v>
      </c>
      <c r="AB235" s="36">
        <f t="shared" si="75"/>
        <v>0.72180451127819545</v>
      </c>
      <c r="AC235" s="17">
        <v>227</v>
      </c>
      <c r="AD235" s="36">
        <f t="shared" si="65"/>
        <v>0.17042042042042041</v>
      </c>
      <c r="AE235" s="17">
        <v>17</v>
      </c>
      <c r="AF235" s="36">
        <f t="shared" si="76"/>
        <v>0.12781954887218044</v>
      </c>
      <c r="AG235" s="17">
        <v>120</v>
      </c>
      <c r="AH235" s="36">
        <f t="shared" si="66"/>
        <v>9.0090090090090086E-2</v>
      </c>
      <c r="AI235" s="17">
        <v>12</v>
      </c>
      <c r="AJ235" s="36">
        <f t="shared" si="77"/>
        <v>9.0225563909774431E-2</v>
      </c>
      <c r="AK235" s="17">
        <v>19</v>
      </c>
      <c r="AL235" s="36">
        <f t="shared" si="67"/>
        <v>1.4264264264264264E-2</v>
      </c>
      <c r="AM235" s="17">
        <v>1</v>
      </c>
      <c r="AN235" s="36">
        <f t="shared" si="78"/>
        <v>7.5187969924812026E-3</v>
      </c>
      <c r="AO235" s="16">
        <v>1332</v>
      </c>
      <c r="AP235" s="17">
        <v>133</v>
      </c>
    </row>
    <row r="236" spans="1:42" ht="15.75" customHeight="1" x14ac:dyDescent="0.25">
      <c r="A236" s="37">
        <v>2023</v>
      </c>
      <c r="B236" s="35">
        <v>171660</v>
      </c>
      <c r="C236" s="33" t="str">
        <f>VLOOKUP(B236,procv!$A$2:$D$142,4,FALSE)</f>
        <v>Ilha do Bananal</v>
      </c>
      <c r="D236" s="33" t="s">
        <v>100</v>
      </c>
      <c r="E236" s="17">
        <v>8</v>
      </c>
      <c r="F236" s="36">
        <f t="shared" si="68"/>
        <v>1.2759170653907496E-2</v>
      </c>
      <c r="G236" s="17">
        <v>1</v>
      </c>
      <c r="H236" s="36">
        <f t="shared" si="69"/>
        <v>1.0638297872340425E-2</v>
      </c>
      <c r="I236" s="17">
        <v>30</v>
      </c>
      <c r="J236" s="36">
        <f t="shared" si="70"/>
        <v>4.784688995215311E-2</v>
      </c>
      <c r="K236" s="17">
        <v>3</v>
      </c>
      <c r="L236" s="36">
        <f t="shared" si="71"/>
        <v>3.1914893617021274E-2</v>
      </c>
      <c r="M236" s="17">
        <v>589</v>
      </c>
      <c r="N236" s="36">
        <f t="shared" si="61"/>
        <v>0.93939393939393945</v>
      </c>
      <c r="O236" s="17">
        <v>90</v>
      </c>
      <c r="P236" s="36">
        <f t="shared" si="72"/>
        <v>0.95744680851063835</v>
      </c>
      <c r="Q236" s="17">
        <v>4</v>
      </c>
      <c r="R236" s="36">
        <f t="shared" si="62"/>
        <v>6.379585326953748E-3</v>
      </c>
      <c r="S236" s="17">
        <v>0</v>
      </c>
      <c r="T236" s="36">
        <f t="shared" si="73"/>
        <v>0</v>
      </c>
      <c r="U236" s="17">
        <v>7</v>
      </c>
      <c r="V236" s="36">
        <f t="shared" si="63"/>
        <v>1.1164274322169059E-2</v>
      </c>
      <c r="W236" s="17">
        <v>1</v>
      </c>
      <c r="X236" s="36">
        <f t="shared" si="74"/>
        <v>1.0638297872340425E-2</v>
      </c>
      <c r="Y236" s="17">
        <v>431</v>
      </c>
      <c r="Z236" s="36">
        <f t="shared" si="64"/>
        <v>0.68740031897926634</v>
      </c>
      <c r="AA236" s="17">
        <v>68</v>
      </c>
      <c r="AB236" s="36">
        <f t="shared" si="75"/>
        <v>0.72340425531914898</v>
      </c>
      <c r="AC236" s="17">
        <v>104</v>
      </c>
      <c r="AD236" s="36">
        <f t="shared" si="65"/>
        <v>0.16586921850079744</v>
      </c>
      <c r="AE236" s="17">
        <v>15</v>
      </c>
      <c r="AF236" s="36">
        <f t="shared" si="76"/>
        <v>0.15957446808510639</v>
      </c>
      <c r="AG236" s="17">
        <v>64</v>
      </c>
      <c r="AH236" s="36">
        <f t="shared" si="66"/>
        <v>0.10207336523125997</v>
      </c>
      <c r="AI236" s="17">
        <v>8</v>
      </c>
      <c r="AJ236" s="36">
        <f t="shared" si="77"/>
        <v>8.5106382978723402E-2</v>
      </c>
      <c r="AK236" s="17">
        <v>17</v>
      </c>
      <c r="AL236" s="36">
        <f t="shared" si="67"/>
        <v>2.7113237639553429E-2</v>
      </c>
      <c r="AM236" s="17">
        <v>2</v>
      </c>
      <c r="AN236" s="36">
        <f t="shared" si="78"/>
        <v>2.1276595744680851E-2</v>
      </c>
      <c r="AO236" s="17">
        <v>627</v>
      </c>
      <c r="AP236" s="17">
        <v>94</v>
      </c>
    </row>
    <row r="237" spans="1:42" ht="15.75" customHeight="1" x14ac:dyDescent="0.25">
      <c r="A237" s="37">
        <v>2023</v>
      </c>
      <c r="B237" s="35">
        <v>171665</v>
      </c>
      <c r="C237" s="33" t="str">
        <f>VLOOKUP(B237,procv!$A$2:$D$142,4,FALSE)</f>
        <v>Cerrado Tocantins Araguaia</v>
      </c>
      <c r="D237" s="33" t="s">
        <v>101</v>
      </c>
      <c r="E237" s="17">
        <v>6</v>
      </c>
      <c r="F237" s="36">
        <f t="shared" si="68"/>
        <v>1.1764705882352941E-2</v>
      </c>
      <c r="G237" s="17">
        <v>3</v>
      </c>
      <c r="H237" s="36">
        <f t="shared" si="69"/>
        <v>3.7499999999999999E-2</v>
      </c>
      <c r="I237" s="17">
        <v>16</v>
      </c>
      <c r="J237" s="36">
        <f t="shared" si="70"/>
        <v>3.1372549019607843E-2</v>
      </c>
      <c r="K237" s="17">
        <v>2</v>
      </c>
      <c r="L237" s="36">
        <f t="shared" si="71"/>
        <v>2.5000000000000001E-2</v>
      </c>
      <c r="M237" s="17">
        <v>488</v>
      </c>
      <c r="N237" s="36">
        <f t="shared" si="61"/>
        <v>0.95686274509803926</v>
      </c>
      <c r="O237" s="17">
        <v>75</v>
      </c>
      <c r="P237" s="36">
        <f t="shared" si="72"/>
        <v>0.9375</v>
      </c>
      <c r="Q237" s="17">
        <v>4</v>
      </c>
      <c r="R237" s="36">
        <f t="shared" si="62"/>
        <v>7.8431372549019607E-3</v>
      </c>
      <c r="S237" s="17">
        <v>2</v>
      </c>
      <c r="T237" s="36">
        <f t="shared" si="73"/>
        <v>2.5000000000000001E-2</v>
      </c>
      <c r="U237" s="17">
        <v>19</v>
      </c>
      <c r="V237" s="36">
        <f t="shared" si="63"/>
        <v>3.7254901960784313E-2</v>
      </c>
      <c r="W237" s="17">
        <v>0</v>
      </c>
      <c r="X237" s="36">
        <f t="shared" si="74"/>
        <v>0</v>
      </c>
      <c r="Y237" s="17">
        <v>336</v>
      </c>
      <c r="Z237" s="36">
        <f t="shared" si="64"/>
        <v>0.6588235294117647</v>
      </c>
      <c r="AA237" s="17">
        <v>55</v>
      </c>
      <c r="AB237" s="36">
        <f t="shared" si="75"/>
        <v>0.6875</v>
      </c>
      <c r="AC237" s="17">
        <v>106</v>
      </c>
      <c r="AD237" s="36">
        <f t="shared" si="65"/>
        <v>0.20784313725490197</v>
      </c>
      <c r="AE237" s="17">
        <v>18</v>
      </c>
      <c r="AF237" s="36">
        <f t="shared" si="76"/>
        <v>0.22500000000000001</v>
      </c>
      <c r="AG237" s="17">
        <v>38</v>
      </c>
      <c r="AH237" s="36">
        <f t="shared" si="66"/>
        <v>7.4509803921568626E-2</v>
      </c>
      <c r="AI237" s="17">
        <v>5</v>
      </c>
      <c r="AJ237" s="36">
        <f t="shared" si="77"/>
        <v>6.25E-2</v>
      </c>
      <c r="AK237" s="17">
        <v>7</v>
      </c>
      <c r="AL237" s="36">
        <f t="shared" si="67"/>
        <v>1.3725490196078431E-2</v>
      </c>
      <c r="AM237" s="17">
        <v>0</v>
      </c>
      <c r="AN237" s="36">
        <f t="shared" si="78"/>
        <v>0</v>
      </c>
      <c r="AO237" s="17">
        <v>510</v>
      </c>
      <c r="AP237" s="17">
        <v>80</v>
      </c>
    </row>
    <row r="238" spans="1:42" ht="15.75" customHeight="1" x14ac:dyDescent="0.25">
      <c r="A238" s="37">
        <v>2023</v>
      </c>
      <c r="B238" s="35">
        <v>171700</v>
      </c>
      <c r="C238" s="33" t="str">
        <f>VLOOKUP(B238,procv!$A$2:$D$142,4,FALSE)</f>
        <v>Amor Perfeito</v>
      </c>
      <c r="D238" s="33" t="s">
        <v>102</v>
      </c>
      <c r="E238" s="17">
        <v>6</v>
      </c>
      <c r="F238" s="36">
        <f t="shared" si="68"/>
        <v>1.2170385395537525E-2</v>
      </c>
      <c r="G238" s="17">
        <v>0</v>
      </c>
      <c r="H238" s="36">
        <f t="shared" si="69"/>
        <v>0</v>
      </c>
      <c r="I238" s="17">
        <v>18</v>
      </c>
      <c r="J238" s="36">
        <f t="shared" si="70"/>
        <v>3.6511156186612576E-2</v>
      </c>
      <c r="K238" s="17">
        <v>4</v>
      </c>
      <c r="L238" s="36">
        <f t="shared" si="71"/>
        <v>5.5555555555555552E-2</v>
      </c>
      <c r="M238" s="17">
        <v>469</v>
      </c>
      <c r="N238" s="36">
        <f t="shared" si="61"/>
        <v>0.9513184584178499</v>
      </c>
      <c r="O238" s="17">
        <v>68</v>
      </c>
      <c r="P238" s="36">
        <f t="shared" si="72"/>
        <v>0.94444444444444442</v>
      </c>
      <c r="Q238" s="17">
        <v>4</v>
      </c>
      <c r="R238" s="36">
        <f t="shared" si="62"/>
        <v>8.1135902636916835E-3</v>
      </c>
      <c r="S238" s="17">
        <v>0</v>
      </c>
      <c r="T238" s="36">
        <f t="shared" si="73"/>
        <v>0</v>
      </c>
      <c r="U238" s="17">
        <v>18</v>
      </c>
      <c r="V238" s="36">
        <f t="shared" si="63"/>
        <v>3.6511156186612576E-2</v>
      </c>
      <c r="W238" s="17">
        <v>4</v>
      </c>
      <c r="X238" s="36">
        <f t="shared" si="74"/>
        <v>5.5555555555555552E-2</v>
      </c>
      <c r="Y238" s="17">
        <v>341</v>
      </c>
      <c r="Z238" s="36">
        <f t="shared" si="64"/>
        <v>0.69168356997971603</v>
      </c>
      <c r="AA238" s="17">
        <v>43</v>
      </c>
      <c r="AB238" s="36">
        <f t="shared" si="75"/>
        <v>0.59722222222222221</v>
      </c>
      <c r="AC238" s="17">
        <v>82</v>
      </c>
      <c r="AD238" s="36">
        <f t="shared" si="65"/>
        <v>0.16632860040567951</v>
      </c>
      <c r="AE238" s="17">
        <v>18</v>
      </c>
      <c r="AF238" s="36">
        <f t="shared" si="76"/>
        <v>0.25</v>
      </c>
      <c r="AG238" s="17">
        <v>41</v>
      </c>
      <c r="AH238" s="36">
        <f t="shared" si="66"/>
        <v>8.3164300202839755E-2</v>
      </c>
      <c r="AI238" s="17">
        <v>7</v>
      </c>
      <c r="AJ238" s="36">
        <f t="shared" si="77"/>
        <v>9.7222222222222224E-2</v>
      </c>
      <c r="AK238" s="17">
        <v>7</v>
      </c>
      <c r="AL238" s="36">
        <f t="shared" si="67"/>
        <v>1.4198782961460446E-2</v>
      </c>
      <c r="AM238" s="17">
        <v>0</v>
      </c>
      <c r="AN238" s="36">
        <f t="shared" si="78"/>
        <v>0</v>
      </c>
      <c r="AO238" s="17">
        <v>493</v>
      </c>
      <c r="AP238" s="17">
        <v>72</v>
      </c>
    </row>
    <row r="239" spans="1:42" ht="15.75" customHeight="1" x14ac:dyDescent="0.25">
      <c r="A239" s="37">
        <v>2023</v>
      </c>
      <c r="B239" s="35">
        <v>171720</v>
      </c>
      <c r="C239" s="33" t="str">
        <f>VLOOKUP(B239,procv!$A$2:$D$142,4,FALSE)</f>
        <v>Médio Norte Araguaia</v>
      </c>
      <c r="D239" s="33" t="s">
        <v>103</v>
      </c>
      <c r="E239" s="17">
        <v>3</v>
      </c>
      <c r="F239" s="36">
        <f t="shared" si="68"/>
        <v>1.3274336283185841E-2</v>
      </c>
      <c r="G239" s="17">
        <v>1</v>
      </c>
      <c r="H239" s="36">
        <f t="shared" si="69"/>
        <v>5.2631578947368418E-2</v>
      </c>
      <c r="I239" s="17">
        <v>11</v>
      </c>
      <c r="J239" s="36">
        <f t="shared" si="70"/>
        <v>4.8672566371681415E-2</v>
      </c>
      <c r="K239" s="17">
        <v>0</v>
      </c>
      <c r="L239" s="36">
        <f t="shared" si="71"/>
        <v>0</v>
      </c>
      <c r="M239" s="17">
        <v>212</v>
      </c>
      <c r="N239" s="36">
        <f t="shared" si="61"/>
        <v>0.93805309734513276</v>
      </c>
      <c r="O239" s="17">
        <v>18</v>
      </c>
      <c r="P239" s="36">
        <f t="shared" si="72"/>
        <v>0.94736842105263153</v>
      </c>
      <c r="Q239" s="17">
        <v>5</v>
      </c>
      <c r="R239" s="36">
        <f t="shared" si="62"/>
        <v>2.2123893805309734E-2</v>
      </c>
      <c r="S239" s="17">
        <v>2</v>
      </c>
      <c r="T239" s="36">
        <f t="shared" si="73"/>
        <v>0.10526315789473684</v>
      </c>
      <c r="U239" s="17">
        <v>8</v>
      </c>
      <c r="V239" s="36">
        <f t="shared" si="63"/>
        <v>3.5398230088495575E-2</v>
      </c>
      <c r="W239" s="17">
        <v>1</v>
      </c>
      <c r="X239" s="36">
        <f t="shared" si="74"/>
        <v>5.2631578947368418E-2</v>
      </c>
      <c r="Y239" s="17">
        <v>158</v>
      </c>
      <c r="Z239" s="36">
        <f t="shared" si="64"/>
        <v>0.69911504424778759</v>
      </c>
      <c r="AA239" s="17">
        <v>14</v>
      </c>
      <c r="AB239" s="36">
        <f t="shared" si="75"/>
        <v>0.73684210526315785</v>
      </c>
      <c r="AC239" s="17">
        <v>39</v>
      </c>
      <c r="AD239" s="36">
        <f t="shared" si="65"/>
        <v>0.17256637168141592</v>
      </c>
      <c r="AE239" s="17">
        <v>1</v>
      </c>
      <c r="AF239" s="36">
        <f t="shared" si="76"/>
        <v>5.2631578947368418E-2</v>
      </c>
      <c r="AG239" s="17">
        <v>16</v>
      </c>
      <c r="AH239" s="36">
        <f t="shared" si="66"/>
        <v>7.0796460176991149E-2</v>
      </c>
      <c r="AI239" s="17">
        <v>2</v>
      </c>
      <c r="AJ239" s="36">
        <f t="shared" si="77"/>
        <v>0.10526315789473684</v>
      </c>
      <c r="AK239" s="17">
        <v>1</v>
      </c>
      <c r="AL239" s="36">
        <f t="shared" si="67"/>
        <v>4.4247787610619468E-3</v>
      </c>
      <c r="AM239" s="17">
        <v>0</v>
      </c>
      <c r="AN239" s="36">
        <f t="shared" si="78"/>
        <v>0</v>
      </c>
      <c r="AO239" s="17">
        <v>226</v>
      </c>
      <c r="AP239" s="17">
        <v>19</v>
      </c>
    </row>
    <row r="240" spans="1:42" ht="15.75" customHeight="1" x14ac:dyDescent="0.25">
      <c r="A240" s="37">
        <v>2023</v>
      </c>
      <c r="B240" s="35">
        <v>171750</v>
      </c>
      <c r="C240" s="33" t="str">
        <f>VLOOKUP(B240,procv!$A$2:$D$142,4,FALSE)</f>
        <v>Cantão</v>
      </c>
      <c r="D240" s="33" t="s">
        <v>104</v>
      </c>
      <c r="E240" s="17">
        <v>3</v>
      </c>
      <c r="F240" s="36">
        <f t="shared" si="68"/>
        <v>4.261363636363636E-3</v>
      </c>
      <c r="G240" s="17">
        <v>0</v>
      </c>
      <c r="H240" s="36">
        <f t="shared" si="69"/>
        <v>0</v>
      </c>
      <c r="I240" s="17">
        <v>29</v>
      </c>
      <c r="J240" s="36">
        <f t="shared" si="70"/>
        <v>4.1193181818181816E-2</v>
      </c>
      <c r="K240" s="17">
        <v>10</v>
      </c>
      <c r="L240" s="36">
        <f t="shared" si="71"/>
        <v>7.1428571428571425E-2</v>
      </c>
      <c r="M240" s="17">
        <v>672</v>
      </c>
      <c r="N240" s="36">
        <f t="shared" si="61"/>
        <v>0.95454545454545459</v>
      </c>
      <c r="O240" s="17">
        <v>130</v>
      </c>
      <c r="P240" s="36">
        <f t="shared" si="72"/>
        <v>0.9285714285714286</v>
      </c>
      <c r="Q240" s="17">
        <v>5</v>
      </c>
      <c r="R240" s="36">
        <f t="shared" si="62"/>
        <v>7.102272727272727E-3</v>
      </c>
      <c r="S240" s="17">
        <v>0</v>
      </c>
      <c r="T240" s="36">
        <f t="shared" si="73"/>
        <v>0</v>
      </c>
      <c r="U240" s="17">
        <v>26</v>
      </c>
      <c r="V240" s="36">
        <f t="shared" si="63"/>
        <v>3.6931818181818184E-2</v>
      </c>
      <c r="W240" s="17">
        <v>1</v>
      </c>
      <c r="X240" s="36">
        <f t="shared" si="74"/>
        <v>7.1428571428571426E-3</v>
      </c>
      <c r="Y240" s="17">
        <v>472</v>
      </c>
      <c r="Z240" s="36">
        <f t="shared" si="64"/>
        <v>0.67045454545454541</v>
      </c>
      <c r="AA240" s="17">
        <v>96</v>
      </c>
      <c r="AB240" s="36">
        <f t="shared" si="75"/>
        <v>0.68571428571428572</v>
      </c>
      <c r="AC240" s="17">
        <v>136</v>
      </c>
      <c r="AD240" s="36">
        <f t="shared" si="65"/>
        <v>0.19318181818181818</v>
      </c>
      <c r="AE240" s="17">
        <v>31</v>
      </c>
      <c r="AF240" s="36">
        <f t="shared" si="76"/>
        <v>0.22142857142857142</v>
      </c>
      <c r="AG240" s="17">
        <v>57</v>
      </c>
      <c r="AH240" s="36">
        <f t="shared" si="66"/>
        <v>8.0965909090909088E-2</v>
      </c>
      <c r="AI240" s="17">
        <v>10</v>
      </c>
      <c r="AJ240" s="36">
        <f t="shared" si="77"/>
        <v>7.1428571428571425E-2</v>
      </c>
      <c r="AK240" s="17">
        <v>8</v>
      </c>
      <c r="AL240" s="36">
        <f t="shared" si="67"/>
        <v>1.1363636363636364E-2</v>
      </c>
      <c r="AM240" s="17">
        <v>2</v>
      </c>
      <c r="AN240" s="36">
        <f t="shared" si="78"/>
        <v>1.4285714285714285E-2</v>
      </c>
      <c r="AO240" s="17">
        <v>704</v>
      </c>
      <c r="AP240" s="17">
        <v>140</v>
      </c>
    </row>
    <row r="241" spans="1:42" ht="15.75" customHeight="1" x14ac:dyDescent="0.25">
      <c r="A241" s="37">
        <v>2023</v>
      </c>
      <c r="B241" s="35">
        <v>171780</v>
      </c>
      <c r="C241" s="33" t="str">
        <f>VLOOKUP(B241,procv!$A$2:$D$142,4,FALSE)</f>
        <v>Sudeste</v>
      </c>
      <c r="D241" s="33" t="s">
        <v>105</v>
      </c>
      <c r="E241" s="17">
        <v>2</v>
      </c>
      <c r="F241" s="36">
        <f t="shared" si="68"/>
        <v>6.3291139240506328E-3</v>
      </c>
      <c r="G241" s="17">
        <v>0</v>
      </c>
      <c r="H241" s="36">
        <f t="shared" si="69"/>
        <v>0</v>
      </c>
      <c r="I241" s="17">
        <v>13</v>
      </c>
      <c r="J241" s="36">
        <f t="shared" si="70"/>
        <v>4.1139240506329111E-2</v>
      </c>
      <c r="K241" s="17">
        <v>3</v>
      </c>
      <c r="L241" s="36">
        <f t="shared" si="71"/>
        <v>3.5294117647058823E-2</v>
      </c>
      <c r="M241" s="17">
        <v>301</v>
      </c>
      <c r="N241" s="36">
        <f t="shared" si="61"/>
        <v>0.95253164556962022</v>
      </c>
      <c r="O241" s="17">
        <v>82</v>
      </c>
      <c r="P241" s="36">
        <f t="shared" si="72"/>
        <v>0.96470588235294119</v>
      </c>
      <c r="Q241" s="17">
        <v>10</v>
      </c>
      <c r="R241" s="36">
        <f t="shared" si="62"/>
        <v>3.1645569620253167E-2</v>
      </c>
      <c r="S241" s="17">
        <v>3</v>
      </c>
      <c r="T241" s="36">
        <f t="shared" si="73"/>
        <v>3.5294117647058823E-2</v>
      </c>
      <c r="U241" s="17">
        <v>8</v>
      </c>
      <c r="V241" s="36">
        <f t="shared" si="63"/>
        <v>2.5316455696202531E-2</v>
      </c>
      <c r="W241" s="17">
        <v>2</v>
      </c>
      <c r="X241" s="36">
        <f t="shared" si="74"/>
        <v>2.3529411764705882E-2</v>
      </c>
      <c r="Y241" s="17">
        <v>237</v>
      </c>
      <c r="Z241" s="36">
        <f t="shared" si="64"/>
        <v>0.75</v>
      </c>
      <c r="AA241" s="17">
        <v>59</v>
      </c>
      <c r="AB241" s="36">
        <f t="shared" si="75"/>
        <v>0.69411764705882351</v>
      </c>
      <c r="AC241" s="17">
        <v>44</v>
      </c>
      <c r="AD241" s="36">
        <f t="shared" si="65"/>
        <v>0.13924050632911392</v>
      </c>
      <c r="AE241" s="17">
        <v>10</v>
      </c>
      <c r="AF241" s="36">
        <f t="shared" si="76"/>
        <v>0.11764705882352941</v>
      </c>
      <c r="AG241" s="17">
        <v>16</v>
      </c>
      <c r="AH241" s="36">
        <f t="shared" si="66"/>
        <v>5.0632911392405063E-2</v>
      </c>
      <c r="AI241" s="17">
        <v>11</v>
      </c>
      <c r="AJ241" s="36">
        <f t="shared" si="77"/>
        <v>0.12941176470588237</v>
      </c>
      <c r="AK241" s="17">
        <v>1</v>
      </c>
      <c r="AL241" s="36">
        <f t="shared" si="67"/>
        <v>3.1645569620253164E-3</v>
      </c>
      <c r="AM241" s="17">
        <v>0</v>
      </c>
      <c r="AN241" s="36">
        <f t="shared" si="78"/>
        <v>0</v>
      </c>
      <c r="AO241" s="17">
        <v>316</v>
      </c>
      <c r="AP241" s="17">
        <v>85</v>
      </c>
    </row>
    <row r="242" spans="1:42" ht="15.75" customHeight="1" x14ac:dyDescent="0.25">
      <c r="A242" s="37">
        <v>2023</v>
      </c>
      <c r="B242" s="35">
        <v>171790</v>
      </c>
      <c r="C242" s="33" t="str">
        <f>VLOOKUP(B242,procv!$A$2:$D$142,4,FALSE)</f>
        <v>Amor Perfeito</v>
      </c>
      <c r="D242" s="33" t="s">
        <v>106</v>
      </c>
      <c r="E242" s="17">
        <v>8</v>
      </c>
      <c r="F242" s="36">
        <f t="shared" si="68"/>
        <v>1.5533980582524271E-2</v>
      </c>
      <c r="G242" s="17">
        <v>4</v>
      </c>
      <c r="H242" s="36">
        <f t="shared" si="69"/>
        <v>1.7621145374449341E-2</v>
      </c>
      <c r="I242" s="17">
        <v>39</v>
      </c>
      <c r="J242" s="36">
        <f t="shared" si="70"/>
        <v>7.5728155339805828E-2</v>
      </c>
      <c r="K242" s="17">
        <v>14</v>
      </c>
      <c r="L242" s="36">
        <f t="shared" si="71"/>
        <v>6.1674008810572688E-2</v>
      </c>
      <c r="M242" s="17">
        <v>468</v>
      </c>
      <c r="N242" s="36">
        <f t="shared" si="61"/>
        <v>0.90873786407766988</v>
      </c>
      <c r="O242" s="17">
        <v>209</v>
      </c>
      <c r="P242" s="36">
        <f t="shared" si="72"/>
        <v>0.92070484581497802</v>
      </c>
      <c r="Q242" s="17">
        <v>11</v>
      </c>
      <c r="R242" s="36">
        <f t="shared" si="62"/>
        <v>2.1359223300970873E-2</v>
      </c>
      <c r="S242" s="17">
        <v>6</v>
      </c>
      <c r="T242" s="36">
        <f t="shared" si="73"/>
        <v>2.643171806167401E-2</v>
      </c>
      <c r="U242" s="17">
        <v>19</v>
      </c>
      <c r="V242" s="36">
        <f t="shared" si="63"/>
        <v>3.6893203883495145E-2</v>
      </c>
      <c r="W242" s="17">
        <v>6</v>
      </c>
      <c r="X242" s="36">
        <f t="shared" si="74"/>
        <v>2.643171806167401E-2</v>
      </c>
      <c r="Y242" s="17">
        <v>349</v>
      </c>
      <c r="Z242" s="36">
        <f t="shared" si="64"/>
        <v>0.67766990291262141</v>
      </c>
      <c r="AA242" s="17">
        <v>153</v>
      </c>
      <c r="AB242" s="36">
        <f t="shared" si="75"/>
        <v>0.67400881057268724</v>
      </c>
      <c r="AC242" s="17">
        <v>86</v>
      </c>
      <c r="AD242" s="36">
        <f t="shared" si="65"/>
        <v>0.16699029126213591</v>
      </c>
      <c r="AE242" s="17">
        <v>37</v>
      </c>
      <c r="AF242" s="36">
        <f t="shared" si="76"/>
        <v>0.16299559471365638</v>
      </c>
      <c r="AG242" s="17">
        <v>42</v>
      </c>
      <c r="AH242" s="36">
        <f t="shared" si="66"/>
        <v>8.155339805825243E-2</v>
      </c>
      <c r="AI242" s="17">
        <v>23</v>
      </c>
      <c r="AJ242" s="36">
        <f t="shared" si="77"/>
        <v>0.1013215859030837</v>
      </c>
      <c r="AK242" s="17">
        <v>8</v>
      </c>
      <c r="AL242" s="36">
        <f t="shared" si="67"/>
        <v>1.5533980582524271E-2</v>
      </c>
      <c r="AM242" s="17">
        <v>2</v>
      </c>
      <c r="AN242" s="36">
        <f t="shared" si="78"/>
        <v>8.8105726872246704E-3</v>
      </c>
      <c r="AO242" s="17">
        <v>515</v>
      </c>
      <c r="AP242" s="17">
        <v>227</v>
      </c>
    </row>
    <row r="243" spans="1:42" ht="15.75" customHeight="1" x14ac:dyDescent="0.25">
      <c r="A243" s="37">
        <v>2023</v>
      </c>
      <c r="B243" s="35">
        <v>171800</v>
      </c>
      <c r="C243" s="33" t="str">
        <f>VLOOKUP(B243,procv!$A$2:$D$142,4,FALSE)</f>
        <v>Sudeste</v>
      </c>
      <c r="D243" s="33" t="s">
        <v>107</v>
      </c>
      <c r="E243" s="17">
        <v>2</v>
      </c>
      <c r="F243" s="36">
        <f t="shared" si="68"/>
        <v>8.4745762711864406E-3</v>
      </c>
      <c r="G243" s="17">
        <v>1</v>
      </c>
      <c r="H243" s="36">
        <f t="shared" si="69"/>
        <v>1.4705882352941176E-2</v>
      </c>
      <c r="I243" s="17">
        <v>10</v>
      </c>
      <c r="J243" s="36">
        <f t="shared" si="70"/>
        <v>4.2372881355932202E-2</v>
      </c>
      <c r="K243" s="17">
        <v>3</v>
      </c>
      <c r="L243" s="36">
        <f t="shared" si="71"/>
        <v>4.4117647058823532E-2</v>
      </c>
      <c r="M243" s="17">
        <v>224</v>
      </c>
      <c r="N243" s="36">
        <f t="shared" si="61"/>
        <v>0.94915254237288138</v>
      </c>
      <c r="O243" s="17">
        <v>64</v>
      </c>
      <c r="P243" s="36">
        <f t="shared" si="72"/>
        <v>0.94117647058823528</v>
      </c>
      <c r="Q243" s="17">
        <v>3</v>
      </c>
      <c r="R243" s="36">
        <f t="shared" si="62"/>
        <v>1.2711864406779662E-2</v>
      </c>
      <c r="S243" s="17">
        <v>1</v>
      </c>
      <c r="T243" s="36">
        <f t="shared" si="73"/>
        <v>1.4705882352941176E-2</v>
      </c>
      <c r="U243" s="17">
        <v>12</v>
      </c>
      <c r="V243" s="36">
        <f t="shared" si="63"/>
        <v>5.0847457627118647E-2</v>
      </c>
      <c r="W243" s="17">
        <v>3</v>
      </c>
      <c r="X243" s="36">
        <f t="shared" si="74"/>
        <v>4.4117647058823532E-2</v>
      </c>
      <c r="Y243" s="17">
        <v>162</v>
      </c>
      <c r="Z243" s="36">
        <f t="shared" si="64"/>
        <v>0.68644067796610164</v>
      </c>
      <c r="AA243" s="17">
        <v>46</v>
      </c>
      <c r="AB243" s="36">
        <f t="shared" si="75"/>
        <v>0.67647058823529416</v>
      </c>
      <c r="AC243" s="17">
        <v>40</v>
      </c>
      <c r="AD243" s="36">
        <f t="shared" si="65"/>
        <v>0.16949152542372881</v>
      </c>
      <c r="AE243" s="17">
        <v>12</v>
      </c>
      <c r="AF243" s="36">
        <f t="shared" si="76"/>
        <v>0.17647058823529413</v>
      </c>
      <c r="AG243" s="17">
        <v>15</v>
      </c>
      <c r="AH243" s="36">
        <f t="shared" si="66"/>
        <v>6.3559322033898302E-2</v>
      </c>
      <c r="AI243" s="17">
        <v>4</v>
      </c>
      <c r="AJ243" s="36">
        <f t="shared" si="77"/>
        <v>5.8823529411764705E-2</v>
      </c>
      <c r="AK243" s="17">
        <v>4</v>
      </c>
      <c r="AL243" s="36">
        <f t="shared" si="67"/>
        <v>1.6949152542372881E-2</v>
      </c>
      <c r="AM243" s="17">
        <v>2</v>
      </c>
      <c r="AN243" s="36">
        <f t="shared" si="78"/>
        <v>2.9411764705882353E-2</v>
      </c>
      <c r="AO243" s="17">
        <v>236</v>
      </c>
      <c r="AP243" s="17">
        <v>68</v>
      </c>
    </row>
    <row r="244" spans="1:42" ht="15.75" customHeight="1" x14ac:dyDescent="0.25">
      <c r="A244" s="37">
        <v>2023</v>
      </c>
      <c r="B244" s="35">
        <v>171820</v>
      </c>
      <c r="C244" s="33" t="str">
        <f>VLOOKUP(B244,procv!$A$2:$D$142,4,FALSE)</f>
        <v>Amor Perfeito</v>
      </c>
      <c r="D244" s="33" t="s">
        <v>108</v>
      </c>
      <c r="E244" s="17">
        <v>34</v>
      </c>
      <c r="F244" s="36">
        <f t="shared" si="68"/>
        <v>7.1070234113712371E-3</v>
      </c>
      <c r="G244" s="17">
        <v>15</v>
      </c>
      <c r="H244" s="36">
        <f t="shared" si="69"/>
        <v>1.7361111111111112E-2</v>
      </c>
      <c r="I244" s="17">
        <v>145</v>
      </c>
      <c r="J244" s="36">
        <f t="shared" si="70"/>
        <v>3.0309364548494984E-2</v>
      </c>
      <c r="K244" s="17">
        <v>31</v>
      </c>
      <c r="L244" s="36">
        <f t="shared" si="71"/>
        <v>3.5879629629629629E-2</v>
      </c>
      <c r="M244" s="16">
        <v>4605</v>
      </c>
      <c r="N244" s="36">
        <f t="shared" si="61"/>
        <v>0.96258361204013376</v>
      </c>
      <c r="O244" s="17">
        <v>818</v>
      </c>
      <c r="P244" s="36">
        <f t="shared" si="72"/>
        <v>0.9467592592592593</v>
      </c>
      <c r="Q244" s="17">
        <v>45</v>
      </c>
      <c r="R244" s="36">
        <f t="shared" si="62"/>
        <v>9.4063545150501679E-3</v>
      </c>
      <c r="S244" s="17">
        <v>14</v>
      </c>
      <c r="T244" s="36">
        <f t="shared" si="73"/>
        <v>1.6203703703703703E-2</v>
      </c>
      <c r="U244" s="17">
        <v>182</v>
      </c>
      <c r="V244" s="36">
        <f t="shared" si="63"/>
        <v>3.8043478260869568E-2</v>
      </c>
      <c r="W244" s="17">
        <v>36</v>
      </c>
      <c r="X244" s="36">
        <f t="shared" si="74"/>
        <v>4.1666666666666664E-2</v>
      </c>
      <c r="Y244" s="16">
        <v>3256</v>
      </c>
      <c r="Z244" s="36">
        <f t="shared" si="64"/>
        <v>0.6806020066889632</v>
      </c>
      <c r="AA244" s="17">
        <v>597</v>
      </c>
      <c r="AB244" s="36">
        <f t="shared" si="75"/>
        <v>0.69097222222222221</v>
      </c>
      <c r="AC244" s="17">
        <v>799</v>
      </c>
      <c r="AD244" s="36">
        <f t="shared" si="65"/>
        <v>0.16701505016722409</v>
      </c>
      <c r="AE244" s="17">
        <v>139</v>
      </c>
      <c r="AF244" s="36">
        <f t="shared" si="76"/>
        <v>0.16087962962962962</v>
      </c>
      <c r="AG244" s="17">
        <v>401</v>
      </c>
      <c r="AH244" s="36">
        <f t="shared" si="66"/>
        <v>8.3821070234113712E-2</v>
      </c>
      <c r="AI244" s="17">
        <v>65</v>
      </c>
      <c r="AJ244" s="36">
        <f t="shared" si="77"/>
        <v>7.5231481481481483E-2</v>
      </c>
      <c r="AK244" s="17">
        <v>101</v>
      </c>
      <c r="AL244" s="36">
        <f t="shared" si="67"/>
        <v>2.1112040133779264E-2</v>
      </c>
      <c r="AM244" s="17">
        <v>13</v>
      </c>
      <c r="AN244" s="36">
        <f t="shared" si="78"/>
        <v>1.5046296296296295E-2</v>
      </c>
      <c r="AO244" s="16">
        <v>4784</v>
      </c>
      <c r="AP244" s="17">
        <v>864</v>
      </c>
    </row>
    <row r="245" spans="1:42" ht="15.75" customHeight="1" x14ac:dyDescent="0.25">
      <c r="A245" s="37">
        <v>2023</v>
      </c>
      <c r="B245" s="35">
        <v>171830</v>
      </c>
      <c r="C245" s="33" t="str">
        <f>VLOOKUP(B245,procv!$A$2:$D$142,4,FALSE)</f>
        <v>Bico do Papagaio</v>
      </c>
      <c r="D245" s="33" t="s">
        <v>109</v>
      </c>
      <c r="E245" s="17">
        <v>11</v>
      </c>
      <c r="F245" s="36">
        <f t="shared" si="68"/>
        <v>1.5536723163841809E-2</v>
      </c>
      <c r="G245" s="17">
        <v>5</v>
      </c>
      <c r="H245" s="36">
        <f t="shared" si="69"/>
        <v>2.2026431718061675E-2</v>
      </c>
      <c r="I245" s="17">
        <v>41</v>
      </c>
      <c r="J245" s="36">
        <f t="shared" si="70"/>
        <v>5.7909604519774012E-2</v>
      </c>
      <c r="K245" s="17">
        <v>8</v>
      </c>
      <c r="L245" s="36">
        <f t="shared" si="71"/>
        <v>3.5242290748898682E-2</v>
      </c>
      <c r="M245" s="17">
        <v>656</v>
      </c>
      <c r="N245" s="36">
        <f t="shared" si="61"/>
        <v>0.92655367231638419</v>
      </c>
      <c r="O245" s="17">
        <v>214</v>
      </c>
      <c r="P245" s="36">
        <f t="shared" si="72"/>
        <v>0.94273127753303965</v>
      </c>
      <c r="Q245" s="17">
        <v>10</v>
      </c>
      <c r="R245" s="36">
        <f t="shared" si="62"/>
        <v>1.4124293785310734E-2</v>
      </c>
      <c r="S245" s="17">
        <v>4</v>
      </c>
      <c r="T245" s="36">
        <f t="shared" si="73"/>
        <v>1.7621145374449341E-2</v>
      </c>
      <c r="U245" s="17">
        <v>31</v>
      </c>
      <c r="V245" s="36">
        <f t="shared" si="63"/>
        <v>4.3785310734463276E-2</v>
      </c>
      <c r="W245" s="17">
        <v>7</v>
      </c>
      <c r="X245" s="36">
        <f t="shared" si="74"/>
        <v>3.0837004405286344E-2</v>
      </c>
      <c r="Y245" s="17">
        <v>517</v>
      </c>
      <c r="Z245" s="36">
        <f t="shared" si="64"/>
        <v>0.73022598870056499</v>
      </c>
      <c r="AA245" s="17">
        <v>177</v>
      </c>
      <c r="AB245" s="36">
        <f t="shared" si="75"/>
        <v>0.77973568281938321</v>
      </c>
      <c r="AC245" s="17">
        <v>89</v>
      </c>
      <c r="AD245" s="36">
        <f t="shared" si="65"/>
        <v>0.12570621468926554</v>
      </c>
      <c r="AE245" s="17">
        <v>28</v>
      </c>
      <c r="AF245" s="36">
        <f t="shared" si="76"/>
        <v>0.12334801762114538</v>
      </c>
      <c r="AG245" s="17">
        <v>49</v>
      </c>
      <c r="AH245" s="36">
        <f t="shared" si="66"/>
        <v>6.9209039548022599E-2</v>
      </c>
      <c r="AI245" s="17">
        <v>6</v>
      </c>
      <c r="AJ245" s="36">
        <f t="shared" si="77"/>
        <v>2.643171806167401E-2</v>
      </c>
      <c r="AK245" s="17">
        <v>12</v>
      </c>
      <c r="AL245" s="36">
        <f t="shared" si="67"/>
        <v>1.6949152542372881E-2</v>
      </c>
      <c r="AM245" s="17">
        <v>5</v>
      </c>
      <c r="AN245" s="36">
        <f t="shared" si="78"/>
        <v>2.2026431718061675E-2</v>
      </c>
      <c r="AO245" s="17">
        <v>708</v>
      </c>
      <c r="AP245" s="17">
        <v>227</v>
      </c>
    </row>
    <row r="246" spans="1:42" ht="15.75" customHeight="1" x14ac:dyDescent="0.25">
      <c r="A246" s="37">
        <v>2023</v>
      </c>
      <c r="B246" s="35">
        <v>171840</v>
      </c>
      <c r="C246" s="33" t="str">
        <f>VLOOKUP(B246,procv!$A$2:$D$142,4,FALSE)</f>
        <v>Cerrado Tocantins Araguaia</v>
      </c>
      <c r="D246" s="33" t="s">
        <v>110</v>
      </c>
      <c r="E246" s="17">
        <v>1</v>
      </c>
      <c r="F246" s="36">
        <f t="shared" si="68"/>
        <v>4.2735042735042739E-3</v>
      </c>
      <c r="G246" s="17">
        <v>0</v>
      </c>
      <c r="H246" s="36">
        <f t="shared" si="69"/>
        <v>0</v>
      </c>
      <c r="I246" s="17">
        <v>9</v>
      </c>
      <c r="J246" s="36">
        <f t="shared" si="70"/>
        <v>3.8461538461538464E-2</v>
      </c>
      <c r="K246" s="17">
        <v>1</v>
      </c>
      <c r="L246" s="36">
        <f t="shared" si="71"/>
        <v>3.125E-2</v>
      </c>
      <c r="M246" s="17">
        <v>224</v>
      </c>
      <c r="N246" s="36">
        <f t="shared" si="61"/>
        <v>0.95726495726495731</v>
      </c>
      <c r="O246" s="17">
        <v>31</v>
      </c>
      <c r="P246" s="36">
        <f t="shared" si="72"/>
        <v>0.96875</v>
      </c>
      <c r="Q246" s="17">
        <v>2</v>
      </c>
      <c r="R246" s="36">
        <f t="shared" si="62"/>
        <v>8.5470085470085479E-3</v>
      </c>
      <c r="S246" s="17">
        <v>0</v>
      </c>
      <c r="T246" s="36">
        <f t="shared" si="73"/>
        <v>0</v>
      </c>
      <c r="U246" s="17">
        <v>8</v>
      </c>
      <c r="V246" s="36">
        <f t="shared" si="63"/>
        <v>3.4188034188034191E-2</v>
      </c>
      <c r="W246" s="17">
        <v>1</v>
      </c>
      <c r="X246" s="36">
        <f t="shared" si="74"/>
        <v>3.125E-2</v>
      </c>
      <c r="Y246" s="17">
        <v>160</v>
      </c>
      <c r="Z246" s="36">
        <f t="shared" si="64"/>
        <v>0.68376068376068377</v>
      </c>
      <c r="AA246" s="17">
        <v>24</v>
      </c>
      <c r="AB246" s="36">
        <f t="shared" si="75"/>
        <v>0.75</v>
      </c>
      <c r="AC246" s="17">
        <v>35</v>
      </c>
      <c r="AD246" s="36">
        <f t="shared" si="65"/>
        <v>0.14957264957264957</v>
      </c>
      <c r="AE246" s="17">
        <v>3</v>
      </c>
      <c r="AF246" s="36">
        <f t="shared" si="76"/>
        <v>9.375E-2</v>
      </c>
      <c r="AG246" s="17">
        <v>27</v>
      </c>
      <c r="AH246" s="36">
        <f t="shared" si="66"/>
        <v>0.11538461538461539</v>
      </c>
      <c r="AI246" s="17">
        <v>4</v>
      </c>
      <c r="AJ246" s="36">
        <f t="shared" si="77"/>
        <v>0.125</v>
      </c>
      <c r="AK246" s="17">
        <v>2</v>
      </c>
      <c r="AL246" s="36">
        <f t="shared" si="67"/>
        <v>8.5470085470085479E-3</v>
      </c>
      <c r="AM246" s="17">
        <v>0</v>
      </c>
      <c r="AN246" s="36">
        <f t="shared" si="78"/>
        <v>0</v>
      </c>
      <c r="AO246" s="17">
        <v>234</v>
      </c>
      <c r="AP246" s="17">
        <v>32</v>
      </c>
    </row>
    <row r="247" spans="1:42" ht="15.75" customHeight="1" x14ac:dyDescent="0.25">
      <c r="A247" s="37">
        <v>2023</v>
      </c>
      <c r="B247" s="35">
        <v>171845</v>
      </c>
      <c r="C247" s="33" t="str">
        <f>VLOOKUP(B247,procv!$A$2:$D$142,4,FALSE)</f>
        <v>Cantão</v>
      </c>
      <c r="D247" s="33" t="s">
        <v>111</v>
      </c>
      <c r="E247" s="17">
        <v>3</v>
      </c>
      <c r="F247" s="36">
        <f t="shared" si="68"/>
        <v>9.3457943925233638E-3</v>
      </c>
      <c r="G247" s="17">
        <v>1</v>
      </c>
      <c r="H247" s="36">
        <f t="shared" si="69"/>
        <v>1.7543859649122806E-2</v>
      </c>
      <c r="I247" s="17">
        <v>7</v>
      </c>
      <c r="J247" s="36">
        <f t="shared" si="70"/>
        <v>2.1806853582554516E-2</v>
      </c>
      <c r="K247" s="17">
        <v>0</v>
      </c>
      <c r="L247" s="36">
        <f t="shared" si="71"/>
        <v>0</v>
      </c>
      <c r="M247" s="17">
        <v>311</v>
      </c>
      <c r="N247" s="36">
        <f t="shared" si="61"/>
        <v>0.96884735202492211</v>
      </c>
      <c r="O247" s="17">
        <v>56</v>
      </c>
      <c r="P247" s="36">
        <f t="shared" si="72"/>
        <v>0.98245614035087714</v>
      </c>
      <c r="Q247" s="17">
        <v>4</v>
      </c>
      <c r="R247" s="36">
        <f t="shared" si="62"/>
        <v>1.2461059190031152E-2</v>
      </c>
      <c r="S247" s="17">
        <v>0</v>
      </c>
      <c r="T247" s="36">
        <f t="shared" si="73"/>
        <v>0</v>
      </c>
      <c r="U247" s="17">
        <v>7</v>
      </c>
      <c r="V247" s="36">
        <f t="shared" si="63"/>
        <v>2.1806853582554516E-2</v>
      </c>
      <c r="W247" s="17">
        <v>1</v>
      </c>
      <c r="X247" s="36">
        <f t="shared" si="74"/>
        <v>1.7543859649122806E-2</v>
      </c>
      <c r="Y247" s="17">
        <v>210</v>
      </c>
      <c r="Z247" s="36">
        <f t="shared" si="64"/>
        <v>0.65420560747663548</v>
      </c>
      <c r="AA247" s="17">
        <v>33</v>
      </c>
      <c r="AB247" s="36">
        <f t="shared" si="75"/>
        <v>0.57894736842105265</v>
      </c>
      <c r="AC247" s="17">
        <v>61</v>
      </c>
      <c r="AD247" s="36">
        <f t="shared" si="65"/>
        <v>0.19003115264797507</v>
      </c>
      <c r="AE247" s="17">
        <v>15</v>
      </c>
      <c r="AF247" s="36">
        <f t="shared" si="76"/>
        <v>0.26315789473684209</v>
      </c>
      <c r="AG247" s="17">
        <v>31</v>
      </c>
      <c r="AH247" s="36">
        <f t="shared" si="66"/>
        <v>9.657320872274143E-2</v>
      </c>
      <c r="AI247" s="17">
        <v>7</v>
      </c>
      <c r="AJ247" s="36">
        <f t="shared" si="77"/>
        <v>0.12280701754385964</v>
      </c>
      <c r="AK247" s="17">
        <v>8</v>
      </c>
      <c r="AL247" s="36">
        <f t="shared" si="67"/>
        <v>2.4922118380062305E-2</v>
      </c>
      <c r="AM247" s="17">
        <v>1</v>
      </c>
      <c r="AN247" s="36">
        <f t="shared" si="78"/>
        <v>1.7543859649122806E-2</v>
      </c>
      <c r="AO247" s="17">
        <v>321</v>
      </c>
      <c r="AP247" s="17">
        <v>57</v>
      </c>
    </row>
    <row r="248" spans="1:42" ht="15.75" customHeight="1" x14ac:dyDescent="0.25">
      <c r="A248" s="37">
        <v>2023</v>
      </c>
      <c r="B248" s="35">
        <v>171850</v>
      </c>
      <c r="C248" s="33" t="str">
        <f>VLOOKUP(B248,procv!$A$2:$D$142,4,FALSE)</f>
        <v>Cerrado Tocantins Araguaia</v>
      </c>
      <c r="D248" s="33" t="s">
        <v>112</v>
      </c>
      <c r="E248" s="17">
        <v>3</v>
      </c>
      <c r="F248" s="36">
        <f t="shared" si="68"/>
        <v>6.4794816414686825E-3</v>
      </c>
      <c r="G248" s="17">
        <v>0</v>
      </c>
      <c r="H248" s="36">
        <f t="shared" si="69"/>
        <v>0</v>
      </c>
      <c r="I248" s="17">
        <v>19</v>
      </c>
      <c r="J248" s="36">
        <f t="shared" si="70"/>
        <v>4.1036717062634988E-2</v>
      </c>
      <c r="K248" s="17">
        <v>3</v>
      </c>
      <c r="L248" s="36">
        <f t="shared" si="71"/>
        <v>0.05</v>
      </c>
      <c r="M248" s="17">
        <v>441</v>
      </c>
      <c r="N248" s="36">
        <f t="shared" si="61"/>
        <v>0.95248380129589638</v>
      </c>
      <c r="O248" s="17">
        <v>57</v>
      </c>
      <c r="P248" s="36">
        <f t="shared" si="72"/>
        <v>0.95</v>
      </c>
      <c r="Q248" s="17">
        <v>6</v>
      </c>
      <c r="R248" s="36">
        <f t="shared" si="62"/>
        <v>1.2958963282937365E-2</v>
      </c>
      <c r="S248" s="17">
        <v>0</v>
      </c>
      <c r="T248" s="36">
        <f t="shared" si="73"/>
        <v>0</v>
      </c>
      <c r="U248" s="17">
        <v>22</v>
      </c>
      <c r="V248" s="36">
        <f t="shared" si="63"/>
        <v>4.7516198704103674E-2</v>
      </c>
      <c r="W248" s="17">
        <v>3</v>
      </c>
      <c r="X248" s="36">
        <f t="shared" si="74"/>
        <v>0.05</v>
      </c>
      <c r="Y248" s="17">
        <v>347</v>
      </c>
      <c r="Z248" s="36">
        <f t="shared" si="64"/>
        <v>0.74946004319654425</v>
      </c>
      <c r="AA248" s="17">
        <v>44</v>
      </c>
      <c r="AB248" s="36">
        <f t="shared" si="75"/>
        <v>0.73333333333333328</v>
      </c>
      <c r="AC248" s="17">
        <v>60</v>
      </c>
      <c r="AD248" s="36">
        <f t="shared" si="65"/>
        <v>0.12958963282937366</v>
      </c>
      <c r="AE248" s="17">
        <v>11</v>
      </c>
      <c r="AF248" s="36">
        <f t="shared" si="76"/>
        <v>0.18333333333333332</v>
      </c>
      <c r="AG248" s="17">
        <v>23</v>
      </c>
      <c r="AH248" s="36">
        <f t="shared" si="66"/>
        <v>4.9676025917926567E-2</v>
      </c>
      <c r="AI248" s="17">
        <v>2</v>
      </c>
      <c r="AJ248" s="36">
        <f t="shared" si="77"/>
        <v>3.3333333333333333E-2</v>
      </c>
      <c r="AK248" s="17">
        <v>5</v>
      </c>
      <c r="AL248" s="36">
        <f t="shared" si="67"/>
        <v>1.079913606911447E-2</v>
      </c>
      <c r="AM248" s="17">
        <v>0</v>
      </c>
      <c r="AN248" s="36">
        <f t="shared" si="78"/>
        <v>0</v>
      </c>
      <c r="AO248" s="17">
        <v>463</v>
      </c>
      <c r="AP248" s="17">
        <v>60</v>
      </c>
    </row>
    <row r="249" spans="1:42" ht="15.75" customHeight="1" x14ac:dyDescent="0.25">
      <c r="A249" s="37">
        <v>2023</v>
      </c>
      <c r="B249" s="35">
        <v>171855</v>
      </c>
      <c r="C249" s="33" t="str">
        <f>VLOOKUP(B249,procv!$A$2:$D$142,4,FALSE)</f>
        <v>Bico do Papagaio</v>
      </c>
      <c r="D249" s="33" t="s">
        <v>113</v>
      </c>
      <c r="E249" s="17">
        <v>4</v>
      </c>
      <c r="F249" s="36">
        <f t="shared" si="68"/>
        <v>8.7912087912087912E-3</v>
      </c>
      <c r="G249" s="17">
        <v>3</v>
      </c>
      <c r="H249" s="36">
        <f t="shared" si="69"/>
        <v>2.9702970297029702E-2</v>
      </c>
      <c r="I249" s="17">
        <v>19</v>
      </c>
      <c r="J249" s="36">
        <f t="shared" si="70"/>
        <v>4.1758241758241756E-2</v>
      </c>
      <c r="K249" s="17">
        <v>3</v>
      </c>
      <c r="L249" s="36">
        <f t="shared" si="71"/>
        <v>2.9702970297029702E-2</v>
      </c>
      <c r="M249" s="17">
        <v>432</v>
      </c>
      <c r="N249" s="36">
        <f t="shared" si="61"/>
        <v>0.94945054945054941</v>
      </c>
      <c r="O249" s="17">
        <v>95</v>
      </c>
      <c r="P249" s="36">
        <f t="shared" si="72"/>
        <v>0.94059405940594054</v>
      </c>
      <c r="Q249" s="17">
        <v>5</v>
      </c>
      <c r="R249" s="36">
        <f t="shared" si="62"/>
        <v>1.098901098901099E-2</v>
      </c>
      <c r="S249" s="17">
        <v>4</v>
      </c>
      <c r="T249" s="36">
        <f t="shared" si="73"/>
        <v>3.9603960396039604E-2</v>
      </c>
      <c r="U249" s="17">
        <v>27</v>
      </c>
      <c r="V249" s="36">
        <f t="shared" si="63"/>
        <v>5.9340659340659338E-2</v>
      </c>
      <c r="W249" s="17">
        <v>4</v>
      </c>
      <c r="X249" s="36">
        <f t="shared" si="74"/>
        <v>3.9603960396039604E-2</v>
      </c>
      <c r="Y249" s="17">
        <v>319</v>
      </c>
      <c r="Z249" s="36">
        <f t="shared" si="64"/>
        <v>0.70109890109890105</v>
      </c>
      <c r="AA249" s="17">
        <v>75</v>
      </c>
      <c r="AB249" s="36">
        <f t="shared" si="75"/>
        <v>0.74257425742574257</v>
      </c>
      <c r="AC249" s="17">
        <v>77</v>
      </c>
      <c r="AD249" s="36">
        <f t="shared" si="65"/>
        <v>0.16923076923076924</v>
      </c>
      <c r="AE249" s="17">
        <v>14</v>
      </c>
      <c r="AF249" s="36">
        <f t="shared" si="76"/>
        <v>0.13861386138613863</v>
      </c>
      <c r="AG249" s="17">
        <v>19</v>
      </c>
      <c r="AH249" s="36">
        <f t="shared" si="66"/>
        <v>4.1758241758241756E-2</v>
      </c>
      <c r="AI249" s="17">
        <v>3</v>
      </c>
      <c r="AJ249" s="36">
        <f t="shared" si="77"/>
        <v>2.9702970297029702E-2</v>
      </c>
      <c r="AK249" s="17">
        <v>8</v>
      </c>
      <c r="AL249" s="36">
        <f t="shared" si="67"/>
        <v>1.7582417582417582E-2</v>
      </c>
      <c r="AM249" s="17">
        <v>1</v>
      </c>
      <c r="AN249" s="36">
        <f t="shared" si="78"/>
        <v>9.9009900990099011E-3</v>
      </c>
      <c r="AO249" s="17">
        <v>455</v>
      </c>
      <c r="AP249" s="17">
        <v>101</v>
      </c>
    </row>
    <row r="250" spans="1:42" ht="15.75" customHeight="1" x14ac:dyDescent="0.25">
      <c r="A250" s="37">
        <v>2023</v>
      </c>
      <c r="B250" s="35">
        <v>171865</v>
      </c>
      <c r="C250" s="33" t="str">
        <f>VLOOKUP(B250,procv!$A$2:$D$142,4,FALSE)</f>
        <v>Sudeste</v>
      </c>
      <c r="D250" s="33" t="s">
        <v>114</v>
      </c>
      <c r="E250" s="17">
        <v>4</v>
      </c>
      <c r="F250" s="36">
        <f t="shared" si="68"/>
        <v>2.0618556701030927E-2</v>
      </c>
      <c r="G250" s="17">
        <v>0</v>
      </c>
      <c r="H250" s="36">
        <f t="shared" si="69"/>
        <v>0</v>
      </c>
      <c r="I250" s="17">
        <v>3</v>
      </c>
      <c r="J250" s="36">
        <f t="shared" si="70"/>
        <v>1.5463917525773196E-2</v>
      </c>
      <c r="K250" s="17">
        <v>1</v>
      </c>
      <c r="L250" s="36">
        <f t="shared" si="71"/>
        <v>2.6315789473684209E-2</v>
      </c>
      <c r="M250" s="17">
        <v>187</v>
      </c>
      <c r="N250" s="36">
        <f t="shared" si="61"/>
        <v>0.96391752577319589</v>
      </c>
      <c r="O250" s="17">
        <v>37</v>
      </c>
      <c r="P250" s="36">
        <f t="shared" si="72"/>
        <v>0.97368421052631582</v>
      </c>
      <c r="Q250" s="17">
        <v>4</v>
      </c>
      <c r="R250" s="36">
        <f t="shared" si="62"/>
        <v>2.0618556701030927E-2</v>
      </c>
      <c r="S250" s="17">
        <v>2</v>
      </c>
      <c r="T250" s="36">
        <f t="shared" si="73"/>
        <v>5.2631578947368418E-2</v>
      </c>
      <c r="U250" s="17">
        <v>2</v>
      </c>
      <c r="V250" s="36">
        <f t="shared" si="63"/>
        <v>1.0309278350515464E-2</v>
      </c>
      <c r="W250" s="17">
        <v>1</v>
      </c>
      <c r="X250" s="36">
        <f t="shared" si="74"/>
        <v>2.6315789473684209E-2</v>
      </c>
      <c r="Y250" s="17">
        <v>140</v>
      </c>
      <c r="Z250" s="36">
        <f t="shared" si="64"/>
        <v>0.72164948453608246</v>
      </c>
      <c r="AA250" s="17">
        <v>28</v>
      </c>
      <c r="AB250" s="36">
        <f t="shared" si="75"/>
        <v>0.73684210526315785</v>
      </c>
      <c r="AC250" s="17">
        <v>29</v>
      </c>
      <c r="AD250" s="36">
        <f t="shared" si="65"/>
        <v>0.14948453608247422</v>
      </c>
      <c r="AE250" s="17">
        <v>4</v>
      </c>
      <c r="AF250" s="36">
        <f t="shared" si="76"/>
        <v>0.10526315789473684</v>
      </c>
      <c r="AG250" s="17">
        <v>18</v>
      </c>
      <c r="AH250" s="36">
        <f t="shared" si="66"/>
        <v>9.2783505154639179E-2</v>
      </c>
      <c r="AI250" s="17">
        <v>2</v>
      </c>
      <c r="AJ250" s="36">
        <f t="shared" si="77"/>
        <v>5.2631578947368418E-2</v>
      </c>
      <c r="AK250" s="17">
        <v>1</v>
      </c>
      <c r="AL250" s="36">
        <f t="shared" si="67"/>
        <v>5.1546391752577319E-3</v>
      </c>
      <c r="AM250" s="17">
        <v>1</v>
      </c>
      <c r="AN250" s="36">
        <f t="shared" si="78"/>
        <v>2.6315789473684209E-2</v>
      </c>
      <c r="AO250" s="17">
        <v>194</v>
      </c>
      <c r="AP250" s="17">
        <v>38</v>
      </c>
    </row>
    <row r="251" spans="1:42" ht="15.75" customHeight="1" x14ac:dyDescent="0.25">
      <c r="A251" s="37">
        <v>2023</v>
      </c>
      <c r="B251" s="35">
        <v>171870</v>
      </c>
      <c r="C251" s="33" t="str">
        <f>VLOOKUP(B251,procv!$A$2:$D$142,4,FALSE)</f>
        <v>Capim Dourado</v>
      </c>
      <c r="D251" s="33" t="s">
        <v>115</v>
      </c>
      <c r="E251" s="17">
        <v>1</v>
      </c>
      <c r="F251" s="36">
        <f t="shared" si="68"/>
        <v>4.5662100456621002E-3</v>
      </c>
      <c r="G251" s="17">
        <v>2</v>
      </c>
      <c r="H251" s="36">
        <f t="shared" si="69"/>
        <v>3.125E-2</v>
      </c>
      <c r="I251" s="17">
        <v>12</v>
      </c>
      <c r="J251" s="36">
        <f t="shared" si="70"/>
        <v>5.4794520547945202E-2</v>
      </c>
      <c r="K251" s="17">
        <v>4</v>
      </c>
      <c r="L251" s="36">
        <f t="shared" si="71"/>
        <v>6.25E-2</v>
      </c>
      <c r="M251" s="17">
        <v>206</v>
      </c>
      <c r="N251" s="36">
        <f t="shared" si="61"/>
        <v>0.94063926940639264</v>
      </c>
      <c r="O251" s="17">
        <v>58</v>
      </c>
      <c r="P251" s="36">
        <f t="shared" si="72"/>
        <v>0.90625</v>
      </c>
      <c r="Q251" s="17">
        <v>3</v>
      </c>
      <c r="R251" s="36">
        <f t="shared" si="62"/>
        <v>1.3698630136986301E-2</v>
      </c>
      <c r="S251" s="17">
        <v>2</v>
      </c>
      <c r="T251" s="36">
        <f t="shared" si="73"/>
        <v>3.125E-2</v>
      </c>
      <c r="U251" s="17">
        <v>6</v>
      </c>
      <c r="V251" s="36">
        <f t="shared" si="63"/>
        <v>2.7397260273972601E-2</v>
      </c>
      <c r="W251" s="17">
        <v>4</v>
      </c>
      <c r="X251" s="36">
        <f t="shared" si="74"/>
        <v>6.25E-2</v>
      </c>
      <c r="Y251" s="17">
        <v>147</v>
      </c>
      <c r="Z251" s="36">
        <f t="shared" si="64"/>
        <v>0.67123287671232879</v>
      </c>
      <c r="AA251" s="17">
        <v>39</v>
      </c>
      <c r="AB251" s="36">
        <f t="shared" si="75"/>
        <v>0.609375</v>
      </c>
      <c r="AC251" s="17">
        <v>41</v>
      </c>
      <c r="AD251" s="36">
        <f t="shared" si="65"/>
        <v>0.18721461187214611</v>
      </c>
      <c r="AE251" s="17">
        <v>10</v>
      </c>
      <c r="AF251" s="36">
        <f t="shared" si="76"/>
        <v>0.15625</v>
      </c>
      <c r="AG251" s="17">
        <v>19</v>
      </c>
      <c r="AH251" s="36">
        <f t="shared" si="66"/>
        <v>8.6757990867579904E-2</v>
      </c>
      <c r="AI251" s="17">
        <v>8</v>
      </c>
      <c r="AJ251" s="36">
        <f t="shared" si="77"/>
        <v>0.125</v>
      </c>
      <c r="AK251" s="17">
        <v>3</v>
      </c>
      <c r="AL251" s="36">
        <f t="shared" si="67"/>
        <v>1.3698630136986301E-2</v>
      </c>
      <c r="AM251" s="17">
        <v>1</v>
      </c>
      <c r="AN251" s="36">
        <f t="shared" si="78"/>
        <v>1.5625E-2</v>
      </c>
      <c r="AO251" s="17">
        <v>219</v>
      </c>
      <c r="AP251" s="17">
        <v>64</v>
      </c>
    </row>
    <row r="252" spans="1:42" ht="15.75" customHeight="1" x14ac:dyDescent="0.25">
      <c r="A252" s="37">
        <v>2023</v>
      </c>
      <c r="B252" s="35">
        <v>171875</v>
      </c>
      <c r="C252" s="33" t="str">
        <f>VLOOKUP(B252,procv!$A$2:$D$142,4,FALSE)</f>
        <v>Capim Dourado</v>
      </c>
      <c r="D252" s="33" t="s">
        <v>116</v>
      </c>
      <c r="E252" s="17">
        <v>9</v>
      </c>
      <c r="F252" s="36">
        <f t="shared" si="68"/>
        <v>1.7013232514177693E-2</v>
      </c>
      <c r="G252" s="17">
        <v>1</v>
      </c>
      <c r="H252" s="36">
        <f t="shared" si="69"/>
        <v>9.5238095238095247E-3</v>
      </c>
      <c r="I252" s="17">
        <v>26</v>
      </c>
      <c r="J252" s="36">
        <f t="shared" si="70"/>
        <v>4.9149338374291113E-2</v>
      </c>
      <c r="K252" s="17">
        <v>2</v>
      </c>
      <c r="L252" s="36">
        <f t="shared" si="71"/>
        <v>1.9047619047619049E-2</v>
      </c>
      <c r="M252" s="17">
        <v>494</v>
      </c>
      <c r="N252" s="36">
        <f t="shared" si="61"/>
        <v>0.93383742911153123</v>
      </c>
      <c r="O252" s="17">
        <v>102</v>
      </c>
      <c r="P252" s="36">
        <f t="shared" si="72"/>
        <v>0.97142857142857142</v>
      </c>
      <c r="Q252" s="17">
        <v>5</v>
      </c>
      <c r="R252" s="36">
        <f t="shared" si="62"/>
        <v>9.4517958412098299E-3</v>
      </c>
      <c r="S252" s="17">
        <v>2</v>
      </c>
      <c r="T252" s="36">
        <f t="shared" si="73"/>
        <v>1.9047619047619049E-2</v>
      </c>
      <c r="U252" s="17">
        <v>23</v>
      </c>
      <c r="V252" s="36">
        <f t="shared" si="63"/>
        <v>4.3478260869565216E-2</v>
      </c>
      <c r="W252" s="17">
        <v>4</v>
      </c>
      <c r="X252" s="36">
        <f t="shared" si="74"/>
        <v>3.8095238095238099E-2</v>
      </c>
      <c r="Y252" s="17">
        <v>370</v>
      </c>
      <c r="Z252" s="36">
        <f t="shared" si="64"/>
        <v>0.69943289224952743</v>
      </c>
      <c r="AA252" s="17">
        <v>75</v>
      </c>
      <c r="AB252" s="36">
        <f t="shared" si="75"/>
        <v>0.7142857142857143</v>
      </c>
      <c r="AC252" s="17">
        <v>95</v>
      </c>
      <c r="AD252" s="36">
        <f t="shared" si="65"/>
        <v>0.17958412098298676</v>
      </c>
      <c r="AE252" s="17">
        <v>20</v>
      </c>
      <c r="AF252" s="36">
        <f t="shared" si="76"/>
        <v>0.19047619047619047</v>
      </c>
      <c r="AG252" s="17">
        <v>30</v>
      </c>
      <c r="AH252" s="36">
        <f t="shared" si="66"/>
        <v>5.6710775047258979E-2</v>
      </c>
      <c r="AI252" s="17">
        <v>3</v>
      </c>
      <c r="AJ252" s="36">
        <f t="shared" si="77"/>
        <v>2.8571428571428571E-2</v>
      </c>
      <c r="AK252" s="17">
        <v>6</v>
      </c>
      <c r="AL252" s="36">
        <f t="shared" si="67"/>
        <v>1.1342155009451797E-2</v>
      </c>
      <c r="AM252" s="17">
        <v>1</v>
      </c>
      <c r="AN252" s="36">
        <f t="shared" si="78"/>
        <v>9.5238095238095247E-3</v>
      </c>
      <c r="AO252" s="17">
        <v>529</v>
      </c>
      <c r="AP252" s="17">
        <v>105</v>
      </c>
    </row>
    <row r="253" spans="1:42" ht="15.75" customHeight="1" x14ac:dyDescent="0.25">
      <c r="A253" s="37">
        <v>2023</v>
      </c>
      <c r="B253" s="35">
        <v>171880</v>
      </c>
      <c r="C253" s="33" t="str">
        <f>VLOOKUP(B253,procv!$A$2:$D$142,4,FALSE)</f>
        <v>Bico do Papagaio</v>
      </c>
      <c r="D253" s="33" t="s">
        <v>117</v>
      </c>
      <c r="E253" s="17">
        <v>5</v>
      </c>
      <c r="F253" s="36">
        <f t="shared" si="68"/>
        <v>8.9285714285714281E-3</v>
      </c>
      <c r="G253" s="17">
        <v>1</v>
      </c>
      <c r="H253" s="36">
        <f t="shared" si="69"/>
        <v>6.1349693251533744E-3</v>
      </c>
      <c r="I253" s="17">
        <v>33</v>
      </c>
      <c r="J253" s="36">
        <f t="shared" si="70"/>
        <v>5.8928571428571427E-2</v>
      </c>
      <c r="K253" s="17">
        <v>11</v>
      </c>
      <c r="L253" s="36">
        <f t="shared" si="71"/>
        <v>6.7484662576687116E-2</v>
      </c>
      <c r="M253" s="17">
        <v>522</v>
      </c>
      <c r="N253" s="36">
        <f t="shared" si="61"/>
        <v>0.93214285714285716</v>
      </c>
      <c r="O253" s="17">
        <v>151</v>
      </c>
      <c r="P253" s="36">
        <f t="shared" si="72"/>
        <v>0.92638036809815949</v>
      </c>
      <c r="Q253" s="17">
        <v>10</v>
      </c>
      <c r="R253" s="36">
        <f t="shared" si="62"/>
        <v>1.7857142857142856E-2</v>
      </c>
      <c r="S253" s="17">
        <v>4</v>
      </c>
      <c r="T253" s="36">
        <f t="shared" si="73"/>
        <v>2.4539877300613498E-2</v>
      </c>
      <c r="U253" s="17">
        <v>24</v>
      </c>
      <c r="V253" s="36">
        <f t="shared" si="63"/>
        <v>4.2857142857142858E-2</v>
      </c>
      <c r="W253" s="17">
        <v>8</v>
      </c>
      <c r="X253" s="36">
        <f t="shared" si="74"/>
        <v>4.9079754601226995E-2</v>
      </c>
      <c r="Y253" s="17">
        <v>405</v>
      </c>
      <c r="Z253" s="36">
        <f t="shared" si="64"/>
        <v>0.7232142857142857</v>
      </c>
      <c r="AA253" s="17">
        <v>114</v>
      </c>
      <c r="AB253" s="36">
        <f t="shared" si="75"/>
        <v>0.69938650306748462</v>
      </c>
      <c r="AC253" s="17">
        <v>70</v>
      </c>
      <c r="AD253" s="36">
        <f t="shared" si="65"/>
        <v>0.125</v>
      </c>
      <c r="AE253" s="17">
        <v>25</v>
      </c>
      <c r="AF253" s="36">
        <f t="shared" si="76"/>
        <v>0.15337423312883436</v>
      </c>
      <c r="AG253" s="17">
        <v>40</v>
      </c>
      <c r="AH253" s="36">
        <f t="shared" si="66"/>
        <v>7.1428571428571425E-2</v>
      </c>
      <c r="AI253" s="17">
        <v>10</v>
      </c>
      <c r="AJ253" s="36">
        <f t="shared" si="77"/>
        <v>6.1349693251533742E-2</v>
      </c>
      <c r="AK253" s="17">
        <v>11</v>
      </c>
      <c r="AL253" s="36">
        <f t="shared" si="67"/>
        <v>1.9642857142857142E-2</v>
      </c>
      <c r="AM253" s="17">
        <v>2</v>
      </c>
      <c r="AN253" s="36">
        <f t="shared" si="78"/>
        <v>1.2269938650306749E-2</v>
      </c>
      <c r="AO253" s="17">
        <v>560</v>
      </c>
      <c r="AP253" s="17">
        <v>163</v>
      </c>
    </row>
    <row r="254" spans="1:42" ht="15.75" customHeight="1" x14ac:dyDescent="0.25">
      <c r="A254" s="37">
        <v>2023</v>
      </c>
      <c r="B254" s="35">
        <v>171884</v>
      </c>
      <c r="C254" s="33" t="str">
        <f>VLOOKUP(B254,procv!$A$2:$D$142,4,FALSE)</f>
        <v>Ilha do Bananal</v>
      </c>
      <c r="D254" s="33" t="s">
        <v>118</v>
      </c>
      <c r="E254" s="17">
        <v>6</v>
      </c>
      <c r="F254" s="36">
        <f t="shared" si="68"/>
        <v>1.4925373134328358E-2</v>
      </c>
      <c r="G254" s="17">
        <v>0</v>
      </c>
      <c r="H254" s="36">
        <f t="shared" si="69"/>
        <v>0</v>
      </c>
      <c r="I254" s="17">
        <v>15</v>
      </c>
      <c r="J254" s="36">
        <f t="shared" si="70"/>
        <v>3.7313432835820892E-2</v>
      </c>
      <c r="K254" s="17">
        <v>1</v>
      </c>
      <c r="L254" s="36">
        <f t="shared" si="71"/>
        <v>9.5238095238095247E-3</v>
      </c>
      <c r="M254" s="17">
        <v>381</v>
      </c>
      <c r="N254" s="36">
        <f t="shared" si="61"/>
        <v>0.94776119402985071</v>
      </c>
      <c r="O254" s="17">
        <v>104</v>
      </c>
      <c r="P254" s="36">
        <f t="shared" si="72"/>
        <v>0.99047619047619051</v>
      </c>
      <c r="Q254" s="17">
        <v>6</v>
      </c>
      <c r="R254" s="36">
        <f t="shared" si="62"/>
        <v>1.4925373134328358E-2</v>
      </c>
      <c r="S254" s="17">
        <v>0</v>
      </c>
      <c r="T254" s="36">
        <f t="shared" si="73"/>
        <v>0</v>
      </c>
      <c r="U254" s="17">
        <v>14</v>
      </c>
      <c r="V254" s="36">
        <f t="shared" si="63"/>
        <v>3.482587064676617E-2</v>
      </c>
      <c r="W254" s="17">
        <v>1</v>
      </c>
      <c r="X254" s="36">
        <f t="shared" si="74"/>
        <v>9.5238095238095247E-3</v>
      </c>
      <c r="Y254" s="17">
        <v>268</v>
      </c>
      <c r="Z254" s="36">
        <f t="shared" si="64"/>
        <v>0.66666666666666663</v>
      </c>
      <c r="AA254" s="17">
        <v>63</v>
      </c>
      <c r="AB254" s="36">
        <f t="shared" si="75"/>
        <v>0.6</v>
      </c>
      <c r="AC254" s="17">
        <v>63</v>
      </c>
      <c r="AD254" s="36">
        <f t="shared" si="65"/>
        <v>0.15671641791044777</v>
      </c>
      <c r="AE254" s="17">
        <v>25</v>
      </c>
      <c r="AF254" s="36">
        <f t="shared" si="76"/>
        <v>0.23809523809523808</v>
      </c>
      <c r="AG254" s="17">
        <v>38</v>
      </c>
      <c r="AH254" s="36">
        <f t="shared" si="66"/>
        <v>9.4527363184079602E-2</v>
      </c>
      <c r="AI254" s="17">
        <v>14</v>
      </c>
      <c r="AJ254" s="36">
        <f t="shared" si="77"/>
        <v>0.13333333333333333</v>
      </c>
      <c r="AK254" s="17">
        <v>13</v>
      </c>
      <c r="AL254" s="36">
        <f t="shared" si="67"/>
        <v>3.2338308457711441E-2</v>
      </c>
      <c r="AM254" s="17">
        <v>2</v>
      </c>
      <c r="AN254" s="36">
        <f t="shared" si="78"/>
        <v>1.9047619047619049E-2</v>
      </c>
      <c r="AO254" s="17">
        <v>402</v>
      </c>
      <c r="AP254" s="17">
        <v>105</v>
      </c>
    </row>
    <row r="255" spans="1:42" ht="15.75" customHeight="1" x14ac:dyDescent="0.25">
      <c r="A255" s="37">
        <v>2023</v>
      </c>
      <c r="B255" s="35">
        <v>171886</v>
      </c>
      <c r="C255" s="33" t="str">
        <f>VLOOKUP(B255,procv!$A$2:$D$142,4,FALSE)</f>
        <v>Médio Norte Araguaia</v>
      </c>
      <c r="D255" s="33" t="s">
        <v>119</v>
      </c>
      <c r="E255" s="17">
        <v>12</v>
      </c>
      <c r="F255" s="36">
        <f t="shared" si="68"/>
        <v>1.9417475728155338E-2</v>
      </c>
      <c r="G255" s="17">
        <v>11</v>
      </c>
      <c r="H255" s="36">
        <f t="shared" si="69"/>
        <v>0.10891089108910891</v>
      </c>
      <c r="I255" s="17">
        <v>28</v>
      </c>
      <c r="J255" s="36">
        <f t="shared" si="70"/>
        <v>4.5307443365695796E-2</v>
      </c>
      <c r="K255" s="17">
        <v>7</v>
      </c>
      <c r="L255" s="36">
        <f t="shared" si="71"/>
        <v>6.9306930693069313E-2</v>
      </c>
      <c r="M255" s="17">
        <v>578</v>
      </c>
      <c r="N255" s="36">
        <f t="shared" si="61"/>
        <v>0.93527508090614886</v>
      </c>
      <c r="O255" s="17">
        <v>83</v>
      </c>
      <c r="P255" s="36">
        <f t="shared" si="72"/>
        <v>0.82178217821782173</v>
      </c>
      <c r="Q255" s="17">
        <v>5</v>
      </c>
      <c r="R255" s="36">
        <f t="shared" si="62"/>
        <v>8.0906148867313909E-3</v>
      </c>
      <c r="S255" s="17">
        <v>2</v>
      </c>
      <c r="T255" s="36">
        <f t="shared" si="73"/>
        <v>1.9801980198019802E-2</v>
      </c>
      <c r="U255" s="17">
        <v>27</v>
      </c>
      <c r="V255" s="36">
        <f t="shared" si="63"/>
        <v>4.3689320388349516E-2</v>
      </c>
      <c r="W255" s="17">
        <v>2</v>
      </c>
      <c r="X255" s="36">
        <f t="shared" si="74"/>
        <v>1.9801980198019802E-2</v>
      </c>
      <c r="Y255" s="17">
        <v>412</v>
      </c>
      <c r="Z255" s="36">
        <f t="shared" si="64"/>
        <v>0.66666666666666663</v>
      </c>
      <c r="AA255" s="17">
        <v>62</v>
      </c>
      <c r="AB255" s="36">
        <f t="shared" si="75"/>
        <v>0.61386138613861385</v>
      </c>
      <c r="AC255" s="17">
        <v>126</v>
      </c>
      <c r="AD255" s="36">
        <f t="shared" si="65"/>
        <v>0.20388349514563106</v>
      </c>
      <c r="AE255" s="17">
        <v>22</v>
      </c>
      <c r="AF255" s="36">
        <f t="shared" si="76"/>
        <v>0.21782178217821782</v>
      </c>
      <c r="AG255" s="17">
        <v>36</v>
      </c>
      <c r="AH255" s="36">
        <f t="shared" si="66"/>
        <v>5.8252427184466021E-2</v>
      </c>
      <c r="AI255" s="17">
        <v>8</v>
      </c>
      <c r="AJ255" s="36">
        <f t="shared" si="77"/>
        <v>7.9207920792079209E-2</v>
      </c>
      <c r="AK255" s="17">
        <v>12</v>
      </c>
      <c r="AL255" s="36">
        <f t="shared" si="67"/>
        <v>1.9417475728155338E-2</v>
      </c>
      <c r="AM255" s="17">
        <v>5</v>
      </c>
      <c r="AN255" s="36">
        <f t="shared" si="78"/>
        <v>4.9504950495049507E-2</v>
      </c>
      <c r="AO255" s="17">
        <v>618</v>
      </c>
      <c r="AP255" s="17">
        <v>101</v>
      </c>
    </row>
    <row r="256" spans="1:42" ht="15.75" customHeight="1" x14ac:dyDescent="0.25">
      <c r="A256" s="37">
        <v>2023</v>
      </c>
      <c r="B256" s="35">
        <v>171888</v>
      </c>
      <c r="C256" s="33" t="str">
        <f>VLOOKUP(B256,procv!$A$2:$D$142,4,FALSE)</f>
        <v>Cerrado Tocantins Araguaia</v>
      </c>
      <c r="D256" s="33" t="s">
        <v>120</v>
      </c>
      <c r="E256" s="17">
        <v>4</v>
      </c>
      <c r="F256" s="36">
        <f t="shared" si="68"/>
        <v>1.3071895424836602E-2</v>
      </c>
      <c r="G256" s="17">
        <v>3</v>
      </c>
      <c r="H256" s="36">
        <f t="shared" si="69"/>
        <v>6.9767441860465115E-2</v>
      </c>
      <c r="I256" s="17">
        <v>24</v>
      </c>
      <c r="J256" s="36">
        <f t="shared" si="70"/>
        <v>7.8431372549019607E-2</v>
      </c>
      <c r="K256" s="17">
        <v>3</v>
      </c>
      <c r="L256" s="36">
        <f t="shared" si="71"/>
        <v>6.9767441860465115E-2</v>
      </c>
      <c r="M256" s="17">
        <v>278</v>
      </c>
      <c r="N256" s="36">
        <f t="shared" ref="N256:N287" si="79">IFERROR(M256/$AO256,0)</f>
        <v>0.90849673202614378</v>
      </c>
      <c r="O256" s="17">
        <v>37</v>
      </c>
      <c r="P256" s="36">
        <f t="shared" si="72"/>
        <v>0.86046511627906974</v>
      </c>
      <c r="Q256" s="17">
        <v>1</v>
      </c>
      <c r="R256" s="36">
        <f t="shared" ref="R256:R287" si="80">IFERROR(Q256/$AO256,0)</f>
        <v>3.2679738562091504E-3</v>
      </c>
      <c r="S256" s="17">
        <v>0</v>
      </c>
      <c r="T256" s="36">
        <f t="shared" si="73"/>
        <v>0</v>
      </c>
      <c r="U256" s="17">
        <v>5</v>
      </c>
      <c r="V256" s="36">
        <f t="shared" ref="V256:V287" si="81">IFERROR(U256/$AO256,0)</f>
        <v>1.6339869281045753E-2</v>
      </c>
      <c r="W256" s="17">
        <v>2</v>
      </c>
      <c r="X256" s="36">
        <f t="shared" si="74"/>
        <v>4.6511627906976744E-2</v>
      </c>
      <c r="Y256" s="17">
        <v>216</v>
      </c>
      <c r="Z256" s="36">
        <f t="shared" ref="Z256:Z287" si="82">IFERROR(Y256/$AO256,0)</f>
        <v>0.70588235294117652</v>
      </c>
      <c r="AA256" s="17">
        <v>28</v>
      </c>
      <c r="AB256" s="36">
        <f t="shared" si="75"/>
        <v>0.65116279069767447</v>
      </c>
      <c r="AC256" s="17">
        <v>57</v>
      </c>
      <c r="AD256" s="36">
        <f t="shared" ref="AD256:AD287" si="83">IFERROR(AC256/$AO256,0)</f>
        <v>0.18627450980392157</v>
      </c>
      <c r="AE256" s="17">
        <v>10</v>
      </c>
      <c r="AF256" s="36">
        <f t="shared" si="76"/>
        <v>0.23255813953488372</v>
      </c>
      <c r="AG256" s="17">
        <v>20</v>
      </c>
      <c r="AH256" s="36">
        <f t="shared" ref="AH256:AH287" si="84">IFERROR(AG256/$AO256,0)</f>
        <v>6.535947712418301E-2</v>
      </c>
      <c r="AI256" s="17">
        <v>2</v>
      </c>
      <c r="AJ256" s="36">
        <f t="shared" si="77"/>
        <v>4.6511627906976744E-2</v>
      </c>
      <c r="AK256" s="17">
        <v>7</v>
      </c>
      <c r="AL256" s="36">
        <f t="shared" ref="AL256:AL287" si="85">IFERROR(AK256/$AO256,0)</f>
        <v>2.2875816993464051E-2</v>
      </c>
      <c r="AM256" s="17">
        <v>1</v>
      </c>
      <c r="AN256" s="36">
        <f t="shared" si="78"/>
        <v>2.3255813953488372E-2</v>
      </c>
      <c r="AO256" s="17">
        <v>306</v>
      </c>
      <c r="AP256" s="17">
        <v>43</v>
      </c>
    </row>
    <row r="257" spans="1:42" ht="15.75" customHeight="1" x14ac:dyDescent="0.25">
      <c r="A257" s="37">
        <v>2023</v>
      </c>
      <c r="B257" s="35">
        <v>171889</v>
      </c>
      <c r="C257" s="33" t="str">
        <f>VLOOKUP(B257,procv!$A$2:$D$142,4,FALSE)</f>
        <v>Ilha do Bananal</v>
      </c>
      <c r="D257" s="33" t="s">
        <v>121</v>
      </c>
      <c r="E257" s="17">
        <v>0</v>
      </c>
      <c r="F257" s="36">
        <f t="shared" si="68"/>
        <v>0</v>
      </c>
      <c r="G257" s="17">
        <v>0</v>
      </c>
      <c r="H257" s="36">
        <f t="shared" si="69"/>
        <v>0</v>
      </c>
      <c r="I257" s="17">
        <v>5</v>
      </c>
      <c r="J257" s="36">
        <f t="shared" si="70"/>
        <v>2.717391304347826E-2</v>
      </c>
      <c r="K257" s="17">
        <v>1</v>
      </c>
      <c r="L257" s="36">
        <f t="shared" si="71"/>
        <v>0.04</v>
      </c>
      <c r="M257" s="17">
        <v>179</v>
      </c>
      <c r="N257" s="36">
        <f t="shared" si="79"/>
        <v>0.97282608695652173</v>
      </c>
      <c r="O257" s="17">
        <v>24</v>
      </c>
      <c r="P257" s="36">
        <f t="shared" si="72"/>
        <v>0.96</v>
      </c>
      <c r="Q257" s="17">
        <v>1</v>
      </c>
      <c r="R257" s="36">
        <f t="shared" si="80"/>
        <v>5.434782608695652E-3</v>
      </c>
      <c r="S257" s="17">
        <v>0</v>
      </c>
      <c r="T257" s="36">
        <f t="shared" si="73"/>
        <v>0</v>
      </c>
      <c r="U257" s="17">
        <v>9</v>
      </c>
      <c r="V257" s="36">
        <f t="shared" si="81"/>
        <v>4.8913043478260872E-2</v>
      </c>
      <c r="W257" s="17">
        <v>0</v>
      </c>
      <c r="X257" s="36">
        <f t="shared" si="74"/>
        <v>0</v>
      </c>
      <c r="Y257" s="17">
        <v>127</v>
      </c>
      <c r="Z257" s="36">
        <f t="shared" si="82"/>
        <v>0.69021739130434778</v>
      </c>
      <c r="AA257" s="17">
        <v>20</v>
      </c>
      <c r="AB257" s="36">
        <f t="shared" si="75"/>
        <v>0.8</v>
      </c>
      <c r="AC257" s="17">
        <v>29</v>
      </c>
      <c r="AD257" s="36">
        <f t="shared" si="83"/>
        <v>0.15760869565217392</v>
      </c>
      <c r="AE257" s="17">
        <v>2</v>
      </c>
      <c r="AF257" s="36">
        <f t="shared" si="76"/>
        <v>0.08</v>
      </c>
      <c r="AG257" s="17">
        <v>16</v>
      </c>
      <c r="AH257" s="36">
        <f t="shared" si="84"/>
        <v>8.6956521739130432E-2</v>
      </c>
      <c r="AI257" s="17">
        <v>3</v>
      </c>
      <c r="AJ257" s="36">
        <f t="shared" si="77"/>
        <v>0.12</v>
      </c>
      <c r="AK257" s="17">
        <v>2</v>
      </c>
      <c r="AL257" s="36">
        <f t="shared" si="85"/>
        <v>1.0869565217391304E-2</v>
      </c>
      <c r="AM257" s="17">
        <v>0</v>
      </c>
      <c r="AN257" s="36">
        <f t="shared" si="78"/>
        <v>0</v>
      </c>
      <c r="AO257" s="17">
        <v>184</v>
      </c>
      <c r="AP257" s="17">
        <v>25</v>
      </c>
    </row>
    <row r="258" spans="1:42" ht="15.75" customHeight="1" x14ac:dyDescent="0.25">
      <c r="A258" s="37">
        <v>2023</v>
      </c>
      <c r="B258" s="35">
        <v>171890</v>
      </c>
      <c r="C258" s="33" t="str">
        <f>VLOOKUP(B258,procv!$A$2:$D$142,4,FALSE)</f>
        <v>Amor Perfeito</v>
      </c>
      <c r="D258" s="33" t="s">
        <v>122</v>
      </c>
      <c r="E258" s="17">
        <v>25</v>
      </c>
      <c r="F258" s="36">
        <f t="shared" ref="F258:F321" si="86">IFERROR(E258/$AO258,0)</f>
        <v>4.780114722753346E-2</v>
      </c>
      <c r="G258" s="17">
        <v>27</v>
      </c>
      <c r="H258" s="36">
        <f t="shared" ref="H258:H321" si="87">IFERROR(G258/$AP258,0)</f>
        <v>0.23893805309734514</v>
      </c>
      <c r="I258" s="17">
        <v>16</v>
      </c>
      <c r="J258" s="36">
        <f t="shared" ref="J258:J321" si="88">IFERROR(I258/$AO258,0)</f>
        <v>3.0592734225621414E-2</v>
      </c>
      <c r="K258" s="17">
        <v>4</v>
      </c>
      <c r="L258" s="36">
        <f t="shared" ref="L258:L321" si="89">IFERROR(K258/$AP258,0)</f>
        <v>3.5398230088495575E-2</v>
      </c>
      <c r="M258" s="17">
        <v>482</v>
      </c>
      <c r="N258" s="36">
        <f t="shared" si="79"/>
        <v>0.92160611854684515</v>
      </c>
      <c r="O258" s="17">
        <v>82</v>
      </c>
      <c r="P258" s="36">
        <f t="shared" ref="P258:P321" si="90">IFERROR(O258/$AP258,0)</f>
        <v>0.72566371681415931</v>
      </c>
      <c r="Q258" s="17">
        <v>6</v>
      </c>
      <c r="R258" s="36">
        <f t="shared" si="80"/>
        <v>1.1472275334608031E-2</v>
      </c>
      <c r="S258" s="17">
        <v>1</v>
      </c>
      <c r="T258" s="36">
        <f t="shared" ref="T258:T321" si="91">IFERROR(S258/$AP258,0)</f>
        <v>8.8495575221238937E-3</v>
      </c>
      <c r="U258" s="17">
        <v>23</v>
      </c>
      <c r="V258" s="36">
        <f t="shared" si="81"/>
        <v>4.3977055449330782E-2</v>
      </c>
      <c r="W258" s="17">
        <v>3</v>
      </c>
      <c r="X258" s="36">
        <f t="shared" ref="X258:X321" si="92">IFERROR(W258/$AP258,0)</f>
        <v>2.6548672566371681E-2</v>
      </c>
      <c r="Y258" s="17">
        <v>362</v>
      </c>
      <c r="Z258" s="36">
        <f t="shared" si="82"/>
        <v>0.69216061185468447</v>
      </c>
      <c r="AA258" s="17">
        <v>61</v>
      </c>
      <c r="AB258" s="36">
        <f t="shared" ref="AB258:AB321" si="93">IFERROR(AA258/$AP258,0)</f>
        <v>0.53982300884955747</v>
      </c>
      <c r="AC258" s="17">
        <v>62</v>
      </c>
      <c r="AD258" s="36">
        <f t="shared" si="83"/>
        <v>0.11854684512428298</v>
      </c>
      <c r="AE258" s="17">
        <v>15</v>
      </c>
      <c r="AF258" s="36">
        <f t="shared" ref="AF258:AF321" si="94">IFERROR(AE258/$AP258,0)</f>
        <v>0.13274336283185842</v>
      </c>
      <c r="AG258" s="17">
        <v>38</v>
      </c>
      <c r="AH258" s="36">
        <f t="shared" si="84"/>
        <v>7.2657743785850867E-2</v>
      </c>
      <c r="AI258" s="17">
        <v>6</v>
      </c>
      <c r="AJ258" s="36">
        <f t="shared" ref="AJ258:AJ321" si="95">IFERROR(AI258/$AP258,0)</f>
        <v>5.3097345132743362E-2</v>
      </c>
      <c r="AK258" s="17">
        <v>32</v>
      </c>
      <c r="AL258" s="36">
        <f t="shared" si="85"/>
        <v>6.1185468451242828E-2</v>
      </c>
      <c r="AM258" s="17">
        <v>27</v>
      </c>
      <c r="AN258" s="36">
        <f t="shared" ref="AN258:AN321" si="96">IFERROR(AM258/$AP258,0)</f>
        <v>0.23893805309734514</v>
      </c>
      <c r="AO258" s="17">
        <v>523</v>
      </c>
      <c r="AP258" s="17">
        <v>113</v>
      </c>
    </row>
    <row r="259" spans="1:42" ht="15.75" customHeight="1" x14ac:dyDescent="0.25">
      <c r="A259" s="37">
        <v>2023</v>
      </c>
      <c r="B259" s="35">
        <v>171900</v>
      </c>
      <c r="C259" s="33" t="str">
        <f>VLOOKUP(B259,procv!$A$2:$D$142,4,FALSE)</f>
        <v>Capim Dourado</v>
      </c>
      <c r="D259" s="33" t="s">
        <v>123</v>
      </c>
      <c r="E259" s="17">
        <v>7</v>
      </c>
      <c r="F259" s="36">
        <f t="shared" si="86"/>
        <v>1.580135440180587E-2</v>
      </c>
      <c r="G259" s="17">
        <v>2</v>
      </c>
      <c r="H259" s="36">
        <f t="shared" si="87"/>
        <v>2.1276595744680851E-2</v>
      </c>
      <c r="I259" s="17">
        <v>20</v>
      </c>
      <c r="J259" s="36">
        <f t="shared" si="88"/>
        <v>4.5146726862302484E-2</v>
      </c>
      <c r="K259" s="17">
        <v>3</v>
      </c>
      <c r="L259" s="36">
        <f t="shared" si="89"/>
        <v>3.1914893617021274E-2</v>
      </c>
      <c r="M259" s="17">
        <v>416</v>
      </c>
      <c r="N259" s="36">
        <f t="shared" si="79"/>
        <v>0.93905191873589167</v>
      </c>
      <c r="O259" s="17">
        <v>89</v>
      </c>
      <c r="P259" s="36">
        <f t="shared" si="90"/>
        <v>0.94680851063829785</v>
      </c>
      <c r="Q259" s="17">
        <v>2</v>
      </c>
      <c r="R259" s="36">
        <f t="shared" si="80"/>
        <v>4.5146726862302479E-3</v>
      </c>
      <c r="S259" s="17">
        <v>0</v>
      </c>
      <c r="T259" s="36">
        <f t="shared" si="91"/>
        <v>0</v>
      </c>
      <c r="U259" s="17">
        <v>20</v>
      </c>
      <c r="V259" s="36">
        <f t="shared" si="81"/>
        <v>4.5146726862302484E-2</v>
      </c>
      <c r="W259" s="17">
        <v>2</v>
      </c>
      <c r="X259" s="36">
        <f t="shared" si="92"/>
        <v>2.1276595744680851E-2</v>
      </c>
      <c r="Y259" s="17">
        <v>318</v>
      </c>
      <c r="Z259" s="36">
        <f t="shared" si="82"/>
        <v>0.71783295711060946</v>
      </c>
      <c r="AA259" s="17">
        <v>66</v>
      </c>
      <c r="AB259" s="36">
        <f t="shared" si="93"/>
        <v>0.7021276595744681</v>
      </c>
      <c r="AC259" s="17">
        <v>73</v>
      </c>
      <c r="AD259" s="36">
        <f t="shared" si="83"/>
        <v>0.16478555304740405</v>
      </c>
      <c r="AE259" s="17">
        <v>17</v>
      </c>
      <c r="AF259" s="36">
        <f t="shared" si="94"/>
        <v>0.18085106382978725</v>
      </c>
      <c r="AG259" s="17">
        <v>24</v>
      </c>
      <c r="AH259" s="36">
        <f t="shared" si="84"/>
        <v>5.4176072234762979E-2</v>
      </c>
      <c r="AI259" s="17">
        <v>9</v>
      </c>
      <c r="AJ259" s="36">
        <f t="shared" si="95"/>
        <v>9.5744680851063829E-2</v>
      </c>
      <c r="AK259" s="17">
        <v>6</v>
      </c>
      <c r="AL259" s="36">
        <f t="shared" si="85"/>
        <v>1.3544018058690745E-2</v>
      </c>
      <c r="AM259" s="17">
        <v>0</v>
      </c>
      <c r="AN259" s="36">
        <f t="shared" si="96"/>
        <v>0</v>
      </c>
      <c r="AO259" s="17">
        <v>443</v>
      </c>
      <c r="AP259" s="17">
        <v>94</v>
      </c>
    </row>
    <row r="260" spans="1:42" ht="15.75" customHeight="1" x14ac:dyDescent="0.25">
      <c r="A260" s="37">
        <v>2023</v>
      </c>
      <c r="B260" s="35">
        <v>172000</v>
      </c>
      <c r="C260" s="33" t="str">
        <f>VLOOKUP(B260,procv!$A$2:$D$142,4,FALSE)</f>
        <v>Bico do Papagaio</v>
      </c>
      <c r="D260" s="33" t="s">
        <v>124</v>
      </c>
      <c r="E260" s="17">
        <v>3</v>
      </c>
      <c r="F260" s="36">
        <f t="shared" si="86"/>
        <v>1.0830324909747292E-2</v>
      </c>
      <c r="G260" s="17">
        <v>0</v>
      </c>
      <c r="H260" s="36">
        <f t="shared" si="87"/>
        <v>0</v>
      </c>
      <c r="I260" s="17">
        <v>20</v>
      </c>
      <c r="J260" s="36">
        <f t="shared" si="88"/>
        <v>7.2202166064981949E-2</v>
      </c>
      <c r="K260" s="17">
        <v>2</v>
      </c>
      <c r="L260" s="36">
        <f t="shared" si="89"/>
        <v>0.08</v>
      </c>
      <c r="M260" s="17">
        <v>254</v>
      </c>
      <c r="N260" s="36">
        <f t="shared" si="79"/>
        <v>0.9169675090252708</v>
      </c>
      <c r="O260" s="17">
        <v>23</v>
      </c>
      <c r="P260" s="36">
        <f t="shared" si="90"/>
        <v>0.92</v>
      </c>
      <c r="Q260" s="17">
        <v>1</v>
      </c>
      <c r="R260" s="36">
        <f t="shared" si="80"/>
        <v>3.6101083032490976E-3</v>
      </c>
      <c r="S260" s="17">
        <v>0</v>
      </c>
      <c r="T260" s="36">
        <f t="shared" si="91"/>
        <v>0</v>
      </c>
      <c r="U260" s="17">
        <v>6</v>
      </c>
      <c r="V260" s="36">
        <f t="shared" si="81"/>
        <v>2.1660649819494584E-2</v>
      </c>
      <c r="W260" s="17">
        <v>1</v>
      </c>
      <c r="X260" s="36">
        <f t="shared" si="92"/>
        <v>0.04</v>
      </c>
      <c r="Y260" s="17">
        <v>214</v>
      </c>
      <c r="Z260" s="36">
        <f t="shared" si="82"/>
        <v>0.77256317689530685</v>
      </c>
      <c r="AA260" s="17">
        <v>20</v>
      </c>
      <c r="AB260" s="36">
        <f t="shared" si="93"/>
        <v>0.8</v>
      </c>
      <c r="AC260" s="17">
        <v>37</v>
      </c>
      <c r="AD260" s="36">
        <f t="shared" si="83"/>
        <v>0.13357400722021662</v>
      </c>
      <c r="AE260" s="17">
        <v>2</v>
      </c>
      <c r="AF260" s="36">
        <f t="shared" si="94"/>
        <v>0.08</v>
      </c>
      <c r="AG260" s="17">
        <v>18</v>
      </c>
      <c r="AH260" s="36">
        <f t="shared" si="84"/>
        <v>6.4981949458483748E-2</v>
      </c>
      <c r="AI260" s="17">
        <v>2</v>
      </c>
      <c r="AJ260" s="36">
        <f t="shared" si="95"/>
        <v>0.08</v>
      </c>
      <c r="AK260" s="17">
        <v>1</v>
      </c>
      <c r="AL260" s="36">
        <f t="shared" si="85"/>
        <v>3.6101083032490976E-3</v>
      </c>
      <c r="AM260" s="17">
        <v>0</v>
      </c>
      <c r="AN260" s="36">
        <f t="shared" si="96"/>
        <v>0</v>
      </c>
      <c r="AO260" s="17">
        <v>277</v>
      </c>
      <c r="AP260" s="17">
        <v>25</v>
      </c>
    </row>
    <row r="261" spans="1:42" ht="15.75" customHeight="1" x14ac:dyDescent="0.25">
      <c r="A261" s="37">
        <v>2023</v>
      </c>
      <c r="B261" s="35">
        <v>172010</v>
      </c>
      <c r="C261" s="33" t="str">
        <f>VLOOKUP(B261,procv!$A$2:$D$142,4,FALSE)</f>
        <v>Bico do Papagaio</v>
      </c>
      <c r="D261" s="33" t="s">
        <v>125</v>
      </c>
      <c r="E261" s="17">
        <v>15</v>
      </c>
      <c r="F261" s="36">
        <f t="shared" si="86"/>
        <v>2.0270270270270271E-2</v>
      </c>
      <c r="G261" s="17">
        <v>6</v>
      </c>
      <c r="H261" s="36">
        <f t="shared" si="87"/>
        <v>3.4883720930232558E-2</v>
      </c>
      <c r="I261" s="17">
        <v>36</v>
      </c>
      <c r="J261" s="36">
        <f t="shared" si="88"/>
        <v>4.8648648648648651E-2</v>
      </c>
      <c r="K261" s="17">
        <v>7</v>
      </c>
      <c r="L261" s="36">
        <f t="shared" si="89"/>
        <v>4.0697674418604654E-2</v>
      </c>
      <c r="M261" s="17">
        <v>689</v>
      </c>
      <c r="N261" s="36">
        <f t="shared" si="79"/>
        <v>0.93108108108108112</v>
      </c>
      <c r="O261" s="17">
        <v>159</v>
      </c>
      <c r="P261" s="36">
        <f t="shared" si="90"/>
        <v>0.92441860465116277</v>
      </c>
      <c r="Q261" s="17">
        <v>11</v>
      </c>
      <c r="R261" s="36">
        <f t="shared" si="80"/>
        <v>1.4864864864864866E-2</v>
      </c>
      <c r="S261" s="17">
        <v>3</v>
      </c>
      <c r="T261" s="36">
        <f t="shared" si="91"/>
        <v>1.7441860465116279E-2</v>
      </c>
      <c r="U261" s="17">
        <v>30</v>
      </c>
      <c r="V261" s="36">
        <f t="shared" si="81"/>
        <v>4.0540540540540543E-2</v>
      </c>
      <c r="W261" s="17">
        <v>5</v>
      </c>
      <c r="X261" s="36">
        <f t="shared" si="92"/>
        <v>2.9069767441860465E-2</v>
      </c>
      <c r="Y261" s="17">
        <v>519</v>
      </c>
      <c r="Z261" s="36">
        <f t="shared" si="82"/>
        <v>0.7013513513513514</v>
      </c>
      <c r="AA261" s="17">
        <v>119</v>
      </c>
      <c r="AB261" s="36">
        <f t="shared" si="93"/>
        <v>0.69186046511627908</v>
      </c>
      <c r="AC261" s="17">
        <v>120</v>
      </c>
      <c r="AD261" s="36">
        <f t="shared" si="83"/>
        <v>0.16216216216216217</v>
      </c>
      <c r="AE261" s="17">
        <v>33</v>
      </c>
      <c r="AF261" s="36">
        <f t="shared" si="94"/>
        <v>0.19186046511627908</v>
      </c>
      <c r="AG261" s="17">
        <v>57</v>
      </c>
      <c r="AH261" s="36">
        <f t="shared" si="84"/>
        <v>7.7027027027027031E-2</v>
      </c>
      <c r="AI261" s="17">
        <v>10</v>
      </c>
      <c r="AJ261" s="36">
        <f t="shared" si="95"/>
        <v>5.8139534883720929E-2</v>
      </c>
      <c r="AK261" s="17">
        <v>3</v>
      </c>
      <c r="AL261" s="36">
        <f t="shared" si="85"/>
        <v>4.0540540540540543E-3</v>
      </c>
      <c r="AM261" s="17">
        <v>2</v>
      </c>
      <c r="AN261" s="36">
        <f t="shared" si="96"/>
        <v>1.1627906976744186E-2</v>
      </c>
      <c r="AO261" s="17">
        <v>740</v>
      </c>
      <c r="AP261" s="17">
        <v>172</v>
      </c>
    </row>
    <row r="262" spans="1:42" ht="15.75" customHeight="1" x14ac:dyDescent="0.25">
      <c r="A262" s="37">
        <v>2023</v>
      </c>
      <c r="B262" s="35">
        <v>172015</v>
      </c>
      <c r="C262" s="33" t="str">
        <f>VLOOKUP(B262,procv!$A$2:$D$142,4,FALSE)</f>
        <v>Capim Dourado</v>
      </c>
      <c r="D262" s="33" t="s">
        <v>126</v>
      </c>
      <c r="E262" s="17">
        <v>1</v>
      </c>
      <c r="F262" s="36">
        <f t="shared" si="86"/>
        <v>3.663003663003663E-3</v>
      </c>
      <c r="G262" s="17">
        <v>0</v>
      </c>
      <c r="H262" s="36">
        <f t="shared" si="87"/>
        <v>0</v>
      </c>
      <c r="I262" s="17">
        <v>10</v>
      </c>
      <c r="J262" s="36">
        <f t="shared" si="88"/>
        <v>3.6630036630036632E-2</v>
      </c>
      <c r="K262" s="17">
        <v>2</v>
      </c>
      <c r="L262" s="36">
        <f t="shared" si="89"/>
        <v>3.1746031746031744E-2</v>
      </c>
      <c r="M262" s="17">
        <v>262</v>
      </c>
      <c r="N262" s="36">
        <f t="shared" si="79"/>
        <v>0.95970695970695974</v>
      </c>
      <c r="O262" s="17">
        <v>61</v>
      </c>
      <c r="P262" s="36">
        <f t="shared" si="90"/>
        <v>0.96825396825396826</v>
      </c>
      <c r="Q262" s="17">
        <v>1</v>
      </c>
      <c r="R262" s="36">
        <f t="shared" si="80"/>
        <v>3.663003663003663E-3</v>
      </c>
      <c r="S262" s="17">
        <v>0</v>
      </c>
      <c r="T262" s="36">
        <f t="shared" si="91"/>
        <v>0</v>
      </c>
      <c r="U262" s="17">
        <v>14</v>
      </c>
      <c r="V262" s="36">
        <f t="shared" si="81"/>
        <v>5.128205128205128E-2</v>
      </c>
      <c r="W262" s="17">
        <v>2</v>
      </c>
      <c r="X262" s="36">
        <f t="shared" si="92"/>
        <v>3.1746031746031744E-2</v>
      </c>
      <c r="Y262" s="17">
        <v>214</v>
      </c>
      <c r="Z262" s="36">
        <f t="shared" si="82"/>
        <v>0.78388278388278387</v>
      </c>
      <c r="AA262" s="17">
        <v>51</v>
      </c>
      <c r="AB262" s="36">
        <f t="shared" si="93"/>
        <v>0.80952380952380953</v>
      </c>
      <c r="AC262" s="17">
        <v>30</v>
      </c>
      <c r="AD262" s="36">
        <f t="shared" si="83"/>
        <v>0.10989010989010989</v>
      </c>
      <c r="AE262" s="17">
        <v>8</v>
      </c>
      <c r="AF262" s="36">
        <f t="shared" si="94"/>
        <v>0.12698412698412698</v>
      </c>
      <c r="AG262" s="17">
        <v>12</v>
      </c>
      <c r="AH262" s="36">
        <f t="shared" si="84"/>
        <v>4.3956043956043959E-2</v>
      </c>
      <c r="AI262" s="17">
        <v>0</v>
      </c>
      <c r="AJ262" s="36">
        <f t="shared" si="95"/>
        <v>0</v>
      </c>
      <c r="AK262" s="17">
        <v>2</v>
      </c>
      <c r="AL262" s="36">
        <f t="shared" si="85"/>
        <v>7.326007326007326E-3</v>
      </c>
      <c r="AM262" s="17">
        <v>2</v>
      </c>
      <c r="AN262" s="36">
        <f t="shared" si="96"/>
        <v>3.1746031746031744E-2</v>
      </c>
      <c r="AO262" s="17">
        <v>273</v>
      </c>
      <c r="AP262" s="17">
        <v>63</v>
      </c>
    </row>
    <row r="263" spans="1:42" ht="15.75" customHeight="1" x14ac:dyDescent="0.25">
      <c r="A263" s="37">
        <v>2023</v>
      </c>
      <c r="B263" s="35">
        <v>172020</v>
      </c>
      <c r="C263" s="33" t="str">
        <f>VLOOKUP(B263,procv!$A$2:$D$142,4,FALSE)</f>
        <v>Bico do Papagaio</v>
      </c>
      <c r="D263" s="33" t="s">
        <v>127</v>
      </c>
      <c r="E263" s="17">
        <v>13</v>
      </c>
      <c r="F263" s="36">
        <f t="shared" si="86"/>
        <v>8.8435374149659872E-3</v>
      </c>
      <c r="G263" s="17">
        <v>3</v>
      </c>
      <c r="H263" s="36">
        <f t="shared" si="87"/>
        <v>1.1673151750972763E-2</v>
      </c>
      <c r="I263" s="17">
        <v>61</v>
      </c>
      <c r="J263" s="36">
        <f t="shared" si="88"/>
        <v>4.1496598639455783E-2</v>
      </c>
      <c r="K263" s="17">
        <v>6</v>
      </c>
      <c r="L263" s="36">
        <f t="shared" si="89"/>
        <v>2.3346303501945526E-2</v>
      </c>
      <c r="M263" s="16">
        <v>1396</v>
      </c>
      <c r="N263" s="36">
        <f t="shared" si="79"/>
        <v>0.94965986394557822</v>
      </c>
      <c r="O263" s="17">
        <v>248</v>
      </c>
      <c r="P263" s="36">
        <f t="shared" si="90"/>
        <v>0.96498054474708173</v>
      </c>
      <c r="Q263" s="17">
        <v>15</v>
      </c>
      <c r="R263" s="36">
        <f t="shared" si="80"/>
        <v>1.020408163265306E-2</v>
      </c>
      <c r="S263" s="17">
        <v>2</v>
      </c>
      <c r="T263" s="36">
        <f t="shared" si="91"/>
        <v>7.7821011673151752E-3</v>
      </c>
      <c r="U263" s="17">
        <v>69</v>
      </c>
      <c r="V263" s="36">
        <f t="shared" si="81"/>
        <v>4.6938775510204082E-2</v>
      </c>
      <c r="W263" s="17">
        <v>12</v>
      </c>
      <c r="X263" s="36">
        <f t="shared" si="92"/>
        <v>4.6692607003891051E-2</v>
      </c>
      <c r="Y263" s="16">
        <v>1091</v>
      </c>
      <c r="Z263" s="36">
        <f t="shared" si="82"/>
        <v>0.7421768707482993</v>
      </c>
      <c r="AA263" s="17">
        <v>182</v>
      </c>
      <c r="AB263" s="36">
        <f t="shared" si="93"/>
        <v>0.70817120622568097</v>
      </c>
      <c r="AC263" s="17">
        <v>191</v>
      </c>
      <c r="AD263" s="36">
        <f t="shared" si="83"/>
        <v>0.12993197278911564</v>
      </c>
      <c r="AE263" s="17">
        <v>40</v>
      </c>
      <c r="AF263" s="36">
        <f t="shared" si="94"/>
        <v>0.1556420233463035</v>
      </c>
      <c r="AG263" s="17">
        <v>87</v>
      </c>
      <c r="AH263" s="36">
        <f t="shared" si="84"/>
        <v>5.9183673469387757E-2</v>
      </c>
      <c r="AI263" s="17">
        <v>18</v>
      </c>
      <c r="AJ263" s="36">
        <f t="shared" si="95"/>
        <v>7.0038910505836577E-2</v>
      </c>
      <c r="AK263" s="17">
        <v>17</v>
      </c>
      <c r="AL263" s="36">
        <f t="shared" si="85"/>
        <v>1.1564625850340135E-2</v>
      </c>
      <c r="AM263" s="17">
        <v>3</v>
      </c>
      <c r="AN263" s="36">
        <f t="shared" si="96"/>
        <v>1.1673151750972763E-2</v>
      </c>
      <c r="AO263" s="16">
        <v>1470</v>
      </c>
      <c r="AP263" s="17">
        <v>257</v>
      </c>
    </row>
    <row r="264" spans="1:42" ht="15.75" customHeight="1" x14ac:dyDescent="0.25">
      <c r="A264" s="37">
        <v>2023</v>
      </c>
      <c r="B264" s="35">
        <v>172025</v>
      </c>
      <c r="C264" s="33" t="str">
        <f>VLOOKUP(B264,procv!$A$2:$D$142,4,FALSE)</f>
        <v>Ilha do Bananal</v>
      </c>
      <c r="D264" s="33" t="s">
        <v>128</v>
      </c>
      <c r="E264" s="17">
        <v>2</v>
      </c>
      <c r="F264" s="36">
        <f t="shared" si="86"/>
        <v>5.9523809523809521E-3</v>
      </c>
      <c r="G264" s="17">
        <v>1</v>
      </c>
      <c r="H264" s="36">
        <f t="shared" si="87"/>
        <v>2.9411764705882353E-2</v>
      </c>
      <c r="I264" s="17">
        <v>4</v>
      </c>
      <c r="J264" s="36">
        <f t="shared" si="88"/>
        <v>1.1904761904761904E-2</v>
      </c>
      <c r="K264" s="17">
        <v>0</v>
      </c>
      <c r="L264" s="36">
        <f t="shared" si="89"/>
        <v>0</v>
      </c>
      <c r="M264" s="17">
        <v>330</v>
      </c>
      <c r="N264" s="36">
        <f t="shared" si="79"/>
        <v>0.9821428571428571</v>
      </c>
      <c r="O264" s="17">
        <v>33</v>
      </c>
      <c r="P264" s="36">
        <f t="shared" si="90"/>
        <v>0.97058823529411764</v>
      </c>
      <c r="Q264" s="17">
        <v>5</v>
      </c>
      <c r="R264" s="36">
        <f t="shared" si="80"/>
        <v>1.488095238095238E-2</v>
      </c>
      <c r="S264" s="17">
        <v>0</v>
      </c>
      <c r="T264" s="36">
        <f t="shared" si="91"/>
        <v>0</v>
      </c>
      <c r="U264" s="17">
        <v>5</v>
      </c>
      <c r="V264" s="36">
        <f t="shared" si="81"/>
        <v>1.488095238095238E-2</v>
      </c>
      <c r="W264" s="17">
        <v>0</v>
      </c>
      <c r="X264" s="36">
        <f t="shared" si="92"/>
        <v>0</v>
      </c>
      <c r="Y264" s="17">
        <v>211</v>
      </c>
      <c r="Z264" s="36">
        <f t="shared" si="82"/>
        <v>0.62797619047619047</v>
      </c>
      <c r="AA264" s="17">
        <v>23</v>
      </c>
      <c r="AB264" s="36">
        <f t="shared" si="93"/>
        <v>0.67647058823529416</v>
      </c>
      <c r="AC264" s="17">
        <v>78</v>
      </c>
      <c r="AD264" s="36">
        <f t="shared" si="83"/>
        <v>0.23214285714285715</v>
      </c>
      <c r="AE264" s="17">
        <v>9</v>
      </c>
      <c r="AF264" s="36">
        <f t="shared" si="94"/>
        <v>0.26470588235294118</v>
      </c>
      <c r="AG264" s="17">
        <v>27</v>
      </c>
      <c r="AH264" s="36">
        <f t="shared" si="84"/>
        <v>8.0357142857142863E-2</v>
      </c>
      <c r="AI264" s="17">
        <v>2</v>
      </c>
      <c r="AJ264" s="36">
        <f t="shared" si="95"/>
        <v>5.8823529411764705E-2</v>
      </c>
      <c r="AK264" s="17">
        <v>10</v>
      </c>
      <c r="AL264" s="36">
        <f t="shared" si="85"/>
        <v>2.976190476190476E-2</v>
      </c>
      <c r="AM264" s="17">
        <v>0</v>
      </c>
      <c r="AN264" s="36">
        <f t="shared" si="96"/>
        <v>0</v>
      </c>
      <c r="AO264" s="17">
        <v>336</v>
      </c>
      <c r="AP264" s="17">
        <v>34</v>
      </c>
    </row>
    <row r="265" spans="1:42" ht="15.75" customHeight="1" x14ac:dyDescent="0.25">
      <c r="A265" s="37">
        <v>2023</v>
      </c>
      <c r="B265" s="35">
        <v>172030</v>
      </c>
      <c r="C265" s="33" t="str">
        <f>VLOOKUP(B265,procv!$A$2:$D$142,4,FALSE)</f>
        <v>Bico do Papagaio</v>
      </c>
      <c r="D265" s="33" t="s">
        <v>129</v>
      </c>
      <c r="E265" s="17">
        <v>7</v>
      </c>
      <c r="F265" s="36">
        <f t="shared" si="86"/>
        <v>2.0958083832335328E-2</v>
      </c>
      <c r="G265" s="17">
        <v>4</v>
      </c>
      <c r="H265" s="36">
        <f t="shared" si="87"/>
        <v>2.4844720496894408E-2</v>
      </c>
      <c r="I265" s="17">
        <v>21</v>
      </c>
      <c r="J265" s="36">
        <f t="shared" si="88"/>
        <v>6.2874251497005984E-2</v>
      </c>
      <c r="K265" s="17">
        <v>11</v>
      </c>
      <c r="L265" s="36">
        <f t="shared" si="89"/>
        <v>6.8322981366459631E-2</v>
      </c>
      <c r="M265" s="17">
        <v>306</v>
      </c>
      <c r="N265" s="36">
        <f t="shared" si="79"/>
        <v>0.91616766467065869</v>
      </c>
      <c r="O265" s="17">
        <v>146</v>
      </c>
      <c r="P265" s="36">
        <f t="shared" si="90"/>
        <v>0.90683229813664601</v>
      </c>
      <c r="Q265" s="17">
        <v>5</v>
      </c>
      <c r="R265" s="36">
        <f t="shared" si="80"/>
        <v>1.4970059880239521E-2</v>
      </c>
      <c r="S265" s="17">
        <v>2</v>
      </c>
      <c r="T265" s="36">
        <f t="shared" si="91"/>
        <v>1.2422360248447204E-2</v>
      </c>
      <c r="U265" s="17">
        <v>12</v>
      </c>
      <c r="V265" s="36">
        <f t="shared" si="81"/>
        <v>3.5928143712574849E-2</v>
      </c>
      <c r="W265" s="17">
        <v>6</v>
      </c>
      <c r="X265" s="36">
        <f t="shared" si="92"/>
        <v>3.7267080745341616E-2</v>
      </c>
      <c r="Y265" s="17">
        <v>227</v>
      </c>
      <c r="Z265" s="36">
        <f t="shared" si="82"/>
        <v>0.67964071856287422</v>
      </c>
      <c r="AA265" s="17">
        <v>116</v>
      </c>
      <c r="AB265" s="36">
        <f t="shared" si="93"/>
        <v>0.72049689440993792</v>
      </c>
      <c r="AC265" s="17">
        <v>57</v>
      </c>
      <c r="AD265" s="36">
        <f t="shared" si="83"/>
        <v>0.17065868263473055</v>
      </c>
      <c r="AE265" s="17">
        <v>28</v>
      </c>
      <c r="AF265" s="36">
        <f t="shared" si="94"/>
        <v>0.17391304347826086</v>
      </c>
      <c r="AG265" s="17">
        <v>28</v>
      </c>
      <c r="AH265" s="36">
        <f t="shared" si="84"/>
        <v>8.3832335329341312E-2</v>
      </c>
      <c r="AI265" s="17">
        <v>7</v>
      </c>
      <c r="AJ265" s="36">
        <f t="shared" si="95"/>
        <v>4.3478260869565216E-2</v>
      </c>
      <c r="AK265" s="17">
        <v>5</v>
      </c>
      <c r="AL265" s="36">
        <f t="shared" si="85"/>
        <v>1.4970059880239521E-2</v>
      </c>
      <c r="AM265" s="17">
        <v>2</v>
      </c>
      <c r="AN265" s="36">
        <f t="shared" si="96"/>
        <v>1.2422360248447204E-2</v>
      </c>
      <c r="AO265" s="17">
        <v>334</v>
      </c>
      <c r="AP265" s="17">
        <v>161</v>
      </c>
    </row>
    <row r="266" spans="1:42" ht="15.75" customHeight="1" x14ac:dyDescent="0.25">
      <c r="A266" s="37">
        <v>2023</v>
      </c>
      <c r="B266" s="35">
        <v>172049</v>
      </c>
      <c r="C266" s="33" t="str">
        <f>VLOOKUP(B266,procv!$A$2:$D$142,4,FALSE)</f>
        <v>Ilha do Bananal</v>
      </c>
      <c r="D266" s="33" t="s">
        <v>130</v>
      </c>
      <c r="E266" s="17">
        <v>7</v>
      </c>
      <c r="F266" s="36">
        <f t="shared" si="86"/>
        <v>2.6315789473684209E-2</v>
      </c>
      <c r="G266" s="17">
        <v>4</v>
      </c>
      <c r="H266" s="36">
        <f t="shared" si="87"/>
        <v>5.6338028169014086E-2</v>
      </c>
      <c r="I266" s="17">
        <v>6</v>
      </c>
      <c r="J266" s="36">
        <f t="shared" si="88"/>
        <v>2.2556390977443608E-2</v>
      </c>
      <c r="K266" s="17">
        <v>1</v>
      </c>
      <c r="L266" s="36">
        <f t="shared" si="89"/>
        <v>1.4084507042253521E-2</v>
      </c>
      <c r="M266" s="17">
        <v>253</v>
      </c>
      <c r="N266" s="36">
        <f t="shared" si="79"/>
        <v>0.95112781954887216</v>
      </c>
      <c r="O266" s="17">
        <v>66</v>
      </c>
      <c r="P266" s="36">
        <f t="shared" si="90"/>
        <v>0.92957746478873238</v>
      </c>
      <c r="Q266" s="17">
        <v>2</v>
      </c>
      <c r="R266" s="36">
        <f t="shared" si="80"/>
        <v>7.5187969924812026E-3</v>
      </c>
      <c r="S266" s="17">
        <v>1</v>
      </c>
      <c r="T266" s="36">
        <f t="shared" si="91"/>
        <v>1.4084507042253521E-2</v>
      </c>
      <c r="U266" s="17">
        <v>18</v>
      </c>
      <c r="V266" s="36">
        <f t="shared" si="81"/>
        <v>6.7669172932330823E-2</v>
      </c>
      <c r="W266" s="17">
        <v>5</v>
      </c>
      <c r="X266" s="36">
        <f t="shared" si="92"/>
        <v>7.0422535211267609E-2</v>
      </c>
      <c r="Y266" s="17">
        <v>172</v>
      </c>
      <c r="Z266" s="36">
        <f t="shared" si="82"/>
        <v>0.64661654135338342</v>
      </c>
      <c r="AA266" s="17">
        <v>45</v>
      </c>
      <c r="AB266" s="36">
        <f t="shared" si="93"/>
        <v>0.63380281690140849</v>
      </c>
      <c r="AC266" s="17">
        <v>42</v>
      </c>
      <c r="AD266" s="36">
        <f t="shared" si="83"/>
        <v>0.15789473684210525</v>
      </c>
      <c r="AE266" s="17">
        <v>11</v>
      </c>
      <c r="AF266" s="36">
        <f t="shared" si="94"/>
        <v>0.15492957746478872</v>
      </c>
      <c r="AG266" s="17">
        <v>26</v>
      </c>
      <c r="AH266" s="36">
        <f t="shared" si="84"/>
        <v>9.7744360902255634E-2</v>
      </c>
      <c r="AI266" s="17">
        <v>8</v>
      </c>
      <c r="AJ266" s="36">
        <f t="shared" si="95"/>
        <v>0.11267605633802817</v>
      </c>
      <c r="AK266" s="17">
        <v>6</v>
      </c>
      <c r="AL266" s="36">
        <f t="shared" si="85"/>
        <v>2.2556390977443608E-2</v>
      </c>
      <c r="AM266" s="17">
        <v>1</v>
      </c>
      <c r="AN266" s="36">
        <f t="shared" si="96"/>
        <v>1.4084507042253521E-2</v>
      </c>
      <c r="AO266" s="17">
        <v>266</v>
      </c>
      <c r="AP266" s="17">
        <v>71</v>
      </c>
    </row>
    <row r="267" spans="1:42" ht="15.75" customHeight="1" x14ac:dyDescent="0.25">
      <c r="A267" s="37">
        <v>2023</v>
      </c>
      <c r="B267" s="35">
        <v>172065</v>
      </c>
      <c r="C267" s="33" t="str">
        <f>VLOOKUP(B267,procv!$A$2:$D$142,4,FALSE)</f>
        <v>Amor Perfeito</v>
      </c>
      <c r="D267" s="33" t="s">
        <v>131</v>
      </c>
      <c r="E267" s="17">
        <v>9</v>
      </c>
      <c r="F267" s="36">
        <f t="shared" si="86"/>
        <v>1.300578034682081E-2</v>
      </c>
      <c r="G267" s="17">
        <v>4</v>
      </c>
      <c r="H267" s="36">
        <f t="shared" si="87"/>
        <v>2.3668639053254437E-2</v>
      </c>
      <c r="I267" s="17">
        <v>24</v>
      </c>
      <c r="J267" s="36">
        <f t="shared" si="88"/>
        <v>3.4682080924855488E-2</v>
      </c>
      <c r="K267" s="17">
        <v>9</v>
      </c>
      <c r="L267" s="36">
        <f t="shared" si="89"/>
        <v>5.3254437869822487E-2</v>
      </c>
      <c r="M267" s="17">
        <v>659</v>
      </c>
      <c r="N267" s="36">
        <f t="shared" si="79"/>
        <v>0.95231213872832365</v>
      </c>
      <c r="O267" s="17">
        <v>156</v>
      </c>
      <c r="P267" s="36">
        <f t="shared" si="90"/>
        <v>0.92307692307692313</v>
      </c>
      <c r="Q267" s="17">
        <v>7</v>
      </c>
      <c r="R267" s="36">
        <f t="shared" si="80"/>
        <v>1.0115606936416185E-2</v>
      </c>
      <c r="S267" s="17">
        <v>4</v>
      </c>
      <c r="T267" s="36">
        <f t="shared" si="91"/>
        <v>2.3668639053254437E-2</v>
      </c>
      <c r="U267" s="17">
        <v>30</v>
      </c>
      <c r="V267" s="36">
        <f t="shared" si="81"/>
        <v>4.3352601156069363E-2</v>
      </c>
      <c r="W267" s="17">
        <v>5</v>
      </c>
      <c r="X267" s="36">
        <f t="shared" si="92"/>
        <v>2.9585798816568046E-2</v>
      </c>
      <c r="Y267" s="17">
        <v>467</v>
      </c>
      <c r="Z267" s="36">
        <f t="shared" si="82"/>
        <v>0.67485549132947975</v>
      </c>
      <c r="AA267" s="17">
        <v>114</v>
      </c>
      <c r="AB267" s="36">
        <f t="shared" si="93"/>
        <v>0.67455621301775148</v>
      </c>
      <c r="AC267" s="17">
        <v>111</v>
      </c>
      <c r="AD267" s="36">
        <f t="shared" si="83"/>
        <v>0.16040462427745664</v>
      </c>
      <c r="AE267" s="17">
        <v>30</v>
      </c>
      <c r="AF267" s="36">
        <f t="shared" si="94"/>
        <v>0.17751479289940827</v>
      </c>
      <c r="AG267" s="17">
        <v>55</v>
      </c>
      <c r="AH267" s="36">
        <f t="shared" si="84"/>
        <v>7.947976878612717E-2</v>
      </c>
      <c r="AI267" s="17">
        <v>14</v>
      </c>
      <c r="AJ267" s="36">
        <f t="shared" si="95"/>
        <v>8.2840236686390539E-2</v>
      </c>
      <c r="AK267" s="17">
        <v>22</v>
      </c>
      <c r="AL267" s="36">
        <f t="shared" si="85"/>
        <v>3.1791907514450865E-2</v>
      </c>
      <c r="AM267" s="17">
        <v>2</v>
      </c>
      <c r="AN267" s="36">
        <f t="shared" si="96"/>
        <v>1.1834319526627219E-2</v>
      </c>
      <c r="AO267" s="17">
        <v>692</v>
      </c>
      <c r="AP267" s="17">
        <v>169</v>
      </c>
    </row>
    <row r="268" spans="1:42" ht="15.75" customHeight="1" x14ac:dyDescent="0.25">
      <c r="A268" s="37">
        <v>2023</v>
      </c>
      <c r="B268" s="35">
        <v>172080</v>
      </c>
      <c r="C268" s="33" t="str">
        <f>VLOOKUP(B268,procv!$A$2:$D$142,4,FALSE)</f>
        <v>Bico do Papagaio</v>
      </c>
      <c r="D268" s="33" t="s">
        <v>132</v>
      </c>
      <c r="E268" s="17">
        <v>20</v>
      </c>
      <c r="F268" s="36">
        <f t="shared" si="86"/>
        <v>1.3917884481558803E-2</v>
      </c>
      <c r="G268" s="17">
        <v>6</v>
      </c>
      <c r="H268" s="36">
        <f t="shared" si="87"/>
        <v>0.02</v>
      </c>
      <c r="I268" s="17">
        <v>80</v>
      </c>
      <c r="J268" s="36">
        <f t="shared" si="88"/>
        <v>5.5671537926235214E-2</v>
      </c>
      <c r="K268" s="17">
        <v>17</v>
      </c>
      <c r="L268" s="36">
        <f t="shared" si="89"/>
        <v>5.6666666666666664E-2</v>
      </c>
      <c r="M268" s="16">
        <v>1337</v>
      </c>
      <c r="N268" s="36">
        <f t="shared" si="79"/>
        <v>0.93041057759220602</v>
      </c>
      <c r="O268" s="17">
        <v>277</v>
      </c>
      <c r="P268" s="36">
        <f t="shared" si="90"/>
        <v>0.92333333333333334</v>
      </c>
      <c r="Q268" s="17">
        <v>18</v>
      </c>
      <c r="R268" s="36">
        <f t="shared" si="80"/>
        <v>1.2526096033402923E-2</v>
      </c>
      <c r="S268" s="17">
        <v>4</v>
      </c>
      <c r="T268" s="36">
        <f t="shared" si="91"/>
        <v>1.3333333333333334E-2</v>
      </c>
      <c r="U268" s="17">
        <v>69</v>
      </c>
      <c r="V268" s="36">
        <f t="shared" si="81"/>
        <v>4.8016701461377868E-2</v>
      </c>
      <c r="W268" s="17">
        <v>7</v>
      </c>
      <c r="X268" s="36">
        <f t="shared" si="92"/>
        <v>2.3333333333333334E-2</v>
      </c>
      <c r="Y268" s="16">
        <v>1070</v>
      </c>
      <c r="Z268" s="36">
        <f t="shared" si="82"/>
        <v>0.74460681976339593</v>
      </c>
      <c r="AA268" s="17">
        <v>235</v>
      </c>
      <c r="AB268" s="36">
        <f t="shared" si="93"/>
        <v>0.78333333333333333</v>
      </c>
      <c r="AC268" s="17">
        <v>190</v>
      </c>
      <c r="AD268" s="36">
        <f t="shared" si="83"/>
        <v>0.13221990257480862</v>
      </c>
      <c r="AE268" s="17">
        <v>42</v>
      </c>
      <c r="AF268" s="36">
        <f t="shared" si="94"/>
        <v>0.14000000000000001</v>
      </c>
      <c r="AG268" s="17">
        <v>73</v>
      </c>
      <c r="AH268" s="36">
        <f t="shared" si="84"/>
        <v>5.0800278357689632E-2</v>
      </c>
      <c r="AI268" s="17">
        <v>10</v>
      </c>
      <c r="AJ268" s="36">
        <f t="shared" si="95"/>
        <v>3.3333333333333333E-2</v>
      </c>
      <c r="AK268" s="17">
        <v>17</v>
      </c>
      <c r="AL268" s="36">
        <f t="shared" si="85"/>
        <v>1.1830201809324982E-2</v>
      </c>
      <c r="AM268" s="17">
        <v>2</v>
      </c>
      <c r="AN268" s="36">
        <f t="shared" si="96"/>
        <v>6.6666666666666671E-3</v>
      </c>
      <c r="AO268" s="16">
        <v>1437</v>
      </c>
      <c r="AP268" s="17">
        <v>300</v>
      </c>
    </row>
    <row r="269" spans="1:42" ht="15.75" customHeight="1" x14ac:dyDescent="0.25">
      <c r="A269" s="37">
        <v>2023</v>
      </c>
      <c r="B269" s="35">
        <v>172085</v>
      </c>
      <c r="C269" s="33" t="str">
        <f>VLOOKUP(B269,procv!$A$2:$D$142,4,FALSE)</f>
        <v>Ilha do Bananal</v>
      </c>
      <c r="D269" s="33" t="s">
        <v>133</v>
      </c>
      <c r="E269" s="17">
        <v>2</v>
      </c>
      <c r="F269" s="36">
        <f t="shared" si="86"/>
        <v>8.1967213114754103E-3</v>
      </c>
      <c r="G269" s="17">
        <v>0</v>
      </c>
      <c r="H269" s="36">
        <f t="shared" si="87"/>
        <v>0</v>
      </c>
      <c r="I269" s="17">
        <v>9</v>
      </c>
      <c r="J269" s="36">
        <f t="shared" si="88"/>
        <v>3.6885245901639344E-2</v>
      </c>
      <c r="K269" s="17">
        <v>2</v>
      </c>
      <c r="L269" s="36">
        <f t="shared" si="89"/>
        <v>6.6666666666666666E-2</v>
      </c>
      <c r="M269" s="17">
        <v>233</v>
      </c>
      <c r="N269" s="36">
        <f t="shared" si="79"/>
        <v>0.95491803278688525</v>
      </c>
      <c r="O269" s="17">
        <v>28</v>
      </c>
      <c r="P269" s="36">
        <f t="shared" si="90"/>
        <v>0.93333333333333335</v>
      </c>
      <c r="Q269" s="17">
        <v>5</v>
      </c>
      <c r="R269" s="36">
        <f t="shared" si="80"/>
        <v>2.0491803278688523E-2</v>
      </c>
      <c r="S269" s="17">
        <v>0</v>
      </c>
      <c r="T269" s="36">
        <f t="shared" si="91"/>
        <v>0</v>
      </c>
      <c r="U269" s="17">
        <v>6</v>
      </c>
      <c r="V269" s="36">
        <f t="shared" si="81"/>
        <v>2.4590163934426229E-2</v>
      </c>
      <c r="W269" s="17">
        <v>5</v>
      </c>
      <c r="X269" s="36">
        <f t="shared" si="92"/>
        <v>0.16666666666666666</v>
      </c>
      <c r="Y269" s="17">
        <v>171</v>
      </c>
      <c r="Z269" s="36">
        <f t="shared" si="82"/>
        <v>0.70081967213114749</v>
      </c>
      <c r="AA269" s="17">
        <v>18</v>
      </c>
      <c r="AB269" s="36">
        <f t="shared" si="93"/>
        <v>0.6</v>
      </c>
      <c r="AC269" s="17">
        <v>34</v>
      </c>
      <c r="AD269" s="36">
        <f t="shared" si="83"/>
        <v>0.13934426229508196</v>
      </c>
      <c r="AE269" s="17">
        <v>6</v>
      </c>
      <c r="AF269" s="36">
        <f t="shared" si="94"/>
        <v>0.2</v>
      </c>
      <c r="AG269" s="17">
        <v>21</v>
      </c>
      <c r="AH269" s="36">
        <f t="shared" si="84"/>
        <v>8.6065573770491802E-2</v>
      </c>
      <c r="AI269" s="17">
        <v>1</v>
      </c>
      <c r="AJ269" s="36">
        <f t="shared" si="95"/>
        <v>3.3333333333333333E-2</v>
      </c>
      <c r="AK269" s="17">
        <v>7</v>
      </c>
      <c r="AL269" s="36">
        <f t="shared" si="85"/>
        <v>2.8688524590163935E-2</v>
      </c>
      <c r="AM269" s="17">
        <v>0</v>
      </c>
      <c r="AN269" s="36">
        <f t="shared" si="96"/>
        <v>0</v>
      </c>
      <c r="AO269" s="17">
        <v>244</v>
      </c>
      <c r="AP269" s="17">
        <v>30</v>
      </c>
    </row>
    <row r="270" spans="1:42" ht="15.75" customHeight="1" x14ac:dyDescent="0.25">
      <c r="A270" s="37">
        <v>2023</v>
      </c>
      <c r="B270" s="35">
        <v>170825</v>
      </c>
      <c r="C270" s="33" t="str">
        <f>VLOOKUP(B270,procv!$A$2:$D$142,4,FALSE)</f>
        <v>Capim Dourado</v>
      </c>
      <c r="D270" s="33" t="s">
        <v>134</v>
      </c>
      <c r="E270" s="17">
        <v>1</v>
      </c>
      <c r="F270" s="36">
        <f t="shared" si="86"/>
        <v>9.1743119266055051E-3</v>
      </c>
      <c r="G270" s="17">
        <v>1</v>
      </c>
      <c r="H270" s="36">
        <f t="shared" si="87"/>
        <v>1.7857142857142856E-2</v>
      </c>
      <c r="I270" s="17">
        <v>9</v>
      </c>
      <c r="J270" s="36">
        <f t="shared" si="88"/>
        <v>8.2568807339449546E-2</v>
      </c>
      <c r="K270" s="17">
        <v>5</v>
      </c>
      <c r="L270" s="36">
        <f t="shared" si="89"/>
        <v>8.9285714285714288E-2</v>
      </c>
      <c r="M270" s="17">
        <v>99</v>
      </c>
      <c r="N270" s="36">
        <f t="shared" si="79"/>
        <v>0.90825688073394495</v>
      </c>
      <c r="O270" s="17">
        <v>50</v>
      </c>
      <c r="P270" s="36">
        <f t="shared" si="90"/>
        <v>0.8928571428571429</v>
      </c>
      <c r="Q270" s="17">
        <v>1</v>
      </c>
      <c r="R270" s="36">
        <f t="shared" si="80"/>
        <v>9.1743119266055051E-3</v>
      </c>
      <c r="S270" s="17">
        <v>1</v>
      </c>
      <c r="T270" s="36">
        <f t="shared" si="91"/>
        <v>1.7857142857142856E-2</v>
      </c>
      <c r="U270" s="17">
        <v>6</v>
      </c>
      <c r="V270" s="36">
        <f t="shared" si="81"/>
        <v>5.5045871559633031E-2</v>
      </c>
      <c r="W270" s="17">
        <v>3</v>
      </c>
      <c r="X270" s="36">
        <f t="shared" si="92"/>
        <v>5.3571428571428568E-2</v>
      </c>
      <c r="Y270" s="17">
        <v>67</v>
      </c>
      <c r="Z270" s="36">
        <f t="shared" si="82"/>
        <v>0.61467889908256879</v>
      </c>
      <c r="AA270" s="17">
        <v>36</v>
      </c>
      <c r="AB270" s="36">
        <f t="shared" si="93"/>
        <v>0.6428571428571429</v>
      </c>
      <c r="AC270" s="17">
        <v>26</v>
      </c>
      <c r="AD270" s="36">
        <f t="shared" si="83"/>
        <v>0.23853211009174313</v>
      </c>
      <c r="AE270" s="17">
        <v>13</v>
      </c>
      <c r="AF270" s="36">
        <f t="shared" si="94"/>
        <v>0.23214285714285715</v>
      </c>
      <c r="AG270" s="17">
        <v>8</v>
      </c>
      <c r="AH270" s="36">
        <f t="shared" si="84"/>
        <v>7.3394495412844041E-2</v>
      </c>
      <c r="AI270" s="17">
        <v>2</v>
      </c>
      <c r="AJ270" s="36">
        <f t="shared" si="95"/>
        <v>3.5714285714285712E-2</v>
      </c>
      <c r="AK270" s="17">
        <v>1</v>
      </c>
      <c r="AL270" s="36">
        <f t="shared" si="85"/>
        <v>9.1743119266055051E-3</v>
      </c>
      <c r="AM270" s="17">
        <v>1</v>
      </c>
      <c r="AN270" s="36">
        <f t="shared" si="96"/>
        <v>1.7857142857142856E-2</v>
      </c>
      <c r="AO270" s="17">
        <v>109</v>
      </c>
      <c r="AP270" s="17">
        <v>56</v>
      </c>
    </row>
    <row r="271" spans="1:42" ht="15.75" customHeight="1" x14ac:dyDescent="0.25">
      <c r="A271" s="37">
        <v>2023</v>
      </c>
      <c r="B271" s="35">
        <v>172090</v>
      </c>
      <c r="C271" s="33" t="str">
        <f>VLOOKUP(B271,procv!$A$2:$D$142,4,FALSE)</f>
        <v>Sudeste</v>
      </c>
      <c r="D271" s="33" t="s">
        <v>135</v>
      </c>
      <c r="E271" s="17">
        <v>7</v>
      </c>
      <c r="F271" s="36">
        <f t="shared" si="86"/>
        <v>6.8762278978389E-3</v>
      </c>
      <c r="G271" s="17">
        <v>2</v>
      </c>
      <c r="H271" s="36">
        <f t="shared" si="87"/>
        <v>8.2644628099173556E-3</v>
      </c>
      <c r="I271" s="17">
        <v>37</v>
      </c>
      <c r="J271" s="36">
        <f t="shared" si="88"/>
        <v>3.6345776031434185E-2</v>
      </c>
      <c r="K271" s="17">
        <v>9</v>
      </c>
      <c r="L271" s="36">
        <f t="shared" si="89"/>
        <v>3.71900826446281E-2</v>
      </c>
      <c r="M271" s="17">
        <v>974</v>
      </c>
      <c r="N271" s="36">
        <f t="shared" si="79"/>
        <v>0.95677799607072689</v>
      </c>
      <c r="O271" s="17">
        <v>231</v>
      </c>
      <c r="P271" s="36">
        <f t="shared" si="90"/>
        <v>0.95454545454545459</v>
      </c>
      <c r="Q271" s="17">
        <v>5</v>
      </c>
      <c r="R271" s="36">
        <f t="shared" si="80"/>
        <v>4.911591355599214E-3</v>
      </c>
      <c r="S271" s="17">
        <v>1</v>
      </c>
      <c r="T271" s="36">
        <f t="shared" si="91"/>
        <v>4.1322314049586778E-3</v>
      </c>
      <c r="U271" s="17">
        <v>37</v>
      </c>
      <c r="V271" s="36">
        <f t="shared" si="81"/>
        <v>3.6345776031434185E-2</v>
      </c>
      <c r="W271" s="17">
        <v>9</v>
      </c>
      <c r="X271" s="36">
        <f t="shared" si="92"/>
        <v>3.71900826446281E-2</v>
      </c>
      <c r="Y271" s="17">
        <v>671</v>
      </c>
      <c r="Z271" s="36">
        <f t="shared" si="82"/>
        <v>0.65913555992141459</v>
      </c>
      <c r="AA271" s="17">
        <v>170</v>
      </c>
      <c r="AB271" s="36">
        <f t="shared" si="93"/>
        <v>0.7024793388429752</v>
      </c>
      <c r="AC271" s="17">
        <v>198</v>
      </c>
      <c r="AD271" s="36">
        <f t="shared" si="83"/>
        <v>0.19449901768172889</v>
      </c>
      <c r="AE271" s="17">
        <v>43</v>
      </c>
      <c r="AF271" s="36">
        <f t="shared" si="94"/>
        <v>0.17768595041322313</v>
      </c>
      <c r="AG271" s="17">
        <v>91</v>
      </c>
      <c r="AH271" s="36">
        <f t="shared" si="84"/>
        <v>8.9390962671905702E-2</v>
      </c>
      <c r="AI271" s="17">
        <v>16</v>
      </c>
      <c r="AJ271" s="36">
        <f t="shared" si="95"/>
        <v>6.6115702479338845E-2</v>
      </c>
      <c r="AK271" s="17">
        <v>16</v>
      </c>
      <c r="AL271" s="36">
        <f t="shared" si="85"/>
        <v>1.5717092337917484E-2</v>
      </c>
      <c r="AM271" s="17">
        <v>3</v>
      </c>
      <c r="AN271" s="36">
        <f t="shared" si="96"/>
        <v>1.2396694214876033E-2</v>
      </c>
      <c r="AO271" s="16">
        <v>1018</v>
      </c>
      <c r="AP271" s="17">
        <v>242</v>
      </c>
    </row>
    <row r="272" spans="1:42" ht="15.75" customHeight="1" x14ac:dyDescent="0.25">
      <c r="A272" s="37">
        <v>2023</v>
      </c>
      <c r="B272" s="35">
        <v>172093</v>
      </c>
      <c r="C272" s="33" t="str">
        <f>VLOOKUP(B272,procv!$A$2:$D$142,4,FALSE)</f>
        <v>Sudeste</v>
      </c>
      <c r="D272" s="33" t="s">
        <v>136</v>
      </c>
      <c r="E272" s="17">
        <v>0</v>
      </c>
      <c r="F272" s="36">
        <f t="shared" si="86"/>
        <v>0</v>
      </c>
      <c r="G272" s="17">
        <v>0</v>
      </c>
      <c r="H272" s="36">
        <f t="shared" si="87"/>
        <v>0</v>
      </c>
      <c r="I272" s="17">
        <v>6</v>
      </c>
      <c r="J272" s="36">
        <f t="shared" si="88"/>
        <v>5.128205128205128E-2</v>
      </c>
      <c r="K272" s="17">
        <v>1</v>
      </c>
      <c r="L272" s="36">
        <f t="shared" si="89"/>
        <v>3.7037037037037035E-2</v>
      </c>
      <c r="M272" s="17">
        <v>111</v>
      </c>
      <c r="N272" s="36">
        <f t="shared" si="79"/>
        <v>0.94871794871794868</v>
      </c>
      <c r="O272" s="17">
        <v>26</v>
      </c>
      <c r="P272" s="36">
        <f t="shared" si="90"/>
        <v>0.96296296296296291</v>
      </c>
      <c r="Q272" s="17">
        <v>0</v>
      </c>
      <c r="R272" s="36">
        <f t="shared" si="80"/>
        <v>0</v>
      </c>
      <c r="S272" s="17">
        <v>0</v>
      </c>
      <c r="T272" s="36">
        <f t="shared" si="91"/>
        <v>0</v>
      </c>
      <c r="U272" s="17">
        <v>7</v>
      </c>
      <c r="V272" s="36">
        <f t="shared" si="81"/>
        <v>5.9829059829059832E-2</v>
      </c>
      <c r="W272" s="17">
        <v>0</v>
      </c>
      <c r="X272" s="36">
        <f t="shared" si="92"/>
        <v>0</v>
      </c>
      <c r="Y272" s="17">
        <v>86</v>
      </c>
      <c r="Z272" s="36">
        <f t="shared" si="82"/>
        <v>0.7350427350427351</v>
      </c>
      <c r="AA272" s="17">
        <v>19</v>
      </c>
      <c r="AB272" s="36">
        <f t="shared" si="93"/>
        <v>0.70370370370370372</v>
      </c>
      <c r="AC272" s="17">
        <v>8</v>
      </c>
      <c r="AD272" s="36">
        <f t="shared" si="83"/>
        <v>6.8376068376068383E-2</v>
      </c>
      <c r="AE272" s="17">
        <v>2</v>
      </c>
      <c r="AF272" s="36">
        <f t="shared" si="94"/>
        <v>7.407407407407407E-2</v>
      </c>
      <c r="AG272" s="17">
        <v>10</v>
      </c>
      <c r="AH272" s="36">
        <f t="shared" si="84"/>
        <v>8.5470085470085472E-2</v>
      </c>
      <c r="AI272" s="17">
        <v>4</v>
      </c>
      <c r="AJ272" s="36">
        <f t="shared" si="95"/>
        <v>0.14814814814814814</v>
      </c>
      <c r="AK272" s="17">
        <v>6</v>
      </c>
      <c r="AL272" s="36">
        <f t="shared" si="85"/>
        <v>5.128205128205128E-2</v>
      </c>
      <c r="AM272" s="17">
        <v>2</v>
      </c>
      <c r="AN272" s="36">
        <f t="shared" si="96"/>
        <v>7.407407407407407E-2</v>
      </c>
      <c r="AO272" s="17">
        <v>117</v>
      </c>
      <c r="AP272" s="17">
        <v>27</v>
      </c>
    </row>
    <row r="273" spans="1:42" ht="15.75" customHeight="1" x14ac:dyDescent="0.25">
      <c r="A273" s="37">
        <v>2023</v>
      </c>
      <c r="B273" s="35">
        <v>172097</v>
      </c>
      <c r="C273" s="33" t="str">
        <f>VLOOKUP(B273,procv!$A$2:$D$142,4,FALSE)</f>
        <v>Ilha do Bananal</v>
      </c>
      <c r="D273" s="33" t="s">
        <v>137</v>
      </c>
      <c r="E273" s="17">
        <v>2</v>
      </c>
      <c r="F273" s="36">
        <f t="shared" si="86"/>
        <v>6.6225165562913907E-3</v>
      </c>
      <c r="G273" s="17">
        <v>0</v>
      </c>
      <c r="H273" s="36">
        <f t="shared" si="87"/>
        <v>0</v>
      </c>
      <c r="I273" s="17">
        <v>10</v>
      </c>
      <c r="J273" s="36">
        <f t="shared" si="88"/>
        <v>3.3112582781456956E-2</v>
      </c>
      <c r="K273" s="17">
        <v>4</v>
      </c>
      <c r="L273" s="36">
        <f t="shared" si="89"/>
        <v>6.8965517241379309E-2</v>
      </c>
      <c r="M273" s="17">
        <v>290</v>
      </c>
      <c r="N273" s="36">
        <f t="shared" si="79"/>
        <v>0.96026490066225167</v>
      </c>
      <c r="O273" s="17">
        <v>54</v>
      </c>
      <c r="P273" s="36">
        <f t="shared" si="90"/>
        <v>0.93103448275862066</v>
      </c>
      <c r="Q273" s="17">
        <v>1</v>
      </c>
      <c r="R273" s="36">
        <f t="shared" si="80"/>
        <v>3.3112582781456954E-3</v>
      </c>
      <c r="S273" s="17">
        <v>0</v>
      </c>
      <c r="T273" s="36">
        <f t="shared" si="91"/>
        <v>0</v>
      </c>
      <c r="U273" s="17">
        <v>9</v>
      </c>
      <c r="V273" s="36">
        <f t="shared" si="81"/>
        <v>2.9801324503311258E-2</v>
      </c>
      <c r="W273" s="17">
        <v>2</v>
      </c>
      <c r="X273" s="36">
        <f t="shared" si="92"/>
        <v>3.4482758620689655E-2</v>
      </c>
      <c r="Y273" s="17">
        <v>186</v>
      </c>
      <c r="Z273" s="36">
        <f t="shared" si="82"/>
        <v>0.61589403973509937</v>
      </c>
      <c r="AA273" s="17">
        <v>37</v>
      </c>
      <c r="AB273" s="36">
        <f t="shared" si="93"/>
        <v>0.63793103448275867</v>
      </c>
      <c r="AC273" s="17">
        <v>58</v>
      </c>
      <c r="AD273" s="36">
        <f t="shared" si="83"/>
        <v>0.19205298013245034</v>
      </c>
      <c r="AE273" s="17">
        <v>12</v>
      </c>
      <c r="AF273" s="36">
        <f t="shared" si="94"/>
        <v>0.20689655172413793</v>
      </c>
      <c r="AG273" s="17">
        <v>37</v>
      </c>
      <c r="AH273" s="36">
        <f t="shared" si="84"/>
        <v>0.12251655629139073</v>
      </c>
      <c r="AI273" s="17">
        <v>5</v>
      </c>
      <c r="AJ273" s="36">
        <f t="shared" si="95"/>
        <v>8.6206896551724144E-2</v>
      </c>
      <c r="AK273" s="17">
        <v>11</v>
      </c>
      <c r="AL273" s="36">
        <f t="shared" si="85"/>
        <v>3.6423841059602648E-2</v>
      </c>
      <c r="AM273" s="17">
        <v>2</v>
      </c>
      <c r="AN273" s="36">
        <f t="shared" si="96"/>
        <v>3.4482758620689655E-2</v>
      </c>
      <c r="AO273" s="17">
        <v>302</v>
      </c>
      <c r="AP273" s="17">
        <v>58</v>
      </c>
    </row>
    <row r="274" spans="1:42" ht="15.75" customHeight="1" x14ac:dyDescent="0.25">
      <c r="A274" s="37">
        <v>2023</v>
      </c>
      <c r="B274" s="35">
        <v>172110</v>
      </c>
      <c r="C274" s="33" t="str">
        <f>VLOOKUP(B274,procv!$A$2:$D$142,4,FALSE)</f>
        <v>Capim Dourado</v>
      </c>
      <c r="D274" s="33" t="s">
        <v>138</v>
      </c>
      <c r="E274" s="17">
        <v>14</v>
      </c>
      <c r="F274" s="36">
        <f t="shared" si="86"/>
        <v>1.511879049676026E-2</v>
      </c>
      <c r="G274" s="17">
        <v>11</v>
      </c>
      <c r="H274" s="36">
        <f t="shared" si="87"/>
        <v>1.7973856209150325E-2</v>
      </c>
      <c r="I274" s="17">
        <v>31</v>
      </c>
      <c r="J274" s="36">
        <f t="shared" si="88"/>
        <v>3.3477321814254862E-2</v>
      </c>
      <c r="K274" s="17">
        <v>23</v>
      </c>
      <c r="L274" s="36">
        <f t="shared" si="89"/>
        <v>3.7581699346405227E-2</v>
      </c>
      <c r="M274" s="17">
        <v>881</v>
      </c>
      <c r="N274" s="36">
        <f t="shared" si="79"/>
        <v>0.95140388768898487</v>
      </c>
      <c r="O274" s="17">
        <v>578</v>
      </c>
      <c r="P274" s="36">
        <f t="shared" si="90"/>
        <v>0.94444444444444442</v>
      </c>
      <c r="Q274" s="17">
        <v>3</v>
      </c>
      <c r="R274" s="36">
        <f t="shared" si="80"/>
        <v>3.2397408207343412E-3</v>
      </c>
      <c r="S274" s="17">
        <v>2</v>
      </c>
      <c r="T274" s="36">
        <f t="shared" si="91"/>
        <v>3.2679738562091504E-3</v>
      </c>
      <c r="U274" s="17">
        <v>13</v>
      </c>
      <c r="V274" s="36">
        <f t="shared" si="81"/>
        <v>1.4038876889848811E-2</v>
      </c>
      <c r="W274" s="17">
        <v>7</v>
      </c>
      <c r="X274" s="36">
        <f t="shared" si="92"/>
        <v>1.1437908496732025E-2</v>
      </c>
      <c r="Y274" s="17">
        <v>644</v>
      </c>
      <c r="Z274" s="36">
        <f t="shared" si="82"/>
        <v>0.69546436285097191</v>
      </c>
      <c r="AA274" s="17">
        <v>425</v>
      </c>
      <c r="AB274" s="36">
        <f t="shared" si="93"/>
        <v>0.69444444444444442</v>
      </c>
      <c r="AC274" s="17">
        <v>198</v>
      </c>
      <c r="AD274" s="36">
        <f t="shared" si="83"/>
        <v>0.21382289416846653</v>
      </c>
      <c r="AE274" s="17">
        <v>138</v>
      </c>
      <c r="AF274" s="36">
        <f t="shared" si="94"/>
        <v>0.22549019607843138</v>
      </c>
      <c r="AG274" s="17">
        <v>53</v>
      </c>
      <c r="AH274" s="36">
        <f t="shared" si="84"/>
        <v>5.7235421166306692E-2</v>
      </c>
      <c r="AI274" s="17">
        <v>30</v>
      </c>
      <c r="AJ274" s="36">
        <f t="shared" si="95"/>
        <v>4.9019607843137254E-2</v>
      </c>
      <c r="AK274" s="17">
        <v>15</v>
      </c>
      <c r="AL274" s="36">
        <f t="shared" si="85"/>
        <v>1.6198704103671708E-2</v>
      </c>
      <c r="AM274" s="17">
        <v>10</v>
      </c>
      <c r="AN274" s="36">
        <f t="shared" si="96"/>
        <v>1.6339869281045753E-2</v>
      </c>
      <c r="AO274" s="17">
        <v>926</v>
      </c>
      <c r="AP274" s="17">
        <v>612</v>
      </c>
    </row>
    <row r="275" spans="1:42" ht="15.75" customHeight="1" x14ac:dyDescent="0.25">
      <c r="A275" s="37">
        <v>2023</v>
      </c>
      <c r="B275" s="35">
        <v>172120</v>
      </c>
      <c r="C275" s="33" t="str">
        <f>VLOOKUP(B275,procv!$A$2:$D$142,4,FALSE)</f>
        <v>Bico do Papagaio</v>
      </c>
      <c r="D275" s="33" t="s">
        <v>139</v>
      </c>
      <c r="E275" s="17">
        <v>35</v>
      </c>
      <c r="F275" s="36">
        <f t="shared" si="86"/>
        <v>2.2151898734177215E-2</v>
      </c>
      <c r="G275" s="17">
        <v>28</v>
      </c>
      <c r="H275" s="36">
        <f t="shared" si="87"/>
        <v>4.046242774566474E-2</v>
      </c>
      <c r="I275" s="17">
        <v>70</v>
      </c>
      <c r="J275" s="36">
        <f t="shared" si="88"/>
        <v>4.4303797468354431E-2</v>
      </c>
      <c r="K275" s="17">
        <v>31</v>
      </c>
      <c r="L275" s="36">
        <f t="shared" si="89"/>
        <v>4.4797687861271675E-2</v>
      </c>
      <c r="M275" s="16">
        <v>1475</v>
      </c>
      <c r="N275" s="36">
        <f t="shared" si="79"/>
        <v>0.93354430379746833</v>
      </c>
      <c r="O275" s="17">
        <v>633</v>
      </c>
      <c r="P275" s="36">
        <f t="shared" si="90"/>
        <v>0.91473988439306353</v>
      </c>
      <c r="Q275" s="17">
        <v>25</v>
      </c>
      <c r="R275" s="36">
        <f t="shared" si="80"/>
        <v>1.5822784810126583E-2</v>
      </c>
      <c r="S275" s="17">
        <v>14</v>
      </c>
      <c r="T275" s="36">
        <f t="shared" si="91"/>
        <v>2.023121387283237E-2</v>
      </c>
      <c r="U275" s="17">
        <v>62</v>
      </c>
      <c r="V275" s="36">
        <f t="shared" si="81"/>
        <v>3.9240506329113925E-2</v>
      </c>
      <c r="W275" s="17">
        <v>17</v>
      </c>
      <c r="X275" s="36">
        <f t="shared" si="92"/>
        <v>2.4566473988439308E-2</v>
      </c>
      <c r="Y275" s="16">
        <v>1113</v>
      </c>
      <c r="Z275" s="36">
        <f t="shared" si="82"/>
        <v>0.70443037974683542</v>
      </c>
      <c r="AA275" s="17">
        <v>471</v>
      </c>
      <c r="AB275" s="36">
        <f t="shared" si="93"/>
        <v>0.68063583815028905</v>
      </c>
      <c r="AC275" s="17">
        <v>271</v>
      </c>
      <c r="AD275" s="36">
        <f t="shared" si="83"/>
        <v>0.17151898734177215</v>
      </c>
      <c r="AE275" s="17">
        <v>139</v>
      </c>
      <c r="AF275" s="36">
        <f t="shared" si="94"/>
        <v>0.20086705202312138</v>
      </c>
      <c r="AG275" s="17">
        <v>96</v>
      </c>
      <c r="AH275" s="36">
        <f t="shared" si="84"/>
        <v>6.0759493670886074E-2</v>
      </c>
      <c r="AI275" s="17">
        <v>48</v>
      </c>
      <c r="AJ275" s="36">
        <f t="shared" si="95"/>
        <v>6.9364161849710976E-2</v>
      </c>
      <c r="AK275" s="17">
        <v>13</v>
      </c>
      <c r="AL275" s="36">
        <f t="shared" si="85"/>
        <v>8.2278481012658233E-3</v>
      </c>
      <c r="AM275" s="17">
        <v>3</v>
      </c>
      <c r="AN275" s="36">
        <f t="shared" si="96"/>
        <v>4.335260115606936E-3</v>
      </c>
      <c r="AO275" s="16">
        <v>1580</v>
      </c>
      <c r="AP275" s="17">
        <v>692</v>
      </c>
    </row>
    <row r="276" spans="1:42" ht="15.75" customHeight="1" x14ac:dyDescent="0.25">
      <c r="A276" s="37">
        <v>2023</v>
      </c>
      <c r="B276" s="35">
        <v>172125</v>
      </c>
      <c r="C276" s="33" t="str">
        <f>VLOOKUP(B276,procv!$A$2:$D$142,4,FALSE)</f>
        <v>Cerrado Tocantins Araguaia</v>
      </c>
      <c r="D276" s="33" t="s">
        <v>140</v>
      </c>
      <c r="E276" s="17">
        <v>3</v>
      </c>
      <c r="F276" s="36">
        <f t="shared" si="86"/>
        <v>1.4285714285714285E-2</v>
      </c>
      <c r="G276" s="17">
        <v>1</v>
      </c>
      <c r="H276" s="36">
        <f t="shared" si="87"/>
        <v>3.7037037037037035E-2</v>
      </c>
      <c r="I276" s="17">
        <v>3</v>
      </c>
      <c r="J276" s="36">
        <f t="shared" si="88"/>
        <v>1.4285714285714285E-2</v>
      </c>
      <c r="K276" s="17">
        <v>1</v>
      </c>
      <c r="L276" s="36">
        <f t="shared" si="89"/>
        <v>3.7037037037037035E-2</v>
      </c>
      <c r="M276" s="17">
        <v>204</v>
      </c>
      <c r="N276" s="36">
        <f t="shared" si="79"/>
        <v>0.97142857142857142</v>
      </c>
      <c r="O276" s="17">
        <v>25</v>
      </c>
      <c r="P276" s="36">
        <f t="shared" si="90"/>
        <v>0.92592592592592593</v>
      </c>
      <c r="Q276" s="17">
        <v>0</v>
      </c>
      <c r="R276" s="36">
        <f t="shared" si="80"/>
        <v>0</v>
      </c>
      <c r="S276" s="17">
        <v>1</v>
      </c>
      <c r="T276" s="36">
        <f t="shared" si="91"/>
        <v>3.7037037037037035E-2</v>
      </c>
      <c r="U276" s="17">
        <v>11</v>
      </c>
      <c r="V276" s="36">
        <f t="shared" si="81"/>
        <v>5.2380952380952382E-2</v>
      </c>
      <c r="W276" s="17">
        <v>2</v>
      </c>
      <c r="X276" s="36">
        <f t="shared" si="92"/>
        <v>7.407407407407407E-2</v>
      </c>
      <c r="Y276" s="17">
        <v>153</v>
      </c>
      <c r="Z276" s="36">
        <f t="shared" si="82"/>
        <v>0.72857142857142854</v>
      </c>
      <c r="AA276" s="17">
        <v>18</v>
      </c>
      <c r="AB276" s="36">
        <f t="shared" si="93"/>
        <v>0.66666666666666663</v>
      </c>
      <c r="AC276" s="17">
        <v>27</v>
      </c>
      <c r="AD276" s="36">
        <f t="shared" si="83"/>
        <v>0.12857142857142856</v>
      </c>
      <c r="AE276" s="17">
        <v>4</v>
      </c>
      <c r="AF276" s="36">
        <f t="shared" si="94"/>
        <v>0.14814814814814814</v>
      </c>
      <c r="AG276" s="17">
        <v>14</v>
      </c>
      <c r="AH276" s="36">
        <f t="shared" si="84"/>
        <v>6.6666666666666666E-2</v>
      </c>
      <c r="AI276" s="17">
        <v>1</v>
      </c>
      <c r="AJ276" s="36">
        <f t="shared" si="95"/>
        <v>3.7037037037037035E-2</v>
      </c>
      <c r="AK276" s="17">
        <v>5</v>
      </c>
      <c r="AL276" s="36">
        <f t="shared" si="85"/>
        <v>2.3809523809523808E-2</v>
      </c>
      <c r="AM276" s="17">
        <v>1</v>
      </c>
      <c r="AN276" s="36">
        <f t="shared" si="96"/>
        <v>3.7037037037037035E-2</v>
      </c>
      <c r="AO276" s="17">
        <v>210</v>
      </c>
      <c r="AP276" s="17">
        <v>27</v>
      </c>
    </row>
    <row r="277" spans="1:42" ht="15.75" customHeight="1" x14ac:dyDescent="0.25">
      <c r="A277" s="37">
        <v>2023</v>
      </c>
      <c r="B277" s="35">
        <v>172130</v>
      </c>
      <c r="C277" s="33" t="str">
        <f>VLOOKUP(B277,procv!$A$2:$D$142,4,FALSE)</f>
        <v>Cerrado Tocantins Araguaia</v>
      </c>
      <c r="D277" s="33" t="s">
        <v>141</v>
      </c>
      <c r="E277" s="17">
        <v>1</v>
      </c>
      <c r="F277" s="36">
        <f t="shared" si="86"/>
        <v>6.5359477124183009E-3</v>
      </c>
      <c r="G277" s="17">
        <v>0</v>
      </c>
      <c r="H277" s="36">
        <f t="shared" si="87"/>
        <v>0</v>
      </c>
      <c r="I277" s="17">
        <v>8</v>
      </c>
      <c r="J277" s="36">
        <f t="shared" si="88"/>
        <v>5.2287581699346407E-2</v>
      </c>
      <c r="K277" s="17">
        <v>0</v>
      </c>
      <c r="L277" s="36">
        <f t="shared" si="89"/>
        <v>0</v>
      </c>
      <c r="M277" s="17">
        <v>144</v>
      </c>
      <c r="N277" s="36">
        <f t="shared" si="79"/>
        <v>0.94117647058823528</v>
      </c>
      <c r="O277" s="17">
        <v>18</v>
      </c>
      <c r="P277" s="36">
        <f t="shared" si="90"/>
        <v>1</v>
      </c>
      <c r="Q277" s="17">
        <v>1</v>
      </c>
      <c r="R277" s="36">
        <f t="shared" si="80"/>
        <v>6.5359477124183009E-3</v>
      </c>
      <c r="S277" s="17">
        <v>0</v>
      </c>
      <c r="T277" s="36">
        <f t="shared" si="91"/>
        <v>0</v>
      </c>
      <c r="U277" s="17">
        <v>3</v>
      </c>
      <c r="V277" s="36">
        <f t="shared" si="81"/>
        <v>1.9607843137254902E-2</v>
      </c>
      <c r="W277" s="17">
        <v>1</v>
      </c>
      <c r="X277" s="36">
        <f t="shared" si="92"/>
        <v>5.5555555555555552E-2</v>
      </c>
      <c r="Y277" s="17">
        <v>115</v>
      </c>
      <c r="Z277" s="36">
        <f t="shared" si="82"/>
        <v>0.75163398692810457</v>
      </c>
      <c r="AA277" s="17">
        <v>13</v>
      </c>
      <c r="AB277" s="36">
        <f t="shared" si="93"/>
        <v>0.72222222222222221</v>
      </c>
      <c r="AC277" s="17">
        <v>22</v>
      </c>
      <c r="AD277" s="36">
        <f t="shared" si="83"/>
        <v>0.1437908496732026</v>
      </c>
      <c r="AE277" s="17">
        <v>4</v>
      </c>
      <c r="AF277" s="36">
        <f t="shared" si="94"/>
        <v>0.22222222222222221</v>
      </c>
      <c r="AG277" s="17">
        <v>9</v>
      </c>
      <c r="AH277" s="36">
        <f t="shared" si="84"/>
        <v>5.8823529411764705E-2</v>
      </c>
      <c r="AI277" s="17">
        <v>0</v>
      </c>
      <c r="AJ277" s="36">
        <f t="shared" si="95"/>
        <v>0</v>
      </c>
      <c r="AK277" s="17">
        <v>3</v>
      </c>
      <c r="AL277" s="36">
        <f t="shared" si="85"/>
        <v>1.9607843137254902E-2</v>
      </c>
      <c r="AM277" s="17">
        <v>0</v>
      </c>
      <c r="AN277" s="36">
        <f t="shared" si="96"/>
        <v>0</v>
      </c>
      <c r="AO277" s="17">
        <v>153</v>
      </c>
      <c r="AP277" s="17">
        <v>18</v>
      </c>
    </row>
    <row r="278" spans="1:42" ht="15.75" customHeight="1" x14ac:dyDescent="0.25">
      <c r="A278" s="37">
        <v>2023</v>
      </c>
      <c r="B278" s="35">
        <v>172208</v>
      </c>
      <c r="C278" s="33" t="str">
        <f>VLOOKUP(B278,procv!$A$2:$D$142,4,FALSE)</f>
        <v>Médio Norte Araguaia</v>
      </c>
      <c r="D278" s="33" t="s">
        <v>142</v>
      </c>
      <c r="E278" s="17">
        <v>5</v>
      </c>
      <c r="F278" s="36">
        <f t="shared" si="86"/>
        <v>5.5248618784530384E-3</v>
      </c>
      <c r="G278" s="17">
        <v>2</v>
      </c>
      <c r="H278" s="36">
        <f t="shared" si="87"/>
        <v>1.1494252873563218E-2</v>
      </c>
      <c r="I278" s="17">
        <v>49</v>
      </c>
      <c r="J278" s="36">
        <f t="shared" si="88"/>
        <v>5.4143646408839778E-2</v>
      </c>
      <c r="K278" s="17">
        <v>8</v>
      </c>
      <c r="L278" s="36">
        <f t="shared" si="89"/>
        <v>4.5977011494252873E-2</v>
      </c>
      <c r="M278" s="17">
        <v>851</v>
      </c>
      <c r="N278" s="36">
        <f t="shared" si="79"/>
        <v>0.94033149171270713</v>
      </c>
      <c r="O278" s="17">
        <v>164</v>
      </c>
      <c r="P278" s="36">
        <f t="shared" si="90"/>
        <v>0.94252873563218387</v>
      </c>
      <c r="Q278" s="17">
        <v>9</v>
      </c>
      <c r="R278" s="36">
        <f t="shared" si="80"/>
        <v>9.9447513812154689E-3</v>
      </c>
      <c r="S278" s="17">
        <v>1</v>
      </c>
      <c r="T278" s="36">
        <f t="shared" si="91"/>
        <v>5.7471264367816091E-3</v>
      </c>
      <c r="U278" s="17">
        <v>31</v>
      </c>
      <c r="V278" s="36">
        <f t="shared" si="81"/>
        <v>3.4254143646408837E-2</v>
      </c>
      <c r="W278" s="17">
        <v>9</v>
      </c>
      <c r="X278" s="36">
        <f t="shared" si="92"/>
        <v>5.1724137931034482E-2</v>
      </c>
      <c r="Y278" s="17">
        <v>656</v>
      </c>
      <c r="Z278" s="36">
        <f t="shared" si="82"/>
        <v>0.72486187845303862</v>
      </c>
      <c r="AA278" s="17">
        <v>133</v>
      </c>
      <c r="AB278" s="36">
        <f t="shared" si="93"/>
        <v>0.76436781609195403</v>
      </c>
      <c r="AC278" s="17">
        <v>131</v>
      </c>
      <c r="AD278" s="36">
        <f t="shared" si="83"/>
        <v>0.14475138121546963</v>
      </c>
      <c r="AE278" s="17">
        <v>24</v>
      </c>
      <c r="AF278" s="36">
        <f t="shared" si="94"/>
        <v>0.13793103448275862</v>
      </c>
      <c r="AG278" s="17">
        <v>63</v>
      </c>
      <c r="AH278" s="36">
        <f t="shared" si="84"/>
        <v>6.9613259668508287E-2</v>
      </c>
      <c r="AI278" s="17">
        <v>4</v>
      </c>
      <c r="AJ278" s="36">
        <f t="shared" si="95"/>
        <v>2.2988505747126436E-2</v>
      </c>
      <c r="AK278" s="17">
        <v>15</v>
      </c>
      <c r="AL278" s="36">
        <f t="shared" si="85"/>
        <v>1.6574585635359115E-2</v>
      </c>
      <c r="AM278" s="17">
        <v>3</v>
      </c>
      <c r="AN278" s="36">
        <f t="shared" si="96"/>
        <v>1.7241379310344827E-2</v>
      </c>
      <c r="AO278" s="17">
        <v>905</v>
      </c>
      <c r="AP278" s="17">
        <v>174</v>
      </c>
    </row>
    <row r="279" spans="1:42" ht="15.75" customHeight="1" x14ac:dyDescent="0.25">
      <c r="A279" s="37">
        <v>2023</v>
      </c>
      <c r="B279" s="35">
        <v>172210</v>
      </c>
      <c r="C279" s="33" t="str">
        <f>VLOOKUP(B279,procv!$A$2:$D$142,4,FALSE)</f>
        <v>Médio Norte Araguaia</v>
      </c>
      <c r="D279" s="33" t="s">
        <v>143</v>
      </c>
      <c r="E279" s="17">
        <v>10</v>
      </c>
      <c r="F279" s="36">
        <f t="shared" si="86"/>
        <v>1.1494252873563218E-2</v>
      </c>
      <c r="G279" s="17">
        <v>4</v>
      </c>
      <c r="H279" s="36">
        <f t="shared" si="87"/>
        <v>2.3668639053254437E-2</v>
      </c>
      <c r="I279" s="17">
        <v>18</v>
      </c>
      <c r="J279" s="36">
        <f t="shared" si="88"/>
        <v>2.0689655172413793E-2</v>
      </c>
      <c r="K279" s="17">
        <v>3</v>
      </c>
      <c r="L279" s="36">
        <f t="shared" si="89"/>
        <v>1.7751479289940829E-2</v>
      </c>
      <c r="M279" s="17">
        <v>842</v>
      </c>
      <c r="N279" s="36">
        <f t="shared" si="79"/>
        <v>0.96781609195402296</v>
      </c>
      <c r="O279" s="17">
        <v>162</v>
      </c>
      <c r="P279" s="36">
        <f t="shared" si="90"/>
        <v>0.95857988165680474</v>
      </c>
      <c r="Q279" s="17">
        <v>14</v>
      </c>
      <c r="R279" s="36">
        <f t="shared" si="80"/>
        <v>1.6091954022988506E-2</v>
      </c>
      <c r="S279" s="17">
        <v>2</v>
      </c>
      <c r="T279" s="36">
        <f t="shared" si="91"/>
        <v>1.1834319526627219E-2</v>
      </c>
      <c r="U279" s="17">
        <v>35</v>
      </c>
      <c r="V279" s="36">
        <f t="shared" si="81"/>
        <v>4.0229885057471264E-2</v>
      </c>
      <c r="W279" s="17">
        <v>7</v>
      </c>
      <c r="X279" s="36">
        <f t="shared" si="92"/>
        <v>4.142011834319527E-2</v>
      </c>
      <c r="Y279" s="17">
        <v>609</v>
      </c>
      <c r="Z279" s="36">
        <f t="shared" si="82"/>
        <v>0.7</v>
      </c>
      <c r="AA279" s="17">
        <v>119</v>
      </c>
      <c r="AB279" s="36">
        <f t="shared" si="93"/>
        <v>0.70414201183431957</v>
      </c>
      <c r="AC279" s="17">
        <v>124</v>
      </c>
      <c r="AD279" s="36">
        <f t="shared" si="83"/>
        <v>0.14252873563218391</v>
      </c>
      <c r="AE279" s="17">
        <v>31</v>
      </c>
      <c r="AF279" s="36">
        <f t="shared" si="94"/>
        <v>0.18343195266272189</v>
      </c>
      <c r="AG279" s="17">
        <v>66</v>
      </c>
      <c r="AH279" s="36">
        <f t="shared" si="84"/>
        <v>7.586206896551724E-2</v>
      </c>
      <c r="AI279" s="17">
        <v>9</v>
      </c>
      <c r="AJ279" s="36">
        <f t="shared" si="95"/>
        <v>5.3254437869822487E-2</v>
      </c>
      <c r="AK279" s="17">
        <v>22</v>
      </c>
      <c r="AL279" s="36">
        <f t="shared" si="85"/>
        <v>2.528735632183908E-2</v>
      </c>
      <c r="AM279" s="17">
        <v>1</v>
      </c>
      <c r="AN279" s="36">
        <f t="shared" si="96"/>
        <v>5.9171597633136093E-3</v>
      </c>
      <c r="AO279" s="17">
        <v>870</v>
      </c>
      <c r="AP279" s="17">
        <v>169</v>
      </c>
    </row>
    <row r="280" spans="1:42" ht="15.75" customHeight="1" x14ac:dyDescent="0.25">
      <c r="A280" s="37">
        <v>2022</v>
      </c>
      <c r="B280" s="35">
        <v>170025</v>
      </c>
      <c r="C280" s="33" t="str">
        <f>VLOOKUP(B280,procv!$A$2:$D$142,4,FALSE)</f>
        <v>Cantão</v>
      </c>
      <c r="D280" s="33" t="s">
        <v>5</v>
      </c>
      <c r="E280" s="17">
        <v>2</v>
      </c>
      <c r="F280" s="36">
        <f t="shared" si="86"/>
        <v>6.3291139240506328E-3</v>
      </c>
      <c r="G280" s="17">
        <v>0</v>
      </c>
      <c r="H280" s="36">
        <f t="shared" si="87"/>
        <v>0</v>
      </c>
      <c r="I280" s="17">
        <v>9</v>
      </c>
      <c r="J280" s="36">
        <f t="shared" si="88"/>
        <v>2.8481012658227847E-2</v>
      </c>
      <c r="K280" s="17">
        <v>2</v>
      </c>
      <c r="L280" s="36">
        <f t="shared" si="89"/>
        <v>6.6666666666666666E-2</v>
      </c>
      <c r="M280" s="17">
        <v>305</v>
      </c>
      <c r="N280" s="36">
        <f t="shared" si="79"/>
        <v>0.96518987341772156</v>
      </c>
      <c r="O280" s="17">
        <v>28</v>
      </c>
      <c r="P280" s="36">
        <f t="shared" si="90"/>
        <v>0.93333333333333335</v>
      </c>
      <c r="Q280" s="17">
        <v>1</v>
      </c>
      <c r="R280" s="36">
        <f t="shared" si="80"/>
        <v>3.1645569620253164E-3</v>
      </c>
      <c r="S280" s="17">
        <v>0</v>
      </c>
      <c r="T280" s="36">
        <f t="shared" si="91"/>
        <v>0</v>
      </c>
      <c r="U280" s="17">
        <v>7</v>
      </c>
      <c r="V280" s="36">
        <f t="shared" si="81"/>
        <v>2.2151898734177215E-2</v>
      </c>
      <c r="W280" s="17">
        <v>0</v>
      </c>
      <c r="X280" s="36">
        <f t="shared" si="92"/>
        <v>0</v>
      </c>
      <c r="Y280" s="17">
        <v>222</v>
      </c>
      <c r="Z280" s="36">
        <f t="shared" si="82"/>
        <v>0.70253164556962022</v>
      </c>
      <c r="AA280" s="17">
        <v>24</v>
      </c>
      <c r="AB280" s="36">
        <f t="shared" si="93"/>
        <v>0.8</v>
      </c>
      <c r="AC280" s="17">
        <v>48</v>
      </c>
      <c r="AD280" s="36">
        <f t="shared" si="83"/>
        <v>0.15189873417721519</v>
      </c>
      <c r="AE280" s="17">
        <v>4</v>
      </c>
      <c r="AF280" s="36">
        <f t="shared" si="94"/>
        <v>0.13333333333333333</v>
      </c>
      <c r="AG280" s="17">
        <v>31</v>
      </c>
      <c r="AH280" s="36">
        <f t="shared" si="84"/>
        <v>9.8101265822784806E-2</v>
      </c>
      <c r="AI280" s="17">
        <v>2</v>
      </c>
      <c r="AJ280" s="36">
        <f t="shared" si="95"/>
        <v>6.6666666666666666E-2</v>
      </c>
      <c r="AK280" s="17">
        <v>7</v>
      </c>
      <c r="AL280" s="36">
        <f t="shared" si="85"/>
        <v>2.2151898734177215E-2</v>
      </c>
      <c r="AM280" s="17">
        <v>0</v>
      </c>
      <c r="AN280" s="36">
        <f t="shared" si="96"/>
        <v>0</v>
      </c>
      <c r="AO280" s="17">
        <v>316</v>
      </c>
      <c r="AP280" s="17">
        <v>30</v>
      </c>
    </row>
    <row r="281" spans="1:42" ht="15.75" customHeight="1" x14ac:dyDescent="0.25">
      <c r="A281" s="37">
        <v>2022</v>
      </c>
      <c r="B281" s="35">
        <v>170030</v>
      </c>
      <c r="C281" s="33" t="str">
        <f>VLOOKUP(B281,procv!$A$2:$D$142,4,FALSE)</f>
        <v>Bico do Papagaio</v>
      </c>
      <c r="D281" s="33" t="s">
        <v>6</v>
      </c>
      <c r="E281" s="17">
        <v>9</v>
      </c>
      <c r="F281" s="36">
        <f t="shared" si="86"/>
        <v>3.5573122529644272E-2</v>
      </c>
      <c r="G281" s="17">
        <v>2</v>
      </c>
      <c r="H281" s="36">
        <f t="shared" si="87"/>
        <v>1.834862385321101E-2</v>
      </c>
      <c r="I281" s="17">
        <v>14</v>
      </c>
      <c r="J281" s="36">
        <f t="shared" si="88"/>
        <v>5.533596837944664E-2</v>
      </c>
      <c r="K281" s="17">
        <v>4</v>
      </c>
      <c r="L281" s="36">
        <f t="shared" si="89"/>
        <v>3.669724770642202E-2</v>
      </c>
      <c r="M281" s="17">
        <v>230</v>
      </c>
      <c r="N281" s="36">
        <f t="shared" si="79"/>
        <v>0.90909090909090906</v>
      </c>
      <c r="O281" s="17">
        <v>103</v>
      </c>
      <c r="P281" s="36">
        <f t="shared" si="90"/>
        <v>0.94495412844036697</v>
      </c>
      <c r="Q281" s="17">
        <v>3</v>
      </c>
      <c r="R281" s="36">
        <f t="shared" si="80"/>
        <v>1.1857707509881422E-2</v>
      </c>
      <c r="S281" s="17">
        <v>3</v>
      </c>
      <c r="T281" s="36">
        <f t="shared" si="91"/>
        <v>2.7522935779816515E-2</v>
      </c>
      <c r="U281" s="17">
        <v>10</v>
      </c>
      <c r="V281" s="36">
        <f t="shared" si="81"/>
        <v>3.9525691699604744E-2</v>
      </c>
      <c r="W281" s="17">
        <v>2</v>
      </c>
      <c r="X281" s="36">
        <f t="shared" si="92"/>
        <v>1.834862385321101E-2</v>
      </c>
      <c r="Y281" s="17">
        <v>172</v>
      </c>
      <c r="Z281" s="36">
        <f t="shared" si="82"/>
        <v>0.67984189723320154</v>
      </c>
      <c r="AA281" s="17">
        <v>72</v>
      </c>
      <c r="AB281" s="36">
        <f t="shared" si="93"/>
        <v>0.66055045871559637</v>
      </c>
      <c r="AC281" s="17">
        <v>46</v>
      </c>
      <c r="AD281" s="36">
        <f t="shared" si="83"/>
        <v>0.18181818181818182</v>
      </c>
      <c r="AE281" s="17">
        <v>22</v>
      </c>
      <c r="AF281" s="36">
        <f t="shared" si="94"/>
        <v>0.20183486238532111</v>
      </c>
      <c r="AG281" s="17">
        <v>19</v>
      </c>
      <c r="AH281" s="36">
        <f t="shared" si="84"/>
        <v>7.5098814229249009E-2</v>
      </c>
      <c r="AI281" s="17">
        <v>9</v>
      </c>
      <c r="AJ281" s="36">
        <f t="shared" si="95"/>
        <v>8.2568807339449546E-2</v>
      </c>
      <c r="AK281" s="17">
        <v>3</v>
      </c>
      <c r="AL281" s="36">
        <f t="shared" si="85"/>
        <v>1.1857707509881422E-2</v>
      </c>
      <c r="AM281" s="17">
        <v>1</v>
      </c>
      <c r="AN281" s="36">
        <f t="shared" si="96"/>
        <v>9.1743119266055051E-3</v>
      </c>
      <c r="AO281" s="17">
        <v>253</v>
      </c>
      <c r="AP281" s="17">
        <v>109</v>
      </c>
    </row>
    <row r="282" spans="1:42" ht="15.75" customHeight="1" x14ac:dyDescent="0.25">
      <c r="A282" s="37">
        <v>2022</v>
      </c>
      <c r="B282" s="35">
        <v>170035</v>
      </c>
      <c r="C282" s="33" t="str">
        <f>VLOOKUP(B282,procv!$A$2:$D$142,4,FALSE)</f>
        <v>Ilha do Bananal</v>
      </c>
      <c r="D282" s="33" t="s">
        <v>7</v>
      </c>
      <c r="E282" s="17">
        <v>5</v>
      </c>
      <c r="F282" s="36">
        <f t="shared" si="86"/>
        <v>1.3477088948787063E-2</v>
      </c>
      <c r="G282" s="17">
        <v>3</v>
      </c>
      <c r="H282" s="36">
        <f t="shared" si="87"/>
        <v>3.7974683544303799E-2</v>
      </c>
      <c r="I282" s="17">
        <v>19</v>
      </c>
      <c r="J282" s="36">
        <f t="shared" si="88"/>
        <v>5.1212938005390833E-2</v>
      </c>
      <c r="K282" s="17">
        <v>2</v>
      </c>
      <c r="L282" s="36">
        <f t="shared" si="89"/>
        <v>2.5316455696202531E-2</v>
      </c>
      <c r="M282" s="17">
        <v>347</v>
      </c>
      <c r="N282" s="36">
        <f t="shared" si="79"/>
        <v>0.93530997304582209</v>
      </c>
      <c r="O282" s="17">
        <v>74</v>
      </c>
      <c r="P282" s="36">
        <f t="shared" si="90"/>
        <v>0.93670886075949367</v>
      </c>
      <c r="Q282" s="17">
        <v>2</v>
      </c>
      <c r="R282" s="36">
        <f t="shared" si="80"/>
        <v>5.3908355795148251E-3</v>
      </c>
      <c r="S282" s="17">
        <v>0</v>
      </c>
      <c r="T282" s="36">
        <f t="shared" si="91"/>
        <v>0</v>
      </c>
      <c r="U282" s="17">
        <v>20</v>
      </c>
      <c r="V282" s="36">
        <f t="shared" si="81"/>
        <v>5.3908355795148251E-2</v>
      </c>
      <c r="W282" s="17">
        <v>3</v>
      </c>
      <c r="X282" s="36">
        <f t="shared" si="92"/>
        <v>3.7974683544303799E-2</v>
      </c>
      <c r="Y282" s="17">
        <v>237</v>
      </c>
      <c r="Z282" s="36">
        <f t="shared" si="82"/>
        <v>0.63881401617250677</v>
      </c>
      <c r="AA282" s="17">
        <v>44</v>
      </c>
      <c r="AB282" s="36">
        <f t="shared" si="93"/>
        <v>0.55696202531645567</v>
      </c>
      <c r="AC282" s="17">
        <v>63</v>
      </c>
      <c r="AD282" s="36">
        <f t="shared" si="83"/>
        <v>0.16981132075471697</v>
      </c>
      <c r="AE282" s="17">
        <v>19</v>
      </c>
      <c r="AF282" s="36">
        <f t="shared" si="94"/>
        <v>0.24050632911392406</v>
      </c>
      <c r="AG282" s="17">
        <v>42</v>
      </c>
      <c r="AH282" s="36">
        <f t="shared" si="84"/>
        <v>0.11320754716981132</v>
      </c>
      <c r="AI282" s="17">
        <v>12</v>
      </c>
      <c r="AJ282" s="36">
        <f t="shared" si="95"/>
        <v>0.15189873417721519</v>
      </c>
      <c r="AK282" s="17">
        <v>7</v>
      </c>
      <c r="AL282" s="36">
        <f t="shared" si="85"/>
        <v>1.8867924528301886E-2</v>
      </c>
      <c r="AM282" s="17">
        <v>1</v>
      </c>
      <c r="AN282" s="36">
        <f t="shared" si="96"/>
        <v>1.2658227848101266E-2</v>
      </c>
      <c r="AO282" s="17">
        <v>371</v>
      </c>
      <c r="AP282" s="17">
        <v>79</v>
      </c>
    </row>
    <row r="283" spans="1:42" ht="15.75" customHeight="1" x14ac:dyDescent="0.25">
      <c r="A283" s="37">
        <v>2022</v>
      </c>
      <c r="B283" s="35">
        <v>170040</v>
      </c>
      <c r="C283" s="33" t="str">
        <f>VLOOKUP(B283,procv!$A$2:$D$142,4,FALSE)</f>
        <v>Sudeste</v>
      </c>
      <c r="D283" s="33" t="s">
        <v>8</v>
      </c>
      <c r="E283" s="17">
        <v>2</v>
      </c>
      <c r="F283" s="36">
        <f t="shared" si="86"/>
        <v>3.5587188612099642E-3</v>
      </c>
      <c r="G283" s="17">
        <v>3</v>
      </c>
      <c r="H283" s="36">
        <f t="shared" si="87"/>
        <v>2.0270270270270271E-2</v>
      </c>
      <c r="I283" s="17">
        <v>24</v>
      </c>
      <c r="J283" s="36">
        <f t="shared" si="88"/>
        <v>4.2704626334519574E-2</v>
      </c>
      <c r="K283" s="17">
        <v>6</v>
      </c>
      <c r="L283" s="36">
        <f t="shared" si="89"/>
        <v>4.0540540540540543E-2</v>
      </c>
      <c r="M283" s="17">
        <v>536</v>
      </c>
      <c r="N283" s="36">
        <f t="shared" si="79"/>
        <v>0.9537366548042705</v>
      </c>
      <c r="O283" s="17">
        <v>139</v>
      </c>
      <c r="P283" s="36">
        <f t="shared" si="90"/>
        <v>0.93918918918918914</v>
      </c>
      <c r="Q283" s="17">
        <v>2</v>
      </c>
      <c r="R283" s="36">
        <f t="shared" si="80"/>
        <v>3.5587188612099642E-3</v>
      </c>
      <c r="S283" s="17">
        <v>1</v>
      </c>
      <c r="T283" s="36">
        <f t="shared" si="91"/>
        <v>6.7567567567567571E-3</v>
      </c>
      <c r="U283" s="17">
        <v>15</v>
      </c>
      <c r="V283" s="36">
        <f t="shared" si="81"/>
        <v>2.6690391459074734E-2</v>
      </c>
      <c r="W283" s="17">
        <v>5</v>
      </c>
      <c r="X283" s="36">
        <f t="shared" si="92"/>
        <v>3.3783783783783786E-2</v>
      </c>
      <c r="Y283" s="17">
        <v>391</v>
      </c>
      <c r="Z283" s="36">
        <f t="shared" si="82"/>
        <v>0.69572953736654808</v>
      </c>
      <c r="AA283" s="17">
        <v>97</v>
      </c>
      <c r="AB283" s="36">
        <f t="shared" si="93"/>
        <v>0.65540540540540537</v>
      </c>
      <c r="AC283" s="17">
        <v>95</v>
      </c>
      <c r="AD283" s="36">
        <f t="shared" si="83"/>
        <v>0.16903914590747332</v>
      </c>
      <c r="AE283" s="17">
        <v>33</v>
      </c>
      <c r="AF283" s="36">
        <f t="shared" si="94"/>
        <v>0.22297297297297297</v>
      </c>
      <c r="AG283" s="17">
        <v>49</v>
      </c>
      <c r="AH283" s="36">
        <f t="shared" si="84"/>
        <v>8.7188612099644125E-2</v>
      </c>
      <c r="AI283" s="17">
        <v>8</v>
      </c>
      <c r="AJ283" s="36">
        <f t="shared" si="95"/>
        <v>5.4054054054054057E-2</v>
      </c>
      <c r="AK283" s="17">
        <v>10</v>
      </c>
      <c r="AL283" s="36">
        <f t="shared" si="85"/>
        <v>1.7793594306049824E-2</v>
      </c>
      <c r="AM283" s="17">
        <v>4</v>
      </c>
      <c r="AN283" s="36">
        <f t="shared" si="96"/>
        <v>2.7027027027027029E-2</v>
      </c>
      <c r="AO283" s="17">
        <v>562</v>
      </c>
      <c r="AP283" s="17">
        <v>148</v>
      </c>
    </row>
    <row r="284" spans="1:42" ht="15.75" customHeight="1" x14ac:dyDescent="0.25">
      <c r="A284" s="37">
        <v>2022</v>
      </c>
      <c r="B284" s="35">
        <v>170070</v>
      </c>
      <c r="C284" s="33" t="str">
        <f>VLOOKUP(B284,procv!$A$2:$D$142,4,FALSE)</f>
        <v>Ilha do Bananal</v>
      </c>
      <c r="D284" s="33" t="s">
        <v>9</v>
      </c>
      <c r="E284" s="17">
        <v>9</v>
      </c>
      <c r="F284" s="36">
        <f t="shared" si="86"/>
        <v>1.1508951406649617E-2</v>
      </c>
      <c r="G284" s="17">
        <v>1</v>
      </c>
      <c r="H284" s="36">
        <f t="shared" si="87"/>
        <v>3.5460992907801418E-3</v>
      </c>
      <c r="I284" s="17">
        <v>29</v>
      </c>
      <c r="J284" s="36">
        <f t="shared" si="88"/>
        <v>3.7084398976982097E-2</v>
      </c>
      <c r="K284" s="17">
        <v>6</v>
      </c>
      <c r="L284" s="36">
        <f t="shared" si="89"/>
        <v>2.1276595744680851E-2</v>
      </c>
      <c r="M284" s="17">
        <v>744</v>
      </c>
      <c r="N284" s="36">
        <f t="shared" si="79"/>
        <v>0.95140664961636834</v>
      </c>
      <c r="O284" s="17">
        <v>275</v>
      </c>
      <c r="P284" s="36">
        <f t="shared" si="90"/>
        <v>0.97517730496453903</v>
      </c>
      <c r="Q284" s="17">
        <v>4</v>
      </c>
      <c r="R284" s="36">
        <f t="shared" si="80"/>
        <v>5.1150895140664966E-3</v>
      </c>
      <c r="S284" s="17">
        <v>0</v>
      </c>
      <c r="T284" s="36">
        <f t="shared" si="91"/>
        <v>0</v>
      </c>
      <c r="U284" s="17">
        <v>21</v>
      </c>
      <c r="V284" s="36">
        <f t="shared" si="81"/>
        <v>2.6854219948849106E-2</v>
      </c>
      <c r="W284" s="17">
        <v>6</v>
      </c>
      <c r="X284" s="36">
        <f t="shared" si="92"/>
        <v>2.1276595744680851E-2</v>
      </c>
      <c r="Y284" s="17">
        <v>502</v>
      </c>
      <c r="Z284" s="36">
        <f t="shared" si="82"/>
        <v>0.64194373401534521</v>
      </c>
      <c r="AA284" s="17">
        <v>188</v>
      </c>
      <c r="AB284" s="36">
        <f t="shared" si="93"/>
        <v>0.66666666666666663</v>
      </c>
      <c r="AC284" s="17">
        <v>153</v>
      </c>
      <c r="AD284" s="36">
        <f t="shared" si="83"/>
        <v>0.19565217391304349</v>
      </c>
      <c r="AE284" s="17">
        <v>57</v>
      </c>
      <c r="AF284" s="36">
        <f t="shared" si="94"/>
        <v>0.20212765957446807</v>
      </c>
      <c r="AG284" s="17">
        <v>78</v>
      </c>
      <c r="AH284" s="36">
        <f t="shared" si="84"/>
        <v>9.9744245524296671E-2</v>
      </c>
      <c r="AI284" s="17">
        <v>28</v>
      </c>
      <c r="AJ284" s="36">
        <f t="shared" si="95"/>
        <v>9.9290780141843976E-2</v>
      </c>
      <c r="AK284" s="17">
        <v>24</v>
      </c>
      <c r="AL284" s="36">
        <f t="shared" si="85"/>
        <v>3.0690537084398978E-2</v>
      </c>
      <c r="AM284" s="17">
        <v>3</v>
      </c>
      <c r="AN284" s="36">
        <f t="shared" si="96"/>
        <v>1.0638297872340425E-2</v>
      </c>
      <c r="AO284" s="17">
        <v>782</v>
      </c>
      <c r="AP284" s="17">
        <v>282</v>
      </c>
    </row>
    <row r="285" spans="1:42" ht="15.75" customHeight="1" x14ac:dyDescent="0.25">
      <c r="A285" s="37">
        <v>2022</v>
      </c>
      <c r="B285" s="35">
        <v>170100</v>
      </c>
      <c r="C285" s="33" t="str">
        <f>VLOOKUP(B285,procv!$A$2:$D$142,4,FALSE)</f>
        <v>Bico do Papagaio</v>
      </c>
      <c r="D285" s="33" t="s">
        <v>10</v>
      </c>
      <c r="E285" s="17">
        <v>20</v>
      </c>
      <c r="F285" s="36">
        <f t="shared" si="86"/>
        <v>2.67022696929239E-2</v>
      </c>
      <c r="G285" s="17">
        <v>18</v>
      </c>
      <c r="H285" s="36">
        <f t="shared" si="87"/>
        <v>4.3478260869565216E-2</v>
      </c>
      <c r="I285" s="17">
        <v>35</v>
      </c>
      <c r="J285" s="36">
        <f t="shared" si="88"/>
        <v>4.6728971962616821E-2</v>
      </c>
      <c r="K285" s="17">
        <v>28</v>
      </c>
      <c r="L285" s="36">
        <f t="shared" si="89"/>
        <v>6.7632850241545889E-2</v>
      </c>
      <c r="M285" s="17">
        <v>694</v>
      </c>
      <c r="N285" s="36">
        <f t="shared" si="79"/>
        <v>0.92656875834445929</v>
      </c>
      <c r="O285" s="17">
        <v>368</v>
      </c>
      <c r="P285" s="36">
        <f t="shared" si="90"/>
        <v>0.88888888888888884</v>
      </c>
      <c r="Q285" s="17">
        <v>6</v>
      </c>
      <c r="R285" s="36">
        <f t="shared" si="80"/>
        <v>8.0106809078771702E-3</v>
      </c>
      <c r="S285" s="17">
        <v>7</v>
      </c>
      <c r="T285" s="36">
        <f t="shared" si="91"/>
        <v>1.6908212560386472E-2</v>
      </c>
      <c r="U285" s="17">
        <v>34</v>
      </c>
      <c r="V285" s="36">
        <f t="shared" si="81"/>
        <v>4.5393858477970631E-2</v>
      </c>
      <c r="W285" s="17">
        <v>18</v>
      </c>
      <c r="X285" s="36">
        <f t="shared" si="92"/>
        <v>4.3478260869565216E-2</v>
      </c>
      <c r="Y285" s="17">
        <v>510</v>
      </c>
      <c r="Z285" s="36">
        <f t="shared" si="82"/>
        <v>0.68090787716955936</v>
      </c>
      <c r="AA285" s="17">
        <v>279</v>
      </c>
      <c r="AB285" s="36">
        <f t="shared" si="93"/>
        <v>0.67391304347826086</v>
      </c>
      <c r="AC285" s="17">
        <v>128</v>
      </c>
      <c r="AD285" s="36">
        <f t="shared" si="83"/>
        <v>0.17089452603471295</v>
      </c>
      <c r="AE285" s="17">
        <v>74</v>
      </c>
      <c r="AF285" s="36">
        <f t="shared" si="94"/>
        <v>0.17874396135265699</v>
      </c>
      <c r="AG285" s="17">
        <v>62</v>
      </c>
      <c r="AH285" s="36">
        <f t="shared" si="84"/>
        <v>8.2777036048064079E-2</v>
      </c>
      <c r="AI285" s="17">
        <v>32</v>
      </c>
      <c r="AJ285" s="36">
        <f t="shared" si="95"/>
        <v>7.7294685990338161E-2</v>
      </c>
      <c r="AK285" s="17">
        <v>9</v>
      </c>
      <c r="AL285" s="36">
        <f t="shared" si="85"/>
        <v>1.2016021361815754E-2</v>
      </c>
      <c r="AM285" s="17">
        <v>4</v>
      </c>
      <c r="AN285" s="36">
        <f t="shared" si="96"/>
        <v>9.6618357487922701E-3</v>
      </c>
      <c r="AO285" s="17">
        <v>749</v>
      </c>
      <c r="AP285" s="17">
        <v>414</v>
      </c>
    </row>
    <row r="286" spans="1:42" ht="15.75" customHeight="1" x14ac:dyDescent="0.25">
      <c r="A286" s="37">
        <v>2022</v>
      </c>
      <c r="B286" s="35">
        <v>170105</v>
      </c>
      <c r="C286" s="33" t="str">
        <f>VLOOKUP(B286,procv!$A$2:$D$142,4,FALSE)</f>
        <v>Bico do Papagaio</v>
      </c>
      <c r="D286" s="33" t="s">
        <v>11</v>
      </c>
      <c r="E286" s="17">
        <v>5</v>
      </c>
      <c r="F286" s="36">
        <f t="shared" si="86"/>
        <v>1.5723270440251572E-2</v>
      </c>
      <c r="G286" s="17">
        <v>2</v>
      </c>
      <c r="H286" s="36">
        <f t="shared" si="87"/>
        <v>2.3255813953488372E-2</v>
      </c>
      <c r="I286" s="17">
        <v>13</v>
      </c>
      <c r="J286" s="36">
        <f t="shared" si="88"/>
        <v>4.0880503144654086E-2</v>
      </c>
      <c r="K286" s="17">
        <v>6</v>
      </c>
      <c r="L286" s="36">
        <f t="shared" si="89"/>
        <v>6.9767441860465115E-2</v>
      </c>
      <c r="M286" s="17">
        <v>300</v>
      </c>
      <c r="N286" s="36">
        <f t="shared" si="79"/>
        <v>0.94339622641509435</v>
      </c>
      <c r="O286" s="17">
        <v>78</v>
      </c>
      <c r="P286" s="36">
        <f t="shared" si="90"/>
        <v>0.90697674418604646</v>
      </c>
      <c r="Q286" s="17">
        <v>4</v>
      </c>
      <c r="R286" s="36">
        <f t="shared" si="80"/>
        <v>1.2578616352201259E-2</v>
      </c>
      <c r="S286" s="17">
        <v>2</v>
      </c>
      <c r="T286" s="36">
        <f t="shared" si="91"/>
        <v>2.3255813953488372E-2</v>
      </c>
      <c r="U286" s="17">
        <v>13</v>
      </c>
      <c r="V286" s="36">
        <f t="shared" si="81"/>
        <v>4.0880503144654086E-2</v>
      </c>
      <c r="W286" s="17">
        <v>1</v>
      </c>
      <c r="X286" s="36">
        <f t="shared" si="92"/>
        <v>1.1627906976744186E-2</v>
      </c>
      <c r="Y286" s="17">
        <v>225</v>
      </c>
      <c r="Z286" s="36">
        <f t="shared" si="82"/>
        <v>0.70754716981132071</v>
      </c>
      <c r="AA286" s="17">
        <v>60</v>
      </c>
      <c r="AB286" s="36">
        <f t="shared" si="93"/>
        <v>0.69767441860465118</v>
      </c>
      <c r="AC286" s="17">
        <v>55</v>
      </c>
      <c r="AD286" s="36">
        <f t="shared" si="83"/>
        <v>0.17295597484276728</v>
      </c>
      <c r="AE286" s="17">
        <v>18</v>
      </c>
      <c r="AF286" s="36">
        <f t="shared" si="94"/>
        <v>0.20930232558139536</v>
      </c>
      <c r="AG286" s="17">
        <v>16</v>
      </c>
      <c r="AH286" s="36">
        <f t="shared" si="84"/>
        <v>5.0314465408805034E-2</v>
      </c>
      <c r="AI286" s="17">
        <v>5</v>
      </c>
      <c r="AJ286" s="36">
        <f t="shared" si="95"/>
        <v>5.8139534883720929E-2</v>
      </c>
      <c r="AK286" s="17">
        <v>5</v>
      </c>
      <c r="AL286" s="36">
        <f t="shared" si="85"/>
        <v>1.5723270440251572E-2</v>
      </c>
      <c r="AM286" s="17">
        <v>0</v>
      </c>
      <c r="AN286" s="36">
        <f t="shared" si="96"/>
        <v>0</v>
      </c>
      <c r="AO286" s="17">
        <v>318</v>
      </c>
      <c r="AP286" s="17">
        <v>86</v>
      </c>
    </row>
    <row r="287" spans="1:42" ht="15.75" customHeight="1" x14ac:dyDescent="0.25">
      <c r="A287" s="37">
        <v>2022</v>
      </c>
      <c r="B287" s="35">
        <v>170110</v>
      </c>
      <c r="C287" s="33" t="str">
        <f>VLOOKUP(B287,procv!$A$2:$D$142,4,FALSE)</f>
        <v>Capim Dourado</v>
      </c>
      <c r="D287" s="33" t="s">
        <v>12</v>
      </c>
      <c r="E287" s="17">
        <v>2</v>
      </c>
      <c r="F287" s="36">
        <f t="shared" si="86"/>
        <v>4.2735042735042739E-3</v>
      </c>
      <c r="G287" s="17">
        <v>3</v>
      </c>
      <c r="H287" s="36">
        <f t="shared" si="87"/>
        <v>3.2967032967032968E-2</v>
      </c>
      <c r="I287" s="17">
        <v>15</v>
      </c>
      <c r="J287" s="36">
        <f t="shared" si="88"/>
        <v>3.2051282051282048E-2</v>
      </c>
      <c r="K287" s="17">
        <v>2</v>
      </c>
      <c r="L287" s="36">
        <f t="shared" si="89"/>
        <v>2.197802197802198E-2</v>
      </c>
      <c r="M287" s="17">
        <v>451</v>
      </c>
      <c r="N287" s="36">
        <f t="shared" si="79"/>
        <v>0.96367521367521369</v>
      </c>
      <c r="O287" s="17">
        <v>86</v>
      </c>
      <c r="P287" s="36">
        <f t="shared" si="90"/>
        <v>0.94505494505494503</v>
      </c>
      <c r="Q287" s="17">
        <v>6</v>
      </c>
      <c r="R287" s="36">
        <f t="shared" si="80"/>
        <v>1.282051282051282E-2</v>
      </c>
      <c r="S287" s="17">
        <v>1</v>
      </c>
      <c r="T287" s="36">
        <f t="shared" si="91"/>
        <v>1.098901098901099E-2</v>
      </c>
      <c r="U287" s="17">
        <v>17</v>
      </c>
      <c r="V287" s="36">
        <f t="shared" si="81"/>
        <v>3.6324786324786328E-2</v>
      </c>
      <c r="W287" s="17">
        <v>4</v>
      </c>
      <c r="X287" s="36">
        <f t="shared" si="92"/>
        <v>4.3956043956043959E-2</v>
      </c>
      <c r="Y287" s="17">
        <v>322</v>
      </c>
      <c r="Z287" s="36">
        <f t="shared" si="82"/>
        <v>0.68803418803418803</v>
      </c>
      <c r="AA287" s="17">
        <v>63</v>
      </c>
      <c r="AB287" s="36">
        <f t="shared" si="93"/>
        <v>0.69230769230769229</v>
      </c>
      <c r="AC287" s="17">
        <v>80</v>
      </c>
      <c r="AD287" s="36">
        <f t="shared" si="83"/>
        <v>0.17094017094017094</v>
      </c>
      <c r="AE287" s="17">
        <v>15</v>
      </c>
      <c r="AF287" s="36">
        <f t="shared" si="94"/>
        <v>0.16483516483516483</v>
      </c>
      <c r="AG287" s="17">
        <v>30</v>
      </c>
      <c r="AH287" s="36">
        <f t="shared" si="84"/>
        <v>6.4102564102564097E-2</v>
      </c>
      <c r="AI287" s="17">
        <v>6</v>
      </c>
      <c r="AJ287" s="36">
        <f t="shared" si="95"/>
        <v>6.5934065934065936E-2</v>
      </c>
      <c r="AK287" s="17">
        <v>13</v>
      </c>
      <c r="AL287" s="36">
        <f t="shared" si="85"/>
        <v>2.7777777777777776E-2</v>
      </c>
      <c r="AM287" s="17">
        <v>2</v>
      </c>
      <c r="AN287" s="36">
        <f t="shared" si="96"/>
        <v>2.197802197802198E-2</v>
      </c>
      <c r="AO287" s="17">
        <v>468</v>
      </c>
      <c r="AP287" s="17">
        <v>91</v>
      </c>
    </row>
    <row r="288" spans="1:42" ht="15.75" customHeight="1" x14ac:dyDescent="0.25">
      <c r="A288" s="37">
        <v>2022</v>
      </c>
      <c r="B288" s="35">
        <v>170130</v>
      </c>
      <c r="C288" s="33" t="str">
        <f>VLOOKUP(B288,procv!$A$2:$D$142,4,FALSE)</f>
        <v>Médio Norte Araguaia</v>
      </c>
      <c r="D288" s="33" t="s">
        <v>13</v>
      </c>
      <c r="E288" s="17">
        <v>13</v>
      </c>
      <c r="F288" s="36">
        <f t="shared" si="86"/>
        <v>2.5691699604743084E-2</v>
      </c>
      <c r="G288" s="17">
        <v>1</v>
      </c>
      <c r="H288" s="36">
        <f t="shared" si="87"/>
        <v>1.0869565217391304E-2</v>
      </c>
      <c r="I288" s="17">
        <v>9</v>
      </c>
      <c r="J288" s="36">
        <f t="shared" si="88"/>
        <v>1.7786561264822136E-2</v>
      </c>
      <c r="K288" s="17">
        <v>7</v>
      </c>
      <c r="L288" s="36">
        <f t="shared" si="89"/>
        <v>7.6086956521739135E-2</v>
      </c>
      <c r="M288" s="17">
        <v>484</v>
      </c>
      <c r="N288" s="36">
        <f t="shared" ref="N288:N316" si="97">IFERROR(M288/$AO288,0)</f>
        <v>0.95652173913043481</v>
      </c>
      <c r="O288" s="17">
        <v>84</v>
      </c>
      <c r="P288" s="36">
        <f t="shared" si="90"/>
        <v>0.91304347826086951</v>
      </c>
      <c r="Q288" s="17">
        <v>6</v>
      </c>
      <c r="R288" s="36">
        <f t="shared" ref="R288:R316" si="98">IFERROR(Q288/$AO288,0)</f>
        <v>1.1857707509881422E-2</v>
      </c>
      <c r="S288" s="17">
        <v>0</v>
      </c>
      <c r="T288" s="36">
        <f t="shared" si="91"/>
        <v>0</v>
      </c>
      <c r="U288" s="17">
        <v>20</v>
      </c>
      <c r="V288" s="36">
        <f t="shared" ref="V288:V316" si="99">IFERROR(U288/$AO288,0)</f>
        <v>3.9525691699604744E-2</v>
      </c>
      <c r="W288" s="17">
        <v>2</v>
      </c>
      <c r="X288" s="36">
        <f t="shared" si="92"/>
        <v>2.1739130434782608E-2</v>
      </c>
      <c r="Y288" s="17">
        <v>350</v>
      </c>
      <c r="Z288" s="36">
        <f t="shared" ref="Z288:Z316" si="100">IFERROR(Y288/$AO288,0)</f>
        <v>0.69169960474308301</v>
      </c>
      <c r="AA288" s="17">
        <v>68</v>
      </c>
      <c r="AB288" s="36">
        <f t="shared" si="93"/>
        <v>0.73913043478260865</v>
      </c>
      <c r="AC288" s="17">
        <v>86</v>
      </c>
      <c r="AD288" s="36">
        <f t="shared" ref="AD288:AD316" si="101">IFERROR(AC288/$AO288,0)</f>
        <v>0.16996047430830039</v>
      </c>
      <c r="AE288" s="17">
        <v>12</v>
      </c>
      <c r="AF288" s="36">
        <f t="shared" si="94"/>
        <v>0.13043478260869565</v>
      </c>
      <c r="AG288" s="17">
        <v>36</v>
      </c>
      <c r="AH288" s="36">
        <f t="shared" ref="AH288:AH316" si="102">IFERROR(AG288/$AO288,0)</f>
        <v>7.1146245059288543E-2</v>
      </c>
      <c r="AI288" s="17">
        <v>9</v>
      </c>
      <c r="AJ288" s="36">
        <f t="shared" si="95"/>
        <v>9.7826086956521743E-2</v>
      </c>
      <c r="AK288" s="17">
        <v>8</v>
      </c>
      <c r="AL288" s="36">
        <f t="shared" ref="AL288:AL316" si="103">IFERROR(AK288/$AO288,0)</f>
        <v>1.5810276679841896E-2</v>
      </c>
      <c r="AM288" s="17">
        <v>1</v>
      </c>
      <c r="AN288" s="36">
        <f t="shared" si="96"/>
        <v>1.0869565217391304E-2</v>
      </c>
      <c r="AO288" s="17">
        <v>506</v>
      </c>
      <c r="AP288" s="17">
        <v>92</v>
      </c>
    </row>
    <row r="289" spans="1:42" ht="15.75" customHeight="1" x14ac:dyDescent="0.25">
      <c r="A289" s="37">
        <v>2022</v>
      </c>
      <c r="B289" s="35">
        <v>170190</v>
      </c>
      <c r="C289" s="33" t="str">
        <f>VLOOKUP(B289,procv!$A$2:$D$142,4,FALSE)</f>
        <v>Cantão</v>
      </c>
      <c r="D289" s="33" t="s">
        <v>14</v>
      </c>
      <c r="E289" s="17">
        <v>5</v>
      </c>
      <c r="F289" s="36">
        <f t="shared" si="86"/>
        <v>8.771929824561403E-3</v>
      </c>
      <c r="G289" s="17">
        <v>3</v>
      </c>
      <c r="H289" s="36">
        <f t="shared" si="87"/>
        <v>1.5384615384615385E-2</v>
      </c>
      <c r="I289" s="17">
        <v>25</v>
      </c>
      <c r="J289" s="36">
        <f t="shared" si="88"/>
        <v>4.3859649122807015E-2</v>
      </c>
      <c r="K289" s="17">
        <v>7</v>
      </c>
      <c r="L289" s="36">
        <f t="shared" si="89"/>
        <v>3.5897435897435895E-2</v>
      </c>
      <c r="M289" s="17">
        <v>540</v>
      </c>
      <c r="N289" s="36">
        <f t="shared" si="97"/>
        <v>0.94736842105263153</v>
      </c>
      <c r="O289" s="17">
        <v>185</v>
      </c>
      <c r="P289" s="36">
        <f t="shared" si="90"/>
        <v>0.94871794871794868</v>
      </c>
      <c r="Q289" s="17">
        <v>4</v>
      </c>
      <c r="R289" s="36">
        <f t="shared" si="98"/>
        <v>7.0175438596491229E-3</v>
      </c>
      <c r="S289" s="17">
        <v>1</v>
      </c>
      <c r="T289" s="36">
        <f t="shared" si="91"/>
        <v>5.1282051282051282E-3</v>
      </c>
      <c r="U289" s="17">
        <v>13</v>
      </c>
      <c r="V289" s="36">
        <f t="shared" si="99"/>
        <v>2.2807017543859651E-2</v>
      </c>
      <c r="W289" s="17">
        <v>3</v>
      </c>
      <c r="X289" s="36">
        <f t="shared" si="92"/>
        <v>1.5384615384615385E-2</v>
      </c>
      <c r="Y289" s="17">
        <v>396</v>
      </c>
      <c r="Z289" s="36">
        <f t="shared" si="100"/>
        <v>0.69473684210526321</v>
      </c>
      <c r="AA289" s="17">
        <v>135</v>
      </c>
      <c r="AB289" s="36">
        <f t="shared" si="93"/>
        <v>0.69230769230769229</v>
      </c>
      <c r="AC289" s="17">
        <v>99</v>
      </c>
      <c r="AD289" s="36">
        <f t="shared" si="101"/>
        <v>0.1736842105263158</v>
      </c>
      <c r="AE289" s="17">
        <v>39</v>
      </c>
      <c r="AF289" s="36">
        <f t="shared" si="94"/>
        <v>0.2</v>
      </c>
      <c r="AG289" s="17">
        <v>46</v>
      </c>
      <c r="AH289" s="36">
        <f t="shared" si="102"/>
        <v>8.0701754385964913E-2</v>
      </c>
      <c r="AI289" s="17">
        <v>15</v>
      </c>
      <c r="AJ289" s="36">
        <f t="shared" si="95"/>
        <v>7.6923076923076927E-2</v>
      </c>
      <c r="AK289" s="17">
        <v>12</v>
      </c>
      <c r="AL289" s="36">
        <f t="shared" si="103"/>
        <v>2.1052631578947368E-2</v>
      </c>
      <c r="AM289" s="17">
        <v>2</v>
      </c>
      <c r="AN289" s="36">
        <f t="shared" si="96"/>
        <v>1.0256410256410256E-2</v>
      </c>
      <c r="AO289" s="17">
        <v>570</v>
      </c>
      <c r="AP289" s="17">
        <v>195</v>
      </c>
    </row>
    <row r="290" spans="1:42" ht="15.75" customHeight="1" x14ac:dyDescent="0.25">
      <c r="A290" s="37">
        <v>2022</v>
      </c>
      <c r="B290" s="35">
        <v>170200</v>
      </c>
      <c r="C290" s="33" t="str">
        <f>VLOOKUP(B290,procv!$A$2:$D$142,4,FALSE)</f>
        <v>Ilha do Bananal</v>
      </c>
      <c r="D290" s="33" t="s">
        <v>15</v>
      </c>
      <c r="E290" s="17">
        <v>3</v>
      </c>
      <c r="F290" s="36">
        <f t="shared" si="86"/>
        <v>6.2500000000000003E-3</v>
      </c>
      <c r="G290" s="17">
        <v>1</v>
      </c>
      <c r="H290" s="36">
        <f t="shared" si="87"/>
        <v>1.282051282051282E-2</v>
      </c>
      <c r="I290" s="17">
        <v>16</v>
      </c>
      <c r="J290" s="36">
        <f t="shared" si="88"/>
        <v>3.3333333333333333E-2</v>
      </c>
      <c r="K290" s="17">
        <v>0</v>
      </c>
      <c r="L290" s="36">
        <f t="shared" si="89"/>
        <v>0</v>
      </c>
      <c r="M290" s="17">
        <v>461</v>
      </c>
      <c r="N290" s="36">
        <f t="shared" si="97"/>
        <v>0.9604166666666667</v>
      </c>
      <c r="O290" s="17">
        <v>77</v>
      </c>
      <c r="P290" s="36">
        <f t="shared" si="90"/>
        <v>0.98717948717948723</v>
      </c>
      <c r="Q290" s="17">
        <v>4</v>
      </c>
      <c r="R290" s="36">
        <f t="shared" si="98"/>
        <v>8.3333333333333332E-3</v>
      </c>
      <c r="S290" s="17">
        <v>0</v>
      </c>
      <c r="T290" s="36">
        <f t="shared" si="91"/>
        <v>0</v>
      </c>
      <c r="U290" s="17">
        <v>18</v>
      </c>
      <c r="V290" s="36">
        <f t="shared" si="99"/>
        <v>3.7499999999999999E-2</v>
      </c>
      <c r="W290" s="17">
        <v>4</v>
      </c>
      <c r="X290" s="36">
        <f t="shared" si="92"/>
        <v>5.128205128205128E-2</v>
      </c>
      <c r="Y290" s="17">
        <v>308</v>
      </c>
      <c r="Z290" s="36">
        <f t="shared" si="100"/>
        <v>0.64166666666666672</v>
      </c>
      <c r="AA290" s="17">
        <v>50</v>
      </c>
      <c r="AB290" s="36">
        <f t="shared" si="93"/>
        <v>0.64102564102564108</v>
      </c>
      <c r="AC290" s="17">
        <v>76</v>
      </c>
      <c r="AD290" s="36">
        <f t="shared" si="101"/>
        <v>0.15833333333333333</v>
      </c>
      <c r="AE290" s="17">
        <v>12</v>
      </c>
      <c r="AF290" s="36">
        <f t="shared" si="94"/>
        <v>0.15384615384615385</v>
      </c>
      <c r="AG290" s="17">
        <v>57</v>
      </c>
      <c r="AH290" s="36">
        <f t="shared" si="102"/>
        <v>0.11874999999999999</v>
      </c>
      <c r="AI290" s="17">
        <v>12</v>
      </c>
      <c r="AJ290" s="36">
        <f t="shared" si="95"/>
        <v>0.15384615384615385</v>
      </c>
      <c r="AK290" s="17">
        <v>17</v>
      </c>
      <c r="AL290" s="36">
        <f t="shared" si="103"/>
        <v>3.5416666666666666E-2</v>
      </c>
      <c r="AM290" s="17">
        <v>0</v>
      </c>
      <c r="AN290" s="36">
        <f t="shared" si="96"/>
        <v>0</v>
      </c>
      <c r="AO290" s="17">
        <v>480</v>
      </c>
      <c r="AP290" s="17">
        <v>78</v>
      </c>
    </row>
    <row r="291" spans="1:42" ht="15.75" customHeight="1" x14ac:dyDescent="0.25">
      <c r="A291" s="37">
        <v>2022</v>
      </c>
      <c r="B291" s="35">
        <v>170210</v>
      </c>
      <c r="C291" s="33" t="str">
        <f>VLOOKUP(B291,procv!$A$2:$D$142,4,FALSE)</f>
        <v>Médio Norte Araguaia</v>
      </c>
      <c r="D291" s="33" t="s">
        <v>16</v>
      </c>
      <c r="E291" s="17">
        <v>85</v>
      </c>
      <c r="F291" s="36">
        <f t="shared" si="86"/>
        <v>1.014077785731329E-2</v>
      </c>
      <c r="G291" s="17">
        <v>25</v>
      </c>
      <c r="H291" s="36">
        <f t="shared" si="87"/>
        <v>9.6116878123798533E-3</v>
      </c>
      <c r="I291" s="17">
        <v>610</v>
      </c>
      <c r="J291" s="36">
        <f t="shared" si="88"/>
        <v>7.277499403483656E-2</v>
      </c>
      <c r="K291" s="17">
        <v>383</v>
      </c>
      <c r="L291" s="36">
        <f t="shared" si="89"/>
        <v>0.14725105728565935</v>
      </c>
      <c r="M291" s="16">
        <v>7687</v>
      </c>
      <c r="N291" s="36">
        <f t="shared" si="97"/>
        <v>0.91708422810785017</v>
      </c>
      <c r="O291" s="16">
        <v>2193</v>
      </c>
      <c r="P291" s="36">
        <f t="shared" si="90"/>
        <v>0.84313725490196079</v>
      </c>
      <c r="Q291" s="17">
        <v>83</v>
      </c>
      <c r="R291" s="36">
        <f t="shared" si="98"/>
        <v>9.9021713194941546E-3</v>
      </c>
      <c r="S291" s="17">
        <v>15</v>
      </c>
      <c r="T291" s="36">
        <f t="shared" si="91"/>
        <v>5.7670126874279125E-3</v>
      </c>
      <c r="U291" s="17">
        <v>316</v>
      </c>
      <c r="V291" s="36">
        <f t="shared" si="99"/>
        <v>3.7699832975423529E-2</v>
      </c>
      <c r="W291" s="17">
        <v>77</v>
      </c>
      <c r="X291" s="36">
        <f t="shared" si="92"/>
        <v>2.9603998462129948E-2</v>
      </c>
      <c r="Y291" s="16">
        <v>6085</v>
      </c>
      <c r="Z291" s="36">
        <f t="shared" si="100"/>
        <v>0.72596039131472201</v>
      </c>
      <c r="AA291" s="16">
        <v>2132</v>
      </c>
      <c r="AB291" s="36">
        <f t="shared" si="93"/>
        <v>0.81968473663975394</v>
      </c>
      <c r="AC291" s="16">
        <v>1204</v>
      </c>
      <c r="AD291" s="36">
        <f t="shared" si="101"/>
        <v>0.14364113576712001</v>
      </c>
      <c r="AE291" s="17">
        <v>275</v>
      </c>
      <c r="AF291" s="36">
        <f t="shared" si="94"/>
        <v>0.1057285659361784</v>
      </c>
      <c r="AG291" s="17">
        <v>572</v>
      </c>
      <c r="AH291" s="36">
        <f t="shared" si="102"/>
        <v>6.8241469816272965E-2</v>
      </c>
      <c r="AI291" s="17">
        <v>81</v>
      </c>
      <c r="AJ291" s="36">
        <f t="shared" si="95"/>
        <v>3.1141868512110725E-2</v>
      </c>
      <c r="AK291" s="17">
        <v>123</v>
      </c>
      <c r="AL291" s="36">
        <f t="shared" si="103"/>
        <v>1.467430207587688E-2</v>
      </c>
      <c r="AM291" s="17">
        <v>22</v>
      </c>
      <c r="AN291" s="36">
        <f t="shared" si="96"/>
        <v>8.4582852748942717E-3</v>
      </c>
      <c r="AO291" s="16">
        <v>8382</v>
      </c>
      <c r="AP291" s="16">
        <v>2601</v>
      </c>
    </row>
    <row r="292" spans="1:42" ht="15.75" customHeight="1" x14ac:dyDescent="0.25">
      <c r="A292" s="37">
        <v>2022</v>
      </c>
      <c r="B292" s="35">
        <v>170215</v>
      </c>
      <c r="C292" s="33" t="str">
        <f>VLOOKUP(B292,procv!$A$2:$D$142,4,FALSE)</f>
        <v>Médio Norte Araguaia</v>
      </c>
      <c r="D292" s="33" t="s">
        <v>17</v>
      </c>
      <c r="E292" s="17">
        <v>13</v>
      </c>
      <c r="F292" s="36">
        <f t="shared" si="86"/>
        <v>3.0732860520094562E-2</v>
      </c>
      <c r="G292" s="17">
        <v>2</v>
      </c>
      <c r="H292" s="36">
        <f t="shared" si="87"/>
        <v>1.7241379310344827E-2</v>
      </c>
      <c r="I292" s="17">
        <v>29</v>
      </c>
      <c r="J292" s="36">
        <f t="shared" si="88"/>
        <v>6.8557919621749411E-2</v>
      </c>
      <c r="K292" s="17">
        <v>10</v>
      </c>
      <c r="L292" s="36">
        <f t="shared" si="89"/>
        <v>8.6206896551724144E-2</v>
      </c>
      <c r="M292" s="17">
        <v>381</v>
      </c>
      <c r="N292" s="36">
        <f t="shared" si="97"/>
        <v>0.900709219858156</v>
      </c>
      <c r="O292" s="17">
        <v>104</v>
      </c>
      <c r="P292" s="36">
        <f t="shared" si="90"/>
        <v>0.89655172413793105</v>
      </c>
      <c r="Q292" s="17">
        <v>8</v>
      </c>
      <c r="R292" s="36">
        <f t="shared" si="98"/>
        <v>1.8912529550827423E-2</v>
      </c>
      <c r="S292" s="17">
        <v>3</v>
      </c>
      <c r="T292" s="36">
        <f t="shared" si="91"/>
        <v>2.5862068965517241E-2</v>
      </c>
      <c r="U292" s="17">
        <v>14</v>
      </c>
      <c r="V292" s="36">
        <f t="shared" si="99"/>
        <v>3.309692671394799E-2</v>
      </c>
      <c r="W292" s="17">
        <v>3</v>
      </c>
      <c r="X292" s="36">
        <f t="shared" si="92"/>
        <v>2.5862068965517241E-2</v>
      </c>
      <c r="Y292" s="17">
        <v>314</v>
      </c>
      <c r="Z292" s="36">
        <f t="shared" si="100"/>
        <v>0.74231678486997632</v>
      </c>
      <c r="AA292" s="17">
        <v>85</v>
      </c>
      <c r="AB292" s="36">
        <f t="shared" si="93"/>
        <v>0.73275862068965514</v>
      </c>
      <c r="AC292" s="17">
        <v>50</v>
      </c>
      <c r="AD292" s="36">
        <f t="shared" si="101"/>
        <v>0.1182033096926714</v>
      </c>
      <c r="AE292" s="17">
        <v>13</v>
      </c>
      <c r="AF292" s="36">
        <f t="shared" si="94"/>
        <v>0.11206896551724138</v>
      </c>
      <c r="AG292" s="17">
        <v>29</v>
      </c>
      <c r="AH292" s="36">
        <f t="shared" si="102"/>
        <v>6.8557919621749411E-2</v>
      </c>
      <c r="AI292" s="17">
        <v>11</v>
      </c>
      <c r="AJ292" s="36">
        <f t="shared" si="95"/>
        <v>9.4827586206896547E-2</v>
      </c>
      <c r="AK292" s="17">
        <v>8</v>
      </c>
      <c r="AL292" s="36">
        <f t="shared" si="103"/>
        <v>1.8912529550827423E-2</v>
      </c>
      <c r="AM292" s="17">
        <v>1</v>
      </c>
      <c r="AN292" s="36">
        <f t="shared" si="96"/>
        <v>8.6206896551724137E-3</v>
      </c>
      <c r="AO292" s="17">
        <v>423</v>
      </c>
      <c r="AP292" s="17">
        <v>116</v>
      </c>
    </row>
    <row r="293" spans="1:42" ht="15.75" customHeight="1" x14ac:dyDescent="0.25">
      <c r="A293" s="37">
        <v>2022</v>
      </c>
      <c r="B293" s="35">
        <v>170220</v>
      </c>
      <c r="C293" s="33" t="str">
        <f>VLOOKUP(B293,procv!$A$2:$D$142,4,FALSE)</f>
        <v>Bico do Papagaio</v>
      </c>
      <c r="D293" s="33" t="s">
        <v>18</v>
      </c>
      <c r="E293" s="17">
        <v>66</v>
      </c>
      <c r="F293" s="36">
        <f t="shared" si="86"/>
        <v>2.1032504780114723E-2</v>
      </c>
      <c r="G293" s="17">
        <v>31</v>
      </c>
      <c r="H293" s="36">
        <f t="shared" si="87"/>
        <v>3.5755478662053058E-2</v>
      </c>
      <c r="I293" s="17">
        <v>166</v>
      </c>
      <c r="J293" s="36">
        <f t="shared" si="88"/>
        <v>5.2899936265137032E-2</v>
      </c>
      <c r="K293" s="17">
        <v>50</v>
      </c>
      <c r="L293" s="36">
        <f t="shared" si="89"/>
        <v>5.7670126874279123E-2</v>
      </c>
      <c r="M293" s="16">
        <v>2906</v>
      </c>
      <c r="N293" s="36">
        <f t="shared" si="97"/>
        <v>0.92606755895474824</v>
      </c>
      <c r="O293" s="17">
        <v>786</v>
      </c>
      <c r="P293" s="36">
        <f t="shared" si="90"/>
        <v>0.90657439446366783</v>
      </c>
      <c r="Q293" s="17">
        <v>55</v>
      </c>
      <c r="R293" s="36">
        <f t="shared" si="98"/>
        <v>1.7527087316762269E-2</v>
      </c>
      <c r="S293" s="17">
        <v>15</v>
      </c>
      <c r="T293" s="36">
        <f t="shared" si="91"/>
        <v>1.7301038062283738E-2</v>
      </c>
      <c r="U293" s="17">
        <v>181</v>
      </c>
      <c r="V293" s="36">
        <f t="shared" si="99"/>
        <v>5.7680050987890377E-2</v>
      </c>
      <c r="W293" s="17">
        <v>51</v>
      </c>
      <c r="X293" s="36">
        <f t="shared" si="92"/>
        <v>5.8823529411764705E-2</v>
      </c>
      <c r="Y293" s="16">
        <v>2318</v>
      </c>
      <c r="Z293" s="36">
        <f t="shared" si="100"/>
        <v>0.73868706182281707</v>
      </c>
      <c r="AA293" s="17">
        <v>635</v>
      </c>
      <c r="AB293" s="36">
        <f t="shared" si="93"/>
        <v>0.73241061130334484</v>
      </c>
      <c r="AC293" s="17">
        <v>374</v>
      </c>
      <c r="AD293" s="36">
        <f t="shared" si="101"/>
        <v>0.11918419375398343</v>
      </c>
      <c r="AE293" s="17">
        <v>104</v>
      </c>
      <c r="AF293" s="36">
        <f t="shared" si="94"/>
        <v>0.11995386389850057</v>
      </c>
      <c r="AG293" s="17">
        <v>185</v>
      </c>
      <c r="AH293" s="36">
        <f t="shared" si="102"/>
        <v>5.8954748247291265E-2</v>
      </c>
      <c r="AI293" s="17">
        <v>54</v>
      </c>
      <c r="AJ293" s="36">
        <f t="shared" si="95"/>
        <v>6.228373702422145E-2</v>
      </c>
      <c r="AK293" s="17">
        <v>25</v>
      </c>
      <c r="AL293" s="36">
        <f t="shared" si="103"/>
        <v>7.9668578712555772E-3</v>
      </c>
      <c r="AM293" s="17">
        <v>8</v>
      </c>
      <c r="AN293" s="36">
        <f t="shared" si="96"/>
        <v>9.22722029988466E-3</v>
      </c>
      <c r="AO293" s="16">
        <v>3138</v>
      </c>
      <c r="AP293" s="17">
        <v>867</v>
      </c>
    </row>
    <row r="294" spans="1:42" ht="15.75" customHeight="1" x14ac:dyDescent="0.25">
      <c r="A294" s="37">
        <v>2022</v>
      </c>
      <c r="B294" s="35">
        <v>170230</v>
      </c>
      <c r="C294" s="33" t="str">
        <f>VLOOKUP(B294,procv!$A$2:$D$142,4,FALSE)</f>
        <v>Cerrado Tocantins Araguaia</v>
      </c>
      <c r="D294" s="33" t="s">
        <v>19</v>
      </c>
      <c r="E294" s="17">
        <v>5</v>
      </c>
      <c r="F294" s="36">
        <f t="shared" si="86"/>
        <v>2.3809523809523808E-2</v>
      </c>
      <c r="G294" s="17">
        <v>2</v>
      </c>
      <c r="H294" s="36">
        <f t="shared" si="87"/>
        <v>1.4184397163120567E-2</v>
      </c>
      <c r="I294" s="17">
        <v>6</v>
      </c>
      <c r="J294" s="36">
        <f t="shared" si="88"/>
        <v>2.8571428571428571E-2</v>
      </c>
      <c r="K294" s="17">
        <v>4</v>
      </c>
      <c r="L294" s="36">
        <f t="shared" si="89"/>
        <v>2.8368794326241134E-2</v>
      </c>
      <c r="M294" s="17">
        <v>199</v>
      </c>
      <c r="N294" s="36">
        <f t="shared" si="97"/>
        <v>0.94761904761904758</v>
      </c>
      <c r="O294" s="17">
        <v>135</v>
      </c>
      <c r="P294" s="36">
        <f t="shared" si="90"/>
        <v>0.95744680851063835</v>
      </c>
      <c r="Q294" s="17">
        <v>4</v>
      </c>
      <c r="R294" s="36">
        <f t="shared" si="98"/>
        <v>1.9047619047619049E-2</v>
      </c>
      <c r="S294" s="17">
        <v>3</v>
      </c>
      <c r="T294" s="36">
        <f t="shared" si="91"/>
        <v>2.1276595744680851E-2</v>
      </c>
      <c r="U294" s="17">
        <v>9</v>
      </c>
      <c r="V294" s="36">
        <f t="shared" si="99"/>
        <v>4.2857142857142858E-2</v>
      </c>
      <c r="W294" s="17">
        <v>7</v>
      </c>
      <c r="X294" s="36">
        <f t="shared" si="92"/>
        <v>4.9645390070921988E-2</v>
      </c>
      <c r="Y294" s="17">
        <v>141</v>
      </c>
      <c r="Z294" s="36">
        <f t="shared" si="100"/>
        <v>0.67142857142857137</v>
      </c>
      <c r="AA294" s="17">
        <v>95</v>
      </c>
      <c r="AB294" s="36">
        <f t="shared" si="93"/>
        <v>0.67375886524822692</v>
      </c>
      <c r="AC294" s="17">
        <v>37</v>
      </c>
      <c r="AD294" s="36">
        <f t="shared" si="101"/>
        <v>0.1761904761904762</v>
      </c>
      <c r="AE294" s="17">
        <v>27</v>
      </c>
      <c r="AF294" s="36">
        <f t="shared" si="94"/>
        <v>0.19148936170212766</v>
      </c>
      <c r="AG294" s="17">
        <v>16</v>
      </c>
      <c r="AH294" s="36">
        <f t="shared" si="102"/>
        <v>7.6190476190476197E-2</v>
      </c>
      <c r="AI294" s="17">
        <v>9</v>
      </c>
      <c r="AJ294" s="36">
        <f t="shared" si="95"/>
        <v>6.3829787234042548E-2</v>
      </c>
      <c r="AK294" s="17">
        <v>3</v>
      </c>
      <c r="AL294" s="36">
        <f t="shared" si="103"/>
        <v>1.4285714285714285E-2</v>
      </c>
      <c r="AM294" s="17">
        <v>0</v>
      </c>
      <c r="AN294" s="36">
        <f t="shared" si="96"/>
        <v>0</v>
      </c>
      <c r="AO294" s="17">
        <v>210</v>
      </c>
      <c r="AP294" s="17">
        <v>141</v>
      </c>
    </row>
    <row r="295" spans="1:42" ht="15.75" customHeight="1" x14ac:dyDescent="0.25">
      <c r="A295" s="37">
        <v>2022</v>
      </c>
      <c r="B295" s="35">
        <v>170240</v>
      </c>
      <c r="C295" s="33" t="str">
        <f>VLOOKUP(B295,procv!$A$2:$D$142,4,FALSE)</f>
        <v>Sudeste</v>
      </c>
      <c r="D295" s="33" t="s">
        <v>20</v>
      </c>
      <c r="E295" s="17">
        <v>10</v>
      </c>
      <c r="F295" s="36">
        <f t="shared" si="86"/>
        <v>1.1641443538998836E-2</v>
      </c>
      <c r="G295" s="17">
        <v>9</v>
      </c>
      <c r="H295" s="36">
        <f t="shared" si="87"/>
        <v>2.6946107784431138E-2</v>
      </c>
      <c r="I295" s="17">
        <v>23</v>
      </c>
      <c r="J295" s="36">
        <f t="shared" si="88"/>
        <v>2.6775320139697321E-2</v>
      </c>
      <c r="K295" s="17">
        <v>11</v>
      </c>
      <c r="L295" s="36">
        <f t="shared" si="89"/>
        <v>3.2934131736526949E-2</v>
      </c>
      <c r="M295" s="17">
        <v>826</v>
      </c>
      <c r="N295" s="36">
        <f t="shared" si="97"/>
        <v>0.96158323632130382</v>
      </c>
      <c r="O295" s="17">
        <v>314</v>
      </c>
      <c r="P295" s="36">
        <f t="shared" si="90"/>
        <v>0.94011976047904189</v>
      </c>
      <c r="Q295" s="17">
        <v>12</v>
      </c>
      <c r="R295" s="36">
        <f t="shared" si="98"/>
        <v>1.3969732246798603E-2</v>
      </c>
      <c r="S295" s="17">
        <v>7</v>
      </c>
      <c r="T295" s="36">
        <f t="shared" si="91"/>
        <v>2.0958083832335328E-2</v>
      </c>
      <c r="U295" s="17">
        <v>46</v>
      </c>
      <c r="V295" s="36">
        <f t="shared" si="99"/>
        <v>5.3550640279394643E-2</v>
      </c>
      <c r="W295" s="17">
        <v>17</v>
      </c>
      <c r="X295" s="36">
        <f t="shared" si="92"/>
        <v>5.089820359281437E-2</v>
      </c>
      <c r="Y295" s="17">
        <v>612</v>
      </c>
      <c r="Z295" s="36">
        <f t="shared" si="100"/>
        <v>0.7124563445867288</v>
      </c>
      <c r="AA295" s="17">
        <v>232</v>
      </c>
      <c r="AB295" s="36">
        <f t="shared" si="93"/>
        <v>0.69461077844311381</v>
      </c>
      <c r="AC295" s="17">
        <v>127</v>
      </c>
      <c r="AD295" s="36">
        <f t="shared" si="101"/>
        <v>0.14784633294528521</v>
      </c>
      <c r="AE295" s="17">
        <v>51</v>
      </c>
      <c r="AF295" s="36">
        <f t="shared" si="94"/>
        <v>0.15269461077844312</v>
      </c>
      <c r="AG295" s="17">
        <v>54</v>
      </c>
      <c r="AH295" s="36">
        <f t="shared" si="102"/>
        <v>6.2863795110593715E-2</v>
      </c>
      <c r="AI295" s="17">
        <v>23</v>
      </c>
      <c r="AJ295" s="36">
        <f t="shared" si="95"/>
        <v>6.8862275449101798E-2</v>
      </c>
      <c r="AK295" s="17">
        <v>8</v>
      </c>
      <c r="AL295" s="36">
        <f t="shared" si="103"/>
        <v>9.3131548311990685E-3</v>
      </c>
      <c r="AM295" s="17">
        <v>4</v>
      </c>
      <c r="AN295" s="36">
        <f t="shared" si="96"/>
        <v>1.1976047904191617E-2</v>
      </c>
      <c r="AO295" s="17">
        <v>859</v>
      </c>
      <c r="AP295" s="17">
        <v>334</v>
      </c>
    </row>
    <row r="296" spans="1:42" ht="15.75" customHeight="1" x14ac:dyDescent="0.25">
      <c r="A296" s="37">
        <v>2022</v>
      </c>
      <c r="B296" s="35">
        <v>170255</v>
      </c>
      <c r="C296" s="33" t="str">
        <f>VLOOKUP(B296,procv!$A$2:$D$142,4,FALSE)</f>
        <v>Bico do Papagaio</v>
      </c>
      <c r="D296" s="33" t="s">
        <v>21</v>
      </c>
      <c r="E296" s="17">
        <v>24</v>
      </c>
      <c r="F296" s="36">
        <f t="shared" si="86"/>
        <v>1.688951442646024E-2</v>
      </c>
      <c r="G296" s="17">
        <v>7</v>
      </c>
      <c r="H296" s="36">
        <f t="shared" si="87"/>
        <v>1.8567639257294429E-2</v>
      </c>
      <c r="I296" s="17">
        <v>73</v>
      </c>
      <c r="J296" s="36">
        <f t="shared" si="88"/>
        <v>5.1372273047149891E-2</v>
      </c>
      <c r="K296" s="17">
        <v>28</v>
      </c>
      <c r="L296" s="36">
        <f t="shared" si="89"/>
        <v>7.4270557029177717E-2</v>
      </c>
      <c r="M296" s="16">
        <v>1324</v>
      </c>
      <c r="N296" s="36">
        <f t="shared" si="97"/>
        <v>0.93173821252638989</v>
      </c>
      <c r="O296" s="17">
        <v>342</v>
      </c>
      <c r="P296" s="36">
        <f t="shared" si="90"/>
        <v>0.90716180371352784</v>
      </c>
      <c r="Q296" s="17">
        <v>20</v>
      </c>
      <c r="R296" s="36">
        <f t="shared" si="98"/>
        <v>1.4074595355383532E-2</v>
      </c>
      <c r="S296" s="17">
        <v>3</v>
      </c>
      <c r="T296" s="36">
        <f t="shared" si="91"/>
        <v>7.9575596816976128E-3</v>
      </c>
      <c r="U296" s="17">
        <v>86</v>
      </c>
      <c r="V296" s="36">
        <f t="shared" si="99"/>
        <v>6.0520760028149191E-2</v>
      </c>
      <c r="W296" s="17">
        <v>21</v>
      </c>
      <c r="X296" s="36">
        <f t="shared" si="92"/>
        <v>5.5702917771883291E-2</v>
      </c>
      <c r="Y296" s="16">
        <v>1035</v>
      </c>
      <c r="Z296" s="36">
        <f t="shared" si="100"/>
        <v>0.72836030964109777</v>
      </c>
      <c r="AA296" s="17">
        <v>281</v>
      </c>
      <c r="AB296" s="36">
        <f t="shared" si="93"/>
        <v>0.74535809018567645</v>
      </c>
      <c r="AC296" s="17">
        <v>185</v>
      </c>
      <c r="AD296" s="36">
        <f t="shared" si="101"/>
        <v>0.13019000703729769</v>
      </c>
      <c r="AE296" s="17">
        <v>45</v>
      </c>
      <c r="AF296" s="36">
        <f t="shared" si="94"/>
        <v>0.11936339522546419</v>
      </c>
      <c r="AG296" s="17">
        <v>82</v>
      </c>
      <c r="AH296" s="36">
        <f t="shared" si="102"/>
        <v>5.7705840957072485E-2</v>
      </c>
      <c r="AI296" s="17">
        <v>24</v>
      </c>
      <c r="AJ296" s="36">
        <f t="shared" si="95"/>
        <v>6.3660477453580902E-2</v>
      </c>
      <c r="AK296" s="17">
        <v>13</v>
      </c>
      <c r="AL296" s="36">
        <f t="shared" si="103"/>
        <v>9.1484869809992965E-3</v>
      </c>
      <c r="AM296" s="17">
        <v>3</v>
      </c>
      <c r="AN296" s="36">
        <f t="shared" si="96"/>
        <v>7.9575596816976128E-3</v>
      </c>
      <c r="AO296" s="16">
        <v>1421</v>
      </c>
      <c r="AP296" s="17">
        <v>377</v>
      </c>
    </row>
    <row r="297" spans="1:42" ht="15.75" customHeight="1" x14ac:dyDescent="0.25">
      <c r="A297" s="37">
        <v>2022</v>
      </c>
      <c r="B297" s="35">
        <v>170270</v>
      </c>
      <c r="C297" s="33" t="str">
        <f>VLOOKUP(B297,procv!$A$2:$D$142,4,FALSE)</f>
        <v>Sudeste</v>
      </c>
      <c r="D297" s="33" t="s">
        <v>22</v>
      </c>
      <c r="E297" s="17">
        <v>2</v>
      </c>
      <c r="F297" s="36">
        <f t="shared" si="86"/>
        <v>5.3619302949061663E-3</v>
      </c>
      <c r="G297" s="17">
        <v>1</v>
      </c>
      <c r="H297" s="36">
        <f t="shared" si="87"/>
        <v>8.6956521739130436E-3</v>
      </c>
      <c r="I297" s="17">
        <v>9</v>
      </c>
      <c r="J297" s="36">
        <f t="shared" si="88"/>
        <v>2.4128686327077747E-2</v>
      </c>
      <c r="K297" s="17">
        <v>1</v>
      </c>
      <c r="L297" s="36">
        <f t="shared" si="89"/>
        <v>8.6956521739130436E-3</v>
      </c>
      <c r="M297" s="17">
        <v>362</v>
      </c>
      <c r="N297" s="36">
        <f t="shared" si="97"/>
        <v>0.97050938337801607</v>
      </c>
      <c r="O297" s="17">
        <v>113</v>
      </c>
      <c r="P297" s="36">
        <f t="shared" si="90"/>
        <v>0.9826086956521739</v>
      </c>
      <c r="Q297" s="17">
        <v>5</v>
      </c>
      <c r="R297" s="36">
        <f t="shared" si="98"/>
        <v>1.3404825737265416E-2</v>
      </c>
      <c r="S297" s="17">
        <v>2</v>
      </c>
      <c r="T297" s="36">
        <f t="shared" si="91"/>
        <v>1.7391304347826087E-2</v>
      </c>
      <c r="U297" s="17">
        <v>15</v>
      </c>
      <c r="V297" s="36">
        <f t="shared" si="99"/>
        <v>4.0214477211796246E-2</v>
      </c>
      <c r="W297" s="17">
        <v>3</v>
      </c>
      <c r="X297" s="36">
        <f t="shared" si="92"/>
        <v>2.6086956521739129E-2</v>
      </c>
      <c r="Y297" s="17">
        <v>266</v>
      </c>
      <c r="Z297" s="36">
        <f t="shared" si="100"/>
        <v>0.71313672922252014</v>
      </c>
      <c r="AA297" s="17">
        <v>86</v>
      </c>
      <c r="AB297" s="36">
        <f t="shared" si="93"/>
        <v>0.74782608695652175</v>
      </c>
      <c r="AC297" s="17">
        <v>51</v>
      </c>
      <c r="AD297" s="36">
        <f t="shared" si="101"/>
        <v>0.13672922252010725</v>
      </c>
      <c r="AE297" s="17">
        <v>14</v>
      </c>
      <c r="AF297" s="36">
        <f t="shared" si="94"/>
        <v>0.12173913043478261</v>
      </c>
      <c r="AG297" s="17">
        <v>30</v>
      </c>
      <c r="AH297" s="36">
        <f t="shared" si="102"/>
        <v>8.0428954423592491E-2</v>
      </c>
      <c r="AI297" s="17">
        <v>10</v>
      </c>
      <c r="AJ297" s="36">
        <f t="shared" si="95"/>
        <v>8.6956521739130432E-2</v>
      </c>
      <c r="AK297" s="17">
        <v>6</v>
      </c>
      <c r="AL297" s="36">
        <f t="shared" si="103"/>
        <v>1.6085790884718499E-2</v>
      </c>
      <c r="AM297" s="17">
        <v>0</v>
      </c>
      <c r="AN297" s="36">
        <f t="shared" si="96"/>
        <v>0</v>
      </c>
      <c r="AO297" s="17">
        <v>373</v>
      </c>
      <c r="AP297" s="17">
        <v>115</v>
      </c>
    </row>
    <row r="298" spans="1:42" ht="15.75" customHeight="1" x14ac:dyDescent="0.25">
      <c r="A298" s="37">
        <v>2022</v>
      </c>
      <c r="B298" s="35">
        <v>170290</v>
      </c>
      <c r="C298" s="33" t="str">
        <f>VLOOKUP(B298,procv!$A$2:$D$142,4,FALSE)</f>
        <v>Bico do Papagaio</v>
      </c>
      <c r="D298" s="33" t="s">
        <v>23</v>
      </c>
      <c r="E298" s="17">
        <v>19</v>
      </c>
      <c r="F298" s="36">
        <f t="shared" si="86"/>
        <v>2.5572005383580079E-2</v>
      </c>
      <c r="G298" s="17">
        <v>14</v>
      </c>
      <c r="H298" s="36">
        <f t="shared" si="87"/>
        <v>3.1818181818181815E-2</v>
      </c>
      <c r="I298" s="17">
        <v>54</v>
      </c>
      <c r="J298" s="36">
        <f t="shared" si="88"/>
        <v>7.2678331090174964E-2</v>
      </c>
      <c r="K298" s="17">
        <v>37</v>
      </c>
      <c r="L298" s="36">
        <f t="shared" si="89"/>
        <v>8.4090909090909091E-2</v>
      </c>
      <c r="M298" s="17">
        <v>670</v>
      </c>
      <c r="N298" s="36">
        <f t="shared" si="97"/>
        <v>0.90174966352624497</v>
      </c>
      <c r="O298" s="17">
        <v>389</v>
      </c>
      <c r="P298" s="36">
        <f t="shared" si="90"/>
        <v>0.88409090909090904</v>
      </c>
      <c r="Q298" s="17">
        <v>19</v>
      </c>
      <c r="R298" s="36">
        <f t="shared" si="98"/>
        <v>2.5572005383580079E-2</v>
      </c>
      <c r="S298" s="17">
        <v>13</v>
      </c>
      <c r="T298" s="36">
        <f t="shared" si="91"/>
        <v>2.9545454545454545E-2</v>
      </c>
      <c r="U298" s="17">
        <v>30</v>
      </c>
      <c r="V298" s="36">
        <f t="shared" si="99"/>
        <v>4.0376850605652756E-2</v>
      </c>
      <c r="W298" s="17">
        <v>22</v>
      </c>
      <c r="X298" s="36">
        <f t="shared" si="92"/>
        <v>0.05</v>
      </c>
      <c r="Y298" s="17">
        <v>521</v>
      </c>
      <c r="Z298" s="36">
        <f t="shared" si="100"/>
        <v>0.70121130551816957</v>
      </c>
      <c r="AA298" s="17">
        <v>312</v>
      </c>
      <c r="AB298" s="36">
        <f t="shared" si="93"/>
        <v>0.70909090909090911</v>
      </c>
      <c r="AC298" s="17">
        <v>121</v>
      </c>
      <c r="AD298" s="36">
        <f t="shared" si="101"/>
        <v>0.16285329744279947</v>
      </c>
      <c r="AE298" s="17">
        <v>68</v>
      </c>
      <c r="AF298" s="36">
        <f t="shared" si="94"/>
        <v>0.15454545454545454</v>
      </c>
      <c r="AG298" s="17">
        <v>45</v>
      </c>
      <c r="AH298" s="36">
        <f t="shared" si="102"/>
        <v>6.0565275908479141E-2</v>
      </c>
      <c r="AI298" s="17">
        <v>24</v>
      </c>
      <c r="AJ298" s="36">
        <f t="shared" si="95"/>
        <v>5.4545454545454543E-2</v>
      </c>
      <c r="AK298" s="17">
        <v>7</v>
      </c>
      <c r="AL298" s="36">
        <f t="shared" si="103"/>
        <v>9.4212651413189772E-3</v>
      </c>
      <c r="AM298" s="17">
        <v>1</v>
      </c>
      <c r="AN298" s="36">
        <f t="shared" si="96"/>
        <v>2.2727272727272726E-3</v>
      </c>
      <c r="AO298" s="17">
        <v>743</v>
      </c>
      <c r="AP298" s="17">
        <v>440</v>
      </c>
    </row>
    <row r="299" spans="1:42" ht="15.75" customHeight="1" x14ac:dyDescent="0.25">
      <c r="A299" s="37">
        <v>2022</v>
      </c>
      <c r="B299" s="35">
        <v>170300</v>
      </c>
      <c r="C299" s="33" t="str">
        <f>VLOOKUP(B299,procv!$A$2:$D$142,4,FALSE)</f>
        <v>Médio Norte Araguaia</v>
      </c>
      <c r="D299" s="33" t="s">
        <v>24</v>
      </c>
      <c r="E299" s="17">
        <v>34</v>
      </c>
      <c r="F299" s="36">
        <f t="shared" si="86"/>
        <v>4.8022598870056499E-2</v>
      </c>
      <c r="G299" s="17">
        <v>17</v>
      </c>
      <c r="H299" s="36">
        <f t="shared" si="87"/>
        <v>8.4158415841584164E-2</v>
      </c>
      <c r="I299" s="17">
        <v>60</v>
      </c>
      <c r="J299" s="36">
        <f t="shared" si="88"/>
        <v>8.4745762711864403E-2</v>
      </c>
      <c r="K299" s="17">
        <v>7</v>
      </c>
      <c r="L299" s="36">
        <f t="shared" si="89"/>
        <v>3.4653465346534656E-2</v>
      </c>
      <c r="M299" s="17">
        <v>614</v>
      </c>
      <c r="N299" s="36">
        <f t="shared" si="97"/>
        <v>0.86723163841807904</v>
      </c>
      <c r="O299" s="17">
        <v>178</v>
      </c>
      <c r="P299" s="36">
        <f t="shared" si="90"/>
        <v>0.88118811881188119</v>
      </c>
      <c r="Q299" s="17">
        <v>7</v>
      </c>
      <c r="R299" s="36">
        <f t="shared" si="98"/>
        <v>9.887005649717515E-3</v>
      </c>
      <c r="S299" s="17">
        <v>7</v>
      </c>
      <c r="T299" s="36">
        <f t="shared" si="91"/>
        <v>3.4653465346534656E-2</v>
      </c>
      <c r="U299" s="17">
        <v>32</v>
      </c>
      <c r="V299" s="36">
        <f t="shared" si="99"/>
        <v>4.519774011299435E-2</v>
      </c>
      <c r="W299" s="17">
        <v>12</v>
      </c>
      <c r="X299" s="36">
        <f t="shared" si="92"/>
        <v>5.9405940594059403E-2</v>
      </c>
      <c r="Y299" s="17">
        <v>485</v>
      </c>
      <c r="Z299" s="36">
        <f t="shared" si="100"/>
        <v>0.68502824858757061</v>
      </c>
      <c r="AA299" s="17">
        <v>131</v>
      </c>
      <c r="AB299" s="36">
        <f t="shared" si="93"/>
        <v>0.64851485148514854</v>
      </c>
      <c r="AC299" s="17">
        <v>115</v>
      </c>
      <c r="AD299" s="36">
        <f t="shared" si="101"/>
        <v>0.16242937853107345</v>
      </c>
      <c r="AE299" s="17">
        <v>28</v>
      </c>
      <c r="AF299" s="36">
        <f t="shared" si="94"/>
        <v>0.13861386138613863</v>
      </c>
      <c r="AG299" s="17">
        <v>56</v>
      </c>
      <c r="AH299" s="36">
        <f t="shared" si="102"/>
        <v>7.909604519774012E-2</v>
      </c>
      <c r="AI299" s="17">
        <v>19</v>
      </c>
      <c r="AJ299" s="36">
        <f t="shared" si="95"/>
        <v>9.405940594059406E-2</v>
      </c>
      <c r="AK299" s="17">
        <v>13</v>
      </c>
      <c r="AL299" s="36">
        <f t="shared" si="103"/>
        <v>1.8361581920903956E-2</v>
      </c>
      <c r="AM299" s="17">
        <v>5</v>
      </c>
      <c r="AN299" s="36">
        <f t="shared" si="96"/>
        <v>2.4752475247524754E-2</v>
      </c>
      <c r="AO299" s="17">
        <v>708</v>
      </c>
      <c r="AP299" s="17">
        <v>202</v>
      </c>
    </row>
    <row r="300" spans="1:42" ht="15.75" customHeight="1" x14ac:dyDescent="0.25">
      <c r="A300" s="37">
        <v>2022</v>
      </c>
      <c r="B300" s="35">
        <v>170305</v>
      </c>
      <c r="C300" s="33" t="str">
        <f>VLOOKUP(B300,procv!$A$2:$D$142,4,FALSE)</f>
        <v>Cerrado Tocantins Araguaia</v>
      </c>
      <c r="D300" s="33" t="s">
        <v>25</v>
      </c>
      <c r="E300" s="17">
        <v>2</v>
      </c>
      <c r="F300" s="36">
        <f t="shared" si="86"/>
        <v>6.7567567567567571E-3</v>
      </c>
      <c r="G300" s="17">
        <v>1</v>
      </c>
      <c r="H300" s="36">
        <f t="shared" si="87"/>
        <v>1.1363636363636364E-2</v>
      </c>
      <c r="I300" s="17">
        <v>21</v>
      </c>
      <c r="J300" s="36">
        <f t="shared" si="88"/>
        <v>7.0945945945945943E-2</v>
      </c>
      <c r="K300" s="17">
        <v>6</v>
      </c>
      <c r="L300" s="36">
        <f t="shared" si="89"/>
        <v>6.8181818181818177E-2</v>
      </c>
      <c r="M300" s="17">
        <v>273</v>
      </c>
      <c r="N300" s="36">
        <f t="shared" si="97"/>
        <v>0.92229729729729726</v>
      </c>
      <c r="O300" s="17">
        <v>81</v>
      </c>
      <c r="P300" s="36">
        <f t="shared" si="90"/>
        <v>0.92045454545454541</v>
      </c>
      <c r="Q300" s="17">
        <v>5</v>
      </c>
      <c r="R300" s="36">
        <f t="shared" si="98"/>
        <v>1.6891891891891893E-2</v>
      </c>
      <c r="S300" s="17">
        <v>2</v>
      </c>
      <c r="T300" s="36">
        <f t="shared" si="91"/>
        <v>2.2727272727272728E-2</v>
      </c>
      <c r="U300" s="17">
        <v>6</v>
      </c>
      <c r="V300" s="36">
        <f t="shared" si="99"/>
        <v>2.0270270270270271E-2</v>
      </c>
      <c r="W300" s="17">
        <v>1</v>
      </c>
      <c r="X300" s="36">
        <f t="shared" si="92"/>
        <v>1.1363636363636364E-2</v>
      </c>
      <c r="Y300" s="17">
        <v>190</v>
      </c>
      <c r="Z300" s="36">
        <f t="shared" si="100"/>
        <v>0.64189189189189189</v>
      </c>
      <c r="AA300" s="17">
        <v>55</v>
      </c>
      <c r="AB300" s="36">
        <f t="shared" si="93"/>
        <v>0.625</v>
      </c>
      <c r="AC300" s="17">
        <v>55</v>
      </c>
      <c r="AD300" s="36">
        <f t="shared" si="101"/>
        <v>0.1858108108108108</v>
      </c>
      <c r="AE300" s="17">
        <v>22</v>
      </c>
      <c r="AF300" s="36">
        <f t="shared" si="94"/>
        <v>0.25</v>
      </c>
      <c r="AG300" s="17">
        <v>32</v>
      </c>
      <c r="AH300" s="36">
        <f t="shared" si="102"/>
        <v>0.10810810810810811</v>
      </c>
      <c r="AI300" s="17">
        <v>6</v>
      </c>
      <c r="AJ300" s="36">
        <f t="shared" si="95"/>
        <v>6.8181818181818177E-2</v>
      </c>
      <c r="AK300" s="17">
        <v>8</v>
      </c>
      <c r="AL300" s="36">
        <f t="shared" si="103"/>
        <v>2.7027027027027029E-2</v>
      </c>
      <c r="AM300" s="17">
        <v>2</v>
      </c>
      <c r="AN300" s="36">
        <f t="shared" si="96"/>
        <v>2.2727272727272728E-2</v>
      </c>
      <c r="AO300" s="17">
        <v>296</v>
      </c>
      <c r="AP300" s="17">
        <v>88</v>
      </c>
    </row>
    <row r="301" spans="1:42" ht="15.75" customHeight="1" x14ac:dyDescent="0.25">
      <c r="A301" s="37">
        <v>2022</v>
      </c>
      <c r="B301" s="35">
        <v>170307</v>
      </c>
      <c r="C301" s="33" t="str">
        <f>VLOOKUP(B301,procv!$A$2:$D$142,4,FALSE)</f>
        <v>Médio Norte Araguaia</v>
      </c>
      <c r="D301" s="33" t="s">
        <v>26</v>
      </c>
      <c r="E301" s="17">
        <v>5</v>
      </c>
      <c r="F301" s="36">
        <f t="shared" si="86"/>
        <v>1.2987012987012988E-2</v>
      </c>
      <c r="G301" s="17">
        <v>5</v>
      </c>
      <c r="H301" s="36">
        <f t="shared" si="87"/>
        <v>4.7619047619047616E-2</v>
      </c>
      <c r="I301" s="17">
        <v>35</v>
      </c>
      <c r="J301" s="36">
        <f t="shared" si="88"/>
        <v>9.0909090909090912E-2</v>
      </c>
      <c r="K301" s="17">
        <v>12</v>
      </c>
      <c r="L301" s="36">
        <f t="shared" si="89"/>
        <v>0.11428571428571428</v>
      </c>
      <c r="M301" s="17">
        <v>345</v>
      </c>
      <c r="N301" s="36">
        <f t="shared" si="97"/>
        <v>0.89610389610389607</v>
      </c>
      <c r="O301" s="17">
        <v>88</v>
      </c>
      <c r="P301" s="36">
        <f t="shared" si="90"/>
        <v>0.83809523809523812</v>
      </c>
      <c r="Q301" s="17">
        <v>0</v>
      </c>
      <c r="R301" s="36">
        <f t="shared" si="98"/>
        <v>0</v>
      </c>
      <c r="S301" s="17">
        <v>0</v>
      </c>
      <c r="T301" s="36">
        <f t="shared" si="91"/>
        <v>0</v>
      </c>
      <c r="U301" s="17">
        <v>18</v>
      </c>
      <c r="V301" s="36">
        <f t="shared" si="99"/>
        <v>4.6753246753246755E-2</v>
      </c>
      <c r="W301" s="17">
        <v>3</v>
      </c>
      <c r="X301" s="36">
        <f t="shared" si="92"/>
        <v>2.8571428571428571E-2</v>
      </c>
      <c r="Y301" s="17">
        <v>289</v>
      </c>
      <c r="Z301" s="36">
        <f t="shared" si="100"/>
        <v>0.75064935064935068</v>
      </c>
      <c r="AA301" s="17">
        <v>78</v>
      </c>
      <c r="AB301" s="36">
        <f t="shared" si="93"/>
        <v>0.74285714285714288</v>
      </c>
      <c r="AC301" s="17">
        <v>51</v>
      </c>
      <c r="AD301" s="36">
        <f t="shared" si="101"/>
        <v>0.13246753246753246</v>
      </c>
      <c r="AE301" s="17">
        <v>14</v>
      </c>
      <c r="AF301" s="36">
        <f t="shared" si="94"/>
        <v>0.13333333333333333</v>
      </c>
      <c r="AG301" s="17">
        <v>19</v>
      </c>
      <c r="AH301" s="36">
        <f t="shared" si="102"/>
        <v>4.9350649350649353E-2</v>
      </c>
      <c r="AI301" s="17">
        <v>7</v>
      </c>
      <c r="AJ301" s="36">
        <f t="shared" si="95"/>
        <v>6.6666666666666666E-2</v>
      </c>
      <c r="AK301" s="17">
        <v>8</v>
      </c>
      <c r="AL301" s="36">
        <f t="shared" si="103"/>
        <v>2.0779220779220779E-2</v>
      </c>
      <c r="AM301" s="17">
        <v>3</v>
      </c>
      <c r="AN301" s="36">
        <f t="shared" si="96"/>
        <v>2.8571428571428571E-2</v>
      </c>
      <c r="AO301" s="17">
        <v>385</v>
      </c>
      <c r="AP301" s="17">
        <v>105</v>
      </c>
    </row>
    <row r="302" spans="1:42" ht="15.75" customHeight="1" x14ac:dyDescent="0.25">
      <c r="A302" s="37">
        <v>2022</v>
      </c>
      <c r="B302" s="35">
        <v>170310</v>
      </c>
      <c r="C302" s="33" t="str">
        <f>VLOOKUP(B302,procv!$A$2:$D$142,4,FALSE)</f>
        <v>Cantão</v>
      </c>
      <c r="D302" s="33" t="s">
        <v>27</v>
      </c>
      <c r="E302" s="17">
        <v>7</v>
      </c>
      <c r="F302" s="36">
        <f t="shared" si="86"/>
        <v>1.511879049676026E-2</v>
      </c>
      <c r="G302" s="17">
        <v>4</v>
      </c>
      <c r="H302" s="36">
        <f t="shared" si="87"/>
        <v>0.10810810810810811</v>
      </c>
      <c r="I302" s="17">
        <v>20</v>
      </c>
      <c r="J302" s="36">
        <f t="shared" si="88"/>
        <v>4.3196544276457881E-2</v>
      </c>
      <c r="K302" s="17">
        <v>6</v>
      </c>
      <c r="L302" s="36">
        <f t="shared" si="89"/>
        <v>0.16216216216216217</v>
      </c>
      <c r="M302" s="17">
        <v>436</v>
      </c>
      <c r="N302" s="36">
        <f t="shared" si="97"/>
        <v>0.94168466522678185</v>
      </c>
      <c r="O302" s="17">
        <v>27</v>
      </c>
      <c r="P302" s="36">
        <f t="shared" si="90"/>
        <v>0.72972972972972971</v>
      </c>
      <c r="Q302" s="17">
        <v>4</v>
      </c>
      <c r="R302" s="36">
        <f t="shared" si="98"/>
        <v>8.6393088552915772E-3</v>
      </c>
      <c r="S302" s="17">
        <v>1</v>
      </c>
      <c r="T302" s="36">
        <f t="shared" si="91"/>
        <v>2.7027027027027029E-2</v>
      </c>
      <c r="U302" s="17">
        <v>18</v>
      </c>
      <c r="V302" s="36">
        <f t="shared" si="99"/>
        <v>3.8876889848812095E-2</v>
      </c>
      <c r="W302" s="17">
        <v>6</v>
      </c>
      <c r="X302" s="36">
        <f t="shared" si="92"/>
        <v>0.16216216216216217</v>
      </c>
      <c r="Y302" s="17">
        <v>317</v>
      </c>
      <c r="Z302" s="36">
        <f t="shared" si="100"/>
        <v>0.68466522678185748</v>
      </c>
      <c r="AA302" s="17">
        <v>21</v>
      </c>
      <c r="AB302" s="36">
        <f t="shared" si="93"/>
        <v>0.56756756756756754</v>
      </c>
      <c r="AC302" s="17">
        <v>71</v>
      </c>
      <c r="AD302" s="36">
        <f t="shared" si="101"/>
        <v>0.15334773218142547</v>
      </c>
      <c r="AE302" s="17">
        <v>7</v>
      </c>
      <c r="AF302" s="36">
        <f t="shared" si="94"/>
        <v>0.1891891891891892</v>
      </c>
      <c r="AG302" s="17">
        <v>41</v>
      </c>
      <c r="AH302" s="36">
        <f t="shared" si="102"/>
        <v>8.8552915766738655E-2</v>
      </c>
      <c r="AI302" s="17">
        <v>2</v>
      </c>
      <c r="AJ302" s="36">
        <f t="shared" si="95"/>
        <v>5.4054054054054057E-2</v>
      </c>
      <c r="AK302" s="17">
        <v>12</v>
      </c>
      <c r="AL302" s="36">
        <f t="shared" si="103"/>
        <v>2.591792656587473E-2</v>
      </c>
      <c r="AM302" s="17">
        <v>0</v>
      </c>
      <c r="AN302" s="36">
        <f t="shared" si="96"/>
        <v>0</v>
      </c>
      <c r="AO302" s="17">
        <v>463</v>
      </c>
      <c r="AP302" s="17">
        <v>37</v>
      </c>
    </row>
    <row r="303" spans="1:42" ht="15.75" customHeight="1" x14ac:dyDescent="0.25">
      <c r="A303" s="37">
        <v>2022</v>
      </c>
      <c r="B303" s="35">
        <v>170320</v>
      </c>
      <c r="C303" s="33" t="str">
        <f>VLOOKUP(B303,procv!$A$2:$D$142,4,FALSE)</f>
        <v>Cerrado Tocantins Araguaia</v>
      </c>
      <c r="D303" s="33" t="s">
        <v>28</v>
      </c>
      <c r="E303" s="17">
        <v>2</v>
      </c>
      <c r="F303" s="36">
        <f t="shared" si="86"/>
        <v>9.2165898617511521E-3</v>
      </c>
      <c r="G303" s="17">
        <v>3</v>
      </c>
      <c r="H303" s="36">
        <f t="shared" si="87"/>
        <v>2.4793388429752067E-2</v>
      </c>
      <c r="I303" s="17">
        <v>9</v>
      </c>
      <c r="J303" s="36">
        <f t="shared" si="88"/>
        <v>4.1474654377880185E-2</v>
      </c>
      <c r="K303" s="17">
        <v>7</v>
      </c>
      <c r="L303" s="36">
        <f t="shared" si="89"/>
        <v>5.7851239669421489E-2</v>
      </c>
      <c r="M303" s="17">
        <v>206</v>
      </c>
      <c r="N303" s="36">
        <f t="shared" si="97"/>
        <v>0.94930875576036866</v>
      </c>
      <c r="O303" s="17">
        <v>111</v>
      </c>
      <c r="P303" s="36">
        <f t="shared" si="90"/>
        <v>0.9173553719008265</v>
      </c>
      <c r="Q303" s="17">
        <v>3</v>
      </c>
      <c r="R303" s="36">
        <f t="shared" si="98"/>
        <v>1.3824884792626729E-2</v>
      </c>
      <c r="S303" s="17">
        <v>2</v>
      </c>
      <c r="T303" s="36">
        <f t="shared" si="91"/>
        <v>1.6528925619834711E-2</v>
      </c>
      <c r="U303" s="17">
        <v>12</v>
      </c>
      <c r="V303" s="36">
        <f t="shared" si="99"/>
        <v>5.5299539170506916E-2</v>
      </c>
      <c r="W303" s="17">
        <v>7</v>
      </c>
      <c r="X303" s="36">
        <f t="shared" si="92"/>
        <v>5.7851239669421489E-2</v>
      </c>
      <c r="Y303" s="17">
        <v>149</v>
      </c>
      <c r="Z303" s="36">
        <f t="shared" si="100"/>
        <v>0.68663594470046085</v>
      </c>
      <c r="AA303" s="17">
        <v>79</v>
      </c>
      <c r="AB303" s="36">
        <f t="shared" si="93"/>
        <v>0.65289256198347112</v>
      </c>
      <c r="AC303" s="17">
        <v>34</v>
      </c>
      <c r="AD303" s="36">
        <f t="shared" si="101"/>
        <v>0.15668202764976957</v>
      </c>
      <c r="AE303" s="17">
        <v>22</v>
      </c>
      <c r="AF303" s="36">
        <f t="shared" si="94"/>
        <v>0.18181818181818182</v>
      </c>
      <c r="AG303" s="17">
        <v>16</v>
      </c>
      <c r="AH303" s="36">
        <f t="shared" si="102"/>
        <v>7.3732718894009217E-2</v>
      </c>
      <c r="AI303" s="17">
        <v>10</v>
      </c>
      <c r="AJ303" s="36">
        <f t="shared" si="95"/>
        <v>8.2644628099173556E-2</v>
      </c>
      <c r="AK303" s="17">
        <v>3</v>
      </c>
      <c r="AL303" s="36">
        <f t="shared" si="103"/>
        <v>1.3824884792626729E-2</v>
      </c>
      <c r="AM303" s="17">
        <v>1</v>
      </c>
      <c r="AN303" s="36">
        <f t="shared" si="96"/>
        <v>8.2644628099173556E-3</v>
      </c>
      <c r="AO303" s="17">
        <v>217</v>
      </c>
      <c r="AP303" s="17">
        <v>121</v>
      </c>
    </row>
    <row r="304" spans="1:42" ht="15.75" customHeight="1" x14ac:dyDescent="0.25">
      <c r="A304" s="37">
        <v>2022</v>
      </c>
      <c r="B304" s="35">
        <v>170330</v>
      </c>
      <c r="C304" s="33" t="str">
        <f>VLOOKUP(B304,procv!$A$2:$D$142,4,FALSE)</f>
        <v>Cerrado Tocantins Araguaia</v>
      </c>
      <c r="D304" s="33" t="s">
        <v>29</v>
      </c>
      <c r="E304" s="17">
        <v>1</v>
      </c>
      <c r="F304" s="36">
        <f t="shared" si="86"/>
        <v>4.6948356807511738E-3</v>
      </c>
      <c r="G304" s="17">
        <v>0</v>
      </c>
      <c r="H304" s="36">
        <f t="shared" si="87"/>
        <v>0</v>
      </c>
      <c r="I304" s="17">
        <v>8</v>
      </c>
      <c r="J304" s="36">
        <f t="shared" si="88"/>
        <v>3.7558685446009391E-2</v>
      </c>
      <c r="K304" s="17">
        <v>1</v>
      </c>
      <c r="L304" s="36">
        <f t="shared" si="89"/>
        <v>8.9285714285714281E-3</v>
      </c>
      <c r="M304" s="17">
        <v>204</v>
      </c>
      <c r="N304" s="36">
        <f t="shared" si="97"/>
        <v>0.95774647887323938</v>
      </c>
      <c r="O304" s="17">
        <v>111</v>
      </c>
      <c r="P304" s="36">
        <f t="shared" si="90"/>
        <v>0.9910714285714286</v>
      </c>
      <c r="Q304" s="17">
        <v>1</v>
      </c>
      <c r="R304" s="36">
        <f t="shared" si="98"/>
        <v>4.6948356807511738E-3</v>
      </c>
      <c r="S304" s="17">
        <v>0</v>
      </c>
      <c r="T304" s="36">
        <f t="shared" si="91"/>
        <v>0</v>
      </c>
      <c r="U304" s="17">
        <v>7</v>
      </c>
      <c r="V304" s="36">
        <f t="shared" si="99"/>
        <v>3.2863849765258218E-2</v>
      </c>
      <c r="W304" s="17">
        <v>6</v>
      </c>
      <c r="X304" s="36">
        <f t="shared" si="92"/>
        <v>5.3571428571428568E-2</v>
      </c>
      <c r="Y304" s="17">
        <v>143</v>
      </c>
      <c r="Z304" s="36">
        <f t="shared" si="100"/>
        <v>0.67136150234741787</v>
      </c>
      <c r="AA304" s="17">
        <v>74</v>
      </c>
      <c r="AB304" s="36">
        <f t="shared" si="93"/>
        <v>0.6607142857142857</v>
      </c>
      <c r="AC304" s="17">
        <v>40</v>
      </c>
      <c r="AD304" s="36">
        <f t="shared" si="101"/>
        <v>0.18779342723004694</v>
      </c>
      <c r="AE304" s="17">
        <v>24</v>
      </c>
      <c r="AF304" s="36">
        <f t="shared" si="94"/>
        <v>0.21428571428571427</v>
      </c>
      <c r="AG304" s="17">
        <v>17</v>
      </c>
      <c r="AH304" s="36">
        <f t="shared" si="102"/>
        <v>7.9812206572769953E-2</v>
      </c>
      <c r="AI304" s="17">
        <v>7</v>
      </c>
      <c r="AJ304" s="36">
        <f t="shared" si="95"/>
        <v>6.25E-2</v>
      </c>
      <c r="AK304" s="17">
        <v>5</v>
      </c>
      <c r="AL304" s="36">
        <f t="shared" si="103"/>
        <v>2.3474178403755867E-2</v>
      </c>
      <c r="AM304" s="17">
        <v>1</v>
      </c>
      <c r="AN304" s="36">
        <f t="shared" si="96"/>
        <v>8.9285714285714281E-3</v>
      </c>
      <c r="AO304" s="17">
        <v>213</v>
      </c>
      <c r="AP304" s="17">
        <v>112</v>
      </c>
    </row>
    <row r="305" spans="1:42" ht="15.75" customHeight="1" x14ac:dyDescent="0.25">
      <c r="A305" s="37">
        <v>2022</v>
      </c>
      <c r="B305" s="35">
        <v>170360</v>
      </c>
      <c r="C305" s="33" t="str">
        <f>VLOOKUP(B305,procv!$A$2:$D$142,4,FALSE)</f>
        <v>Cerrado Tocantins Araguaia</v>
      </c>
      <c r="D305" s="33" t="s">
        <v>30</v>
      </c>
      <c r="E305" s="17">
        <v>1</v>
      </c>
      <c r="F305" s="36">
        <f t="shared" si="86"/>
        <v>3.663003663003663E-3</v>
      </c>
      <c r="G305" s="17">
        <v>1</v>
      </c>
      <c r="H305" s="36">
        <f t="shared" si="87"/>
        <v>1.9607843137254902E-2</v>
      </c>
      <c r="I305" s="17">
        <v>9</v>
      </c>
      <c r="J305" s="36">
        <f t="shared" si="88"/>
        <v>3.2967032967032968E-2</v>
      </c>
      <c r="K305" s="17">
        <v>1</v>
      </c>
      <c r="L305" s="36">
        <f t="shared" si="89"/>
        <v>1.9607843137254902E-2</v>
      </c>
      <c r="M305" s="17">
        <v>263</v>
      </c>
      <c r="N305" s="36">
        <f t="shared" si="97"/>
        <v>0.96336996336996339</v>
      </c>
      <c r="O305" s="17">
        <v>49</v>
      </c>
      <c r="P305" s="36">
        <f t="shared" si="90"/>
        <v>0.96078431372549022</v>
      </c>
      <c r="Q305" s="17">
        <v>2</v>
      </c>
      <c r="R305" s="36">
        <f t="shared" si="98"/>
        <v>7.326007326007326E-3</v>
      </c>
      <c r="S305" s="17">
        <v>0</v>
      </c>
      <c r="T305" s="36">
        <f t="shared" si="91"/>
        <v>0</v>
      </c>
      <c r="U305" s="17">
        <v>11</v>
      </c>
      <c r="V305" s="36">
        <f t="shared" si="99"/>
        <v>4.0293040293040296E-2</v>
      </c>
      <c r="W305" s="17">
        <v>3</v>
      </c>
      <c r="X305" s="36">
        <f t="shared" si="92"/>
        <v>5.8823529411764705E-2</v>
      </c>
      <c r="Y305" s="17">
        <v>178</v>
      </c>
      <c r="Z305" s="36">
        <f t="shared" si="100"/>
        <v>0.65201465201465203</v>
      </c>
      <c r="AA305" s="17">
        <v>35</v>
      </c>
      <c r="AB305" s="36">
        <f t="shared" si="93"/>
        <v>0.68627450980392157</v>
      </c>
      <c r="AC305" s="17">
        <v>47</v>
      </c>
      <c r="AD305" s="36">
        <f t="shared" si="101"/>
        <v>0.17216117216117216</v>
      </c>
      <c r="AE305" s="17">
        <v>9</v>
      </c>
      <c r="AF305" s="36">
        <f t="shared" si="94"/>
        <v>0.17647058823529413</v>
      </c>
      <c r="AG305" s="17">
        <v>32</v>
      </c>
      <c r="AH305" s="36">
        <f t="shared" si="102"/>
        <v>0.11721611721611722</v>
      </c>
      <c r="AI305" s="17">
        <v>4</v>
      </c>
      <c r="AJ305" s="36">
        <f t="shared" si="95"/>
        <v>7.8431372549019607E-2</v>
      </c>
      <c r="AK305" s="17">
        <v>3</v>
      </c>
      <c r="AL305" s="36">
        <f t="shared" si="103"/>
        <v>1.098901098901099E-2</v>
      </c>
      <c r="AM305" s="17">
        <v>0</v>
      </c>
      <c r="AN305" s="36">
        <f t="shared" si="96"/>
        <v>0</v>
      </c>
      <c r="AO305" s="17">
        <v>273</v>
      </c>
      <c r="AP305" s="17">
        <v>51</v>
      </c>
    </row>
    <row r="306" spans="1:42" ht="15.75" customHeight="1" x14ac:dyDescent="0.25">
      <c r="A306" s="37">
        <v>2022</v>
      </c>
      <c r="B306" s="35">
        <v>170370</v>
      </c>
      <c r="C306" s="33" t="str">
        <f>VLOOKUP(B306,procv!$A$2:$D$142,4,FALSE)</f>
        <v>Amor Perfeito</v>
      </c>
      <c r="D306" s="33" t="s">
        <v>31</v>
      </c>
      <c r="E306" s="17">
        <v>3</v>
      </c>
      <c r="F306" s="36">
        <f t="shared" si="86"/>
        <v>1.0169491525423728E-2</v>
      </c>
      <c r="G306" s="17">
        <v>0</v>
      </c>
      <c r="H306" s="36">
        <f t="shared" si="87"/>
        <v>0</v>
      </c>
      <c r="I306" s="17">
        <v>6</v>
      </c>
      <c r="J306" s="36">
        <f t="shared" si="88"/>
        <v>2.0338983050847456E-2</v>
      </c>
      <c r="K306" s="17">
        <v>1</v>
      </c>
      <c r="L306" s="36">
        <f t="shared" si="89"/>
        <v>1.5873015873015872E-2</v>
      </c>
      <c r="M306" s="17">
        <v>286</v>
      </c>
      <c r="N306" s="36">
        <f t="shared" si="97"/>
        <v>0.96949152542372885</v>
      </c>
      <c r="O306" s="17">
        <v>62</v>
      </c>
      <c r="P306" s="36">
        <f t="shared" si="90"/>
        <v>0.98412698412698407</v>
      </c>
      <c r="Q306" s="17">
        <v>2</v>
      </c>
      <c r="R306" s="36">
        <f t="shared" si="98"/>
        <v>6.7796610169491523E-3</v>
      </c>
      <c r="S306" s="17">
        <v>0</v>
      </c>
      <c r="T306" s="36">
        <f t="shared" si="91"/>
        <v>0</v>
      </c>
      <c r="U306" s="17">
        <v>18</v>
      </c>
      <c r="V306" s="36">
        <f t="shared" si="99"/>
        <v>6.1016949152542375E-2</v>
      </c>
      <c r="W306" s="17">
        <v>4</v>
      </c>
      <c r="X306" s="36">
        <f t="shared" si="92"/>
        <v>6.3492063492063489E-2</v>
      </c>
      <c r="Y306" s="17">
        <v>209</v>
      </c>
      <c r="Z306" s="36">
        <f t="shared" si="100"/>
        <v>0.70847457627118648</v>
      </c>
      <c r="AA306" s="17">
        <v>43</v>
      </c>
      <c r="AB306" s="36">
        <f t="shared" si="93"/>
        <v>0.68253968253968256</v>
      </c>
      <c r="AC306" s="17">
        <v>42</v>
      </c>
      <c r="AD306" s="36">
        <f t="shared" si="101"/>
        <v>0.14237288135593221</v>
      </c>
      <c r="AE306" s="17">
        <v>11</v>
      </c>
      <c r="AF306" s="36">
        <f t="shared" si="94"/>
        <v>0.17460317460317459</v>
      </c>
      <c r="AG306" s="17">
        <v>20</v>
      </c>
      <c r="AH306" s="36">
        <f t="shared" si="102"/>
        <v>6.7796610169491525E-2</v>
      </c>
      <c r="AI306" s="17">
        <v>5</v>
      </c>
      <c r="AJ306" s="36">
        <f t="shared" si="95"/>
        <v>7.9365079365079361E-2</v>
      </c>
      <c r="AK306" s="17">
        <v>4</v>
      </c>
      <c r="AL306" s="36">
        <f t="shared" si="103"/>
        <v>1.3559322033898305E-2</v>
      </c>
      <c r="AM306" s="17">
        <v>0</v>
      </c>
      <c r="AN306" s="36">
        <f t="shared" si="96"/>
        <v>0</v>
      </c>
      <c r="AO306" s="17">
        <v>295</v>
      </c>
      <c r="AP306" s="17">
        <v>63</v>
      </c>
    </row>
    <row r="307" spans="1:42" ht="15.75" customHeight="1" x14ac:dyDescent="0.25">
      <c r="A307" s="37">
        <v>2022</v>
      </c>
      <c r="B307" s="35">
        <v>170380</v>
      </c>
      <c r="C307" s="33" t="str">
        <f>VLOOKUP(B307,procv!$A$2:$D$142,4,FALSE)</f>
        <v>Bico do Papagaio</v>
      </c>
      <c r="D307" s="33" t="s">
        <v>32</v>
      </c>
      <c r="E307" s="17">
        <v>20</v>
      </c>
      <c r="F307" s="36">
        <f t="shared" si="86"/>
        <v>2.2099447513812154E-2</v>
      </c>
      <c r="G307" s="17">
        <v>3</v>
      </c>
      <c r="H307" s="36">
        <f t="shared" si="87"/>
        <v>1.9736842105263157E-2</v>
      </c>
      <c r="I307" s="17">
        <v>55</v>
      </c>
      <c r="J307" s="36">
        <f t="shared" si="88"/>
        <v>6.0773480662983423E-2</v>
      </c>
      <c r="K307" s="17">
        <v>10</v>
      </c>
      <c r="L307" s="36">
        <f t="shared" si="89"/>
        <v>6.5789473684210523E-2</v>
      </c>
      <c r="M307" s="17">
        <v>830</v>
      </c>
      <c r="N307" s="36">
        <f t="shared" si="97"/>
        <v>0.91712707182320441</v>
      </c>
      <c r="O307" s="17">
        <v>139</v>
      </c>
      <c r="P307" s="36">
        <f t="shared" si="90"/>
        <v>0.91447368421052633</v>
      </c>
      <c r="Q307" s="17">
        <v>14</v>
      </c>
      <c r="R307" s="36">
        <f t="shared" si="98"/>
        <v>1.5469613259668509E-2</v>
      </c>
      <c r="S307" s="17">
        <v>5</v>
      </c>
      <c r="T307" s="36">
        <f t="shared" si="91"/>
        <v>3.2894736842105261E-2</v>
      </c>
      <c r="U307" s="17">
        <v>46</v>
      </c>
      <c r="V307" s="36">
        <f t="shared" si="99"/>
        <v>5.0828729281767959E-2</v>
      </c>
      <c r="W307" s="17">
        <v>2</v>
      </c>
      <c r="X307" s="36">
        <f t="shared" si="92"/>
        <v>1.3157894736842105E-2</v>
      </c>
      <c r="Y307" s="17">
        <v>650</v>
      </c>
      <c r="Z307" s="36">
        <f t="shared" si="100"/>
        <v>0.71823204419889508</v>
      </c>
      <c r="AA307" s="17">
        <v>111</v>
      </c>
      <c r="AB307" s="36">
        <f t="shared" si="93"/>
        <v>0.73026315789473684</v>
      </c>
      <c r="AC307" s="17">
        <v>140</v>
      </c>
      <c r="AD307" s="36">
        <f t="shared" si="101"/>
        <v>0.15469613259668508</v>
      </c>
      <c r="AE307" s="17">
        <v>21</v>
      </c>
      <c r="AF307" s="36">
        <f t="shared" si="94"/>
        <v>0.13815789473684212</v>
      </c>
      <c r="AG307" s="17">
        <v>52</v>
      </c>
      <c r="AH307" s="36">
        <f t="shared" si="102"/>
        <v>5.7458563535911604E-2</v>
      </c>
      <c r="AI307" s="17">
        <v>12</v>
      </c>
      <c r="AJ307" s="36">
        <f t="shared" si="95"/>
        <v>7.8947368421052627E-2</v>
      </c>
      <c r="AK307" s="17">
        <v>3</v>
      </c>
      <c r="AL307" s="36">
        <f t="shared" si="103"/>
        <v>3.3149171270718232E-3</v>
      </c>
      <c r="AM307" s="17">
        <v>1</v>
      </c>
      <c r="AN307" s="36">
        <f t="shared" si="96"/>
        <v>6.5789473684210523E-3</v>
      </c>
      <c r="AO307" s="17">
        <v>905</v>
      </c>
      <c r="AP307" s="17">
        <v>152</v>
      </c>
    </row>
    <row r="308" spans="1:42" ht="15.75" customHeight="1" x14ac:dyDescent="0.25">
      <c r="A308" s="37">
        <v>2022</v>
      </c>
      <c r="B308" s="35">
        <v>170382</v>
      </c>
      <c r="C308" s="33" t="str">
        <f>VLOOKUP(B308,procv!$A$2:$D$142,4,FALSE)</f>
        <v>Bico do Papagaio</v>
      </c>
      <c r="D308" s="33" t="s">
        <v>33</v>
      </c>
      <c r="E308" s="17">
        <v>1</v>
      </c>
      <c r="F308" s="36">
        <f t="shared" si="86"/>
        <v>8.0000000000000002E-3</v>
      </c>
      <c r="G308" s="17">
        <v>0</v>
      </c>
      <c r="H308" s="36">
        <f t="shared" si="87"/>
        <v>0</v>
      </c>
      <c r="I308" s="17">
        <v>6</v>
      </c>
      <c r="J308" s="36">
        <f t="shared" si="88"/>
        <v>4.8000000000000001E-2</v>
      </c>
      <c r="K308" s="17">
        <v>5</v>
      </c>
      <c r="L308" s="36">
        <f t="shared" si="89"/>
        <v>7.4626865671641784E-2</v>
      </c>
      <c r="M308" s="17">
        <v>118</v>
      </c>
      <c r="N308" s="36">
        <f t="shared" si="97"/>
        <v>0.94399999999999995</v>
      </c>
      <c r="O308" s="17">
        <v>62</v>
      </c>
      <c r="P308" s="36">
        <f t="shared" si="90"/>
        <v>0.92537313432835822</v>
      </c>
      <c r="Q308" s="17">
        <v>3</v>
      </c>
      <c r="R308" s="36">
        <f t="shared" si="98"/>
        <v>2.4E-2</v>
      </c>
      <c r="S308" s="17">
        <v>2</v>
      </c>
      <c r="T308" s="36">
        <f t="shared" si="91"/>
        <v>2.9850746268656716E-2</v>
      </c>
      <c r="U308" s="17">
        <v>6</v>
      </c>
      <c r="V308" s="36">
        <f t="shared" si="99"/>
        <v>4.8000000000000001E-2</v>
      </c>
      <c r="W308" s="17">
        <v>5</v>
      </c>
      <c r="X308" s="36">
        <f t="shared" si="92"/>
        <v>7.4626865671641784E-2</v>
      </c>
      <c r="Y308" s="17">
        <v>89</v>
      </c>
      <c r="Z308" s="36">
        <f t="shared" si="100"/>
        <v>0.71199999999999997</v>
      </c>
      <c r="AA308" s="17">
        <v>44</v>
      </c>
      <c r="AB308" s="36">
        <f t="shared" si="93"/>
        <v>0.65671641791044777</v>
      </c>
      <c r="AC308" s="17">
        <v>19</v>
      </c>
      <c r="AD308" s="36">
        <f t="shared" si="101"/>
        <v>0.152</v>
      </c>
      <c r="AE308" s="17">
        <v>12</v>
      </c>
      <c r="AF308" s="36">
        <f t="shared" si="94"/>
        <v>0.17910447761194029</v>
      </c>
      <c r="AG308" s="17">
        <v>6</v>
      </c>
      <c r="AH308" s="36">
        <f t="shared" si="102"/>
        <v>4.8000000000000001E-2</v>
      </c>
      <c r="AI308" s="17">
        <v>3</v>
      </c>
      <c r="AJ308" s="36">
        <f t="shared" si="95"/>
        <v>4.4776119402985072E-2</v>
      </c>
      <c r="AK308" s="17">
        <v>2</v>
      </c>
      <c r="AL308" s="36">
        <f t="shared" si="103"/>
        <v>1.6E-2</v>
      </c>
      <c r="AM308" s="17">
        <v>1</v>
      </c>
      <c r="AN308" s="36">
        <f t="shared" si="96"/>
        <v>1.4925373134328358E-2</v>
      </c>
      <c r="AO308" s="17">
        <v>125</v>
      </c>
      <c r="AP308" s="17">
        <v>67</v>
      </c>
    </row>
    <row r="309" spans="1:42" ht="15.75" customHeight="1" x14ac:dyDescent="0.25">
      <c r="A309" s="37">
        <v>2022</v>
      </c>
      <c r="B309" s="35">
        <v>170384</v>
      </c>
      <c r="C309" s="33" t="str">
        <f>VLOOKUP(B309,procv!$A$2:$D$142,4,FALSE)</f>
        <v>Médio Norte Araguaia</v>
      </c>
      <c r="D309" s="33" t="s">
        <v>34</v>
      </c>
      <c r="E309" s="17">
        <v>15</v>
      </c>
      <c r="F309" s="36">
        <f t="shared" si="86"/>
        <v>1.7162471395881007E-2</v>
      </c>
      <c r="G309" s="17">
        <v>6</v>
      </c>
      <c r="H309" s="36">
        <f t="shared" si="87"/>
        <v>1.6949152542372881E-2</v>
      </c>
      <c r="I309" s="17">
        <v>71</v>
      </c>
      <c r="J309" s="36">
        <f t="shared" si="88"/>
        <v>8.1235697940503435E-2</v>
      </c>
      <c r="K309" s="17">
        <v>29</v>
      </c>
      <c r="L309" s="36">
        <f t="shared" si="89"/>
        <v>8.1920903954802254E-2</v>
      </c>
      <c r="M309" s="17">
        <v>788</v>
      </c>
      <c r="N309" s="36">
        <f t="shared" si="97"/>
        <v>0.90160183066361554</v>
      </c>
      <c r="O309" s="17">
        <v>319</v>
      </c>
      <c r="P309" s="36">
        <f t="shared" si="90"/>
        <v>0.90112994350282483</v>
      </c>
      <c r="Q309" s="17">
        <v>7</v>
      </c>
      <c r="R309" s="36">
        <f t="shared" si="98"/>
        <v>8.0091533180778034E-3</v>
      </c>
      <c r="S309" s="17">
        <v>4</v>
      </c>
      <c r="T309" s="36">
        <f t="shared" si="91"/>
        <v>1.1299435028248588E-2</v>
      </c>
      <c r="U309" s="17">
        <v>34</v>
      </c>
      <c r="V309" s="36">
        <f t="shared" si="99"/>
        <v>3.8901601830663615E-2</v>
      </c>
      <c r="W309" s="17">
        <v>17</v>
      </c>
      <c r="X309" s="36">
        <f t="shared" si="92"/>
        <v>4.8022598870056499E-2</v>
      </c>
      <c r="Y309" s="17">
        <v>659</v>
      </c>
      <c r="Z309" s="36">
        <f t="shared" si="100"/>
        <v>0.75400457665903886</v>
      </c>
      <c r="AA309" s="17">
        <v>271</v>
      </c>
      <c r="AB309" s="36">
        <f t="shared" si="93"/>
        <v>0.7655367231638418</v>
      </c>
      <c r="AC309" s="17">
        <v>128</v>
      </c>
      <c r="AD309" s="36">
        <f t="shared" si="101"/>
        <v>0.14645308924485126</v>
      </c>
      <c r="AE309" s="17">
        <v>48</v>
      </c>
      <c r="AF309" s="36">
        <f t="shared" si="94"/>
        <v>0.13559322033898305</v>
      </c>
      <c r="AG309" s="17">
        <v>36</v>
      </c>
      <c r="AH309" s="36">
        <f t="shared" si="102"/>
        <v>4.1189931350114416E-2</v>
      </c>
      <c r="AI309" s="17">
        <v>12</v>
      </c>
      <c r="AJ309" s="36">
        <f t="shared" si="95"/>
        <v>3.3898305084745763E-2</v>
      </c>
      <c r="AK309" s="17">
        <v>10</v>
      </c>
      <c r="AL309" s="36">
        <f t="shared" si="103"/>
        <v>1.1441647597254004E-2</v>
      </c>
      <c r="AM309" s="17">
        <v>2</v>
      </c>
      <c r="AN309" s="36">
        <f t="shared" si="96"/>
        <v>5.6497175141242938E-3</v>
      </c>
      <c r="AO309" s="17">
        <v>874</v>
      </c>
      <c r="AP309" s="17">
        <v>354</v>
      </c>
    </row>
    <row r="310" spans="1:42" ht="15.75" customHeight="1" x14ac:dyDescent="0.25">
      <c r="A310" s="37">
        <v>2022</v>
      </c>
      <c r="B310" s="35">
        <v>170386</v>
      </c>
      <c r="C310" s="33" t="str">
        <f>VLOOKUP(B310,procv!$A$2:$D$142,4,FALSE)</f>
        <v>Ilha do Bananal</v>
      </c>
      <c r="D310" s="33" t="s">
        <v>35</v>
      </c>
      <c r="E310" s="17">
        <v>4</v>
      </c>
      <c r="F310" s="36">
        <f t="shared" si="86"/>
        <v>1.5503875968992248E-2</v>
      </c>
      <c r="G310" s="17">
        <v>5</v>
      </c>
      <c r="H310" s="36">
        <f t="shared" si="87"/>
        <v>8.4745762711864403E-2</v>
      </c>
      <c r="I310" s="17">
        <v>15</v>
      </c>
      <c r="J310" s="36">
        <f t="shared" si="88"/>
        <v>5.8139534883720929E-2</v>
      </c>
      <c r="K310" s="17">
        <v>6</v>
      </c>
      <c r="L310" s="36">
        <f t="shared" si="89"/>
        <v>0.10169491525423729</v>
      </c>
      <c r="M310" s="17">
        <v>239</v>
      </c>
      <c r="N310" s="36">
        <f t="shared" si="97"/>
        <v>0.9263565891472868</v>
      </c>
      <c r="O310" s="17">
        <v>48</v>
      </c>
      <c r="P310" s="36">
        <f t="shared" si="90"/>
        <v>0.81355932203389836</v>
      </c>
      <c r="Q310" s="17">
        <v>3</v>
      </c>
      <c r="R310" s="36">
        <f t="shared" si="98"/>
        <v>1.1627906976744186E-2</v>
      </c>
      <c r="S310" s="17">
        <v>1</v>
      </c>
      <c r="T310" s="36">
        <f t="shared" si="91"/>
        <v>1.6949152542372881E-2</v>
      </c>
      <c r="U310" s="17">
        <v>18</v>
      </c>
      <c r="V310" s="36">
        <f t="shared" si="99"/>
        <v>6.9767441860465115E-2</v>
      </c>
      <c r="W310" s="17">
        <v>0</v>
      </c>
      <c r="X310" s="36">
        <f t="shared" si="92"/>
        <v>0</v>
      </c>
      <c r="Y310" s="17">
        <v>163</v>
      </c>
      <c r="Z310" s="36">
        <f t="shared" si="100"/>
        <v>0.63178294573643412</v>
      </c>
      <c r="AA310" s="17">
        <v>44</v>
      </c>
      <c r="AB310" s="36">
        <f t="shared" si="93"/>
        <v>0.74576271186440679</v>
      </c>
      <c r="AC310" s="17">
        <v>46</v>
      </c>
      <c r="AD310" s="36">
        <f t="shared" si="101"/>
        <v>0.17829457364341086</v>
      </c>
      <c r="AE310" s="17">
        <v>13</v>
      </c>
      <c r="AF310" s="36">
        <f t="shared" si="94"/>
        <v>0.22033898305084745</v>
      </c>
      <c r="AG310" s="17">
        <v>21</v>
      </c>
      <c r="AH310" s="36">
        <f t="shared" si="102"/>
        <v>8.1395348837209308E-2</v>
      </c>
      <c r="AI310" s="17">
        <v>1</v>
      </c>
      <c r="AJ310" s="36">
        <f t="shared" si="95"/>
        <v>1.6949152542372881E-2</v>
      </c>
      <c r="AK310" s="17">
        <v>7</v>
      </c>
      <c r="AL310" s="36">
        <f t="shared" si="103"/>
        <v>2.7131782945736434E-2</v>
      </c>
      <c r="AM310" s="17">
        <v>0</v>
      </c>
      <c r="AN310" s="36">
        <f t="shared" si="96"/>
        <v>0</v>
      </c>
      <c r="AO310" s="17">
        <v>258</v>
      </c>
      <c r="AP310" s="17">
        <v>59</v>
      </c>
    </row>
    <row r="311" spans="1:42" ht="15.75" customHeight="1" x14ac:dyDescent="0.25">
      <c r="A311" s="37">
        <v>2022</v>
      </c>
      <c r="B311" s="35">
        <v>170388</v>
      </c>
      <c r="C311" s="33" t="str">
        <f>VLOOKUP(B311,procv!$A$2:$D$142,4,FALSE)</f>
        <v>Médio Norte Araguaia</v>
      </c>
      <c r="D311" s="33" t="s">
        <v>36</v>
      </c>
      <c r="E311" s="17">
        <v>4</v>
      </c>
      <c r="F311" s="36">
        <f t="shared" si="86"/>
        <v>1.3114754098360656E-2</v>
      </c>
      <c r="G311" s="17">
        <v>1</v>
      </c>
      <c r="H311" s="36">
        <f t="shared" si="87"/>
        <v>1.4084507042253521E-2</v>
      </c>
      <c r="I311" s="17">
        <v>16</v>
      </c>
      <c r="J311" s="36">
        <f t="shared" si="88"/>
        <v>5.2459016393442623E-2</v>
      </c>
      <c r="K311" s="17">
        <v>3</v>
      </c>
      <c r="L311" s="36">
        <f t="shared" si="89"/>
        <v>4.2253521126760563E-2</v>
      </c>
      <c r="M311" s="17">
        <v>285</v>
      </c>
      <c r="N311" s="36">
        <f t="shared" si="97"/>
        <v>0.93442622950819676</v>
      </c>
      <c r="O311" s="17">
        <v>67</v>
      </c>
      <c r="P311" s="36">
        <f t="shared" si="90"/>
        <v>0.94366197183098588</v>
      </c>
      <c r="Q311" s="17">
        <v>2</v>
      </c>
      <c r="R311" s="36">
        <f t="shared" si="98"/>
        <v>6.5573770491803279E-3</v>
      </c>
      <c r="S311" s="17">
        <v>3</v>
      </c>
      <c r="T311" s="36">
        <f t="shared" si="91"/>
        <v>4.2253521126760563E-2</v>
      </c>
      <c r="U311" s="17">
        <v>14</v>
      </c>
      <c r="V311" s="36">
        <f t="shared" si="99"/>
        <v>4.5901639344262293E-2</v>
      </c>
      <c r="W311" s="17">
        <v>4</v>
      </c>
      <c r="X311" s="36">
        <f t="shared" si="92"/>
        <v>5.6338028169014086E-2</v>
      </c>
      <c r="Y311" s="17">
        <v>213</v>
      </c>
      <c r="Z311" s="36">
        <f t="shared" si="100"/>
        <v>0.69836065573770489</v>
      </c>
      <c r="AA311" s="17">
        <v>47</v>
      </c>
      <c r="AB311" s="36">
        <f t="shared" si="93"/>
        <v>0.6619718309859155</v>
      </c>
      <c r="AC311" s="17">
        <v>51</v>
      </c>
      <c r="AD311" s="36">
        <f t="shared" si="101"/>
        <v>0.16721311475409836</v>
      </c>
      <c r="AE311" s="17">
        <v>10</v>
      </c>
      <c r="AF311" s="36">
        <f t="shared" si="94"/>
        <v>0.14084507042253522</v>
      </c>
      <c r="AG311" s="17">
        <v>19</v>
      </c>
      <c r="AH311" s="36">
        <f t="shared" si="102"/>
        <v>6.2295081967213117E-2</v>
      </c>
      <c r="AI311" s="17">
        <v>6</v>
      </c>
      <c r="AJ311" s="36">
        <f t="shared" si="95"/>
        <v>8.4507042253521125E-2</v>
      </c>
      <c r="AK311" s="17">
        <v>6</v>
      </c>
      <c r="AL311" s="36">
        <f t="shared" si="103"/>
        <v>1.9672131147540985E-2</v>
      </c>
      <c r="AM311" s="17">
        <v>1</v>
      </c>
      <c r="AN311" s="36">
        <f t="shared" si="96"/>
        <v>1.4084507042253521E-2</v>
      </c>
      <c r="AO311" s="17">
        <v>305</v>
      </c>
      <c r="AP311" s="17">
        <v>71</v>
      </c>
    </row>
    <row r="312" spans="1:42" ht="15.75" customHeight="1" x14ac:dyDescent="0.25">
      <c r="A312" s="37">
        <v>2022</v>
      </c>
      <c r="B312" s="35">
        <v>170389</v>
      </c>
      <c r="C312" s="33" t="str">
        <f>VLOOKUP(B312,procv!$A$2:$D$142,4,FALSE)</f>
        <v>Bico do Papagaio</v>
      </c>
      <c r="D312" s="33" t="s">
        <v>37</v>
      </c>
      <c r="E312" s="17">
        <v>5</v>
      </c>
      <c r="F312" s="36">
        <f t="shared" si="86"/>
        <v>1.3888888888888888E-2</v>
      </c>
      <c r="G312" s="17">
        <v>3</v>
      </c>
      <c r="H312" s="36">
        <f t="shared" si="87"/>
        <v>1.8181818181818181E-2</v>
      </c>
      <c r="I312" s="17">
        <v>26</v>
      </c>
      <c r="J312" s="36">
        <f t="shared" si="88"/>
        <v>7.2222222222222215E-2</v>
      </c>
      <c r="K312" s="17">
        <v>10</v>
      </c>
      <c r="L312" s="36">
        <f t="shared" si="89"/>
        <v>6.0606060606060608E-2</v>
      </c>
      <c r="M312" s="17">
        <v>329</v>
      </c>
      <c r="N312" s="36">
        <f t="shared" si="97"/>
        <v>0.91388888888888886</v>
      </c>
      <c r="O312" s="17">
        <v>152</v>
      </c>
      <c r="P312" s="36">
        <f t="shared" si="90"/>
        <v>0.92121212121212126</v>
      </c>
      <c r="Q312" s="17">
        <v>5</v>
      </c>
      <c r="R312" s="36">
        <f t="shared" si="98"/>
        <v>1.3888888888888888E-2</v>
      </c>
      <c r="S312" s="17">
        <v>3</v>
      </c>
      <c r="T312" s="36">
        <f t="shared" si="91"/>
        <v>1.8181818181818181E-2</v>
      </c>
      <c r="U312" s="17">
        <v>11</v>
      </c>
      <c r="V312" s="36">
        <f t="shared" si="99"/>
        <v>3.0555555555555555E-2</v>
      </c>
      <c r="W312" s="17">
        <v>5</v>
      </c>
      <c r="X312" s="36">
        <f t="shared" si="92"/>
        <v>3.0303030303030304E-2</v>
      </c>
      <c r="Y312" s="17">
        <v>255</v>
      </c>
      <c r="Z312" s="36">
        <f t="shared" si="100"/>
        <v>0.70833333333333337</v>
      </c>
      <c r="AA312" s="17">
        <v>118</v>
      </c>
      <c r="AB312" s="36">
        <f t="shared" si="93"/>
        <v>0.7151515151515152</v>
      </c>
      <c r="AC312" s="17">
        <v>54</v>
      </c>
      <c r="AD312" s="36">
        <f t="shared" si="101"/>
        <v>0.15</v>
      </c>
      <c r="AE312" s="17">
        <v>27</v>
      </c>
      <c r="AF312" s="36">
        <f t="shared" si="94"/>
        <v>0.16363636363636364</v>
      </c>
      <c r="AG312" s="17">
        <v>29</v>
      </c>
      <c r="AH312" s="36">
        <f t="shared" si="102"/>
        <v>8.0555555555555561E-2</v>
      </c>
      <c r="AI312" s="17">
        <v>10</v>
      </c>
      <c r="AJ312" s="36">
        <f t="shared" si="95"/>
        <v>6.0606060606060608E-2</v>
      </c>
      <c r="AK312" s="17">
        <v>6</v>
      </c>
      <c r="AL312" s="36">
        <f t="shared" si="103"/>
        <v>1.6666666666666666E-2</v>
      </c>
      <c r="AM312" s="17">
        <v>2</v>
      </c>
      <c r="AN312" s="36">
        <f t="shared" si="96"/>
        <v>1.2121212121212121E-2</v>
      </c>
      <c r="AO312" s="17">
        <v>360</v>
      </c>
      <c r="AP312" s="17">
        <v>165</v>
      </c>
    </row>
    <row r="313" spans="1:42" ht="15.75" customHeight="1" x14ac:dyDescent="0.25">
      <c r="A313" s="37">
        <v>2022</v>
      </c>
      <c r="B313" s="35">
        <v>170390</v>
      </c>
      <c r="C313" s="33" t="str">
        <f>VLOOKUP(B313,procv!$A$2:$D$142,4,FALSE)</f>
        <v>Cantão</v>
      </c>
      <c r="D313" s="33" t="s">
        <v>38</v>
      </c>
      <c r="E313" s="17">
        <v>15</v>
      </c>
      <c r="F313" s="36">
        <f t="shared" si="86"/>
        <v>3.125E-2</v>
      </c>
      <c r="G313" s="17">
        <v>12</v>
      </c>
      <c r="H313" s="36">
        <f t="shared" si="87"/>
        <v>7.8431372549019607E-2</v>
      </c>
      <c r="I313" s="17">
        <v>32</v>
      </c>
      <c r="J313" s="36">
        <f t="shared" si="88"/>
        <v>6.6666666666666666E-2</v>
      </c>
      <c r="K313" s="17">
        <v>6</v>
      </c>
      <c r="L313" s="36">
        <f t="shared" si="89"/>
        <v>3.9215686274509803E-2</v>
      </c>
      <c r="M313" s="17">
        <v>433</v>
      </c>
      <c r="N313" s="36">
        <f t="shared" si="97"/>
        <v>0.90208333333333335</v>
      </c>
      <c r="O313" s="17">
        <v>135</v>
      </c>
      <c r="P313" s="36">
        <f t="shared" si="90"/>
        <v>0.88235294117647056</v>
      </c>
      <c r="Q313" s="17">
        <v>6</v>
      </c>
      <c r="R313" s="36">
        <f t="shared" si="98"/>
        <v>1.2500000000000001E-2</v>
      </c>
      <c r="S313" s="17">
        <v>3</v>
      </c>
      <c r="T313" s="36">
        <f t="shared" si="91"/>
        <v>1.9607843137254902E-2</v>
      </c>
      <c r="U313" s="17">
        <v>18</v>
      </c>
      <c r="V313" s="36">
        <f t="shared" si="99"/>
        <v>3.7499999999999999E-2</v>
      </c>
      <c r="W313" s="17">
        <v>7</v>
      </c>
      <c r="X313" s="36">
        <f t="shared" si="92"/>
        <v>4.5751633986928102E-2</v>
      </c>
      <c r="Y313" s="17">
        <v>325</v>
      </c>
      <c r="Z313" s="36">
        <f t="shared" si="100"/>
        <v>0.67708333333333337</v>
      </c>
      <c r="AA313" s="17">
        <v>100</v>
      </c>
      <c r="AB313" s="36">
        <f t="shared" si="93"/>
        <v>0.65359477124183007</v>
      </c>
      <c r="AC313" s="17">
        <v>85</v>
      </c>
      <c r="AD313" s="36">
        <f t="shared" si="101"/>
        <v>0.17708333333333334</v>
      </c>
      <c r="AE313" s="17">
        <v>27</v>
      </c>
      <c r="AF313" s="36">
        <f t="shared" si="94"/>
        <v>0.17647058823529413</v>
      </c>
      <c r="AG313" s="17">
        <v>35</v>
      </c>
      <c r="AH313" s="36">
        <f t="shared" si="102"/>
        <v>7.2916666666666671E-2</v>
      </c>
      <c r="AI313" s="17">
        <v>11</v>
      </c>
      <c r="AJ313" s="36">
        <f t="shared" si="95"/>
        <v>7.1895424836601302E-2</v>
      </c>
      <c r="AK313" s="17">
        <v>11</v>
      </c>
      <c r="AL313" s="36">
        <f t="shared" si="103"/>
        <v>2.2916666666666665E-2</v>
      </c>
      <c r="AM313" s="17">
        <v>5</v>
      </c>
      <c r="AN313" s="36">
        <f t="shared" si="96"/>
        <v>3.2679738562091505E-2</v>
      </c>
      <c r="AO313" s="17">
        <v>480</v>
      </c>
      <c r="AP313" s="17">
        <v>153</v>
      </c>
    </row>
    <row r="314" spans="1:42" ht="15.75" customHeight="1" x14ac:dyDescent="0.25">
      <c r="A314" s="37">
        <v>2022</v>
      </c>
      <c r="B314" s="35">
        <v>170410</v>
      </c>
      <c r="C314" s="33" t="str">
        <f>VLOOKUP(B314,procv!$A$2:$D$142,4,FALSE)</f>
        <v>Cerrado Tocantins Araguaia</v>
      </c>
      <c r="D314" s="33" t="s">
        <v>39</v>
      </c>
      <c r="E314" s="17">
        <v>6</v>
      </c>
      <c r="F314" s="36">
        <f t="shared" si="86"/>
        <v>3.5928143712574849E-2</v>
      </c>
      <c r="G314" s="17">
        <v>1</v>
      </c>
      <c r="H314" s="36">
        <f t="shared" si="87"/>
        <v>1.5384615384615385E-2</v>
      </c>
      <c r="I314" s="17">
        <v>6</v>
      </c>
      <c r="J314" s="36">
        <f t="shared" si="88"/>
        <v>3.5928143712574849E-2</v>
      </c>
      <c r="K314" s="17">
        <v>3</v>
      </c>
      <c r="L314" s="36">
        <f t="shared" si="89"/>
        <v>4.6153846153846156E-2</v>
      </c>
      <c r="M314" s="17">
        <v>155</v>
      </c>
      <c r="N314" s="36">
        <f t="shared" si="97"/>
        <v>0.92814371257485029</v>
      </c>
      <c r="O314" s="17">
        <v>61</v>
      </c>
      <c r="P314" s="36">
        <f t="shared" si="90"/>
        <v>0.93846153846153846</v>
      </c>
      <c r="Q314" s="17">
        <v>1</v>
      </c>
      <c r="R314" s="36">
        <f t="shared" si="98"/>
        <v>5.9880239520958087E-3</v>
      </c>
      <c r="S314" s="17">
        <v>1</v>
      </c>
      <c r="T314" s="36">
        <f t="shared" si="91"/>
        <v>1.5384615384615385E-2</v>
      </c>
      <c r="U314" s="17">
        <v>4</v>
      </c>
      <c r="V314" s="36">
        <f t="shared" si="99"/>
        <v>2.3952095808383235E-2</v>
      </c>
      <c r="W314" s="17">
        <v>2</v>
      </c>
      <c r="X314" s="36">
        <f t="shared" si="92"/>
        <v>3.0769230769230771E-2</v>
      </c>
      <c r="Y314" s="17">
        <v>122</v>
      </c>
      <c r="Z314" s="36">
        <f t="shared" si="100"/>
        <v>0.73053892215568861</v>
      </c>
      <c r="AA314" s="17">
        <v>46</v>
      </c>
      <c r="AB314" s="36">
        <f t="shared" si="93"/>
        <v>0.70769230769230773</v>
      </c>
      <c r="AC314" s="17">
        <v>26</v>
      </c>
      <c r="AD314" s="36">
        <f t="shared" si="101"/>
        <v>0.15568862275449102</v>
      </c>
      <c r="AE314" s="17">
        <v>10</v>
      </c>
      <c r="AF314" s="36">
        <f t="shared" si="94"/>
        <v>0.15384615384615385</v>
      </c>
      <c r="AG314" s="17">
        <v>13</v>
      </c>
      <c r="AH314" s="36">
        <f t="shared" si="102"/>
        <v>7.7844311377245512E-2</v>
      </c>
      <c r="AI314" s="17">
        <v>6</v>
      </c>
      <c r="AJ314" s="36">
        <f t="shared" si="95"/>
        <v>9.2307692307692313E-2</v>
      </c>
      <c r="AK314" s="17">
        <v>1</v>
      </c>
      <c r="AL314" s="36">
        <f t="shared" si="103"/>
        <v>5.9880239520958087E-3</v>
      </c>
      <c r="AM314" s="17">
        <v>0</v>
      </c>
      <c r="AN314" s="36">
        <f t="shared" si="96"/>
        <v>0</v>
      </c>
      <c r="AO314" s="17">
        <v>167</v>
      </c>
      <c r="AP314" s="17">
        <v>65</v>
      </c>
    </row>
    <row r="315" spans="1:42" ht="15.75" customHeight="1" x14ac:dyDescent="0.25">
      <c r="A315" s="37">
        <v>2022</v>
      </c>
      <c r="B315" s="35">
        <v>170510</v>
      </c>
      <c r="C315" s="33" t="str">
        <f>VLOOKUP(B315,procv!$A$2:$D$142,4,FALSE)</f>
        <v>Amor Perfeito</v>
      </c>
      <c r="D315" s="33" t="s">
        <v>40</v>
      </c>
      <c r="E315" s="17">
        <v>1</v>
      </c>
      <c r="F315" s="36">
        <f t="shared" si="86"/>
        <v>2.6109660574412533E-3</v>
      </c>
      <c r="G315" s="17">
        <v>1</v>
      </c>
      <c r="H315" s="36">
        <f t="shared" si="87"/>
        <v>1.4084507042253521E-2</v>
      </c>
      <c r="I315" s="17">
        <v>14</v>
      </c>
      <c r="J315" s="36">
        <f t="shared" si="88"/>
        <v>3.6553524804177548E-2</v>
      </c>
      <c r="K315" s="17">
        <v>5</v>
      </c>
      <c r="L315" s="36">
        <f t="shared" si="89"/>
        <v>7.0422535211267609E-2</v>
      </c>
      <c r="M315" s="17">
        <v>368</v>
      </c>
      <c r="N315" s="36">
        <f t="shared" si="97"/>
        <v>0.96083550913838123</v>
      </c>
      <c r="O315" s="17">
        <v>65</v>
      </c>
      <c r="P315" s="36">
        <f t="shared" si="90"/>
        <v>0.91549295774647887</v>
      </c>
      <c r="Q315" s="17">
        <v>4</v>
      </c>
      <c r="R315" s="36">
        <f t="shared" si="98"/>
        <v>1.0443864229765013E-2</v>
      </c>
      <c r="S315" s="17">
        <v>1</v>
      </c>
      <c r="T315" s="36">
        <f t="shared" si="91"/>
        <v>1.4084507042253521E-2</v>
      </c>
      <c r="U315" s="17">
        <v>11</v>
      </c>
      <c r="V315" s="36">
        <f t="shared" si="99"/>
        <v>2.8720626631853787E-2</v>
      </c>
      <c r="W315" s="17">
        <v>2</v>
      </c>
      <c r="X315" s="36">
        <f t="shared" si="92"/>
        <v>2.8169014084507043E-2</v>
      </c>
      <c r="Y315" s="17">
        <v>267</v>
      </c>
      <c r="Z315" s="36">
        <f t="shared" si="100"/>
        <v>0.69712793733681466</v>
      </c>
      <c r="AA315" s="17">
        <v>46</v>
      </c>
      <c r="AB315" s="36">
        <f t="shared" si="93"/>
        <v>0.647887323943662</v>
      </c>
      <c r="AC315" s="17">
        <v>55</v>
      </c>
      <c r="AD315" s="36">
        <f t="shared" si="101"/>
        <v>0.14360313315926893</v>
      </c>
      <c r="AE315" s="17">
        <v>7</v>
      </c>
      <c r="AF315" s="36">
        <f t="shared" si="94"/>
        <v>9.8591549295774641E-2</v>
      </c>
      <c r="AG315" s="17">
        <v>41</v>
      </c>
      <c r="AH315" s="36">
        <f t="shared" si="102"/>
        <v>0.10704960835509138</v>
      </c>
      <c r="AI315" s="17">
        <v>13</v>
      </c>
      <c r="AJ315" s="36">
        <f t="shared" si="95"/>
        <v>0.18309859154929578</v>
      </c>
      <c r="AK315" s="17">
        <v>5</v>
      </c>
      <c r="AL315" s="36">
        <f t="shared" si="103"/>
        <v>1.3054830287206266E-2</v>
      </c>
      <c r="AM315" s="17">
        <v>2</v>
      </c>
      <c r="AN315" s="36">
        <f t="shared" si="96"/>
        <v>2.8169014084507043E-2</v>
      </c>
      <c r="AO315" s="17">
        <v>383</v>
      </c>
      <c r="AP315" s="17">
        <v>71</v>
      </c>
    </row>
    <row r="316" spans="1:42" ht="15.75" customHeight="1" x14ac:dyDescent="0.25">
      <c r="A316" s="37">
        <v>2022</v>
      </c>
      <c r="B316" s="35">
        <v>170460</v>
      </c>
      <c r="C316" s="33" t="str">
        <f>VLOOKUP(B316,procv!$A$2:$D$142,4,FALSE)</f>
        <v>Cantão</v>
      </c>
      <c r="D316" s="33" t="s">
        <v>41</v>
      </c>
      <c r="E316" s="17">
        <v>1</v>
      </c>
      <c r="F316" s="36">
        <f t="shared" si="86"/>
        <v>4.2735042735042739E-3</v>
      </c>
      <c r="G316" s="17">
        <v>0</v>
      </c>
      <c r="H316" s="36">
        <f t="shared" si="87"/>
        <v>0</v>
      </c>
      <c r="I316" s="17">
        <v>8</v>
      </c>
      <c r="J316" s="36">
        <f t="shared" si="88"/>
        <v>3.4188034188034191E-2</v>
      </c>
      <c r="K316" s="17">
        <v>1</v>
      </c>
      <c r="L316" s="36">
        <f t="shared" si="89"/>
        <v>1.8181818181818181E-2</v>
      </c>
      <c r="M316" s="17">
        <v>225</v>
      </c>
      <c r="N316" s="36">
        <f t="shared" si="97"/>
        <v>0.96153846153846156</v>
      </c>
      <c r="O316" s="17">
        <v>54</v>
      </c>
      <c r="P316" s="36">
        <f t="shared" si="90"/>
        <v>0.98181818181818181</v>
      </c>
      <c r="Q316" s="17">
        <v>5</v>
      </c>
      <c r="R316" s="36">
        <f t="shared" si="98"/>
        <v>2.1367521367521368E-2</v>
      </c>
      <c r="S316" s="17">
        <v>0</v>
      </c>
      <c r="T316" s="36">
        <f t="shared" si="91"/>
        <v>0</v>
      </c>
      <c r="U316" s="17">
        <v>7</v>
      </c>
      <c r="V316" s="36">
        <f t="shared" si="99"/>
        <v>2.9914529914529916E-2</v>
      </c>
      <c r="W316" s="17">
        <v>1</v>
      </c>
      <c r="X316" s="36">
        <f t="shared" si="92"/>
        <v>1.8181818181818181E-2</v>
      </c>
      <c r="Y316" s="17">
        <v>171</v>
      </c>
      <c r="Z316" s="36">
        <f t="shared" si="100"/>
        <v>0.73076923076923073</v>
      </c>
      <c r="AA316" s="17">
        <v>37</v>
      </c>
      <c r="AB316" s="36">
        <f t="shared" si="93"/>
        <v>0.67272727272727273</v>
      </c>
      <c r="AC316" s="17">
        <v>31</v>
      </c>
      <c r="AD316" s="36">
        <f t="shared" si="101"/>
        <v>0.13247863247863248</v>
      </c>
      <c r="AE316" s="17">
        <v>11</v>
      </c>
      <c r="AF316" s="36">
        <f t="shared" si="94"/>
        <v>0.2</v>
      </c>
      <c r="AG316" s="17">
        <v>15</v>
      </c>
      <c r="AH316" s="36">
        <f t="shared" si="102"/>
        <v>6.4102564102564097E-2</v>
      </c>
      <c r="AI316" s="17">
        <v>5</v>
      </c>
      <c r="AJ316" s="36">
        <f t="shared" si="95"/>
        <v>9.0909090909090912E-2</v>
      </c>
      <c r="AK316" s="17">
        <v>5</v>
      </c>
      <c r="AL316" s="36">
        <f t="shared" si="103"/>
        <v>2.1367521367521368E-2</v>
      </c>
      <c r="AM316" s="17">
        <v>1</v>
      </c>
      <c r="AN316" s="36">
        <f t="shared" si="96"/>
        <v>1.8181818181818181E-2</v>
      </c>
      <c r="AO316" s="17">
        <v>234</v>
      </c>
      <c r="AP316" s="17">
        <v>55</v>
      </c>
    </row>
    <row r="317" spans="1:42" ht="15.75" customHeight="1" x14ac:dyDescent="0.25">
      <c r="A317" s="37">
        <v>2022</v>
      </c>
      <c r="B317" s="35">
        <v>170550</v>
      </c>
      <c r="C317" s="33" t="str">
        <f>VLOOKUP(B317,procv!$A$2:$D$142,4,FALSE)</f>
        <v>Cerrado Tocantins Araguaia</v>
      </c>
      <c r="D317" s="33" t="s">
        <v>42</v>
      </c>
      <c r="E317" s="17">
        <v>19</v>
      </c>
      <c r="F317" s="36">
        <f t="shared" si="86"/>
        <v>1.2156110044785669E-2</v>
      </c>
      <c r="G317" s="17">
        <v>8</v>
      </c>
      <c r="H317" s="36">
        <f t="shared" si="87"/>
        <v>2.4691358024691357E-2</v>
      </c>
      <c r="I317" s="17">
        <v>52</v>
      </c>
      <c r="J317" s="36">
        <f t="shared" si="88"/>
        <v>3.326935380678183E-2</v>
      </c>
      <c r="K317" s="17">
        <v>15</v>
      </c>
      <c r="L317" s="36">
        <f t="shared" si="89"/>
        <v>4.6296296296296294E-2</v>
      </c>
      <c r="M317" s="16">
        <v>1492</v>
      </c>
      <c r="N317" s="36">
        <f t="shared" ref="N317:N380" si="104">IFERROR(M317/$AO317,0)</f>
        <v>0.95457453614843246</v>
      </c>
      <c r="O317" s="17">
        <v>301</v>
      </c>
      <c r="P317" s="36">
        <f t="shared" si="90"/>
        <v>0.92901234567901236</v>
      </c>
      <c r="Q317" s="17">
        <v>20</v>
      </c>
      <c r="R317" s="36">
        <f t="shared" ref="R317:R380" si="105">IFERROR(Q317/$AO317,0)</f>
        <v>1.2795905310300703E-2</v>
      </c>
      <c r="S317" s="17">
        <v>5</v>
      </c>
      <c r="T317" s="36">
        <f t="shared" si="91"/>
        <v>1.5432098765432098E-2</v>
      </c>
      <c r="U317" s="17">
        <v>56</v>
      </c>
      <c r="V317" s="36">
        <f t="shared" ref="V317:V380" si="106">IFERROR(U317/$AO317,0)</f>
        <v>3.5828534868841973E-2</v>
      </c>
      <c r="W317" s="17">
        <v>11</v>
      </c>
      <c r="X317" s="36">
        <f t="shared" si="92"/>
        <v>3.3950617283950615E-2</v>
      </c>
      <c r="Y317" s="16">
        <v>1039</v>
      </c>
      <c r="Z317" s="36">
        <f t="shared" ref="Z317:Z380" si="107">IFERROR(Y317/$AO317,0)</f>
        <v>0.66474728087012158</v>
      </c>
      <c r="AA317" s="17">
        <v>228</v>
      </c>
      <c r="AB317" s="36">
        <f t="shared" si="93"/>
        <v>0.70370370370370372</v>
      </c>
      <c r="AC317" s="17">
        <v>286</v>
      </c>
      <c r="AD317" s="36">
        <f t="shared" ref="AD317:AD380" si="108">IFERROR(AC317/$AO317,0)</f>
        <v>0.18298144593730006</v>
      </c>
      <c r="AE317" s="17">
        <v>54</v>
      </c>
      <c r="AF317" s="36">
        <f t="shared" si="94"/>
        <v>0.16666666666666666</v>
      </c>
      <c r="AG317" s="17">
        <v>124</v>
      </c>
      <c r="AH317" s="36">
        <f t="shared" ref="AH317:AH380" si="109">IFERROR(AG317/$AO317,0)</f>
        <v>7.9334612923864359E-2</v>
      </c>
      <c r="AI317" s="17">
        <v>19</v>
      </c>
      <c r="AJ317" s="36">
        <f t="shared" si="95"/>
        <v>5.8641975308641972E-2</v>
      </c>
      <c r="AK317" s="17">
        <v>38</v>
      </c>
      <c r="AL317" s="36">
        <f t="shared" ref="AL317:AL380" si="110">IFERROR(AK317/$AO317,0)</f>
        <v>2.4312220089571339E-2</v>
      </c>
      <c r="AM317" s="17">
        <v>7</v>
      </c>
      <c r="AN317" s="36">
        <f t="shared" si="96"/>
        <v>2.1604938271604937E-2</v>
      </c>
      <c r="AO317" s="16">
        <v>1563</v>
      </c>
      <c r="AP317" s="17">
        <v>324</v>
      </c>
    </row>
    <row r="318" spans="1:42" ht="15.75" customHeight="1" x14ac:dyDescent="0.25">
      <c r="A318" s="37">
        <v>2022</v>
      </c>
      <c r="B318" s="35">
        <v>171670</v>
      </c>
      <c r="C318" s="33" t="str">
        <f>VLOOKUP(B318,procv!$A$2:$D$142,4,FALSE)</f>
        <v>Cerrado Tocantins Araguaia</v>
      </c>
      <c r="D318" s="33" t="s">
        <v>43</v>
      </c>
      <c r="E318" s="17">
        <v>6</v>
      </c>
      <c r="F318" s="36">
        <f t="shared" si="86"/>
        <v>1.8691588785046728E-2</v>
      </c>
      <c r="G318" s="17">
        <v>5</v>
      </c>
      <c r="H318" s="36">
        <f t="shared" si="87"/>
        <v>4.1322314049586778E-2</v>
      </c>
      <c r="I318" s="17">
        <v>20</v>
      </c>
      <c r="J318" s="36">
        <f t="shared" si="88"/>
        <v>6.2305295950155763E-2</v>
      </c>
      <c r="K318" s="17">
        <v>8</v>
      </c>
      <c r="L318" s="36">
        <f t="shared" si="89"/>
        <v>6.6115702479338845E-2</v>
      </c>
      <c r="M318" s="17">
        <v>295</v>
      </c>
      <c r="N318" s="36">
        <f t="shared" si="104"/>
        <v>0.9190031152647975</v>
      </c>
      <c r="O318" s="17">
        <v>108</v>
      </c>
      <c r="P318" s="36">
        <f t="shared" si="90"/>
        <v>0.8925619834710744</v>
      </c>
      <c r="Q318" s="17">
        <v>5</v>
      </c>
      <c r="R318" s="36">
        <f t="shared" si="105"/>
        <v>1.5576323987538941E-2</v>
      </c>
      <c r="S318" s="17">
        <v>3</v>
      </c>
      <c r="T318" s="36">
        <f t="shared" si="91"/>
        <v>2.4793388429752067E-2</v>
      </c>
      <c r="U318" s="17">
        <v>8</v>
      </c>
      <c r="V318" s="36">
        <f t="shared" si="106"/>
        <v>2.4922118380062305E-2</v>
      </c>
      <c r="W318" s="17">
        <v>2</v>
      </c>
      <c r="X318" s="36">
        <f t="shared" si="92"/>
        <v>1.6528925619834711E-2</v>
      </c>
      <c r="Y318" s="17">
        <v>224</v>
      </c>
      <c r="Z318" s="36">
        <f t="shared" si="107"/>
        <v>0.69781931464174451</v>
      </c>
      <c r="AA318" s="17">
        <v>84</v>
      </c>
      <c r="AB318" s="36">
        <f t="shared" si="93"/>
        <v>0.69421487603305787</v>
      </c>
      <c r="AC318" s="17">
        <v>60</v>
      </c>
      <c r="AD318" s="36">
        <f t="shared" si="108"/>
        <v>0.18691588785046728</v>
      </c>
      <c r="AE318" s="17">
        <v>26</v>
      </c>
      <c r="AF318" s="36">
        <f t="shared" si="94"/>
        <v>0.21487603305785125</v>
      </c>
      <c r="AG318" s="17">
        <v>20</v>
      </c>
      <c r="AH318" s="36">
        <f t="shared" si="109"/>
        <v>6.2305295950155763E-2</v>
      </c>
      <c r="AI318" s="17">
        <v>6</v>
      </c>
      <c r="AJ318" s="36">
        <f t="shared" si="95"/>
        <v>4.9586776859504134E-2</v>
      </c>
      <c r="AK318" s="17">
        <v>4</v>
      </c>
      <c r="AL318" s="36">
        <f t="shared" si="110"/>
        <v>1.2461059190031152E-2</v>
      </c>
      <c r="AM318" s="17">
        <v>0</v>
      </c>
      <c r="AN318" s="36">
        <f t="shared" si="96"/>
        <v>0</v>
      </c>
      <c r="AO318" s="17">
        <v>321</v>
      </c>
      <c r="AP318" s="17">
        <v>121</v>
      </c>
    </row>
    <row r="319" spans="1:42" ht="15.75" customHeight="1" x14ac:dyDescent="0.25">
      <c r="A319" s="37">
        <v>2022</v>
      </c>
      <c r="B319" s="35">
        <v>170555</v>
      </c>
      <c r="C319" s="33" t="str">
        <f>VLOOKUP(B319,procv!$A$2:$D$142,4,FALSE)</f>
        <v>Sudeste</v>
      </c>
      <c r="D319" s="33" t="s">
        <v>44</v>
      </c>
      <c r="E319" s="17">
        <v>5</v>
      </c>
      <c r="F319" s="36">
        <f t="shared" si="86"/>
        <v>8.771929824561403E-3</v>
      </c>
      <c r="G319" s="17">
        <v>1</v>
      </c>
      <c r="H319" s="36">
        <f t="shared" si="87"/>
        <v>6.3291139240506328E-3</v>
      </c>
      <c r="I319" s="17">
        <v>12</v>
      </c>
      <c r="J319" s="36">
        <f t="shared" si="88"/>
        <v>2.1052631578947368E-2</v>
      </c>
      <c r="K319" s="17">
        <v>2</v>
      </c>
      <c r="L319" s="36">
        <f t="shared" si="89"/>
        <v>1.2658227848101266E-2</v>
      </c>
      <c r="M319" s="17">
        <v>553</v>
      </c>
      <c r="N319" s="36">
        <f t="shared" si="104"/>
        <v>0.97017543859649125</v>
      </c>
      <c r="O319" s="17">
        <v>155</v>
      </c>
      <c r="P319" s="36">
        <f t="shared" si="90"/>
        <v>0.98101265822784811</v>
      </c>
      <c r="Q319" s="17">
        <v>1</v>
      </c>
      <c r="R319" s="36">
        <f t="shared" si="105"/>
        <v>1.7543859649122807E-3</v>
      </c>
      <c r="S319" s="17">
        <v>0</v>
      </c>
      <c r="T319" s="36">
        <f t="shared" si="91"/>
        <v>0</v>
      </c>
      <c r="U319" s="17">
        <v>18</v>
      </c>
      <c r="V319" s="36">
        <f t="shared" si="106"/>
        <v>3.1578947368421054E-2</v>
      </c>
      <c r="W319" s="17">
        <v>1</v>
      </c>
      <c r="X319" s="36">
        <f t="shared" si="92"/>
        <v>6.3291139240506328E-3</v>
      </c>
      <c r="Y319" s="17">
        <v>415</v>
      </c>
      <c r="Z319" s="36">
        <f t="shared" si="107"/>
        <v>0.72807017543859653</v>
      </c>
      <c r="AA319" s="17">
        <v>122</v>
      </c>
      <c r="AB319" s="36">
        <f t="shared" si="93"/>
        <v>0.77215189873417722</v>
      </c>
      <c r="AC319" s="17">
        <v>82</v>
      </c>
      <c r="AD319" s="36">
        <f t="shared" si="108"/>
        <v>0.14385964912280702</v>
      </c>
      <c r="AE319" s="17">
        <v>27</v>
      </c>
      <c r="AF319" s="36">
        <f t="shared" si="94"/>
        <v>0.17088607594936708</v>
      </c>
      <c r="AG319" s="17">
        <v>47</v>
      </c>
      <c r="AH319" s="36">
        <f t="shared" si="109"/>
        <v>8.24561403508772E-2</v>
      </c>
      <c r="AI319" s="17">
        <v>7</v>
      </c>
      <c r="AJ319" s="36">
        <f t="shared" si="95"/>
        <v>4.4303797468354431E-2</v>
      </c>
      <c r="AK319" s="17">
        <v>7</v>
      </c>
      <c r="AL319" s="36">
        <f t="shared" si="110"/>
        <v>1.2280701754385965E-2</v>
      </c>
      <c r="AM319" s="17">
        <v>1</v>
      </c>
      <c r="AN319" s="36">
        <f t="shared" si="96"/>
        <v>6.3291139240506328E-3</v>
      </c>
      <c r="AO319" s="17">
        <v>570</v>
      </c>
      <c r="AP319" s="17">
        <v>158</v>
      </c>
    </row>
    <row r="320" spans="1:42" ht="15.75" customHeight="1" x14ac:dyDescent="0.25">
      <c r="A320" s="37">
        <v>2022</v>
      </c>
      <c r="B320" s="35">
        <v>170560</v>
      </c>
      <c r="C320" s="33" t="str">
        <f>VLOOKUP(B320,procv!$A$2:$D$142,4,FALSE)</f>
        <v>Sudeste</v>
      </c>
      <c r="D320" s="33" t="s">
        <v>45</v>
      </c>
      <c r="E320" s="17">
        <v>4</v>
      </c>
      <c r="F320" s="36">
        <f t="shared" si="86"/>
        <v>9.5693779904306216E-3</v>
      </c>
      <c r="G320" s="17">
        <v>3</v>
      </c>
      <c r="H320" s="36">
        <f t="shared" si="87"/>
        <v>1.6666666666666666E-2</v>
      </c>
      <c r="I320" s="17">
        <v>16</v>
      </c>
      <c r="J320" s="36">
        <f t="shared" si="88"/>
        <v>3.8277511961722487E-2</v>
      </c>
      <c r="K320" s="17">
        <v>8</v>
      </c>
      <c r="L320" s="36">
        <f t="shared" si="89"/>
        <v>4.4444444444444446E-2</v>
      </c>
      <c r="M320" s="17">
        <v>398</v>
      </c>
      <c r="N320" s="36">
        <f t="shared" si="104"/>
        <v>0.95215311004784686</v>
      </c>
      <c r="O320" s="17">
        <v>169</v>
      </c>
      <c r="P320" s="36">
        <f t="shared" si="90"/>
        <v>0.93888888888888888</v>
      </c>
      <c r="Q320" s="17">
        <v>6</v>
      </c>
      <c r="R320" s="36">
        <f t="shared" si="105"/>
        <v>1.4354066985645933E-2</v>
      </c>
      <c r="S320" s="17">
        <v>3</v>
      </c>
      <c r="T320" s="36">
        <f t="shared" si="91"/>
        <v>1.6666666666666666E-2</v>
      </c>
      <c r="U320" s="17">
        <v>23</v>
      </c>
      <c r="V320" s="36">
        <f t="shared" si="106"/>
        <v>5.5023923444976079E-2</v>
      </c>
      <c r="W320" s="17">
        <v>11</v>
      </c>
      <c r="X320" s="36">
        <f t="shared" si="92"/>
        <v>6.1111111111111109E-2</v>
      </c>
      <c r="Y320" s="17">
        <v>287</v>
      </c>
      <c r="Z320" s="36">
        <f t="shared" si="107"/>
        <v>0.6866028708133971</v>
      </c>
      <c r="AA320" s="17">
        <v>123</v>
      </c>
      <c r="AB320" s="36">
        <f t="shared" si="93"/>
        <v>0.68333333333333335</v>
      </c>
      <c r="AC320" s="17">
        <v>63</v>
      </c>
      <c r="AD320" s="36">
        <f t="shared" si="108"/>
        <v>0.15071770334928231</v>
      </c>
      <c r="AE320" s="17">
        <v>29</v>
      </c>
      <c r="AF320" s="36">
        <f t="shared" si="94"/>
        <v>0.16111111111111112</v>
      </c>
      <c r="AG320" s="17">
        <v>33</v>
      </c>
      <c r="AH320" s="36">
        <f t="shared" si="109"/>
        <v>7.8947368421052627E-2</v>
      </c>
      <c r="AI320" s="17">
        <v>10</v>
      </c>
      <c r="AJ320" s="36">
        <f t="shared" si="95"/>
        <v>5.5555555555555552E-2</v>
      </c>
      <c r="AK320" s="17">
        <v>6</v>
      </c>
      <c r="AL320" s="36">
        <f t="shared" si="110"/>
        <v>1.4354066985645933E-2</v>
      </c>
      <c r="AM320" s="17">
        <v>4</v>
      </c>
      <c r="AN320" s="36">
        <f t="shared" si="96"/>
        <v>2.2222222222222223E-2</v>
      </c>
      <c r="AO320" s="17">
        <v>418</v>
      </c>
      <c r="AP320" s="17">
        <v>180</v>
      </c>
    </row>
    <row r="321" spans="1:42" ht="15.75" customHeight="1" x14ac:dyDescent="0.25">
      <c r="A321" s="37">
        <v>2022</v>
      </c>
      <c r="B321" s="35">
        <v>170600</v>
      </c>
      <c r="C321" s="33" t="str">
        <f>VLOOKUP(B321,procv!$A$2:$D$142,4,FALSE)</f>
        <v>Cerrado Tocantins Araguaia</v>
      </c>
      <c r="D321" s="33" t="s">
        <v>46</v>
      </c>
      <c r="E321" s="17">
        <v>8</v>
      </c>
      <c r="F321" s="36">
        <f t="shared" si="86"/>
        <v>1.8867924528301886E-2</v>
      </c>
      <c r="G321" s="17">
        <v>6</v>
      </c>
      <c r="H321" s="36">
        <f t="shared" si="87"/>
        <v>5.3097345132743362E-2</v>
      </c>
      <c r="I321" s="17">
        <v>14</v>
      </c>
      <c r="J321" s="36">
        <f t="shared" si="88"/>
        <v>3.3018867924528301E-2</v>
      </c>
      <c r="K321" s="17">
        <v>1</v>
      </c>
      <c r="L321" s="36">
        <f t="shared" si="89"/>
        <v>8.8495575221238937E-3</v>
      </c>
      <c r="M321" s="17">
        <v>402</v>
      </c>
      <c r="N321" s="36">
        <f t="shared" si="104"/>
        <v>0.94811320754716977</v>
      </c>
      <c r="O321" s="17">
        <v>106</v>
      </c>
      <c r="P321" s="36">
        <f t="shared" si="90"/>
        <v>0.93805309734513276</v>
      </c>
      <c r="Q321" s="17">
        <v>8</v>
      </c>
      <c r="R321" s="36">
        <f t="shared" si="105"/>
        <v>1.8867924528301886E-2</v>
      </c>
      <c r="S321" s="17">
        <v>3</v>
      </c>
      <c r="T321" s="36">
        <f t="shared" si="91"/>
        <v>2.6548672566371681E-2</v>
      </c>
      <c r="U321" s="17">
        <v>22</v>
      </c>
      <c r="V321" s="36">
        <f t="shared" si="106"/>
        <v>5.1886792452830191E-2</v>
      </c>
      <c r="W321" s="17">
        <v>6</v>
      </c>
      <c r="X321" s="36">
        <f t="shared" si="92"/>
        <v>5.3097345132743362E-2</v>
      </c>
      <c r="Y321" s="17">
        <v>304</v>
      </c>
      <c r="Z321" s="36">
        <f t="shared" si="107"/>
        <v>0.71698113207547165</v>
      </c>
      <c r="AA321" s="17">
        <v>81</v>
      </c>
      <c r="AB321" s="36">
        <f t="shared" si="93"/>
        <v>0.7168141592920354</v>
      </c>
      <c r="AC321" s="17">
        <v>57</v>
      </c>
      <c r="AD321" s="36">
        <f t="shared" si="108"/>
        <v>0.13443396226415094</v>
      </c>
      <c r="AE321" s="17">
        <v>13</v>
      </c>
      <c r="AF321" s="36">
        <f t="shared" si="94"/>
        <v>0.11504424778761062</v>
      </c>
      <c r="AG321" s="17">
        <v>31</v>
      </c>
      <c r="AH321" s="36">
        <f t="shared" si="109"/>
        <v>7.3113207547169809E-2</v>
      </c>
      <c r="AI321" s="17">
        <v>10</v>
      </c>
      <c r="AJ321" s="36">
        <f t="shared" si="95"/>
        <v>8.8495575221238937E-2</v>
      </c>
      <c r="AK321" s="17">
        <v>2</v>
      </c>
      <c r="AL321" s="36">
        <f t="shared" si="110"/>
        <v>4.7169811320754715E-3</v>
      </c>
      <c r="AM321" s="17">
        <v>0</v>
      </c>
      <c r="AN321" s="36">
        <f t="shared" si="96"/>
        <v>0</v>
      </c>
      <c r="AO321" s="17">
        <v>424</v>
      </c>
      <c r="AP321" s="17">
        <v>113</v>
      </c>
    </row>
    <row r="322" spans="1:42" ht="15.75" customHeight="1" x14ac:dyDescent="0.25">
      <c r="A322" s="37">
        <v>2022</v>
      </c>
      <c r="B322" s="35">
        <v>170610</v>
      </c>
      <c r="C322" s="33" t="str">
        <f>VLOOKUP(B322,procv!$A$2:$D$142,4,FALSE)</f>
        <v>Cantão</v>
      </c>
      <c r="D322" s="33" t="s">
        <v>47</v>
      </c>
      <c r="E322" s="17">
        <v>4</v>
      </c>
      <c r="F322" s="36">
        <f t="shared" ref="F322:F385" si="111">IFERROR(E322/$AO322,0)</f>
        <v>7.7071290944123313E-3</v>
      </c>
      <c r="G322" s="17">
        <v>2</v>
      </c>
      <c r="H322" s="36">
        <f t="shared" ref="H322:H385" si="112">IFERROR(G322/$AP322,0)</f>
        <v>2.8169014084507043E-2</v>
      </c>
      <c r="I322" s="17">
        <v>13</v>
      </c>
      <c r="J322" s="36">
        <f t="shared" ref="J322:J385" si="113">IFERROR(I322/$AO322,0)</f>
        <v>2.5048169556840076E-2</v>
      </c>
      <c r="K322" s="17">
        <v>4</v>
      </c>
      <c r="L322" s="36">
        <f t="shared" ref="L322:L385" si="114">IFERROR(K322/$AP322,0)</f>
        <v>5.6338028169014086E-2</v>
      </c>
      <c r="M322" s="17">
        <v>502</v>
      </c>
      <c r="N322" s="36">
        <f t="shared" si="104"/>
        <v>0.96724470134874763</v>
      </c>
      <c r="O322" s="17">
        <v>65</v>
      </c>
      <c r="P322" s="36">
        <f t="shared" ref="P322:P385" si="115">IFERROR(O322/$AP322,0)</f>
        <v>0.91549295774647887</v>
      </c>
      <c r="Q322" s="17">
        <v>7</v>
      </c>
      <c r="R322" s="36">
        <f t="shared" si="105"/>
        <v>1.348747591522158E-2</v>
      </c>
      <c r="S322" s="17">
        <v>1</v>
      </c>
      <c r="T322" s="36">
        <f t="shared" ref="T322:T385" si="116">IFERROR(S322/$AP322,0)</f>
        <v>1.4084507042253521E-2</v>
      </c>
      <c r="U322" s="17">
        <v>18</v>
      </c>
      <c r="V322" s="36">
        <f t="shared" si="106"/>
        <v>3.4682080924855488E-2</v>
      </c>
      <c r="W322" s="17">
        <v>3</v>
      </c>
      <c r="X322" s="36">
        <f t="shared" ref="X322:X385" si="117">IFERROR(W322/$AP322,0)</f>
        <v>4.2253521126760563E-2</v>
      </c>
      <c r="Y322" s="17">
        <v>364</v>
      </c>
      <c r="Z322" s="36">
        <f t="shared" si="107"/>
        <v>0.7013487475915221</v>
      </c>
      <c r="AA322" s="17">
        <v>48</v>
      </c>
      <c r="AB322" s="36">
        <f t="shared" ref="AB322:AB385" si="118">IFERROR(AA322/$AP322,0)</f>
        <v>0.676056338028169</v>
      </c>
      <c r="AC322" s="17">
        <v>89</v>
      </c>
      <c r="AD322" s="36">
        <f t="shared" si="108"/>
        <v>0.17148362235067438</v>
      </c>
      <c r="AE322" s="17">
        <v>13</v>
      </c>
      <c r="AF322" s="36">
        <f t="shared" ref="AF322:AF385" si="119">IFERROR(AE322/$AP322,0)</f>
        <v>0.18309859154929578</v>
      </c>
      <c r="AG322" s="17">
        <v>29</v>
      </c>
      <c r="AH322" s="36">
        <f t="shared" si="109"/>
        <v>5.5876685934489405E-2</v>
      </c>
      <c r="AI322" s="17">
        <v>5</v>
      </c>
      <c r="AJ322" s="36">
        <f t="shared" ref="AJ322:AJ385" si="120">IFERROR(AI322/$AP322,0)</f>
        <v>7.0422535211267609E-2</v>
      </c>
      <c r="AK322" s="17">
        <v>12</v>
      </c>
      <c r="AL322" s="36">
        <f t="shared" si="110"/>
        <v>2.3121387283236993E-2</v>
      </c>
      <c r="AM322" s="17">
        <v>1</v>
      </c>
      <c r="AN322" s="36">
        <f t="shared" ref="AN322:AN385" si="121">IFERROR(AM322/$AP322,0)</f>
        <v>1.4084507042253521E-2</v>
      </c>
      <c r="AO322" s="17">
        <v>519</v>
      </c>
      <c r="AP322" s="17">
        <v>71</v>
      </c>
    </row>
    <row r="323" spans="1:42" ht="15.75" customHeight="1" x14ac:dyDescent="0.25">
      <c r="A323" s="37">
        <v>2022</v>
      </c>
      <c r="B323" s="35">
        <v>170625</v>
      </c>
      <c r="C323" s="33" t="str">
        <f>VLOOKUP(B323,procv!$A$2:$D$142,4,FALSE)</f>
        <v>Ilha do Bananal</v>
      </c>
      <c r="D323" s="33" t="s">
        <v>48</v>
      </c>
      <c r="E323" s="17">
        <v>2</v>
      </c>
      <c r="F323" s="36">
        <f t="shared" si="111"/>
        <v>1.2121212121212121E-2</v>
      </c>
      <c r="G323" s="17">
        <v>0</v>
      </c>
      <c r="H323" s="36">
        <f t="shared" si="112"/>
        <v>0</v>
      </c>
      <c r="I323" s="17">
        <v>7</v>
      </c>
      <c r="J323" s="36">
        <f t="shared" si="113"/>
        <v>4.2424242424242427E-2</v>
      </c>
      <c r="K323" s="17">
        <v>0</v>
      </c>
      <c r="L323" s="36">
        <f t="shared" si="114"/>
        <v>0</v>
      </c>
      <c r="M323" s="17">
        <v>156</v>
      </c>
      <c r="N323" s="36">
        <f t="shared" si="104"/>
        <v>0.94545454545454544</v>
      </c>
      <c r="O323" s="17">
        <v>8</v>
      </c>
      <c r="P323" s="36">
        <f t="shared" si="115"/>
        <v>1</v>
      </c>
      <c r="Q323" s="17">
        <v>2</v>
      </c>
      <c r="R323" s="36">
        <f t="shared" si="105"/>
        <v>1.2121212121212121E-2</v>
      </c>
      <c r="S323" s="17">
        <v>0</v>
      </c>
      <c r="T323" s="36">
        <f t="shared" si="116"/>
        <v>0</v>
      </c>
      <c r="U323" s="17">
        <v>9</v>
      </c>
      <c r="V323" s="36">
        <f t="shared" si="106"/>
        <v>5.4545454545454543E-2</v>
      </c>
      <c r="W323" s="17">
        <v>1</v>
      </c>
      <c r="X323" s="36">
        <f t="shared" si="117"/>
        <v>0.125</v>
      </c>
      <c r="Y323" s="17">
        <v>111</v>
      </c>
      <c r="Z323" s="36">
        <f t="shared" si="107"/>
        <v>0.67272727272727273</v>
      </c>
      <c r="AA323" s="17">
        <v>5</v>
      </c>
      <c r="AB323" s="36">
        <f t="shared" si="118"/>
        <v>0.625</v>
      </c>
      <c r="AC323" s="17">
        <v>29</v>
      </c>
      <c r="AD323" s="36">
        <f t="shared" si="108"/>
        <v>0.17575757575757575</v>
      </c>
      <c r="AE323" s="17">
        <v>1</v>
      </c>
      <c r="AF323" s="36">
        <f t="shared" si="119"/>
        <v>0.125</v>
      </c>
      <c r="AG323" s="17">
        <v>13</v>
      </c>
      <c r="AH323" s="36">
        <f t="shared" si="109"/>
        <v>7.8787878787878782E-2</v>
      </c>
      <c r="AI323" s="17">
        <v>1</v>
      </c>
      <c r="AJ323" s="36">
        <f t="shared" si="120"/>
        <v>0.125</v>
      </c>
      <c r="AK323" s="17">
        <v>1</v>
      </c>
      <c r="AL323" s="36">
        <f t="shared" si="110"/>
        <v>6.0606060606060606E-3</v>
      </c>
      <c r="AM323" s="17">
        <v>0</v>
      </c>
      <c r="AN323" s="36">
        <f t="shared" si="121"/>
        <v>0</v>
      </c>
      <c r="AO323" s="17">
        <v>165</v>
      </c>
      <c r="AP323" s="17">
        <v>8</v>
      </c>
    </row>
    <row r="324" spans="1:42" ht="15.75" customHeight="1" x14ac:dyDescent="0.25">
      <c r="A324" s="37">
        <v>2022</v>
      </c>
      <c r="B324" s="35">
        <v>170650</v>
      </c>
      <c r="C324" s="33" t="str">
        <f>VLOOKUP(B324,procv!$A$2:$D$142,4,FALSE)</f>
        <v>Médio Norte Araguaia</v>
      </c>
      <c r="D324" s="33" t="s">
        <v>49</v>
      </c>
      <c r="E324" s="17">
        <v>5</v>
      </c>
      <c r="F324" s="36">
        <f t="shared" si="111"/>
        <v>2.9585798816568046E-2</v>
      </c>
      <c r="G324" s="17">
        <v>1</v>
      </c>
      <c r="H324" s="36">
        <f t="shared" si="112"/>
        <v>1.5873015873015872E-2</v>
      </c>
      <c r="I324" s="17">
        <v>18</v>
      </c>
      <c r="J324" s="36">
        <f t="shared" si="113"/>
        <v>0.10650887573964497</v>
      </c>
      <c r="K324" s="17">
        <v>5</v>
      </c>
      <c r="L324" s="36">
        <f t="shared" si="114"/>
        <v>7.9365079365079361E-2</v>
      </c>
      <c r="M324" s="17">
        <v>146</v>
      </c>
      <c r="N324" s="36">
        <f t="shared" si="104"/>
        <v>0.86390532544378695</v>
      </c>
      <c r="O324" s="17">
        <v>57</v>
      </c>
      <c r="P324" s="36">
        <f t="shared" si="115"/>
        <v>0.90476190476190477</v>
      </c>
      <c r="Q324" s="17">
        <v>2</v>
      </c>
      <c r="R324" s="36">
        <f t="shared" si="105"/>
        <v>1.1834319526627219E-2</v>
      </c>
      <c r="S324" s="17">
        <v>2</v>
      </c>
      <c r="T324" s="36">
        <f t="shared" si="116"/>
        <v>3.1746031746031744E-2</v>
      </c>
      <c r="U324" s="17">
        <v>3</v>
      </c>
      <c r="V324" s="36">
        <f t="shared" si="106"/>
        <v>1.7751479289940829E-2</v>
      </c>
      <c r="W324" s="17">
        <v>1</v>
      </c>
      <c r="X324" s="36">
        <f t="shared" si="117"/>
        <v>1.5873015873015872E-2</v>
      </c>
      <c r="Y324" s="17">
        <v>110</v>
      </c>
      <c r="Z324" s="36">
        <f t="shared" si="107"/>
        <v>0.65088757396449703</v>
      </c>
      <c r="AA324" s="17">
        <v>42</v>
      </c>
      <c r="AB324" s="36">
        <f t="shared" si="118"/>
        <v>0.66666666666666663</v>
      </c>
      <c r="AC324" s="17">
        <v>34</v>
      </c>
      <c r="AD324" s="36">
        <f t="shared" si="108"/>
        <v>0.20118343195266272</v>
      </c>
      <c r="AE324" s="17">
        <v>8</v>
      </c>
      <c r="AF324" s="36">
        <f t="shared" si="119"/>
        <v>0.12698412698412698</v>
      </c>
      <c r="AG324" s="17">
        <v>17</v>
      </c>
      <c r="AH324" s="36">
        <f t="shared" si="109"/>
        <v>0.10059171597633136</v>
      </c>
      <c r="AI324" s="17">
        <v>9</v>
      </c>
      <c r="AJ324" s="36">
        <f t="shared" si="120"/>
        <v>0.14285714285714285</v>
      </c>
      <c r="AK324" s="17">
        <v>3</v>
      </c>
      <c r="AL324" s="36">
        <f t="shared" si="110"/>
        <v>1.7751479289940829E-2</v>
      </c>
      <c r="AM324" s="17">
        <v>1</v>
      </c>
      <c r="AN324" s="36">
        <f t="shared" si="121"/>
        <v>1.5873015873015872E-2</v>
      </c>
      <c r="AO324" s="17">
        <v>169</v>
      </c>
      <c r="AP324" s="17">
        <v>63</v>
      </c>
    </row>
    <row r="325" spans="1:42" ht="15.75" customHeight="1" x14ac:dyDescent="0.25">
      <c r="A325" s="37">
        <v>2022</v>
      </c>
      <c r="B325" s="35">
        <v>170700</v>
      </c>
      <c r="C325" s="33" t="str">
        <f>VLOOKUP(B325,procv!$A$2:$D$142,4,FALSE)</f>
        <v>Sudeste</v>
      </c>
      <c r="D325" s="33" t="s">
        <v>50</v>
      </c>
      <c r="E325" s="17">
        <v>14</v>
      </c>
      <c r="F325" s="36">
        <f t="shared" si="111"/>
        <v>1.0711553175210406E-2</v>
      </c>
      <c r="G325" s="17">
        <v>8</v>
      </c>
      <c r="H325" s="36">
        <f t="shared" si="112"/>
        <v>3.5874439461883408E-2</v>
      </c>
      <c r="I325" s="17">
        <v>46</v>
      </c>
      <c r="J325" s="36">
        <f t="shared" si="113"/>
        <v>3.5195103289977048E-2</v>
      </c>
      <c r="K325" s="17">
        <v>11</v>
      </c>
      <c r="L325" s="36">
        <f t="shared" si="114"/>
        <v>4.9327354260089683E-2</v>
      </c>
      <c r="M325" s="16">
        <v>1247</v>
      </c>
      <c r="N325" s="36">
        <f t="shared" si="104"/>
        <v>0.95409334353481257</v>
      </c>
      <c r="O325" s="17">
        <v>204</v>
      </c>
      <c r="P325" s="36">
        <f t="shared" si="115"/>
        <v>0.91479820627802688</v>
      </c>
      <c r="Q325" s="17">
        <v>11</v>
      </c>
      <c r="R325" s="36">
        <f t="shared" si="105"/>
        <v>8.4162203519510329E-3</v>
      </c>
      <c r="S325" s="17">
        <v>4</v>
      </c>
      <c r="T325" s="36">
        <f t="shared" si="116"/>
        <v>1.7937219730941704E-2</v>
      </c>
      <c r="U325" s="17">
        <v>57</v>
      </c>
      <c r="V325" s="36">
        <f t="shared" si="106"/>
        <v>4.3611323641928081E-2</v>
      </c>
      <c r="W325" s="17">
        <v>5</v>
      </c>
      <c r="X325" s="36">
        <f t="shared" si="117"/>
        <v>2.2421524663677129E-2</v>
      </c>
      <c r="Y325" s="17">
        <v>911</v>
      </c>
      <c r="Z325" s="36">
        <f t="shared" si="107"/>
        <v>0.69701606732976285</v>
      </c>
      <c r="AA325" s="17">
        <v>158</v>
      </c>
      <c r="AB325" s="36">
        <f t="shared" si="118"/>
        <v>0.70852017937219736</v>
      </c>
      <c r="AC325" s="17">
        <v>205</v>
      </c>
      <c r="AD325" s="36">
        <f t="shared" si="108"/>
        <v>0.1568477429227238</v>
      </c>
      <c r="AE325" s="17">
        <v>34</v>
      </c>
      <c r="AF325" s="36">
        <f t="shared" si="119"/>
        <v>0.15246636771300448</v>
      </c>
      <c r="AG325" s="17">
        <v>111</v>
      </c>
      <c r="AH325" s="36">
        <f t="shared" si="109"/>
        <v>8.4927314460596787E-2</v>
      </c>
      <c r="AI325" s="17">
        <v>21</v>
      </c>
      <c r="AJ325" s="36">
        <f t="shared" si="120"/>
        <v>9.417040358744394E-2</v>
      </c>
      <c r="AK325" s="17">
        <v>12</v>
      </c>
      <c r="AL325" s="36">
        <f t="shared" si="110"/>
        <v>9.181331293037491E-3</v>
      </c>
      <c r="AM325" s="17">
        <v>1</v>
      </c>
      <c r="AN325" s="36">
        <f t="shared" si="121"/>
        <v>4.4843049327354259E-3</v>
      </c>
      <c r="AO325" s="16">
        <v>1307</v>
      </c>
      <c r="AP325" s="17">
        <v>223</v>
      </c>
    </row>
    <row r="326" spans="1:42" ht="15.75" customHeight="1" x14ac:dyDescent="0.25">
      <c r="A326" s="37">
        <v>2022</v>
      </c>
      <c r="B326" s="35">
        <v>170710</v>
      </c>
      <c r="C326" s="33" t="str">
        <f>VLOOKUP(B326,procv!$A$2:$D$142,4,FALSE)</f>
        <v>Cantão</v>
      </c>
      <c r="D326" s="33" t="s">
        <v>51</v>
      </c>
      <c r="E326" s="17">
        <v>3</v>
      </c>
      <c r="F326" s="36">
        <f t="shared" si="111"/>
        <v>4.5801526717557254E-3</v>
      </c>
      <c r="G326" s="17">
        <v>2</v>
      </c>
      <c r="H326" s="36">
        <f t="shared" si="112"/>
        <v>2.4691358024691357E-2</v>
      </c>
      <c r="I326" s="17">
        <v>25</v>
      </c>
      <c r="J326" s="36">
        <f t="shared" si="113"/>
        <v>3.8167938931297711E-2</v>
      </c>
      <c r="K326" s="17">
        <v>5</v>
      </c>
      <c r="L326" s="36">
        <f t="shared" si="114"/>
        <v>6.1728395061728392E-2</v>
      </c>
      <c r="M326" s="17">
        <v>627</v>
      </c>
      <c r="N326" s="36">
        <f t="shared" si="104"/>
        <v>0.95725190839694652</v>
      </c>
      <c r="O326" s="17">
        <v>74</v>
      </c>
      <c r="P326" s="36">
        <f t="shared" si="115"/>
        <v>0.9135802469135802</v>
      </c>
      <c r="Q326" s="17">
        <v>5</v>
      </c>
      <c r="R326" s="36">
        <f t="shared" si="105"/>
        <v>7.6335877862595417E-3</v>
      </c>
      <c r="S326" s="17">
        <v>2</v>
      </c>
      <c r="T326" s="36">
        <f t="shared" si="116"/>
        <v>2.4691358024691357E-2</v>
      </c>
      <c r="U326" s="17">
        <v>26</v>
      </c>
      <c r="V326" s="36">
        <f t="shared" si="106"/>
        <v>3.9694656488549619E-2</v>
      </c>
      <c r="W326" s="17">
        <v>3</v>
      </c>
      <c r="X326" s="36">
        <f t="shared" si="117"/>
        <v>3.7037037037037035E-2</v>
      </c>
      <c r="Y326" s="17">
        <v>469</v>
      </c>
      <c r="Z326" s="36">
        <f t="shared" si="107"/>
        <v>0.71603053435114505</v>
      </c>
      <c r="AA326" s="17">
        <v>65</v>
      </c>
      <c r="AB326" s="36">
        <f t="shared" si="118"/>
        <v>0.80246913580246915</v>
      </c>
      <c r="AC326" s="17">
        <v>94</v>
      </c>
      <c r="AD326" s="36">
        <f t="shared" si="108"/>
        <v>0.1435114503816794</v>
      </c>
      <c r="AE326" s="17">
        <v>8</v>
      </c>
      <c r="AF326" s="36">
        <f t="shared" si="119"/>
        <v>9.8765432098765427E-2</v>
      </c>
      <c r="AG326" s="17">
        <v>51</v>
      </c>
      <c r="AH326" s="36">
        <f t="shared" si="109"/>
        <v>7.786259541984733E-2</v>
      </c>
      <c r="AI326" s="17">
        <v>2</v>
      </c>
      <c r="AJ326" s="36">
        <f t="shared" si="120"/>
        <v>2.4691358024691357E-2</v>
      </c>
      <c r="AK326" s="17">
        <v>10</v>
      </c>
      <c r="AL326" s="36">
        <f t="shared" si="110"/>
        <v>1.5267175572519083E-2</v>
      </c>
      <c r="AM326" s="17">
        <v>1</v>
      </c>
      <c r="AN326" s="36">
        <f t="shared" si="121"/>
        <v>1.2345679012345678E-2</v>
      </c>
      <c r="AO326" s="17">
        <v>655</v>
      </c>
      <c r="AP326" s="17">
        <v>81</v>
      </c>
    </row>
    <row r="327" spans="1:42" ht="15.75" customHeight="1" x14ac:dyDescent="0.25">
      <c r="A327" s="37">
        <v>2022</v>
      </c>
      <c r="B327" s="35">
        <v>170720</v>
      </c>
      <c r="C327" s="33" t="str">
        <f>VLOOKUP(B327,procv!$A$2:$D$142,4,FALSE)</f>
        <v>Cantão</v>
      </c>
      <c r="D327" s="33" t="s">
        <v>52</v>
      </c>
      <c r="E327" s="17">
        <v>5</v>
      </c>
      <c r="F327" s="36">
        <f t="shared" si="111"/>
        <v>9.5785440613026813E-3</v>
      </c>
      <c r="G327" s="17">
        <v>1</v>
      </c>
      <c r="H327" s="36">
        <f t="shared" si="112"/>
        <v>1.020408163265306E-2</v>
      </c>
      <c r="I327" s="17">
        <v>9</v>
      </c>
      <c r="J327" s="36">
        <f t="shared" si="113"/>
        <v>1.7241379310344827E-2</v>
      </c>
      <c r="K327" s="17">
        <v>2</v>
      </c>
      <c r="L327" s="36">
        <f t="shared" si="114"/>
        <v>2.0408163265306121E-2</v>
      </c>
      <c r="M327" s="17">
        <v>508</v>
      </c>
      <c r="N327" s="36">
        <f t="shared" si="104"/>
        <v>0.97318007662835249</v>
      </c>
      <c r="O327" s="17">
        <v>95</v>
      </c>
      <c r="P327" s="36">
        <f t="shared" si="115"/>
        <v>0.96938775510204078</v>
      </c>
      <c r="Q327" s="17">
        <v>8</v>
      </c>
      <c r="R327" s="36">
        <f t="shared" si="105"/>
        <v>1.532567049808429E-2</v>
      </c>
      <c r="S327" s="17">
        <v>2</v>
      </c>
      <c r="T327" s="36">
        <f t="shared" si="116"/>
        <v>2.0408163265306121E-2</v>
      </c>
      <c r="U327" s="17">
        <v>20</v>
      </c>
      <c r="V327" s="36">
        <f t="shared" si="106"/>
        <v>3.8314176245210725E-2</v>
      </c>
      <c r="W327" s="17">
        <v>2</v>
      </c>
      <c r="X327" s="36">
        <f t="shared" si="117"/>
        <v>2.0408163265306121E-2</v>
      </c>
      <c r="Y327" s="17">
        <v>365</v>
      </c>
      <c r="Z327" s="36">
        <f t="shared" si="107"/>
        <v>0.6992337164750958</v>
      </c>
      <c r="AA327" s="17">
        <v>71</v>
      </c>
      <c r="AB327" s="36">
        <f t="shared" si="118"/>
        <v>0.72448979591836737</v>
      </c>
      <c r="AC327" s="17">
        <v>77</v>
      </c>
      <c r="AD327" s="36">
        <f t="shared" si="108"/>
        <v>0.1475095785440613</v>
      </c>
      <c r="AE327" s="17">
        <v>18</v>
      </c>
      <c r="AF327" s="36">
        <f t="shared" si="119"/>
        <v>0.18367346938775511</v>
      </c>
      <c r="AG327" s="17">
        <v>43</v>
      </c>
      <c r="AH327" s="36">
        <f t="shared" si="109"/>
        <v>8.2375478927203066E-2</v>
      </c>
      <c r="AI327" s="17">
        <v>4</v>
      </c>
      <c r="AJ327" s="36">
        <f t="shared" si="120"/>
        <v>4.0816326530612242E-2</v>
      </c>
      <c r="AK327" s="17">
        <v>9</v>
      </c>
      <c r="AL327" s="36">
        <f t="shared" si="110"/>
        <v>1.7241379310344827E-2</v>
      </c>
      <c r="AM327" s="17">
        <v>1</v>
      </c>
      <c r="AN327" s="36">
        <f t="shared" si="121"/>
        <v>1.020408163265306E-2</v>
      </c>
      <c r="AO327" s="17">
        <v>522</v>
      </c>
      <c r="AP327" s="17">
        <v>98</v>
      </c>
    </row>
    <row r="328" spans="1:42" ht="15.75" customHeight="1" x14ac:dyDescent="0.25">
      <c r="A328" s="37">
        <v>2022</v>
      </c>
      <c r="B328" s="35">
        <v>170730</v>
      </c>
      <c r="C328" s="33" t="str">
        <f>VLOOKUP(B328,procv!$A$2:$D$142,4,FALSE)</f>
        <v>Ilha do Bananal</v>
      </c>
      <c r="D328" s="33" t="s">
        <v>53</v>
      </c>
      <c r="E328" s="17">
        <v>2</v>
      </c>
      <c r="F328" s="36">
        <f t="shared" si="111"/>
        <v>6.1349693251533744E-3</v>
      </c>
      <c r="G328" s="17">
        <v>1</v>
      </c>
      <c r="H328" s="36">
        <f t="shared" si="112"/>
        <v>1.2500000000000001E-2</v>
      </c>
      <c r="I328" s="17">
        <v>14</v>
      </c>
      <c r="J328" s="36">
        <f t="shared" si="113"/>
        <v>4.2944785276073622E-2</v>
      </c>
      <c r="K328" s="17">
        <v>5</v>
      </c>
      <c r="L328" s="36">
        <f t="shared" si="114"/>
        <v>6.25E-2</v>
      </c>
      <c r="M328" s="17">
        <v>310</v>
      </c>
      <c r="N328" s="36">
        <f t="shared" si="104"/>
        <v>0.95092024539877296</v>
      </c>
      <c r="O328" s="17">
        <v>74</v>
      </c>
      <c r="P328" s="36">
        <f t="shared" si="115"/>
        <v>0.92500000000000004</v>
      </c>
      <c r="Q328" s="17">
        <v>0</v>
      </c>
      <c r="R328" s="36">
        <f t="shared" si="105"/>
        <v>0</v>
      </c>
      <c r="S328" s="17">
        <v>0</v>
      </c>
      <c r="T328" s="36">
        <f t="shared" si="116"/>
        <v>0</v>
      </c>
      <c r="U328" s="17">
        <v>8</v>
      </c>
      <c r="V328" s="36">
        <f t="shared" si="106"/>
        <v>2.4539877300613498E-2</v>
      </c>
      <c r="W328" s="17">
        <v>3</v>
      </c>
      <c r="X328" s="36">
        <f t="shared" si="117"/>
        <v>3.7499999999999999E-2</v>
      </c>
      <c r="Y328" s="17">
        <v>230</v>
      </c>
      <c r="Z328" s="36">
        <f t="shared" si="107"/>
        <v>0.70552147239263807</v>
      </c>
      <c r="AA328" s="17">
        <v>50</v>
      </c>
      <c r="AB328" s="36">
        <f t="shared" si="118"/>
        <v>0.625</v>
      </c>
      <c r="AC328" s="17">
        <v>50</v>
      </c>
      <c r="AD328" s="36">
        <f t="shared" si="108"/>
        <v>0.15337423312883436</v>
      </c>
      <c r="AE328" s="17">
        <v>14</v>
      </c>
      <c r="AF328" s="36">
        <f t="shared" si="119"/>
        <v>0.17499999999999999</v>
      </c>
      <c r="AG328" s="17">
        <v>34</v>
      </c>
      <c r="AH328" s="36">
        <f t="shared" si="109"/>
        <v>0.10429447852760736</v>
      </c>
      <c r="AI328" s="17">
        <v>10</v>
      </c>
      <c r="AJ328" s="36">
        <f t="shared" si="120"/>
        <v>0.125</v>
      </c>
      <c r="AK328" s="17">
        <v>4</v>
      </c>
      <c r="AL328" s="36">
        <f t="shared" si="110"/>
        <v>1.2269938650306749E-2</v>
      </c>
      <c r="AM328" s="17">
        <v>3</v>
      </c>
      <c r="AN328" s="36">
        <f t="shared" si="121"/>
        <v>3.7499999999999999E-2</v>
      </c>
      <c r="AO328" s="17">
        <v>326</v>
      </c>
      <c r="AP328" s="17">
        <v>80</v>
      </c>
    </row>
    <row r="329" spans="1:42" ht="15.75" customHeight="1" x14ac:dyDescent="0.25">
      <c r="A329" s="37">
        <v>2022</v>
      </c>
      <c r="B329" s="35">
        <v>170740</v>
      </c>
      <c r="C329" s="33" t="str">
        <f>VLOOKUP(B329,procv!$A$2:$D$142,4,FALSE)</f>
        <v>Bico do Papagaio</v>
      </c>
      <c r="D329" s="33" t="s">
        <v>54</v>
      </c>
      <c r="E329" s="17">
        <v>30</v>
      </c>
      <c r="F329" s="36">
        <f t="shared" si="111"/>
        <v>2.8625954198473282E-2</v>
      </c>
      <c r="G329" s="17">
        <v>14</v>
      </c>
      <c r="H329" s="36">
        <f t="shared" si="112"/>
        <v>3.8997214484679667E-2</v>
      </c>
      <c r="I329" s="17">
        <v>85</v>
      </c>
      <c r="J329" s="36">
        <f t="shared" si="113"/>
        <v>8.110687022900763E-2</v>
      </c>
      <c r="K329" s="17">
        <v>26</v>
      </c>
      <c r="L329" s="36">
        <f t="shared" si="114"/>
        <v>7.2423398328690811E-2</v>
      </c>
      <c r="M329" s="17">
        <v>933</v>
      </c>
      <c r="N329" s="36">
        <f t="shared" si="104"/>
        <v>0.89026717557251911</v>
      </c>
      <c r="O329" s="17">
        <v>319</v>
      </c>
      <c r="P329" s="36">
        <f t="shared" si="115"/>
        <v>0.88857938718662954</v>
      </c>
      <c r="Q329" s="17">
        <v>7</v>
      </c>
      <c r="R329" s="36">
        <f t="shared" si="105"/>
        <v>6.6793893129770991E-3</v>
      </c>
      <c r="S329" s="17">
        <v>4</v>
      </c>
      <c r="T329" s="36">
        <f t="shared" si="116"/>
        <v>1.1142061281337047E-2</v>
      </c>
      <c r="U329" s="17">
        <v>31</v>
      </c>
      <c r="V329" s="36">
        <f t="shared" si="106"/>
        <v>2.9580152671755726E-2</v>
      </c>
      <c r="W329" s="17">
        <v>12</v>
      </c>
      <c r="X329" s="36">
        <f t="shared" si="117"/>
        <v>3.3426183844011144E-2</v>
      </c>
      <c r="Y329" s="17">
        <v>786</v>
      </c>
      <c r="Z329" s="36">
        <f t="shared" si="107"/>
        <v>0.75</v>
      </c>
      <c r="AA329" s="17">
        <v>270</v>
      </c>
      <c r="AB329" s="36">
        <f t="shared" si="118"/>
        <v>0.75208913649025066</v>
      </c>
      <c r="AC329" s="17">
        <v>164</v>
      </c>
      <c r="AD329" s="36">
        <f t="shared" si="108"/>
        <v>0.15648854961832062</v>
      </c>
      <c r="AE329" s="17">
        <v>54</v>
      </c>
      <c r="AF329" s="36">
        <f t="shared" si="119"/>
        <v>0.15041782729805014</v>
      </c>
      <c r="AG329" s="17">
        <v>49</v>
      </c>
      <c r="AH329" s="36">
        <f t="shared" si="109"/>
        <v>4.6755725190839696E-2</v>
      </c>
      <c r="AI329" s="17">
        <v>15</v>
      </c>
      <c r="AJ329" s="36">
        <f t="shared" si="120"/>
        <v>4.1782729805013928E-2</v>
      </c>
      <c r="AK329" s="17">
        <v>11</v>
      </c>
      <c r="AL329" s="36">
        <f t="shared" si="110"/>
        <v>1.049618320610687E-2</v>
      </c>
      <c r="AM329" s="17">
        <v>4</v>
      </c>
      <c r="AN329" s="36">
        <f t="shared" si="121"/>
        <v>1.1142061281337047E-2</v>
      </c>
      <c r="AO329" s="16">
        <v>1048</v>
      </c>
      <c r="AP329" s="17">
        <v>359</v>
      </c>
    </row>
    <row r="330" spans="1:42" ht="15.75" customHeight="1" x14ac:dyDescent="0.25">
      <c r="A330" s="37">
        <v>2022</v>
      </c>
      <c r="B330" s="35">
        <v>170755</v>
      </c>
      <c r="C330" s="33" t="str">
        <f>VLOOKUP(B330,procv!$A$2:$D$142,4,FALSE)</f>
        <v>Amor Perfeito</v>
      </c>
      <c r="D330" s="33" t="s">
        <v>55</v>
      </c>
      <c r="E330" s="17">
        <v>2</v>
      </c>
      <c r="F330" s="36">
        <f t="shared" si="111"/>
        <v>1.9607843137254902E-2</v>
      </c>
      <c r="G330" s="17">
        <v>0</v>
      </c>
      <c r="H330" s="36">
        <f t="shared" si="112"/>
        <v>0</v>
      </c>
      <c r="I330" s="17">
        <v>3</v>
      </c>
      <c r="J330" s="36">
        <f t="shared" si="113"/>
        <v>2.9411764705882353E-2</v>
      </c>
      <c r="K330" s="17">
        <v>2</v>
      </c>
      <c r="L330" s="36">
        <f t="shared" si="114"/>
        <v>4.1666666666666664E-2</v>
      </c>
      <c r="M330" s="17">
        <v>97</v>
      </c>
      <c r="N330" s="36">
        <f t="shared" si="104"/>
        <v>0.9509803921568627</v>
      </c>
      <c r="O330" s="17">
        <v>46</v>
      </c>
      <c r="P330" s="36">
        <f t="shared" si="115"/>
        <v>0.95833333333333337</v>
      </c>
      <c r="Q330" s="17">
        <v>1</v>
      </c>
      <c r="R330" s="36">
        <f t="shared" si="105"/>
        <v>9.8039215686274508E-3</v>
      </c>
      <c r="S330" s="17">
        <v>1</v>
      </c>
      <c r="T330" s="36">
        <f t="shared" si="116"/>
        <v>2.0833333333333332E-2</v>
      </c>
      <c r="U330" s="17">
        <v>1</v>
      </c>
      <c r="V330" s="36">
        <f t="shared" si="106"/>
        <v>9.8039215686274508E-3</v>
      </c>
      <c r="W330" s="17">
        <v>0</v>
      </c>
      <c r="X330" s="36">
        <f t="shared" si="117"/>
        <v>0</v>
      </c>
      <c r="Y330" s="17">
        <v>67</v>
      </c>
      <c r="Z330" s="36">
        <f t="shared" si="107"/>
        <v>0.65686274509803921</v>
      </c>
      <c r="AA330" s="17">
        <v>31</v>
      </c>
      <c r="AB330" s="36">
        <f t="shared" si="118"/>
        <v>0.64583333333333337</v>
      </c>
      <c r="AC330" s="17">
        <v>17</v>
      </c>
      <c r="AD330" s="36">
        <f t="shared" si="108"/>
        <v>0.16666666666666666</v>
      </c>
      <c r="AE330" s="17">
        <v>9</v>
      </c>
      <c r="AF330" s="36">
        <f t="shared" si="119"/>
        <v>0.1875</v>
      </c>
      <c r="AG330" s="17">
        <v>11</v>
      </c>
      <c r="AH330" s="36">
        <f t="shared" si="109"/>
        <v>0.10784313725490197</v>
      </c>
      <c r="AI330" s="17">
        <v>5</v>
      </c>
      <c r="AJ330" s="36">
        <f t="shared" si="120"/>
        <v>0.10416666666666667</v>
      </c>
      <c r="AK330" s="17">
        <v>5</v>
      </c>
      <c r="AL330" s="36">
        <f t="shared" si="110"/>
        <v>4.9019607843137254E-2</v>
      </c>
      <c r="AM330" s="17">
        <v>2</v>
      </c>
      <c r="AN330" s="36">
        <f t="shared" si="121"/>
        <v>4.1666666666666664E-2</v>
      </c>
      <c r="AO330" s="17">
        <v>102</v>
      </c>
      <c r="AP330" s="17">
        <v>48</v>
      </c>
    </row>
    <row r="331" spans="1:42" ht="15.75" customHeight="1" x14ac:dyDescent="0.25">
      <c r="A331" s="37">
        <v>2022</v>
      </c>
      <c r="B331" s="35">
        <v>170765</v>
      </c>
      <c r="C331" s="33" t="str">
        <f>VLOOKUP(B331,procv!$A$2:$D$142,4,FALSE)</f>
        <v>Ilha do Bananal</v>
      </c>
      <c r="D331" s="33" t="s">
        <v>56</v>
      </c>
      <c r="E331" s="17">
        <v>1</v>
      </c>
      <c r="F331" s="36">
        <f t="shared" si="111"/>
        <v>3.5714285714285713E-3</v>
      </c>
      <c r="G331" s="17">
        <v>1</v>
      </c>
      <c r="H331" s="36">
        <f t="shared" si="112"/>
        <v>9.9009900990099011E-3</v>
      </c>
      <c r="I331" s="17">
        <v>10</v>
      </c>
      <c r="J331" s="36">
        <f t="shared" si="113"/>
        <v>3.5714285714285712E-2</v>
      </c>
      <c r="K331" s="17">
        <v>5</v>
      </c>
      <c r="L331" s="36">
        <f t="shared" si="114"/>
        <v>4.9504950495049507E-2</v>
      </c>
      <c r="M331" s="17">
        <v>269</v>
      </c>
      <c r="N331" s="36">
        <f t="shared" si="104"/>
        <v>0.96071428571428574</v>
      </c>
      <c r="O331" s="17">
        <v>95</v>
      </c>
      <c r="P331" s="36">
        <f t="shared" si="115"/>
        <v>0.94059405940594054</v>
      </c>
      <c r="Q331" s="17">
        <v>5</v>
      </c>
      <c r="R331" s="36">
        <f t="shared" si="105"/>
        <v>1.7857142857142856E-2</v>
      </c>
      <c r="S331" s="17">
        <v>1</v>
      </c>
      <c r="T331" s="36">
        <f t="shared" si="116"/>
        <v>9.9009900990099011E-3</v>
      </c>
      <c r="U331" s="17">
        <v>6</v>
      </c>
      <c r="V331" s="36">
        <f t="shared" si="106"/>
        <v>2.1428571428571429E-2</v>
      </c>
      <c r="W331" s="17">
        <v>3</v>
      </c>
      <c r="X331" s="36">
        <f t="shared" si="117"/>
        <v>2.9702970297029702E-2</v>
      </c>
      <c r="Y331" s="17">
        <v>194</v>
      </c>
      <c r="Z331" s="36">
        <f t="shared" si="107"/>
        <v>0.69285714285714284</v>
      </c>
      <c r="AA331" s="17">
        <v>70</v>
      </c>
      <c r="AB331" s="36">
        <f t="shared" si="118"/>
        <v>0.69306930693069302</v>
      </c>
      <c r="AC331" s="17">
        <v>47</v>
      </c>
      <c r="AD331" s="36">
        <f t="shared" si="108"/>
        <v>0.16785714285714284</v>
      </c>
      <c r="AE331" s="17">
        <v>18</v>
      </c>
      <c r="AF331" s="36">
        <f t="shared" si="119"/>
        <v>0.17821782178217821</v>
      </c>
      <c r="AG331" s="17">
        <v>24</v>
      </c>
      <c r="AH331" s="36">
        <f t="shared" si="109"/>
        <v>8.5714285714285715E-2</v>
      </c>
      <c r="AI331" s="17">
        <v>8</v>
      </c>
      <c r="AJ331" s="36">
        <f t="shared" si="120"/>
        <v>7.9207920792079209E-2</v>
      </c>
      <c r="AK331" s="17">
        <v>4</v>
      </c>
      <c r="AL331" s="36">
        <f t="shared" si="110"/>
        <v>1.4285714285714285E-2</v>
      </c>
      <c r="AM331" s="17">
        <v>1</v>
      </c>
      <c r="AN331" s="36">
        <f t="shared" si="121"/>
        <v>9.9009900990099011E-3</v>
      </c>
      <c r="AO331" s="17">
        <v>280</v>
      </c>
      <c r="AP331" s="17">
        <v>101</v>
      </c>
    </row>
    <row r="332" spans="1:42" ht="15.75" customHeight="1" x14ac:dyDescent="0.25">
      <c r="A332" s="37">
        <v>2022</v>
      </c>
      <c r="B332" s="35">
        <v>170770</v>
      </c>
      <c r="C332" s="33" t="str">
        <f>VLOOKUP(B332,procv!$A$2:$D$142,4,FALSE)</f>
        <v>Médio Norte Araguaia</v>
      </c>
      <c r="D332" s="33" t="s">
        <v>57</v>
      </c>
      <c r="E332" s="17">
        <v>6</v>
      </c>
      <c r="F332" s="36">
        <f t="shared" si="111"/>
        <v>7.7922077922077922E-3</v>
      </c>
      <c r="G332" s="17">
        <v>4</v>
      </c>
      <c r="H332" s="36">
        <f t="shared" si="112"/>
        <v>1.3698630136986301E-2</v>
      </c>
      <c r="I332" s="17">
        <v>42</v>
      </c>
      <c r="J332" s="36">
        <f t="shared" si="113"/>
        <v>5.4545454545454543E-2</v>
      </c>
      <c r="K332" s="17">
        <v>16</v>
      </c>
      <c r="L332" s="36">
        <f t="shared" si="114"/>
        <v>5.4794520547945202E-2</v>
      </c>
      <c r="M332" s="17">
        <v>722</v>
      </c>
      <c r="N332" s="36">
        <f t="shared" si="104"/>
        <v>0.93766233766233764</v>
      </c>
      <c r="O332" s="17">
        <v>272</v>
      </c>
      <c r="P332" s="36">
        <f t="shared" si="115"/>
        <v>0.93150684931506844</v>
      </c>
      <c r="Q332" s="17">
        <v>9</v>
      </c>
      <c r="R332" s="36">
        <f t="shared" si="105"/>
        <v>1.1688311688311689E-2</v>
      </c>
      <c r="S332" s="17">
        <v>4</v>
      </c>
      <c r="T332" s="36">
        <f t="shared" si="116"/>
        <v>1.3698630136986301E-2</v>
      </c>
      <c r="U332" s="17">
        <v>32</v>
      </c>
      <c r="V332" s="36">
        <f t="shared" si="106"/>
        <v>4.1558441558441558E-2</v>
      </c>
      <c r="W332" s="17">
        <v>9</v>
      </c>
      <c r="X332" s="36">
        <f t="shared" si="117"/>
        <v>3.0821917808219176E-2</v>
      </c>
      <c r="Y332" s="17">
        <v>568</v>
      </c>
      <c r="Z332" s="36">
        <f t="shared" si="107"/>
        <v>0.73766233766233769</v>
      </c>
      <c r="AA332" s="17">
        <v>201</v>
      </c>
      <c r="AB332" s="36">
        <f t="shared" si="118"/>
        <v>0.68835616438356162</v>
      </c>
      <c r="AC332" s="17">
        <v>111</v>
      </c>
      <c r="AD332" s="36">
        <f t="shared" si="108"/>
        <v>0.14415584415584415</v>
      </c>
      <c r="AE332" s="17">
        <v>54</v>
      </c>
      <c r="AF332" s="36">
        <f t="shared" si="119"/>
        <v>0.18493150684931506</v>
      </c>
      <c r="AG332" s="17">
        <v>43</v>
      </c>
      <c r="AH332" s="36">
        <f t="shared" si="109"/>
        <v>5.5844155844155842E-2</v>
      </c>
      <c r="AI332" s="17">
        <v>21</v>
      </c>
      <c r="AJ332" s="36">
        <f t="shared" si="120"/>
        <v>7.1917808219178078E-2</v>
      </c>
      <c r="AK332" s="17">
        <v>7</v>
      </c>
      <c r="AL332" s="36">
        <f t="shared" si="110"/>
        <v>9.0909090909090905E-3</v>
      </c>
      <c r="AM332" s="17">
        <v>3</v>
      </c>
      <c r="AN332" s="36">
        <f t="shared" si="121"/>
        <v>1.0273972602739725E-2</v>
      </c>
      <c r="AO332" s="17">
        <v>770</v>
      </c>
      <c r="AP332" s="17">
        <v>292</v>
      </c>
    </row>
    <row r="333" spans="1:42" ht="15.75" customHeight="1" x14ac:dyDescent="0.25">
      <c r="A333" s="37">
        <v>2022</v>
      </c>
      <c r="B333" s="35">
        <v>170820</v>
      </c>
      <c r="C333" s="33" t="str">
        <f>VLOOKUP(B333,procv!$A$2:$D$142,4,FALSE)</f>
        <v>Ilha do Bananal</v>
      </c>
      <c r="D333" s="33" t="s">
        <v>58</v>
      </c>
      <c r="E333" s="17">
        <v>22</v>
      </c>
      <c r="F333" s="36">
        <f t="shared" si="111"/>
        <v>2.1934197407776669E-2</v>
      </c>
      <c r="G333" s="17">
        <v>12</v>
      </c>
      <c r="H333" s="36">
        <f t="shared" si="112"/>
        <v>3.015075376884422E-2</v>
      </c>
      <c r="I333" s="17">
        <v>36</v>
      </c>
      <c r="J333" s="36">
        <f t="shared" si="113"/>
        <v>3.589232303090728E-2</v>
      </c>
      <c r="K333" s="17">
        <v>19</v>
      </c>
      <c r="L333" s="36">
        <f t="shared" si="114"/>
        <v>4.7738693467336682E-2</v>
      </c>
      <c r="M333" s="17">
        <v>945</v>
      </c>
      <c r="N333" s="36">
        <f t="shared" si="104"/>
        <v>0.94217347956131603</v>
      </c>
      <c r="O333" s="17">
        <v>367</v>
      </c>
      <c r="P333" s="36">
        <f t="shared" si="115"/>
        <v>0.92211055276381915</v>
      </c>
      <c r="Q333" s="17">
        <v>7</v>
      </c>
      <c r="R333" s="36">
        <f t="shared" si="105"/>
        <v>6.979062811565304E-3</v>
      </c>
      <c r="S333" s="17">
        <v>4</v>
      </c>
      <c r="T333" s="36">
        <f t="shared" si="116"/>
        <v>1.0050251256281407E-2</v>
      </c>
      <c r="U333" s="17">
        <v>26</v>
      </c>
      <c r="V333" s="36">
        <f t="shared" si="106"/>
        <v>2.5922233300099701E-2</v>
      </c>
      <c r="W333" s="17">
        <v>6</v>
      </c>
      <c r="X333" s="36">
        <f t="shared" si="117"/>
        <v>1.507537688442211E-2</v>
      </c>
      <c r="Y333" s="17">
        <v>653</v>
      </c>
      <c r="Z333" s="36">
        <f t="shared" si="107"/>
        <v>0.65104685942173479</v>
      </c>
      <c r="AA333" s="17">
        <v>248</v>
      </c>
      <c r="AB333" s="36">
        <f t="shared" si="118"/>
        <v>0.62311557788944727</v>
      </c>
      <c r="AC333" s="17">
        <v>197</v>
      </c>
      <c r="AD333" s="36">
        <f t="shared" si="108"/>
        <v>0.19641076769690927</v>
      </c>
      <c r="AE333" s="17">
        <v>94</v>
      </c>
      <c r="AF333" s="36">
        <f t="shared" si="119"/>
        <v>0.23618090452261306</v>
      </c>
      <c r="AG333" s="17">
        <v>102</v>
      </c>
      <c r="AH333" s="36">
        <f t="shared" si="109"/>
        <v>0.10169491525423729</v>
      </c>
      <c r="AI333" s="17">
        <v>41</v>
      </c>
      <c r="AJ333" s="36">
        <f t="shared" si="120"/>
        <v>0.10301507537688442</v>
      </c>
      <c r="AK333" s="17">
        <v>18</v>
      </c>
      <c r="AL333" s="36">
        <f t="shared" si="110"/>
        <v>1.794616151545364E-2</v>
      </c>
      <c r="AM333" s="17">
        <v>5</v>
      </c>
      <c r="AN333" s="36">
        <f t="shared" si="121"/>
        <v>1.2562814070351759E-2</v>
      </c>
      <c r="AO333" s="16">
        <v>1003</v>
      </c>
      <c r="AP333" s="17">
        <v>398</v>
      </c>
    </row>
    <row r="334" spans="1:42" ht="15.75" customHeight="1" x14ac:dyDescent="0.25">
      <c r="A334" s="37">
        <v>2022</v>
      </c>
      <c r="B334" s="35">
        <v>170830</v>
      </c>
      <c r="C334" s="33" t="str">
        <f>VLOOKUP(B334,procv!$A$2:$D$142,4,FALSE)</f>
        <v>Cerrado Tocantins Araguaia</v>
      </c>
      <c r="D334" s="33" t="s">
        <v>59</v>
      </c>
      <c r="E334" s="17">
        <v>11</v>
      </c>
      <c r="F334" s="36">
        <f t="shared" si="111"/>
        <v>2.9972752043596729E-2</v>
      </c>
      <c r="G334" s="17">
        <v>2</v>
      </c>
      <c r="H334" s="36">
        <f t="shared" si="112"/>
        <v>1.8867924528301886E-2</v>
      </c>
      <c r="I334" s="17">
        <v>24</v>
      </c>
      <c r="J334" s="36">
        <f t="shared" si="113"/>
        <v>6.5395095367847406E-2</v>
      </c>
      <c r="K334" s="17">
        <v>6</v>
      </c>
      <c r="L334" s="36">
        <f t="shared" si="114"/>
        <v>5.6603773584905662E-2</v>
      </c>
      <c r="M334" s="17">
        <v>332</v>
      </c>
      <c r="N334" s="36">
        <f t="shared" si="104"/>
        <v>0.90463215258855589</v>
      </c>
      <c r="O334" s="17">
        <v>98</v>
      </c>
      <c r="P334" s="36">
        <f t="shared" si="115"/>
        <v>0.92452830188679247</v>
      </c>
      <c r="Q334" s="17">
        <v>1</v>
      </c>
      <c r="R334" s="36">
        <f t="shared" si="105"/>
        <v>2.7247956403269754E-3</v>
      </c>
      <c r="S334" s="17">
        <v>0</v>
      </c>
      <c r="T334" s="36">
        <f t="shared" si="116"/>
        <v>0</v>
      </c>
      <c r="U334" s="17">
        <v>11</v>
      </c>
      <c r="V334" s="36">
        <f t="shared" si="106"/>
        <v>2.9972752043596729E-2</v>
      </c>
      <c r="W334" s="17">
        <v>6</v>
      </c>
      <c r="X334" s="36">
        <f t="shared" si="117"/>
        <v>5.6603773584905662E-2</v>
      </c>
      <c r="Y334" s="17">
        <v>239</v>
      </c>
      <c r="Z334" s="36">
        <f t="shared" si="107"/>
        <v>0.6512261580381471</v>
      </c>
      <c r="AA334" s="17">
        <v>71</v>
      </c>
      <c r="AB334" s="36">
        <f t="shared" si="118"/>
        <v>0.66981132075471694</v>
      </c>
      <c r="AC334" s="17">
        <v>72</v>
      </c>
      <c r="AD334" s="36">
        <f t="shared" si="108"/>
        <v>0.19618528610354224</v>
      </c>
      <c r="AE334" s="17">
        <v>19</v>
      </c>
      <c r="AF334" s="36">
        <f t="shared" si="119"/>
        <v>0.17924528301886791</v>
      </c>
      <c r="AG334" s="17">
        <v>35</v>
      </c>
      <c r="AH334" s="36">
        <f t="shared" si="109"/>
        <v>9.5367847411444148E-2</v>
      </c>
      <c r="AI334" s="17">
        <v>9</v>
      </c>
      <c r="AJ334" s="36">
        <f t="shared" si="120"/>
        <v>8.4905660377358486E-2</v>
      </c>
      <c r="AK334" s="17">
        <v>9</v>
      </c>
      <c r="AL334" s="36">
        <f t="shared" si="110"/>
        <v>2.4523160762942781E-2</v>
      </c>
      <c r="AM334" s="17">
        <v>1</v>
      </c>
      <c r="AN334" s="36">
        <f t="shared" si="121"/>
        <v>9.433962264150943E-3</v>
      </c>
      <c r="AO334" s="17">
        <v>367</v>
      </c>
      <c r="AP334" s="17">
        <v>106</v>
      </c>
    </row>
    <row r="335" spans="1:42" ht="15.75" customHeight="1" x14ac:dyDescent="0.25">
      <c r="A335" s="37">
        <v>2022</v>
      </c>
      <c r="B335" s="35">
        <v>170900</v>
      </c>
      <c r="C335" s="33" t="str">
        <f>VLOOKUP(B335,procv!$A$2:$D$142,4,FALSE)</f>
        <v>Médio Norte Araguaia</v>
      </c>
      <c r="D335" s="33" t="s">
        <v>60</v>
      </c>
      <c r="E335" s="17">
        <v>15</v>
      </c>
      <c r="F335" s="36">
        <f t="shared" si="111"/>
        <v>2.2831050228310501E-2</v>
      </c>
      <c r="G335" s="17">
        <v>7</v>
      </c>
      <c r="H335" s="36">
        <f t="shared" si="112"/>
        <v>1.8518518518518517E-2</v>
      </c>
      <c r="I335" s="17">
        <v>31</v>
      </c>
      <c r="J335" s="36">
        <f t="shared" si="113"/>
        <v>4.7184170471841702E-2</v>
      </c>
      <c r="K335" s="17">
        <v>18</v>
      </c>
      <c r="L335" s="36">
        <f t="shared" si="114"/>
        <v>4.7619047619047616E-2</v>
      </c>
      <c r="M335" s="17">
        <v>611</v>
      </c>
      <c r="N335" s="36">
        <f t="shared" si="104"/>
        <v>0.9299847792998478</v>
      </c>
      <c r="O335" s="17">
        <v>353</v>
      </c>
      <c r="P335" s="36">
        <f t="shared" si="115"/>
        <v>0.93386243386243384</v>
      </c>
      <c r="Q335" s="17">
        <v>6</v>
      </c>
      <c r="R335" s="36">
        <f t="shared" si="105"/>
        <v>9.1324200913242004E-3</v>
      </c>
      <c r="S335" s="17">
        <v>4</v>
      </c>
      <c r="T335" s="36">
        <f t="shared" si="116"/>
        <v>1.0582010582010581E-2</v>
      </c>
      <c r="U335" s="17">
        <v>21</v>
      </c>
      <c r="V335" s="36">
        <f t="shared" si="106"/>
        <v>3.1963470319634701E-2</v>
      </c>
      <c r="W335" s="17">
        <v>13</v>
      </c>
      <c r="X335" s="36">
        <f t="shared" si="117"/>
        <v>3.439153439153439E-2</v>
      </c>
      <c r="Y335" s="17">
        <v>473</v>
      </c>
      <c r="Z335" s="36">
        <f t="shared" si="107"/>
        <v>0.71993911719939119</v>
      </c>
      <c r="AA335" s="17">
        <v>268</v>
      </c>
      <c r="AB335" s="36">
        <f t="shared" si="118"/>
        <v>0.70899470899470896</v>
      </c>
      <c r="AC335" s="17">
        <v>118</v>
      </c>
      <c r="AD335" s="36">
        <f t="shared" si="108"/>
        <v>0.17960426179604261</v>
      </c>
      <c r="AE335" s="17">
        <v>69</v>
      </c>
      <c r="AF335" s="36">
        <f t="shared" si="119"/>
        <v>0.18253968253968253</v>
      </c>
      <c r="AG335" s="17">
        <v>30</v>
      </c>
      <c r="AH335" s="36">
        <f t="shared" si="109"/>
        <v>4.5662100456621002E-2</v>
      </c>
      <c r="AI335" s="17">
        <v>18</v>
      </c>
      <c r="AJ335" s="36">
        <f t="shared" si="120"/>
        <v>4.7619047619047616E-2</v>
      </c>
      <c r="AK335" s="17">
        <v>9</v>
      </c>
      <c r="AL335" s="36">
        <f t="shared" si="110"/>
        <v>1.3698630136986301E-2</v>
      </c>
      <c r="AM335" s="17">
        <v>6</v>
      </c>
      <c r="AN335" s="36">
        <f t="shared" si="121"/>
        <v>1.5873015873015872E-2</v>
      </c>
      <c r="AO335" s="17">
        <v>657</v>
      </c>
      <c r="AP335" s="17">
        <v>378</v>
      </c>
    </row>
    <row r="336" spans="1:42" ht="15.75" customHeight="1" x14ac:dyDescent="0.25">
      <c r="A336" s="37">
        <v>2022</v>
      </c>
      <c r="B336" s="35">
        <v>170930</v>
      </c>
      <c r="C336" s="33" t="str">
        <f>VLOOKUP(B336,procv!$A$2:$D$142,4,FALSE)</f>
        <v>Cerrado Tocantins Araguaia</v>
      </c>
      <c r="D336" s="33" t="s">
        <v>61</v>
      </c>
      <c r="E336" s="17">
        <v>21</v>
      </c>
      <c r="F336" s="36">
        <f t="shared" si="111"/>
        <v>1.4925373134328358E-2</v>
      </c>
      <c r="G336" s="17">
        <v>13</v>
      </c>
      <c r="H336" s="36">
        <f t="shared" si="112"/>
        <v>5.2208835341365459E-2</v>
      </c>
      <c r="I336" s="17">
        <v>57</v>
      </c>
      <c r="J336" s="36">
        <f t="shared" si="113"/>
        <v>4.0511727078891259E-2</v>
      </c>
      <c r="K336" s="17">
        <v>17</v>
      </c>
      <c r="L336" s="36">
        <f t="shared" si="114"/>
        <v>6.8273092369477914E-2</v>
      </c>
      <c r="M336" s="16">
        <v>1329</v>
      </c>
      <c r="N336" s="36">
        <f t="shared" si="104"/>
        <v>0.94456289978678043</v>
      </c>
      <c r="O336" s="17">
        <v>219</v>
      </c>
      <c r="P336" s="36">
        <f t="shared" si="115"/>
        <v>0.87951807228915657</v>
      </c>
      <c r="Q336" s="17">
        <v>13</v>
      </c>
      <c r="R336" s="36">
        <f t="shared" si="105"/>
        <v>9.2395167022032692E-3</v>
      </c>
      <c r="S336" s="17">
        <v>4</v>
      </c>
      <c r="T336" s="36">
        <f t="shared" si="116"/>
        <v>1.6064257028112448E-2</v>
      </c>
      <c r="U336" s="17">
        <v>54</v>
      </c>
      <c r="V336" s="36">
        <f t="shared" si="106"/>
        <v>3.8379530916844352E-2</v>
      </c>
      <c r="W336" s="17">
        <v>10</v>
      </c>
      <c r="X336" s="36">
        <f t="shared" si="117"/>
        <v>4.0160642570281124E-2</v>
      </c>
      <c r="Y336" s="17">
        <v>956</v>
      </c>
      <c r="Z336" s="36">
        <f t="shared" si="107"/>
        <v>0.67945984363894807</v>
      </c>
      <c r="AA336" s="17">
        <v>176</v>
      </c>
      <c r="AB336" s="36">
        <f t="shared" si="118"/>
        <v>0.70682730923694781</v>
      </c>
      <c r="AC336" s="17">
        <v>239</v>
      </c>
      <c r="AD336" s="36">
        <f t="shared" si="108"/>
        <v>0.16986496090973702</v>
      </c>
      <c r="AE336" s="17">
        <v>38</v>
      </c>
      <c r="AF336" s="36">
        <f t="shared" si="119"/>
        <v>0.15261044176706828</v>
      </c>
      <c r="AG336" s="17">
        <v>106</v>
      </c>
      <c r="AH336" s="36">
        <f t="shared" si="109"/>
        <v>7.5337597725657429E-2</v>
      </c>
      <c r="AI336" s="17">
        <v>14</v>
      </c>
      <c r="AJ336" s="36">
        <f t="shared" si="120"/>
        <v>5.6224899598393573E-2</v>
      </c>
      <c r="AK336" s="17">
        <v>39</v>
      </c>
      <c r="AL336" s="36">
        <f t="shared" si="110"/>
        <v>2.7718550106609809E-2</v>
      </c>
      <c r="AM336" s="17">
        <v>7</v>
      </c>
      <c r="AN336" s="36">
        <f t="shared" si="121"/>
        <v>2.8112449799196786E-2</v>
      </c>
      <c r="AO336" s="16">
        <v>1407</v>
      </c>
      <c r="AP336" s="17">
        <v>249</v>
      </c>
    </row>
    <row r="337" spans="1:42" ht="15.75" customHeight="1" x14ac:dyDescent="0.25">
      <c r="A337" s="37">
        <v>2022</v>
      </c>
      <c r="B337" s="35">
        <v>170950</v>
      </c>
      <c r="C337" s="33" t="str">
        <f>VLOOKUP(B337,procv!$A$2:$D$142,4,FALSE)</f>
        <v>Ilha do Bananal</v>
      </c>
      <c r="D337" s="33" t="s">
        <v>62</v>
      </c>
      <c r="E337" s="17">
        <v>121</v>
      </c>
      <c r="F337" s="36">
        <f t="shared" si="111"/>
        <v>4.9855789039967034E-2</v>
      </c>
      <c r="G337" s="17">
        <v>106</v>
      </c>
      <c r="H337" s="36">
        <f t="shared" si="112"/>
        <v>9.5840867992766726E-2</v>
      </c>
      <c r="I337" s="17">
        <v>341</v>
      </c>
      <c r="J337" s="36">
        <f t="shared" si="113"/>
        <v>0.14050267820354348</v>
      </c>
      <c r="K337" s="17">
        <v>301</v>
      </c>
      <c r="L337" s="36">
        <f t="shared" si="114"/>
        <v>0.27215189873417722</v>
      </c>
      <c r="M337" s="16">
        <v>1965</v>
      </c>
      <c r="N337" s="36">
        <f t="shared" si="104"/>
        <v>0.80964153275648953</v>
      </c>
      <c r="O337" s="17">
        <v>699</v>
      </c>
      <c r="P337" s="36">
        <f t="shared" si="115"/>
        <v>0.63200723327305608</v>
      </c>
      <c r="Q337" s="17">
        <v>40</v>
      </c>
      <c r="R337" s="36">
        <f t="shared" si="105"/>
        <v>1.6481252575195716E-2</v>
      </c>
      <c r="S337" s="17">
        <v>24</v>
      </c>
      <c r="T337" s="36">
        <f t="shared" si="116"/>
        <v>2.1699819168173599E-2</v>
      </c>
      <c r="U337" s="17">
        <v>103</v>
      </c>
      <c r="V337" s="36">
        <f t="shared" si="106"/>
        <v>4.2439225381128966E-2</v>
      </c>
      <c r="W337" s="17">
        <v>36</v>
      </c>
      <c r="X337" s="36">
        <f t="shared" si="117"/>
        <v>3.25497287522604E-2</v>
      </c>
      <c r="Y337" s="16">
        <v>1799</v>
      </c>
      <c r="Z337" s="36">
        <f t="shared" si="107"/>
        <v>0.74124433456942729</v>
      </c>
      <c r="AA337" s="17">
        <v>938</v>
      </c>
      <c r="AB337" s="36">
        <f t="shared" si="118"/>
        <v>0.84810126582278478</v>
      </c>
      <c r="AC337" s="17">
        <v>302</v>
      </c>
      <c r="AD337" s="36">
        <f t="shared" si="108"/>
        <v>0.12443345694272764</v>
      </c>
      <c r="AE337" s="17">
        <v>71</v>
      </c>
      <c r="AF337" s="36">
        <f t="shared" si="119"/>
        <v>6.419529837251356E-2</v>
      </c>
      <c r="AG337" s="17">
        <v>141</v>
      </c>
      <c r="AH337" s="36">
        <f t="shared" si="109"/>
        <v>5.8096415327564897E-2</v>
      </c>
      <c r="AI337" s="17">
        <v>25</v>
      </c>
      <c r="AJ337" s="36">
        <f t="shared" si="120"/>
        <v>2.2603978300180832E-2</v>
      </c>
      <c r="AK337" s="17">
        <v>42</v>
      </c>
      <c r="AL337" s="36">
        <f t="shared" si="110"/>
        <v>1.73053152039555E-2</v>
      </c>
      <c r="AM337" s="17">
        <v>12</v>
      </c>
      <c r="AN337" s="36">
        <f t="shared" si="121"/>
        <v>1.0849909584086799E-2</v>
      </c>
      <c r="AO337" s="16">
        <v>2427</v>
      </c>
      <c r="AP337" s="16">
        <v>1106</v>
      </c>
    </row>
    <row r="338" spans="1:42" ht="15.75" customHeight="1" x14ac:dyDescent="0.25">
      <c r="A338" s="37">
        <v>2022</v>
      </c>
      <c r="B338" s="35">
        <v>170980</v>
      </c>
      <c r="C338" s="33" t="str">
        <f>VLOOKUP(B338,procv!$A$2:$D$142,4,FALSE)</f>
        <v>Amor Perfeito</v>
      </c>
      <c r="D338" s="33" t="s">
        <v>63</v>
      </c>
      <c r="E338" s="17">
        <v>6</v>
      </c>
      <c r="F338" s="36">
        <f t="shared" si="111"/>
        <v>3.2085561497326207E-2</v>
      </c>
      <c r="G338" s="17">
        <v>2</v>
      </c>
      <c r="H338" s="36">
        <f t="shared" si="112"/>
        <v>4.2553191489361701E-2</v>
      </c>
      <c r="I338" s="17">
        <v>4</v>
      </c>
      <c r="J338" s="36">
        <f t="shared" si="113"/>
        <v>2.1390374331550801E-2</v>
      </c>
      <c r="K338" s="17">
        <v>2</v>
      </c>
      <c r="L338" s="36">
        <f t="shared" si="114"/>
        <v>4.2553191489361701E-2</v>
      </c>
      <c r="M338" s="17">
        <v>177</v>
      </c>
      <c r="N338" s="36">
        <f t="shared" si="104"/>
        <v>0.946524064171123</v>
      </c>
      <c r="O338" s="17">
        <v>43</v>
      </c>
      <c r="P338" s="36">
        <f t="shared" si="115"/>
        <v>0.91489361702127658</v>
      </c>
      <c r="Q338" s="17">
        <v>2</v>
      </c>
      <c r="R338" s="36">
        <f t="shared" si="105"/>
        <v>1.06951871657754E-2</v>
      </c>
      <c r="S338" s="17">
        <v>0</v>
      </c>
      <c r="T338" s="36">
        <f t="shared" si="116"/>
        <v>0</v>
      </c>
      <c r="U338" s="17">
        <v>2</v>
      </c>
      <c r="V338" s="36">
        <f t="shared" si="106"/>
        <v>1.06951871657754E-2</v>
      </c>
      <c r="W338" s="17">
        <v>0</v>
      </c>
      <c r="X338" s="36">
        <f t="shared" si="117"/>
        <v>0</v>
      </c>
      <c r="Y338" s="17">
        <v>121</v>
      </c>
      <c r="Z338" s="36">
        <f t="shared" si="107"/>
        <v>0.6470588235294118</v>
      </c>
      <c r="AA338" s="17">
        <v>28</v>
      </c>
      <c r="AB338" s="36">
        <f t="shared" si="118"/>
        <v>0.5957446808510638</v>
      </c>
      <c r="AC338" s="17">
        <v>41</v>
      </c>
      <c r="AD338" s="36">
        <f t="shared" si="108"/>
        <v>0.21925133689839571</v>
      </c>
      <c r="AE338" s="17">
        <v>17</v>
      </c>
      <c r="AF338" s="36">
        <f t="shared" si="119"/>
        <v>0.36170212765957449</v>
      </c>
      <c r="AG338" s="17">
        <v>16</v>
      </c>
      <c r="AH338" s="36">
        <f t="shared" si="109"/>
        <v>8.5561497326203204E-2</v>
      </c>
      <c r="AI338" s="17">
        <v>2</v>
      </c>
      <c r="AJ338" s="36">
        <f t="shared" si="120"/>
        <v>4.2553191489361701E-2</v>
      </c>
      <c r="AK338" s="17">
        <v>5</v>
      </c>
      <c r="AL338" s="36">
        <f t="shared" si="110"/>
        <v>2.6737967914438502E-2</v>
      </c>
      <c r="AM338" s="17">
        <v>0</v>
      </c>
      <c r="AN338" s="36">
        <f t="shared" si="121"/>
        <v>0</v>
      </c>
      <c r="AO338" s="17">
        <v>187</v>
      </c>
      <c r="AP338" s="17">
        <v>47</v>
      </c>
    </row>
    <row r="339" spans="1:42" ht="15.75" customHeight="1" x14ac:dyDescent="0.25">
      <c r="A339" s="37">
        <v>2022</v>
      </c>
      <c r="B339" s="35">
        <v>171050</v>
      </c>
      <c r="C339" s="33" t="str">
        <f>VLOOKUP(B339,procv!$A$2:$D$142,4,FALSE)</f>
        <v>Cerrado Tocantins Araguaia</v>
      </c>
      <c r="D339" s="33" t="s">
        <v>64</v>
      </c>
      <c r="E339" s="17">
        <v>20</v>
      </c>
      <c r="F339" s="36">
        <f t="shared" si="111"/>
        <v>3.5714285714285712E-2</v>
      </c>
      <c r="G339" s="17">
        <v>14</v>
      </c>
      <c r="H339" s="36">
        <f t="shared" si="112"/>
        <v>4.8442906574394463E-2</v>
      </c>
      <c r="I339" s="17">
        <v>40</v>
      </c>
      <c r="J339" s="36">
        <f t="shared" si="113"/>
        <v>7.1428571428571425E-2</v>
      </c>
      <c r="K339" s="17">
        <v>27</v>
      </c>
      <c r="L339" s="36">
        <f t="shared" si="114"/>
        <v>9.3425605536332182E-2</v>
      </c>
      <c r="M339" s="17">
        <v>500</v>
      </c>
      <c r="N339" s="36">
        <f t="shared" si="104"/>
        <v>0.8928571428571429</v>
      </c>
      <c r="O339" s="17">
        <v>248</v>
      </c>
      <c r="P339" s="36">
        <f t="shared" si="115"/>
        <v>0.8581314878892734</v>
      </c>
      <c r="Q339" s="17">
        <v>7</v>
      </c>
      <c r="R339" s="36">
        <f t="shared" si="105"/>
        <v>1.2500000000000001E-2</v>
      </c>
      <c r="S339" s="17">
        <v>4</v>
      </c>
      <c r="T339" s="36">
        <f t="shared" si="116"/>
        <v>1.384083044982699E-2</v>
      </c>
      <c r="U339" s="17">
        <v>18</v>
      </c>
      <c r="V339" s="36">
        <f t="shared" si="106"/>
        <v>3.214285714285714E-2</v>
      </c>
      <c r="W339" s="17">
        <v>9</v>
      </c>
      <c r="X339" s="36">
        <f t="shared" si="117"/>
        <v>3.1141868512110725E-2</v>
      </c>
      <c r="Y339" s="17">
        <v>356</v>
      </c>
      <c r="Z339" s="36">
        <f t="shared" si="107"/>
        <v>0.63571428571428568</v>
      </c>
      <c r="AA339" s="17">
        <v>180</v>
      </c>
      <c r="AB339" s="36">
        <f t="shared" si="118"/>
        <v>0.62283737024221453</v>
      </c>
      <c r="AC339" s="17">
        <v>131</v>
      </c>
      <c r="AD339" s="36">
        <f t="shared" si="108"/>
        <v>0.23392857142857143</v>
      </c>
      <c r="AE339" s="17">
        <v>76</v>
      </c>
      <c r="AF339" s="36">
        <f t="shared" si="119"/>
        <v>0.26297577854671278</v>
      </c>
      <c r="AG339" s="17">
        <v>40</v>
      </c>
      <c r="AH339" s="36">
        <f t="shared" si="109"/>
        <v>7.1428571428571425E-2</v>
      </c>
      <c r="AI339" s="17">
        <v>17</v>
      </c>
      <c r="AJ339" s="36">
        <f t="shared" si="120"/>
        <v>5.8823529411764705E-2</v>
      </c>
      <c r="AK339" s="17">
        <v>8</v>
      </c>
      <c r="AL339" s="36">
        <f t="shared" si="110"/>
        <v>1.4285714285714285E-2</v>
      </c>
      <c r="AM339" s="17">
        <v>3</v>
      </c>
      <c r="AN339" s="36">
        <f t="shared" si="121"/>
        <v>1.0380622837370242E-2</v>
      </c>
      <c r="AO339" s="17">
        <v>560</v>
      </c>
      <c r="AP339" s="17">
        <v>289</v>
      </c>
    </row>
    <row r="340" spans="1:42" ht="15.75" customHeight="1" x14ac:dyDescent="0.25">
      <c r="A340" s="37">
        <v>2022</v>
      </c>
      <c r="B340" s="35">
        <v>171070</v>
      </c>
      <c r="C340" s="33" t="str">
        <f>VLOOKUP(B340,procv!$A$2:$D$142,4,FALSE)</f>
        <v>Bico do Papagaio</v>
      </c>
      <c r="D340" s="33" t="s">
        <v>65</v>
      </c>
      <c r="E340" s="17">
        <v>17</v>
      </c>
      <c r="F340" s="36">
        <f t="shared" si="111"/>
        <v>4.0669856459330141E-2</v>
      </c>
      <c r="G340" s="17">
        <v>8</v>
      </c>
      <c r="H340" s="36">
        <f t="shared" si="112"/>
        <v>0.05</v>
      </c>
      <c r="I340" s="17">
        <v>38</v>
      </c>
      <c r="J340" s="36">
        <f t="shared" si="113"/>
        <v>9.0909090909090912E-2</v>
      </c>
      <c r="K340" s="17">
        <v>12</v>
      </c>
      <c r="L340" s="36">
        <f t="shared" si="114"/>
        <v>7.4999999999999997E-2</v>
      </c>
      <c r="M340" s="17">
        <v>363</v>
      </c>
      <c r="N340" s="36">
        <f t="shared" si="104"/>
        <v>0.86842105263157898</v>
      </c>
      <c r="O340" s="17">
        <v>140</v>
      </c>
      <c r="P340" s="36">
        <f t="shared" si="115"/>
        <v>0.875</v>
      </c>
      <c r="Q340" s="17">
        <v>6</v>
      </c>
      <c r="R340" s="36">
        <f t="shared" si="105"/>
        <v>1.4354066985645933E-2</v>
      </c>
      <c r="S340" s="17">
        <v>3</v>
      </c>
      <c r="T340" s="36">
        <f t="shared" si="116"/>
        <v>1.8749999999999999E-2</v>
      </c>
      <c r="U340" s="17">
        <v>15</v>
      </c>
      <c r="V340" s="36">
        <f t="shared" si="106"/>
        <v>3.5885167464114832E-2</v>
      </c>
      <c r="W340" s="17">
        <v>7</v>
      </c>
      <c r="X340" s="36">
        <f t="shared" si="117"/>
        <v>4.3749999999999997E-2</v>
      </c>
      <c r="Y340" s="17">
        <v>310</v>
      </c>
      <c r="Z340" s="36">
        <f t="shared" si="107"/>
        <v>0.74162679425837319</v>
      </c>
      <c r="AA340" s="17">
        <v>113</v>
      </c>
      <c r="AB340" s="36">
        <f t="shared" si="118"/>
        <v>0.70625000000000004</v>
      </c>
      <c r="AC340" s="17">
        <v>44</v>
      </c>
      <c r="AD340" s="36">
        <f t="shared" si="108"/>
        <v>0.10526315789473684</v>
      </c>
      <c r="AE340" s="17">
        <v>23</v>
      </c>
      <c r="AF340" s="36">
        <f t="shared" si="119"/>
        <v>0.14374999999999999</v>
      </c>
      <c r="AG340" s="17">
        <v>33</v>
      </c>
      <c r="AH340" s="36">
        <f t="shared" si="109"/>
        <v>7.8947368421052627E-2</v>
      </c>
      <c r="AI340" s="17">
        <v>11</v>
      </c>
      <c r="AJ340" s="36">
        <f t="shared" si="120"/>
        <v>6.8750000000000006E-2</v>
      </c>
      <c r="AK340" s="17">
        <v>10</v>
      </c>
      <c r="AL340" s="36">
        <f t="shared" si="110"/>
        <v>2.3923444976076555E-2</v>
      </c>
      <c r="AM340" s="17">
        <v>3</v>
      </c>
      <c r="AN340" s="36">
        <f t="shared" si="121"/>
        <v>1.8749999999999999E-2</v>
      </c>
      <c r="AO340" s="17">
        <v>418</v>
      </c>
      <c r="AP340" s="17">
        <v>160</v>
      </c>
    </row>
    <row r="341" spans="1:42" ht="15.75" customHeight="1" x14ac:dyDescent="0.25">
      <c r="A341" s="37">
        <v>2022</v>
      </c>
      <c r="B341" s="35">
        <v>171090</v>
      </c>
      <c r="C341" s="33" t="str">
        <f>VLOOKUP(B341,procv!$A$2:$D$142,4,FALSE)</f>
        <v>Cerrado Tocantins Araguaia</v>
      </c>
      <c r="D341" s="33" t="s">
        <v>66</v>
      </c>
      <c r="E341" s="17">
        <v>5</v>
      </c>
      <c r="F341" s="36">
        <f t="shared" si="111"/>
        <v>1.2658227848101266E-2</v>
      </c>
      <c r="G341" s="17">
        <v>3</v>
      </c>
      <c r="H341" s="36">
        <f t="shared" si="112"/>
        <v>2.564102564102564E-2</v>
      </c>
      <c r="I341" s="17">
        <v>20</v>
      </c>
      <c r="J341" s="36">
        <f t="shared" si="113"/>
        <v>5.0632911392405063E-2</v>
      </c>
      <c r="K341" s="17">
        <v>9</v>
      </c>
      <c r="L341" s="36">
        <f t="shared" si="114"/>
        <v>7.6923076923076927E-2</v>
      </c>
      <c r="M341" s="17">
        <v>370</v>
      </c>
      <c r="N341" s="36">
        <f t="shared" si="104"/>
        <v>0.93670886075949367</v>
      </c>
      <c r="O341" s="17">
        <v>105</v>
      </c>
      <c r="P341" s="36">
        <f t="shared" si="115"/>
        <v>0.89743589743589747</v>
      </c>
      <c r="Q341" s="17">
        <v>3</v>
      </c>
      <c r="R341" s="36">
        <f t="shared" si="105"/>
        <v>7.5949367088607592E-3</v>
      </c>
      <c r="S341" s="17">
        <v>2</v>
      </c>
      <c r="T341" s="36">
        <f t="shared" si="116"/>
        <v>1.7094017094017096E-2</v>
      </c>
      <c r="U341" s="17">
        <v>10</v>
      </c>
      <c r="V341" s="36">
        <f t="shared" si="106"/>
        <v>2.5316455696202531E-2</v>
      </c>
      <c r="W341" s="17">
        <v>4</v>
      </c>
      <c r="X341" s="36">
        <f t="shared" si="117"/>
        <v>3.4188034188034191E-2</v>
      </c>
      <c r="Y341" s="17">
        <v>264</v>
      </c>
      <c r="Z341" s="36">
        <f t="shared" si="107"/>
        <v>0.66835443037974684</v>
      </c>
      <c r="AA341" s="17">
        <v>75</v>
      </c>
      <c r="AB341" s="36">
        <f t="shared" si="118"/>
        <v>0.64102564102564108</v>
      </c>
      <c r="AC341" s="17">
        <v>71</v>
      </c>
      <c r="AD341" s="36">
        <f t="shared" si="108"/>
        <v>0.17974683544303796</v>
      </c>
      <c r="AE341" s="17">
        <v>19</v>
      </c>
      <c r="AF341" s="36">
        <f t="shared" si="119"/>
        <v>0.1623931623931624</v>
      </c>
      <c r="AG341" s="17">
        <v>41</v>
      </c>
      <c r="AH341" s="36">
        <f t="shared" si="109"/>
        <v>0.10379746835443038</v>
      </c>
      <c r="AI341" s="17">
        <v>14</v>
      </c>
      <c r="AJ341" s="36">
        <f t="shared" si="120"/>
        <v>0.11965811965811966</v>
      </c>
      <c r="AK341" s="17">
        <v>6</v>
      </c>
      <c r="AL341" s="36">
        <f t="shared" si="110"/>
        <v>1.5189873417721518E-2</v>
      </c>
      <c r="AM341" s="17">
        <v>3</v>
      </c>
      <c r="AN341" s="36">
        <f t="shared" si="121"/>
        <v>2.564102564102564E-2</v>
      </c>
      <c r="AO341" s="17">
        <v>395</v>
      </c>
      <c r="AP341" s="17">
        <v>117</v>
      </c>
    </row>
    <row r="342" spans="1:42" ht="15.75" customHeight="1" x14ac:dyDescent="0.25">
      <c r="A342" s="37">
        <v>2022</v>
      </c>
      <c r="B342" s="35">
        <v>171110</v>
      </c>
      <c r="C342" s="33" t="str">
        <f>VLOOKUP(B342,procv!$A$2:$D$142,4,FALSE)</f>
        <v>Cerrado Tocantins Araguaia</v>
      </c>
      <c r="D342" s="33" t="s">
        <v>67</v>
      </c>
      <c r="E342" s="17">
        <v>3</v>
      </c>
      <c r="F342" s="36">
        <f t="shared" si="111"/>
        <v>1.5544041450777202E-2</v>
      </c>
      <c r="G342" s="17">
        <v>1</v>
      </c>
      <c r="H342" s="36">
        <f t="shared" si="112"/>
        <v>2.1739130434782608E-2</v>
      </c>
      <c r="I342" s="17">
        <v>9</v>
      </c>
      <c r="J342" s="36">
        <f t="shared" si="113"/>
        <v>4.6632124352331605E-2</v>
      </c>
      <c r="K342" s="17">
        <v>2</v>
      </c>
      <c r="L342" s="36">
        <f t="shared" si="114"/>
        <v>4.3478260869565216E-2</v>
      </c>
      <c r="M342" s="17">
        <v>181</v>
      </c>
      <c r="N342" s="36">
        <f t="shared" si="104"/>
        <v>0.93782383419689119</v>
      </c>
      <c r="O342" s="17">
        <v>43</v>
      </c>
      <c r="P342" s="36">
        <f t="shared" si="115"/>
        <v>0.93478260869565222</v>
      </c>
      <c r="Q342" s="17">
        <v>4</v>
      </c>
      <c r="R342" s="36">
        <f t="shared" si="105"/>
        <v>2.072538860103627E-2</v>
      </c>
      <c r="S342" s="17">
        <v>1</v>
      </c>
      <c r="T342" s="36">
        <f t="shared" si="116"/>
        <v>2.1739130434782608E-2</v>
      </c>
      <c r="U342" s="17">
        <v>4</v>
      </c>
      <c r="V342" s="36">
        <f t="shared" si="106"/>
        <v>2.072538860103627E-2</v>
      </c>
      <c r="W342" s="17">
        <v>1</v>
      </c>
      <c r="X342" s="36">
        <f t="shared" si="117"/>
        <v>2.1739130434782608E-2</v>
      </c>
      <c r="Y342" s="17">
        <v>129</v>
      </c>
      <c r="Z342" s="36">
        <f t="shared" si="107"/>
        <v>0.66839378238341973</v>
      </c>
      <c r="AA342" s="17">
        <v>32</v>
      </c>
      <c r="AB342" s="36">
        <f t="shared" si="118"/>
        <v>0.69565217391304346</v>
      </c>
      <c r="AC342" s="17">
        <v>40</v>
      </c>
      <c r="AD342" s="36">
        <f t="shared" si="108"/>
        <v>0.20725388601036268</v>
      </c>
      <c r="AE342" s="17">
        <v>9</v>
      </c>
      <c r="AF342" s="36">
        <f t="shared" si="119"/>
        <v>0.19565217391304349</v>
      </c>
      <c r="AG342" s="17">
        <v>15</v>
      </c>
      <c r="AH342" s="36">
        <f t="shared" si="109"/>
        <v>7.7720207253886009E-2</v>
      </c>
      <c r="AI342" s="17">
        <v>3</v>
      </c>
      <c r="AJ342" s="36">
        <f t="shared" si="120"/>
        <v>6.5217391304347824E-2</v>
      </c>
      <c r="AK342" s="17">
        <v>1</v>
      </c>
      <c r="AL342" s="36">
        <f t="shared" si="110"/>
        <v>5.1813471502590676E-3</v>
      </c>
      <c r="AM342" s="17">
        <v>0</v>
      </c>
      <c r="AN342" s="36">
        <f t="shared" si="121"/>
        <v>0</v>
      </c>
      <c r="AO342" s="17">
        <v>193</v>
      </c>
      <c r="AP342" s="17">
        <v>46</v>
      </c>
    </row>
    <row r="343" spans="1:42" ht="15.75" customHeight="1" x14ac:dyDescent="0.25">
      <c r="A343" s="37">
        <v>2022</v>
      </c>
      <c r="B343" s="35">
        <v>171150</v>
      </c>
      <c r="C343" s="33" t="str">
        <f>VLOOKUP(B343,procv!$A$2:$D$142,4,FALSE)</f>
        <v>Ilha do Bananal</v>
      </c>
      <c r="D343" s="33" t="s">
        <v>68</v>
      </c>
      <c r="E343" s="17">
        <v>6</v>
      </c>
      <c r="F343" s="36">
        <f t="shared" si="111"/>
        <v>1.5957446808510637E-2</v>
      </c>
      <c r="G343" s="17">
        <v>1</v>
      </c>
      <c r="H343" s="36">
        <f t="shared" si="112"/>
        <v>1.7241379310344827E-2</v>
      </c>
      <c r="I343" s="17">
        <v>12</v>
      </c>
      <c r="J343" s="36">
        <f t="shared" si="113"/>
        <v>3.1914893617021274E-2</v>
      </c>
      <c r="K343" s="17">
        <v>2</v>
      </c>
      <c r="L343" s="36">
        <f t="shared" si="114"/>
        <v>3.4482758620689655E-2</v>
      </c>
      <c r="M343" s="17">
        <v>358</v>
      </c>
      <c r="N343" s="36">
        <f t="shared" si="104"/>
        <v>0.9521276595744681</v>
      </c>
      <c r="O343" s="17">
        <v>55</v>
      </c>
      <c r="P343" s="36">
        <f t="shared" si="115"/>
        <v>0.94827586206896552</v>
      </c>
      <c r="Q343" s="17">
        <v>3</v>
      </c>
      <c r="R343" s="36">
        <f t="shared" si="105"/>
        <v>7.9787234042553185E-3</v>
      </c>
      <c r="S343" s="17">
        <v>0</v>
      </c>
      <c r="T343" s="36">
        <f t="shared" si="116"/>
        <v>0</v>
      </c>
      <c r="U343" s="17">
        <v>10</v>
      </c>
      <c r="V343" s="36">
        <f t="shared" si="106"/>
        <v>2.6595744680851064E-2</v>
      </c>
      <c r="W343" s="17">
        <v>1</v>
      </c>
      <c r="X343" s="36">
        <f t="shared" si="117"/>
        <v>1.7241379310344827E-2</v>
      </c>
      <c r="Y343" s="17">
        <v>269</v>
      </c>
      <c r="Z343" s="36">
        <f t="shared" si="107"/>
        <v>0.71542553191489366</v>
      </c>
      <c r="AA343" s="17">
        <v>45</v>
      </c>
      <c r="AB343" s="36">
        <f t="shared" si="118"/>
        <v>0.77586206896551724</v>
      </c>
      <c r="AC343" s="17">
        <v>67</v>
      </c>
      <c r="AD343" s="36">
        <f t="shared" si="108"/>
        <v>0.17819148936170212</v>
      </c>
      <c r="AE343" s="17">
        <v>10</v>
      </c>
      <c r="AF343" s="36">
        <f t="shared" si="119"/>
        <v>0.17241379310344829</v>
      </c>
      <c r="AG343" s="17">
        <v>26</v>
      </c>
      <c r="AH343" s="36">
        <f t="shared" si="109"/>
        <v>6.9148936170212769E-2</v>
      </c>
      <c r="AI343" s="17">
        <v>2</v>
      </c>
      <c r="AJ343" s="36">
        <f t="shared" si="120"/>
        <v>3.4482758620689655E-2</v>
      </c>
      <c r="AK343" s="17">
        <v>1</v>
      </c>
      <c r="AL343" s="36">
        <f t="shared" si="110"/>
        <v>2.6595744680851063E-3</v>
      </c>
      <c r="AM343" s="17">
        <v>0</v>
      </c>
      <c r="AN343" s="36">
        <f t="shared" si="121"/>
        <v>0</v>
      </c>
      <c r="AO343" s="17">
        <v>376</v>
      </c>
      <c r="AP343" s="17">
        <v>58</v>
      </c>
    </row>
    <row r="344" spans="1:42" ht="15.75" customHeight="1" x14ac:dyDescent="0.25">
      <c r="A344" s="37">
        <v>2022</v>
      </c>
      <c r="B344" s="35">
        <v>171180</v>
      </c>
      <c r="C344" s="33" t="str">
        <f>VLOOKUP(B344,procv!$A$2:$D$142,4,FALSE)</f>
        <v>Cerrado Tocantins Araguaia</v>
      </c>
      <c r="D344" s="33" t="s">
        <v>69</v>
      </c>
      <c r="E344" s="17">
        <v>1</v>
      </c>
      <c r="F344" s="36">
        <f t="shared" si="111"/>
        <v>4.608294930875576E-3</v>
      </c>
      <c r="G344" s="17">
        <v>1</v>
      </c>
      <c r="H344" s="36">
        <f t="shared" si="112"/>
        <v>1.7543859649122806E-2</v>
      </c>
      <c r="I344" s="17">
        <v>7</v>
      </c>
      <c r="J344" s="36">
        <f t="shared" si="113"/>
        <v>3.2258064516129031E-2</v>
      </c>
      <c r="K344" s="17">
        <v>4</v>
      </c>
      <c r="L344" s="36">
        <f t="shared" si="114"/>
        <v>7.0175438596491224E-2</v>
      </c>
      <c r="M344" s="17">
        <v>209</v>
      </c>
      <c r="N344" s="36">
        <f t="shared" si="104"/>
        <v>0.96313364055299544</v>
      </c>
      <c r="O344" s="17">
        <v>52</v>
      </c>
      <c r="P344" s="36">
        <f t="shared" si="115"/>
        <v>0.91228070175438591</v>
      </c>
      <c r="Q344" s="17">
        <v>3</v>
      </c>
      <c r="R344" s="36">
        <f t="shared" si="105"/>
        <v>1.3824884792626729E-2</v>
      </c>
      <c r="S344" s="17">
        <v>2</v>
      </c>
      <c r="T344" s="36">
        <f t="shared" si="116"/>
        <v>3.5087719298245612E-2</v>
      </c>
      <c r="U344" s="17">
        <v>6</v>
      </c>
      <c r="V344" s="36">
        <f t="shared" si="106"/>
        <v>2.7649769585253458E-2</v>
      </c>
      <c r="W344" s="17">
        <v>2</v>
      </c>
      <c r="X344" s="36">
        <f t="shared" si="117"/>
        <v>3.5087719298245612E-2</v>
      </c>
      <c r="Y344" s="17">
        <v>140</v>
      </c>
      <c r="Z344" s="36">
        <f t="shared" si="107"/>
        <v>0.64516129032258063</v>
      </c>
      <c r="AA344" s="17">
        <v>40</v>
      </c>
      <c r="AB344" s="36">
        <f t="shared" si="118"/>
        <v>0.70175438596491224</v>
      </c>
      <c r="AC344" s="17">
        <v>34</v>
      </c>
      <c r="AD344" s="36">
        <f t="shared" si="108"/>
        <v>0.15668202764976957</v>
      </c>
      <c r="AE344" s="17">
        <v>9</v>
      </c>
      <c r="AF344" s="36">
        <f t="shared" si="119"/>
        <v>0.15789473684210525</v>
      </c>
      <c r="AG344" s="17">
        <v>30</v>
      </c>
      <c r="AH344" s="36">
        <f t="shared" si="109"/>
        <v>0.13824884792626729</v>
      </c>
      <c r="AI344" s="17">
        <v>4</v>
      </c>
      <c r="AJ344" s="36">
        <f t="shared" si="120"/>
        <v>7.0175438596491224E-2</v>
      </c>
      <c r="AK344" s="17">
        <v>4</v>
      </c>
      <c r="AL344" s="36">
        <f t="shared" si="110"/>
        <v>1.8433179723502304E-2</v>
      </c>
      <c r="AM344" s="17">
        <v>0</v>
      </c>
      <c r="AN344" s="36">
        <f t="shared" si="121"/>
        <v>0</v>
      </c>
      <c r="AO344" s="17">
        <v>217</v>
      </c>
      <c r="AP344" s="17">
        <v>57</v>
      </c>
    </row>
    <row r="345" spans="1:42" ht="15.75" customHeight="1" x14ac:dyDescent="0.25">
      <c r="A345" s="37">
        <v>2022</v>
      </c>
      <c r="B345" s="35">
        <v>171190</v>
      </c>
      <c r="C345" s="33" t="str">
        <f>VLOOKUP(B345,procv!$A$2:$D$142,4,FALSE)</f>
        <v>Cantão</v>
      </c>
      <c r="D345" s="33" t="s">
        <v>70</v>
      </c>
      <c r="E345" s="17">
        <v>10</v>
      </c>
      <c r="F345" s="36">
        <f t="shared" si="111"/>
        <v>1.6447368421052631E-2</v>
      </c>
      <c r="G345" s="17">
        <v>9</v>
      </c>
      <c r="H345" s="36">
        <f t="shared" si="112"/>
        <v>2.2167487684729065E-2</v>
      </c>
      <c r="I345" s="17">
        <v>20</v>
      </c>
      <c r="J345" s="36">
        <f t="shared" si="113"/>
        <v>3.2894736842105261E-2</v>
      </c>
      <c r="K345" s="17">
        <v>16</v>
      </c>
      <c r="L345" s="36">
        <f t="shared" si="114"/>
        <v>3.9408866995073892E-2</v>
      </c>
      <c r="M345" s="17">
        <v>578</v>
      </c>
      <c r="N345" s="36">
        <f t="shared" si="104"/>
        <v>0.95065789473684215</v>
      </c>
      <c r="O345" s="17">
        <v>381</v>
      </c>
      <c r="P345" s="36">
        <f t="shared" si="115"/>
        <v>0.93842364532019706</v>
      </c>
      <c r="Q345" s="17">
        <v>7</v>
      </c>
      <c r="R345" s="36">
        <f t="shared" si="105"/>
        <v>1.1513157894736841E-2</v>
      </c>
      <c r="S345" s="17">
        <v>7</v>
      </c>
      <c r="T345" s="36">
        <f t="shared" si="116"/>
        <v>1.7241379310344827E-2</v>
      </c>
      <c r="U345" s="17">
        <v>15</v>
      </c>
      <c r="V345" s="36">
        <f t="shared" si="106"/>
        <v>2.4671052631578948E-2</v>
      </c>
      <c r="W345" s="17">
        <v>12</v>
      </c>
      <c r="X345" s="36">
        <f t="shared" si="117"/>
        <v>2.9556650246305417E-2</v>
      </c>
      <c r="Y345" s="17">
        <v>402</v>
      </c>
      <c r="Z345" s="36">
        <f t="shared" si="107"/>
        <v>0.66118421052631582</v>
      </c>
      <c r="AA345" s="17">
        <v>254</v>
      </c>
      <c r="AB345" s="36">
        <f t="shared" si="118"/>
        <v>0.62561576354679804</v>
      </c>
      <c r="AC345" s="17">
        <v>120</v>
      </c>
      <c r="AD345" s="36">
        <f t="shared" si="108"/>
        <v>0.19736842105263158</v>
      </c>
      <c r="AE345" s="17">
        <v>94</v>
      </c>
      <c r="AF345" s="36">
        <f t="shared" si="119"/>
        <v>0.23152709359605911</v>
      </c>
      <c r="AG345" s="17">
        <v>49</v>
      </c>
      <c r="AH345" s="36">
        <f t="shared" si="109"/>
        <v>8.0592105263157895E-2</v>
      </c>
      <c r="AI345" s="17">
        <v>30</v>
      </c>
      <c r="AJ345" s="36">
        <f t="shared" si="120"/>
        <v>7.3891625615763554E-2</v>
      </c>
      <c r="AK345" s="17">
        <v>15</v>
      </c>
      <c r="AL345" s="36">
        <f t="shared" si="110"/>
        <v>2.4671052631578948E-2</v>
      </c>
      <c r="AM345" s="17">
        <v>9</v>
      </c>
      <c r="AN345" s="36">
        <f t="shared" si="121"/>
        <v>2.2167487684729065E-2</v>
      </c>
      <c r="AO345" s="17">
        <v>608</v>
      </c>
      <c r="AP345" s="17">
        <v>406</v>
      </c>
    </row>
    <row r="346" spans="1:42" ht="15.75" customHeight="1" x14ac:dyDescent="0.25">
      <c r="A346" s="37">
        <v>2022</v>
      </c>
      <c r="B346" s="35">
        <v>171195</v>
      </c>
      <c r="C346" s="33" t="str">
        <f>VLOOKUP(B346,procv!$A$2:$D$142,4,FALSE)</f>
        <v>Capim Dourado</v>
      </c>
      <c r="D346" s="33" t="s">
        <v>71</v>
      </c>
      <c r="E346" s="17">
        <v>6</v>
      </c>
      <c r="F346" s="36">
        <f t="shared" si="111"/>
        <v>9.4637223974763408E-3</v>
      </c>
      <c r="G346" s="17">
        <v>4</v>
      </c>
      <c r="H346" s="36">
        <f t="shared" si="112"/>
        <v>3.3613445378151259E-2</v>
      </c>
      <c r="I346" s="17">
        <v>25</v>
      </c>
      <c r="J346" s="36">
        <f t="shared" si="113"/>
        <v>3.9432176656151417E-2</v>
      </c>
      <c r="K346" s="17">
        <v>7</v>
      </c>
      <c r="L346" s="36">
        <f t="shared" si="114"/>
        <v>5.8823529411764705E-2</v>
      </c>
      <c r="M346" s="17">
        <v>603</v>
      </c>
      <c r="N346" s="36">
        <f t="shared" si="104"/>
        <v>0.95110410094637221</v>
      </c>
      <c r="O346" s="17">
        <v>108</v>
      </c>
      <c r="P346" s="36">
        <f t="shared" si="115"/>
        <v>0.90756302521008403</v>
      </c>
      <c r="Q346" s="17">
        <v>13</v>
      </c>
      <c r="R346" s="36">
        <f t="shared" si="105"/>
        <v>2.0504731861198739E-2</v>
      </c>
      <c r="S346" s="17">
        <v>7</v>
      </c>
      <c r="T346" s="36">
        <f t="shared" si="116"/>
        <v>5.8823529411764705E-2</v>
      </c>
      <c r="U346" s="17">
        <v>21</v>
      </c>
      <c r="V346" s="36">
        <f t="shared" si="106"/>
        <v>3.3123028391167195E-2</v>
      </c>
      <c r="W346" s="17">
        <v>2</v>
      </c>
      <c r="X346" s="36">
        <f t="shared" si="117"/>
        <v>1.680672268907563E-2</v>
      </c>
      <c r="Y346" s="17">
        <v>470</v>
      </c>
      <c r="Z346" s="36">
        <f t="shared" si="107"/>
        <v>0.74132492113564674</v>
      </c>
      <c r="AA346" s="17">
        <v>71</v>
      </c>
      <c r="AB346" s="36">
        <f t="shared" si="118"/>
        <v>0.59663865546218486</v>
      </c>
      <c r="AC346" s="17">
        <v>93</v>
      </c>
      <c r="AD346" s="36">
        <f t="shared" si="108"/>
        <v>0.14668769716088328</v>
      </c>
      <c r="AE346" s="17">
        <v>33</v>
      </c>
      <c r="AF346" s="36">
        <f t="shared" si="119"/>
        <v>0.27731092436974791</v>
      </c>
      <c r="AG346" s="17">
        <v>34</v>
      </c>
      <c r="AH346" s="36">
        <f t="shared" si="109"/>
        <v>5.362776025236593E-2</v>
      </c>
      <c r="AI346" s="17">
        <v>5</v>
      </c>
      <c r="AJ346" s="36">
        <f t="shared" si="120"/>
        <v>4.2016806722689079E-2</v>
      </c>
      <c r="AK346" s="17">
        <v>3</v>
      </c>
      <c r="AL346" s="36">
        <f t="shared" si="110"/>
        <v>4.7318611987381704E-3</v>
      </c>
      <c r="AM346" s="17">
        <v>1</v>
      </c>
      <c r="AN346" s="36">
        <f t="shared" si="121"/>
        <v>8.4033613445378148E-3</v>
      </c>
      <c r="AO346" s="17">
        <v>634</v>
      </c>
      <c r="AP346" s="17">
        <v>119</v>
      </c>
    </row>
    <row r="347" spans="1:42" ht="15.75" customHeight="1" x14ac:dyDescent="0.25">
      <c r="A347" s="37">
        <v>2022</v>
      </c>
      <c r="B347" s="35">
        <v>171200</v>
      </c>
      <c r="C347" s="33" t="str">
        <f>VLOOKUP(B347,procv!$A$2:$D$142,4,FALSE)</f>
        <v>Capim Dourado</v>
      </c>
      <c r="D347" s="33" t="s">
        <v>72</v>
      </c>
      <c r="E347" s="17">
        <v>4</v>
      </c>
      <c r="F347" s="36">
        <f t="shared" si="111"/>
        <v>7.1428571428571425E-2</v>
      </c>
      <c r="G347" s="17">
        <v>4</v>
      </c>
      <c r="H347" s="36">
        <f t="shared" si="112"/>
        <v>9.7560975609756101E-2</v>
      </c>
      <c r="I347" s="17">
        <v>3</v>
      </c>
      <c r="J347" s="36">
        <f t="shared" si="113"/>
        <v>5.3571428571428568E-2</v>
      </c>
      <c r="K347" s="17">
        <v>3</v>
      </c>
      <c r="L347" s="36">
        <f t="shared" si="114"/>
        <v>7.3170731707317069E-2</v>
      </c>
      <c r="M347" s="17">
        <v>49</v>
      </c>
      <c r="N347" s="36">
        <f t="shared" si="104"/>
        <v>0.875</v>
      </c>
      <c r="O347" s="17">
        <v>34</v>
      </c>
      <c r="P347" s="36">
        <f t="shared" si="115"/>
        <v>0.82926829268292679</v>
      </c>
      <c r="Q347" s="17">
        <v>2</v>
      </c>
      <c r="R347" s="36">
        <f t="shared" si="105"/>
        <v>3.5714285714285712E-2</v>
      </c>
      <c r="S347" s="17">
        <v>2</v>
      </c>
      <c r="T347" s="36">
        <f t="shared" si="116"/>
        <v>4.878048780487805E-2</v>
      </c>
      <c r="U347" s="17">
        <v>2</v>
      </c>
      <c r="V347" s="36">
        <f t="shared" si="106"/>
        <v>3.5714285714285712E-2</v>
      </c>
      <c r="W347" s="17">
        <v>1</v>
      </c>
      <c r="X347" s="36">
        <f t="shared" si="117"/>
        <v>2.4390243902439025E-2</v>
      </c>
      <c r="Y347" s="17">
        <v>39</v>
      </c>
      <c r="Z347" s="36">
        <f t="shared" si="107"/>
        <v>0.6964285714285714</v>
      </c>
      <c r="AA347" s="17">
        <v>27</v>
      </c>
      <c r="AB347" s="36">
        <f t="shared" si="118"/>
        <v>0.65853658536585369</v>
      </c>
      <c r="AC347" s="17">
        <v>8</v>
      </c>
      <c r="AD347" s="36">
        <f t="shared" si="108"/>
        <v>0.14285714285714285</v>
      </c>
      <c r="AE347" s="17">
        <v>7</v>
      </c>
      <c r="AF347" s="36">
        <f t="shared" si="119"/>
        <v>0.17073170731707318</v>
      </c>
      <c r="AG347" s="17">
        <v>3</v>
      </c>
      <c r="AH347" s="36">
        <f t="shared" si="109"/>
        <v>5.3571428571428568E-2</v>
      </c>
      <c r="AI347" s="17">
        <v>3</v>
      </c>
      <c r="AJ347" s="36">
        <f t="shared" si="120"/>
        <v>7.3170731707317069E-2</v>
      </c>
      <c r="AK347" s="17">
        <v>2</v>
      </c>
      <c r="AL347" s="36">
        <f t="shared" si="110"/>
        <v>3.5714285714285712E-2</v>
      </c>
      <c r="AM347" s="17">
        <v>1</v>
      </c>
      <c r="AN347" s="36">
        <f t="shared" si="121"/>
        <v>2.4390243902439025E-2</v>
      </c>
      <c r="AO347" s="17">
        <v>56</v>
      </c>
      <c r="AP347" s="17">
        <v>41</v>
      </c>
    </row>
    <row r="348" spans="1:42" ht="15.75" customHeight="1" x14ac:dyDescent="0.25">
      <c r="A348" s="37">
        <v>2022</v>
      </c>
      <c r="B348" s="35">
        <v>171215</v>
      </c>
      <c r="C348" s="33" t="str">
        <f>VLOOKUP(B348,procv!$A$2:$D$142,4,FALSE)</f>
        <v>Sudeste</v>
      </c>
      <c r="D348" s="33" t="s">
        <v>73</v>
      </c>
      <c r="E348" s="17">
        <v>4</v>
      </c>
      <c r="F348" s="36">
        <f t="shared" si="111"/>
        <v>0.02</v>
      </c>
      <c r="G348" s="17">
        <v>1</v>
      </c>
      <c r="H348" s="36">
        <f t="shared" si="112"/>
        <v>2.1276595744680851E-2</v>
      </c>
      <c r="I348" s="17">
        <v>3</v>
      </c>
      <c r="J348" s="36">
        <f t="shared" si="113"/>
        <v>1.4999999999999999E-2</v>
      </c>
      <c r="K348" s="17">
        <v>0</v>
      </c>
      <c r="L348" s="36">
        <f t="shared" si="114"/>
        <v>0</v>
      </c>
      <c r="M348" s="17">
        <v>193</v>
      </c>
      <c r="N348" s="36">
        <f t="shared" si="104"/>
        <v>0.96499999999999997</v>
      </c>
      <c r="O348" s="17">
        <v>46</v>
      </c>
      <c r="P348" s="36">
        <f t="shared" si="115"/>
        <v>0.97872340425531912</v>
      </c>
      <c r="Q348" s="17">
        <v>1</v>
      </c>
      <c r="R348" s="36">
        <f t="shared" si="105"/>
        <v>5.0000000000000001E-3</v>
      </c>
      <c r="S348" s="17">
        <v>1</v>
      </c>
      <c r="T348" s="36">
        <f t="shared" si="116"/>
        <v>2.1276595744680851E-2</v>
      </c>
      <c r="U348" s="17">
        <v>6</v>
      </c>
      <c r="V348" s="36">
        <f t="shared" si="106"/>
        <v>0.03</v>
      </c>
      <c r="W348" s="17">
        <v>2</v>
      </c>
      <c r="X348" s="36">
        <f t="shared" si="117"/>
        <v>4.2553191489361701E-2</v>
      </c>
      <c r="Y348" s="17">
        <v>146</v>
      </c>
      <c r="Z348" s="36">
        <f t="shared" si="107"/>
        <v>0.73</v>
      </c>
      <c r="AA348" s="17">
        <v>33</v>
      </c>
      <c r="AB348" s="36">
        <f t="shared" si="118"/>
        <v>0.7021276595744681</v>
      </c>
      <c r="AC348" s="17">
        <v>28</v>
      </c>
      <c r="AD348" s="36">
        <f t="shared" si="108"/>
        <v>0.14000000000000001</v>
      </c>
      <c r="AE348" s="17">
        <v>6</v>
      </c>
      <c r="AF348" s="36">
        <f t="shared" si="119"/>
        <v>0.1276595744680851</v>
      </c>
      <c r="AG348" s="17">
        <v>15</v>
      </c>
      <c r="AH348" s="36">
        <f t="shared" si="109"/>
        <v>7.4999999999999997E-2</v>
      </c>
      <c r="AI348" s="17">
        <v>4</v>
      </c>
      <c r="AJ348" s="36">
        <f t="shared" si="120"/>
        <v>8.5106382978723402E-2</v>
      </c>
      <c r="AK348" s="17">
        <v>4</v>
      </c>
      <c r="AL348" s="36">
        <f t="shared" si="110"/>
        <v>0.02</v>
      </c>
      <c r="AM348" s="17">
        <v>1</v>
      </c>
      <c r="AN348" s="36">
        <f t="shared" si="121"/>
        <v>2.1276595744680851E-2</v>
      </c>
      <c r="AO348" s="17">
        <v>200</v>
      </c>
      <c r="AP348" s="17">
        <v>47</v>
      </c>
    </row>
    <row r="349" spans="1:42" ht="15.75" customHeight="1" x14ac:dyDescent="0.25">
      <c r="A349" s="37">
        <v>2022</v>
      </c>
      <c r="B349" s="35">
        <v>171240</v>
      </c>
      <c r="C349" s="33" t="str">
        <f>VLOOKUP(B349,procv!$A$2:$D$142,4,FALSE)</f>
        <v>Capim Dourado</v>
      </c>
      <c r="D349" s="33" t="s">
        <v>74</v>
      </c>
      <c r="E349" s="17">
        <v>8</v>
      </c>
      <c r="F349" s="36">
        <f t="shared" si="111"/>
        <v>3.6036036036036036E-2</v>
      </c>
      <c r="G349" s="17">
        <v>4</v>
      </c>
      <c r="H349" s="36">
        <f t="shared" si="112"/>
        <v>3.0769230769230771E-2</v>
      </c>
      <c r="I349" s="17">
        <v>17</v>
      </c>
      <c r="J349" s="36">
        <f t="shared" si="113"/>
        <v>7.6576576576576572E-2</v>
      </c>
      <c r="K349" s="17">
        <v>11</v>
      </c>
      <c r="L349" s="36">
        <f t="shared" si="114"/>
        <v>8.461538461538462E-2</v>
      </c>
      <c r="M349" s="17">
        <v>197</v>
      </c>
      <c r="N349" s="36">
        <f t="shared" si="104"/>
        <v>0.88738738738738743</v>
      </c>
      <c r="O349" s="17">
        <v>115</v>
      </c>
      <c r="P349" s="36">
        <f t="shared" si="115"/>
        <v>0.88461538461538458</v>
      </c>
      <c r="Q349" s="17">
        <v>5</v>
      </c>
      <c r="R349" s="36">
        <f t="shared" si="105"/>
        <v>2.2522522522522521E-2</v>
      </c>
      <c r="S349" s="17">
        <v>4</v>
      </c>
      <c r="T349" s="36">
        <f t="shared" si="116"/>
        <v>3.0769230769230771E-2</v>
      </c>
      <c r="U349" s="17">
        <v>11</v>
      </c>
      <c r="V349" s="36">
        <f t="shared" si="106"/>
        <v>4.954954954954955E-2</v>
      </c>
      <c r="W349" s="17">
        <v>6</v>
      </c>
      <c r="X349" s="36">
        <f t="shared" si="117"/>
        <v>4.6153846153846156E-2</v>
      </c>
      <c r="Y349" s="17">
        <v>162</v>
      </c>
      <c r="Z349" s="36">
        <f t="shared" si="107"/>
        <v>0.72972972972972971</v>
      </c>
      <c r="AA349" s="17">
        <v>87</v>
      </c>
      <c r="AB349" s="36">
        <f t="shared" si="118"/>
        <v>0.66923076923076918</v>
      </c>
      <c r="AC349" s="17">
        <v>28</v>
      </c>
      <c r="AD349" s="36">
        <f t="shared" si="108"/>
        <v>0.12612612612612611</v>
      </c>
      <c r="AE349" s="17">
        <v>20</v>
      </c>
      <c r="AF349" s="36">
        <f t="shared" si="119"/>
        <v>0.15384615384615385</v>
      </c>
      <c r="AG349" s="17">
        <v>14</v>
      </c>
      <c r="AH349" s="36">
        <f t="shared" si="109"/>
        <v>6.3063063063063057E-2</v>
      </c>
      <c r="AI349" s="17">
        <v>12</v>
      </c>
      <c r="AJ349" s="36">
        <f t="shared" si="120"/>
        <v>9.2307692307692313E-2</v>
      </c>
      <c r="AK349" s="17">
        <v>2</v>
      </c>
      <c r="AL349" s="36">
        <f t="shared" si="110"/>
        <v>9.0090090090090089E-3</v>
      </c>
      <c r="AM349" s="17">
        <v>1</v>
      </c>
      <c r="AN349" s="36">
        <f t="shared" si="121"/>
        <v>7.6923076923076927E-3</v>
      </c>
      <c r="AO349" s="17">
        <v>222</v>
      </c>
      <c r="AP349" s="17">
        <v>130</v>
      </c>
    </row>
    <row r="350" spans="1:42" ht="15.75" customHeight="1" x14ac:dyDescent="0.25">
      <c r="A350" s="37">
        <v>2022</v>
      </c>
      <c r="B350" s="35">
        <v>171245</v>
      </c>
      <c r="C350" s="33" t="str">
        <f>VLOOKUP(B350,procv!$A$2:$D$142,4,FALSE)</f>
        <v>Bico do Papagaio</v>
      </c>
      <c r="D350" s="33" t="s">
        <v>75</v>
      </c>
      <c r="E350" s="17">
        <v>5</v>
      </c>
      <c r="F350" s="36">
        <f t="shared" si="111"/>
        <v>1.3927576601671309E-2</v>
      </c>
      <c r="G350" s="17">
        <v>0</v>
      </c>
      <c r="H350" s="36">
        <f t="shared" si="112"/>
        <v>0</v>
      </c>
      <c r="I350" s="17">
        <v>30</v>
      </c>
      <c r="J350" s="36">
        <f t="shared" si="113"/>
        <v>8.3565459610027856E-2</v>
      </c>
      <c r="K350" s="17">
        <v>10</v>
      </c>
      <c r="L350" s="36">
        <f t="shared" si="114"/>
        <v>0.12345679012345678</v>
      </c>
      <c r="M350" s="17">
        <v>324</v>
      </c>
      <c r="N350" s="36">
        <f t="shared" si="104"/>
        <v>0.90250696378830086</v>
      </c>
      <c r="O350" s="17">
        <v>71</v>
      </c>
      <c r="P350" s="36">
        <f t="shared" si="115"/>
        <v>0.87654320987654322</v>
      </c>
      <c r="Q350" s="17">
        <v>4</v>
      </c>
      <c r="R350" s="36">
        <f t="shared" si="105"/>
        <v>1.1142061281337047E-2</v>
      </c>
      <c r="S350" s="17">
        <v>1</v>
      </c>
      <c r="T350" s="36">
        <f t="shared" si="116"/>
        <v>1.2345679012345678E-2</v>
      </c>
      <c r="U350" s="17">
        <v>12</v>
      </c>
      <c r="V350" s="36">
        <f t="shared" si="106"/>
        <v>3.3426183844011144E-2</v>
      </c>
      <c r="W350" s="17">
        <v>1</v>
      </c>
      <c r="X350" s="36">
        <f t="shared" si="117"/>
        <v>1.2345679012345678E-2</v>
      </c>
      <c r="Y350" s="17">
        <v>248</v>
      </c>
      <c r="Z350" s="36">
        <f t="shared" si="107"/>
        <v>0.69080779944289694</v>
      </c>
      <c r="AA350" s="17">
        <v>57</v>
      </c>
      <c r="AB350" s="36">
        <f t="shared" si="118"/>
        <v>0.70370370370370372</v>
      </c>
      <c r="AC350" s="17">
        <v>67</v>
      </c>
      <c r="AD350" s="36">
        <f t="shared" si="108"/>
        <v>0.18662952646239556</v>
      </c>
      <c r="AE350" s="17">
        <v>17</v>
      </c>
      <c r="AF350" s="36">
        <f t="shared" si="119"/>
        <v>0.20987654320987653</v>
      </c>
      <c r="AG350" s="17">
        <v>24</v>
      </c>
      <c r="AH350" s="36">
        <f t="shared" si="109"/>
        <v>6.6852367688022288E-2</v>
      </c>
      <c r="AI350" s="17">
        <v>4</v>
      </c>
      <c r="AJ350" s="36">
        <f t="shared" si="120"/>
        <v>4.9382716049382713E-2</v>
      </c>
      <c r="AK350" s="17">
        <v>4</v>
      </c>
      <c r="AL350" s="36">
        <f t="shared" si="110"/>
        <v>1.1142061281337047E-2</v>
      </c>
      <c r="AM350" s="17">
        <v>1</v>
      </c>
      <c r="AN350" s="36">
        <f t="shared" si="121"/>
        <v>1.2345679012345678E-2</v>
      </c>
      <c r="AO350" s="17">
        <v>359</v>
      </c>
      <c r="AP350" s="17">
        <v>81</v>
      </c>
    </row>
    <row r="351" spans="1:42" ht="15.75" customHeight="1" x14ac:dyDescent="0.25">
      <c r="A351" s="37">
        <v>2022</v>
      </c>
      <c r="B351" s="35">
        <v>171250</v>
      </c>
      <c r="C351" s="33" t="str">
        <f>VLOOKUP(B351,procv!$A$2:$D$142,4,FALSE)</f>
        <v>Cantão</v>
      </c>
      <c r="D351" s="33" t="s">
        <v>76</v>
      </c>
      <c r="E351" s="17">
        <v>6</v>
      </c>
      <c r="F351" s="36">
        <f t="shared" si="111"/>
        <v>1.1472275334608031E-2</v>
      </c>
      <c r="G351" s="17">
        <v>2</v>
      </c>
      <c r="H351" s="36">
        <f t="shared" si="112"/>
        <v>1.7391304347826087E-2</v>
      </c>
      <c r="I351" s="17">
        <v>21</v>
      </c>
      <c r="J351" s="36">
        <f t="shared" si="113"/>
        <v>4.0152963671128104E-2</v>
      </c>
      <c r="K351" s="17">
        <v>4</v>
      </c>
      <c r="L351" s="36">
        <f t="shared" si="114"/>
        <v>3.4782608695652174E-2</v>
      </c>
      <c r="M351" s="17">
        <v>496</v>
      </c>
      <c r="N351" s="36">
        <f t="shared" si="104"/>
        <v>0.94837476099426388</v>
      </c>
      <c r="O351" s="17">
        <v>109</v>
      </c>
      <c r="P351" s="36">
        <f t="shared" si="115"/>
        <v>0.94782608695652171</v>
      </c>
      <c r="Q351" s="17">
        <v>5</v>
      </c>
      <c r="R351" s="36">
        <f t="shared" si="105"/>
        <v>9.5602294455066923E-3</v>
      </c>
      <c r="S351" s="17">
        <v>2</v>
      </c>
      <c r="T351" s="36">
        <f t="shared" si="116"/>
        <v>1.7391304347826087E-2</v>
      </c>
      <c r="U351" s="17">
        <v>14</v>
      </c>
      <c r="V351" s="36">
        <f t="shared" si="106"/>
        <v>2.676864244741874E-2</v>
      </c>
      <c r="W351" s="17">
        <v>3</v>
      </c>
      <c r="X351" s="36">
        <f t="shared" si="117"/>
        <v>2.6086956521739129E-2</v>
      </c>
      <c r="Y351" s="17">
        <v>354</v>
      </c>
      <c r="Z351" s="36">
        <f t="shared" si="107"/>
        <v>0.67686424474187379</v>
      </c>
      <c r="AA351" s="17">
        <v>72</v>
      </c>
      <c r="AB351" s="36">
        <f t="shared" si="118"/>
        <v>0.62608695652173918</v>
      </c>
      <c r="AC351" s="17">
        <v>84</v>
      </c>
      <c r="AD351" s="36">
        <f t="shared" si="108"/>
        <v>0.16061185468451242</v>
      </c>
      <c r="AE351" s="17">
        <v>25</v>
      </c>
      <c r="AF351" s="36">
        <f t="shared" si="119"/>
        <v>0.21739130434782608</v>
      </c>
      <c r="AG351" s="17">
        <v>56</v>
      </c>
      <c r="AH351" s="36">
        <f t="shared" si="109"/>
        <v>0.10707456978967496</v>
      </c>
      <c r="AI351" s="17">
        <v>10</v>
      </c>
      <c r="AJ351" s="36">
        <f t="shared" si="120"/>
        <v>8.6956521739130432E-2</v>
      </c>
      <c r="AK351" s="17">
        <v>10</v>
      </c>
      <c r="AL351" s="36">
        <f t="shared" si="110"/>
        <v>1.9120458891013385E-2</v>
      </c>
      <c r="AM351" s="17">
        <v>3</v>
      </c>
      <c r="AN351" s="36">
        <f t="shared" si="121"/>
        <v>2.6086956521739129E-2</v>
      </c>
      <c r="AO351" s="17">
        <v>523</v>
      </c>
      <c r="AP351" s="17">
        <v>115</v>
      </c>
    </row>
    <row r="352" spans="1:42" ht="15.75" customHeight="1" x14ac:dyDescent="0.25">
      <c r="A352" s="37">
        <v>2022</v>
      </c>
      <c r="B352" s="35">
        <v>171270</v>
      </c>
      <c r="C352" s="33" t="str">
        <f>VLOOKUP(B352,procv!$A$2:$D$142,4,FALSE)</f>
        <v>Amor Perfeito</v>
      </c>
      <c r="D352" s="33" t="s">
        <v>77</v>
      </c>
      <c r="E352" s="17">
        <v>7</v>
      </c>
      <c r="F352" s="36">
        <f t="shared" si="111"/>
        <v>2.0588235294117647E-2</v>
      </c>
      <c r="G352" s="17">
        <v>5</v>
      </c>
      <c r="H352" s="36">
        <f t="shared" si="112"/>
        <v>4.3859649122807015E-2</v>
      </c>
      <c r="I352" s="17">
        <v>20</v>
      </c>
      <c r="J352" s="36">
        <f t="shared" si="113"/>
        <v>5.8823529411764705E-2</v>
      </c>
      <c r="K352" s="17">
        <v>6</v>
      </c>
      <c r="L352" s="36">
        <f t="shared" si="114"/>
        <v>5.2631578947368418E-2</v>
      </c>
      <c r="M352" s="17">
        <v>313</v>
      </c>
      <c r="N352" s="36">
        <f t="shared" si="104"/>
        <v>0.9205882352941176</v>
      </c>
      <c r="O352" s="17">
        <v>103</v>
      </c>
      <c r="P352" s="36">
        <f t="shared" si="115"/>
        <v>0.90350877192982459</v>
      </c>
      <c r="Q352" s="17">
        <v>6</v>
      </c>
      <c r="R352" s="36">
        <f t="shared" si="105"/>
        <v>1.7647058823529412E-2</v>
      </c>
      <c r="S352" s="17">
        <v>2</v>
      </c>
      <c r="T352" s="36">
        <f t="shared" si="116"/>
        <v>1.7543859649122806E-2</v>
      </c>
      <c r="U352" s="17">
        <v>7</v>
      </c>
      <c r="V352" s="36">
        <f t="shared" si="106"/>
        <v>2.0588235294117647E-2</v>
      </c>
      <c r="W352" s="17">
        <v>5</v>
      </c>
      <c r="X352" s="36">
        <f t="shared" si="117"/>
        <v>4.3859649122807015E-2</v>
      </c>
      <c r="Y352" s="17">
        <v>248</v>
      </c>
      <c r="Z352" s="36">
        <f t="shared" si="107"/>
        <v>0.72941176470588232</v>
      </c>
      <c r="AA352" s="17">
        <v>80</v>
      </c>
      <c r="AB352" s="36">
        <f t="shared" si="118"/>
        <v>0.70175438596491224</v>
      </c>
      <c r="AC352" s="17">
        <v>49</v>
      </c>
      <c r="AD352" s="36">
        <f t="shared" si="108"/>
        <v>0.14411764705882352</v>
      </c>
      <c r="AE352" s="17">
        <v>15</v>
      </c>
      <c r="AF352" s="36">
        <f t="shared" si="119"/>
        <v>0.13157894736842105</v>
      </c>
      <c r="AG352" s="17">
        <v>29</v>
      </c>
      <c r="AH352" s="36">
        <f t="shared" si="109"/>
        <v>8.5294117647058826E-2</v>
      </c>
      <c r="AI352" s="17">
        <v>11</v>
      </c>
      <c r="AJ352" s="36">
        <f t="shared" si="120"/>
        <v>9.6491228070175433E-2</v>
      </c>
      <c r="AK352" s="17">
        <v>1</v>
      </c>
      <c r="AL352" s="36">
        <f t="shared" si="110"/>
        <v>2.9411764705882353E-3</v>
      </c>
      <c r="AM352" s="17">
        <v>1</v>
      </c>
      <c r="AN352" s="36">
        <f t="shared" si="121"/>
        <v>8.771929824561403E-3</v>
      </c>
      <c r="AO352" s="17">
        <v>340</v>
      </c>
      <c r="AP352" s="17">
        <v>114</v>
      </c>
    </row>
    <row r="353" spans="1:42" ht="15.75" customHeight="1" x14ac:dyDescent="0.25">
      <c r="A353" s="37">
        <v>2022</v>
      </c>
      <c r="B353" s="35">
        <v>171280</v>
      </c>
      <c r="C353" s="33" t="str">
        <f>VLOOKUP(B353,procv!$A$2:$D$142,4,FALSE)</f>
        <v>Bico do Papagaio</v>
      </c>
      <c r="D353" s="33" t="s">
        <v>78</v>
      </c>
      <c r="E353" s="17">
        <v>4</v>
      </c>
      <c r="F353" s="36">
        <f t="shared" si="111"/>
        <v>1.1461318051575931E-2</v>
      </c>
      <c r="G353" s="17">
        <v>4</v>
      </c>
      <c r="H353" s="36">
        <f t="shared" si="112"/>
        <v>4.2105263157894736E-2</v>
      </c>
      <c r="I353" s="17">
        <v>20</v>
      </c>
      <c r="J353" s="36">
        <f t="shared" si="113"/>
        <v>5.730659025787966E-2</v>
      </c>
      <c r="K353" s="17">
        <v>4</v>
      </c>
      <c r="L353" s="36">
        <f t="shared" si="114"/>
        <v>4.2105263157894736E-2</v>
      </c>
      <c r="M353" s="17">
        <v>325</v>
      </c>
      <c r="N353" s="36">
        <f t="shared" si="104"/>
        <v>0.93123209169054444</v>
      </c>
      <c r="O353" s="17">
        <v>87</v>
      </c>
      <c r="P353" s="36">
        <f t="shared" si="115"/>
        <v>0.91578947368421049</v>
      </c>
      <c r="Q353" s="17">
        <v>6</v>
      </c>
      <c r="R353" s="36">
        <f t="shared" si="105"/>
        <v>1.7191977077363897E-2</v>
      </c>
      <c r="S353" s="17">
        <v>2</v>
      </c>
      <c r="T353" s="36">
        <f t="shared" si="116"/>
        <v>2.1052631578947368E-2</v>
      </c>
      <c r="U353" s="17">
        <v>15</v>
      </c>
      <c r="V353" s="36">
        <f t="shared" si="106"/>
        <v>4.2979942693409739E-2</v>
      </c>
      <c r="W353" s="17">
        <v>4</v>
      </c>
      <c r="X353" s="36">
        <f t="shared" si="117"/>
        <v>4.2105263157894736E-2</v>
      </c>
      <c r="Y353" s="17">
        <v>265</v>
      </c>
      <c r="Z353" s="36">
        <f t="shared" si="107"/>
        <v>0.75931232091690548</v>
      </c>
      <c r="AA353" s="17">
        <v>66</v>
      </c>
      <c r="AB353" s="36">
        <f t="shared" si="118"/>
        <v>0.69473684210526321</v>
      </c>
      <c r="AC353" s="17">
        <v>47</v>
      </c>
      <c r="AD353" s="36">
        <f t="shared" si="108"/>
        <v>0.1346704871060172</v>
      </c>
      <c r="AE353" s="17">
        <v>15</v>
      </c>
      <c r="AF353" s="36">
        <f t="shared" si="119"/>
        <v>0.15789473684210525</v>
      </c>
      <c r="AG353" s="17">
        <v>14</v>
      </c>
      <c r="AH353" s="36">
        <f t="shared" si="109"/>
        <v>4.0114613180515762E-2</v>
      </c>
      <c r="AI353" s="17">
        <v>7</v>
      </c>
      <c r="AJ353" s="36">
        <f t="shared" si="120"/>
        <v>7.3684210526315783E-2</v>
      </c>
      <c r="AK353" s="17">
        <v>2</v>
      </c>
      <c r="AL353" s="36">
        <f t="shared" si="110"/>
        <v>5.7306590257879654E-3</v>
      </c>
      <c r="AM353" s="17">
        <v>1</v>
      </c>
      <c r="AN353" s="36">
        <f t="shared" si="121"/>
        <v>1.0526315789473684E-2</v>
      </c>
      <c r="AO353" s="17">
        <v>349</v>
      </c>
      <c r="AP353" s="17">
        <v>95</v>
      </c>
    </row>
    <row r="354" spans="1:42" ht="15.75" customHeight="1" x14ac:dyDescent="0.25">
      <c r="A354" s="37">
        <v>2022</v>
      </c>
      <c r="B354" s="35">
        <v>171320</v>
      </c>
      <c r="C354" s="33" t="str">
        <f>VLOOKUP(B354,procv!$A$2:$D$142,4,FALSE)</f>
        <v>Capim Dourado</v>
      </c>
      <c r="D354" s="33" t="s">
        <v>79</v>
      </c>
      <c r="E354" s="17">
        <v>23</v>
      </c>
      <c r="F354" s="36">
        <f t="shared" si="111"/>
        <v>1.7087667161961365E-2</v>
      </c>
      <c r="G354" s="17">
        <v>7</v>
      </c>
      <c r="H354" s="36">
        <f t="shared" si="112"/>
        <v>1.9607843137254902E-2</v>
      </c>
      <c r="I354" s="17">
        <v>62</v>
      </c>
      <c r="J354" s="36">
        <f t="shared" si="113"/>
        <v>4.6062407132243688E-2</v>
      </c>
      <c r="K354" s="17">
        <v>22</v>
      </c>
      <c r="L354" s="36">
        <f t="shared" si="114"/>
        <v>6.1624649859943981E-2</v>
      </c>
      <c r="M354" s="16">
        <v>1261</v>
      </c>
      <c r="N354" s="36">
        <f t="shared" si="104"/>
        <v>0.93684992570579495</v>
      </c>
      <c r="O354" s="17">
        <v>328</v>
      </c>
      <c r="P354" s="36">
        <f t="shared" si="115"/>
        <v>0.91876750700280108</v>
      </c>
      <c r="Q354" s="17">
        <v>13</v>
      </c>
      <c r="R354" s="36">
        <f t="shared" si="105"/>
        <v>9.658246656760773E-3</v>
      </c>
      <c r="S354" s="17">
        <v>3</v>
      </c>
      <c r="T354" s="36">
        <f t="shared" si="116"/>
        <v>8.4033613445378148E-3</v>
      </c>
      <c r="U354" s="17">
        <v>60</v>
      </c>
      <c r="V354" s="36">
        <f t="shared" si="106"/>
        <v>4.4576523031203567E-2</v>
      </c>
      <c r="W354" s="17">
        <v>16</v>
      </c>
      <c r="X354" s="36">
        <f t="shared" si="117"/>
        <v>4.4817927170868348E-2</v>
      </c>
      <c r="Y354" s="17">
        <v>956</v>
      </c>
      <c r="Z354" s="36">
        <f t="shared" si="107"/>
        <v>0.71025260029717685</v>
      </c>
      <c r="AA354" s="17">
        <v>276</v>
      </c>
      <c r="AB354" s="36">
        <f t="shared" si="118"/>
        <v>0.77310924369747902</v>
      </c>
      <c r="AC354" s="17">
        <v>210</v>
      </c>
      <c r="AD354" s="36">
        <f t="shared" si="108"/>
        <v>0.15601783060921248</v>
      </c>
      <c r="AE354" s="17">
        <v>46</v>
      </c>
      <c r="AF354" s="36">
        <f t="shared" si="119"/>
        <v>0.12885154061624648</v>
      </c>
      <c r="AG354" s="17">
        <v>84</v>
      </c>
      <c r="AH354" s="36">
        <f t="shared" si="109"/>
        <v>6.2407132243684993E-2</v>
      </c>
      <c r="AI354" s="17">
        <v>13</v>
      </c>
      <c r="AJ354" s="36">
        <f t="shared" si="120"/>
        <v>3.6414565826330535E-2</v>
      </c>
      <c r="AK354" s="17">
        <v>23</v>
      </c>
      <c r="AL354" s="36">
        <f t="shared" si="110"/>
        <v>1.7087667161961365E-2</v>
      </c>
      <c r="AM354" s="17">
        <v>3</v>
      </c>
      <c r="AN354" s="36">
        <f t="shared" si="121"/>
        <v>8.4033613445378148E-3</v>
      </c>
      <c r="AO354" s="16">
        <v>1346</v>
      </c>
      <c r="AP354" s="17">
        <v>357</v>
      </c>
    </row>
    <row r="355" spans="1:42" ht="15.75" customHeight="1" x14ac:dyDescent="0.25">
      <c r="A355" s="37">
        <v>2022</v>
      </c>
      <c r="B355" s="35">
        <v>171330</v>
      </c>
      <c r="C355" s="33" t="str">
        <f>VLOOKUP(B355,procv!$A$2:$D$142,4,FALSE)</f>
        <v>Capim Dourado</v>
      </c>
      <c r="D355" s="33" t="s">
        <v>80</v>
      </c>
      <c r="E355" s="17">
        <v>10</v>
      </c>
      <c r="F355" s="36">
        <f t="shared" si="111"/>
        <v>1.221001221001221E-2</v>
      </c>
      <c r="G355" s="17">
        <v>6</v>
      </c>
      <c r="H355" s="36">
        <f t="shared" si="112"/>
        <v>2.7397260273972601E-2</v>
      </c>
      <c r="I355" s="17">
        <v>32</v>
      </c>
      <c r="J355" s="36">
        <f t="shared" si="113"/>
        <v>3.9072039072039072E-2</v>
      </c>
      <c r="K355" s="17">
        <v>11</v>
      </c>
      <c r="L355" s="36">
        <f t="shared" si="114"/>
        <v>5.0228310502283102E-2</v>
      </c>
      <c r="M355" s="17">
        <v>777</v>
      </c>
      <c r="N355" s="36">
        <f t="shared" si="104"/>
        <v>0.94871794871794868</v>
      </c>
      <c r="O355" s="17">
        <v>202</v>
      </c>
      <c r="P355" s="36">
        <f t="shared" si="115"/>
        <v>0.92237442922374424</v>
      </c>
      <c r="Q355" s="17">
        <v>6</v>
      </c>
      <c r="R355" s="36">
        <f t="shared" si="105"/>
        <v>7.326007326007326E-3</v>
      </c>
      <c r="S355" s="17">
        <v>1</v>
      </c>
      <c r="T355" s="36">
        <f t="shared" si="116"/>
        <v>4.5662100456621002E-3</v>
      </c>
      <c r="U355" s="17">
        <v>24</v>
      </c>
      <c r="V355" s="36">
        <f t="shared" si="106"/>
        <v>2.9304029304029304E-2</v>
      </c>
      <c r="W355" s="17">
        <v>11</v>
      </c>
      <c r="X355" s="36">
        <f t="shared" si="117"/>
        <v>5.0228310502283102E-2</v>
      </c>
      <c r="Y355" s="17">
        <v>563</v>
      </c>
      <c r="Z355" s="36">
        <f t="shared" si="107"/>
        <v>0.68742368742368742</v>
      </c>
      <c r="AA355" s="17">
        <v>144</v>
      </c>
      <c r="AB355" s="36">
        <f t="shared" si="118"/>
        <v>0.65753424657534243</v>
      </c>
      <c r="AC355" s="17">
        <v>137</v>
      </c>
      <c r="AD355" s="36">
        <f t="shared" si="108"/>
        <v>0.16727716727716727</v>
      </c>
      <c r="AE355" s="17">
        <v>47</v>
      </c>
      <c r="AF355" s="36">
        <f t="shared" si="119"/>
        <v>0.21461187214611871</v>
      </c>
      <c r="AG355" s="17">
        <v>78</v>
      </c>
      <c r="AH355" s="36">
        <f t="shared" si="109"/>
        <v>9.5238095238095233E-2</v>
      </c>
      <c r="AI355" s="17">
        <v>10</v>
      </c>
      <c r="AJ355" s="36">
        <f t="shared" si="120"/>
        <v>4.5662100456621002E-2</v>
      </c>
      <c r="AK355" s="17">
        <v>11</v>
      </c>
      <c r="AL355" s="36">
        <f t="shared" si="110"/>
        <v>1.3431013431013432E-2</v>
      </c>
      <c r="AM355" s="17">
        <v>6</v>
      </c>
      <c r="AN355" s="36">
        <f t="shared" si="121"/>
        <v>2.7397260273972601E-2</v>
      </c>
      <c r="AO355" s="17">
        <v>819</v>
      </c>
      <c r="AP355" s="17">
        <v>219</v>
      </c>
    </row>
    <row r="356" spans="1:42" ht="15.75" customHeight="1" x14ac:dyDescent="0.25">
      <c r="A356" s="37">
        <v>2022</v>
      </c>
      <c r="B356" s="35">
        <v>171360</v>
      </c>
      <c r="C356" s="33" t="str">
        <f>VLOOKUP(B356,procv!$A$2:$D$142,4,FALSE)</f>
        <v>Amor Perfeito</v>
      </c>
      <c r="D356" s="33" t="s">
        <v>81</v>
      </c>
      <c r="E356" s="17">
        <v>6</v>
      </c>
      <c r="F356" s="36">
        <f t="shared" si="111"/>
        <v>1.1787819253438114E-2</v>
      </c>
      <c r="G356" s="17">
        <v>3</v>
      </c>
      <c r="H356" s="36">
        <f t="shared" si="112"/>
        <v>2.1276595744680851E-2</v>
      </c>
      <c r="I356" s="17">
        <v>12</v>
      </c>
      <c r="J356" s="36">
        <f t="shared" si="113"/>
        <v>2.3575638506876228E-2</v>
      </c>
      <c r="K356" s="17">
        <v>2</v>
      </c>
      <c r="L356" s="36">
        <f t="shared" si="114"/>
        <v>1.4184397163120567E-2</v>
      </c>
      <c r="M356" s="17">
        <v>491</v>
      </c>
      <c r="N356" s="36">
        <f t="shared" si="104"/>
        <v>0.96463654223968565</v>
      </c>
      <c r="O356" s="17">
        <v>136</v>
      </c>
      <c r="P356" s="36">
        <f t="shared" si="115"/>
        <v>0.96453900709219853</v>
      </c>
      <c r="Q356" s="17">
        <v>1</v>
      </c>
      <c r="R356" s="36">
        <f t="shared" si="105"/>
        <v>1.9646365422396855E-3</v>
      </c>
      <c r="S356" s="17">
        <v>1</v>
      </c>
      <c r="T356" s="36">
        <f t="shared" si="116"/>
        <v>7.0921985815602835E-3</v>
      </c>
      <c r="U356" s="17">
        <v>24</v>
      </c>
      <c r="V356" s="36">
        <f t="shared" si="106"/>
        <v>4.7151277013752456E-2</v>
      </c>
      <c r="W356" s="17">
        <v>10</v>
      </c>
      <c r="X356" s="36">
        <f t="shared" si="117"/>
        <v>7.0921985815602842E-2</v>
      </c>
      <c r="Y356" s="17">
        <v>361</v>
      </c>
      <c r="Z356" s="36">
        <f t="shared" si="107"/>
        <v>0.70923379174852652</v>
      </c>
      <c r="AA356" s="17">
        <v>102</v>
      </c>
      <c r="AB356" s="36">
        <f t="shared" si="118"/>
        <v>0.72340425531914898</v>
      </c>
      <c r="AC356" s="17">
        <v>73</v>
      </c>
      <c r="AD356" s="36">
        <f t="shared" si="108"/>
        <v>0.14341846758349705</v>
      </c>
      <c r="AE356" s="17">
        <v>15</v>
      </c>
      <c r="AF356" s="36">
        <f t="shared" si="119"/>
        <v>0.10638297872340426</v>
      </c>
      <c r="AG356" s="17">
        <v>37</v>
      </c>
      <c r="AH356" s="36">
        <f t="shared" si="109"/>
        <v>7.269155206286837E-2</v>
      </c>
      <c r="AI356" s="17">
        <v>9</v>
      </c>
      <c r="AJ356" s="36">
        <f t="shared" si="120"/>
        <v>6.3829787234042548E-2</v>
      </c>
      <c r="AK356" s="17">
        <v>13</v>
      </c>
      <c r="AL356" s="36">
        <f t="shared" si="110"/>
        <v>2.5540275049115914E-2</v>
      </c>
      <c r="AM356" s="17">
        <v>4</v>
      </c>
      <c r="AN356" s="36">
        <f t="shared" si="121"/>
        <v>2.8368794326241134E-2</v>
      </c>
      <c r="AO356" s="17">
        <v>509</v>
      </c>
      <c r="AP356" s="17">
        <v>141</v>
      </c>
    </row>
    <row r="357" spans="1:42" ht="15.75" customHeight="1" x14ac:dyDescent="0.25">
      <c r="A357" s="37">
        <v>2022</v>
      </c>
      <c r="B357" s="35">
        <v>171370</v>
      </c>
      <c r="C357" s="33" t="str">
        <f>VLOOKUP(B357,procv!$A$2:$D$142,4,FALSE)</f>
        <v>Cantão</v>
      </c>
      <c r="D357" s="33" t="s">
        <v>82</v>
      </c>
      <c r="E357" s="17">
        <v>1</v>
      </c>
      <c r="F357" s="36">
        <f t="shared" si="111"/>
        <v>4.5662100456621002E-3</v>
      </c>
      <c r="G357" s="17">
        <v>0</v>
      </c>
      <c r="H357" s="36">
        <f t="shared" si="112"/>
        <v>0</v>
      </c>
      <c r="I357" s="17">
        <v>4</v>
      </c>
      <c r="J357" s="36">
        <f t="shared" si="113"/>
        <v>1.8264840182648401E-2</v>
      </c>
      <c r="K357" s="17">
        <v>0</v>
      </c>
      <c r="L357" s="36">
        <f t="shared" si="114"/>
        <v>0</v>
      </c>
      <c r="M357" s="17">
        <v>214</v>
      </c>
      <c r="N357" s="36">
        <f t="shared" si="104"/>
        <v>0.97716894977168944</v>
      </c>
      <c r="O357" s="17">
        <v>11</v>
      </c>
      <c r="P357" s="36">
        <f t="shared" si="115"/>
        <v>1</v>
      </c>
      <c r="Q357" s="17">
        <v>0</v>
      </c>
      <c r="R357" s="36">
        <f t="shared" si="105"/>
        <v>0</v>
      </c>
      <c r="S357" s="17">
        <v>0</v>
      </c>
      <c r="T357" s="36">
        <f t="shared" si="116"/>
        <v>0</v>
      </c>
      <c r="U357" s="17">
        <v>7</v>
      </c>
      <c r="V357" s="36">
        <f t="shared" si="106"/>
        <v>3.1963470319634701E-2</v>
      </c>
      <c r="W357" s="17">
        <v>0</v>
      </c>
      <c r="X357" s="36">
        <f t="shared" si="117"/>
        <v>0</v>
      </c>
      <c r="Y357" s="17">
        <v>159</v>
      </c>
      <c r="Z357" s="36">
        <f t="shared" si="107"/>
        <v>0.72602739726027399</v>
      </c>
      <c r="AA357" s="17">
        <v>9</v>
      </c>
      <c r="AB357" s="36">
        <f t="shared" si="118"/>
        <v>0.81818181818181823</v>
      </c>
      <c r="AC357" s="17">
        <v>30</v>
      </c>
      <c r="AD357" s="36">
        <f t="shared" si="108"/>
        <v>0.13698630136986301</v>
      </c>
      <c r="AE357" s="17">
        <v>2</v>
      </c>
      <c r="AF357" s="36">
        <f t="shared" si="119"/>
        <v>0.18181818181818182</v>
      </c>
      <c r="AG357" s="17">
        <v>20</v>
      </c>
      <c r="AH357" s="36">
        <f t="shared" si="109"/>
        <v>9.1324200913242004E-2</v>
      </c>
      <c r="AI357" s="17">
        <v>0</v>
      </c>
      <c r="AJ357" s="36">
        <f t="shared" si="120"/>
        <v>0</v>
      </c>
      <c r="AK357" s="17">
        <v>3</v>
      </c>
      <c r="AL357" s="36">
        <f t="shared" si="110"/>
        <v>1.3698630136986301E-2</v>
      </c>
      <c r="AM357" s="17">
        <v>0</v>
      </c>
      <c r="AN357" s="36">
        <f t="shared" si="121"/>
        <v>0</v>
      </c>
      <c r="AO357" s="17">
        <v>219</v>
      </c>
      <c r="AP357" s="17">
        <v>11</v>
      </c>
    </row>
    <row r="358" spans="1:42" ht="15.75" customHeight="1" x14ac:dyDescent="0.25">
      <c r="A358" s="37">
        <v>2022</v>
      </c>
      <c r="B358" s="35">
        <v>171395</v>
      </c>
      <c r="C358" s="33" t="str">
        <f>VLOOKUP(B358,procv!$A$2:$D$142,4,FALSE)</f>
        <v>Médio Norte Araguaia</v>
      </c>
      <c r="D358" s="33" t="s">
        <v>83</v>
      </c>
      <c r="E358" s="17">
        <v>7</v>
      </c>
      <c r="F358" s="36">
        <f t="shared" si="111"/>
        <v>1.4957264957264958E-2</v>
      </c>
      <c r="G358" s="17">
        <v>3</v>
      </c>
      <c r="H358" s="36">
        <f t="shared" si="112"/>
        <v>3.6585365853658534E-2</v>
      </c>
      <c r="I358" s="17">
        <v>20</v>
      </c>
      <c r="J358" s="36">
        <f t="shared" si="113"/>
        <v>4.2735042735042736E-2</v>
      </c>
      <c r="K358" s="17">
        <v>3</v>
      </c>
      <c r="L358" s="36">
        <f t="shared" si="114"/>
        <v>3.6585365853658534E-2</v>
      </c>
      <c r="M358" s="17">
        <v>441</v>
      </c>
      <c r="N358" s="36">
        <f t="shared" si="104"/>
        <v>0.94230769230769229</v>
      </c>
      <c r="O358" s="17">
        <v>76</v>
      </c>
      <c r="P358" s="36">
        <f t="shared" si="115"/>
        <v>0.92682926829268297</v>
      </c>
      <c r="Q358" s="17">
        <v>8</v>
      </c>
      <c r="R358" s="36">
        <f t="shared" si="105"/>
        <v>1.7094017094017096E-2</v>
      </c>
      <c r="S358" s="17">
        <v>3</v>
      </c>
      <c r="T358" s="36">
        <f t="shared" si="116"/>
        <v>3.6585365853658534E-2</v>
      </c>
      <c r="U358" s="17">
        <v>11</v>
      </c>
      <c r="V358" s="36">
        <f t="shared" si="106"/>
        <v>2.3504273504273504E-2</v>
      </c>
      <c r="W358" s="17">
        <v>3</v>
      </c>
      <c r="X358" s="36">
        <f t="shared" si="117"/>
        <v>3.6585365853658534E-2</v>
      </c>
      <c r="Y358" s="17">
        <v>347</v>
      </c>
      <c r="Z358" s="36">
        <f t="shared" si="107"/>
        <v>0.74145299145299148</v>
      </c>
      <c r="AA358" s="17">
        <v>55</v>
      </c>
      <c r="AB358" s="36">
        <f t="shared" si="118"/>
        <v>0.67073170731707321</v>
      </c>
      <c r="AC358" s="17">
        <v>79</v>
      </c>
      <c r="AD358" s="36">
        <f t="shared" si="108"/>
        <v>0.16880341880341881</v>
      </c>
      <c r="AE358" s="17">
        <v>16</v>
      </c>
      <c r="AF358" s="36">
        <f t="shared" si="119"/>
        <v>0.1951219512195122</v>
      </c>
      <c r="AG358" s="17">
        <v>20</v>
      </c>
      <c r="AH358" s="36">
        <f t="shared" si="109"/>
        <v>4.2735042735042736E-2</v>
      </c>
      <c r="AI358" s="17">
        <v>5</v>
      </c>
      <c r="AJ358" s="36">
        <f t="shared" si="120"/>
        <v>6.097560975609756E-2</v>
      </c>
      <c r="AK358" s="17">
        <v>3</v>
      </c>
      <c r="AL358" s="36">
        <f t="shared" si="110"/>
        <v>6.41025641025641E-3</v>
      </c>
      <c r="AM358" s="17">
        <v>0</v>
      </c>
      <c r="AN358" s="36">
        <f t="shared" si="121"/>
        <v>0</v>
      </c>
      <c r="AO358" s="17">
        <v>468</v>
      </c>
      <c r="AP358" s="17">
        <v>82</v>
      </c>
    </row>
    <row r="359" spans="1:42" ht="15.75" customHeight="1" x14ac:dyDescent="0.25">
      <c r="A359" s="37">
        <v>2022</v>
      </c>
      <c r="B359" s="35">
        <v>171420</v>
      </c>
      <c r="C359" s="33" t="str">
        <f>VLOOKUP(B359,procv!$A$2:$D$142,4,FALSE)</f>
        <v>Amor Perfeito</v>
      </c>
      <c r="D359" s="33" t="s">
        <v>84</v>
      </c>
      <c r="E359" s="17">
        <v>4</v>
      </c>
      <c r="F359" s="36">
        <f t="shared" si="111"/>
        <v>4.7169811320754715E-3</v>
      </c>
      <c r="G359" s="17">
        <v>1</v>
      </c>
      <c r="H359" s="36">
        <f t="shared" si="112"/>
        <v>4.2735042735042739E-3</v>
      </c>
      <c r="I359" s="17">
        <v>16</v>
      </c>
      <c r="J359" s="36">
        <f t="shared" si="113"/>
        <v>1.8867924528301886E-2</v>
      </c>
      <c r="K359" s="17">
        <v>6</v>
      </c>
      <c r="L359" s="36">
        <f t="shared" si="114"/>
        <v>2.564102564102564E-2</v>
      </c>
      <c r="M359" s="17">
        <v>828</v>
      </c>
      <c r="N359" s="36">
        <f t="shared" si="104"/>
        <v>0.97641509433962259</v>
      </c>
      <c r="O359" s="17">
        <v>227</v>
      </c>
      <c r="P359" s="36">
        <f t="shared" si="115"/>
        <v>0.97008547008547008</v>
      </c>
      <c r="Q359" s="17">
        <v>6</v>
      </c>
      <c r="R359" s="36">
        <f t="shared" si="105"/>
        <v>7.0754716981132077E-3</v>
      </c>
      <c r="S359" s="17">
        <v>2</v>
      </c>
      <c r="T359" s="36">
        <f t="shared" si="116"/>
        <v>8.5470085470085479E-3</v>
      </c>
      <c r="U359" s="17">
        <v>27</v>
      </c>
      <c r="V359" s="36">
        <f t="shared" si="106"/>
        <v>3.1839622641509434E-2</v>
      </c>
      <c r="W359" s="17">
        <v>7</v>
      </c>
      <c r="X359" s="36">
        <f t="shared" si="117"/>
        <v>2.9914529914529916E-2</v>
      </c>
      <c r="Y359" s="17">
        <v>589</v>
      </c>
      <c r="Z359" s="36">
        <f t="shared" si="107"/>
        <v>0.69457547169811318</v>
      </c>
      <c r="AA359" s="17">
        <v>164</v>
      </c>
      <c r="AB359" s="36">
        <f t="shared" si="118"/>
        <v>0.70085470085470081</v>
      </c>
      <c r="AC359" s="17">
        <v>136</v>
      </c>
      <c r="AD359" s="36">
        <f t="shared" si="108"/>
        <v>0.16037735849056603</v>
      </c>
      <c r="AE359" s="17">
        <v>36</v>
      </c>
      <c r="AF359" s="36">
        <f t="shared" si="119"/>
        <v>0.15384615384615385</v>
      </c>
      <c r="AG359" s="17">
        <v>75</v>
      </c>
      <c r="AH359" s="36">
        <f t="shared" si="109"/>
        <v>8.8443396226415089E-2</v>
      </c>
      <c r="AI359" s="17">
        <v>22</v>
      </c>
      <c r="AJ359" s="36">
        <f t="shared" si="120"/>
        <v>9.4017094017094016E-2</v>
      </c>
      <c r="AK359" s="17">
        <v>15</v>
      </c>
      <c r="AL359" s="36">
        <f t="shared" si="110"/>
        <v>1.7688679245283018E-2</v>
      </c>
      <c r="AM359" s="17">
        <v>3</v>
      </c>
      <c r="AN359" s="36">
        <f t="shared" si="121"/>
        <v>1.282051282051282E-2</v>
      </c>
      <c r="AO359" s="17">
        <v>848</v>
      </c>
      <c r="AP359" s="17">
        <v>234</v>
      </c>
    </row>
    <row r="360" spans="1:42" ht="15.75" customHeight="1" x14ac:dyDescent="0.25">
      <c r="A360" s="37">
        <v>2022</v>
      </c>
      <c r="B360" s="35">
        <v>171430</v>
      </c>
      <c r="C360" s="33" t="str">
        <f>VLOOKUP(B360,procv!$A$2:$D$142,4,FALSE)</f>
        <v>Bico do Papagaio</v>
      </c>
      <c r="D360" s="33" t="s">
        <v>85</v>
      </c>
      <c r="E360" s="17">
        <v>9</v>
      </c>
      <c r="F360" s="36">
        <f t="shared" si="111"/>
        <v>1.8828451882845189E-2</v>
      </c>
      <c r="G360" s="17">
        <v>2</v>
      </c>
      <c r="H360" s="36">
        <f t="shared" si="112"/>
        <v>2.247191011235955E-2</v>
      </c>
      <c r="I360" s="17">
        <v>26</v>
      </c>
      <c r="J360" s="36">
        <f t="shared" si="113"/>
        <v>5.4393305439330547E-2</v>
      </c>
      <c r="K360" s="17">
        <v>9</v>
      </c>
      <c r="L360" s="36">
        <f t="shared" si="114"/>
        <v>0.10112359550561797</v>
      </c>
      <c r="M360" s="17">
        <v>443</v>
      </c>
      <c r="N360" s="36">
        <f t="shared" si="104"/>
        <v>0.92677824267782427</v>
      </c>
      <c r="O360" s="17">
        <v>78</v>
      </c>
      <c r="P360" s="36">
        <f t="shared" si="115"/>
        <v>0.8764044943820225</v>
      </c>
      <c r="Q360" s="17">
        <v>4</v>
      </c>
      <c r="R360" s="36">
        <f t="shared" si="105"/>
        <v>8.368200836820083E-3</v>
      </c>
      <c r="S360" s="17">
        <v>2</v>
      </c>
      <c r="T360" s="36">
        <f t="shared" si="116"/>
        <v>2.247191011235955E-2</v>
      </c>
      <c r="U360" s="17">
        <v>30</v>
      </c>
      <c r="V360" s="36">
        <f t="shared" si="106"/>
        <v>6.2761506276150625E-2</v>
      </c>
      <c r="W360" s="17">
        <v>3</v>
      </c>
      <c r="X360" s="36">
        <f t="shared" si="117"/>
        <v>3.3707865168539325E-2</v>
      </c>
      <c r="Y360" s="17">
        <v>357</v>
      </c>
      <c r="Z360" s="36">
        <f t="shared" si="107"/>
        <v>0.7468619246861925</v>
      </c>
      <c r="AA360" s="17">
        <v>74</v>
      </c>
      <c r="AB360" s="36">
        <f t="shared" si="118"/>
        <v>0.8314606741573034</v>
      </c>
      <c r="AC360" s="17">
        <v>70</v>
      </c>
      <c r="AD360" s="36">
        <f t="shared" si="108"/>
        <v>0.14644351464435146</v>
      </c>
      <c r="AE360" s="17">
        <v>7</v>
      </c>
      <c r="AF360" s="36">
        <f t="shared" si="119"/>
        <v>7.8651685393258425E-2</v>
      </c>
      <c r="AG360" s="17">
        <v>14</v>
      </c>
      <c r="AH360" s="36">
        <f t="shared" si="109"/>
        <v>2.9288702928870293E-2</v>
      </c>
      <c r="AI360" s="17">
        <v>3</v>
      </c>
      <c r="AJ360" s="36">
        <f t="shared" si="120"/>
        <v>3.3707865168539325E-2</v>
      </c>
      <c r="AK360" s="17">
        <v>3</v>
      </c>
      <c r="AL360" s="36">
        <f t="shared" si="110"/>
        <v>6.2761506276150627E-3</v>
      </c>
      <c r="AM360" s="17">
        <v>0</v>
      </c>
      <c r="AN360" s="36">
        <f t="shared" si="121"/>
        <v>0</v>
      </c>
      <c r="AO360" s="17">
        <v>478</v>
      </c>
      <c r="AP360" s="17">
        <v>89</v>
      </c>
    </row>
    <row r="361" spans="1:42" ht="15.75" customHeight="1" x14ac:dyDescent="0.25">
      <c r="A361" s="37">
        <v>2022</v>
      </c>
      <c r="B361" s="35">
        <v>171488</v>
      </c>
      <c r="C361" s="33" t="str">
        <f>VLOOKUP(B361,procv!$A$2:$D$142,4,FALSE)</f>
        <v>Médio Norte Araguaia</v>
      </c>
      <c r="D361" s="33" t="s">
        <v>86</v>
      </c>
      <c r="E361" s="17">
        <v>20</v>
      </c>
      <c r="F361" s="36">
        <f t="shared" si="111"/>
        <v>1.8132366273798731E-2</v>
      </c>
      <c r="G361" s="17">
        <v>9</v>
      </c>
      <c r="H361" s="36">
        <f t="shared" si="112"/>
        <v>4.0909090909090909E-2</v>
      </c>
      <c r="I361" s="17">
        <v>58</v>
      </c>
      <c r="J361" s="36">
        <f t="shared" si="113"/>
        <v>5.2583862194016319E-2</v>
      </c>
      <c r="K361" s="17">
        <v>15</v>
      </c>
      <c r="L361" s="36">
        <f t="shared" si="114"/>
        <v>6.8181818181818177E-2</v>
      </c>
      <c r="M361" s="16">
        <v>1025</v>
      </c>
      <c r="N361" s="36">
        <f t="shared" si="104"/>
        <v>0.929283771532185</v>
      </c>
      <c r="O361" s="17">
        <v>196</v>
      </c>
      <c r="P361" s="36">
        <f t="shared" si="115"/>
        <v>0.89090909090909087</v>
      </c>
      <c r="Q361" s="17">
        <v>12</v>
      </c>
      <c r="R361" s="36">
        <f t="shared" si="105"/>
        <v>1.0879419764279238E-2</v>
      </c>
      <c r="S361" s="17">
        <v>3</v>
      </c>
      <c r="T361" s="36">
        <f t="shared" si="116"/>
        <v>1.3636363636363636E-2</v>
      </c>
      <c r="U361" s="17">
        <v>44</v>
      </c>
      <c r="V361" s="36">
        <f t="shared" si="106"/>
        <v>3.9891205802357207E-2</v>
      </c>
      <c r="W361" s="17">
        <v>9</v>
      </c>
      <c r="X361" s="36">
        <f t="shared" si="117"/>
        <v>4.0909090909090909E-2</v>
      </c>
      <c r="Y361" s="17">
        <v>780</v>
      </c>
      <c r="Z361" s="36">
        <f t="shared" si="107"/>
        <v>0.70716228467815045</v>
      </c>
      <c r="AA361" s="17">
        <v>153</v>
      </c>
      <c r="AB361" s="36">
        <f t="shared" si="118"/>
        <v>0.69545454545454544</v>
      </c>
      <c r="AC361" s="17">
        <v>172</v>
      </c>
      <c r="AD361" s="36">
        <f t="shared" si="108"/>
        <v>0.1559383499546691</v>
      </c>
      <c r="AE361" s="17">
        <v>36</v>
      </c>
      <c r="AF361" s="36">
        <f t="shared" si="119"/>
        <v>0.16363636363636364</v>
      </c>
      <c r="AG361" s="17">
        <v>76</v>
      </c>
      <c r="AH361" s="36">
        <f t="shared" si="109"/>
        <v>6.8902991840435177E-2</v>
      </c>
      <c r="AI361" s="17">
        <v>16</v>
      </c>
      <c r="AJ361" s="36">
        <f t="shared" si="120"/>
        <v>7.2727272727272724E-2</v>
      </c>
      <c r="AK361" s="17">
        <v>19</v>
      </c>
      <c r="AL361" s="36">
        <f t="shared" si="110"/>
        <v>1.7225747960108794E-2</v>
      </c>
      <c r="AM361" s="17">
        <v>3</v>
      </c>
      <c r="AN361" s="36">
        <f t="shared" si="121"/>
        <v>1.3636363636363636E-2</v>
      </c>
      <c r="AO361" s="16">
        <v>1103</v>
      </c>
      <c r="AP361" s="17">
        <v>220</v>
      </c>
    </row>
    <row r="362" spans="1:42" ht="15.75" customHeight="1" x14ac:dyDescent="0.25">
      <c r="A362" s="37">
        <v>2022</v>
      </c>
      <c r="B362" s="35">
        <v>171500</v>
      </c>
      <c r="C362" s="33" t="str">
        <f>VLOOKUP(B362,procv!$A$2:$D$142,4,FALSE)</f>
        <v>Cantão</v>
      </c>
      <c r="D362" s="33" t="s">
        <v>87</v>
      </c>
      <c r="E362" s="17">
        <v>3</v>
      </c>
      <c r="F362" s="36">
        <f t="shared" si="111"/>
        <v>6.7720090293453723E-3</v>
      </c>
      <c r="G362" s="17">
        <v>0</v>
      </c>
      <c r="H362" s="36">
        <f t="shared" si="112"/>
        <v>0</v>
      </c>
      <c r="I362" s="17">
        <v>23</v>
      </c>
      <c r="J362" s="36">
        <f t="shared" si="113"/>
        <v>5.1918735891647853E-2</v>
      </c>
      <c r="K362" s="17">
        <v>2</v>
      </c>
      <c r="L362" s="36">
        <f t="shared" si="114"/>
        <v>0.05</v>
      </c>
      <c r="M362" s="17">
        <v>417</v>
      </c>
      <c r="N362" s="36">
        <f t="shared" si="104"/>
        <v>0.94130925507900676</v>
      </c>
      <c r="O362" s="17">
        <v>38</v>
      </c>
      <c r="P362" s="36">
        <f t="shared" si="115"/>
        <v>0.95</v>
      </c>
      <c r="Q362" s="17">
        <v>6</v>
      </c>
      <c r="R362" s="36">
        <f t="shared" si="105"/>
        <v>1.3544018058690745E-2</v>
      </c>
      <c r="S362" s="17">
        <v>0</v>
      </c>
      <c r="T362" s="36">
        <f t="shared" si="116"/>
        <v>0</v>
      </c>
      <c r="U362" s="17">
        <v>26</v>
      </c>
      <c r="V362" s="36">
        <f t="shared" si="106"/>
        <v>5.8690744920993229E-2</v>
      </c>
      <c r="W362" s="17">
        <v>1</v>
      </c>
      <c r="X362" s="36">
        <f t="shared" si="117"/>
        <v>2.5000000000000001E-2</v>
      </c>
      <c r="Y362" s="17">
        <v>312</v>
      </c>
      <c r="Z362" s="36">
        <f t="shared" si="107"/>
        <v>0.70428893905191869</v>
      </c>
      <c r="AA362" s="17">
        <v>29</v>
      </c>
      <c r="AB362" s="36">
        <f t="shared" si="118"/>
        <v>0.72499999999999998</v>
      </c>
      <c r="AC362" s="17">
        <v>66</v>
      </c>
      <c r="AD362" s="36">
        <f t="shared" si="108"/>
        <v>0.1489841986455982</v>
      </c>
      <c r="AE362" s="17">
        <v>5</v>
      </c>
      <c r="AF362" s="36">
        <f t="shared" si="119"/>
        <v>0.125</v>
      </c>
      <c r="AG362" s="17">
        <v>27</v>
      </c>
      <c r="AH362" s="36">
        <f t="shared" si="109"/>
        <v>6.0948081264108354E-2</v>
      </c>
      <c r="AI362" s="17">
        <v>3</v>
      </c>
      <c r="AJ362" s="36">
        <f t="shared" si="120"/>
        <v>7.4999999999999997E-2</v>
      </c>
      <c r="AK362" s="17">
        <v>6</v>
      </c>
      <c r="AL362" s="36">
        <f t="shared" si="110"/>
        <v>1.3544018058690745E-2</v>
      </c>
      <c r="AM362" s="17">
        <v>2</v>
      </c>
      <c r="AN362" s="36">
        <f t="shared" si="121"/>
        <v>0.05</v>
      </c>
      <c r="AO362" s="17">
        <v>443</v>
      </c>
      <c r="AP362" s="17">
        <v>40</v>
      </c>
    </row>
    <row r="363" spans="1:42" ht="15.75" customHeight="1" x14ac:dyDescent="0.25">
      <c r="A363" s="37">
        <v>2022</v>
      </c>
      <c r="B363" s="35">
        <v>171510</v>
      </c>
      <c r="C363" s="33" t="str">
        <f>VLOOKUP(B363,procv!$A$2:$D$142,4,FALSE)</f>
        <v>Capim Dourado</v>
      </c>
      <c r="D363" s="33" t="s">
        <v>88</v>
      </c>
      <c r="E363" s="17">
        <v>2</v>
      </c>
      <c r="F363" s="36">
        <f t="shared" si="111"/>
        <v>1.2903225806451613E-2</v>
      </c>
      <c r="G363" s="17">
        <v>0</v>
      </c>
      <c r="H363" s="36">
        <f t="shared" si="112"/>
        <v>0</v>
      </c>
      <c r="I363" s="17">
        <v>12</v>
      </c>
      <c r="J363" s="36">
        <f t="shared" si="113"/>
        <v>7.7419354838709681E-2</v>
      </c>
      <c r="K363" s="17">
        <v>8</v>
      </c>
      <c r="L363" s="36">
        <f t="shared" si="114"/>
        <v>0.12903225806451613</v>
      </c>
      <c r="M363" s="17">
        <v>141</v>
      </c>
      <c r="N363" s="36">
        <f t="shared" si="104"/>
        <v>0.9096774193548387</v>
      </c>
      <c r="O363" s="17">
        <v>54</v>
      </c>
      <c r="P363" s="36">
        <f t="shared" si="115"/>
        <v>0.87096774193548387</v>
      </c>
      <c r="Q363" s="17">
        <v>0</v>
      </c>
      <c r="R363" s="36">
        <f t="shared" si="105"/>
        <v>0</v>
      </c>
      <c r="S363" s="17">
        <v>1</v>
      </c>
      <c r="T363" s="36">
        <f t="shared" si="116"/>
        <v>1.6129032258064516E-2</v>
      </c>
      <c r="U363" s="17">
        <v>6</v>
      </c>
      <c r="V363" s="36">
        <f t="shared" si="106"/>
        <v>3.870967741935484E-2</v>
      </c>
      <c r="W363" s="17">
        <v>3</v>
      </c>
      <c r="X363" s="36">
        <f t="shared" si="117"/>
        <v>4.8387096774193547E-2</v>
      </c>
      <c r="Y363" s="17">
        <v>119</v>
      </c>
      <c r="Z363" s="36">
        <f t="shared" si="107"/>
        <v>0.76774193548387093</v>
      </c>
      <c r="AA363" s="17">
        <v>45</v>
      </c>
      <c r="AB363" s="36">
        <f t="shared" si="118"/>
        <v>0.72580645161290325</v>
      </c>
      <c r="AC363" s="17">
        <v>17</v>
      </c>
      <c r="AD363" s="36">
        <f t="shared" si="108"/>
        <v>0.10967741935483871</v>
      </c>
      <c r="AE363" s="17">
        <v>8</v>
      </c>
      <c r="AF363" s="36">
        <f t="shared" si="119"/>
        <v>0.12903225806451613</v>
      </c>
      <c r="AG363" s="17">
        <v>12</v>
      </c>
      <c r="AH363" s="36">
        <f t="shared" si="109"/>
        <v>7.7419354838709681E-2</v>
      </c>
      <c r="AI363" s="17">
        <v>5</v>
      </c>
      <c r="AJ363" s="36">
        <f t="shared" si="120"/>
        <v>8.0645161290322578E-2</v>
      </c>
      <c r="AK363" s="17">
        <v>1</v>
      </c>
      <c r="AL363" s="36">
        <f t="shared" si="110"/>
        <v>6.4516129032258064E-3</v>
      </c>
      <c r="AM363" s="17">
        <v>0</v>
      </c>
      <c r="AN363" s="36">
        <f t="shared" si="121"/>
        <v>0</v>
      </c>
      <c r="AO363" s="17">
        <v>155</v>
      </c>
      <c r="AP363" s="17">
        <v>62</v>
      </c>
    </row>
    <row r="364" spans="1:42" ht="15.75" customHeight="1" x14ac:dyDescent="0.25">
      <c r="A364" s="37">
        <v>2022</v>
      </c>
      <c r="B364" s="35">
        <v>171515</v>
      </c>
      <c r="C364" s="33" t="str">
        <f>VLOOKUP(B364,procv!$A$2:$D$142,4,FALSE)</f>
        <v>Sudeste</v>
      </c>
      <c r="D364" s="33" t="s">
        <v>89</v>
      </c>
      <c r="E364" s="17">
        <v>2</v>
      </c>
      <c r="F364" s="36">
        <f t="shared" si="111"/>
        <v>6.4516129032258064E-3</v>
      </c>
      <c r="G364" s="17">
        <v>2</v>
      </c>
      <c r="H364" s="36">
        <f t="shared" si="112"/>
        <v>3.5714285714285712E-2</v>
      </c>
      <c r="I364" s="17">
        <v>5</v>
      </c>
      <c r="J364" s="36">
        <f t="shared" si="113"/>
        <v>1.6129032258064516E-2</v>
      </c>
      <c r="K364" s="17">
        <v>2</v>
      </c>
      <c r="L364" s="36">
        <f t="shared" si="114"/>
        <v>3.5714285714285712E-2</v>
      </c>
      <c r="M364" s="17">
        <v>303</v>
      </c>
      <c r="N364" s="36">
        <f t="shared" si="104"/>
        <v>0.97741935483870968</v>
      </c>
      <c r="O364" s="17">
        <v>52</v>
      </c>
      <c r="P364" s="36">
        <f t="shared" si="115"/>
        <v>0.9285714285714286</v>
      </c>
      <c r="Q364" s="17">
        <v>6</v>
      </c>
      <c r="R364" s="36">
        <f t="shared" si="105"/>
        <v>1.935483870967742E-2</v>
      </c>
      <c r="S364" s="17">
        <v>1</v>
      </c>
      <c r="T364" s="36">
        <f t="shared" si="116"/>
        <v>1.7857142857142856E-2</v>
      </c>
      <c r="U364" s="17">
        <v>19</v>
      </c>
      <c r="V364" s="36">
        <f t="shared" si="106"/>
        <v>6.1290322580645158E-2</v>
      </c>
      <c r="W364" s="17">
        <v>1</v>
      </c>
      <c r="X364" s="36">
        <f t="shared" si="117"/>
        <v>1.7857142857142856E-2</v>
      </c>
      <c r="Y364" s="17">
        <v>214</v>
      </c>
      <c r="Z364" s="36">
        <f t="shared" si="107"/>
        <v>0.69032258064516128</v>
      </c>
      <c r="AA364" s="17">
        <v>38</v>
      </c>
      <c r="AB364" s="36">
        <f t="shared" si="118"/>
        <v>0.6785714285714286</v>
      </c>
      <c r="AC364" s="17">
        <v>45</v>
      </c>
      <c r="AD364" s="36">
        <f t="shared" si="108"/>
        <v>0.14516129032258066</v>
      </c>
      <c r="AE364" s="17">
        <v>12</v>
      </c>
      <c r="AF364" s="36">
        <f t="shared" si="119"/>
        <v>0.21428571428571427</v>
      </c>
      <c r="AG364" s="17">
        <v>21</v>
      </c>
      <c r="AH364" s="36">
        <f t="shared" si="109"/>
        <v>6.7741935483870974E-2</v>
      </c>
      <c r="AI364" s="17">
        <v>4</v>
      </c>
      <c r="AJ364" s="36">
        <f t="shared" si="120"/>
        <v>7.1428571428571425E-2</v>
      </c>
      <c r="AK364" s="17">
        <v>5</v>
      </c>
      <c r="AL364" s="36">
        <f t="shared" si="110"/>
        <v>1.6129032258064516E-2</v>
      </c>
      <c r="AM364" s="17">
        <v>0</v>
      </c>
      <c r="AN364" s="36">
        <f t="shared" si="121"/>
        <v>0</v>
      </c>
      <c r="AO364" s="17">
        <v>310</v>
      </c>
      <c r="AP364" s="17">
        <v>56</v>
      </c>
    </row>
    <row r="365" spans="1:42" ht="15.75" customHeight="1" x14ac:dyDescent="0.25">
      <c r="A365" s="37">
        <v>2022</v>
      </c>
      <c r="B365" s="35">
        <v>171525</v>
      </c>
      <c r="C365" s="33" t="str">
        <f>VLOOKUP(B365,procv!$A$2:$D$142,4,FALSE)</f>
        <v>Sudeste</v>
      </c>
      <c r="D365" s="33" t="s">
        <v>90</v>
      </c>
      <c r="E365" s="17">
        <v>2</v>
      </c>
      <c r="F365" s="36">
        <f t="shared" si="111"/>
        <v>2.3255813953488372E-2</v>
      </c>
      <c r="G365" s="17">
        <v>1</v>
      </c>
      <c r="H365" s="36">
        <f t="shared" si="112"/>
        <v>3.4482758620689655E-2</v>
      </c>
      <c r="I365" s="17">
        <v>2</v>
      </c>
      <c r="J365" s="36">
        <f t="shared" si="113"/>
        <v>2.3255813953488372E-2</v>
      </c>
      <c r="K365" s="17">
        <v>1</v>
      </c>
      <c r="L365" s="36">
        <f t="shared" si="114"/>
        <v>3.4482758620689655E-2</v>
      </c>
      <c r="M365" s="17">
        <v>82</v>
      </c>
      <c r="N365" s="36">
        <f t="shared" si="104"/>
        <v>0.95348837209302328</v>
      </c>
      <c r="O365" s="17">
        <v>27</v>
      </c>
      <c r="P365" s="36">
        <f t="shared" si="115"/>
        <v>0.93103448275862066</v>
      </c>
      <c r="Q365" s="17">
        <v>0</v>
      </c>
      <c r="R365" s="36">
        <f t="shared" si="105"/>
        <v>0</v>
      </c>
      <c r="S365" s="17">
        <v>0</v>
      </c>
      <c r="T365" s="36">
        <f t="shared" si="116"/>
        <v>0</v>
      </c>
      <c r="U365" s="17">
        <v>5</v>
      </c>
      <c r="V365" s="36">
        <f t="shared" si="106"/>
        <v>5.8139534883720929E-2</v>
      </c>
      <c r="W365" s="17">
        <v>1</v>
      </c>
      <c r="X365" s="36">
        <f t="shared" si="117"/>
        <v>3.4482758620689655E-2</v>
      </c>
      <c r="Y365" s="17">
        <v>66</v>
      </c>
      <c r="Z365" s="36">
        <f t="shared" si="107"/>
        <v>0.76744186046511631</v>
      </c>
      <c r="AA365" s="17">
        <v>25</v>
      </c>
      <c r="AB365" s="36">
        <f t="shared" si="118"/>
        <v>0.86206896551724133</v>
      </c>
      <c r="AC365" s="17">
        <v>6</v>
      </c>
      <c r="AD365" s="36">
        <f t="shared" si="108"/>
        <v>6.9767441860465115E-2</v>
      </c>
      <c r="AE365" s="17">
        <v>1</v>
      </c>
      <c r="AF365" s="36">
        <f t="shared" si="119"/>
        <v>3.4482758620689655E-2</v>
      </c>
      <c r="AG365" s="17">
        <v>8</v>
      </c>
      <c r="AH365" s="36">
        <f t="shared" si="109"/>
        <v>9.3023255813953487E-2</v>
      </c>
      <c r="AI365" s="17">
        <v>1</v>
      </c>
      <c r="AJ365" s="36">
        <f t="shared" si="120"/>
        <v>3.4482758620689655E-2</v>
      </c>
      <c r="AK365" s="17">
        <v>1</v>
      </c>
      <c r="AL365" s="36">
        <f t="shared" si="110"/>
        <v>1.1627906976744186E-2</v>
      </c>
      <c r="AM365" s="17">
        <v>1</v>
      </c>
      <c r="AN365" s="36">
        <f t="shared" si="121"/>
        <v>3.4482758620689655E-2</v>
      </c>
      <c r="AO365" s="17">
        <v>86</v>
      </c>
      <c r="AP365" s="17">
        <v>29</v>
      </c>
    </row>
    <row r="366" spans="1:42" ht="15.75" customHeight="1" x14ac:dyDescent="0.25">
      <c r="A366" s="37">
        <v>2022</v>
      </c>
      <c r="B366" s="35">
        <v>171550</v>
      </c>
      <c r="C366" s="33" t="str">
        <f>VLOOKUP(B366,procv!$A$2:$D$142,4,FALSE)</f>
        <v>Amor Perfeito</v>
      </c>
      <c r="D366" s="33" t="s">
        <v>91</v>
      </c>
      <c r="E366" s="17">
        <v>2</v>
      </c>
      <c r="F366" s="36">
        <f t="shared" si="111"/>
        <v>9.8039215686274508E-3</v>
      </c>
      <c r="G366" s="17">
        <v>1</v>
      </c>
      <c r="H366" s="36">
        <f t="shared" si="112"/>
        <v>0.02</v>
      </c>
      <c r="I366" s="17">
        <v>7</v>
      </c>
      <c r="J366" s="36">
        <f t="shared" si="113"/>
        <v>3.4313725490196081E-2</v>
      </c>
      <c r="K366" s="17">
        <v>2</v>
      </c>
      <c r="L366" s="36">
        <f t="shared" si="114"/>
        <v>0.04</v>
      </c>
      <c r="M366" s="17">
        <v>195</v>
      </c>
      <c r="N366" s="36">
        <f t="shared" si="104"/>
        <v>0.95588235294117652</v>
      </c>
      <c r="O366" s="17">
        <v>47</v>
      </c>
      <c r="P366" s="36">
        <f t="shared" si="115"/>
        <v>0.94</v>
      </c>
      <c r="Q366" s="17">
        <v>0</v>
      </c>
      <c r="R366" s="36">
        <f t="shared" si="105"/>
        <v>0</v>
      </c>
      <c r="S366" s="17">
        <v>0</v>
      </c>
      <c r="T366" s="36">
        <f t="shared" si="116"/>
        <v>0</v>
      </c>
      <c r="U366" s="17">
        <v>9</v>
      </c>
      <c r="V366" s="36">
        <f t="shared" si="106"/>
        <v>4.4117647058823532E-2</v>
      </c>
      <c r="W366" s="17">
        <v>1</v>
      </c>
      <c r="X366" s="36">
        <f t="shared" si="117"/>
        <v>0.02</v>
      </c>
      <c r="Y366" s="17">
        <v>134</v>
      </c>
      <c r="Z366" s="36">
        <f t="shared" si="107"/>
        <v>0.65686274509803921</v>
      </c>
      <c r="AA366" s="17">
        <v>30</v>
      </c>
      <c r="AB366" s="36">
        <f t="shared" si="118"/>
        <v>0.6</v>
      </c>
      <c r="AC366" s="17">
        <v>40</v>
      </c>
      <c r="AD366" s="36">
        <f t="shared" si="108"/>
        <v>0.19607843137254902</v>
      </c>
      <c r="AE366" s="17">
        <v>16</v>
      </c>
      <c r="AF366" s="36">
        <f t="shared" si="119"/>
        <v>0.32</v>
      </c>
      <c r="AG366" s="17">
        <v>19</v>
      </c>
      <c r="AH366" s="36">
        <f t="shared" si="109"/>
        <v>9.3137254901960786E-2</v>
      </c>
      <c r="AI366" s="17">
        <v>3</v>
      </c>
      <c r="AJ366" s="36">
        <f t="shared" si="120"/>
        <v>0.06</v>
      </c>
      <c r="AK366" s="17">
        <v>2</v>
      </c>
      <c r="AL366" s="36">
        <f t="shared" si="110"/>
        <v>9.8039215686274508E-3</v>
      </c>
      <c r="AM366" s="17">
        <v>0</v>
      </c>
      <c r="AN366" s="36">
        <f t="shared" si="121"/>
        <v>0</v>
      </c>
      <c r="AO366" s="17">
        <v>204</v>
      </c>
      <c r="AP366" s="17">
        <v>50</v>
      </c>
    </row>
    <row r="367" spans="1:42" ht="15.75" customHeight="1" x14ac:dyDescent="0.25">
      <c r="A367" s="37">
        <v>2022</v>
      </c>
      <c r="B367" s="35">
        <v>172100</v>
      </c>
      <c r="C367" s="33" t="str">
        <f>VLOOKUP(B367,procv!$A$2:$D$142,4,FALSE)</f>
        <v>Capim Dourado</v>
      </c>
      <c r="D367" s="33" t="s">
        <v>92</v>
      </c>
      <c r="E367" s="17">
        <v>177</v>
      </c>
      <c r="F367" s="36">
        <f t="shared" si="111"/>
        <v>1.3464171611136467E-2</v>
      </c>
      <c r="G367" s="17">
        <v>89</v>
      </c>
      <c r="H367" s="36">
        <f t="shared" si="112"/>
        <v>3.7363560033585222E-2</v>
      </c>
      <c r="I367" s="17">
        <v>422</v>
      </c>
      <c r="J367" s="36">
        <f t="shared" si="113"/>
        <v>3.2101019321466605E-2</v>
      </c>
      <c r="K367" s="17">
        <v>131</v>
      </c>
      <c r="L367" s="36">
        <f t="shared" si="114"/>
        <v>5.4995801847187241E-2</v>
      </c>
      <c r="M367" s="16">
        <v>12547</v>
      </c>
      <c r="N367" s="36">
        <f t="shared" si="104"/>
        <v>0.95443480906739697</v>
      </c>
      <c r="O367" s="16">
        <v>2162</v>
      </c>
      <c r="P367" s="36">
        <f t="shared" si="115"/>
        <v>0.90764063811922757</v>
      </c>
      <c r="Q367" s="17">
        <v>148</v>
      </c>
      <c r="R367" s="36">
        <f t="shared" si="105"/>
        <v>1.1258177392362696E-2</v>
      </c>
      <c r="S367" s="17">
        <v>41</v>
      </c>
      <c r="T367" s="36">
        <f t="shared" si="116"/>
        <v>1.7212426532325777E-2</v>
      </c>
      <c r="U367" s="17">
        <v>541</v>
      </c>
      <c r="V367" s="36">
        <f t="shared" si="106"/>
        <v>4.1153202495055531E-2</v>
      </c>
      <c r="W367" s="17">
        <v>79</v>
      </c>
      <c r="X367" s="36">
        <f t="shared" si="117"/>
        <v>3.316540722082284E-2</v>
      </c>
      <c r="Y367" s="16">
        <v>9099</v>
      </c>
      <c r="Z367" s="36">
        <f t="shared" si="107"/>
        <v>0.69214970333181192</v>
      </c>
      <c r="AA367" s="16">
        <v>1710</v>
      </c>
      <c r="AB367" s="36">
        <f t="shared" si="118"/>
        <v>0.71788413098236781</v>
      </c>
      <c r="AC367" s="16">
        <v>2143</v>
      </c>
      <c r="AD367" s="36">
        <f t="shared" si="108"/>
        <v>0.16301536589076526</v>
      </c>
      <c r="AE367" s="17">
        <v>378</v>
      </c>
      <c r="AF367" s="36">
        <f t="shared" si="119"/>
        <v>0.15869017632241814</v>
      </c>
      <c r="AG367" s="16">
        <v>1004</v>
      </c>
      <c r="AH367" s="36">
        <f t="shared" si="109"/>
        <v>7.6373041229271257E-2</v>
      </c>
      <c r="AI367" s="17">
        <v>137</v>
      </c>
      <c r="AJ367" s="36">
        <f t="shared" si="120"/>
        <v>5.7514693534844667E-2</v>
      </c>
      <c r="AK367" s="17">
        <v>211</v>
      </c>
      <c r="AL367" s="36">
        <f t="shared" si="110"/>
        <v>1.6050509660733302E-2</v>
      </c>
      <c r="AM367" s="17">
        <v>37</v>
      </c>
      <c r="AN367" s="36">
        <f t="shared" si="121"/>
        <v>1.5533165407220823E-2</v>
      </c>
      <c r="AO367" s="16">
        <v>13146</v>
      </c>
      <c r="AP367" s="16">
        <v>2382</v>
      </c>
    </row>
    <row r="368" spans="1:42" ht="15.75" customHeight="1" x14ac:dyDescent="0.25">
      <c r="A368" s="37">
        <v>2022</v>
      </c>
      <c r="B368" s="35">
        <v>171570</v>
      </c>
      <c r="C368" s="33" t="str">
        <f>VLOOKUP(B368,procv!$A$2:$D$142,4,FALSE)</f>
        <v>Cerrado Tocantins Araguaia</v>
      </c>
      <c r="D368" s="33" t="s">
        <v>93</v>
      </c>
      <c r="E368" s="17">
        <v>8</v>
      </c>
      <c r="F368" s="36">
        <f t="shared" si="111"/>
        <v>1.5444015444015444E-2</v>
      </c>
      <c r="G368" s="17">
        <v>1</v>
      </c>
      <c r="H368" s="36">
        <f t="shared" si="112"/>
        <v>7.6335877862595417E-3</v>
      </c>
      <c r="I368" s="17">
        <v>33</v>
      </c>
      <c r="J368" s="36">
        <f t="shared" si="113"/>
        <v>6.3706563706563704E-2</v>
      </c>
      <c r="K368" s="17">
        <v>4</v>
      </c>
      <c r="L368" s="36">
        <f t="shared" si="114"/>
        <v>3.0534351145038167E-2</v>
      </c>
      <c r="M368" s="17">
        <v>477</v>
      </c>
      <c r="N368" s="36">
        <f t="shared" si="104"/>
        <v>0.9208494208494209</v>
      </c>
      <c r="O368" s="17">
        <v>126</v>
      </c>
      <c r="P368" s="36">
        <f t="shared" si="115"/>
        <v>0.96183206106870234</v>
      </c>
      <c r="Q368" s="17">
        <v>7</v>
      </c>
      <c r="R368" s="36">
        <f t="shared" si="105"/>
        <v>1.3513513513513514E-2</v>
      </c>
      <c r="S368" s="17">
        <v>2</v>
      </c>
      <c r="T368" s="36">
        <f t="shared" si="116"/>
        <v>1.5267175572519083E-2</v>
      </c>
      <c r="U368" s="17">
        <v>23</v>
      </c>
      <c r="V368" s="36">
        <f t="shared" si="106"/>
        <v>4.4401544401544403E-2</v>
      </c>
      <c r="W368" s="17">
        <v>8</v>
      </c>
      <c r="X368" s="36">
        <f t="shared" si="117"/>
        <v>6.1068702290076333E-2</v>
      </c>
      <c r="Y368" s="17">
        <v>372</v>
      </c>
      <c r="Z368" s="36">
        <f t="shared" si="107"/>
        <v>0.71814671814671815</v>
      </c>
      <c r="AA368" s="17">
        <v>94</v>
      </c>
      <c r="AB368" s="36">
        <f t="shared" si="118"/>
        <v>0.71755725190839692</v>
      </c>
      <c r="AC368" s="17">
        <v>76</v>
      </c>
      <c r="AD368" s="36">
        <f t="shared" si="108"/>
        <v>0.14671814671814673</v>
      </c>
      <c r="AE368" s="17">
        <v>16</v>
      </c>
      <c r="AF368" s="36">
        <f t="shared" si="119"/>
        <v>0.12213740458015267</v>
      </c>
      <c r="AG368" s="17">
        <v>31</v>
      </c>
      <c r="AH368" s="36">
        <f t="shared" si="109"/>
        <v>5.9845559845559844E-2</v>
      </c>
      <c r="AI368" s="17">
        <v>10</v>
      </c>
      <c r="AJ368" s="36">
        <f t="shared" si="120"/>
        <v>7.6335877862595422E-2</v>
      </c>
      <c r="AK368" s="17">
        <v>9</v>
      </c>
      <c r="AL368" s="36">
        <f t="shared" si="110"/>
        <v>1.7374517374517374E-2</v>
      </c>
      <c r="AM368" s="17">
        <v>1</v>
      </c>
      <c r="AN368" s="36">
        <f t="shared" si="121"/>
        <v>7.6335877862595417E-3</v>
      </c>
      <c r="AO368" s="17">
        <v>518</v>
      </c>
      <c r="AP368" s="17">
        <v>131</v>
      </c>
    </row>
    <row r="369" spans="1:42" ht="15.75" customHeight="1" x14ac:dyDescent="0.25">
      <c r="A369" s="37">
        <v>2022</v>
      </c>
      <c r="B369" s="35">
        <v>171380</v>
      </c>
      <c r="C369" s="33" t="str">
        <f>VLOOKUP(B369,procv!$A$2:$D$142,4,FALSE)</f>
        <v>Bico do Papagaio</v>
      </c>
      <c r="D369" s="33" t="s">
        <v>94</v>
      </c>
      <c r="E369" s="17">
        <v>18</v>
      </c>
      <c r="F369" s="36">
        <f t="shared" si="111"/>
        <v>7.407407407407407E-2</v>
      </c>
      <c r="G369" s="17">
        <v>3</v>
      </c>
      <c r="H369" s="36">
        <f t="shared" si="112"/>
        <v>2.1276595744680851E-2</v>
      </c>
      <c r="I369" s="17">
        <v>17</v>
      </c>
      <c r="J369" s="36">
        <f t="shared" si="113"/>
        <v>6.9958847736625515E-2</v>
      </c>
      <c r="K369" s="17">
        <v>7</v>
      </c>
      <c r="L369" s="36">
        <f t="shared" si="114"/>
        <v>4.9645390070921988E-2</v>
      </c>
      <c r="M369" s="17">
        <v>208</v>
      </c>
      <c r="N369" s="36">
        <f t="shared" si="104"/>
        <v>0.8559670781893004</v>
      </c>
      <c r="O369" s="17">
        <v>131</v>
      </c>
      <c r="P369" s="36">
        <f t="shared" si="115"/>
        <v>0.92907801418439717</v>
      </c>
      <c r="Q369" s="17">
        <v>1</v>
      </c>
      <c r="R369" s="36">
        <f t="shared" si="105"/>
        <v>4.11522633744856E-3</v>
      </c>
      <c r="S369" s="17">
        <v>1</v>
      </c>
      <c r="T369" s="36">
        <f t="shared" si="116"/>
        <v>7.0921985815602835E-3</v>
      </c>
      <c r="U369" s="17">
        <v>9</v>
      </c>
      <c r="V369" s="36">
        <f t="shared" si="106"/>
        <v>3.7037037037037035E-2</v>
      </c>
      <c r="W369" s="17">
        <v>7</v>
      </c>
      <c r="X369" s="36">
        <f t="shared" si="117"/>
        <v>4.9645390070921988E-2</v>
      </c>
      <c r="Y369" s="17">
        <v>159</v>
      </c>
      <c r="Z369" s="36">
        <f t="shared" si="107"/>
        <v>0.65432098765432101</v>
      </c>
      <c r="AA369" s="17">
        <v>98</v>
      </c>
      <c r="AB369" s="36">
        <f t="shared" si="118"/>
        <v>0.69503546099290781</v>
      </c>
      <c r="AC369" s="17">
        <v>48</v>
      </c>
      <c r="AD369" s="36">
        <f t="shared" si="108"/>
        <v>0.19753086419753085</v>
      </c>
      <c r="AE369" s="17">
        <v>30</v>
      </c>
      <c r="AF369" s="36">
        <f t="shared" si="119"/>
        <v>0.21276595744680851</v>
      </c>
      <c r="AG369" s="17">
        <v>20</v>
      </c>
      <c r="AH369" s="36">
        <f t="shared" si="109"/>
        <v>8.2304526748971193E-2</v>
      </c>
      <c r="AI369" s="17">
        <v>4</v>
      </c>
      <c r="AJ369" s="36">
        <f t="shared" si="120"/>
        <v>2.8368794326241134E-2</v>
      </c>
      <c r="AK369" s="17">
        <v>6</v>
      </c>
      <c r="AL369" s="36">
        <f t="shared" si="110"/>
        <v>2.4691358024691357E-2</v>
      </c>
      <c r="AM369" s="17">
        <v>1</v>
      </c>
      <c r="AN369" s="36">
        <f t="shared" si="121"/>
        <v>7.0921985815602835E-3</v>
      </c>
      <c r="AO369" s="17">
        <v>243</v>
      </c>
      <c r="AP369" s="17">
        <v>141</v>
      </c>
    </row>
    <row r="370" spans="1:42" ht="15.75" customHeight="1" x14ac:dyDescent="0.25">
      <c r="A370" s="37">
        <v>2022</v>
      </c>
      <c r="B370" s="35">
        <v>171575</v>
      </c>
      <c r="C370" s="33" t="str">
        <f>VLOOKUP(B370,procv!$A$2:$D$142,4,FALSE)</f>
        <v>Ilha do Bananal</v>
      </c>
      <c r="D370" s="33" t="s">
        <v>95</v>
      </c>
      <c r="E370" s="17">
        <v>6</v>
      </c>
      <c r="F370" s="36">
        <f t="shared" si="111"/>
        <v>1.1741682974559686E-2</v>
      </c>
      <c r="G370" s="17">
        <v>0</v>
      </c>
      <c r="H370" s="36">
        <f t="shared" si="112"/>
        <v>0</v>
      </c>
      <c r="I370" s="17">
        <v>16</v>
      </c>
      <c r="J370" s="36">
        <f t="shared" si="113"/>
        <v>3.131115459882583E-2</v>
      </c>
      <c r="K370" s="17">
        <v>3</v>
      </c>
      <c r="L370" s="36">
        <f t="shared" si="114"/>
        <v>3.0303030303030304E-2</v>
      </c>
      <c r="M370" s="17">
        <v>489</v>
      </c>
      <c r="N370" s="36">
        <f t="shared" si="104"/>
        <v>0.95694716242661448</v>
      </c>
      <c r="O370" s="17">
        <v>96</v>
      </c>
      <c r="P370" s="36">
        <f t="shared" si="115"/>
        <v>0.96969696969696972</v>
      </c>
      <c r="Q370" s="17">
        <v>5</v>
      </c>
      <c r="R370" s="36">
        <f t="shared" si="105"/>
        <v>9.7847358121330719E-3</v>
      </c>
      <c r="S370" s="17">
        <v>2</v>
      </c>
      <c r="T370" s="36">
        <f t="shared" si="116"/>
        <v>2.0202020202020204E-2</v>
      </c>
      <c r="U370" s="17">
        <v>19</v>
      </c>
      <c r="V370" s="36">
        <f t="shared" si="106"/>
        <v>3.7181996086105673E-2</v>
      </c>
      <c r="W370" s="17">
        <v>4</v>
      </c>
      <c r="X370" s="36">
        <f t="shared" si="117"/>
        <v>4.0404040404040407E-2</v>
      </c>
      <c r="Y370" s="17">
        <v>350</v>
      </c>
      <c r="Z370" s="36">
        <f t="shared" si="107"/>
        <v>0.68493150684931503</v>
      </c>
      <c r="AA370" s="17">
        <v>59</v>
      </c>
      <c r="AB370" s="36">
        <f t="shared" si="118"/>
        <v>0.59595959595959591</v>
      </c>
      <c r="AC370" s="17">
        <v>79</v>
      </c>
      <c r="AD370" s="36">
        <f t="shared" si="108"/>
        <v>0.15459882583170254</v>
      </c>
      <c r="AE370" s="17">
        <v>23</v>
      </c>
      <c r="AF370" s="36">
        <f t="shared" si="119"/>
        <v>0.23232323232323232</v>
      </c>
      <c r="AG370" s="17">
        <v>48</v>
      </c>
      <c r="AH370" s="36">
        <f t="shared" si="109"/>
        <v>9.393346379647749E-2</v>
      </c>
      <c r="AI370" s="17">
        <v>9</v>
      </c>
      <c r="AJ370" s="36">
        <f t="shared" si="120"/>
        <v>9.0909090909090912E-2</v>
      </c>
      <c r="AK370" s="17">
        <v>10</v>
      </c>
      <c r="AL370" s="36">
        <f t="shared" si="110"/>
        <v>1.9569471624266144E-2</v>
      </c>
      <c r="AM370" s="17">
        <v>2</v>
      </c>
      <c r="AN370" s="36">
        <f t="shared" si="121"/>
        <v>2.0202020202020204E-2</v>
      </c>
      <c r="AO370" s="17">
        <v>511</v>
      </c>
      <c r="AP370" s="17">
        <v>99</v>
      </c>
    </row>
    <row r="371" spans="1:42" ht="15.75" customHeight="1" x14ac:dyDescent="0.25">
      <c r="A371" s="37">
        <v>2022</v>
      </c>
      <c r="B371" s="35">
        <v>171610</v>
      </c>
      <c r="C371" s="33" t="str">
        <f>VLOOKUP(B371,procv!$A$2:$D$142,4,FALSE)</f>
        <v>Cantão</v>
      </c>
      <c r="D371" s="33" t="s">
        <v>96</v>
      </c>
      <c r="E371" s="17">
        <v>9</v>
      </c>
      <c r="F371" s="36">
        <f t="shared" si="111"/>
        <v>4.4731610337972166E-3</v>
      </c>
      <c r="G371" s="17">
        <v>2</v>
      </c>
      <c r="H371" s="36">
        <f t="shared" si="112"/>
        <v>7.7821011673151752E-3</v>
      </c>
      <c r="I371" s="17">
        <v>46</v>
      </c>
      <c r="J371" s="36">
        <f t="shared" si="113"/>
        <v>2.2862823061630219E-2</v>
      </c>
      <c r="K371" s="17">
        <v>5</v>
      </c>
      <c r="L371" s="36">
        <f t="shared" si="114"/>
        <v>1.9455252918287938E-2</v>
      </c>
      <c r="M371" s="16">
        <v>1957</v>
      </c>
      <c r="N371" s="36">
        <f t="shared" si="104"/>
        <v>0.97266401590457252</v>
      </c>
      <c r="O371" s="17">
        <v>250</v>
      </c>
      <c r="P371" s="36">
        <f t="shared" si="115"/>
        <v>0.97276264591439687</v>
      </c>
      <c r="Q371" s="17">
        <v>20</v>
      </c>
      <c r="R371" s="36">
        <f t="shared" si="105"/>
        <v>9.9403578528827041E-3</v>
      </c>
      <c r="S371" s="17">
        <v>5</v>
      </c>
      <c r="T371" s="36">
        <f t="shared" si="116"/>
        <v>1.9455252918287938E-2</v>
      </c>
      <c r="U371" s="17">
        <v>66</v>
      </c>
      <c r="V371" s="36">
        <f t="shared" si="106"/>
        <v>3.2803180914512925E-2</v>
      </c>
      <c r="W371" s="17">
        <v>9</v>
      </c>
      <c r="X371" s="36">
        <f t="shared" si="117"/>
        <v>3.5019455252918288E-2</v>
      </c>
      <c r="Y371" s="16">
        <v>1351</v>
      </c>
      <c r="Z371" s="36">
        <f t="shared" si="107"/>
        <v>0.67147117296222669</v>
      </c>
      <c r="AA371" s="17">
        <v>180</v>
      </c>
      <c r="AB371" s="36">
        <f t="shared" si="118"/>
        <v>0.70038910505836571</v>
      </c>
      <c r="AC371" s="17">
        <v>330</v>
      </c>
      <c r="AD371" s="36">
        <f t="shared" si="108"/>
        <v>0.16401590457256462</v>
      </c>
      <c r="AE371" s="17">
        <v>37</v>
      </c>
      <c r="AF371" s="36">
        <f t="shared" si="119"/>
        <v>0.14396887159533073</v>
      </c>
      <c r="AG371" s="17">
        <v>190</v>
      </c>
      <c r="AH371" s="36">
        <f t="shared" si="109"/>
        <v>9.4433399602385684E-2</v>
      </c>
      <c r="AI371" s="17">
        <v>21</v>
      </c>
      <c r="AJ371" s="36">
        <f t="shared" si="120"/>
        <v>8.171206225680934E-2</v>
      </c>
      <c r="AK371" s="17">
        <v>55</v>
      </c>
      <c r="AL371" s="36">
        <f t="shared" si="110"/>
        <v>2.7335984095427434E-2</v>
      </c>
      <c r="AM371" s="17">
        <v>5</v>
      </c>
      <c r="AN371" s="36">
        <f t="shared" si="121"/>
        <v>1.9455252918287938E-2</v>
      </c>
      <c r="AO371" s="16">
        <v>2012</v>
      </c>
      <c r="AP371" s="17">
        <v>257</v>
      </c>
    </row>
    <row r="372" spans="1:42" ht="15.75" customHeight="1" x14ac:dyDescent="0.25">
      <c r="A372" s="37">
        <v>2022</v>
      </c>
      <c r="B372" s="35">
        <v>171620</v>
      </c>
      <c r="C372" s="33" t="str">
        <f>VLOOKUP(B372,procv!$A$2:$D$142,4,FALSE)</f>
        <v>Sudeste</v>
      </c>
      <c r="D372" s="33" t="s">
        <v>97</v>
      </c>
      <c r="E372" s="17">
        <v>31</v>
      </c>
      <c r="F372" s="36">
        <f t="shared" si="111"/>
        <v>3.1281533804238142E-2</v>
      </c>
      <c r="G372" s="17">
        <v>9</v>
      </c>
      <c r="H372" s="36">
        <f t="shared" si="112"/>
        <v>3.643724696356275E-2</v>
      </c>
      <c r="I372" s="17">
        <v>64</v>
      </c>
      <c r="J372" s="36">
        <f t="shared" si="113"/>
        <v>6.4581231079717458E-2</v>
      </c>
      <c r="K372" s="17">
        <v>18</v>
      </c>
      <c r="L372" s="36">
        <f t="shared" si="114"/>
        <v>7.28744939271255E-2</v>
      </c>
      <c r="M372" s="17">
        <v>896</v>
      </c>
      <c r="N372" s="36">
        <f t="shared" si="104"/>
        <v>0.90413723511604438</v>
      </c>
      <c r="O372" s="17">
        <v>220</v>
      </c>
      <c r="P372" s="36">
        <f t="shared" si="115"/>
        <v>0.89068825910931171</v>
      </c>
      <c r="Q372" s="17">
        <v>11</v>
      </c>
      <c r="R372" s="36">
        <f t="shared" si="105"/>
        <v>1.1099899091826439E-2</v>
      </c>
      <c r="S372" s="17">
        <v>2</v>
      </c>
      <c r="T372" s="36">
        <f t="shared" si="116"/>
        <v>8.0971659919028341E-3</v>
      </c>
      <c r="U372" s="17">
        <v>40</v>
      </c>
      <c r="V372" s="36">
        <f t="shared" si="106"/>
        <v>4.0363269424823413E-2</v>
      </c>
      <c r="W372" s="17">
        <v>13</v>
      </c>
      <c r="X372" s="36">
        <f t="shared" si="117"/>
        <v>5.2631578947368418E-2</v>
      </c>
      <c r="Y372" s="17">
        <v>702</v>
      </c>
      <c r="Z372" s="36">
        <f t="shared" si="107"/>
        <v>0.7083753784056509</v>
      </c>
      <c r="AA372" s="17">
        <v>170</v>
      </c>
      <c r="AB372" s="36">
        <f t="shared" si="118"/>
        <v>0.68825910931174084</v>
      </c>
      <c r="AC372" s="17">
        <v>170</v>
      </c>
      <c r="AD372" s="36">
        <f t="shared" si="108"/>
        <v>0.1715438950554995</v>
      </c>
      <c r="AE372" s="17">
        <v>42</v>
      </c>
      <c r="AF372" s="36">
        <f t="shared" si="119"/>
        <v>0.17004048582995951</v>
      </c>
      <c r="AG372" s="17">
        <v>55</v>
      </c>
      <c r="AH372" s="36">
        <f t="shared" si="109"/>
        <v>5.5499495459132187E-2</v>
      </c>
      <c r="AI372" s="17">
        <v>18</v>
      </c>
      <c r="AJ372" s="36">
        <f t="shared" si="120"/>
        <v>7.28744939271255E-2</v>
      </c>
      <c r="AK372" s="17">
        <v>13</v>
      </c>
      <c r="AL372" s="36">
        <f t="shared" si="110"/>
        <v>1.3118062563067608E-2</v>
      </c>
      <c r="AM372" s="17">
        <v>2</v>
      </c>
      <c r="AN372" s="36">
        <f t="shared" si="121"/>
        <v>8.0971659919028341E-3</v>
      </c>
      <c r="AO372" s="17">
        <v>991</v>
      </c>
      <c r="AP372" s="17">
        <v>247</v>
      </c>
    </row>
    <row r="373" spans="1:42" ht="15.75" customHeight="1" x14ac:dyDescent="0.25">
      <c r="A373" s="37">
        <v>2022</v>
      </c>
      <c r="B373" s="35">
        <v>171630</v>
      </c>
      <c r="C373" s="33" t="str">
        <f>VLOOKUP(B373,procv!$A$2:$D$142,4,FALSE)</f>
        <v>Médio Norte Araguaia</v>
      </c>
      <c r="D373" s="33" t="s">
        <v>98</v>
      </c>
      <c r="E373" s="17">
        <v>4</v>
      </c>
      <c r="F373" s="36">
        <f t="shared" si="111"/>
        <v>1.0958904109589041E-2</v>
      </c>
      <c r="G373" s="17">
        <v>1</v>
      </c>
      <c r="H373" s="36">
        <f t="shared" si="112"/>
        <v>1.7857142857142856E-2</v>
      </c>
      <c r="I373" s="17">
        <v>13</v>
      </c>
      <c r="J373" s="36">
        <f t="shared" si="113"/>
        <v>3.5616438356164383E-2</v>
      </c>
      <c r="K373" s="17">
        <v>3</v>
      </c>
      <c r="L373" s="36">
        <f t="shared" si="114"/>
        <v>5.3571428571428568E-2</v>
      </c>
      <c r="M373" s="17">
        <v>348</v>
      </c>
      <c r="N373" s="36">
        <f t="shared" si="104"/>
        <v>0.95342465753424654</v>
      </c>
      <c r="O373" s="17">
        <v>52</v>
      </c>
      <c r="P373" s="36">
        <f t="shared" si="115"/>
        <v>0.9285714285714286</v>
      </c>
      <c r="Q373" s="17">
        <v>2</v>
      </c>
      <c r="R373" s="36">
        <f t="shared" si="105"/>
        <v>5.4794520547945206E-3</v>
      </c>
      <c r="S373" s="17">
        <v>1</v>
      </c>
      <c r="T373" s="36">
        <f t="shared" si="116"/>
        <v>1.7857142857142856E-2</v>
      </c>
      <c r="U373" s="17">
        <v>8</v>
      </c>
      <c r="V373" s="36">
        <f t="shared" si="106"/>
        <v>2.1917808219178082E-2</v>
      </c>
      <c r="W373" s="17">
        <v>2</v>
      </c>
      <c r="X373" s="36">
        <f t="shared" si="117"/>
        <v>3.5714285714285712E-2</v>
      </c>
      <c r="Y373" s="17">
        <v>257</v>
      </c>
      <c r="Z373" s="36">
        <f t="shared" si="107"/>
        <v>0.70410958904109588</v>
      </c>
      <c r="AA373" s="17">
        <v>39</v>
      </c>
      <c r="AB373" s="36">
        <f t="shared" si="118"/>
        <v>0.6964285714285714</v>
      </c>
      <c r="AC373" s="17">
        <v>57</v>
      </c>
      <c r="AD373" s="36">
        <f t="shared" si="108"/>
        <v>0.15616438356164383</v>
      </c>
      <c r="AE373" s="17">
        <v>9</v>
      </c>
      <c r="AF373" s="36">
        <f t="shared" si="119"/>
        <v>0.16071428571428573</v>
      </c>
      <c r="AG373" s="17">
        <v>34</v>
      </c>
      <c r="AH373" s="36">
        <f t="shared" si="109"/>
        <v>9.3150684931506855E-2</v>
      </c>
      <c r="AI373" s="17">
        <v>5</v>
      </c>
      <c r="AJ373" s="36">
        <f t="shared" si="120"/>
        <v>8.9285714285714288E-2</v>
      </c>
      <c r="AK373" s="17">
        <v>7</v>
      </c>
      <c r="AL373" s="36">
        <f t="shared" si="110"/>
        <v>1.9178082191780823E-2</v>
      </c>
      <c r="AM373" s="17">
        <v>0</v>
      </c>
      <c r="AN373" s="36">
        <f t="shared" si="121"/>
        <v>0</v>
      </c>
      <c r="AO373" s="17">
        <v>365</v>
      </c>
      <c r="AP373" s="17">
        <v>56</v>
      </c>
    </row>
    <row r="374" spans="1:42" ht="15.75" customHeight="1" x14ac:dyDescent="0.25">
      <c r="A374" s="37">
        <v>2022</v>
      </c>
      <c r="B374" s="35">
        <v>171650</v>
      </c>
      <c r="C374" s="33" t="str">
        <f>VLOOKUP(B374,procv!$A$2:$D$142,4,FALSE)</f>
        <v>Cerrado Tocantins Araguaia</v>
      </c>
      <c r="D374" s="33" t="s">
        <v>99</v>
      </c>
      <c r="E374" s="17">
        <v>19</v>
      </c>
      <c r="F374" s="36">
        <f t="shared" si="111"/>
        <v>1.4210919970082274E-2</v>
      </c>
      <c r="G374" s="17">
        <v>2</v>
      </c>
      <c r="H374" s="36">
        <f t="shared" si="112"/>
        <v>9.8039215686274508E-3</v>
      </c>
      <c r="I374" s="17">
        <v>81</v>
      </c>
      <c r="J374" s="36">
        <f t="shared" si="113"/>
        <v>6.0583395661929697E-2</v>
      </c>
      <c r="K374" s="17">
        <v>17</v>
      </c>
      <c r="L374" s="36">
        <f t="shared" si="114"/>
        <v>8.3333333333333329E-2</v>
      </c>
      <c r="M374" s="16">
        <v>1237</v>
      </c>
      <c r="N374" s="36">
        <f t="shared" si="104"/>
        <v>0.925205684367988</v>
      </c>
      <c r="O374" s="17">
        <v>185</v>
      </c>
      <c r="P374" s="36">
        <f t="shared" si="115"/>
        <v>0.90686274509803921</v>
      </c>
      <c r="Q374" s="17">
        <v>6</v>
      </c>
      <c r="R374" s="36">
        <f t="shared" si="105"/>
        <v>4.4876589379207179E-3</v>
      </c>
      <c r="S374" s="17">
        <v>0</v>
      </c>
      <c r="T374" s="36">
        <f t="shared" si="116"/>
        <v>0</v>
      </c>
      <c r="U374" s="17">
        <v>34</v>
      </c>
      <c r="V374" s="36">
        <f t="shared" si="106"/>
        <v>2.5430067314884067E-2</v>
      </c>
      <c r="W374" s="17">
        <v>5</v>
      </c>
      <c r="X374" s="36">
        <f t="shared" si="117"/>
        <v>2.4509803921568627E-2</v>
      </c>
      <c r="Y374" s="17">
        <v>907</v>
      </c>
      <c r="Z374" s="36">
        <f t="shared" si="107"/>
        <v>0.67838444278234855</v>
      </c>
      <c r="AA374" s="17">
        <v>136</v>
      </c>
      <c r="AB374" s="36">
        <f t="shared" si="118"/>
        <v>0.66666666666666663</v>
      </c>
      <c r="AC374" s="17">
        <v>251</v>
      </c>
      <c r="AD374" s="36">
        <f t="shared" si="108"/>
        <v>0.18773373223635004</v>
      </c>
      <c r="AE374" s="17">
        <v>38</v>
      </c>
      <c r="AF374" s="36">
        <f t="shared" si="119"/>
        <v>0.18627450980392157</v>
      </c>
      <c r="AG374" s="17">
        <v>120</v>
      </c>
      <c r="AH374" s="36">
        <f t="shared" si="109"/>
        <v>8.9753178758414362E-2</v>
      </c>
      <c r="AI374" s="17">
        <v>23</v>
      </c>
      <c r="AJ374" s="36">
        <f t="shared" si="120"/>
        <v>0.11274509803921569</v>
      </c>
      <c r="AK374" s="17">
        <v>19</v>
      </c>
      <c r="AL374" s="36">
        <f t="shared" si="110"/>
        <v>1.4210919970082274E-2</v>
      </c>
      <c r="AM374" s="17">
        <v>2</v>
      </c>
      <c r="AN374" s="36">
        <f t="shared" si="121"/>
        <v>9.8039215686274508E-3</v>
      </c>
      <c r="AO374" s="16">
        <v>1337</v>
      </c>
      <c r="AP374" s="17">
        <v>204</v>
      </c>
    </row>
    <row r="375" spans="1:42" ht="15.75" customHeight="1" x14ac:dyDescent="0.25">
      <c r="A375" s="37">
        <v>2022</v>
      </c>
      <c r="B375" s="35">
        <v>171660</v>
      </c>
      <c r="C375" s="33" t="str">
        <f>VLOOKUP(B375,procv!$A$2:$D$142,4,FALSE)</f>
        <v>Ilha do Bananal</v>
      </c>
      <c r="D375" s="33" t="s">
        <v>100</v>
      </c>
      <c r="E375" s="17">
        <v>14</v>
      </c>
      <c r="F375" s="36">
        <f t="shared" si="111"/>
        <v>1.969057665260197E-2</v>
      </c>
      <c r="G375" s="17">
        <v>7</v>
      </c>
      <c r="H375" s="36">
        <f t="shared" si="112"/>
        <v>4.2682926829268296E-2</v>
      </c>
      <c r="I375" s="17">
        <v>25</v>
      </c>
      <c r="J375" s="36">
        <f t="shared" si="113"/>
        <v>3.5161744022503515E-2</v>
      </c>
      <c r="K375" s="17">
        <v>4</v>
      </c>
      <c r="L375" s="36">
        <f t="shared" si="114"/>
        <v>2.4390243902439025E-2</v>
      </c>
      <c r="M375" s="17">
        <v>672</v>
      </c>
      <c r="N375" s="36">
        <f t="shared" si="104"/>
        <v>0.94514767932489452</v>
      </c>
      <c r="O375" s="17">
        <v>153</v>
      </c>
      <c r="P375" s="36">
        <f t="shared" si="115"/>
        <v>0.93292682926829273</v>
      </c>
      <c r="Q375" s="17">
        <v>4</v>
      </c>
      <c r="R375" s="36">
        <f t="shared" si="105"/>
        <v>5.6258790436005627E-3</v>
      </c>
      <c r="S375" s="17">
        <v>1</v>
      </c>
      <c r="T375" s="36">
        <f t="shared" si="116"/>
        <v>6.0975609756097563E-3</v>
      </c>
      <c r="U375" s="17">
        <v>13</v>
      </c>
      <c r="V375" s="36">
        <f t="shared" si="106"/>
        <v>1.8284106891701828E-2</v>
      </c>
      <c r="W375" s="17">
        <v>7</v>
      </c>
      <c r="X375" s="36">
        <f t="shared" si="117"/>
        <v>4.2682926829268296E-2</v>
      </c>
      <c r="Y375" s="17">
        <v>471</v>
      </c>
      <c r="Z375" s="36">
        <f t="shared" si="107"/>
        <v>0.66244725738396626</v>
      </c>
      <c r="AA375" s="17">
        <v>101</v>
      </c>
      <c r="AB375" s="36">
        <f t="shared" si="118"/>
        <v>0.61585365853658536</v>
      </c>
      <c r="AC375" s="17">
        <v>137</v>
      </c>
      <c r="AD375" s="36">
        <f t="shared" si="108"/>
        <v>0.19268635724331926</v>
      </c>
      <c r="AE375" s="17">
        <v>28</v>
      </c>
      <c r="AF375" s="36">
        <f t="shared" si="119"/>
        <v>0.17073170731707318</v>
      </c>
      <c r="AG375" s="17">
        <v>66</v>
      </c>
      <c r="AH375" s="36">
        <f t="shared" si="109"/>
        <v>9.2827004219409287E-2</v>
      </c>
      <c r="AI375" s="17">
        <v>23</v>
      </c>
      <c r="AJ375" s="36">
        <f t="shared" si="120"/>
        <v>0.1402439024390244</v>
      </c>
      <c r="AK375" s="17">
        <v>20</v>
      </c>
      <c r="AL375" s="36">
        <f t="shared" si="110"/>
        <v>2.8129395218002812E-2</v>
      </c>
      <c r="AM375" s="17">
        <v>4</v>
      </c>
      <c r="AN375" s="36">
        <f t="shared" si="121"/>
        <v>2.4390243902439025E-2</v>
      </c>
      <c r="AO375" s="17">
        <v>711</v>
      </c>
      <c r="AP375" s="17">
        <v>164</v>
      </c>
    </row>
    <row r="376" spans="1:42" ht="15.75" customHeight="1" x14ac:dyDescent="0.25">
      <c r="A376" s="37">
        <v>2022</v>
      </c>
      <c r="B376" s="35">
        <v>171665</v>
      </c>
      <c r="C376" s="33" t="str">
        <f>VLOOKUP(B376,procv!$A$2:$D$142,4,FALSE)</f>
        <v>Cerrado Tocantins Araguaia</v>
      </c>
      <c r="D376" s="33" t="s">
        <v>101</v>
      </c>
      <c r="E376" s="17">
        <v>2</v>
      </c>
      <c r="F376" s="36">
        <f t="shared" si="111"/>
        <v>4.5977011494252873E-3</v>
      </c>
      <c r="G376" s="17">
        <v>3</v>
      </c>
      <c r="H376" s="36">
        <f t="shared" si="112"/>
        <v>3.2258064516129031E-2</v>
      </c>
      <c r="I376" s="17">
        <v>18</v>
      </c>
      <c r="J376" s="36">
        <f t="shared" si="113"/>
        <v>4.1379310344827586E-2</v>
      </c>
      <c r="K376" s="17">
        <v>5</v>
      </c>
      <c r="L376" s="36">
        <f t="shared" si="114"/>
        <v>5.3763440860215055E-2</v>
      </c>
      <c r="M376" s="17">
        <v>415</v>
      </c>
      <c r="N376" s="36">
        <f t="shared" si="104"/>
        <v>0.95402298850574707</v>
      </c>
      <c r="O376" s="17">
        <v>85</v>
      </c>
      <c r="P376" s="36">
        <f t="shared" si="115"/>
        <v>0.91397849462365588</v>
      </c>
      <c r="Q376" s="17">
        <v>2</v>
      </c>
      <c r="R376" s="36">
        <f t="shared" si="105"/>
        <v>4.5977011494252873E-3</v>
      </c>
      <c r="S376" s="17">
        <v>0</v>
      </c>
      <c r="T376" s="36">
        <f t="shared" si="116"/>
        <v>0</v>
      </c>
      <c r="U376" s="17">
        <v>18</v>
      </c>
      <c r="V376" s="36">
        <f t="shared" si="106"/>
        <v>4.1379310344827586E-2</v>
      </c>
      <c r="W376" s="17">
        <v>4</v>
      </c>
      <c r="X376" s="36">
        <f t="shared" si="117"/>
        <v>4.3010752688172046E-2</v>
      </c>
      <c r="Y376" s="17">
        <v>292</v>
      </c>
      <c r="Z376" s="36">
        <f t="shared" si="107"/>
        <v>0.671264367816092</v>
      </c>
      <c r="AA376" s="17">
        <v>64</v>
      </c>
      <c r="AB376" s="36">
        <f t="shared" si="118"/>
        <v>0.68817204301075274</v>
      </c>
      <c r="AC376" s="17">
        <v>74</v>
      </c>
      <c r="AD376" s="36">
        <f t="shared" si="108"/>
        <v>0.17011494252873563</v>
      </c>
      <c r="AE376" s="17">
        <v>17</v>
      </c>
      <c r="AF376" s="36">
        <f t="shared" si="119"/>
        <v>0.18279569892473119</v>
      </c>
      <c r="AG376" s="17">
        <v>40</v>
      </c>
      <c r="AH376" s="36">
        <f t="shared" si="109"/>
        <v>9.1954022988505746E-2</v>
      </c>
      <c r="AI376" s="17">
        <v>5</v>
      </c>
      <c r="AJ376" s="36">
        <f t="shared" si="120"/>
        <v>5.3763440860215055E-2</v>
      </c>
      <c r="AK376" s="17">
        <v>9</v>
      </c>
      <c r="AL376" s="36">
        <f t="shared" si="110"/>
        <v>2.0689655172413793E-2</v>
      </c>
      <c r="AM376" s="17">
        <v>3</v>
      </c>
      <c r="AN376" s="36">
        <f t="shared" si="121"/>
        <v>3.2258064516129031E-2</v>
      </c>
      <c r="AO376" s="17">
        <v>435</v>
      </c>
      <c r="AP376" s="17">
        <v>93</v>
      </c>
    </row>
    <row r="377" spans="1:42" ht="15.75" customHeight="1" x14ac:dyDescent="0.25">
      <c r="A377" s="37">
        <v>2022</v>
      </c>
      <c r="B377" s="35">
        <v>171700</v>
      </c>
      <c r="C377" s="33" t="str">
        <f>VLOOKUP(B377,procv!$A$2:$D$142,4,FALSE)</f>
        <v>Amor Perfeito</v>
      </c>
      <c r="D377" s="33" t="s">
        <v>102</v>
      </c>
      <c r="E377" s="17">
        <v>5</v>
      </c>
      <c r="F377" s="36">
        <f t="shared" si="111"/>
        <v>1.2853470437017995E-2</v>
      </c>
      <c r="G377" s="17">
        <v>1</v>
      </c>
      <c r="H377" s="36">
        <f t="shared" si="112"/>
        <v>1.2500000000000001E-2</v>
      </c>
      <c r="I377" s="17">
        <v>11</v>
      </c>
      <c r="J377" s="36">
        <f t="shared" si="113"/>
        <v>2.8277634961439587E-2</v>
      </c>
      <c r="K377" s="17">
        <v>4</v>
      </c>
      <c r="L377" s="36">
        <f t="shared" si="114"/>
        <v>0.05</v>
      </c>
      <c r="M377" s="17">
        <v>373</v>
      </c>
      <c r="N377" s="36">
        <f t="shared" si="104"/>
        <v>0.95886889460154245</v>
      </c>
      <c r="O377" s="17">
        <v>75</v>
      </c>
      <c r="P377" s="36">
        <f t="shared" si="115"/>
        <v>0.9375</v>
      </c>
      <c r="Q377" s="17">
        <v>5</v>
      </c>
      <c r="R377" s="36">
        <f t="shared" si="105"/>
        <v>1.2853470437017995E-2</v>
      </c>
      <c r="S377" s="17">
        <v>3</v>
      </c>
      <c r="T377" s="36">
        <f t="shared" si="116"/>
        <v>3.7499999999999999E-2</v>
      </c>
      <c r="U377" s="17">
        <v>13</v>
      </c>
      <c r="V377" s="36">
        <f t="shared" si="106"/>
        <v>3.3419023136246784E-2</v>
      </c>
      <c r="W377" s="17">
        <v>2</v>
      </c>
      <c r="X377" s="36">
        <f t="shared" si="117"/>
        <v>2.5000000000000001E-2</v>
      </c>
      <c r="Y377" s="17">
        <v>263</v>
      </c>
      <c r="Z377" s="36">
        <f t="shared" si="107"/>
        <v>0.67609254498714655</v>
      </c>
      <c r="AA377" s="17">
        <v>51</v>
      </c>
      <c r="AB377" s="36">
        <f t="shared" si="118"/>
        <v>0.63749999999999996</v>
      </c>
      <c r="AC377" s="17">
        <v>65</v>
      </c>
      <c r="AD377" s="36">
        <f t="shared" si="108"/>
        <v>0.16709511568123395</v>
      </c>
      <c r="AE377" s="17">
        <v>17</v>
      </c>
      <c r="AF377" s="36">
        <f t="shared" si="119"/>
        <v>0.21249999999999999</v>
      </c>
      <c r="AG377" s="17">
        <v>37</v>
      </c>
      <c r="AH377" s="36">
        <f t="shared" si="109"/>
        <v>9.5115681233933158E-2</v>
      </c>
      <c r="AI377" s="17">
        <v>5</v>
      </c>
      <c r="AJ377" s="36">
        <f t="shared" si="120"/>
        <v>6.25E-2</v>
      </c>
      <c r="AK377" s="17">
        <v>6</v>
      </c>
      <c r="AL377" s="36">
        <f t="shared" si="110"/>
        <v>1.5424164524421594E-2</v>
      </c>
      <c r="AM377" s="17">
        <v>2</v>
      </c>
      <c r="AN377" s="36">
        <f t="shared" si="121"/>
        <v>2.5000000000000001E-2</v>
      </c>
      <c r="AO377" s="17">
        <v>389</v>
      </c>
      <c r="AP377" s="17">
        <v>80</v>
      </c>
    </row>
    <row r="378" spans="1:42" ht="15.75" customHeight="1" x14ac:dyDescent="0.25">
      <c r="A378" s="37">
        <v>2022</v>
      </c>
      <c r="B378" s="35">
        <v>171720</v>
      </c>
      <c r="C378" s="33" t="str">
        <f>VLOOKUP(B378,procv!$A$2:$D$142,4,FALSE)</f>
        <v>Médio Norte Araguaia</v>
      </c>
      <c r="D378" s="33" t="s">
        <v>103</v>
      </c>
      <c r="E378" s="17">
        <v>3</v>
      </c>
      <c r="F378" s="36">
        <f t="shared" si="111"/>
        <v>1.2875536480686695E-2</v>
      </c>
      <c r="G378" s="17">
        <v>1</v>
      </c>
      <c r="H378" s="36">
        <f t="shared" si="112"/>
        <v>1.4705882352941176E-2</v>
      </c>
      <c r="I378" s="17">
        <v>11</v>
      </c>
      <c r="J378" s="36">
        <f t="shared" si="113"/>
        <v>4.7210300429184553E-2</v>
      </c>
      <c r="K378" s="17">
        <v>2</v>
      </c>
      <c r="L378" s="36">
        <f t="shared" si="114"/>
        <v>2.9411764705882353E-2</v>
      </c>
      <c r="M378" s="17">
        <v>219</v>
      </c>
      <c r="N378" s="36">
        <f t="shared" si="104"/>
        <v>0.93991416309012876</v>
      </c>
      <c r="O378" s="17">
        <v>65</v>
      </c>
      <c r="P378" s="36">
        <f t="shared" si="115"/>
        <v>0.95588235294117652</v>
      </c>
      <c r="Q378" s="17">
        <v>1</v>
      </c>
      <c r="R378" s="36">
        <f t="shared" si="105"/>
        <v>4.2918454935622317E-3</v>
      </c>
      <c r="S378" s="17">
        <v>0</v>
      </c>
      <c r="T378" s="36">
        <f t="shared" si="116"/>
        <v>0</v>
      </c>
      <c r="U378" s="17">
        <v>11</v>
      </c>
      <c r="V378" s="36">
        <f t="shared" si="106"/>
        <v>4.7210300429184553E-2</v>
      </c>
      <c r="W378" s="17">
        <v>2</v>
      </c>
      <c r="X378" s="36">
        <f t="shared" si="117"/>
        <v>2.9411764705882353E-2</v>
      </c>
      <c r="Y378" s="17">
        <v>161</v>
      </c>
      <c r="Z378" s="36">
        <f t="shared" si="107"/>
        <v>0.69098712446351929</v>
      </c>
      <c r="AA378" s="17">
        <v>44</v>
      </c>
      <c r="AB378" s="36">
        <f t="shared" si="118"/>
        <v>0.6470588235294118</v>
      </c>
      <c r="AC378" s="17">
        <v>35</v>
      </c>
      <c r="AD378" s="36">
        <f t="shared" si="108"/>
        <v>0.15021459227467812</v>
      </c>
      <c r="AE378" s="17">
        <v>15</v>
      </c>
      <c r="AF378" s="36">
        <f t="shared" si="119"/>
        <v>0.22058823529411764</v>
      </c>
      <c r="AG378" s="17">
        <v>22</v>
      </c>
      <c r="AH378" s="36">
        <f t="shared" si="109"/>
        <v>9.4420600858369105E-2</v>
      </c>
      <c r="AI378" s="17">
        <v>6</v>
      </c>
      <c r="AJ378" s="36">
        <f t="shared" si="120"/>
        <v>8.8235294117647065E-2</v>
      </c>
      <c r="AK378" s="17">
        <v>3</v>
      </c>
      <c r="AL378" s="36">
        <f t="shared" si="110"/>
        <v>1.2875536480686695E-2</v>
      </c>
      <c r="AM378" s="17">
        <v>1</v>
      </c>
      <c r="AN378" s="36">
        <f t="shared" si="121"/>
        <v>1.4705882352941176E-2</v>
      </c>
      <c r="AO378" s="17">
        <v>233</v>
      </c>
      <c r="AP378" s="17">
        <v>68</v>
      </c>
    </row>
    <row r="379" spans="1:42" ht="15.75" customHeight="1" x14ac:dyDescent="0.25">
      <c r="A379" s="37">
        <v>2022</v>
      </c>
      <c r="B379" s="35">
        <v>171750</v>
      </c>
      <c r="C379" s="33" t="str">
        <f>VLOOKUP(B379,procv!$A$2:$D$142,4,FALSE)</f>
        <v>Cantão</v>
      </c>
      <c r="D379" s="33" t="s">
        <v>104</v>
      </c>
      <c r="E379" s="17">
        <v>8</v>
      </c>
      <c r="F379" s="36">
        <f t="shared" si="111"/>
        <v>1.4035087719298246E-2</v>
      </c>
      <c r="G379" s="17">
        <v>2</v>
      </c>
      <c r="H379" s="36">
        <f t="shared" si="112"/>
        <v>3.4482758620689655E-2</v>
      </c>
      <c r="I379" s="17">
        <v>15</v>
      </c>
      <c r="J379" s="36">
        <f t="shared" si="113"/>
        <v>2.6315789473684209E-2</v>
      </c>
      <c r="K379" s="17">
        <v>1</v>
      </c>
      <c r="L379" s="36">
        <f t="shared" si="114"/>
        <v>1.7241379310344827E-2</v>
      </c>
      <c r="M379" s="17">
        <v>547</v>
      </c>
      <c r="N379" s="36">
        <f t="shared" si="104"/>
        <v>0.95964912280701753</v>
      </c>
      <c r="O379" s="17">
        <v>55</v>
      </c>
      <c r="P379" s="36">
        <f t="shared" si="115"/>
        <v>0.94827586206896552</v>
      </c>
      <c r="Q379" s="17">
        <v>4</v>
      </c>
      <c r="R379" s="36">
        <f t="shared" si="105"/>
        <v>7.0175438596491229E-3</v>
      </c>
      <c r="S379" s="17">
        <v>0</v>
      </c>
      <c r="T379" s="36">
        <f t="shared" si="116"/>
        <v>0</v>
      </c>
      <c r="U379" s="17">
        <v>16</v>
      </c>
      <c r="V379" s="36">
        <f t="shared" si="106"/>
        <v>2.8070175438596492E-2</v>
      </c>
      <c r="W379" s="17">
        <v>1</v>
      </c>
      <c r="X379" s="36">
        <f t="shared" si="117"/>
        <v>1.7241379310344827E-2</v>
      </c>
      <c r="Y379" s="17">
        <v>385</v>
      </c>
      <c r="Z379" s="36">
        <f t="shared" si="107"/>
        <v>0.67543859649122806</v>
      </c>
      <c r="AA379" s="17">
        <v>37</v>
      </c>
      <c r="AB379" s="36">
        <f t="shared" si="118"/>
        <v>0.63793103448275867</v>
      </c>
      <c r="AC379" s="17">
        <v>97</v>
      </c>
      <c r="AD379" s="36">
        <f t="shared" si="108"/>
        <v>0.17017543859649123</v>
      </c>
      <c r="AE379" s="17">
        <v>13</v>
      </c>
      <c r="AF379" s="36">
        <f t="shared" si="119"/>
        <v>0.22413793103448276</v>
      </c>
      <c r="AG379" s="17">
        <v>54</v>
      </c>
      <c r="AH379" s="36">
        <f t="shared" si="109"/>
        <v>9.4736842105263161E-2</v>
      </c>
      <c r="AI379" s="17">
        <v>5</v>
      </c>
      <c r="AJ379" s="36">
        <f t="shared" si="120"/>
        <v>8.6206896551724144E-2</v>
      </c>
      <c r="AK379" s="17">
        <v>14</v>
      </c>
      <c r="AL379" s="36">
        <f t="shared" si="110"/>
        <v>2.456140350877193E-2</v>
      </c>
      <c r="AM379" s="17">
        <v>2</v>
      </c>
      <c r="AN379" s="36">
        <f t="shared" si="121"/>
        <v>3.4482758620689655E-2</v>
      </c>
      <c r="AO379" s="17">
        <v>570</v>
      </c>
      <c r="AP379" s="17">
        <v>58</v>
      </c>
    </row>
    <row r="380" spans="1:42" ht="15.75" customHeight="1" x14ac:dyDescent="0.25">
      <c r="A380" s="37">
        <v>2022</v>
      </c>
      <c r="B380" s="35">
        <v>171780</v>
      </c>
      <c r="C380" s="33" t="str">
        <f>VLOOKUP(B380,procv!$A$2:$D$142,4,FALSE)</f>
        <v>Sudeste</v>
      </c>
      <c r="D380" s="33" t="s">
        <v>105</v>
      </c>
      <c r="E380" s="17">
        <v>1</v>
      </c>
      <c r="F380" s="36">
        <f t="shared" si="111"/>
        <v>3.1545741324921135E-3</v>
      </c>
      <c r="G380" s="17">
        <v>1</v>
      </c>
      <c r="H380" s="36">
        <f t="shared" si="112"/>
        <v>9.2592592592592587E-3</v>
      </c>
      <c r="I380" s="17">
        <v>8</v>
      </c>
      <c r="J380" s="36">
        <f t="shared" si="113"/>
        <v>2.5236593059936908E-2</v>
      </c>
      <c r="K380" s="17">
        <v>2</v>
      </c>
      <c r="L380" s="36">
        <f t="shared" si="114"/>
        <v>1.8518518518518517E-2</v>
      </c>
      <c r="M380" s="17">
        <v>308</v>
      </c>
      <c r="N380" s="36">
        <f t="shared" si="104"/>
        <v>0.97160883280757093</v>
      </c>
      <c r="O380" s="17">
        <v>105</v>
      </c>
      <c r="P380" s="36">
        <f t="shared" si="115"/>
        <v>0.97222222222222221</v>
      </c>
      <c r="Q380" s="17">
        <v>5</v>
      </c>
      <c r="R380" s="36">
        <f t="shared" si="105"/>
        <v>1.5772870662460567E-2</v>
      </c>
      <c r="S380" s="17">
        <v>0</v>
      </c>
      <c r="T380" s="36">
        <f t="shared" si="116"/>
        <v>0</v>
      </c>
      <c r="U380" s="17">
        <v>15</v>
      </c>
      <c r="V380" s="36">
        <f t="shared" si="106"/>
        <v>4.7318611987381701E-2</v>
      </c>
      <c r="W380" s="17">
        <v>5</v>
      </c>
      <c r="X380" s="36">
        <f t="shared" si="117"/>
        <v>4.6296296296296294E-2</v>
      </c>
      <c r="Y380" s="17">
        <v>234</v>
      </c>
      <c r="Z380" s="36">
        <f t="shared" si="107"/>
        <v>0.73817034700315454</v>
      </c>
      <c r="AA380" s="17">
        <v>73</v>
      </c>
      <c r="AB380" s="36">
        <f t="shared" si="118"/>
        <v>0.67592592592592593</v>
      </c>
      <c r="AC380" s="17">
        <v>41</v>
      </c>
      <c r="AD380" s="36">
        <f t="shared" si="108"/>
        <v>0.12933753943217666</v>
      </c>
      <c r="AE380" s="17">
        <v>21</v>
      </c>
      <c r="AF380" s="36">
        <f t="shared" si="119"/>
        <v>0.19444444444444445</v>
      </c>
      <c r="AG380" s="17">
        <v>21</v>
      </c>
      <c r="AH380" s="36">
        <f t="shared" si="109"/>
        <v>6.6246056782334389E-2</v>
      </c>
      <c r="AI380" s="17">
        <v>8</v>
      </c>
      <c r="AJ380" s="36">
        <f t="shared" si="120"/>
        <v>7.407407407407407E-2</v>
      </c>
      <c r="AK380" s="17">
        <v>1</v>
      </c>
      <c r="AL380" s="36">
        <f t="shared" si="110"/>
        <v>3.1545741324921135E-3</v>
      </c>
      <c r="AM380" s="17">
        <v>1</v>
      </c>
      <c r="AN380" s="36">
        <f t="shared" si="121"/>
        <v>9.2592592592592587E-3</v>
      </c>
      <c r="AO380" s="17">
        <v>317</v>
      </c>
      <c r="AP380" s="17">
        <v>108</v>
      </c>
    </row>
    <row r="381" spans="1:42" ht="15.75" customHeight="1" x14ac:dyDescent="0.25">
      <c r="A381" s="37">
        <v>2022</v>
      </c>
      <c r="B381" s="35">
        <v>171790</v>
      </c>
      <c r="C381" s="33" t="str">
        <f>VLOOKUP(B381,procv!$A$2:$D$142,4,FALSE)</f>
        <v>Amor Perfeito</v>
      </c>
      <c r="D381" s="33" t="s">
        <v>106</v>
      </c>
      <c r="E381" s="17">
        <v>7</v>
      </c>
      <c r="F381" s="36">
        <f t="shared" si="111"/>
        <v>1.6431924882629109E-2</v>
      </c>
      <c r="G381" s="17">
        <v>5</v>
      </c>
      <c r="H381" s="36">
        <f t="shared" si="112"/>
        <v>1.8867924528301886E-2</v>
      </c>
      <c r="I381" s="17">
        <v>24</v>
      </c>
      <c r="J381" s="36">
        <f t="shared" si="113"/>
        <v>5.6338028169014086E-2</v>
      </c>
      <c r="K381" s="17">
        <v>11</v>
      </c>
      <c r="L381" s="36">
        <f t="shared" si="114"/>
        <v>4.1509433962264149E-2</v>
      </c>
      <c r="M381" s="17">
        <v>395</v>
      </c>
      <c r="N381" s="36">
        <f t="shared" ref="N381:N412" si="122">IFERROR(M381/$AO381,0)</f>
        <v>0.92723004694835676</v>
      </c>
      <c r="O381" s="17">
        <v>249</v>
      </c>
      <c r="P381" s="36">
        <f t="shared" si="115"/>
        <v>0.93962264150943398</v>
      </c>
      <c r="Q381" s="17">
        <v>10</v>
      </c>
      <c r="R381" s="36">
        <f t="shared" ref="R381:R412" si="123">IFERROR(Q381/$AO381,0)</f>
        <v>2.3474178403755867E-2</v>
      </c>
      <c r="S381" s="17">
        <v>7</v>
      </c>
      <c r="T381" s="36">
        <f t="shared" si="116"/>
        <v>2.6415094339622643E-2</v>
      </c>
      <c r="U381" s="17">
        <v>14</v>
      </c>
      <c r="V381" s="36">
        <f t="shared" ref="V381:V412" si="124">IFERROR(U381/$AO381,0)</f>
        <v>3.2863849765258218E-2</v>
      </c>
      <c r="W381" s="17">
        <v>6</v>
      </c>
      <c r="X381" s="36">
        <f t="shared" si="117"/>
        <v>2.2641509433962263E-2</v>
      </c>
      <c r="Y381" s="17">
        <v>293</v>
      </c>
      <c r="Z381" s="36">
        <f t="shared" ref="Z381:Z412" si="125">IFERROR(Y381/$AO381,0)</f>
        <v>0.68779342723004699</v>
      </c>
      <c r="AA381" s="17">
        <v>186</v>
      </c>
      <c r="AB381" s="36">
        <f t="shared" si="118"/>
        <v>0.70188679245283014</v>
      </c>
      <c r="AC381" s="17">
        <v>69</v>
      </c>
      <c r="AD381" s="36">
        <f t="shared" ref="AD381:AD412" si="126">IFERROR(AC381/$AO381,0)</f>
        <v>0.1619718309859155</v>
      </c>
      <c r="AE381" s="17">
        <v>39</v>
      </c>
      <c r="AF381" s="36">
        <f t="shared" si="119"/>
        <v>0.14716981132075471</v>
      </c>
      <c r="AG381" s="17">
        <v>32</v>
      </c>
      <c r="AH381" s="36">
        <f t="shared" ref="AH381:AH412" si="127">IFERROR(AG381/$AO381,0)</f>
        <v>7.5117370892018781E-2</v>
      </c>
      <c r="AI381" s="17">
        <v>20</v>
      </c>
      <c r="AJ381" s="36">
        <f t="shared" si="120"/>
        <v>7.5471698113207544E-2</v>
      </c>
      <c r="AK381" s="17">
        <v>8</v>
      </c>
      <c r="AL381" s="36">
        <f t="shared" ref="AL381:AL412" si="128">IFERROR(AK381/$AO381,0)</f>
        <v>1.8779342723004695E-2</v>
      </c>
      <c r="AM381" s="17">
        <v>7</v>
      </c>
      <c r="AN381" s="36">
        <f t="shared" si="121"/>
        <v>2.6415094339622643E-2</v>
      </c>
      <c r="AO381" s="17">
        <v>426</v>
      </c>
      <c r="AP381" s="17">
        <v>265</v>
      </c>
    </row>
    <row r="382" spans="1:42" ht="15.75" customHeight="1" x14ac:dyDescent="0.25">
      <c r="A382" s="37">
        <v>2022</v>
      </c>
      <c r="B382" s="35">
        <v>171800</v>
      </c>
      <c r="C382" s="33" t="str">
        <f>VLOOKUP(B382,procv!$A$2:$D$142,4,FALSE)</f>
        <v>Sudeste</v>
      </c>
      <c r="D382" s="33" t="s">
        <v>107</v>
      </c>
      <c r="E382" s="17">
        <v>2</v>
      </c>
      <c r="F382" s="36">
        <f t="shared" si="111"/>
        <v>7.4906367041198503E-3</v>
      </c>
      <c r="G382" s="17">
        <v>2</v>
      </c>
      <c r="H382" s="36">
        <f t="shared" si="112"/>
        <v>1.9801980198019802E-2</v>
      </c>
      <c r="I382" s="17">
        <v>11</v>
      </c>
      <c r="J382" s="36">
        <f t="shared" si="113"/>
        <v>4.1198501872659173E-2</v>
      </c>
      <c r="K382" s="17">
        <v>4</v>
      </c>
      <c r="L382" s="36">
        <f t="shared" si="114"/>
        <v>3.9603960396039604E-2</v>
      </c>
      <c r="M382" s="17">
        <v>254</v>
      </c>
      <c r="N382" s="36">
        <f t="shared" si="122"/>
        <v>0.95131086142322097</v>
      </c>
      <c r="O382" s="17">
        <v>95</v>
      </c>
      <c r="P382" s="36">
        <f t="shared" si="115"/>
        <v>0.94059405940594054</v>
      </c>
      <c r="Q382" s="17">
        <v>3</v>
      </c>
      <c r="R382" s="36">
        <f t="shared" si="123"/>
        <v>1.1235955056179775E-2</v>
      </c>
      <c r="S382" s="17">
        <v>0</v>
      </c>
      <c r="T382" s="36">
        <f t="shared" si="116"/>
        <v>0</v>
      </c>
      <c r="U382" s="17">
        <v>10</v>
      </c>
      <c r="V382" s="36">
        <f t="shared" si="124"/>
        <v>3.7453183520599252E-2</v>
      </c>
      <c r="W382" s="17">
        <v>5</v>
      </c>
      <c r="X382" s="36">
        <f t="shared" si="117"/>
        <v>4.9504950495049507E-2</v>
      </c>
      <c r="Y382" s="17">
        <v>183</v>
      </c>
      <c r="Z382" s="36">
        <f t="shared" si="125"/>
        <v>0.6853932584269663</v>
      </c>
      <c r="AA382" s="17">
        <v>70</v>
      </c>
      <c r="AB382" s="36">
        <f t="shared" si="118"/>
        <v>0.69306930693069302</v>
      </c>
      <c r="AC382" s="17">
        <v>49</v>
      </c>
      <c r="AD382" s="36">
        <f t="shared" si="126"/>
        <v>0.18352059925093633</v>
      </c>
      <c r="AE382" s="17">
        <v>19</v>
      </c>
      <c r="AF382" s="36">
        <f t="shared" si="119"/>
        <v>0.18811881188118812</v>
      </c>
      <c r="AG382" s="17">
        <v>15</v>
      </c>
      <c r="AH382" s="36">
        <f t="shared" si="127"/>
        <v>5.6179775280898875E-2</v>
      </c>
      <c r="AI382" s="17">
        <v>3</v>
      </c>
      <c r="AJ382" s="36">
        <f t="shared" si="120"/>
        <v>2.9702970297029702E-2</v>
      </c>
      <c r="AK382" s="17">
        <v>7</v>
      </c>
      <c r="AL382" s="36">
        <f t="shared" si="128"/>
        <v>2.6217228464419477E-2</v>
      </c>
      <c r="AM382" s="17">
        <v>4</v>
      </c>
      <c r="AN382" s="36">
        <f t="shared" si="121"/>
        <v>3.9603960396039604E-2</v>
      </c>
      <c r="AO382" s="17">
        <v>267</v>
      </c>
      <c r="AP382" s="17">
        <v>101</v>
      </c>
    </row>
    <row r="383" spans="1:42" ht="15.75" customHeight="1" x14ac:dyDescent="0.25">
      <c r="A383" s="37">
        <v>2022</v>
      </c>
      <c r="B383" s="35">
        <v>171820</v>
      </c>
      <c r="C383" s="33" t="str">
        <f>VLOOKUP(B383,procv!$A$2:$D$142,4,FALSE)</f>
        <v>Amor Perfeito</v>
      </c>
      <c r="D383" s="33" t="s">
        <v>108</v>
      </c>
      <c r="E383" s="17">
        <v>31</v>
      </c>
      <c r="F383" s="36">
        <f t="shared" si="111"/>
        <v>7.1297148114075441E-3</v>
      </c>
      <c r="G383" s="17">
        <v>11</v>
      </c>
      <c r="H383" s="36">
        <f t="shared" si="112"/>
        <v>1.3205282112845138E-2</v>
      </c>
      <c r="I383" s="17">
        <v>122</v>
      </c>
      <c r="J383" s="36">
        <f t="shared" si="113"/>
        <v>2.8058877644894203E-2</v>
      </c>
      <c r="K383" s="17">
        <v>26</v>
      </c>
      <c r="L383" s="36">
        <f t="shared" si="114"/>
        <v>3.1212484993997598E-2</v>
      </c>
      <c r="M383" s="16">
        <v>4195</v>
      </c>
      <c r="N383" s="36">
        <f t="shared" si="122"/>
        <v>0.96481140754369821</v>
      </c>
      <c r="O383" s="17">
        <v>796</v>
      </c>
      <c r="P383" s="36">
        <f t="shared" si="115"/>
        <v>0.95558223289315725</v>
      </c>
      <c r="Q383" s="17">
        <v>40</v>
      </c>
      <c r="R383" s="36">
        <f t="shared" si="123"/>
        <v>9.1996320147194107E-3</v>
      </c>
      <c r="S383" s="17">
        <v>12</v>
      </c>
      <c r="T383" s="36">
        <f t="shared" si="116"/>
        <v>1.4405762304921969E-2</v>
      </c>
      <c r="U383" s="17">
        <v>161</v>
      </c>
      <c r="V383" s="36">
        <f t="shared" si="124"/>
        <v>3.7028518859245629E-2</v>
      </c>
      <c r="W383" s="17">
        <v>36</v>
      </c>
      <c r="X383" s="36">
        <f t="shared" si="117"/>
        <v>4.3217286914765909E-2</v>
      </c>
      <c r="Y383" s="16">
        <v>2939</v>
      </c>
      <c r="Z383" s="36">
        <f t="shared" si="125"/>
        <v>0.67594296228150874</v>
      </c>
      <c r="AA383" s="17">
        <v>552</v>
      </c>
      <c r="AB383" s="36">
        <f t="shared" si="118"/>
        <v>0.66266506602641051</v>
      </c>
      <c r="AC383" s="17">
        <v>720</v>
      </c>
      <c r="AD383" s="36">
        <f t="shared" si="126"/>
        <v>0.16559337626494941</v>
      </c>
      <c r="AE383" s="17">
        <v>146</v>
      </c>
      <c r="AF383" s="36">
        <f t="shared" si="119"/>
        <v>0.1752701080432173</v>
      </c>
      <c r="AG383" s="17">
        <v>406</v>
      </c>
      <c r="AH383" s="36">
        <f t="shared" si="127"/>
        <v>9.337626494940203E-2</v>
      </c>
      <c r="AI383" s="17">
        <v>72</v>
      </c>
      <c r="AJ383" s="36">
        <f t="shared" si="120"/>
        <v>8.6434573829531819E-2</v>
      </c>
      <c r="AK383" s="17">
        <v>82</v>
      </c>
      <c r="AL383" s="36">
        <f t="shared" si="128"/>
        <v>1.8859245630174794E-2</v>
      </c>
      <c r="AM383" s="17">
        <v>15</v>
      </c>
      <c r="AN383" s="36">
        <f t="shared" si="121"/>
        <v>1.800720288115246E-2</v>
      </c>
      <c r="AO383" s="16">
        <v>4348</v>
      </c>
      <c r="AP383" s="17">
        <v>833</v>
      </c>
    </row>
    <row r="384" spans="1:42" ht="15.75" customHeight="1" x14ac:dyDescent="0.25">
      <c r="A384" s="37">
        <v>2022</v>
      </c>
      <c r="B384" s="35">
        <v>171830</v>
      </c>
      <c r="C384" s="33" t="str">
        <f>VLOOKUP(B384,procv!$A$2:$D$142,4,FALSE)</f>
        <v>Bico do Papagaio</v>
      </c>
      <c r="D384" s="33" t="s">
        <v>109</v>
      </c>
      <c r="E384" s="17">
        <v>9</v>
      </c>
      <c r="F384" s="36">
        <f t="shared" si="111"/>
        <v>1.3215859030837005E-2</v>
      </c>
      <c r="G384" s="17">
        <v>3</v>
      </c>
      <c r="H384" s="36">
        <f t="shared" si="112"/>
        <v>1.3636363636363636E-2</v>
      </c>
      <c r="I384" s="17">
        <v>47</v>
      </c>
      <c r="J384" s="36">
        <f t="shared" si="113"/>
        <v>6.901615271659324E-2</v>
      </c>
      <c r="K384" s="17">
        <v>15</v>
      </c>
      <c r="L384" s="36">
        <f t="shared" si="114"/>
        <v>6.8181818181818177E-2</v>
      </c>
      <c r="M384" s="17">
        <v>625</v>
      </c>
      <c r="N384" s="36">
        <f t="shared" si="122"/>
        <v>0.91776798825256978</v>
      </c>
      <c r="O384" s="17">
        <v>202</v>
      </c>
      <c r="P384" s="36">
        <f t="shared" si="115"/>
        <v>0.91818181818181821</v>
      </c>
      <c r="Q384" s="17">
        <v>11</v>
      </c>
      <c r="R384" s="36">
        <f t="shared" si="123"/>
        <v>1.6152716593245228E-2</v>
      </c>
      <c r="S384" s="17">
        <v>3</v>
      </c>
      <c r="T384" s="36">
        <f t="shared" si="116"/>
        <v>1.3636363636363636E-2</v>
      </c>
      <c r="U384" s="17">
        <v>29</v>
      </c>
      <c r="V384" s="36">
        <f t="shared" si="124"/>
        <v>4.2584434654919234E-2</v>
      </c>
      <c r="W384" s="17">
        <v>9</v>
      </c>
      <c r="X384" s="36">
        <f t="shared" si="117"/>
        <v>4.0909090909090909E-2</v>
      </c>
      <c r="Y384" s="17">
        <v>500</v>
      </c>
      <c r="Z384" s="36">
        <f t="shared" si="125"/>
        <v>0.73421439060205584</v>
      </c>
      <c r="AA384" s="17">
        <v>165</v>
      </c>
      <c r="AB384" s="36">
        <f t="shared" si="118"/>
        <v>0.75</v>
      </c>
      <c r="AC384" s="17">
        <v>97</v>
      </c>
      <c r="AD384" s="36">
        <f t="shared" si="126"/>
        <v>0.14243759177679882</v>
      </c>
      <c r="AE384" s="17">
        <v>29</v>
      </c>
      <c r="AF384" s="36">
        <f t="shared" si="119"/>
        <v>0.13181818181818181</v>
      </c>
      <c r="AG384" s="17">
        <v>37</v>
      </c>
      <c r="AH384" s="36">
        <f t="shared" si="127"/>
        <v>5.4331864904552128E-2</v>
      </c>
      <c r="AI384" s="17">
        <v>12</v>
      </c>
      <c r="AJ384" s="36">
        <f t="shared" si="120"/>
        <v>5.4545454545454543E-2</v>
      </c>
      <c r="AK384" s="17">
        <v>7</v>
      </c>
      <c r="AL384" s="36">
        <f t="shared" si="128"/>
        <v>1.0279001468428781E-2</v>
      </c>
      <c r="AM384" s="17">
        <v>2</v>
      </c>
      <c r="AN384" s="36">
        <f t="shared" si="121"/>
        <v>9.0909090909090905E-3</v>
      </c>
      <c r="AO384" s="17">
        <v>681</v>
      </c>
      <c r="AP384" s="17">
        <v>220</v>
      </c>
    </row>
    <row r="385" spans="1:42" ht="15.75" customHeight="1" x14ac:dyDescent="0.25">
      <c r="A385" s="37">
        <v>2022</v>
      </c>
      <c r="B385" s="35">
        <v>171840</v>
      </c>
      <c r="C385" s="33" t="str">
        <f>VLOOKUP(B385,procv!$A$2:$D$142,4,FALSE)</f>
        <v>Cerrado Tocantins Araguaia</v>
      </c>
      <c r="D385" s="33" t="s">
        <v>110</v>
      </c>
      <c r="E385" s="17">
        <v>0</v>
      </c>
      <c r="F385" s="36">
        <f t="shared" si="111"/>
        <v>0</v>
      </c>
      <c r="G385" s="17">
        <v>1</v>
      </c>
      <c r="H385" s="36">
        <f t="shared" si="112"/>
        <v>2.3255813953488372E-2</v>
      </c>
      <c r="I385" s="17">
        <v>9</v>
      </c>
      <c r="J385" s="36">
        <f t="shared" si="113"/>
        <v>4.4776119402985072E-2</v>
      </c>
      <c r="K385" s="17">
        <v>2</v>
      </c>
      <c r="L385" s="36">
        <f t="shared" si="114"/>
        <v>4.6511627906976744E-2</v>
      </c>
      <c r="M385" s="17">
        <v>192</v>
      </c>
      <c r="N385" s="36">
        <f t="shared" si="122"/>
        <v>0.95522388059701491</v>
      </c>
      <c r="O385" s="17">
        <v>40</v>
      </c>
      <c r="P385" s="36">
        <f t="shared" si="115"/>
        <v>0.93023255813953487</v>
      </c>
      <c r="Q385" s="17">
        <v>1</v>
      </c>
      <c r="R385" s="36">
        <f t="shared" si="123"/>
        <v>4.9751243781094526E-3</v>
      </c>
      <c r="S385" s="17">
        <v>1</v>
      </c>
      <c r="T385" s="36">
        <f t="shared" si="116"/>
        <v>2.3255813953488372E-2</v>
      </c>
      <c r="U385" s="17">
        <v>9</v>
      </c>
      <c r="V385" s="36">
        <f t="shared" si="124"/>
        <v>4.4776119402985072E-2</v>
      </c>
      <c r="W385" s="17">
        <v>0</v>
      </c>
      <c r="X385" s="36">
        <f t="shared" si="117"/>
        <v>0</v>
      </c>
      <c r="Y385" s="17">
        <v>138</v>
      </c>
      <c r="Z385" s="36">
        <f t="shared" si="125"/>
        <v>0.68656716417910446</v>
      </c>
      <c r="AA385" s="17">
        <v>34</v>
      </c>
      <c r="AB385" s="36">
        <f t="shared" si="118"/>
        <v>0.79069767441860461</v>
      </c>
      <c r="AC385" s="17">
        <v>28</v>
      </c>
      <c r="AD385" s="36">
        <f t="shared" si="126"/>
        <v>0.13930348258706468</v>
      </c>
      <c r="AE385" s="17">
        <v>6</v>
      </c>
      <c r="AF385" s="36">
        <f t="shared" si="119"/>
        <v>0.13953488372093023</v>
      </c>
      <c r="AG385" s="17">
        <v>17</v>
      </c>
      <c r="AH385" s="36">
        <f t="shared" si="127"/>
        <v>8.45771144278607E-2</v>
      </c>
      <c r="AI385" s="17">
        <v>1</v>
      </c>
      <c r="AJ385" s="36">
        <f t="shared" si="120"/>
        <v>2.3255813953488372E-2</v>
      </c>
      <c r="AK385" s="17">
        <v>8</v>
      </c>
      <c r="AL385" s="36">
        <f t="shared" si="128"/>
        <v>3.9800995024875621E-2</v>
      </c>
      <c r="AM385" s="17">
        <v>1</v>
      </c>
      <c r="AN385" s="36">
        <f t="shared" si="121"/>
        <v>2.3255813953488372E-2</v>
      </c>
      <c r="AO385" s="17">
        <v>201</v>
      </c>
      <c r="AP385" s="17">
        <v>43</v>
      </c>
    </row>
    <row r="386" spans="1:42" ht="15.75" customHeight="1" x14ac:dyDescent="0.25">
      <c r="A386" s="37">
        <v>2022</v>
      </c>
      <c r="B386" s="35">
        <v>171845</v>
      </c>
      <c r="C386" s="33" t="str">
        <f>VLOOKUP(B386,procv!$A$2:$D$142,4,FALSE)</f>
        <v>Cantão</v>
      </c>
      <c r="D386" s="33" t="s">
        <v>111</v>
      </c>
      <c r="E386" s="17">
        <v>2</v>
      </c>
      <c r="F386" s="36">
        <f t="shared" ref="F386:F449" si="129">IFERROR(E386/$AO386,0)</f>
        <v>6.8728522336769758E-3</v>
      </c>
      <c r="G386" s="17">
        <v>2</v>
      </c>
      <c r="H386" s="36">
        <f t="shared" ref="H386:H449" si="130">IFERROR(G386/$AP386,0)</f>
        <v>2.6315789473684209E-2</v>
      </c>
      <c r="I386" s="17">
        <v>10</v>
      </c>
      <c r="J386" s="36">
        <f t="shared" ref="J386:J449" si="131">IFERROR(I386/$AO386,0)</f>
        <v>3.4364261168384883E-2</v>
      </c>
      <c r="K386" s="17">
        <v>3</v>
      </c>
      <c r="L386" s="36">
        <f t="shared" ref="L386:L449" si="132">IFERROR(K386/$AP386,0)</f>
        <v>3.9473684210526314E-2</v>
      </c>
      <c r="M386" s="17">
        <v>279</v>
      </c>
      <c r="N386" s="36">
        <f t="shared" si="122"/>
        <v>0.95876288659793818</v>
      </c>
      <c r="O386" s="17">
        <v>71</v>
      </c>
      <c r="P386" s="36">
        <f t="shared" ref="P386:P449" si="133">IFERROR(O386/$AP386,0)</f>
        <v>0.93421052631578949</v>
      </c>
      <c r="Q386" s="17">
        <v>3</v>
      </c>
      <c r="R386" s="36">
        <f t="shared" si="123"/>
        <v>1.0309278350515464E-2</v>
      </c>
      <c r="S386" s="17">
        <v>0</v>
      </c>
      <c r="T386" s="36">
        <f t="shared" ref="T386:T449" si="134">IFERROR(S386/$AP386,0)</f>
        <v>0</v>
      </c>
      <c r="U386" s="17">
        <v>8</v>
      </c>
      <c r="V386" s="36">
        <f t="shared" si="124"/>
        <v>2.7491408934707903E-2</v>
      </c>
      <c r="W386" s="17">
        <v>3</v>
      </c>
      <c r="X386" s="36">
        <f t="shared" ref="X386:X449" si="135">IFERROR(W386/$AP386,0)</f>
        <v>3.9473684210526314E-2</v>
      </c>
      <c r="Y386" s="17">
        <v>204</v>
      </c>
      <c r="Z386" s="36">
        <f t="shared" si="125"/>
        <v>0.7010309278350515</v>
      </c>
      <c r="AA386" s="17">
        <v>51</v>
      </c>
      <c r="AB386" s="36">
        <f t="shared" ref="AB386:AB449" si="136">IFERROR(AA386/$AP386,0)</f>
        <v>0.67105263157894735</v>
      </c>
      <c r="AC386" s="17">
        <v>46</v>
      </c>
      <c r="AD386" s="36">
        <f t="shared" si="126"/>
        <v>0.15807560137457044</v>
      </c>
      <c r="AE386" s="17">
        <v>17</v>
      </c>
      <c r="AF386" s="36">
        <f t="shared" ref="AF386:AF449" si="137">IFERROR(AE386/$AP386,0)</f>
        <v>0.22368421052631579</v>
      </c>
      <c r="AG386" s="17">
        <v>21</v>
      </c>
      <c r="AH386" s="36">
        <f t="shared" si="127"/>
        <v>7.2164948453608241E-2</v>
      </c>
      <c r="AI386" s="17">
        <v>4</v>
      </c>
      <c r="AJ386" s="36">
        <f t="shared" ref="AJ386:AJ449" si="138">IFERROR(AI386/$AP386,0)</f>
        <v>5.2631578947368418E-2</v>
      </c>
      <c r="AK386" s="17">
        <v>9</v>
      </c>
      <c r="AL386" s="36">
        <f t="shared" si="128"/>
        <v>3.0927835051546393E-2</v>
      </c>
      <c r="AM386" s="17">
        <v>1</v>
      </c>
      <c r="AN386" s="36">
        <f t="shared" ref="AN386:AN449" si="139">IFERROR(AM386/$AP386,0)</f>
        <v>1.3157894736842105E-2</v>
      </c>
      <c r="AO386" s="17">
        <v>291</v>
      </c>
      <c r="AP386" s="17">
        <v>76</v>
      </c>
    </row>
    <row r="387" spans="1:42" ht="15.75" customHeight="1" x14ac:dyDescent="0.25">
      <c r="A387" s="37">
        <v>2022</v>
      </c>
      <c r="B387" s="35">
        <v>171850</v>
      </c>
      <c r="C387" s="33" t="str">
        <f>VLOOKUP(B387,procv!$A$2:$D$142,4,FALSE)</f>
        <v>Cerrado Tocantins Araguaia</v>
      </c>
      <c r="D387" s="33" t="s">
        <v>112</v>
      </c>
      <c r="E387" s="17">
        <v>5</v>
      </c>
      <c r="F387" s="36">
        <f t="shared" si="129"/>
        <v>1.0660980810234541E-2</v>
      </c>
      <c r="G387" s="17">
        <v>1</v>
      </c>
      <c r="H387" s="36">
        <f t="shared" si="130"/>
        <v>9.9009900990099011E-3</v>
      </c>
      <c r="I387" s="17">
        <v>31</v>
      </c>
      <c r="J387" s="36">
        <f t="shared" si="131"/>
        <v>6.6098081023454158E-2</v>
      </c>
      <c r="K387" s="17">
        <v>6</v>
      </c>
      <c r="L387" s="36">
        <f t="shared" si="132"/>
        <v>5.9405940594059403E-2</v>
      </c>
      <c r="M387" s="17">
        <v>433</v>
      </c>
      <c r="N387" s="36">
        <f t="shared" si="122"/>
        <v>0.92324093816631125</v>
      </c>
      <c r="O387" s="17">
        <v>94</v>
      </c>
      <c r="P387" s="36">
        <f t="shared" si="133"/>
        <v>0.93069306930693074</v>
      </c>
      <c r="Q387" s="17">
        <v>6</v>
      </c>
      <c r="R387" s="36">
        <f t="shared" si="123"/>
        <v>1.279317697228145E-2</v>
      </c>
      <c r="S387" s="17">
        <v>0</v>
      </c>
      <c r="T387" s="36">
        <f t="shared" si="134"/>
        <v>0</v>
      </c>
      <c r="U387" s="17">
        <v>27</v>
      </c>
      <c r="V387" s="36">
        <f t="shared" si="124"/>
        <v>5.7569296375266525E-2</v>
      </c>
      <c r="W387" s="17">
        <v>5</v>
      </c>
      <c r="X387" s="36">
        <f t="shared" si="135"/>
        <v>4.9504950495049507E-2</v>
      </c>
      <c r="Y387" s="17">
        <v>335</v>
      </c>
      <c r="Z387" s="36">
        <f t="shared" si="125"/>
        <v>0.7142857142857143</v>
      </c>
      <c r="AA387" s="17">
        <v>75</v>
      </c>
      <c r="AB387" s="36">
        <f t="shared" si="136"/>
        <v>0.74257425742574257</v>
      </c>
      <c r="AC387" s="17">
        <v>79</v>
      </c>
      <c r="AD387" s="36">
        <f t="shared" si="126"/>
        <v>0.16844349680170576</v>
      </c>
      <c r="AE387" s="17">
        <v>19</v>
      </c>
      <c r="AF387" s="36">
        <f t="shared" si="137"/>
        <v>0.18811881188118812</v>
      </c>
      <c r="AG387" s="17">
        <v>19</v>
      </c>
      <c r="AH387" s="36">
        <f t="shared" si="127"/>
        <v>4.0511727078891259E-2</v>
      </c>
      <c r="AI387" s="17">
        <v>2</v>
      </c>
      <c r="AJ387" s="36">
        <f t="shared" si="138"/>
        <v>1.9801980198019802E-2</v>
      </c>
      <c r="AK387" s="17">
        <v>3</v>
      </c>
      <c r="AL387" s="36">
        <f t="shared" si="128"/>
        <v>6.3965884861407248E-3</v>
      </c>
      <c r="AM387" s="17">
        <v>0</v>
      </c>
      <c r="AN387" s="36">
        <f t="shared" si="139"/>
        <v>0</v>
      </c>
      <c r="AO387" s="17">
        <v>469</v>
      </c>
      <c r="AP387" s="17">
        <v>101</v>
      </c>
    </row>
    <row r="388" spans="1:42" ht="15.75" customHeight="1" x14ac:dyDescent="0.25">
      <c r="A388" s="37">
        <v>2022</v>
      </c>
      <c r="B388" s="35">
        <v>171855</v>
      </c>
      <c r="C388" s="33" t="str">
        <f>VLOOKUP(B388,procv!$A$2:$D$142,4,FALSE)</f>
        <v>Bico do Papagaio</v>
      </c>
      <c r="D388" s="33" t="s">
        <v>113</v>
      </c>
      <c r="E388" s="17">
        <v>3</v>
      </c>
      <c r="F388" s="36">
        <f t="shared" si="129"/>
        <v>5.9405940594059407E-3</v>
      </c>
      <c r="G388" s="17">
        <v>1</v>
      </c>
      <c r="H388" s="36">
        <f t="shared" si="130"/>
        <v>6.8493150684931503E-3</v>
      </c>
      <c r="I388" s="17">
        <v>28</v>
      </c>
      <c r="J388" s="36">
        <f t="shared" si="131"/>
        <v>5.5445544554455446E-2</v>
      </c>
      <c r="K388" s="17">
        <v>9</v>
      </c>
      <c r="L388" s="36">
        <f t="shared" si="132"/>
        <v>6.1643835616438353E-2</v>
      </c>
      <c r="M388" s="17">
        <v>474</v>
      </c>
      <c r="N388" s="36">
        <f t="shared" si="122"/>
        <v>0.93861386138613856</v>
      </c>
      <c r="O388" s="17">
        <v>136</v>
      </c>
      <c r="P388" s="36">
        <f t="shared" si="133"/>
        <v>0.93150684931506844</v>
      </c>
      <c r="Q388" s="17">
        <v>4</v>
      </c>
      <c r="R388" s="36">
        <f t="shared" si="123"/>
        <v>7.9207920792079209E-3</v>
      </c>
      <c r="S388" s="17">
        <v>2</v>
      </c>
      <c r="T388" s="36">
        <f t="shared" si="134"/>
        <v>1.3698630136986301E-2</v>
      </c>
      <c r="U388" s="17">
        <v>29</v>
      </c>
      <c r="V388" s="36">
        <f t="shared" si="124"/>
        <v>5.7425742574257428E-2</v>
      </c>
      <c r="W388" s="17">
        <v>6</v>
      </c>
      <c r="X388" s="36">
        <f t="shared" si="135"/>
        <v>4.1095890410958902E-2</v>
      </c>
      <c r="Y388" s="17">
        <v>361</v>
      </c>
      <c r="Z388" s="36">
        <f t="shared" si="125"/>
        <v>0.71485148514851482</v>
      </c>
      <c r="AA388" s="17">
        <v>104</v>
      </c>
      <c r="AB388" s="36">
        <f t="shared" si="136"/>
        <v>0.71232876712328763</v>
      </c>
      <c r="AC388" s="17">
        <v>69</v>
      </c>
      <c r="AD388" s="36">
        <f t="shared" si="126"/>
        <v>0.13663366336633664</v>
      </c>
      <c r="AE388" s="17">
        <v>18</v>
      </c>
      <c r="AF388" s="36">
        <f t="shared" si="137"/>
        <v>0.12328767123287671</v>
      </c>
      <c r="AG388" s="17">
        <v>35</v>
      </c>
      <c r="AH388" s="36">
        <f t="shared" si="127"/>
        <v>6.9306930693069313E-2</v>
      </c>
      <c r="AI388" s="17">
        <v>14</v>
      </c>
      <c r="AJ388" s="36">
        <f t="shared" si="138"/>
        <v>9.5890410958904104E-2</v>
      </c>
      <c r="AK388" s="17">
        <v>7</v>
      </c>
      <c r="AL388" s="36">
        <f t="shared" si="128"/>
        <v>1.3861386138613862E-2</v>
      </c>
      <c r="AM388" s="17">
        <v>2</v>
      </c>
      <c r="AN388" s="36">
        <f t="shared" si="139"/>
        <v>1.3698630136986301E-2</v>
      </c>
      <c r="AO388" s="17">
        <v>505</v>
      </c>
      <c r="AP388" s="17">
        <v>146</v>
      </c>
    </row>
    <row r="389" spans="1:42" ht="15.75" customHeight="1" x14ac:dyDescent="0.25">
      <c r="A389" s="37">
        <v>2022</v>
      </c>
      <c r="B389" s="35">
        <v>171865</v>
      </c>
      <c r="C389" s="33" t="str">
        <f>VLOOKUP(B389,procv!$A$2:$D$142,4,FALSE)</f>
        <v>Sudeste</v>
      </c>
      <c r="D389" s="33" t="s">
        <v>114</v>
      </c>
      <c r="E389" s="17">
        <v>0</v>
      </c>
      <c r="F389" s="36">
        <f t="shared" si="129"/>
        <v>0</v>
      </c>
      <c r="G389" s="17">
        <v>0</v>
      </c>
      <c r="H389" s="36">
        <f t="shared" si="130"/>
        <v>0</v>
      </c>
      <c r="I389" s="17">
        <v>7</v>
      </c>
      <c r="J389" s="36">
        <f t="shared" si="131"/>
        <v>4.0697674418604654E-2</v>
      </c>
      <c r="K389" s="17">
        <v>1</v>
      </c>
      <c r="L389" s="36">
        <f t="shared" si="132"/>
        <v>2.4390243902439025E-2</v>
      </c>
      <c r="M389" s="17">
        <v>165</v>
      </c>
      <c r="N389" s="36">
        <f t="shared" si="122"/>
        <v>0.95930232558139539</v>
      </c>
      <c r="O389" s="17">
        <v>40</v>
      </c>
      <c r="P389" s="36">
        <f t="shared" si="133"/>
        <v>0.97560975609756095</v>
      </c>
      <c r="Q389" s="17">
        <v>2</v>
      </c>
      <c r="R389" s="36">
        <f t="shared" si="123"/>
        <v>1.1627906976744186E-2</v>
      </c>
      <c r="S389" s="17">
        <v>2</v>
      </c>
      <c r="T389" s="36">
        <f t="shared" si="134"/>
        <v>4.878048780487805E-2</v>
      </c>
      <c r="U389" s="17">
        <v>0</v>
      </c>
      <c r="V389" s="36">
        <f t="shared" si="124"/>
        <v>0</v>
      </c>
      <c r="W389" s="17">
        <v>0</v>
      </c>
      <c r="X389" s="36">
        <f t="shared" si="135"/>
        <v>0</v>
      </c>
      <c r="Y389" s="17">
        <v>125</v>
      </c>
      <c r="Z389" s="36">
        <f t="shared" si="125"/>
        <v>0.72674418604651159</v>
      </c>
      <c r="AA389" s="17">
        <v>31</v>
      </c>
      <c r="AB389" s="36">
        <f t="shared" si="136"/>
        <v>0.75609756097560976</v>
      </c>
      <c r="AC389" s="17">
        <v>30</v>
      </c>
      <c r="AD389" s="36">
        <f t="shared" si="126"/>
        <v>0.1744186046511628</v>
      </c>
      <c r="AE389" s="17">
        <v>6</v>
      </c>
      <c r="AF389" s="36">
        <f t="shared" si="137"/>
        <v>0.14634146341463414</v>
      </c>
      <c r="AG389" s="17">
        <v>12</v>
      </c>
      <c r="AH389" s="36">
        <f t="shared" si="127"/>
        <v>6.9767441860465115E-2</v>
      </c>
      <c r="AI389" s="17">
        <v>1</v>
      </c>
      <c r="AJ389" s="36">
        <f t="shared" si="138"/>
        <v>2.4390243902439025E-2</v>
      </c>
      <c r="AK389" s="17">
        <v>3</v>
      </c>
      <c r="AL389" s="36">
        <f t="shared" si="128"/>
        <v>1.7441860465116279E-2</v>
      </c>
      <c r="AM389" s="17">
        <v>1</v>
      </c>
      <c r="AN389" s="36">
        <f t="shared" si="139"/>
        <v>2.4390243902439025E-2</v>
      </c>
      <c r="AO389" s="17">
        <v>172</v>
      </c>
      <c r="AP389" s="17">
        <v>41</v>
      </c>
    </row>
    <row r="390" spans="1:42" ht="15.75" customHeight="1" x14ac:dyDescent="0.25">
      <c r="A390" s="37">
        <v>2022</v>
      </c>
      <c r="B390" s="35">
        <v>171870</v>
      </c>
      <c r="C390" s="33" t="str">
        <f>VLOOKUP(B390,procv!$A$2:$D$142,4,FALSE)</f>
        <v>Capim Dourado</v>
      </c>
      <c r="D390" s="33" t="s">
        <v>115</v>
      </c>
      <c r="E390" s="17">
        <v>5</v>
      </c>
      <c r="F390" s="36">
        <f t="shared" si="129"/>
        <v>2.2321428571428572E-2</v>
      </c>
      <c r="G390" s="17">
        <v>4</v>
      </c>
      <c r="H390" s="36">
        <f t="shared" si="130"/>
        <v>0.04</v>
      </c>
      <c r="I390" s="17">
        <v>8</v>
      </c>
      <c r="J390" s="36">
        <f t="shared" si="131"/>
        <v>3.5714285714285712E-2</v>
      </c>
      <c r="K390" s="17">
        <v>4</v>
      </c>
      <c r="L390" s="36">
        <f t="shared" si="132"/>
        <v>0.04</v>
      </c>
      <c r="M390" s="17">
        <v>211</v>
      </c>
      <c r="N390" s="36">
        <f t="shared" si="122"/>
        <v>0.9419642857142857</v>
      </c>
      <c r="O390" s="17">
        <v>92</v>
      </c>
      <c r="P390" s="36">
        <f t="shared" si="133"/>
        <v>0.92</v>
      </c>
      <c r="Q390" s="17">
        <v>1</v>
      </c>
      <c r="R390" s="36">
        <f t="shared" si="123"/>
        <v>4.464285714285714E-3</v>
      </c>
      <c r="S390" s="17">
        <v>2</v>
      </c>
      <c r="T390" s="36">
        <f t="shared" si="134"/>
        <v>0.02</v>
      </c>
      <c r="U390" s="17">
        <v>9</v>
      </c>
      <c r="V390" s="36">
        <f t="shared" si="124"/>
        <v>4.0178571428571432E-2</v>
      </c>
      <c r="W390" s="17">
        <v>6</v>
      </c>
      <c r="X390" s="36">
        <f t="shared" si="135"/>
        <v>0.06</v>
      </c>
      <c r="Y390" s="17">
        <v>153</v>
      </c>
      <c r="Z390" s="36">
        <f t="shared" si="125"/>
        <v>0.6830357142857143</v>
      </c>
      <c r="AA390" s="17">
        <v>70</v>
      </c>
      <c r="AB390" s="36">
        <f t="shared" si="136"/>
        <v>0.7</v>
      </c>
      <c r="AC390" s="17">
        <v>36</v>
      </c>
      <c r="AD390" s="36">
        <f t="shared" si="126"/>
        <v>0.16071428571428573</v>
      </c>
      <c r="AE390" s="17">
        <v>16</v>
      </c>
      <c r="AF390" s="36">
        <f t="shared" si="137"/>
        <v>0.16</v>
      </c>
      <c r="AG390" s="17">
        <v>20</v>
      </c>
      <c r="AH390" s="36">
        <f t="shared" si="127"/>
        <v>8.9285714285714288E-2</v>
      </c>
      <c r="AI390" s="17">
        <v>5</v>
      </c>
      <c r="AJ390" s="36">
        <f t="shared" si="138"/>
        <v>0.05</v>
      </c>
      <c r="AK390" s="17">
        <v>5</v>
      </c>
      <c r="AL390" s="36">
        <f t="shared" si="128"/>
        <v>2.2321428571428572E-2</v>
      </c>
      <c r="AM390" s="17">
        <v>1</v>
      </c>
      <c r="AN390" s="36">
        <f t="shared" si="139"/>
        <v>0.01</v>
      </c>
      <c r="AO390" s="17">
        <v>224</v>
      </c>
      <c r="AP390" s="17">
        <v>100</v>
      </c>
    </row>
    <row r="391" spans="1:42" ht="15.75" customHeight="1" x14ac:dyDescent="0.25">
      <c r="A391" s="37">
        <v>2022</v>
      </c>
      <c r="B391" s="35">
        <v>171875</v>
      </c>
      <c r="C391" s="33" t="str">
        <f>VLOOKUP(B391,procv!$A$2:$D$142,4,FALSE)</f>
        <v>Capim Dourado</v>
      </c>
      <c r="D391" s="33" t="s">
        <v>116</v>
      </c>
      <c r="E391" s="17">
        <v>6</v>
      </c>
      <c r="F391" s="36">
        <f t="shared" si="129"/>
        <v>1.1976047904191617E-2</v>
      </c>
      <c r="G391" s="17">
        <v>3</v>
      </c>
      <c r="H391" s="36">
        <f t="shared" si="130"/>
        <v>2.34375E-2</v>
      </c>
      <c r="I391" s="17">
        <v>26</v>
      </c>
      <c r="J391" s="36">
        <f t="shared" si="131"/>
        <v>5.1896207584830337E-2</v>
      </c>
      <c r="K391" s="17">
        <v>6</v>
      </c>
      <c r="L391" s="36">
        <f t="shared" si="132"/>
        <v>4.6875E-2</v>
      </c>
      <c r="M391" s="17">
        <v>469</v>
      </c>
      <c r="N391" s="36">
        <f t="shared" si="122"/>
        <v>0.93612774451097802</v>
      </c>
      <c r="O391" s="17">
        <v>119</v>
      </c>
      <c r="P391" s="36">
        <f t="shared" si="133"/>
        <v>0.9296875</v>
      </c>
      <c r="Q391" s="17">
        <v>12</v>
      </c>
      <c r="R391" s="36">
        <f t="shared" si="123"/>
        <v>2.3952095808383235E-2</v>
      </c>
      <c r="S391" s="17">
        <v>3</v>
      </c>
      <c r="T391" s="36">
        <f t="shared" si="134"/>
        <v>2.34375E-2</v>
      </c>
      <c r="U391" s="17">
        <v>18</v>
      </c>
      <c r="V391" s="36">
        <f t="shared" si="124"/>
        <v>3.5928143712574849E-2</v>
      </c>
      <c r="W391" s="17">
        <v>7</v>
      </c>
      <c r="X391" s="36">
        <f t="shared" si="135"/>
        <v>5.46875E-2</v>
      </c>
      <c r="Y391" s="17">
        <v>365</v>
      </c>
      <c r="Z391" s="36">
        <f t="shared" si="125"/>
        <v>0.72854291417165673</v>
      </c>
      <c r="AA391" s="17">
        <v>94</v>
      </c>
      <c r="AB391" s="36">
        <f t="shared" si="136"/>
        <v>0.734375</v>
      </c>
      <c r="AC391" s="17">
        <v>70</v>
      </c>
      <c r="AD391" s="36">
        <f t="shared" si="126"/>
        <v>0.13972055888223553</v>
      </c>
      <c r="AE391" s="17">
        <v>16</v>
      </c>
      <c r="AF391" s="36">
        <f t="shared" si="137"/>
        <v>0.125</v>
      </c>
      <c r="AG391" s="17">
        <v>35</v>
      </c>
      <c r="AH391" s="36">
        <f t="shared" si="127"/>
        <v>6.9860279441117765E-2</v>
      </c>
      <c r="AI391" s="17">
        <v>8</v>
      </c>
      <c r="AJ391" s="36">
        <f t="shared" si="138"/>
        <v>6.25E-2</v>
      </c>
      <c r="AK391" s="17">
        <v>1</v>
      </c>
      <c r="AL391" s="36">
        <f t="shared" si="128"/>
        <v>1.996007984031936E-3</v>
      </c>
      <c r="AM391" s="17">
        <v>0</v>
      </c>
      <c r="AN391" s="36">
        <f t="shared" si="139"/>
        <v>0</v>
      </c>
      <c r="AO391" s="17">
        <v>501</v>
      </c>
      <c r="AP391" s="17">
        <v>128</v>
      </c>
    </row>
    <row r="392" spans="1:42" ht="15.75" customHeight="1" x14ac:dyDescent="0.25">
      <c r="A392" s="37">
        <v>2022</v>
      </c>
      <c r="B392" s="35">
        <v>171880</v>
      </c>
      <c r="C392" s="33" t="str">
        <f>VLOOKUP(B392,procv!$A$2:$D$142,4,FALSE)</f>
        <v>Bico do Papagaio</v>
      </c>
      <c r="D392" s="33" t="s">
        <v>117</v>
      </c>
      <c r="E392" s="17">
        <v>10</v>
      </c>
      <c r="F392" s="36">
        <f t="shared" si="129"/>
        <v>1.7889087656529516E-2</v>
      </c>
      <c r="G392" s="17">
        <v>6</v>
      </c>
      <c r="H392" s="36">
        <f t="shared" si="130"/>
        <v>2.8708133971291867E-2</v>
      </c>
      <c r="I392" s="17">
        <v>32</v>
      </c>
      <c r="J392" s="36">
        <f t="shared" si="131"/>
        <v>5.7245080500894455E-2</v>
      </c>
      <c r="K392" s="17">
        <v>12</v>
      </c>
      <c r="L392" s="36">
        <f t="shared" si="132"/>
        <v>5.7416267942583733E-2</v>
      </c>
      <c r="M392" s="17">
        <v>517</v>
      </c>
      <c r="N392" s="36">
        <f t="shared" si="122"/>
        <v>0.92486583184257598</v>
      </c>
      <c r="O392" s="17">
        <v>191</v>
      </c>
      <c r="P392" s="36">
        <f t="shared" si="133"/>
        <v>0.9138755980861244</v>
      </c>
      <c r="Q392" s="17">
        <v>11</v>
      </c>
      <c r="R392" s="36">
        <f t="shared" si="123"/>
        <v>1.9677996422182469E-2</v>
      </c>
      <c r="S392" s="17">
        <v>5</v>
      </c>
      <c r="T392" s="36">
        <f t="shared" si="134"/>
        <v>2.3923444976076555E-2</v>
      </c>
      <c r="U392" s="17">
        <v>24</v>
      </c>
      <c r="V392" s="36">
        <f t="shared" si="124"/>
        <v>4.2933810375670838E-2</v>
      </c>
      <c r="W392" s="17">
        <v>6</v>
      </c>
      <c r="X392" s="36">
        <f t="shared" si="135"/>
        <v>2.8708133971291867E-2</v>
      </c>
      <c r="Y392" s="17">
        <v>394</v>
      </c>
      <c r="Z392" s="36">
        <f t="shared" si="125"/>
        <v>0.70483005366726292</v>
      </c>
      <c r="AA392" s="17">
        <v>154</v>
      </c>
      <c r="AB392" s="36">
        <f t="shared" si="136"/>
        <v>0.73684210526315785</v>
      </c>
      <c r="AC392" s="17">
        <v>89</v>
      </c>
      <c r="AD392" s="36">
        <f t="shared" si="126"/>
        <v>0.15921288014311269</v>
      </c>
      <c r="AE392" s="17">
        <v>32</v>
      </c>
      <c r="AF392" s="36">
        <f t="shared" si="137"/>
        <v>0.15311004784688995</v>
      </c>
      <c r="AG392" s="17">
        <v>31</v>
      </c>
      <c r="AH392" s="36">
        <f t="shared" si="127"/>
        <v>5.5456171735241505E-2</v>
      </c>
      <c r="AI392" s="17">
        <v>8</v>
      </c>
      <c r="AJ392" s="36">
        <f t="shared" si="138"/>
        <v>3.8277511961722487E-2</v>
      </c>
      <c r="AK392" s="17">
        <v>10</v>
      </c>
      <c r="AL392" s="36">
        <f t="shared" si="128"/>
        <v>1.7889087656529516E-2</v>
      </c>
      <c r="AM392" s="17">
        <v>4</v>
      </c>
      <c r="AN392" s="36">
        <f t="shared" si="139"/>
        <v>1.9138755980861243E-2</v>
      </c>
      <c r="AO392" s="17">
        <v>559</v>
      </c>
      <c r="AP392" s="17">
        <v>209</v>
      </c>
    </row>
    <row r="393" spans="1:42" ht="15.75" customHeight="1" x14ac:dyDescent="0.25">
      <c r="A393" s="37">
        <v>2022</v>
      </c>
      <c r="B393" s="35">
        <v>171884</v>
      </c>
      <c r="C393" s="33" t="str">
        <f>VLOOKUP(B393,procv!$A$2:$D$142,4,FALSE)</f>
        <v>Ilha do Bananal</v>
      </c>
      <c r="D393" s="33" t="s">
        <v>118</v>
      </c>
      <c r="E393" s="17">
        <v>5</v>
      </c>
      <c r="F393" s="36">
        <f t="shared" si="129"/>
        <v>1.1655011655011656E-2</v>
      </c>
      <c r="G393" s="17">
        <v>2</v>
      </c>
      <c r="H393" s="36">
        <f t="shared" si="130"/>
        <v>4.2553191489361701E-2</v>
      </c>
      <c r="I393" s="17">
        <v>17</v>
      </c>
      <c r="J393" s="36">
        <f t="shared" si="131"/>
        <v>3.9627039627039624E-2</v>
      </c>
      <c r="K393" s="17">
        <v>2</v>
      </c>
      <c r="L393" s="36">
        <f t="shared" si="132"/>
        <v>4.2553191489361701E-2</v>
      </c>
      <c r="M393" s="17">
        <v>407</v>
      </c>
      <c r="N393" s="36">
        <f t="shared" si="122"/>
        <v>0.94871794871794868</v>
      </c>
      <c r="O393" s="17">
        <v>43</v>
      </c>
      <c r="P393" s="36">
        <f t="shared" si="133"/>
        <v>0.91489361702127658</v>
      </c>
      <c r="Q393" s="17">
        <v>5</v>
      </c>
      <c r="R393" s="36">
        <f t="shared" si="123"/>
        <v>1.1655011655011656E-2</v>
      </c>
      <c r="S393" s="17">
        <v>1</v>
      </c>
      <c r="T393" s="36">
        <f t="shared" si="134"/>
        <v>2.1276595744680851E-2</v>
      </c>
      <c r="U393" s="17">
        <v>21</v>
      </c>
      <c r="V393" s="36">
        <f t="shared" si="124"/>
        <v>4.8951048951048952E-2</v>
      </c>
      <c r="W393" s="17">
        <v>0</v>
      </c>
      <c r="X393" s="36">
        <f t="shared" si="135"/>
        <v>0</v>
      </c>
      <c r="Y393" s="17">
        <v>267</v>
      </c>
      <c r="Z393" s="36">
        <f t="shared" si="125"/>
        <v>0.6223776223776224</v>
      </c>
      <c r="AA393" s="17">
        <v>23</v>
      </c>
      <c r="AB393" s="36">
        <f t="shared" si="136"/>
        <v>0.48936170212765956</v>
      </c>
      <c r="AC393" s="17">
        <v>84</v>
      </c>
      <c r="AD393" s="36">
        <f t="shared" si="126"/>
        <v>0.19580419580419581</v>
      </c>
      <c r="AE393" s="17">
        <v>13</v>
      </c>
      <c r="AF393" s="36">
        <f t="shared" si="137"/>
        <v>0.27659574468085107</v>
      </c>
      <c r="AG393" s="17">
        <v>41</v>
      </c>
      <c r="AH393" s="36">
        <f t="shared" si="127"/>
        <v>9.5571095571095568E-2</v>
      </c>
      <c r="AI393" s="17">
        <v>7</v>
      </c>
      <c r="AJ393" s="36">
        <f t="shared" si="138"/>
        <v>0.14893617021276595</v>
      </c>
      <c r="AK393" s="17">
        <v>11</v>
      </c>
      <c r="AL393" s="36">
        <f t="shared" si="128"/>
        <v>2.564102564102564E-2</v>
      </c>
      <c r="AM393" s="17">
        <v>3</v>
      </c>
      <c r="AN393" s="36">
        <f t="shared" si="139"/>
        <v>6.3829787234042548E-2</v>
      </c>
      <c r="AO393" s="17">
        <v>429</v>
      </c>
      <c r="AP393" s="17">
        <v>47</v>
      </c>
    </row>
    <row r="394" spans="1:42" ht="15.75" customHeight="1" x14ac:dyDescent="0.25">
      <c r="A394" s="37">
        <v>2022</v>
      </c>
      <c r="B394" s="35">
        <v>171886</v>
      </c>
      <c r="C394" s="33" t="str">
        <f>VLOOKUP(B394,procv!$A$2:$D$142,4,FALSE)</f>
        <v>Médio Norte Araguaia</v>
      </c>
      <c r="D394" s="33" t="s">
        <v>119</v>
      </c>
      <c r="E394" s="17">
        <v>19</v>
      </c>
      <c r="F394" s="36">
        <f t="shared" si="129"/>
        <v>3.4926470588235295E-2</v>
      </c>
      <c r="G394" s="17">
        <v>15</v>
      </c>
      <c r="H394" s="36">
        <f t="shared" si="130"/>
        <v>0.13636363636363635</v>
      </c>
      <c r="I394" s="17">
        <v>26</v>
      </c>
      <c r="J394" s="36">
        <f t="shared" si="131"/>
        <v>4.779411764705882E-2</v>
      </c>
      <c r="K394" s="17">
        <v>13</v>
      </c>
      <c r="L394" s="36">
        <f t="shared" si="132"/>
        <v>0.11818181818181818</v>
      </c>
      <c r="M394" s="17">
        <v>499</v>
      </c>
      <c r="N394" s="36">
        <f t="shared" si="122"/>
        <v>0.91727941176470584</v>
      </c>
      <c r="O394" s="17">
        <v>82</v>
      </c>
      <c r="P394" s="36">
        <f t="shared" si="133"/>
        <v>0.74545454545454548</v>
      </c>
      <c r="Q394" s="17">
        <v>12</v>
      </c>
      <c r="R394" s="36">
        <f t="shared" si="123"/>
        <v>2.2058823529411766E-2</v>
      </c>
      <c r="S394" s="17">
        <v>6</v>
      </c>
      <c r="T394" s="36">
        <f t="shared" si="134"/>
        <v>5.4545454545454543E-2</v>
      </c>
      <c r="U394" s="17">
        <v>16</v>
      </c>
      <c r="V394" s="36">
        <f t="shared" si="124"/>
        <v>2.9411764705882353E-2</v>
      </c>
      <c r="W394" s="17">
        <v>3</v>
      </c>
      <c r="X394" s="36">
        <f t="shared" si="135"/>
        <v>2.7272727272727271E-2</v>
      </c>
      <c r="Y394" s="17">
        <v>371</v>
      </c>
      <c r="Z394" s="36">
        <f t="shared" si="125"/>
        <v>0.68198529411764708</v>
      </c>
      <c r="AA394" s="17">
        <v>71</v>
      </c>
      <c r="AB394" s="36">
        <f t="shared" si="136"/>
        <v>0.6454545454545455</v>
      </c>
      <c r="AC394" s="17">
        <v>85</v>
      </c>
      <c r="AD394" s="36">
        <f t="shared" si="126"/>
        <v>0.15625</v>
      </c>
      <c r="AE394" s="17">
        <v>18</v>
      </c>
      <c r="AF394" s="36">
        <f t="shared" si="137"/>
        <v>0.16363636363636364</v>
      </c>
      <c r="AG394" s="17">
        <v>45</v>
      </c>
      <c r="AH394" s="36">
        <f t="shared" si="127"/>
        <v>8.2720588235294115E-2</v>
      </c>
      <c r="AI394" s="17">
        <v>10</v>
      </c>
      <c r="AJ394" s="36">
        <f t="shared" si="138"/>
        <v>9.0909090909090912E-2</v>
      </c>
      <c r="AK394" s="17">
        <v>15</v>
      </c>
      <c r="AL394" s="36">
        <f t="shared" si="128"/>
        <v>2.7573529411764705E-2</v>
      </c>
      <c r="AM394" s="17">
        <v>2</v>
      </c>
      <c r="AN394" s="36">
        <f t="shared" si="139"/>
        <v>1.8181818181818181E-2</v>
      </c>
      <c r="AO394" s="17">
        <v>544</v>
      </c>
      <c r="AP394" s="17">
        <v>110</v>
      </c>
    </row>
    <row r="395" spans="1:42" ht="15.75" customHeight="1" x14ac:dyDescent="0.25">
      <c r="A395" s="37">
        <v>2022</v>
      </c>
      <c r="B395" s="35">
        <v>171888</v>
      </c>
      <c r="C395" s="33" t="str">
        <f>VLOOKUP(B395,procv!$A$2:$D$142,4,FALSE)</f>
        <v>Cerrado Tocantins Araguaia</v>
      </c>
      <c r="D395" s="33" t="s">
        <v>120</v>
      </c>
      <c r="E395" s="17">
        <v>8</v>
      </c>
      <c r="F395" s="36">
        <f t="shared" si="129"/>
        <v>2.4464831804281346E-2</v>
      </c>
      <c r="G395" s="17">
        <v>6</v>
      </c>
      <c r="H395" s="36">
        <f t="shared" si="130"/>
        <v>0.2857142857142857</v>
      </c>
      <c r="I395" s="17">
        <v>23</v>
      </c>
      <c r="J395" s="36">
        <f t="shared" si="131"/>
        <v>7.0336391437308868E-2</v>
      </c>
      <c r="K395" s="17">
        <v>0</v>
      </c>
      <c r="L395" s="36">
        <f t="shared" si="132"/>
        <v>0</v>
      </c>
      <c r="M395" s="17">
        <v>296</v>
      </c>
      <c r="N395" s="36">
        <f t="shared" si="122"/>
        <v>0.90519877675840976</v>
      </c>
      <c r="O395" s="17">
        <v>15</v>
      </c>
      <c r="P395" s="36">
        <f t="shared" si="133"/>
        <v>0.7142857142857143</v>
      </c>
      <c r="Q395" s="17">
        <v>4</v>
      </c>
      <c r="R395" s="36">
        <f t="shared" si="123"/>
        <v>1.2232415902140673E-2</v>
      </c>
      <c r="S395" s="17">
        <v>0</v>
      </c>
      <c r="T395" s="36">
        <f t="shared" si="134"/>
        <v>0</v>
      </c>
      <c r="U395" s="17">
        <v>9</v>
      </c>
      <c r="V395" s="36">
        <f t="shared" si="124"/>
        <v>2.7522935779816515E-2</v>
      </c>
      <c r="W395" s="17">
        <v>3</v>
      </c>
      <c r="X395" s="36">
        <f t="shared" si="135"/>
        <v>0.14285714285714285</v>
      </c>
      <c r="Y395" s="17">
        <v>221</v>
      </c>
      <c r="Z395" s="36">
        <f t="shared" si="125"/>
        <v>0.67584097859327219</v>
      </c>
      <c r="AA395" s="17">
        <v>10</v>
      </c>
      <c r="AB395" s="36">
        <f t="shared" si="136"/>
        <v>0.47619047619047616</v>
      </c>
      <c r="AC395" s="17">
        <v>58</v>
      </c>
      <c r="AD395" s="36">
        <f t="shared" si="126"/>
        <v>0.17737003058103976</v>
      </c>
      <c r="AE395" s="17">
        <v>4</v>
      </c>
      <c r="AF395" s="36">
        <f t="shared" si="137"/>
        <v>0.19047619047619047</v>
      </c>
      <c r="AG395" s="17">
        <v>25</v>
      </c>
      <c r="AH395" s="36">
        <f t="shared" si="127"/>
        <v>7.64525993883792E-2</v>
      </c>
      <c r="AI395" s="17">
        <v>2</v>
      </c>
      <c r="AJ395" s="36">
        <f t="shared" si="138"/>
        <v>9.5238095238095233E-2</v>
      </c>
      <c r="AK395" s="17">
        <v>10</v>
      </c>
      <c r="AL395" s="36">
        <f t="shared" si="128"/>
        <v>3.0581039755351681E-2</v>
      </c>
      <c r="AM395" s="17">
        <v>2</v>
      </c>
      <c r="AN395" s="36">
        <f t="shared" si="139"/>
        <v>9.5238095238095233E-2</v>
      </c>
      <c r="AO395" s="17">
        <v>327</v>
      </c>
      <c r="AP395" s="17">
        <v>21</v>
      </c>
    </row>
    <row r="396" spans="1:42" ht="15.75" customHeight="1" x14ac:dyDescent="0.25">
      <c r="A396" s="37">
        <v>2022</v>
      </c>
      <c r="B396" s="35">
        <v>171889</v>
      </c>
      <c r="C396" s="33" t="str">
        <f>VLOOKUP(B396,procv!$A$2:$D$142,4,FALSE)</f>
        <v>Ilha do Bananal</v>
      </c>
      <c r="D396" s="33" t="s">
        <v>121</v>
      </c>
      <c r="E396" s="17">
        <v>1</v>
      </c>
      <c r="F396" s="36">
        <f t="shared" si="129"/>
        <v>6.4516129032258064E-3</v>
      </c>
      <c r="G396" s="17">
        <v>0</v>
      </c>
      <c r="H396" s="36">
        <f t="shared" si="130"/>
        <v>0</v>
      </c>
      <c r="I396" s="17">
        <v>9</v>
      </c>
      <c r="J396" s="36">
        <f t="shared" si="131"/>
        <v>5.8064516129032261E-2</v>
      </c>
      <c r="K396" s="17">
        <v>1</v>
      </c>
      <c r="L396" s="36">
        <f t="shared" si="132"/>
        <v>3.2258064516129031E-2</v>
      </c>
      <c r="M396" s="17">
        <v>145</v>
      </c>
      <c r="N396" s="36">
        <f t="shared" si="122"/>
        <v>0.93548387096774188</v>
      </c>
      <c r="O396" s="17">
        <v>30</v>
      </c>
      <c r="P396" s="36">
        <f t="shared" si="133"/>
        <v>0.967741935483871</v>
      </c>
      <c r="Q396" s="17">
        <v>4</v>
      </c>
      <c r="R396" s="36">
        <f t="shared" si="123"/>
        <v>2.5806451612903226E-2</v>
      </c>
      <c r="S396" s="17">
        <v>0</v>
      </c>
      <c r="T396" s="36">
        <f t="shared" si="134"/>
        <v>0</v>
      </c>
      <c r="U396" s="17">
        <v>5</v>
      </c>
      <c r="V396" s="36">
        <f t="shared" si="124"/>
        <v>3.2258064516129031E-2</v>
      </c>
      <c r="W396" s="17">
        <v>0</v>
      </c>
      <c r="X396" s="36">
        <f t="shared" si="135"/>
        <v>0</v>
      </c>
      <c r="Y396" s="17">
        <v>91</v>
      </c>
      <c r="Z396" s="36">
        <f t="shared" si="125"/>
        <v>0.58709677419354833</v>
      </c>
      <c r="AA396" s="17">
        <v>17</v>
      </c>
      <c r="AB396" s="36">
        <f t="shared" si="136"/>
        <v>0.54838709677419351</v>
      </c>
      <c r="AC396" s="17">
        <v>41</v>
      </c>
      <c r="AD396" s="36">
        <f t="shared" si="126"/>
        <v>0.26451612903225807</v>
      </c>
      <c r="AE396" s="17">
        <v>12</v>
      </c>
      <c r="AF396" s="36">
        <f t="shared" si="137"/>
        <v>0.38709677419354838</v>
      </c>
      <c r="AG396" s="17">
        <v>13</v>
      </c>
      <c r="AH396" s="36">
        <f t="shared" si="127"/>
        <v>8.387096774193549E-2</v>
      </c>
      <c r="AI396" s="17">
        <v>2</v>
      </c>
      <c r="AJ396" s="36">
        <f t="shared" si="138"/>
        <v>6.4516129032258063E-2</v>
      </c>
      <c r="AK396" s="17">
        <v>1</v>
      </c>
      <c r="AL396" s="36">
        <f t="shared" si="128"/>
        <v>6.4516129032258064E-3</v>
      </c>
      <c r="AM396" s="17">
        <v>0</v>
      </c>
      <c r="AN396" s="36">
        <f t="shared" si="139"/>
        <v>0</v>
      </c>
      <c r="AO396" s="17">
        <v>155</v>
      </c>
      <c r="AP396" s="17">
        <v>31</v>
      </c>
    </row>
    <row r="397" spans="1:42" ht="15.75" customHeight="1" x14ac:dyDescent="0.25">
      <c r="A397" s="37">
        <v>2022</v>
      </c>
      <c r="B397" s="35">
        <v>171890</v>
      </c>
      <c r="C397" s="33" t="str">
        <f>VLOOKUP(B397,procv!$A$2:$D$142,4,FALSE)</f>
        <v>Amor Perfeito</v>
      </c>
      <c r="D397" s="33" t="s">
        <v>122</v>
      </c>
      <c r="E397" s="17">
        <v>6</v>
      </c>
      <c r="F397" s="36">
        <f t="shared" si="129"/>
        <v>1.1857707509881422E-2</v>
      </c>
      <c r="G397" s="17">
        <v>1</v>
      </c>
      <c r="H397" s="36">
        <f t="shared" si="130"/>
        <v>7.4074074074074077E-3</v>
      </c>
      <c r="I397" s="17">
        <v>12</v>
      </c>
      <c r="J397" s="36">
        <f t="shared" si="131"/>
        <v>2.3715415019762844E-2</v>
      </c>
      <c r="K397" s="17">
        <v>3</v>
      </c>
      <c r="L397" s="36">
        <f t="shared" si="132"/>
        <v>2.2222222222222223E-2</v>
      </c>
      <c r="M397" s="17">
        <v>488</v>
      </c>
      <c r="N397" s="36">
        <f t="shared" si="122"/>
        <v>0.96442687747035571</v>
      </c>
      <c r="O397" s="17">
        <v>131</v>
      </c>
      <c r="P397" s="36">
        <f t="shared" si="133"/>
        <v>0.97037037037037033</v>
      </c>
      <c r="Q397" s="17">
        <v>7</v>
      </c>
      <c r="R397" s="36">
        <f t="shared" si="123"/>
        <v>1.383399209486166E-2</v>
      </c>
      <c r="S397" s="17">
        <v>2</v>
      </c>
      <c r="T397" s="36">
        <f t="shared" si="134"/>
        <v>1.4814814814814815E-2</v>
      </c>
      <c r="U397" s="17">
        <v>26</v>
      </c>
      <c r="V397" s="36">
        <f t="shared" si="124"/>
        <v>5.1383399209486168E-2</v>
      </c>
      <c r="W397" s="17">
        <v>5</v>
      </c>
      <c r="X397" s="36">
        <f t="shared" si="135"/>
        <v>3.7037037037037035E-2</v>
      </c>
      <c r="Y397" s="17">
        <v>366</v>
      </c>
      <c r="Z397" s="36">
        <f t="shared" si="125"/>
        <v>0.72332015810276684</v>
      </c>
      <c r="AA397" s="17">
        <v>99</v>
      </c>
      <c r="AB397" s="36">
        <f t="shared" si="136"/>
        <v>0.73333333333333328</v>
      </c>
      <c r="AC397" s="17">
        <v>60</v>
      </c>
      <c r="AD397" s="36">
        <f t="shared" si="126"/>
        <v>0.11857707509881422</v>
      </c>
      <c r="AE397" s="17">
        <v>16</v>
      </c>
      <c r="AF397" s="36">
        <f t="shared" si="137"/>
        <v>0.11851851851851852</v>
      </c>
      <c r="AG397" s="17">
        <v>44</v>
      </c>
      <c r="AH397" s="36">
        <f t="shared" si="127"/>
        <v>8.6956521739130432E-2</v>
      </c>
      <c r="AI397" s="17">
        <v>13</v>
      </c>
      <c r="AJ397" s="36">
        <f t="shared" si="138"/>
        <v>9.6296296296296297E-2</v>
      </c>
      <c r="AK397" s="17">
        <v>3</v>
      </c>
      <c r="AL397" s="36">
        <f t="shared" si="128"/>
        <v>5.9288537549407111E-3</v>
      </c>
      <c r="AM397" s="17">
        <v>0</v>
      </c>
      <c r="AN397" s="36">
        <f t="shared" si="139"/>
        <v>0</v>
      </c>
      <c r="AO397" s="17">
        <v>506</v>
      </c>
      <c r="AP397" s="17">
        <v>135</v>
      </c>
    </row>
    <row r="398" spans="1:42" ht="15.75" customHeight="1" x14ac:dyDescent="0.25">
      <c r="A398" s="37">
        <v>2022</v>
      </c>
      <c r="B398" s="35">
        <v>171900</v>
      </c>
      <c r="C398" s="33" t="str">
        <f>VLOOKUP(B398,procv!$A$2:$D$142,4,FALSE)</f>
        <v>Capim Dourado</v>
      </c>
      <c r="D398" s="33" t="s">
        <v>123</v>
      </c>
      <c r="E398" s="17">
        <v>10</v>
      </c>
      <c r="F398" s="36">
        <f t="shared" si="129"/>
        <v>2.1691973969631236E-2</v>
      </c>
      <c r="G398" s="17">
        <v>3</v>
      </c>
      <c r="H398" s="36">
        <f t="shared" si="130"/>
        <v>2.34375E-2</v>
      </c>
      <c r="I398" s="17">
        <v>22</v>
      </c>
      <c r="J398" s="36">
        <f t="shared" si="131"/>
        <v>4.7722342733188719E-2</v>
      </c>
      <c r="K398" s="17">
        <v>6</v>
      </c>
      <c r="L398" s="36">
        <f t="shared" si="132"/>
        <v>4.6875E-2</v>
      </c>
      <c r="M398" s="17">
        <v>429</v>
      </c>
      <c r="N398" s="36">
        <f t="shared" si="122"/>
        <v>0.93058568329718006</v>
      </c>
      <c r="O398" s="17">
        <v>119</v>
      </c>
      <c r="P398" s="36">
        <f t="shared" si="133"/>
        <v>0.9296875</v>
      </c>
      <c r="Q398" s="17">
        <v>8</v>
      </c>
      <c r="R398" s="36">
        <f t="shared" si="123"/>
        <v>1.735357917570499E-2</v>
      </c>
      <c r="S398" s="17">
        <v>2</v>
      </c>
      <c r="T398" s="36">
        <f t="shared" si="134"/>
        <v>1.5625E-2</v>
      </c>
      <c r="U398" s="17">
        <v>15</v>
      </c>
      <c r="V398" s="36">
        <f t="shared" si="124"/>
        <v>3.2537960954446853E-2</v>
      </c>
      <c r="W398" s="17">
        <v>3</v>
      </c>
      <c r="X398" s="36">
        <f t="shared" si="135"/>
        <v>2.34375E-2</v>
      </c>
      <c r="Y398" s="17">
        <v>326</v>
      </c>
      <c r="Z398" s="36">
        <f t="shared" si="125"/>
        <v>0.70715835140997829</v>
      </c>
      <c r="AA398" s="17">
        <v>92</v>
      </c>
      <c r="AB398" s="36">
        <f t="shared" si="136"/>
        <v>0.71875</v>
      </c>
      <c r="AC398" s="17">
        <v>73</v>
      </c>
      <c r="AD398" s="36">
        <f t="shared" si="126"/>
        <v>0.15835140997830802</v>
      </c>
      <c r="AE398" s="17">
        <v>22</v>
      </c>
      <c r="AF398" s="36">
        <f t="shared" si="137"/>
        <v>0.171875</v>
      </c>
      <c r="AG398" s="17">
        <v>34</v>
      </c>
      <c r="AH398" s="36">
        <f t="shared" si="127"/>
        <v>7.3752711496746198E-2</v>
      </c>
      <c r="AI398" s="17">
        <v>6</v>
      </c>
      <c r="AJ398" s="36">
        <f t="shared" si="138"/>
        <v>4.6875E-2</v>
      </c>
      <c r="AK398" s="17">
        <v>5</v>
      </c>
      <c r="AL398" s="36">
        <f t="shared" si="128"/>
        <v>1.0845986984815618E-2</v>
      </c>
      <c r="AM398" s="17">
        <v>3</v>
      </c>
      <c r="AN398" s="36">
        <f t="shared" si="139"/>
        <v>2.34375E-2</v>
      </c>
      <c r="AO398" s="17">
        <v>461</v>
      </c>
      <c r="AP398" s="17">
        <v>128</v>
      </c>
    </row>
    <row r="399" spans="1:42" ht="15.75" customHeight="1" x14ac:dyDescent="0.25">
      <c r="A399" s="37">
        <v>2022</v>
      </c>
      <c r="B399" s="35">
        <v>172000</v>
      </c>
      <c r="C399" s="33" t="str">
        <f>VLOOKUP(B399,procv!$A$2:$D$142,4,FALSE)</f>
        <v>Bico do Papagaio</v>
      </c>
      <c r="D399" s="33" t="s">
        <v>124</v>
      </c>
      <c r="E399" s="17">
        <v>7</v>
      </c>
      <c r="F399" s="36">
        <f t="shared" si="129"/>
        <v>2.3809523809523808E-2</v>
      </c>
      <c r="G399" s="17">
        <v>0</v>
      </c>
      <c r="H399" s="36">
        <f t="shared" si="130"/>
        <v>0</v>
      </c>
      <c r="I399" s="17">
        <v>22</v>
      </c>
      <c r="J399" s="36">
        <f t="shared" si="131"/>
        <v>7.4829931972789115E-2</v>
      </c>
      <c r="K399" s="17">
        <v>5</v>
      </c>
      <c r="L399" s="36">
        <f t="shared" si="132"/>
        <v>0.125</v>
      </c>
      <c r="M399" s="17">
        <v>265</v>
      </c>
      <c r="N399" s="36">
        <f t="shared" si="122"/>
        <v>0.90136054421768708</v>
      </c>
      <c r="O399" s="17">
        <v>35</v>
      </c>
      <c r="P399" s="36">
        <f t="shared" si="133"/>
        <v>0.875</v>
      </c>
      <c r="Q399" s="17">
        <v>0</v>
      </c>
      <c r="R399" s="36">
        <f t="shared" si="123"/>
        <v>0</v>
      </c>
      <c r="S399" s="17">
        <v>1</v>
      </c>
      <c r="T399" s="36">
        <f t="shared" si="134"/>
        <v>2.5000000000000001E-2</v>
      </c>
      <c r="U399" s="17">
        <v>10</v>
      </c>
      <c r="V399" s="36">
        <f t="shared" si="124"/>
        <v>3.4013605442176874E-2</v>
      </c>
      <c r="W399" s="17">
        <v>3</v>
      </c>
      <c r="X399" s="36">
        <f t="shared" si="135"/>
        <v>7.4999999999999997E-2</v>
      </c>
      <c r="Y399" s="17">
        <v>224</v>
      </c>
      <c r="Z399" s="36">
        <f t="shared" si="125"/>
        <v>0.76190476190476186</v>
      </c>
      <c r="AA399" s="17">
        <v>29</v>
      </c>
      <c r="AB399" s="36">
        <f t="shared" si="136"/>
        <v>0.72499999999999998</v>
      </c>
      <c r="AC399" s="17">
        <v>41</v>
      </c>
      <c r="AD399" s="36">
        <f t="shared" si="126"/>
        <v>0.13945578231292516</v>
      </c>
      <c r="AE399" s="17">
        <v>6</v>
      </c>
      <c r="AF399" s="36">
        <f t="shared" si="137"/>
        <v>0.15</v>
      </c>
      <c r="AG399" s="17">
        <v>16</v>
      </c>
      <c r="AH399" s="36">
        <f t="shared" si="127"/>
        <v>5.4421768707482991E-2</v>
      </c>
      <c r="AI399" s="17">
        <v>1</v>
      </c>
      <c r="AJ399" s="36">
        <f t="shared" si="138"/>
        <v>2.5000000000000001E-2</v>
      </c>
      <c r="AK399" s="17">
        <v>3</v>
      </c>
      <c r="AL399" s="36">
        <f t="shared" si="128"/>
        <v>1.020408163265306E-2</v>
      </c>
      <c r="AM399" s="17">
        <v>0</v>
      </c>
      <c r="AN399" s="36">
        <f t="shared" si="139"/>
        <v>0</v>
      </c>
      <c r="AO399" s="17">
        <v>294</v>
      </c>
      <c r="AP399" s="17">
        <v>40</v>
      </c>
    </row>
    <row r="400" spans="1:42" ht="15.75" customHeight="1" x14ac:dyDescent="0.25">
      <c r="A400" s="37">
        <v>2022</v>
      </c>
      <c r="B400" s="35">
        <v>172010</v>
      </c>
      <c r="C400" s="33" t="str">
        <f>VLOOKUP(B400,procv!$A$2:$D$142,4,FALSE)</f>
        <v>Bico do Papagaio</v>
      </c>
      <c r="D400" s="33" t="s">
        <v>125</v>
      </c>
      <c r="E400" s="17">
        <v>7</v>
      </c>
      <c r="F400" s="36">
        <f t="shared" si="129"/>
        <v>1.1217948717948718E-2</v>
      </c>
      <c r="G400" s="17">
        <v>3</v>
      </c>
      <c r="H400" s="36">
        <f t="shared" si="130"/>
        <v>1.4084507042253521E-2</v>
      </c>
      <c r="I400" s="17">
        <v>27</v>
      </c>
      <c r="J400" s="36">
        <f t="shared" si="131"/>
        <v>4.3269230769230768E-2</v>
      </c>
      <c r="K400" s="17">
        <v>6</v>
      </c>
      <c r="L400" s="36">
        <f t="shared" si="132"/>
        <v>2.8169014084507043E-2</v>
      </c>
      <c r="M400" s="17">
        <v>590</v>
      </c>
      <c r="N400" s="36">
        <f t="shared" si="122"/>
        <v>0.94551282051282048</v>
      </c>
      <c r="O400" s="17">
        <v>204</v>
      </c>
      <c r="P400" s="36">
        <f t="shared" si="133"/>
        <v>0.95774647887323938</v>
      </c>
      <c r="Q400" s="17">
        <v>10</v>
      </c>
      <c r="R400" s="36">
        <f t="shared" si="123"/>
        <v>1.6025641025641024E-2</v>
      </c>
      <c r="S400" s="17">
        <v>5</v>
      </c>
      <c r="T400" s="36">
        <f t="shared" si="134"/>
        <v>2.3474178403755867E-2</v>
      </c>
      <c r="U400" s="17">
        <v>37</v>
      </c>
      <c r="V400" s="36">
        <f t="shared" si="124"/>
        <v>5.9294871794871792E-2</v>
      </c>
      <c r="W400" s="17">
        <v>12</v>
      </c>
      <c r="X400" s="36">
        <f t="shared" si="135"/>
        <v>5.6338028169014086E-2</v>
      </c>
      <c r="Y400" s="17">
        <v>424</v>
      </c>
      <c r="Z400" s="36">
        <f t="shared" si="125"/>
        <v>0.67948717948717952</v>
      </c>
      <c r="AA400" s="17">
        <v>139</v>
      </c>
      <c r="AB400" s="36">
        <f t="shared" si="136"/>
        <v>0.65258215962441313</v>
      </c>
      <c r="AC400" s="17">
        <v>105</v>
      </c>
      <c r="AD400" s="36">
        <f t="shared" si="126"/>
        <v>0.16826923076923078</v>
      </c>
      <c r="AE400" s="17">
        <v>39</v>
      </c>
      <c r="AF400" s="36">
        <f t="shared" si="137"/>
        <v>0.18309859154929578</v>
      </c>
      <c r="AG400" s="17">
        <v>40</v>
      </c>
      <c r="AH400" s="36">
        <f t="shared" si="127"/>
        <v>6.4102564102564097E-2</v>
      </c>
      <c r="AI400" s="17">
        <v>15</v>
      </c>
      <c r="AJ400" s="36">
        <f t="shared" si="138"/>
        <v>7.0422535211267609E-2</v>
      </c>
      <c r="AK400" s="17">
        <v>8</v>
      </c>
      <c r="AL400" s="36">
        <f t="shared" si="128"/>
        <v>1.282051282051282E-2</v>
      </c>
      <c r="AM400" s="17">
        <v>3</v>
      </c>
      <c r="AN400" s="36">
        <f t="shared" si="139"/>
        <v>1.4084507042253521E-2</v>
      </c>
      <c r="AO400" s="17">
        <v>624</v>
      </c>
      <c r="AP400" s="17">
        <v>213</v>
      </c>
    </row>
    <row r="401" spans="1:42" ht="15.75" customHeight="1" x14ac:dyDescent="0.25">
      <c r="A401" s="37">
        <v>2022</v>
      </c>
      <c r="B401" s="35">
        <v>172015</v>
      </c>
      <c r="C401" s="33" t="str">
        <f>VLOOKUP(B401,procv!$A$2:$D$142,4,FALSE)</f>
        <v>Capim Dourado</v>
      </c>
      <c r="D401" s="33" t="s">
        <v>126</v>
      </c>
      <c r="E401" s="17">
        <v>3</v>
      </c>
      <c r="F401" s="36">
        <f t="shared" si="129"/>
        <v>1.0676156583629894E-2</v>
      </c>
      <c r="G401" s="17">
        <v>1</v>
      </c>
      <c r="H401" s="36">
        <f t="shared" si="130"/>
        <v>1.9607843137254902E-2</v>
      </c>
      <c r="I401" s="17">
        <v>9</v>
      </c>
      <c r="J401" s="36">
        <f t="shared" si="131"/>
        <v>3.2028469750889681E-2</v>
      </c>
      <c r="K401" s="17">
        <v>1</v>
      </c>
      <c r="L401" s="36">
        <f t="shared" si="132"/>
        <v>1.9607843137254902E-2</v>
      </c>
      <c r="M401" s="17">
        <v>269</v>
      </c>
      <c r="N401" s="36">
        <f t="shared" si="122"/>
        <v>0.95729537366548045</v>
      </c>
      <c r="O401" s="17">
        <v>49</v>
      </c>
      <c r="P401" s="36">
        <f t="shared" si="133"/>
        <v>0.96078431372549022</v>
      </c>
      <c r="Q401" s="17">
        <v>4</v>
      </c>
      <c r="R401" s="36">
        <f t="shared" si="123"/>
        <v>1.4234875444839857E-2</v>
      </c>
      <c r="S401" s="17">
        <v>0</v>
      </c>
      <c r="T401" s="36">
        <f t="shared" si="134"/>
        <v>0</v>
      </c>
      <c r="U401" s="17">
        <v>13</v>
      </c>
      <c r="V401" s="36">
        <f t="shared" si="124"/>
        <v>4.6263345195729534E-2</v>
      </c>
      <c r="W401" s="17">
        <v>3</v>
      </c>
      <c r="X401" s="36">
        <f t="shared" si="135"/>
        <v>5.8823529411764705E-2</v>
      </c>
      <c r="Y401" s="17">
        <v>206</v>
      </c>
      <c r="Z401" s="36">
        <f t="shared" si="125"/>
        <v>0.73309608540925264</v>
      </c>
      <c r="AA401" s="17">
        <v>39</v>
      </c>
      <c r="AB401" s="36">
        <f t="shared" si="136"/>
        <v>0.76470588235294112</v>
      </c>
      <c r="AC401" s="17">
        <v>42</v>
      </c>
      <c r="AD401" s="36">
        <f t="shared" si="126"/>
        <v>0.1494661921708185</v>
      </c>
      <c r="AE401" s="17">
        <v>6</v>
      </c>
      <c r="AF401" s="36">
        <f t="shared" si="137"/>
        <v>0.11764705882352941</v>
      </c>
      <c r="AG401" s="17">
        <v>15</v>
      </c>
      <c r="AH401" s="36">
        <f t="shared" si="127"/>
        <v>5.3380782918149468E-2</v>
      </c>
      <c r="AI401" s="17">
        <v>2</v>
      </c>
      <c r="AJ401" s="36">
        <f t="shared" si="138"/>
        <v>3.9215686274509803E-2</v>
      </c>
      <c r="AK401" s="17">
        <v>1</v>
      </c>
      <c r="AL401" s="36">
        <f t="shared" si="128"/>
        <v>3.5587188612099642E-3</v>
      </c>
      <c r="AM401" s="17">
        <v>1</v>
      </c>
      <c r="AN401" s="36">
        <f t="shared" si="139"/>
        <v>1.9607843137254902E-2</v>
      </c>
      <c r="AO401" s="17">
        <v>281</v>
      </c>
      <c r="AP401" s="17">
        <v>51</v>
      </c>
    </row>
    <row r="402" spans="1:42" ht="15.75" customHeight="1" x14ac:dyDescent="0.25">
      <c r="A402" s="37">
        <v>2022</v>
      </c>
      <c r="B402" s="35">
        <v>172020</v>
      </c>
      <c r="C402" s="33" t="str">
        <f>VLOOKUP(B402,procv!$A$2:$D$142,4,FALSE)</f>
        <v>Bico do Papagaio</v>
      </c>
      <c r="D402" s="33" t="s">
        <v>127</v>
      </c>
      <c r="E402" s="17">
        <v>12</v>
      </c>
      <c r="F402" s="36">
        <f t="shared" si="129"/>
        <v>8.5531004989308629E-3</v>
      </c>
      <c r="G402" s="17">
        <v>2</v>
      </c>
      <c r="H402" s="36">
        <f t="shared" si="130"/>
        <v>7.0422535211267607E-3</v>
      </c>
      <c r="I402" s="17">
        <v>56</v>
      </c>
      <c r="J402" s="36">
        <f t="shared" si="131"/>
        <v>3.9914468995010693E-2</v>
      </c>
      <c r="K402" s="17">
        <v>9</v>
      </c>
      <c r="L402" s="36">
        <f t="shared" si="132"/>
        <v>3.1690140845070422E-2</v>
      </c>
      <c r="M402" s="16">
        <v>1335</v>
      </c>
      <c r="N402" s="36">
        <f t="shared" si="122"/>
        <v>0.9515324305060584</v>
      </c>
      <c r="O402" s="17">
        <v>273</v>
      </c>
      <c r="P402" s="36">
        <f t="shared" si="133"/>
        <v>0.96126760563380287</v>
      </c>
      <c r="Q402" s="17">
        <v>9</v>
      </c>
      <c r="R402" s="36">
        <f t="shared" si="123"/>
        <v>6.4148253741981472E-3</v>
      </c>
      <c r="S402" s="17">
        <v>1</v>
      </c>
      <c r="T402" s="36">
        <f t="shared" si="134"/>
        <v>3.5211267605633804E-3</v>
      </c>
      <c r="U402" s="17">
        <v>64</v>
      </c>
      <c r="V402" s="36">
        <f t="shared" si="124"/>
        <v>4.5616535994297935E-2</v>
      </c>
      <c r="W402" s="17">
        <v>15</v>
      </c>
      <c r="X402" s="36">
        <f t="shared" si="135"/>
        <v>5.2816901408450703E-2</v>
      </c>
      <c r="Y402" s="16">
        <v>1015</v>
      </c>
      <c r="Z402" s="36">
        <f t="shared" si="125"/>
        <v>0.72344975053456884</v>
      </c>
      <c r="AA402" s="17">
        <v>199</v>
      </c>
      <c r="AB402" s="36">
        <f t="shared" si="136"/>
        <v>0.70070422535211263</v>
      </c>
      <c r="AC402" s="17">
        <v>217</v>
      </c>
      <c r="AD402" s="36">
        <f t="shared" si="126"/>
        <v>0.15466856735566642</v>
      </c>
      <c r="AE402" s="17">
        <v>52</v>
      </c>
      <c r="AF402" s="36">
        <f t="shared" si="137"/>
        <v>0.18309859154929578</v>
      </c>
      <c r="AG402" s="17">
        <v>84</v>
      </c>
      <c r="AH402" s="36">
        <f t="shared" si="127"/>
        <v>5.987170349251604E-2</v>
      </c>
      <c r="AI402" s="17">
        <v>16</v>
      </c>
      <c r="AJ402" s="36">
        <f t="shared" si="138"/>
        <v>5.6338028169014086E-2</v>
      </c>
      <c r="AK402" s="17">
        <v>14</v>
      </c>
      <c r="AL402" s="36">
        <f t="shared" si="128"/>
        <v>9.9786172487526734E-3</v>
      </c>
      <c r="AM402" s="17">
        <v>1</v>
      </c>
      <c r="AN402" s="36">
        <f t="shared" si="139"/>
        <v>3.5211267605633804E-3</v>
      </c>
      <c r="AO402" s="16">
        <v>1403</v>
      </c>
      <c r="AP402" s="17">
        <v>284</v>
      </c>
    </row>
    <row r="403" spans="1:42" ht="15.75" customHeight="1" x14ac:dyDescent="0.25">
      <c r="A403" s="37">
        <v>2022</v>
      </c>
      <c r="B403" s="35">
        <v>172025</v>
      </c>
      <c r="C403" s="33" t="str">
        <f>VLOOKUP(B403,procv!$A$2:$D$142,4,FALSE)</f>
        <v>Ilha do Bananal</v>
      </c>
      <c r="D403" s="33" t="s">
        <v>128</v>
      </c>
      <c r="E403" s="17">
        <v>2</v>
      </c>
      <c r="F403" s="36">
        <f t="shared" si="129"/>
        <v>4.3010752688172043E-3</v>
      </c>
      <c r="G403" s="17">
        <v>1</v>
      </c>
      <c r="H403" s="36">
        <f t="shared" si="130"/>
        <v>1.020408163265306E-2</v>
      </c>
      <c r="I403" s="17">
        <v>11</v>
      </c>
      <c r="J403" s="36">
        <f t="shared" si="131"/>
        <v>2.3655913978494623E-2</v>
      </c>
      <c r="K403" s="17">
        <v>5</v>
      </c>
      <c r="L403" s="36">
        <f t="shared" si="132"/>
        <v>5.1020408163265307E-2</v>
      </c>
      <c r="M403" s="17">
        <v>452</v>
      </c>
      <c r="N403" s="36">
        <f t="shared" si="122"/>
        <v>0.97204301075268817</v>
      </c>
      <c r="O403" s="17">
        <v>92</v>
      </c>
      <c r="P403" s="36">
        <f t="shared" si="133"/>
        <v>0.93877551020408168</v>
      </c>
      <c r="Q403" s="17">
        <v>3</v>
      </c>
      <c r="R403" s="36">
        <f t="shared" si="123"/>
        <v>6.4516129032258064E-3</v>
      </c>
      <c r="S403" s="17">
        <v>1</v>
      </c>
      <c r="T403" s="36">
        <f t="shared" si="134"/>
        <v>1.020408163265306E-2</v>
      </c>
      <c r="U403" s="17">
        <v>12</v>
      </c>
      <c r="V403" s="36">
        <f t="shared" si="124"/>
        <v>2.5806451612903226E-2</v>
      </c>
      <c r="W403" s="17">
        <v>2</v>
      </c>
      <c r="X403" s="36">
        <f t="shared" si="135"/>
        <v>2.0408163265306121E-2</v>
      </c>
      <c r="Y403" s="17">
        <v>302</v>
      </c>
      <c r="Z403" s="36">
        <f t="shared" si="125"/>
        <v>0.64946236559139781</v>
      </c>
      <c r="AA403" s="17">
        <v>64</v>
      </c>
      <c r="AB403" s="36">
        <f t="shared" si="136"/>
        <v>0.65306122448979587</v>
      </c>
      <c r="AC403" s="17">
        <v>97</v>
      </c>
      <c r="AD403" s="36">
        <f t="shared" si="126"/>
        <v>0.2086021505376344</v>
      </c>
      <c r="AE403" s="17">
        <v>17</v>
      </c>
      <c r="AF403" s="36">
        <f t="shared" si="137"/>
        <v>0.17346938775510204</v>
      </c>
      <c r="AG403" s="17">
        <v>40</v>
      </c>
      <c r="AH403" s="36">
        <f t="shared" si="127"/>
        <v>8.6021505376344093E-2</v>
      </c>
      <c r="AI403" s="17">
        <v>12</v>
      </c>
      <c r="AJ403" s="36">
        <f t="shared" si="138"/>
        <v>0.12244897959183673</v>
      </c>
      <c r="AK403" s="17">
        <v>11</v>
      </c>
      <c r="AL403" s="36">
        <f t="shared" si="128"/>
        <v>2.3655913978494623E-2</v>
      </c>
      <c r="AM403" s="17">
        <v>2</v>
      </c>
      <c r="AN403" s="36">
        <f t="shared" si="139"/>
        <v>2.0408163265306121E-2</v>
      </c>
      <c r="AO403" s="17">
        <v>465</v>
      </c>
      <c r="AP403" s="17">
        <v>98</v>
      </c>
    </row>
    <row r="404" spans="1:42" ht="15.75" customHeight="1" x14ac:dyDescent="0.25">
      <c r="A404" s="37">
        <v>2022</v>
      </c>
      <c r="B404" s="35">
        <v>172030</v>
      </c>
      <c r="C404" s="33" t="str">
        <f>VLOOKUP(B404,procv!$A$2:$D$142,4,FALSE)</f>
        <v>Bico do Papagaio</v>
      </c>
      <c r="D404" s="33" t="s">
        <v>129</v>
      </c>
      <c r="E404" s="17">
        <v>7</v>
      </c>
      <c r="F404" s="36">
        <f t="shared" si="129"/>
        <v>1.9662921348314606E-2</v>
      </c>
      <c r="G404" s="17">
        <v>4</v>
      </c>
      <c r="H404" s="36">
        <f t="shared" si="130"/>
        <v>1.9138755980861243E-2</v>
      </c>
      <c r="I404" s="17">
        <v>19</v>
      </c>
      <c r="J404" s="36">
        <f t="shared" si="131"/>
        <v>5.3370786516853931E-2</v>
      </c>
      <c r="K404" s="17">
        <v>10</v>
      </c>
      <c r="L404" s="36">
        <f t="shared" si="132"/>
        <v>4.784688995215311E-2</v>
      </c>
      <c r="M404" s="17">
        <v>330</v>
      </c>
      <c r="N404" s="36">
        <f t="shared" si="122"/>
        <v>0.9269662921348315</v>
      </c>
      <c r="O404" s="17">
        <v>195</v>
      </c>
      <c r="P404" s="36">
        <f t="shared" si="133"/>
        <v>0.93301435406698563</v>
      </c>
      <c r="Q404" s="17">
        <v>4</v>
      </c>
      <c r="R404" s="36">
        <f t="shared" si="123"/>
        <v>1.1235955056179775E-2</v>
      </c>
      <c r="S404" s="17">
        <v>3</v>
      </c>
      <c r="T404" s="36">
        <f t="shared" si="134"/>
        <v>1.4354066985645933E-2</v>
      </c>
      <c r="U404" s="17">
        <v>14</v>
      </c>
      <c r="V404" s="36">
        <f t="shared" si="124"/>
        <v>3.9325842696629212E-2</v>
      </c>
      <c r="W404" s="17">
        <v>9</v>
      </c>
      <c r="X404" s="36">
        <f t="shared" si="135"/>
        <v>4.3062200956937802E-2</v>
      </c>
      <c r="Y404" s="17">
        <v>262</v>
      </c>
      <c r="Z404" s="36">
        <f t="shared" si="125"/>
        <v>0.7359550561797753</v>
      </c>
      <c r="AA404" s="17">
        <v>162</v>
      </c>
      <c r="AB404" s="36">
        <f t="shared" si="136"/>
        <v>0.77511961722488043</v>
      </c>
      <c r="AC404" s="17">
        <v>54</v>
      </c>
      <c r="AD404" s="36">
        <f t="shared" si="126"/>
        <v>0.15168539325842698</v>
      </c>
      <c r="AE404" s="17">
        <v>28</v>
      </c>
      <c r="AF404" s="36">
        <f t="shared" si="137"/>
        <v>0.13397129186602871</v>
      </c>
      <c r="AG404" s="17">
        <v>18</v>
      </c>
      <c r="AH404" s="36">
        <f t="shared" si="127"/>
        <v>5.0561797752808987E-2</v>
      </c>
      <c r="AI404" s="17">
        <v>5</v>
      </c>
      <c r="AJ404" s="36">
        <f t="shared" si="138"/>
        <v>2.3923444976076555E-2</v>
      </c>
      <c r="AK404" s="17">
        <v>4</v>
      </c>
      <c r="AL404" s="36">
        <f t="shared" si="128"/>
        <v>1.1235955056179775E-2</v>
      </c>
      <c r="AM404" s="17">
        <v>2</v>
      </c>
      <c r="AN404" s="36">
        <f t="shared" si="139"/>
        <v>9.5693779904306216E-3</v>
      </c>
      <c r="AO404" s="17">
        <v>356</v>
      </c>
      <c r="AP404" s="17">
        <v>209</v>
      </c>
    </row>
    <row r="405" spans="1:42" ht="15.75" customHeight="1" x14ac:dyDescent="0.25">
      <c r="A405" s="37">
        <v>2022</v>
      </c>
      <c r="B405" s="35">
        <v>172049</v>
      </c>
      <c r="C405" s="33" t="str">
        <f>VLOOKUP(B405,procv!$A$2:$D$142,4,FALSE)</f>
        <v>Ilha do Bananal</v>
      </c>
      <c r="D405" s="33" t="s">
        <v>130</v>
      </c>
      <c r="E405" s="17">
        <v>3</v>
      </c>
      <c r="F405" s="36">
        <f t="shared" si="129"/>
        <v>1.3157894736842105E-2</v>
      </c>
      <c r="G405" s="17">
        <v>2</v>
      </c>
      <c r="H405" s="36">
        <f t="shared" si="130"/>
        <v>2.0202020202020204E-2</v>
      </c>
      <c r="I405" s="17">
        <v>10</v>
      </c>
      <c r="J405" s="36">
        <f t="shared" si="131"/>
        <v>4.3859649122807015E-2</v>
      </c>
      <c r="K405" s="17">
        <v>6</v>
      </c>
      <c r="L405" s="36">
        <f t="shared" si="132"/>
        <v>6.0606060606060608E-2</v>
      </c>
      <c r="M405" s="17">
        <v>215</v>
      </c>
      <c r="N405" s="36">
        <f t="shared" si="122"/>
        <v>0.94298245614035092</v>
      </c>
      <c r="O405" s="17">
        <v>91</v>
      </c>
      <c r="P405" s="36">
        <f t="shared" si="133"/>
        <v>0.91919191919191923</v>
      </c>
      <c r="Q405" s="17">
        <v>2</v>
      </c>
      <c r="R405" s="36">
        <f t="shared" si="123"/>
        <v>8.771929824561403E-3</v>
      </c>
      <c r="S405" s="17">
        <v>0</v>
      </c>
      <c r="T405" s="36">
        <f t="shared" si="134"/>
        <v>0</v>
      </c>
      <c r="U405" s="17">
        <v>5</v>
      </c>
      <c r="V405" s="36">
        <f t="shared" si="124"/>
        <v>2.1929824561403508E-2</v>
      </c>
      <c r="W405" s="17">
        <v>2</v>
      </c>
      <c r="X405" s="36">
        <f t="shared" si="135"/>
        <v>2.0202020202020204E-2</v>
      </c>
      <c r="Y405" s="17">
        <v>142</v>
      </c>
      <c r="Z405" s="36">
        <f t="shared" si="125"/>
        <v>0.6228070175438597</v>
      </c>
      <c r="AA405" s="17">
        <v>64</v>
      </c>
      <c r="AB405" s="36">
        <f t="shared" si="136"/>
        <v>0.64646464646464652</v>
      </c>
      <c r="AC405" s="17">
        <v>51</v>
      </c>
      <c r="AD405" s="36">
        <f t="shared" si="126"/>
        <v>0.22368421052631579</v>
      </c>
      <c r="AE405" s="17">
        <v>29</v>
      </c>
      <c r="AF405" s="36">
        <f t="shared" si="137"/>
        <v>0.29292929292929293</v>
      </c>
      <c r="AG405" s="17">
        <v>24</v>
      </c>
      <c r="AH405" s="36">
        <f t="shared" si="127"/>
        <v>0.10526315789473684</v>
      </c>
      <c r="AI405" s="17">
        <v>3</v>
      </c>
      <c r="AJ405" s="36">
        <f t="shared" si="138"/>
        <v>3.0303030303030304E-2</v>
      </c>
      <c r="AK405" s="17">
        <v>4</v>
      </c>
      <c r="AL405" s="36">
        <f t="shared" si="128"/>
        <v>1.7543859649122806E-2</v>
      </c>
      <c r="AM405" s="17">
        <v>1</v>
      </c>
      <c r="AN405" s="36">
        <f t="shared" si="139"/>
        <v>1.0101010101010102E-2</v>
      </c>
      <c r="AO405" s="17">
        <v>228</v>
      </c>
      <c r="AP405" s="17">
        <v>99</v>
      </c>
    </row>
    <row r="406" spans="1:42" ht="15.75" customHeight="1" x14ac:dyDescent="0.25">
      <c r="A406" s="37">
        <v>2022</v>
      </c>
      <c r="B406" s="35">
        <v>172065</v>
      </c>
      <c r="C406" s="33" t="str">
        <f>VLOOKUP(B406,procv!$A$2:$D$142,4,FALSE)</f>
        <v>Amor Perfeito</v>
      </c>
      <c r="D406" s="33" t="s">
        <v>131</v>
      </c>
      <c r="E406" s="17">
        <v>4</v>
      </c>
      <c r="F406" s="36">
        <f t="shared" si="129"/>
        <v>5.2980132450331126E-3</v>
      </c>
      <c r="G406" s="17">
        <v>4</v>
      </c>
      <c r="H406" s="36">
        <f t="shared" si="130"/>
        <v>1.6877637130801686E-2</v>
      </c>
      <c r="I406" s="17">
        <v>18</v>
      </c>
      <c r="J406" s="36">
        <f t="shared" si="131"/>
        <v>2.3841059602649008E-2</v>
      </c>
      <c r="K406" s="17">
        <v>7</v>
      </c>
      <c r="L406" s="36">
        <f t="shared" si="132"/>
        <v>2.9535864978902954E-2</v>
      </c>
      <c r="M406" s="17">
        <v>733</v>
      </c>
      <c r="N406" s="36">
        <f t="shared" si="122"/>
        <v>0.97086092715231787</v>
      </c>
      <c r="O406" s="17">
        <v>226</v>
      </c>
      <c r="P406" s="36">
        <f t="shared" si="133"/>
        <v>0.95358649789029537</v>
      </c>
      <c r="Q406" s="17">
        <v>3</v>
      </c>
      <c r="R406" s="36">
        <f t="shared" si="123"/>
        <v>3.9735099337748344E-3</v>
      </c>
      <c r="S406" s="17">
        <v>2</v>
      </c>
      <c r="T406" s="36">
        <f t="shared" si="134"/>
        <v>8.4388185654008432E-3</v>
      </c>
      <c r="U406" s="17">
        <v>26</v>
      </c>
      <c r="V406" s="36">
        <f t="shared" si="124"/>
        <v>3.443708609271523E-2</v>
      </c>
      <c r="W406" s="17">
        <v>4</v>
      </c>
      <c r="X406" s="36">
        <f t="shared" si="135"/>
        <v>1.6877637130801686E-2</v>
      </c>
      <c r="Y406" s="17">
        <v>524</v>
      </c>
      <c r="Z406" s="36">
        <f t="shared" si="125"/>
        <v>0.6940397350993377</v>
      </c>
      <c r="AA406" s="17">
        <v>172</v>
      </c>
      <c r="AB406" s="36">
        <f t="shared" si="136"/>
        <v>0.72573839662447259</v>
      </c>
      <c r="AC406" s="17">
        <v>117</v>
      </c>
      <c r="AD406" s="36">
        <f t="shared" si="126"/>
        <v>0.15496688741721854</v>
      </c>
      <c r="AE406" s="17">
        <v>36</v>
      </c>
      <c r="AF406" s="36">
        <f t="shared" si="137"/>
        <v>0.15189873417721519</v>
      </c>
      <c r="AG406" s="17">
        <v>66</v>
      </c>
      <c r="AH406" s="36">
        <f t="shared" si="127"/>
        <v>8.7417218543046363E-2</v>
      </c>
      <c r="AI406" s="17">
        <v>16</v>
      </c>
      <c r="AJ406" s="36">
        <f t="shared" si="138"/>
        <v>6.7510548523206745E-2</v>
      </c>
      <c r="AK406" s="17">
        <v>19</v>
      </c>
      <c r="AL406" s="36">
        <f t="shared" si="128"/>
        <v>2.5165562913907286E-2</v>
      </c>
      <c r="AM406" s="17">
        <v>7</v>
      </c>
      <c r="AN406" s="36">
        <f t="shared" si="139"/>
        <v>2.9535864978902954E-2</v>
      </c>
      <c r="AO406" s="17">
        <v>755</v>
      </c>
      <c r="AP406" s="17">
        <v>237</v>
      </c>
    </row>
    <row r="407" spans="1:42" ht="15.75" customHeight="1" x14ac:dyDescent="0.25">
      <c r="A407" s="37">
        <v>2022</v>
      </c>
      <c r="B407" s="35">
        <v>172080</v>
      </c>
      <c r="C407" s="33" t="str">
        <f>VLOOKUP(B407,procv!$A$2:$D$142,4,FALSE)</f>
        <v>Bico do Papagaio</v>
      </c>
      <c r="D407" s="33" t="s">
        <v>132</v>
      </c>
      <c r="E407" s="17">
        <v>19</v>
      </c>
      <c r="F407" s="36">
        <f t="shared" si="129"/>
        <v>1.3620071684587814E-2</v>
      </c>
      <c r="G407" s="17">
        <v>2</v>
      </c>
      <c r="H407" s="36">
        <f t="shared" si="130"/>
        <v>4.9751243781094526E-3</v>
      </c>
      <c r="I407" s="17">
        <v>65</v>
      </c>
      <c r="J407" s="36">
        <f t="shared" si="131"/>
        <v>4.6594982078853049E-2</v>
      </c>
      <c r="K407" s="17">
        <v>9</v>
      </c>
      <c r="L407" s="36">
        <f t="shared" si="132"/>
        <v>2.2388059701492536E-2</v>
      </c>
      <c r="M407" s="16">
        <v>1311</v>
      </c>
      <c r="N407" s="36">
        <f t="shared" si="122"/>
        <v>0.93978494623655917</v>
      </c>
      <c r="O407" s="17">
        <v>391</v>
      </c>
      <c r="P407" s="36">
        <f t="shared" si="133"/>
        <v>0.97263681592039797</v>
      </c>
      <c r="Q407" s="17">
        <v>22</v>
      </c>
      <c r="R407" s="36">
        <f t="shared" si="123"/>
        <v>1.5770609318996417E-2</v>
      </c>
      <c r="S407" s="17">
        <v>3</v>
      </c>
      <c r="T407" s="36">
        <f t="shared" si="134"/>
        <v>7.462686567164179E-3</v>
      </c>
      <c r="U407" s="17">
        <v>70</v>
      </c>
      <c r="V407" s="36">
        <f t="shared" si="124"/>
        <v>5.0179211469534052E-2</v>
      </c>
      <c r="W407" s="17">
        <v>17</v>
      </c>
      <c r="X407" s="36">
        <f t="shared" si="135"/>
        <v>4.228855721393035E-2</v>
      </c>
      <c r="Y407" s="16">
        <v>1037</v>
      </c>
      <c r="Z407" s="36">
        <f t="shared" si="125"/>
        <v>0.74336917562724014</v>
      </c>
      <c r="AA407" s="17">
        <v>314</v>
      </c>
      <c r="AB407" s="36">
        <f t="shared" si="136"/>
        <v>0.78109452736318408</v>
      </c>
      <c r="AC407" s="17">
        <v>180</v>
      </c>
      <c r="AD407" s="36">
        <f t="shared" si="126"/>
        <v>0.12903225806451613</v>
      </c>
      <c r="AE407" s="17">
        <v>57</v>
      </c>
      <c r="AF407" s="36">
        <f t="shared" si="137"/>
        <v>0.1417910447761194</v>
      </c>
      <c r="AG407" s="17">
        <v>73</v>
      </c>
      <c r="AH407" s="36">
        <f t="shared" si="127"/>
        <v>5.2329749103942655E-2</v>
      </c>
      <c r="AI407" s="17">
        <v>10</v>
      </c>
      <c r="AJ407" s="36">
        <f t="shared" si="138"/>
        <v>2.4875621890547265E-2</v>
      </c>
      <c r="AK407" s="17">
        <v>13</v>
      </c>
      <c r="AL407" s="36">
        <f t="shared" si="128"/>
        <v>9.3189964157706102E-3</v>
      </c>
      <c r="AM407" s="17">
        <v>1</v>
      </c>
      <c r="AN407" s="36">
        <f t="shared" si="139"/>
        <v>2.4875621890547263E-3</v>
      </c>
      <c r="AO407" s="16">
        <v>1395</v>
      </c>
      <c r="AP407" s="17">
        <v>402</v>
      </c>
    </row>
    <row r="408" spans="1:42" ht="15.75" customHeight="1" x14ac:dyDescent="0.25">
      <c r="A408" s="37">
        <v>2022</v>
      </c>
      <c r="B408" s="35">
        <v>172085</v>
      </c>
      <c r="C408" s="33" t="str">
        <f>VLOOKUP(B408,procv!$A$2:$D$142,4,FALSE)</f>
        <v>Ilha do Bananal</v>
      </c>
      <c r="D408" s="33" t="s">
        <v>133</v>
      </c>
      <c r="E408" s="17">
        <v>3</v>
      </c>
      <c r="F408" s="36">
        <f t="shared" si="129"/>
        <v>1.1764705882352941E-2</v>
      </c>
      <c r="G408" s="17">
        <v>0</v>
      </c>
      <c r="H408" s="36">
        <f t="shared" si="130"/>
        <v>0</v>
      </c>
      <c r="I408" s="17">
        <v>7</v>
      </c>
      <c r="J408" s="36">
        <f t="shared" si="131"/>
        <v>2.7450980392156862E-2</v>
      </c>
      <c r="K408" s="17">
        <v>5</v>
      </c>
      <c r="L408" s="36">
        <f t="shared" si="132"/>
        <v>0.14285714285714285</v>
      </c>
      <c r="M408" s="17">
        <v>245</v>
      </c>
      <c r="N408" s="36">
        <f t="shared" si="122"/>
        <v>0.96078431372549022</v>
      </c>
      <c r="O408" s="17">
        <v>30</v>
      </c>
      <c r="P408" s="36">
        <f t="shared" si="133"/>
        <v>0.8571428571428571</v>
      </c>
      <c r="Q408" s="17">
        <v>2</v>
      </c>
      <c r="R408" s="36">
        <f t="shared" si="123"/>
        <v>7.8431372549019607E-3</v>
      </c>
      <c r="S408" s="17">
        <v>1</v>
      </c>
      <c r="T408" s="36">
        <f t="shared" si="134"/>
        <v>2.8571428571428571E-2</v>
      </c>
      <c r="U408" s="17">
        <v>12</v>
      </c>
      <c r="V408" s="36">
        <f t="shared" si="124"/>
        <v>4.7058823529411764E-2</v>
      </c>
      <c r="W408" s="17">
        <v>5</v>
      </c>
      <c r="X408" s="36">
        <f t="shared" si="135"/>
        <v>0.14285714285714285</v>
      </c>
      <c r="Y408" s="17">
        <v>171</v>
      </c>
      <c r="Z408" s="36">
        <f t="shared" si="125"/>
        <v>0.6705882352941176</v>
      </c>
      <c r="AA408" s="17">
        <v>20</v>
      </c>
      <c r="AB408" s="36">
        <f t="shared" si="136"/>
        <v>0.5714285714285714</v>
      </c>
      <c r="AC408" s="17">
        <v>43</v>
      </c>
      <c r="AD408" s="36">
        <f t="shared" si="126"/>
        <v>0.16862745098039217</v>
      </c>
      <c r="AE408" s="17">
        <v>6</v>
      </c>
      <c r="AF408" s="36">
        <f t="shared" si="137"/>
        <v>0.17142857142857143</v>
      </c>
      <c r="AG408" s="17">
        <v>18</v>
      </c>
      <c r="AH408" s="36">
        <f t="shared" si="127"/>
        <v>7.0588235294117646E-2</v>
      </c>
      <c r="AI408" s="17">
        <v>2</v>
      </c>
      <c r="AJ408" s="36">
        <f t="shared" si="138"/>
        <v>5.7142857142857141E-2</v>
      </c>
      <c r="AK408" s="17">
        <v>9</v>
      </c>
      <c r="AL408" s="36">
        <f t="shared" si="128"/>
        <v>3.5294117647058823E-2</v>
      </c>
      <c r="AM408" s="17">
        <v>1</v>
      </c>
      <c r="AN408" s="36">
        <f t="shared" si="139"/>
        <v>2.8571428571428571E-2</v>
      </c>
      <c r="AO408" s="17">
        <v>255</v>
      </c>
      <c r="AP408" s="17">
        <v>35</v>
      </c>
    </row>
    <row r="409" spans="1:42" ht="15.75" customHeight="1" x14ac:dyDescent="0.25">
      <c r="A409" s="37">
        <v>2022</v>
      </c>
      <c r="B409" s="35">
        <v>170825</v>
      </c>
      <c r="C409" s="33" t="str">
        <f>VLOOKUP(B409,procv!$A$2:$D$142,4,FALSE)</f>
        <v>Capim Dourado</v>
      </c>
      <c r="D409" s="33" t="s">
        <v>134</v>
      </c>
      <c r="E409" s="17">
        <v>1</v>
      </c>
      <c r="F409" s="36">
        <f t="shared" si="129"/>
        <v>1.0869565217391304E-2</v>
      </c>
      <c r="G409" s="17">
        <v>1</v>
      </c>
      <c r="H409" s="36">
        <f t="shared" si="130"/>
        <v>1.1494252873563218E-2</v>
      </c>
      <c r="I409" s="17">
        <v>6</v>
      </c>
      <c r="J409" s="36">
        <f t="shared" si="131"/>
        <v>6.5217391304347824E-2</v>
      </c>
      <c r="K409" s="17">
        <v>7</v>
      </c>
      <c r="L409" s="36">
        <f t="shared" si="132"/>
        <v>8.0459770114942528E-2</v>
      </c>
      <c r="M409" s="17">
        <v>85</v>
      </c>
      <c r="N409" s="36">
        <f t="shared" si="122"/>
        <v>0.92391304347826086</v>
      </c>
      <c r="O409" s="17">
        <v>79</v>
      </c>
      <c r="P409" s="36">
        <f t="shared" si="133"/>
        <v>0.90804597701149425</v>
      </c>
      <c r="Q409" s="17">
        <v>2</v>
      </c>
      <c r="R409" s="36">
        <f t="shared" si="123"/>
        <v>2.1739130434782608E-2</v>
      </c>
      <c r="S409" s="17">
        <v>2</v>
      </c>
      <c r="T409" s="36">
        <f t="shared" si="134"/>
        <v>2.2988505747126436E-2</v>
      </c>
      <c r="U409" s="17">
        <v>4</v>
      </c>
      <c r="V409" s="36">
        <f t="shared" si="124"/>
        <v>4.3478260869565216E-2</v>
      </c>
      <c r="W409" s="17">
        <v>4</v>
      </c>
      <c r="X409" s="36">
        <f t="shared" si="135"/>
        <v>4.5977011494252873E-2</v>
      </c>
      <c r="Y409" s="17">
        <v>62</v>
      </c>
      <c r="Z409" s="36">
        <f t="shared" si="125"/>
        <v>0.67391304347826086</v>
      </c>
      <c r="AA409" s="17">
        <v>61</v>
      </c>
      <c r="AB409" s="36">
        <f t="shared" si="136"/>
        <v>0.70114942528735635</v>
      </c>
      <c r="AC409" s="17">
        <v>17</v>
      </c>
      <c r="AD409" s="36">
        <f t="shared" si="126"/>
        <v>0.18478260869565216</v>
      </c>
      <c r="AE409" s="17">
        <v>16</v>
      </c>
      <c r="AF409" s="36">
        <f t="shared" si="137"/>
        <v>0.18390804597701149</v>
      </c>
      <c r="AG409" s="17">
        <v>7</v>
      </c>
      <c r="AH409" s="36">
        <f t="shared" si="127"/>
        <v>7.6086956521739135E-2</v>
      </c>
      <c r="AI409" s="17">
        <v>4</v>
      </c>
      <c r="AJ409" s="36">
        <f t="shared" si="138"/>
        <v>4.5977011494252873E-2</v>
      </c>
      <c r="AK409" s="17">
        <v>0</v>
      </c>
      <c r="AL409" s="36">
        <f t="shared" si="128"/>
        <v>0</v>
      </c>
      <c r="AM409" s="17">
        <v>0</v>
      </c>
      <c r="AN409" s="36">
        <f t="shared" si="139"/>
        <v>0</v>
      </c>
      <c r="AO409" s="17">
        <v>92</v>
      </c>
      <c r="AP409" s="17">
        <v>87</v>
      </c>
    </row>
    <row r="410" spans="1:42" ht="15.75" customHeight="1" x14ac:dyDescent="0.25">
      <c r="A410" s="37">
        <v>2022</v>
      </c>
      <c r="B410" s="35">
        <v>172090</v>
      </c>
      <c r="C410" s="33" t="str">
        <f>VLOOKUP(B410,procv!$A$2:$D$142,4,FALSE)</f>
        <v>Sudeste</v>
      </c>
      <c r="D410" s="33" t="s">
        <v>135</v>
      </c>
      <c r="E410" s="17">
        <v>13</v>
      </c>
      <c r="F410" s="36">
        <f t="shared" si="129"/>
        <v>1.2609117361784675E-2</v>
      </c>
      <c r="G410" s="17">
        <v>4</v>
      </c>
      <c r="H410" s="36">
        <f t="shared" si="130"/>
        <v>1.2422360248447204E-2</v>
      </c>
      <c r="I410" s="17">
        <v>34</v>
      </c>
      <c r="J410" s="36">
        <f t="shared" si="131"/>
        <v>3.2977691561590687E-2</v>
      </c>
      <c r="K410" s="17">
        <v>11</v>
      </c>
      <c r="L410" s="36">
        <f t="shared" si="132"/>
        <v>3.4161490683229816E-2</v>
      </c>
      <c r="M410" s="17">
        <v>984</v>
      </c>
      <c r="N410" s="36">
        <f t="shared" si="122"/>
        <v>0.95441319107662459</v>
      </c>
      <c r="O410" s="17">
        <v>307</v>
      </c>
      <c r="P410" s="36">
        <f t="shared" si="133"/>
        <v>0.95341614906832295</v>
      </c>
      <c r="Q410" s="17">
        <v>6</v>
      </c>
      <c r="R410" s="36">
        <f t="shared" si="123"/>
        <v>5.8195926285160042E-3</v>
      </c>
      <c r="S410" s="17">
        <v>4</v>
      </c>
      <c r="T410" s="36">
        <f t="shared" si="134"/>
        <v>1.2422360248447204E-2</v>
      </c>
      <c r="U410" s="17">
        <v>37</v>
      </c>
      <c r="V410" s="36">
        <f t="shared" si="124"/>
        <v>3.5887487875848688E-2</v>
      </c>
      <c r="W410" s="17">
        <v>14</v>
      </c>
      <c r="X410" s="36">
        <f t="shared" si="135"/>
        <v>4.3478260869565216E-2</v>
      </c>
      <c r="Y410" s="17">
        <v>730</v>
      </c>
      <c r="Z410" s="36">
        <f t="shared" si="125"/>
        <v>0.7080504364694471</v>
      </c>
      <c r="AA410" s="17">
        <v>223</v>
      </c>
      <c r="AB410" s="36">
        <f t="shared" si="136"/>
        <v>0.69254658385093171</v>
      </c>
      <c r="AC410" s="17">
        <v>169</v>
      </c>
      <c r="AD410" s="36">
        <f t="shared" si="126"/>
        <v>0.16391852570320078</v>
      </c>
      <c r="AE410" s="17">
        <v>54</v>
      </c>
      <c r="AF410" s="36">
        <f t="shared" si="137"/>
        <v>0.16770186335403728</v>
      </c>
      <c r="AG410" s="17">
        <v>76</v>
      </c>
      <c r="AH410" s="36">
        <f t="shared" si="127"/>
        <v>7.3714839961202719E-2</v>
      </c>
      <c r="AI410" s="17">
        <v>23</v>
      </c>
      <c r="AJ410" s="36">
        <f t="shared" si="138"/>
        <v>7.1428571428571425E-2</v>
      </c>
      <c r="AK410" s="17">
        <v>13</v>
      </c>
      <c r="AL410" s="36">
        <f t="shared" si="128"/>
        <v>1.2609117361784675E-2</v>
      </c>
      <c r="AM410" s="17">
        <v>4</v>
      </c>
      <c r="AN410" s="36">
        <f t="shared" si="139"/>
        <v>1.2422360248447204E-2</v>
      </c>
      <c r="AO410" s="16">
        <v>1031</v>
      </c>
      <c r="AP410" s="17">
        <v>322</v>
      </c>
    </row>
    <row r="411" spans="1:42" ht="15.75" customHeight="1" x14ac:dyDescent="0.25">
      <c r="A411" s="37">
        <v>2022</v>
      </c>
      <c r="B411" s="35">
        <v>172093</v>
      </c>
      <c r="C411" s="33" t="str">
        <f>VLOOKUP(B411,procv!$A$2:$D$142,4,FALSE)</f>
        <v>Sudeste</v>
      </c>
      <c r="D411" s="33" t="s">
        <v>136</v>
      </c>
      <c r="E411" s="17">
        <v>0</v>
      </c>
      <c r="F411" s="36">
        <f t="shared" si="129"/>
        <v>0</v>
      </c>
      <c r="G411" s="17">
        <v>0</v>
      </c>
      <c r="H411" s="36">
        <f t="shared" si="130"/>
        <v>0</v>
      </c>
      <c r="I411" s="17">
        <v>1</v>
      </c>
      <c r="J411" s="36">
        <f t="shared" si="131"/>
        <v>2.6315789473684209E-2</v>
      </c>
      <c r="K411" s="17">
        <v>1</v>
      </c>
      <c r="L411" s="36">
        <f t="shared" si="132"/>
        <v>4.3478260869565216E-2</v>
      </c>
      <c r="M411" s="17">
        <v>37</v>
      </c>
      <c r="N411" s="36">
        <f t="shared" si="122"/>
        <v>0.97368421052631582</v>
      </c>
      <c r="O411" s="17">
        <v>22</v>
      </c>
      <c r="P411" s="36">
        <f t="shared" si="133"/>
        <v>0.95652173913043481</v>
      </c>
      <c r="Q411" s="17">
        <v>0</v>
      </c>
      <c r="R411" s="36">
        <f t="shared" si="123"/>
        <v>0</v>
      </c>
      <c r="S411" s="17">
        <v>0</v>
      </c>
      <c r="T411" s="36">
        <f t="shared" si="134"/>
        <v>0</v>
      </c>
      <c r="U411" s="17">
        <v>0</v>
      </c>
      <c r="V411" s="36">
        <f t="shared" si="124"/>
        <v>0</v>
      </c>
      <c r="W411" s="17">
        <v>0</v>
      </c>
      <c r="X411" s="36">
        <f t="shared" si="135"/>
        <v>0</v>
      </c>
      <c r="Y411" s="17">
        <v>25</v>
      </c>
      <c r="Z411" s="36">
        <f t="shared" si="125"/>
        <v>0.65789473684210531</v>
      </c>
      <c r="AA411" s="17">
        <v>17</v>
      </c>
      <c r="AB411" s="36">
        <f t="shared" si="136"/>
        <v>0.73913043478260865</v>
      </c>
      <c r="AC411" s="17">
        <v>9</v>
      </c>
      <c r="AD411" s="36">
        <f t="shared" si="126"/>
        <v>0.23684210526315788</v>
      </c>
      <c r="AE411" s="17">
        <v>4</v>
      </c>
      <c r="AF411" s="36">
        <f t="shared" si="137"/>
        <v>0.17391304347826086</v>
      </c>
      <c r="AG411" s="17">
        <v>3</v>
      </c>
      <c r="AH411" s="36">
        <f t="shared" si="127"/>
        <v>7.8947368421052627E-2</v>
      </c>
      <c r="AI411" s="17">
        <v>2</v>
      </c>
      <c r="AJ411" s="36">
        <f t="shared" si="138"/>
        <v>8.6956521739130432E-2</v>
      </c>
      <c r="AK411" s="17">
        <v>1</v>
      </c>
      <c r="AL411" s="36">
        <f t="shared" si="128"/>
        <v>2.6315789473684209E-2</v>
      </c>
      <c r="AM411" s="17">
        <v>0</v>
      </c>
      <c r="AN411" s="36">
        <f t="shared" si="139"/>
        <v>0</v>
      </c>
      <c r="AO411" s="17">
        <v>38</v>
      </c>
      <c r="AP411" s="17">
        <v>23</v>
      </c>
    </row>
    <row r="412" spans="1:42" ht="15.75" customHeight="1" x14ac:dyDescent="0.25">
      <c r="A412" s="37">
        <v>2022</v>
      </c>
      <c r="B412" s="35">
        <v>172097</v>
      </c>
      <c r="C412" s="33" t="str">
        <f>VLOOKUP(B412,procv!$A$2:$D$142,4,FALSE)</f>
        <v>Ilha do Bananal</v>
      </c>
      <c r="D412" s="33" t="s">
        <v>137</v>
      </c>
      <c r="E412" s="17">
        <v>1</v>
      </c>
      <c r="F412" s="36">
        <f t="shared" si="129"/>
        <v>3.5714285714285713E-3</v>
      </c>
      <c r="G412" s="17">
        <v>0</v>
      </c>
      <c r="H412" s="36">
        <f t="shared" si="130"/>
        <v>0</v>
      </c>
      <c r="I412" s="17">
        <v>6</v>
      </c>
      <c r="J412" s="36">
        <f t="shared" si="131"/>
        <v>2.1428571428571429E-2</v>
      </c>
      <c r="K412" s="17">
        <v>1</v>
      </c>
      <c r="L412" s="36">
        <f t="shared" si="132"/>
        <v>1.4925373134328358E-2</v>
      </c>
      <c r="M412" s="17">
        <v>273</v>
      </c>
      <c r="N412" s="36">
        <f t="shared" si="122"/>
        <v>0.97499999999999998</v>
      </c>
      <c r="O412" s="17">
        <v>66</v>
      </c>
      <c r="P412" s="36">
        <f t="shared" si="133"/>
        <v>0.9850746268656716</v>
      </c>
      <c r="Q412" s="17">
        <v>2</v>
      </c>
      <c r="R412" s="36">
        <f t="shared" si="123"/>
        <v>7.1428571428571426E-3</v>
      </c>
      <c r="S412" s="17">
        <v>1</v>
      </c>
      <c r="T412" s="36">
        <f t="shared" si="134"/>
        <v>1.4925373134328358E-2</v>
      </c>
      <c r="U412" s="17">
        <v>7</v>
      </c>
      <c r="V412" s="36">
        <f t="shared" si="124"/>
        <v>2.5000000000000001E-2</v>
      </c>
      <c r="W412" s="17">
        <v>0</v>
      </c>
      <c r="X412" s="36">
        <f t="shared" si="135"/>
        <v>0</v>
      </c>
      <c r="Y412" s="17">
        <v>175</v>
      </c>
      <c r="Z412" s="36">
        <f t="shared" si="125"/>
        <v>0.625</v>
      </c>
      <c r="AA412" s="17">
        <v>45</v>
      </c>
      <c r="AB412" s="36">
        <f t="shared" si="136"/>
        <v>0.67164179104477617</v>
      </c>
      <c r="AC412" s="17">
        <v>58</v>
      </c>
      <c r="AD412" s="36">
        <f t="shared" si="126"/>
        <v>0.20714285714285716</v>
      </c>
      <c r="AE412" s="17">
        <v>14</v>
      </c>
      <c r="AF412" s="36">
        <f t="shared" si="137"/>
        <v>0.20895522388059701</v>
      </c>
      <c r="AG412" s="17">
        <v>32</v>
      </c>
      <c r="AH412" s="36">
        <f t="shared" si="127"/>
        <v>0.11428571428571428</v>
      </c>
      <c r="AI412" s="17">
        <v>7</v>
      </c>
      <c r="AJ412" s="36">
        <f t="shared" si="138"/>
        <v>0.1044776119402985</v>
      </c>
      <c r="AK412" s="17">
        <v>6</v>
      </c>
      <c r="AL412" s="36">
        <f t="shared" si="128"/>
        <v>2.1428571428571429E-2</v>
      </c>
      <c r="AM412" s="17">
        <v>0</v>
      </c>
      <c r="AN412" s="36">
        <f t="shared" si="139"/>
        <v>0</v>
      </c>
      <c r="AO412" s="17">
        <v>280</v>
      </c>
      <c r="AP412" s="17">
        <v>67</v>
      </c>
    </row>
    <row r="413" spans="1:42" ht="15.75" customHeight="1" x14ac:dyDescent="0.25">
      <c r="A413" s="37">
        <v>2022</v>
      </c>
      <c r="B413" s="35">
        <v>172110</v>
      </c>
      <c r="C413" s="33" t="str">
        <f>VLOOKUP(B413,procv!$A$2:$D$142,4,FALSE)</f>
        <v>Capim Dourado</v>
      </c>
      <c r="D413" s="33" t="s">
        <v>138</v>
      </c>
      <c r="E413" s="17">
        <v>18</v>
      </c>
      <c r="F413" s="36">
        <f t="shared" si="129"/>
        <v>1.9801980198019802E-2</v>
      </c>
      <c r="G413" s="17">
        <v>16</v>
      </c>
      <c r="H413" s="36">
        <f t="shared" si="130"/>
        <v>2.6101141924959218E-2</v>
      </c>
      <c r="I413" s="17">
        <v>31</v>
      </c>
      <c r="J413" s="36">
        <f t="shared" si="131"/>
        <v>3.4103410341034104E-2</v>
      </c>
      <c r="K413" s="17">
        <v>21</v>
      </c>
      <c r="L413" s="36">
        <f t="shared" si="132"/>
        <v>3.4257748776508973E-2</v>
      </c>
      <c r="M413" s="17">
        <v>860</v>
      </c>
      <c r="N413" s="36">
        <f t="shared" ref="N413:N441" si="140">IFERROR(M413/$AO413,0)</f>
        <v>0.94609460946094615</v>
      </c>
      <c r="O413" s="17">
        <v>576</v>
      </c>
      <c r="P413" s="36">
        <f t="shared" si="133"/>
        <v>0.93964110929853184</v>
      </c>
      <c r="Q413" s="17">
        <v>7</v>
      </c>
      <c r="R413" s="36">
        <f t="shared" ref="R413:R441" si="141">IFERROR(Q413/$AO413,0)</f>
        <v>7.7007700770077006E-3</v>
      </c>
      <c r="S413" s="17">
        <v>8</v>
      </c>
      <c r="T413" s="36">
        <f t="shared" si="134"/>
        <v>1.3050570962479609E-2</v>
      </c>
      <c r="U413" s="17">
        <v>13</v>
      </c>
      <c r="V413" s="36">
        <f t="shared" ref="V413:V441" si="142">IFERROR(U413/$AO413,0)</f>
        <v>1.4301430143014302E-2</v>
      </c>
      <c r="W413" s="17">
        <v>7</v>
      </c>
      <c r="X413" s="36">
        <f t="shared" si="135"/>
        <v>1.1419249592169658E-2</v>
      </c>
      <c r="Y413" s="17">
        <v>601</v>
      </c>
      <c r="Z413" s="36">
        <f t="shared" ref="Z413:Z441" si="143">IFERROR(Y413/$AO413,0)</f>
        <v>0.66116611661166114</v>
      </c>
      <c r="AA413" s="17">
        <v>394</v>
      </c>
      <c r="AB413" s="36">
        <f t="shared" si="136"/>
        <v>0.64274061990212072</v>
      </c>
      <c r="AC413" s="17">
        <v>221</v>
      </c>
      <c r="AD413" s="36">
        <f t="shared" ref="AD413:AD441" si="144">IFERROR(AC413/$AO413,0)</f>
        <v>0.24312431243124313</v>
      </c>
      <c r="AE413" s="17">
        <v>165</v>
      </c>
      <c r="AF413" s="36">
        <f t="shared" si="137"/>
        <v>0.26916802610114193</v>
      </c>
      <c r="AG413" s="17">
        <v>49</v>
      </c>
      <c r="AH413" s="36">
        <f t="shared" ref="AH413:AH441" si="145">IFERROR(AG413/$AO413,0)</f>
        <v>5.3905390539053903E-2</v>
      </c>
      <c r="AI413" s="17">
        <v>28</v>
      </c>
      <c r="AJ413" s="36">
        <f t="shared" si="138"/>
        <v>4.5676998368678633E-2</v>
      </c>
      <c r="AK413" s="17">
        <v>18</v>
      </c>
      <c r="AL413" s="36">
        <f t="shared" ref="AL413:AL441" si="146">IFERROR(AK413/$AO413,0)</f>
        <v>1.9801980198019802E-2</v>
      </c>
      <c r="AM413" s="17">
        <v>11</v>
      </c>
      <c r="AN413" s="36">
        <f t="shared" si="139"/>
        <v>1.794453507340946E-2</v>
      </c>
      <c r="AO413" s="17">
        <v>909</v>
      </c>
      <c r="AP413" s="17">
        <v>613</v>
      </c>
    </row>
    <row r="414" spans="1:42" ht="15.75" customHeight="1" x14ac:dyDescent="0.25">
      <c r="A414" s="37">
        <v>2022</v>
      </c>
      <c r="B414" s="35">
        <v>172120</v>
      </c>
      <c r="C414" s="33" t="str">
        <f>VLOOKUP(B414,procv!$A$2:$D$142,4,FALSE)</f>
        <v>Bico do Papagaio</v>
      </c>
      <c r="D414" s="33" t="s">
        <v>139</v>
      </c>
      <c r="E414" s="17">
        <v>25</v>
      </c>
      <c r="F414" s="36">
        <f t="shared" si="129"/>
        <v>1.6622340425531915E-2</v>
      </c>
      <c r="G414" s="17">
        <v>16</v>
      </c>
      <c r="H414" s="36">
        <f t="shared" si="130"/>
        <v>2.1136063408190225E-2</v>
      </c>
      <c r="I414" s="17">
        <v>91</v>
      </c>
      <c r="J414" s="36">
        <f t="shared" si="131"/>
        <v>6.0505319148936171E-2</v>
      </c>
      <c r="K414" s="17">
        <v>52</v>
      </c>
      <c r="L414" s="36">
        <f t="shared" si="132"/>
        <v>6.8692206076618231E-2</v>
      </c>
      <c r="M414" s="16">
        <v>1388</v>
      </c>
      <c r="N414" s="36">
        <f t="shared" si="140"/>
        <v>0.9228723404255319</v>
      </c>
      <c r="O414" s="17">
        <v>689</v>
      </c>
      <c r="P414" s="36">
        <f t="shared" si="133"/>
        <v>0.91017173051519151</v>
      </c>
      <c r="Q414" s="17">
        <v>24</v>
      </c>
      <c r="R414" s="36">
        <f t="shared" si="141"/>
        <v>1.5957446808510637E-2</v>
      </c>
      <c r="S414" s="17">
        <v>14</v>
      </c>
      <c r="T414" s="36">
        <f t="shared" si="134"/>
        <v>1.8494055482166448E-2</v>
      </c>
      <c r="U414" s="17">
        <v>64</v>
      </c>
      <c r="V414" s="36">
        <f t="shared" si="142"/>
        <v>4.2553191489361701E-2</v>
      </c>
      <c r="W414" s="17">
        <v>30</v>
      </c>
      <c r="X414" s="36">
        <f t="shared" si="135"/>
        <v>3.9630118890356669E-2</v>
      </c>
      <c r="Y414" s="16">
        <v>1064</v>
      </c>
      <c r="Z414" s="36">
        <f t="shared" si="143"/>
        <v>0.70744680851063835</v>
      </c>
      <c r="AA414" s="17">
        <v>521</v>
      </c>
      <c r="AB414" s="36">
        <f t="shared" si="136"/>
        <v>0.68824306472919416</v>
      </c>
      <c r="AC414" s="17">
        <v>272</v>
      </c>
      <c r="AD414" s="36">
        <f t="shared" si="144"/>
        <v>0.18085106382978725</v>
      </c>
      <c r="AE414" s="17">
        <v>154</v>
      </c>
      <c r="AF414" s="36">
        <f t="shared" si="137"/>
        <v>0.20343461030383092</v>
      </c>
      <c r="AG414" s="17">
        <v>69</v>
      </c>
      <c r="AH414" s="36">
        <f t="shared" si="145"/>
        <v>4.5877659574468085E-2</v>
      </c>
      <c r="AI414" s="17">
        <v>35</v>
      </c>
      <c r="AJ414" s="36">
        <f t="shared" si="138"/>
        <v>4.6235138705416116E-2</v>
      </c>
      <c r="AK414" s="17">
        <v>11</v>
      </c>
      <c r="AL414" s="36">
        <f t="shared" si="146"/>
        <v>7.3138297872340427E-3</v>
      </c>
      <c r="AM414" s="17">
        <v>3</v>
      </c>
      <c r="AN414" s="36">
        <f t="shared" si="139"/>
        <v>3.9630118890356669E-3</v>
      </c>
      <c r="AO414" s="16">
        <v>1504</v>
      </c>
      <c r="AP414" s="17">
        <v>757</v>
      </c>
    </row>
    <row r="415" spans="1:42" ht="15.75" customHeight="1" x14ac:dyDescent="0.25">
      <c r="A415" s="37">
        <v>2022</v>
      </c>
      <c r="B415" s="35">
        <v>172125</v>
      </c>
      <c r="C415" s="33" t="str">
        <f>VLOOKUP(B415,procv!$A$2:$D$142,4,FALSE)</f>
        <v>Cerrado Tocantins Araguaia</v>
      </c>
      <c r="D415" s="33" t="s">
        <v>140</v>
      </c>
      <c r="E415" s="17">
        <v>1</v>
      </c>
      <c r="F415" s="36">
        <f t="shared" si="129"/>
        <v>4.3859649122807015E-3</v>
      </c>
      <c r="G415" s="17">
        <v>0</v>
      </c>
      <c r="H415" s="36">
        <f t="shared" si="130"/>
        <v>0</v>
      </c>
      <c r="I415" s="17">
        <v>9</v>
      </c>
      <c r="J415" s="36">
        <f t="shared" si="131"/>
        <v>3.9473684210526314E-2</v>
      </c>
      <c r="K415" s="17">
        <v>1</v>
      </c>
      <c r="L415" s="36">
        <f t="shared" si="132"/>
        <v>2.2727272727272728E-2</v>
      </c>
      <c r="M415" s="17">
        <v>218</v>
      </c>
      <c r="N415" s="36">
        <f t="shared" si="140"/>
        <v>0.95614035087719296</v>
      </c>
      <c r="O415" s="17">
        <v>43</v>
      </c>
      <c r="P415" s="36">
        <f t="shared" si="133"/>
        <v>0.97727272727272729</v>
      </c>
      <c r="Q415" s="17">
        <v>1</v>
      </c>
      <c r="R415" s="36">
        <f t="shared" si="141"/>
        <v>4.3859649122807015E-3</v>
      </c>
      <c r="S415" s="17">
        <v>0</v>
      </c>
      <c r="T415" s="36">
        <f t="shared" si="134"/>
        <v>0</v>
      </c>
      <c r="U415" s="17">
        <v>9</v>
      </c>
      <c r="V415" s="36">
        <f t="shared" si="142"/>
        <v>3.9473684210526314E-2</v>
      </c>
      <c r="W415" s="17">
        <v>1</v>
      </c>
      <c r="X415" s="36">
        <f t="shared" si="135"/>
        <v>2.2727272727272728E-2</v>
      </c>
      <c r="Y415" s="17">
        <v>171</v>
      </c>
      <c r="Z415" s="36">
        <f t="shared" si="143"/>
        <v>0.75</v>
      </c>
      <c r="AA415" s="17">
        <v>34</v>
      </c>
      <c r="AB415" s="36">
        <f t="shared" si="136"/>
        <v>0.77272727272727271</v>
      </c>
      <c r="AC415" s="17">
        <v>27</v>
      </c>
      <c r="AD415" s="36">
        <f t="shared" si="144"/>
        <v>0.11842105263157894</v>
      </c>
      <c r="AE415" s="17">
        <v>4</v>
      </c>
      <c r="AF415" s="36">
        <f t="shared" si="137"/>
        <v>9.0909090909090912E-2</v>
      </c>
      <c r="AG415" s="17">
        <v>17</v>
      </c>
      <c r="AH415" s="36">
        <f t="shared" si="145"/>
        <v>7.4561403508771926E-2</v>
      </c>
      <c r="AI415" s="17">
        <v>4</v>
      </c>
      <c r="AJ415" s="36">
        <f t="shared" si="138"/>
        <v>9.0909090909090912E-2</v>
      </c>
      <c r="AK415" s="17">
        <v>3</v>
      </c>
      <c r="AL415" s="36">
        <f t="shared" si="146"/>
        <v>1.3157894736842105E-2</v>
      </c>
      <c r="AM415" s="17">
        <v>1</v>
      </c>
      <c r="AN415" s="36">
        <f t="shared" si="139"/>
        <v>2.2727272727272728E-2</v>
      </c>
      <c r="AO415" s="17">
        <v>228</v>
      </c>
      <c r="AP415" s="17">
        <v>44</v>
      </c>
    </row>
    <row r="416" spans="1:42" ht="15.75" customHeight="1" x14ac:dyDescent="0.25">
      <c r="A416" s="37">
        <v>2022</v>
      </c>
      <c r="B416" s="35">
        <v>172130</v>
      </c>
      <c r="C416" s="33" t="str">
        <f>VLOOKUP(B416,procv!$A$2:$D$142,4,FALSE)</f>
        <v>Cerrado Tocantins Araguaia</v>
      </c>
      <c r="D416" s="33" t="s">
        <v>141</v>
      </c>
      <c r="E416" s="17">
        <v>1</v>
      </c>
      <c r="F416" s="36">
        <f t="shared" si="129"/>
        <v>5.7803468208092483E-3</v>
      </c>
      <c r="G416" s="17">
        <v>1</v>
      </c>
      <c r="H416" s="36">
        <f t="shared" si="130"/>
        <v>7.1428571428571425E-2</v>
      </c>
      <c r="I416" s="17">
        <v>5</v>
      </c>
      <c r="J416" s="36">
        <f t="shared" si="131"/>
        <v>2.8901734104046242E-2</v>
      </c>
      <c r="K416" s="17">
        <v>1</v>
      </c>
      <c r="L416" s="36">
        <f t="shared" si="132"/>
        <v>7.1428571428571425E-2</v>
      </c>
      <c r="M416" s="17">
        <v>167</v>
      </c>
      <c r="N416" s="36">
        <f t="shared" si="140"/>
        <v>0.96531791907514453</v>
      </c>
      <c r="O416" s="17">
        <v>12</v>
      </c>
      <c r="P416" s="36">
        <f t="shared" si="133"/>
        <v>0.8571428571428571</v>
      </c>
      <c r="Q416" s="17">
        <v>4</v>
      </c>
      <c r="R416" s="36">
        <f t="shared" si="141"/>
        <v>2.3121387283236993E-2</v>
      </c>
      <c r="S416" s="17">
        <v>0</v>
      </c>
      <c r="T416" s="36">
        <f t="shared" si="134"/>
        <v>0</v>
      </c>
      <c r="U416" s="17">
        <v>7</v>
      </c>
      <c r="V416" s="36">
        <f t="shared" si="142"/>
        <v>4.046242774566474E-2</v>
      </c>
      <c r="W416" s="17">
        <v>0</v>
      </c>
      <c r="X416" s="36">
        <f t="shared" si="135"/>
        <v>0</v>
      </c>
      <c r="Y416" s="17">
        <v>124</v>
      </c>
      <c r="Z416" s="36">
        <f t="shared" si="143"/>
        <v>0.7167630057803468</v>
      </c>
      <c r="AA416" s="17">
        <v>10</v>
      </c>
      <c r="AB416" s="36">
        <f t="shared" si="136"/>
        <v>0.7142857142857143</v>
      </c>
      <c r="AC416" s="17">
        <v>26</v>
      </c>
      <c r="AD416" s="36">
        <f t="shared" si="144"/>
        <v>0.15028901734104047</v>
      </c>
      <c r="AE416" s="17">
        <v>3</v>
      </c>
      <c r="AF416" s="36">
        <f t="shared" si="137"/>
        <v>0.21428571428571427</v>
      </c>
      <c r="AG416" s="17">
        <v>10</v>
      </c>
      <c r="AH416" s="36">
        <f t="shared" si="145"/>
        <v>5.7803468208092484E-2</v>
      </c>
      <c r="AI416" s="17">
        <v>1</v>
      </c>
      <c r="AJ416" s="36">
        <f t="shared" si="138"/>
        <v>7.1428571428571425E-2</v>
      </c>
      <c r="AK416" s="17">
        <v>2</v>
      </c>
      <c r="AL416" s="36">
        <f t="shared" si="146"/>
        <v>1.1560693641618497E-2</v>
      </c>
      <c r="AM416" s="17">
        <v>0</v>
      </c>
      <c r="AN416" s="36">
        <f t="shared" si="139"/>
        <v>0</v>
      </c>
      <c r="AO416" s="17">
        <v>173</v>
      </c>
      <c r="AP416" s="17">
        <v>14</v>
      </c>
    </row>
    <row r="417" spans="1:42" ht="15.75" customHeight="1" x14ac:dyDescent="0.25">
      <c r="A417" s="37">
        <v>2022</v>
      </c>
      <c r="B417" s="35">
        <v>172208</v>
      </c>
      <c r="C417" s="33" t="str">
        <f>VLOOKUP(B417,procv!$A$2:$D$142,4,FALSE)</f>
        <v>Médio Norte Araguaia</v>
      </c>
      <c r="D417" s="33" t="s">
        <v>142</v>
      </c>
      <c r="E417" s="17">
        <v>23</v>
      </c>
      <c r="F417" s="36">
        <f t="shared" si="129"/>
        <v>2.6869158878504672E-2</v>
      </c>
      <c r="G417" s="17">
        <v>7</v>
      </c>
      <c r="H417" s="36">
        <f t="shared" si="130"/>
        <v>3.1390134529147982E-2</v>
      </c>
      <c r="I417" s="17">
        <v>56</v>
      </c>
      <c r="J417" s="36">
        <f t="shared" si="131"/>
        <v>6.5420560747663545E-2</v>
      </c>
      <c r="K417" s="17">
        <v>11</v>
      </c>
      <c r="L417" s="36">
        <f t="shared" si="132"/>
        <v>4.9327354260089683E-2</v>
      </c>
      <c r="M417" s="17">
        <v>777</v>
      </c>
      <c r="N417" s="36">
        <f t="shared" si="140"/>
        <v>0.90771028037383172</v>
      </c>
      <c r="O417" s="17">
        <v>205</v>
      </c>
      <c r="P417" s="36">
        <f t="shared" si="133"/>
        <v>0.91928251121076232</v>
      </c>
      <c r="Q417" s="17">
        <v>9</v>
      </c>
      <c r="R417" s="36">
        <f t="shared" si="141"/>
        <v>1.0514018691588784E-2</v>
      </c>
      <c r="S417" s="17">
        <v>1</v>
      </c>
      <c r="T417" s="36">
        <f t="shared" si="134"/>
        <v>4.4843049327354259E-3</v>
      </c>
      <c r="U417" s="17">
        <v>37</v>
      </c>
      <c r="V417" s="36">
        <f t="shared" si="142"/>
        <v>4.3224299065420559E-2</v>
      </c>
      <c r="W417" s="17">
        <v>7</v>
      </c>
      <c r="X417" s="36">
        <f t="shared" si="135"/>
        <v>3.1390134529147982E-2</v>
      </c>
      <c r="Y417" s="17">
        <v>600</v>
      </c>
      <c r="Z417" s="36">
        <f t="shared" si="143"/>
        <v>0.7009345794392523</v>
      </c>
      <c r="AA417" s="17">
        <v>168</v>
      </c>
      <c r="AB417" s="36">
        <f t="shared" si="136"/>
        <v>0.75336322869955152</v>
      </c>
      <c r="AC417" s="17">
        <v>141</v>
      </c>
      <c r="AD417" s="36">
        <f t="shared" si="144"/>
        <v>0.1647196261682243</v>
      </c>
      <c r="AE417" s="17">
        <v>31</v>
      </c>
      <c r="AF417" s="36">
        <f t="shared" si="137"/>
        <v>0.13901345291479822</v>
      </c>
      <c r="AG417" s="17">
        <v>58</v>
      </c>
      <c r="AH417" s="36">
        <f t="shared" si="145"/>
        <v>6.7757009345794386E-2</v>
      </c>
      <c r="AI417" s="17">
        <v>13</v>
      </c>
      <c r="AJ417" s="36">
        <f t="shared" si="138"/>
        <v>5.829596412556054E-2</v>
      </c>
      <c r="AK417" s="17">
        <v>11</v>
      </c>
      <c r="AL417" s="36">
        <f t="shared" si="146"/>
        <v>1.2850467289719626E-2</v>
      </c>
      <c r="AM417" s="17">
        <v>3</v>
      </c>
      <c r="AN417" s="36">
        <f t="shared" si="139"/>
        <v>1.3452914798206279E-2</v>
      </c>
      <c r="AO417" s="17">
        <v>856</v>
      </c>
      <c r="AP417" s="17">
        <v>223</v>
      </c>
    </row>
    <row r="418" spans="1:42" ht="15.75" customHeight="1" x14ac:dyDescent="0.25">
      <c r="A418" s="37">
        <v>2022</v>
      </c>
      <c r="B418" s="35">
        <v>172210</v>
      </c>
      <c r="C418" s="33" t="str">
        <f>VLOOKUP(B418,procv!$A$2:$D$142,4,FALSE)</f>
        <v>Médio Norte Araguaia</v>
      </c>
      <c r="D418" s="33" t="s">
        <v>143</v>
      </c>
      <c r="E418" s="17">
        <v>14</v>
      </c>
      <c r="F418" s="36">
        <f t="shared" si="129"/>
        <v>1.5334063526834611E-2</v>
      </c>
      <c r="G418" s="17">
        <v>4</v>
      </c>
      <c r="H418" s="36">
        <f t="shared" si="130"/>
        <v>1.6393442622950821E-2</v>
      </c>
      <c r="I418" s="17">
        <v>41</v>
      </c>
      <c r="J418" s="36">
        <f t="shared" si="131"/>
        <v>4.4906900328587074E-2</v>
      </c>
      <c r="K418" s="17">
        <v>11</v>
      </c>
      <c r="L418" s="36">
        <f t="shared" si="132"/>
        <v>4.5081967213114756E-2</v>
      </c>
      <c r="M418" s="17">
        <v>858</v>
      </c>
      <c r="N418" s="36">
        <f t="shared" si="140"/>
        <v>0.93975903614457834</v>
      </c>
      <c r="O418" s="17">
        <v>229</v>
      </c>
      <c r="P418" s="36">
        <f t="shared" si="133"/>
        <v>0.93852459016393441</v>
      </c>
      <c r="Q418" s="17">
        <v>12</v>
      </c>
      <c r="R418" s="36">
        <f t="shared" si="141"/>
        <v>1.3143483023001095E-2</v>
      </c>
      <c r="S418" s="17">
        <v>5</v>
      </c>
      <c r="T418" s="36">
        <f t="shared" si="134"/>
        <v>2.0491803278688523E-2</v>
      </c>
      <c r="U418" s="17">
        <v>26</v>
      </c>
      <c r="V418" s="36">
        <f t="shared" si="142"/>
        <v>2.8477546549835708E-2</v>
      </c>
      <c r="W418" s="17">
        <v>4</v>
      </c>
      <c r="X418" s="36">
        <f t="shared" si="135"/>
        <v>1.6393442622950821E-2</v>
      </c>
      <c r="Y418" s="17">
        <v>642</v>
      </c>
      <c r="Z418" s="36">
        <f t="shared" si="143"/>
        <v>0.70317634173055865</v>
      </c>
      <c r="AA418" s="17">
        <v>178</v>
      </c>
      <c r="AB418" s="36">
        <f t="shared" si="136"/>
        <v>0.72950819672131151</v>
      </c>
      <c r="AC418" s="17">
        <v>145</v>
      </c>
      <c r="AD418" s="36">
        <f t="shared" si="144"/>
        <v>0.15881708652792989</v>
      </c>
      <c r="AE418" s="17">
        <v>38</v>
      </c>
      <c r="AF418" s="36">
        <f t="shared" si="137"/>
        <v>0.15573770491803279</v>
      </c>
      <c r="AG418" s="17">
        <v>70</v>
      </c>
      <c r="AH418" s="36">
        <f t="shared" si="145"/>
        <v>7.6670317634173049E-2</v>
      </c>
      <c r="AI418" s="17">
        <v>14</v>
      </c>
      <c r="AJ418" s="36">
        <f t="shared" si="138"/>
        <v>5.737704918032787E-2</v>
      </c>
      <c r="AK418" s="17">
        <v>18</v>
      </c>
      <c r="AL418" s="36">
        <f t="shared" si="146"/>
        <v>1.9715224534501644E-2</v>
      </c>
      <c r="AM418" s="17">
        <v>5</v>
      </c>
      <c r="AN418" s="36">
        <f t="shared" si="139"/>
        <v>2.0491803278688523E-2</v>
      </c>
      <c r="AO418" s="17">
        <v>913</v>
      </c>
      <c r="AP418" s="17">
        <v>244</v>
      </c>
    </row>
    <row r="419" spans="1:42" ht="15.75" customHeight="1" x14ac:dyDescent="0.25">
      <c r="A419" s="37">
        <v>2021</v>
      </c>
      <c r="B419" s="35">
        <v>170025</v>
      </c>
      <c r="C419" s="34" t="s">
        <v>144</v>
      </c>
      <c r="D419" s="34" t="s">
        <v>5</v>
      </c>
      <c r="E419" s="17">
        <v>4</v>
      </c>
      <c r="F419" s="36">
        <f t="shared" si="129"/>
        <v>1.2195121951219513E-2</v>
      </c>
      <c r="G419" s="17">
        <v>0</v>
      </c>
      <c r="H419" s="36">
        <f t="shared" si="130"/>
        <v>0</v>
      </c>
      <c r="I419" s="17">
        <v>13</v>
      </c>
      <c r="J419" s="36">
        <f t="shared" si="131"/>
        <v>3.9634146341463415E-2</v>
      </c>
      <c r="K419" s="17">
        <v>0</v>
      </c>
      <c r="L419" s="36">
        <f t="shared" si="132"/>
        <v>0</v>
      </c>
      <c r="M419" s="17">
        <v>311</v>
      </c>
      <c r="N419" s="36">
        <f t="shared" si="140"/>
        <v>0.94817073170731703</v>
      </c>
      <c r="O419" s="17">
        <v>40</v>
      </c>
      <c r="P419" s="36">
        <f t="shared" si="133"/>
        <v>1</v>
      </c>
      <c r="Q419" s="17">
        <v>2</v>
      </c>
      <c r="R419" s="36">
        <f t="shared" si="141"/>
        <v>6.0975609756097563E-3</v>
      </c>
      <c r="S419" s="17">
        <v>0</v>
      </c>
      <c r="T419" s="36">
        <f t="shared" si="134"/>
        <v>0</v>
      </c>
      <c r="U419" s="17">
        <v>5</v>
      </c>
      <c r="V419" s="36">
        <f t="shared" si="142"/>
        <v>1.524390243902439E-2</v>
      </c>
      <c r="W419" s="17">
        <v>0</v>
      </c>
      <c r="X419" s="36">
        <f t="shared" si="135"/>
        <v>0</v>
      </c>
      <c r="Y419" s="17">
        <v>252</v>
      </c>
      <c r="Z419" s="36">
        <f t="shared" si="143"/>
        <v>0.76829268292682928</v>
      </c>
      <c r="AA419" s="17">
        <v>28</v>
      </c>
      <c r="AB419" s="36">
        <f t="shared" si="136"/>
        <v>0.7</v>
      </c>
      <c r="AC419" s="17">
        <v>45</v>
      </c>
      <c r="AD419" s="36">
        <f t="shared" si="144"/>
        <v>0.13719512195121952</v>
      </c>
      <c r="AE419" s="17">
        <v>9</v>
      </c>
      <c r="AF419" s="36">
        <f t="shared" si="137"/>
        <v>0.22500000000000001</v>
      </c>
      <c r="AG419" s="17">
        <v>20</v>
      </c>
      <c r="AH419" s="36">
        <f t="shared" si="145"/>
        <v>6.097560975609756E-2</v>
      </c>
      <c r="AI419" s="17">
        <v>2</v>
      </c>
      <c r="AJ419" s="36">
        <f t="shared" si="138"/>
        <v>0.05</v>
      </c>
      <c r="AK419" s="17">
        <v>4</v>
      </c>
      <c r="AL419" s="36">
        <f t="shared" si="146"/>
        <v>1.2195121951219513E-2</v>
      </c>
      <c r="AM419" s="17">
        <v>1</v>
      </c>
      <c r="AN419" s="36">
        <f t="shared" si="139"/>
        <v>2.5000000000000001E-2</v>
      </c>
      <c r="AO419" s="17">
        <v>328</v>
      </c>
      <c r="AP419" s="17">
        <v>40</v>
      </c>
    </row>
    <row r="420" spans="1:42" ht="15.75" customHeight="1" x14ac:dyDescent="0.25">
      <c r="A420" s="37">
        <v>2021</v>
      </c>
      <c r="B420" s="35">
        <v>170030</v>
      </c>
      <c r="C420" s="34" t="s">
        <v>145</v>
      </c>
      <c r="D420" s="34" t="s">
        <v>6</v>
      </c>
      <c r="E420" s="17">
        <v>3</v>
      </c>
      <c r="F420" s="36">
        <f t="shared" si="129"/>
        <v>1.8749999999999999E-2</v>
      </c>
      <c r="G420" s="17">
        <v>3</v>
      </c>
      <c r="H420" s="36">
        <f t="shared" si="130"/>
        <v>2.7272727272727271E-2</v>
      </c>
      <c r="I420" s="17">
        <v>7</v>
      </c>
      <c r="J420" s="36">
        <f t="shared" si="131"/>
        <v>4.3749999999999997E-2</v>
      </c>
      <c r="K420" s="17">
        <v>4</v>
      </c>
      <c r="L420" s="36">
        <f t="shared" si="132"/>
        <v>3.6363636363636362E-2</v>
      </c>
      <c r="M420" s="17">
        <v>150</v>
      </c>
      <c r="N420" s="36">
        <f t="shared" si="140"/>
        <v>0.9375</v>
      </c>
      <c r="O420" s="17">
        <v>103</v>
      </c>
      <c r="P420" s="36">
        <f t="shared" si="133"/>
        <v>0.9363636363636364</v>
      </c>
      <c r="Q420" s="17">
        <v>2</v>
      </c>
      <c r="R420" s="36">
        <f t="shared" si="141"/>
        <v>1.2500000000000001E-2</v>
      </c>
      <c r="S420" s="17">
        <v>1</v>
      </c>
      <c r="T420" s="36">
        <f t="shared" si="134"/>
        <v>9.0909090909090905E-3</v>
      </c>
      <c r="U420" s="17">
        <v>5</v>
      </c>
      <c r="V420" s="36">
        <f t="shared" si="142"/>
        <v>3.125E-2</v>
      </c>
      <c r="W420" s="17">
        <v>3</v>
      </c>
      <c r="X420" s="36">
        <f t="shared" si="135"/>
        <v>2.7272727272727271E-2</v>
      </c>
      <c r="Y420" s="17">
        <v>110</v>
      </c>
      <c r="Z420" s="36">
        <f t="shared" si="143"/>
        <v>0.6875</v>
      </c>
      <c r="AA420" s="17">
        <v>78</v>
      </c>
      <c r="AB420" s="36">
        <f t="shared" si="136"/>
        <v>0.70909090909090911</v>
      </c>
      <c r="AC420" s="17">
        <v>26</v>
      </c>
      <c r="AD420" s="36">
        <f t="shared" si="144"/>
        <v>0.16250000000000001</v>
      </c>
      <c r="AE420" s="17">
        <v>16</v>
      </c>
      <c r="AF420" s="36">
        <f t="shared" si="137"/>
        <v>0.14545454545454545</v>
      </c>
      <c r="AG420" s="17">
        <v>14</v>
      </c>
      <c r="AH420" s="36">
        <f t="shared" si="145"/>
        <v>8.7499999999999994E-2</v>
      </c>
      <c r="AI420" s="17">
        <v>12</v>
      </c>
      <c r="AJ420" s="36">
        <f t="shared" si="138"/>
        <v>0.10909090909090909</v>
      </c>
      <c r="AK420" s="17">
        <v>3</v>
      </c>
      <c r="AL420" s="36">
        <f t="shared" si="146"/>
        <v>1.8749999999999999E-2</v>
      </c>
      <c r="AM420" s="17">
        <v>0</v>
      </c>
      <c r="AN420" s="36">
        <f t="shared" si="139"/>
        <v>0</v>
      </c>
      <c r="AO420" s="17">
        <v>160</v>
      </c>
      <c r="AP420" s="17">
        <v>110</v>
      </c>
    </row>
    <row r="421" spans="1:42" ht="15.75" customHeight="1" x14ac:dyDescent="0.25">
      <c r="A421" s="37">
        <v>2021</v>
      </c>
      <c r="B421" s="35">
        <v>170035</v>
      </c>
      <c r="C421" s="34" t="s">
        <v>146</v>
      </c>
      <c r="D421" s="34" t="s">
        <v>7</v>
      </c>
      <c r="E421" s="17">
        <v>5</v>
      </c>
      <c r="F421" s="36">
        <f t="shared" si="129"/>
        <v>4.1666666666666664E-2</v>
      </c>
      <c r="G421" s="17">
        <v>4</v>
      </c>
      <c r="H421" s="36">
        <f t="shared" si="130"/>
        <v>6.0606060606060608E-2</v>
      </c>
      <c r="I421" s="17">
        <v>6</v>
      </c>
      <c r="J421" s="36">
        <f t="shared" si="131"/>
        <v>0.05</v>
      </c>
      <c r="K421" s="17">
        <v>4</v>
      </c>
      <c r="L421" s="36">
        <f t="shared" si="132"/>
        <v>6.0606060606060608E-2</v>
      </c>
      <c r="M421" s="17">
        <v>109</v>
      </c>
      <c r="N421" s="36">
        <f t="shared" si="140"/>
        <v>0.90833333333333333</v>
      </c>
      <c r="O421" s="17">
        <v>58</v>
      </c>
      <c r="P421" s="36">
        <f t="shared" si="133"/>
        <v>0.87878787878787878</v>
      </c>
      <c r="Q421" s="17">
        <v>1</v>
      </c>
      <c r="R421" s="36">
        <f t="shared" si="141"/>
        <v>8.3333333333333332E-3</v>
      </c>
      <c r="S421" s="17">
        <v>1</v>
      </c>
      <c r="T421" s="36">
        <f t="shared" si="134"/>
        <v>1.5151515151515152E-2</v>
      </c>
      <c r="U421" s="17">
        <v>5</v>
      </c>
      <c r="V421" s="36">
        <f t="shared" si="142"/>
        <v>4.1666666666666664E-2</v>
      </c>
      <c r="W421" s="17">
        <v>2</v>
      </c>
      <c r="X421" s="36">
        <f t="shared" si="135"/>
        <v>3.0303030303030304E-2</v>
      </c>
      <c r="Y421" s="17">
        <v>65</v>
      </c>
      <c r="Z421" s="36">
        <f t="shared" si="143"/>
        <v>0.54166666666666663</v>
      </c>
      <c r="AA421" s="17">
        <v>39</v>
      </c>
      <c r="AB421" s="36">
        <f t="shared" si="136"/>
        <v>0.59090909090909094</v>
      </c>
      <c r="AC421" s="17">
        <v>26</v>
      </c>
      <c r="AD421" s="36">
        <f t="shared" si="144"/>
        <v>0.21666666666666667</v>
      </c>
      <c r="AE421" s="17">
        <v>15</v>
      </c>
      <c r="AF421" s="36">
        <f t="shared" si="137"/>
        <v>0.22727272727272727</v>
      </c>
      <c r="AG421" s="17">
        <v>17</v>
      </c>
      <c r="AH421" s="36">
        <f t="shared" si="145"/>
        <v>0.14166666666666666</v>
      </c>
      <c r="AI421" s="17">
        <v>7</v>
      </c>
      <c r="AJ421" s="36">
        <f t="shared" si="138"/>
        <v>0.10606060606060606</v>
      </c>
      <c r="AK421" s="17">
        <v>6</v>
      </c>
      <c r="AL421" s="36">
        <f t="shared" si="146"/>
        <v>0.05</v>
      </c>
      <c r="AM421" s="17">
        <v>2</v>
      </c>
      <c r="AN421" s="36">
        <f t="shared" si="139"/>
        <v>3.0303030303030304E-2</v>
      </c>
      <c r="AO421" s="17">
        <v>120</v>
      </c>
      <c r="AP421" s="17">
        <v>66</v>
      </c>
    </row>
    <row r="422" spans="1:42" ht="15.75" customHeight="1" x14ac:dyDescent="0.25">
      <c r="A422" s="37">
        <v>2021</v>
      </c>
      <c r="B422" s="35">
        <v>170040</v>
      </c>
      <c r="C422" s="34" t="s">
        <v>147</v>
      </c>
      <c r="D422" s="34" t="s">
        <v>8</v>
      </c>
      <c r="E422" s="17">
        <v>0</v>
      </c>
      <c r="F422" s="36">
        <f t="shared" si="129"/>
        <v>0</v>
      </c>
      <c r="G422" s="17">
        <v>0</v>
      </c>
      <c r="H422" s="36">
        <f t="shared" si="130"/>
        <v>0</v>
      </c>
      <c r="I422" s="17">
        <v>0</v>
      </c>
      <c r="J422" s="36">
        <f t="shared" si="131"/>
        <v>0</v>
      </c>
      <c r="K422" s="17">
        <v>0</v>
      </c>
      <c r="L422" s="36">
        <f t="shared" si="132"/>
        <v>0</v>
      </c>
      <c r="M422" s="17">
        <v>21</v>
      </c>
      <c r="N422" s="36">
        <f t="shared" si="140"/>
        <v>1</v>
      </c>
      <c r="O422" s="17">
        <v>10</v>
      </c>
      <c r="P422" s="36">
        <f t="shared" si="133"/>
        <v>1</v>
      </c>
      <c r="Q422" s="17">
        <v>0</v>
      </c>
      <c r="R422" s="36">
        <f t="shared" si="141"/>
        <v>0</v>
      </c>
      <c r="S422" s="17">
        <v>0</v>
      </c>
      <c r="T422" s="36">
        <f t="shared" si="134"/>
        <v>0</v>
      </c>
      <c r="U422" s="17">
        <v>0</v>
      </c>
      <c r="V422" s="36">
        <f t="shared" si="142"/>
        <v>0</v>
      </c>
      <c r="W422" s="17">
        <v>0</v>
      </c>
      <c r="X422" s="36">
        <f t="shared" si="135"/>
        <v>0</v>
      </c>
      <c r="Y422" s="17">
        <v>13</v>
      </c>
      <c r="Z422" s="36">
        <f t="shared" si="143"/>
        <v>0.61904761904761907</v>
      </c>
      <c r="AA422" s="17">
        <v>8</v>
      </c>
      <c r="AB422" s="36">
        <f t="shared" si="136"/>
        <v>0.8</v>
      </c>
      <c r="AC422" s="17">
        <v>2</v>
      </c>
      <c r="AD422" s="36">
        <f t="shared" si="144"/>
        <v>9.5238095238095233E-2</v>
      </c>
      <c r="AE422" s="17">
        <v>0</v>
      </c>
      <c r="AF422" s="36">
        <f t="shared" si="137"/>
        <v>0</v>
      </c>
      <c r="AG422" s="17">
        <v>5</v>
      </c>
      <c r="AH422" s="36">
        <f t="shared" si="145"/>
        <v>0.23809523809523808</v>
      </c>
      <c r="AI422" s="17">
        <v>2</v>
      </c>
      <c r="AJ422" s="36">
        <f t="shared" si="138"/>
        <v>0.2</v>
      </c>
      <c r="AK422" s="17">
        <v>1</v>
      </c>
      <c r="AL422" s="36">
        <f t="shared" si="146"/>
        <v>4.7619047619047616E-2</v>
      </c>
      <c r="AM422" s="17">
        <v>0</v>
      </c>
      <c r="AN422" s="36">
        <f t="shared" si="139"/>
        <v>0</v>
      </c>
      <c r="AO422" s="17">
        <v>21</v>
      </c>
      <c r="AP422" s="17">
        <v>10</v>
      </c>
    </row>
    <row r="423" spans="1:42" ht="15.75" customHeight="1" x14ac:dyDescent="0.25">
      <c r="A423" s="37">
        <v>2021</v>
      </c>
      <c r="B423" s="35">
        <v>170070</v>
      </c>
      <c r="C423" s="34" t="s">
        <v>146</v>
      </c>
      <c r="D423" s="34" t="s">
        <v>9</v>
      </c>
      <c r="E423" s="17">
        <v>7</v>
      </c>
      <c r="F423" s="36">
        <f t="shared" si="129"/>
        <v>2.1739130434782608E-2</v>
      </c>
      <c r="G423" s="17">
        <v>6</v>
      </c>
      <c r="H423" s="36">
        <f t="shared" si="130"/>
        <v>3.4285714285714287E-2</v>
      </c>
      <c r="I423" s="17">
        <v>18</v>
      </c>
      <c r="J423" s="36">
        <f t="shared" si="131"/>
        <v>5.5900621118012424E-2</v>
      </c>
      <c r="K423" s="17">
        <v>11</v>
      </c>
      <c r="L423" s="36">
        <f t="shared" si="132"/>
        <v>6.2857142857142861E-2</v>
      </c>
      <c r="M423" s="17">
        <v>297</v>
      </c>
      <c r="N423" s="36">
        <f t="shared" si="140"/>
        <v>0.92236024844720499</v>
      </c>
      <c r="O423" s="17">
        <v>158</v>
      </c>
      <c r="P423" s="36">
        <f t="shared" si="133"/>
        <v>0.9028571428571428</v>
      </c>
      <c r="Q423" s="17">
        <v>1</v>
      </c>
      <c r="R423" s="36">
        <f t="shared" si="141"/>
        <v>3.105590062111801E-3</v>
      </c>
      <c r="S423" s="17">
        <v>1</v>
      </c>
      <c r="T423" s="36">
        <f t="shared" si="134"/>
        <v>5.7142857142857143E-3</v>
      </c>
      <c r="U423" s="17">
        <v>13</v>
      </c>
      <c r="V423" s="36">
        <f t="shared" si="142"/>
        <v>4.0372670807453416E-2</v>
      </c>
      <c r="W423" s="17">
        <v>9</v>
      </c>
      <c r="X423" s="36">
        <f t="shared" si="135"/>
        <v>5.1428571428571428E-2</v>
      </c>
      <c r="Y423" s="17">
        <v>202</v>
      </c>
      <c r="Z423" s="36">
        <f t="shared" si="143"/>
        <v>0.62732919254658381</v>
      </c>
      <c r="AA423" s="17">
        <v>109</v>
      </c>
      <c r="AB423" s="36">
        <f t="shared" si="136"/>
        <v>0.62285714285714289</v>
      </c>
      <c r="AC423" s="17">
        <v>45</v>
      </c>
      <c r="AD423" s="36">
        <f t="shared" si="144"/>
        <v>0.13975155279503104</v>
      </c>
      <c r="AE423" s="17">
        <v>29</v>
      </c>
      <c r="AF423" s="36">
        <f t="shared" si="137"/>
        <v>0.1657142857142857</v>
      </c>
      <c r="AG423" s="17">
        <v>52</v>
      </c>
      <c r="AH423" s="36">
        <f t="shared" si="145"/>
        <v>0.16149068322981366</v>
      </c>
      <c r="AI423" s="17">
        <v>23</v>
      </c>
      <c r="AJ423" s="36">
        <f t="shared" si="138"/>
        <v>0.13142857142857142</v>
      </c>
      <c r="AK423" s="17">
        <v>9</v>
      </c>
      <c r="AL423" s="36">
        <f t="shared" si="146"/>
        <v>2.7950310559006212E-2</v>
      </c>
      <c r="AM423" s="17">
        <v>4</v>
      </c>
      <c r="AN423" s="36">
        <f t="shared" si="139"/>
        <v>2.2857142857142857E-2</v>
      </c>
      <c r="AO423" s="17">
        <v>322</v>
      </c>
      <c r="AP423" s="17">
        <v>175</v>
      </c>
    </row>
    <row r="424" spans="1:42" ht="15.75" customHeight="1" x14ac:dyDescent="0.25">
      <c r="A424" s="37">
        <v>2021</v>
      </c>
      <c r="B424" s="35">
        <v>170100</v>
      </c>
      <c r="C424" s="34" t="s">
        <v>145</v>
      </c>
      <c r="D424" s="34" t="s">
        <v>10</v>
      </c>
      <c r="E424" s="17">
        <v>7</v>
      </c>
      <c r="F424" s="36">
        <f t="shared" si="129"/>
        <v>1.6509433962264151E-2</v>
      </c>
      <c r="G424" s="17">
        <v>7</v>
      </c>
      <c r="H424" s="36">
        <f t="shared" si="130"/>
        <v>2.464788732394366E-2</v>
      </c>
      <c r="I424" s="17">
        <v>36</v>
      </c>
      <c r="J424" s="36">
        <f t="shared" si="131"/>
        <v>8.4905660377358486E-2</v>
      </c>
      <c r="K424" s="17">
        <v>22</v>
      </c>
      <c r="L424" s="36">
        <f t="shared" si="132"/>
        <v>7.746478873239436E-2</v>
      </c>
      <c r="M424" s="17">
        <v>381</v>
      </c>
      <c r="N424" s="36">
        <f t="shared" si="140"/>
        <v>0.89858490566037741</v>
      </c>
      <c r="O424" s="17">
        <v>255</v>
      </c>
      <c r="P424" s="36">
        <f t="shared" si="133"/>
        <v>0.897887323943662</v>
      </c>
      <c r="Q424" s="17">
        <v>5</v>
      </c>
      <c r="R424" s="36">
        <f t="shared" si="141"/>
        <v>1.179245283018868E-2</v>
      </c>
      <c r="S424" s="17">
        <v>3</v>
      </c>
      <c r="T424" s="36">
        <f t="shared" si="134"/>
        <v>1.0563380281690141E-2</v>
      </c>
      <c r="U424" s="17">
        <v>18</v>
      </c>
      <c r="V424" s="36">
        <f t="shared" si="142"/>
        <v>4.2452830188679243E-2</v>
      </c>
      <c r="W424" s="17">
        <v>15</v>
      </c>
      <c r="X424" s="36">
        <f t="shared" si="135"/>
        <v>5.2816901408450703E-2</v>
      </c>
      <c r="Y424" s="17">
        <v>298</v>
      </c>
      <c r="Z424" s="36">
        <f t="shared" si="143"/>
        <v>0.70283018867924529</v>
      </c>
      <c r="AA424" s="17">
        <v>204</v>
      </c>
      <c r="AB424" s="36">
        <f t="shared" si="136"/>
        <v>0.71830985915492962</v>
      </c>
      <c r="AC424" s="17">
        <v>62</v>
      </c>
      <c r="AD424" s="36">
        <f t="shared" si="144"/>
        <v>0.14622641509433962</v>
      </c>
      <c r="AE424" s="17">
        <v>37</v>
      </c>
      <c r="AF424" s="36">
        <f t="shared" si="137"/>
        <v>0.13028169014084506</v>
      </c>
      <c r="AG424" s="17">
        <v>39</v>
      </c>
      <c r="AH424" s="36">
        <f t="shared" si="145"/>
        <v>9.1981132075471692E-2</v>
      </c>
      <c r="AI424" s="17">
        <v>24</v>
      </c>
      <c r="AJ424" s="36">
        <f t="shared" si="138"/>
        <v>8.4507042253521125E-2</v>
      </c>
      <c r="AK424" s="17">
        <v>2</v>
      </c>
      <c r="AL424" s="36">
        <f t="shared" si="146"/>
        <v>4.7169811320754715E-3</v>
      </c>
      <c r="AM424" s="17">
        <v>1</v>
      </c>
      <c r="AN424" s="36">
        <f t="shared" si="139"/>
        <v>3.5211267605633804E-3</v>
      </c>
      <c r="AO424" s="17">
        <v>424</v>
      </c>
      <c r="AP424" s="17">
        <v>284</v>
      </c>
    </row>
    <row r="425" spans="1:42" ht="15.75" customHeight="1" x14ac:dyDescent="0.25">
      <c r="A425" s="37">
        <v>2021</v>
      </c>
      <c r="B425" s="35">
        <v>170105</v>
      </c>
      <c r="C425" s="34" t="s">
        <v>145</v>
      </c>
      <c r="D425" s="34" t="s">
        <v>11</v>
      </c>
      <c r="E425" s="17">
        <v>1</v>
      </c>
      <c r="F425" s="36">
        <f t="shared" si="129"/>
        <v>8.0645161290322578E-3</v>
      </c>
      <c r="G425" s="17">
        <v>1</v>
      </c>
      <c r="H425" s="36">
        <f t="shared" si="130"/>
        <v>1.2195121951219513E-2</v>
      </c>
      <c r="I425" s="17">
        <v>3</v>
      </c>
      <c r="J425" s="36">
        <f t="shared" si="131"/>
        <v>2.4193548387096774E-2</v>
      </c>
      <c r="K425" s="17">
        <v>3</v>
      </c>
      <c r="L425" s="36">
        <f t="shared" si="132"/>
        <v>3.6585365853658534E-2</v>
      </c>
      <c r="M425" s="17">
        <v>120</v>
      </c>
      <c r="N425" s="36">
        <f t="shared" si="140"/>
        <v>0.967741935483871</v>
      </c>
      <c r="O425" s="17">
        <v>78</v>
      </c>
      <c r="P425" s="36">
        <f t="shared" si="133"/>
        <v>0.95121951219512191</v>
      </c>
      <c r="Q425" s="17">
        <v>1</v>
      </c>
      <c r="R425" s="36">
        <f t="shared" si="141"/>
        <v>8.0645161290322578E-3</v>
      </c>
      <c r="S425" s="17">
        <v>1</v>
      </c>
      <c r="T425" s="36">
        <f t="shared" si="134"/>
        <v>1.2195121951219513E-2</v>
      </c>
      <c r="U425" s="17">
        <v>2</v>
      </c>
      <c r="V425" s="36">
        <f t="shared" si="142"/>
        <v>1.6129032258064516E-2</v>
      </c>
      <c r="W425" s="17">
        <v>0</v>
      </c>
      <c r="X425" s="36">
        <f t="shared" si="135"/>
        <v>0</v>
      </c>
      <c r="Y425" s="17">
        <v>88</v>
      </c>
      <c r="Z425" s="36">
        <f t="shared" si="143"/>
        <v>0.70967741935483875</v>
      </c>
      <c r="AA425" s="17">
        <v>63</v>
      </c>
      <c r="AB425" s="36">
        <f t="shared" si="136"/>
        <v>0.76829268292682928</v>
      </c>
      <c r="AC425" s="17">
        <v>24</v>
      </c>
      <c r="AD425" s="36">
        <f t="shared" si="144"/>
        <v>0.19354838709677419</v>
      </c>
      <c r="AE425" s="17">
        <v>14</v>
      </c>
      <c r="AF425" s="36">
        <f t="shared" si="137"/>
        <v>0.17073170731707318</v>
      </c>
      <c r="AG425" s="17">
        <v>9</v>
      </c>
      <c r="AH425" s="36">
        <f t="shared" si="145"/>
        <v>7.2580645161290328E-2</v>
      </c>
      <c r="AI425" s="17">
        <v>4</v>
      </c>
      <c r="AJ425" s="36">
        <f t="shared" si="138"/>
        <v>4.878048780487805E-2</v>
      </c>
      <c r="AK425" s="17">
        <v>0</v>
      </c>
      <c r="AL425" s="36">
        <f t="shared" si="146"/>
        <v>0</v>
      </c>
      <c r="AM425" s="17">
        <v>0</v>
      </c>
      <c r="AN425" s="36">
        <f t="shared" si="139"/>
        <v>0</v>
      </c>
      <c r="AO425" s="17">
        <v>124</v>
      </c>
      <c r="AP425" s="17">
        <v>82</v>
      </c>
    </row>
    <row r="426" spans="1:42" ht="15.75" customHeight="1" x14ac:dyDescent="0.25">
      <c r="A426" s="37">
        <v>2021</v>
      </c>
      <c r="B426" s="35">
        <v>170110</v>
      </c>
      <c r="C426" s="34" t="s">
        <v>148</v>
      </c>
      <c r="D426" s="34" t="s">
        <v>12</v>
      </c>
      <c r="E426" s="17">
        <v>5</v>
      </c>
      <c r="F426" s="36">
        <f t="shared" si="129"/>
        <v>3.6496350364963501E-2</v>
      </c>
      <c r="G426" s="17">
        <v>2</v>
      </c>
      <c r="H426" s="36">
        <f t="shared" si="130"/>
        <v>3.2258064516129031E-2</v>
      </c>
      <c r="I426" s="17">
        <v>2</v>
      </c>
      <c r="J426" s="36">
        <f t="shared" si="131"/>
        <v>1.4598540145985401E-2</v>
      </c>
      <c r="K426" s="17">
        <v>0</v>
      </c>
      <c r="L426" s="36">
        <f t="shared" si="132"/>
        <v>0</v>
      </c>
      <c r="M426" s="17">
        <v>130</v>
      </c>
      <c r="N426" s="36">
        <f t="shared" si="140"/>
        <v>0.94890510948905105</v>
      </c>
      <c r="O426" s="17">
        <v>60</v>
      </c>
      <c r="P426" s="36">
        <f t="shared" si="133"/>
        <v>0.967741935483871</v>
      </c>
      <c r="Q426" s="17">
        <v>1</v>
      </c>
      <c r="R426" s="36">
        <f t="shared" si="141"/>
        <v>7.2992700729927005E-3</v>
      </c>
      <c r="S426" s="17">
        <v>1</v>
      </c>
      <c r="T426" s="36">
        <f t="shared" si="134"/>
        <v>1.6129032258064516E-2</v>
      </c>
      <c r="U426" s="17">
        <v>7</v>
      </c>
      <c r="V426" s="36">
        <f t="shared" si="142"/>
        <v>5.1094890510948905E-2</v>
      </c>
      <c r="W426" s="17">
        <v>2</v>
      </c>
      <c r="X426" s="36">
        <f t="shared" si="135"/>
        <v>3.2258064516129031E-2</v>
      </c>
      <c r="Y426" s="17">
        <v>76</v>
      </c>
      <c r="Z426" s="36">
        <f t="shared" si="143"/>
        <v>0.55474452554744524</v>
      </c>
      <c r="AA426" s="17">
        <v>36</v>
      </c>
      <c r="AB426" s="36">
        <f t="shared" si="136"/>
        <v>0.58064516129032262</v>
      </c>
      <c r="AC426" s="17">
        <v>34</v>
      </c>
      <c r="AD426" s="36">
        <f t="shared" si="144"/>
        <v>0.24817518248175183</v>
      </c>
      <c r="AE426" s="17">
        <v>18</v>
      </c>
      <c r="AF426" s="36">
        <f t="shared" si="137"/>
        <v>0.29032258064516131</v>
      </c>
      <c r="AG426" s="17">
        <v>11</v>
      </c>
      <c r="AH426" s="36">
        <f t="shared" si="145"/>
        <v>8.0291970802919707E-2</v>
      </c>
      <c r="AI426" s="17">
        <v>3</v>
      </c>
      <c r="AJ426" s="36">
        <f t="shared" si="138"/>
        <v>4.8387096774193547E-2</v>
      </c>
      <c r="AK426" s="17">
        <v>8</v>
      </c>
      <c r="AL426" s="36">
        <f t="shared" si="146"/>
        <v>5.8394160583941604E-2</v>
      </c>
      <c r="AM426" s="17">
        <v>2</v>
      </c>
      <c r="AN426" s="36">
        <f t="shared" si="139"/>
        <v>3.2258064516129031E-2</v>
      </c>
      <c r="AO426" s="17">
        <v>137</v>
      </c>
      <c r="AP426" s="17">
        <v>62</v>
      </c>
    </row>
    <row r="427" spans="1:42" ht="15.75" customHeight="1" x14ac:dyDescent="0.25">
      <c r="A427" s="37">
        <v>2021</v>
      </c>
      <c r="B427" s="35">
        <v>170130</v>
      </c>
      <c r="C427" s="34" t="s">
        <v>149</v>
      </c>
      <c r="D427" s="34" t="s">
        <v>13</v>
      </c>
      <c r="E427" s="17">
        <v>6</v>
      </c>
      <c r="F427" s="36">
        <f t="shared" si="129"/>
        <v>2.2304832713754646E-2</v>
      </c>
      <c r="G427" s="17">
        <v>4</v>
      </c>
      <c r="H427" s="36">
        <f t="shared" si="130"/>
        <v>4.2105263157894736E-2</v>
      </c>
      <c r="I427" s="17">
        <v>13</v>
      </c>
      <c r="J427" s="36">
        <f t="shared" si="131"/>
        <v>4.8327137546468404E-2</v>
      </c>
      <c r="K427" s="17">
        <v>8</v>
      </c>
      <c r="L427" s="36">
        <f t="shared" si="132"/>
        <v>8.4210526315789472E-2</v>
      </c>
      <c r="M427" s="17">
        <v>250</v>
      </c>
      <c r="N427" s="36">
        <f t="shared" si="140"/>
        <v>0.92936802973977695</v>
      </c>
      <c r="O427" s="17">
        <v>83</v>
      </c>
      <c r="P427" s="36">
        <f t="shared" si="133"/>
        <v>0.87368421052631584</v>
      </c>
      <c r="Q427" s="17">
        <v>4</v>
      </c>
      <c r="R427" s="36">
        <f t="shared" si="141"/>
        <v>1.4869888475836431E-2</v>
      </c>
      <c r="S427" s="17">
        <v>3</v>
      </c>
      <c r="T427" s="36">
        <f t="shared" si="134"/>
        <v>3.1578947368421054E-2</v>
      </c>
      <c r="U427" s="17">
        <v>11</v>
      </c>
      <c r="V427" s="36">
        <f t="shared" si="142"/>
        <v>4.0892193308550186E-2</v>
      </c>
      <c r="W427" s="17">
        <v>3</v>
      </c>
      <c r="X427" s="36">
        <f t="shared" si="135"/>
        <v>3.1578947368421054E-2</v>
      </c>
      <c r="Y427" s="17">
        <v>177</v>
      </c>
      <c r="Z427" s="36">
        <f t="shared" si="143"/>
        <v>0.65799256505576209</v>
      </c>
      <c r="AA427" s="17">
        <v>63</v>
      </c>
      <c r="AB427" s="36">
        <f t="shared" si="136"/>
        <v>0.66315789473684206</v>
      </c>
      <c r="AC427" s="17">
        <v>52</v>
      </c>
      <c r="AD427" s="36">
        <f t="shared" si="144"/>
        <v>0.19330855018587362</v>
      </c>
      <c r="AE427" s="17">
        <v>21</v>
      </c>
      <c r="AF427" s="36">
        <f t="shared" si="137"/>
        <v>0.22105263157894736</v>
      </c>
      <c r="AG427" s="17">
        <v>22</v>
      </c>
      <c r="AH427" s="36">
        <f t="shared" si="145"/>
        <v>8.1784386617100371E-2</v>
      </c>
      <c r="AI427" s="17">
        <v>4</v>
      </c>
      <c r="AJ427" s="36">
        <f t="shared" si="138"/>
        <v>4.2105263157894736E-2</v>
      </c>
      <c r="AK427" s="17">
        <v>3</v>
      </c>
      <c r="AL427" s="36">
        <f t="shared" si="146"/>
        <v>1.1152416356877323E-2</v>
      </c>
      <c r="AM427" s="17">
        <v>1</v>
      </c>
      <c r="AN427" s="36">
        <f t="shared" si="139"/>
        <v>1.0526315789473684E-2</v>
      </c>
      <c r="AO427" s="17">
        <v>269</v>
      </c>
      <c r="AP427" s="17">
        <v>95</v>
      </c>
    </row>
    <row r="428" spans="1:42" ht="15.75" customHeight="1" x14ac:dyDescent="0.25">
      <c r="A428" s="37">
        <v>2021</v>
      </c>
      <c r="B428" s="35">
        <v>170190</v>
      </c>
      <c r="C428" s="34" t="s">
        <v>144</v>
      </c>
      <c r="D428" s="34" t="s">
        <v>14</v>
      </c>
      <c r="E428" s="17">
        <v>19</v>
      </c>
      <c r="F428" s="36">
        <f t="shared" si="129"/>
        <v>5.3977272727272728E-2</v>
      </c>
      <c r="G428" s="17">
        <v>9</v>
      </c>
      <c r="H428" s="36">
        <f t="shared" si="130"/>
        <v>4.8913043478260872E-2</v>
      </c>
      <c r="I428" s="17">
        <v>35</v>
      </c>
      <c r="J428" s="36">
        <f t="shared" si="131"/>
        <v>9.9431818181818177E-2</v>
      </c>
      <c r="K428" s="17">
        <v>14</v>
      </c>
      <c r="L428" s="36">
        <f t="shared" si="132"/>
        <v>7.6086956521739135E-2</v>
      </c>
      <c r="M428" s="17">
        <v>298</v>
      </c>
      <c r="N428" s="36">
        <f t="shared" si="140"/>
        <v>0.84659090909090906</v>
      </c>
      <c r="O428" s="17">
        <v>161</v>
      </c>
      <c r="P428" s="36">
        <f t="shared" si="133"/>
        <v>0.875</v>
      </c>
      <c r="Q428" s="17">
        <v>1</v>
      </c>
      <c r="R428" s="36">
        <f t="shared" si="141"/>
        <v>2.840909090909091E-3</v>
      </c>
      <c r="S428" s="17">
        <v>1</v>
      </c>
      <c r="T428" s="36">
        <f t="shared" si="134"/>
        <v>5.434782608695652E-3</v>
      </c>
      <c r="U428" s="17">
        <v>6</v>
      </c>
      <c r="V428" s="36">
        <f t="shared" si="142"/>
        <v>1.7045454545454544E-2</v>
      </c>
      <c r="W428" s="17">
        <v>2</v>
      </c>
      <c r="X428" s="36">
        <f t="shared" si="135"/>
        <v>1.0869565217391304E-2</v>
      </c>
      <c r="Y428" s="17">
        <v>231</v>
      </c>
      <c r="Z428" s="36">
        <f t="shared" si="143"/>
        <v>0.65625</v>
      </c>
      <c r="AA428" s="17">
        <v>129</v>
      </c>
      <c r="AB428" s="36">
        <f t="shared" si="136"/>
        <v>0.70108695652173914</v>
      </c>
      <c r="AC428" s="17">
        <v>75</v>
      </c>
      <c r="AD428" s="36">
        <f t="shared" si="144"/>
        <v>0.21306818181818182</v>
      </c>
      <c r="AE428" s="17">
        <v>38</v>
      </c>
      <c r="AF428" s="36">
        <f t="shared" si="137"/>
        <v>0.20652173913043478</v>
      </c>
      <c r="AG428" s="17">
        <v>32</v>
      </c>
      <c r="AH428" s="36">
        <f t="shared" si="145"/>
        <v>9.0909090909090912E-2</v>
      </c>
      <c r="AI428" s="17">
        <v>12</v>
      </c>
      <c r="AJ428" s="36">
        <f t="shared" si="138"/>
        <v>6.5217391304347824E-2</v>
      </c>
      <c r="AK428" s="17">
        <v>7</v>
      </c>
      <c r="AL428" s="36">
        <f t="shared" si="146"/>
        <v>1.9886363636363636E-2</v>
      </c>
      <c r="AM428" s="17">
        <v>2</v>
      </c>
      <c r="AN428" s="36">
        <f t="shared" si="139"/>
        <v>1.0869565217391304E-2</v>
      </c>
      <c r="AO428" s="17">
        <v>352</v>
      </c>
      <c r="AP428" s="17">
        <v>184</v>
      </c>
    </row>
    <row r="429" spans="1:42" ht="15.75" customHeight="1" x14ac:dyDescent="0.25">
      <c r="A429" s="37">
        <v>2021</v>
      </c>
      <c r="B429" s="35">
        <v>170200</v>
      </c>
      <c r="C429" s="34" t="s">
        <v>146</v>
      </c>
      <c r="D429" s="34" t="s">
        <v>15</v>
      </c>
      <c r="E429" s="17">
        <v>8</v>
      </c>
      <c r="F429" s="36">
        <f t="shared" si="129"/>
        <v>2.2535211267605635E-2</v>
      </c>
      <c r="G429" s="17">
        <v>3</v>
      </c>
      <c r="H429" s="36">
        <f t="shared" si="130"/>
        <v>3.614457831325301E-2</v>
      </c>
      <c r="I429" s="17">
        <v>19</v>
      </c>
      <c r="J429" s="36">
        <f t="shared" si="131"/>
        <v>5.3521126760563378E-2</v>
      </c>
      <c r="K429" s="17">
        <v>6</v>
      </c>
      <c r="L429" s="36">
        <f t="shared" si="132"/>
        <v>7.2289156626506021E-2</v>
      </c>
      <c r="M429" s="17">
        <v>328</v>
      </c>
      <c r="N429" s="36">
        <f t="shared" si="140"/>
        <v>0.92394366197183098</v>
      </c>
      <c r="O429" s="17">
        <v>74</v>
      </c>
      <c r="P429" s="36">
        <f t="shared" si="133"/>
        <v>0.89156626506024095</v>
      </c>
      <c r="Q429" s="17">
        <v>1</v>
      </c>
      <c r="R429" s="36">
        <f t="shared" si="141"/>
        <v>2.8169014084507044E-3</v>
      </c>
      <c r="S429" s="17">
        <v>0</v>
      </c>
      <c r="T429" s="36">
        <f t="shared" si="134"/>
        <v>0</v>
      </c>
      <c r="U429" s="17">
        <v>8</v>
      </c>
      <c r="V429" s="36">
        <f t="shared" si="142"/>
        <v>2.2535211267605635E-2</v>
      </c>
      <c r="W429" s="17">
        <v>1</v>
      </c>
      <c r="X429" s="36">
        <f t="shared" si="135"/>
        <v>1.2048192771084338E-2</v>
      </c>
      <c r="Y429" s="17">
        <v>219</v>
      </c>
      <c r="Z429" s="36">
        <f t="shared" si="143"/>
        <v>0.61690140845070418</v>
      </c>
      <c r="AA429" s="17">
        <v>58</v>
      </c>
      <c r="AB429" s="36">
        <f t="shared" si="136"/>
        <v>0.6987951807228916</v>
      </c>
      <c r="AC429" s="17">
        <v>77</v>
      </c>
      <c r="AD429" s="36">
        <f t="shared" si="144"/>
        <v>0.21690140845070421</v>
      </c>
      <c r="AE429" s="17">
        <v>17</v>
      </c>
      <c r="AF429" s="36">
        <f t="shared" si="137"/>
        <v>0.20481927710843373</v>
      </c>
      <c r="AG429" s="17">
        <v>33</v>
      </c>
      <c r="AH429" s="36">
        <f t="shared" si="145"/>
        <v>9.295774647887324E-2</v>
      </c>
      <c r="AI429" s="17">
        <v>7</v>
      </c>
      <c r="AJ429" s="36">
        <f t="shared" si="138"/>
        <v>8.4337349397590355E-2</v>
      </c>
      <c r="AK429" s="17">
        <v>17</v>
      </c>
      <c r="AL429" s="36">
        <f t="shared" si="146"/>
        <v>4.788732394366197E-2</v>
      </c>
      <c r="AM429" s="17">
        <v>0</v>
      </c>
      <c r="AN429" s="36">
        <f t="shared" si="139"/>
        <v>0</v>
      </c>
      <c r="AO429" s="17">
        <v>355</v>
      </c>
      <c r="AP429" s="17">
        <v>83</v>
      </c>
    </row>
    <row r="430" spans="1:42" ht="15.75" customHeight="1" x14ac:dyDescent="0.25">
      <c r="A430" s="37">
        <v>2021</v>
      </c>
      <c r="B430" s="35">
        <v>170210</v>
      </c>
      <c r="C430" s="34" t="s">
        <v>149</v>
      </c>
      <c r="D430" s="34" t="s">
        <v>16</v>
      </c>
      <c r="E430" s="17">
        <v>38</v>
      </c>
      <c r="F430" s="36">
        <f t="shared" si="129"/>
        <v>9.0454653653891937E-3</v>
      </c>
      <c r="G430" s="17">
        <v>12</v>
      </c>
      <c r="H430" s="36">
        <f t="shared" si="130"/>
        <v>7.6677316293929714E-3</v>
      </c>
      <c r="I430" s="17">
        <v>139</v>
      </c>
      <c r="J430" s="36">
        <f t="shared" si="131"/>
        <v>3.3087360152344682E-2</v>
      </c>
      <c r="K430" s="17">
        <v>46</v>
      </c>
      <c r="L430" s="36">
        <f t="shared" si="132"/>
        <v>2.9392971246006389E-2</v>
      </c>
      <c r="M430" s="16">
        <v>4024</v>
      </c>
      <c r="N430" s="36">
        <f t="shared" si="140"/>
        <v>0.9578671744822661</v>
      </c>
      <c r="O430" s="16">
        <v>1507</v>
      </c>
      <c r="P430" s="36">
        <f t="shared" si="133"/>
        <v>0.96293929712460069</v>
      </c>
      <c r="Q430" s="17">
        <v>35</v>
      </c>
      <c r="R430" s="36">
        <f t="shared" si="141"/>
        <v>8.3313496786479417E-3</v>
      </c>
      <c r="S430" s="17">
        <v>4</v>
      </c>
      <c r="T430" s="36">
        <f t="shared" si="134"/>
        <v>2.5559105431309905E-3</v>
      </c>
      <c r="U430" s="17">
        <v>127</v>
      </c>
      <c r="V430" s="36">
        <f t="shared" si="142"/>
        <v>3.023089740537967E-2</v>
      </c>
      <c r="W430" s="17">
        <v>19</v>
      </c>
      <c r="X430" s="36">
        <f t="shared" si="135"/>
        <v>1.2140575079872205E-2</v>
      </c>
      <c r="Y430" s="16">
        <v>2846</v>
      </c>
      <c r="Z430" s="36">
        <f t="shared" si="143"/>
        <v>0.6774577481552011</v>
      </c>
      <c r="AA430" s="16">
        <v>1161</v>
      </c>
      <c r="AB430" s="36">
        <f t="shared" si="136"/>
        <v>0.74185303514376999</v>
      </c>
      <c r="AC430" s="17">
        <v>776</v>
      </c>
      <c r="AD430" s="36">
        <f t="shared" si="144"/>
        <v>0.18471792430373721</v>
      </c>
      <c r="AE430" s="17">
        <v>290</v>
      </c>
      <c r="AF430" s="36">
        <f t="shared" si="137"/>
        <v>0.1853035143769968</v>
      </c>
      <c r="AG430" s="17">
        <v>346</v>
      </c>
      <c r="AH430" s="36">
        <f t="shared" si="145"/>
        <v>8.236134253749107E-2</v>
      </c>
      <c r="AI430" s="17">
        <v>80</v>
      </c>
      <c r="AJ430" s="36">
        <f t="shared" si="138"/>
        <v>5.1118210862619806E-2</v>
      </c>
      <c r="AK430" s="17">
        <v>71</v>
      </c>
      <c r="AL430" s="36">
        <f t="shared" si="146"/>
        <v>1.6900737919542965E-2</v>
      </c>
      <c r="AM430" s="17">
        <v>11</v>
      </c>
      <c r="AN430" s="36">
        <f t="shared" si="139"/>
        <v>7.028753993610224E-3</v>
      </c>
      <c r="AO430" s="16">
        <v>4201</v>
      </c>
      <c r="AP430" s="16">
        <v>1565</v>
      </c>
    </row>
    <row r="431" spans="1:42" ht="15.75" customHeight="1" x14ac:dyDescent="0.25">
      <c r="A431" s="37">
        <v>2021</v>
      </c>
      <c r="B431" s="35">
        <v>170215</v>
      </c>
      <c r="C431" s="34" t="s">
        <v>149</v>
      </c>
      <c r="D431" s="34" t="s">
        <v>17</v>
      </c>
      <c r="E431" s="17">
        <v>4</v>
      </c>
      <c r="F431" s="36">
        <f t="shared" si="129"/>
        <v>1.4598540145985401E-2</v>
      </c>
      <c r="G431" s="17">
        <v>4</v>
      </c>
      <c r="H431" s="36">
        <f t="shared" si="130"/>
        <v>2.9411764705882353E-2</v>
      </c>
      <c r="I431" s="17">
        <v>21</v>
      </c>
      <c r="J431" s="36">
        <f t="shared" si="131"/>
        <v>7.6642335766423361E-2</v>
      </c>
      <c r="K431" s="17">
        <v>10</v>
      </c>
      <c r="L431" s="36">
        <f t="shared" si="132"/>
        <v>7.3529411764705885E-2</v>
      </c>
      <c r="M431" s="17">
        <v>249</v>
      </c>
      <c r="N431" s="36">
        <f t="shared" si="140"/>
        <v>0.90875912408759119</v>
      </c>
      <c r="O431" s="17">
        <v>122</v>
      </c>
      <c r="P431" s="36">
        <f t="shared" si="133"/>
        <v>0.8970588235294118</v>
      </c>
      <c r="Q431" s="17">
        <v>2</v>
      </c>
      <c r="R431" s="36">
        <f t="shared" si="141"/>
        <v>7.2992700729927005E-3</v>
      </c>
      <c r="S431" s="17">
        <v>1</v>
      </c>
      <c r="T431" s="36">
        <f t="shared" si="134"/>
        <v>7.3529411764705881E-3</v>
      </c>
      <c r="U431" s="17">
        <v>8</v>
      </c>
      <c r="V431" s="36">
        <f t="shared" si="142"/>
        <v>2.9197080291970802E-2</v>
      </c>
      <c r="W431" s="17">
        <v>2</v>
      </c>
      <c r="X431" s="36">
        <f t="shared" si="135"/>
        <v>1.4705882352941176E-2</v>
      </c>
      <c r="Y431" s="17">
        <v>189</v>
      </c>
      <c r="Z431" s="36">
        <f t="shared" si="143"/>
        <v>0.68978102189781021</v>
      </c>
      <c r="AA431" s="17">
        <v>104</v>
      </c>
      <c r="AB431" s="36">
        <f t="shared" si="136"/>
        <v>0.76470588235294112</v>
      </c>
      <c r="AC431" s="17">
        <v>45</v>
      </c>
      <c r="AD431" s="36">
        <f t="shared" si="144"/>
        <v>0.16423357664233576</v>
      </c>
      <c r="AE431" s="17">
        <v>17</v>
      </c>
      <c r="AF431" s="36">
        <f t="shared" si="137"/>
        <v>0.125</v>
      </c>
      <c r="AG431" s="17">
        <v>25</v>
      </c>
      <c r="AH431" s="36">
        <f t="shared" si="145"/>
        <v>9.1240875912408759E-2</v>
      </c>
      <c r="AI431" s="17">
        <v>10</v>
      </c>
      <c r="AJ431" s="36">
        <f t="shared" si="138"/>
        <v>7.3529411764705885E-2</v>
      </c>
      <c r="AK431" s="17">
        <v>5</v>
      </c>
      <c r="AL431" s="36">
        <f t="shared" si="146"/>
        <v>1.824817518248175E-2</v>
      </c>
      <c r="AM431" s="17">
        <v>2</v>
      </c>
      <c r="AN431" s="36">
        <f t="shared" si="139"/>
        <v>1.4705882352941176E-2</v>
      </c>
      <c r="AO431" s="17">
        <v>274</v>
      </c>
      <c r="AP431" s="17">
        <v>136</v>
      </c>
    </row>
    <row r="432" spans="1:42" ht="15.75" customHeight="1" x14ac:dyDescent="0.25">
      <c r="A432" s="37">
        <v>2021</v>
      </c>
      <c r="B432" s="35">
        <v>170220</v>
      </c>
      <c r="C432" s="34" t="s">
        <v>145</v>
      </c>
      <c r="D432" s="34" t="s">
        <v>18</v>
      </c>
      <c r="E432" s="17">
        <v>37</v>
      </c>
      <c r="F432" s="36">
        <f t="shared" si="129"/>
        <v>2.1424435437174292E-2</v>
      </c>
      <c r="G432" s="17">
        <v>23</v>
      </c>
      <c r="H432" s="36">
        <f t="shared" si="130"/>
        <v>2.6376146788990827E-2</v>
      </c>
      <c r="I432" s="17">
        <v>109</v>
      </c>
      <c r="J432" s="36">
        <f t="shared" si="131"/>
        <v>6.3115228720324268E-2</v>
      </c>
      <c r="K432" s="17">
        <v>49</v>
      </c>
      <c r="L432" s="36">
        <f t="shared" si="132"/>
        <v>5.6192660550458719E-2</v>
      </c>
      <c r="M432" s="16">
        <v>1581</v>
      </c>
      <c r="N432" s="36">
        <f t="shared" si="140"/>
        <v>0.91546033584250142</v>
      </c>
      <c r="O432" s="17">
        <v>800</v>
      </c>
      <c r="P432" s="36">
        <f t="shared" si="133"/>
        <v>0.91743119266055051</v>
      </c>
      <c r="Q432" s="17">
        <v>35</v>
      </c>
      <c r="R432" s="36">
        <f t="shared" si="141"/>
        <v>2.0266357845975681E-2</v>
      </c>
      <c r="S432" s="17">
        <v>21</v>
      </c>
      <c r="T432" s="36">
        <f t="shared" si="134"/>
        <v>2.4082568807339451E-2</v>
      </c>
      <c r="U432" s="17">
        <v>100</v>
      </c>
      <c r="V432" s="36">
        <f t="shared" si="142"/>
        <v>5.7903879559930517E-2</v>
      </c>
      <c r="W432" s="17">
        <v>56</v>
      </c>
      <c r="X432" s="36">
        <f t="shared" si="135"/>
        <v>6.4220183486238536E-2</v>
      </c>
      <c r="Y432" s="16">
        <v>1228</v>
      </c>
      <c r="Z432" s="36">
        <f t="shared" si="143"/>
        <v>0.71105964099594676</v>
      </c>
      <c r="AA432" s="17">
        <v>631</v>
      </c>
      <c r="AB432" s="36">
        <f t="shared" si="136"/>
        <v>0.72362385321100919</v>
      </c>
      <c r="AC432" s="17">
        <v>242</v>
      </c>
      <c r="AD432" s="36">
        <f t="shared" si="144"/>
        <v>0.14012738853503184</v>
      </c>
      <c r="AE432" s="17">
        <v>114</v>
      </c>
      <c r="AF432" s="36">
        <f t="shared" si="137"/>
        <v>0.13073394495412843</v>
      </c>
      <c r="AG432" s="17">
        <v>104</v>
      </c>
      <c r="AH432" s="36">
        <f t="shared" si="145"/>
        <v>6.0220034742327733E-2</v>
      </c>
      <c r="AI432" s="17">
        <v>43</v>
      </c>
      <c r="AJ432" s="36">
        <f t="shared" si="138"/>
        <v>4.931192660550459E-2</v>
      </c>
      <c r="AK432" s="17">
        <v>18</v>
      </c>
      <c r="AL432" s="36">
        <f t="shared" si="146"/>
        <v>1.0422698320787493E-2</v>
      </c>
      <c r="AM432" s="17">
        <v>7</v>
      </c>
      <c r="AN432" s="36">
        <f t="shared" si="139"/>
        <v>8.027522935779817E-3</v>
      </c>
      <c r="AO432" s="16">
        <v>1727</v>
      </c>
      <c r="AP432" s="17">
        <v>872</v>
      </c>
    </row>
    <row r="433" spans="1:42" ht="15.75" customHeight="1" x14ac:dyDescent="0.25">
      <c r="A433" s="37">
        <v>2021</v>
      </c>
      <c r="B433" s="35">
        <v>170230</v>
      </c>
      <c r="C433" s="34" t="s">
        <v>150</v>
      </c>
      <c r="D433" s="34" t="s">
        <v>19</v>
      </c>
      <c r="E433" s="17">
        <v>2</v>
      </c>
      <c r="F433" s="36">
        <f t="shared" si="129"/>
        <v>1.4492753623188406E-2</v>
      </c>
      <c r="G433" s="17">
        <v>2</v>
      </c>
      <c r="H433" s="36">
        <f t="shared" si="130"/>
        <v>1.9047619047619049E-2</v>
      </c>
      <c r="I433" s="17">
        <v>9</v>
      </c>
      <c r="J433" s="36">
        <f t="shared" si="131"/>
        <v>6.5217391304347824E-2</v>
      </c>
      <c r="K433" s="17">
        <v>6</v>
      </c>
      <c r="L433" s="36">
        <f t="shared" si="132"/>
        <v>5.7142857142857141E-2</v>
      </c>
      <c r="M433" s="17">
        <v>127</v>
      </c>
      <c r="N433" s="36">
        <f t="shared" si="140"/>
        <v>0.92028985507246375</v>
      </c>
      <c r="O433" s="17">
        <v>97</v>
      </c>
      <c r="P433" s="36">
        <f t="shared" si="133"/>
        <v>0.92380952380952386</v>
      </c>
      <c r="Q433" s="17">
        <v>3</v>
      </c>
      <c r="R433" s="36">
        <f t="shared" si="141"/>
        <v>2.1739130434782608E-2</v>
      </c>
      <c r="S433" s="17">
        <v>3</v>
      </c>
      <c r="T433" s="36">
        <f t="shared" si="134"/>
        <v>2.8571428571428571E-2</v>
      </c>
      <c r="U433" s="17">
        <v>4</v>
      </c>
      <c r="V433" s="36">
        <f t="shared" si="142"/>
        <v>2.8985507246376812E-2</v>
      </c>
      <c r="W433" s="17">
        <v>4</v>
      </c>
      <c r="X433" s="36">
        <f t="shared" si="135"/>
        <v>3.8095238095238099E-2</v>
      </c>
      <c r="Y433" s="17">
        <v>89</v>
      </c>
      <c r="Z433" s="36">
        <f t="shared" si="143"/>
        <v>0.64492753623188404</v>
      </c>
      <c r="AA433" s="17">
        <v>73</v>
      </c>
      <c r="AB433" s="36">
        <f t="shared" si="136"/>
        <v>0.69523809523809521</v>
      </c>
      <c r="AC433" s="17">
        <v>21</v>
      </c>
      <c r="AD433" s="36">
        <f t="shared" si="144"/>
        <v>0.15217391304347827</v>
      </c>
      <c r="AE433" s="17">
        <v>17</v>
      </c>
      <c r="AF433" s="36">
        <f t="shared" si="137"/>
        <v>0.16190476190476191</v>
      </c>
      <c r="AG433" s="17">
        <v>13</v>
      </c>
      <c r="AH433" s="36">
        <f t="shared" si="145"/>
        <v>9.420289855072464E-2</v>
      </c>
      <c r="AI433" s="17">
        <v>7</v>
      </c>
      <c r="AJ433" s="36">
        <f t="shared" si="138"/>
        <v>6.6666666666666666E-2</v>
      </c>
      <c r="AK433" s="17">
        <v>8</v>
      </c>
      <c r="AL433" s="36">
        <f t="shared" si="146"/>
        <v>5.7971014492753624E-2</v>
      </c>
      <c r="AM433" s="17">
        <v>1</v>
      </c>
      <c r="AN433" s="36">
        <f t="shared" si="139"/>
        <v>9.5238095238095247E-3</v>
      </c>
      <c r="AO433" s="17">
        <v>138</v>
      </c>
      <c r="AP433" s="17">
        <v>105</v>
      </c>
    </row>
    <row r="434" spans="1:42" ht="15.75" customHeight="1" x14ac:dyDescent="0.25">
      <c r="A434" s="37">
        <v>2021</v>
      </c>
      <c r="B434" s="35">
        <v>170240</v>
      </c>
      <c r="C434" s="34" t="s">
        <v>147</v>
      </c>
      <c r="D434" s="34" t="s">
        <v>20</v>
      </c>
      <c r="E434" s="17">
        <v>0</v>
      </c>
      <c r="F434" s="36">
        <f t="shared" si="129"/>
        <v>0</v>
      </c>
      <c r="G434" s="17">
        <v>0</v>
      </c>
      <c r="H434" s="36">
        <f t="shared" si="130"/>
        <v>0</v>
      </c>
      <c r="I434" s="17">
        <v>7</v>
      </c>
      <c r="J434" s="36">
        <f t="shared" si="131"/>
        <v>4.3209876543209874E-2</v>
      </c>
      <c r="K434" s="17">
        <v>0</v>
      </c>
      <c r="L434" s="36">
        <f t="shared" si="132"/>
        <v>0</v>
      </c>
      <c r="M434" s="17">
        <v>155</v>
      </c>
      <c r="N434" s="36">
        <f t="shared" si="140"/>
        <v>0.95679012345679015</v>
      </c>
      <c r="O434" s="17">
        <v>25</v>
      </c>
      <c r="P434" s="36">
        <f t="shared" si="133"/>
        <v>1</v>
      </c>
      <c r="Q434" s="17">
        <v>1</v>
      </c>
      <c r="R434" s="36">
        <f t="shared" si="141"/>
        <v>6.1728395061728392E-3</v>
      </c>
      <c r="S434" s="17">
        <v>0</v>
      </c>
      <c r="T434" s="36">
        <f t="shared" si="134"/>
        <v>0</v>
      </c>
      <c r="U434" s="17">
        <v>5</v>
      </c>
      <c r="V434" s="36">
        <f t="shared" si="142"/>
        <v>3.0864197530864196E-2</v>
      </c>
      <c r="W434" s="17">
        <v>0</v>
      </c>
      <c r="X434" s="36">
        <f t="shared" si="135"/>
        <v>0</v>
      </c>
      <c r="Y434" s="17">
        <v>121</v>
      </c>
      <c r="Z434" s="36">
        <f t="shared" si="143"/>
        <v>0.74691358024691357</v>
      </c>
      <c r="AA434" s="17">
        <v>19</v>
      </c>
      <c r="AB434" s="36">
        <f t="shared" si="136"/>
        <v>0.76</v>
      </c>
      <c r="AC434" s="17">
        <v>25</v>
      </c>
      <c r="AD434" s="36">
        <f t="shared" si="144"/>
        <v>0.15432098765432098</v>
      </c>
      <c r="AE434" s="17">
        <v>5</v>
      </c>
      <c r="AF434" s="36">
        <f t="shared" si="137"/>
        <v>0.2</v>
      </c>
      <c r="AG434" s="17">
        <v>8</v>
      </c>
      <c r="AH434" s="36">
        <f t="shared" si="145"/>
        <v>4.9382716049382713E-2</v>
      </c>
      <c r="AI434" s="17">
        <v>1</v>
      </c>
      <c r="AJ434" s="36">
        <f t="shared" si="138"/>
        <v>0.04</v>
      </c>
      <c r="AK434" s="17">
        <v>2</v>
      </c>
      <c r="AL434" s="36">
        <f t="shared" si="146"/>
        <v>1.2345679012345678E-2</v>
      </c>
      <c r="AM434" s="17">
        <v>0</v>
      </c>
      <c r="AN434" s="36">
        <f t="shared" si="139"/>
        <v>0</v>
      </c>
      <c r="AO434" s="17">
        <v>162</v>
      </c>
      <c r="AP434" s="17">
        <v>25</v>
      </c>
    </row>
    <row r="435" spans="1:42" ht="15.75" customHeight="1" x14ac:dyDescent="0.25">
      <c r="A435" s="37">
        <v>2021</v>
      </c>
      <c r="B435" s="35">
        <v>170255</v>
      </c>
      <c r="C435" s="34" t="s">
        <v>145</v>
      </c>
      <c r="D435" s="34" t="s">
        <v>21</v>
      </c>
      <c r="E435" s="17">
        <v>17</v>
      </c>
      <c r="F435" s="36">
        <f t="shared" si="129"/>
        <v>1.9473081328751432E-2</v>
      </c>
      <c r="G435" s="17">
        <v>7</v>
      </c>
      <c r="H435" s="36">
        <f t="shared" si="130"/>
        <v>1.9337016574585635E-2</v>
      </c>
      <c r="I435" s="17">
        <v>59</v>
      </c>
      <c r="J435" s="36">
        <f t="shared" si="131"/>
        <v>6.7583046964490259E-2</v>
      </c>
      <c r="K435" s="17">
        <v>24</v>
      </c>
      <c r="L435" s="36">
        <f t="shared" si="132"/>
        <v>6.6298342541436461E-2</v>
      </c>
      <c r="M435" s="17">
        <v>797</v>
      </c>
      <c r="N435" s="36">
        <f t="shared" si="140"/>
        <v>0.91294387170675828</v>
      </c>
      <c r="O435" s="17">
        <v>331</v>
      </c>
      <c r="P435" s="36">
        <f t="shared" si="133"/>
        <v>0.91436464088397795</v>
      </c>
      <c r="Q435" s="17">
        <v>18</v>
      </c>
      <c r="R435" s="36">
        <f t="shared" si="141"/>
        <v>2.0618556701030927E-2</v>
      </c>
      <c r="S435" s="17">
        <v>7</v>
      </c>
      <c r="T435" s="36">
        <f t="shared" si="134"/>
        <v>1.9337016574585635E-2</v>
      </c>
      <c r="U435" s="17">
        <v>45</v>
      </c>
      <c r="V435" s="36">
        <f t="shared" si="142"/>
        <v>5.1546391752577317E-2</v>
      </c>
      <c r="W435" s="17">
        <v>19</v>
      </c>
      <c r="X435" s="36">
        <f t="shared" si="135"/>
        <v>5.2486187845303865E-2</v>
      </c>
      <c r="Y435" s="17">
        <v>626</v>
      </c>
      <c r="Z435" s="36">
        <f t="shared" si="143"/>
        <v>0.7170675830469645</v>
      </c>
      <c r="AA435" s="17">
        <v>263</v>
      </c>
      <c r="AB435" s="36">
        <f t="shared" si="136"/>
        <v>0.72651933701657456</v>
      </c>
      <c r="AC435" s="17">
        <v>124</v>
      </c>
      <c r="AD435" s="36">
        <f t="shared" si="144"/>
        <v>0.1420389461626575</v>
      </c>
      <c r="AE435" s="17">
        <v>43</v>
      </c>
      <c r="AF435" s="36">
        <f t="shared" si="137"/>
        <v>0.11878453038674033</v>
      </c>
      <c r="AG435" s="17">
        <v>52</v>
      </c>
      <c r="AH435" s="36">
        <f t="shared" si="145"/>
        <v>5.9564719358533788E-2</v>
      </c>
      <c r="AI435" s="17">
        <v>27</v>
      </c>
      <c r="AJ435" s="36">
        <f t="shared" si="138"/>
        <v>7.4585635359116026E-2</v>
      </c>
      <c r="AK435" s="17">
        <v>8</v>
      </c>
      <c r="AL435" s="36">
        <f t="shared" si="146"/>
        <v>9.1638029782359683E-3</v>
      </c>
      <c r="AM435" s="17">
        <v>3</v>
      </c>
      <c r="AN435" s="36">
        <f t="shared" si="139"/>
        <v>8.2872928176795577E-3</v>
      </c>
      <c r="AO435" s="17">
        <v>873</v>
      </c>
      <c r="AP435" s="17">
        <v>362</v>
      </c>
    </row>
    <row r="436" spans="1:42" ht="15.75" customHeight="1" x14ac:dyDescent="0.25">
      <c r="A436" s="37">
        <v>2021</v>
      </c>
      <c r="B436" s="35">
        <v>170270</v>
      </c>
      <c r="C436" s="34" t="s">
        <v>147</v>
      </c>
      <c r="D436" s="34" t="s">
        <v>22</v>
      </c>
      <c r="E436" s="17">
        <v>0</v>
      </c>
      <c r="F436" s="36">
        <f t="shared" si="129"/>
        <v>0</v>
      </c>
      <c r="G436" s="17">
        <v>0</v>
      </c>
      <c r="H436" s="36">
        <f t="shared" si="130"/>
        <v>0</v>
      </c>
      <c r="I436" s="17">
        <v>3</v>
      </c>
      <c r="J436" s="36">
        <f t="shared" si="131"/>
        <v>3.0612244897959183E-2</v>
      </c>
      <c r="K436" s="17">
        <v>2</v>
      </c>
      <c r="L436" s="36">
        <f t="shared" si="132"/>
        <v>2.1276595744680851E-2</v>
      </c>
      <c r="M436" s="17">
        <v>95</v>
      </c>
      <c r="N436" s="36">
        <f t="shared" si="140"/>
        <v>0.96938775510204078</v>
      </c>
      <c r="O436" s="17">
        <v>92</v>
      </c>
      <c r="P436" s="36">
        <f t="shared" si="133"/>
        <v>0.97872340425531912</v>
      </c>
      <c r="Q436" s="17">
        <v>1</v>
      </c>
      <c r="R436" s="36">
        <f t="shared" si="141"/>
        <v>1.020408163265306E-2</v>
      </c>
      <c r="S436" s="17">
        <v>1</v>
      </c>
      <c r="T436" s="36">
        <f t="shared" si="134"/>
        <v>1.0638297872340425E-2</v>
      </c>
      <c r="U436" s="17">
        <v>4</v>
      </c>
      <c r="V436" s="36">
        <f t="shared" si="142"/>
        <v>4.0816326530612242E-2</v>
      </c>
      <c r="W436" s="17">
        <v>4</v>
      </c>
      <c r="X436" s="36">
        <f t="shared" si="135"/>
        <v>4.2553191489361701E-2</v>
      </c>
      <c r="Y436" s="17">
        <v>72</v>
      </c>
      <c r="Z436" s="36">
        <f t="shared" si="143"/>
        <v>0.73469387755102045</v>
      </c>
      <c r="AA436" s="17">
        <v>70</v>
      </c>
      <c r="AB436" s="36">
        <f t="shared" si="136"/>
        <v>0.74468085106382975</v>
      </c>
      <c r="AC436" s="17">
        <v>14</v>
      </c>
      <c r="AD436" s="36">
        <f t="shared" si="144"/>
        <v>0.14285714285714285</v>
      </c>
      <c r="AE436" s="17">
        <v>14</v>
      </c>
      <c r="AF436" s="36">
        <f t="shared" si="137"/>
        <v>0.14893617021276595</v>
      </c>
      <c r="AG436" s="17">
        <v>6</v>
      </c>
      <c r="AH436" s="36">
        <f t="shared" si="145"/>
        <v>6.1224489795918366E-2</v>
      </c>
      <c r="AI436" s="17">
        <v>4</v>
      </c>
      <c r="AJ436" s="36">
        <f t="shared" si="138"/>
        <v>4.2553191489361701E-2</v>
      </c>
      <c r="AK436" s="17">
        <v>1</v>
      </c>
      <c r="AL436" s="36">
        <f t="shared" si="146"/>
        <v>1.020408163265306E-2</v>
      </c>
      <c r="AM436" s="17">
        <v>1</v>
      </c>
      <c r="AN436" s="36">
        <f t="shared" si="139"/>
        <v>1.0638297872340425E-2</v>
      </c>
      <c r="AO436" s="17">
        <v>98</v>
      </c>
      <c r="AP436" s="17">
        <v>94</v>
      </c>
    </row>
    <row r="437" spans="1:42" ht="15.75" customHeight="1" x14ac:dyDescent="0.25">
      <c r="A437" s="37">
        <v>2021</v>
      </c>
      <c r="B437" s="35">
        <v>170290</v>
      </c>
      <c r="C437" s="34" t="s">
        <v>145</v>
      </c>
      <c r="D437" s="34" t="s">
        <v>23</v>
      </c>
      <c r="E437" s="17">
        <v>24</v>
      </c>
      <c r="F437" s="36">
        <f t="shared" si="129"/>
        <v>3.1088082901554404E-2</v>
      </c>
      <c r="G437" s="17">
        <v>20</v>
      </c>
      <c r="H437" s="36">
        <f t="shared" si="130"/>
        <v>3.717472118959108E-2</v>
      </c>
      <c r="I437" s="17">
        <v>64</v>
      </c>
      <c r="J437" s="36">
        <f t="shared" si="131"/>
        <v>8.2901554404145081E-2</v>
      </c>
      <c r="K437" s="17">
        <v>56</v>
      </c>
      <c r="L437" s="36">
        <f t="shared" si="132"/>
        <v>0.10408921933085502</v>
      </c>
      <c r="M437" s="17">
        <v>684</v>
      </c>
      <c r="N437" s="36">
        <f t="shared" si="140"/>
        <v>0.88601036269430056</v>
      </c>
      <c r="O437" s="17">
        <v>462</v>
      </c>
      <c r="P437" s="36">
        <f t="shared" si="133"/>
        <v>0.85873605947955389</v>
      </c>
      <c r="Q437" s="17">
        <v>17</v>
      </c>
      <c r="R437" s="36">
        <f t="shared" si="141"/>
        <v>2.2020725388601035E-2</v>
      </c>
      <c r="S437" s="17">
        <v>10</v>
      </c>
      <c r="T437" s="36">
        <f t="shared" si="134"/>
        <v>1.858736059479554E-2</v>
      </c>
      <c r="U437" s="17">
        <v>29</v>
      </c>
      <c r="V437" s="36">
        <f t="shared" si="142"/>
        <v>3.756476683937824E-2</v>
      </c>
      <c r="W437" s="17">
        <v>18</v>
      </c>
      <c r="X437" s="36">
        <f t="shared" si="135"/>
        <v>3.3457249070631967E-2</v>
      </c>
      <c r="Y437" s="17">
        <v>546</v>
      </c>
      <c r="Z437" s="36">
        <f t="shared" si="143"/>
        <v>0.70725388601036265</v>
      </c>
      <c r="AA437" s="17">
        <v>383</v>
      </c>
      <c r="AB437" s="36">
        <f t="shared" si="136"/>
        <v>0.71189591078066916</v>
      </c>
      <c r="AC437" s="17">
        <v>119</v>
      </c>
      <c r="AD437" s="36">
        <f t="shared" si="144"/>
        <v>0.15414507772020725</v>
      </c>
      <c r="AE437" s="17">
        <v>87</v>
      </c>
      <c r="AF437" s="36">
        <f t="shared" si="137"/>
        <v>0.16171003717472118</v>
      </c>
      <c r="AG437" s="17">
        <v>52</v>
      </c>
      <c r="AH437" s="36">
        <f t="shared" si="145"/>
        <v>6.7357512953367879E-2</v>
      </c>
      <c r="AI437" s="17">
        <v>36</v>
      </c>
      <c r="AJ437" s="36">
        <f t="shared" si="138"/>
        <v>6.6914498141263934E-2</v>
      </c>
      <c r="AK437" s="17">
        <v>9</v>
      </c>
      <c r="AL437" s="36">
        <f t="shared" si="146"/>
        <v>1.1658031088082901E-2</v>
      </c>
      <c r="AM437" s="17">
        <v>4</v>
      </c>
      <c r="AN437" s="36">
        <f t="shared" si="139"/>
        <v>7.4349442379182153E-3</v>
      </c>
      <c r="AO437" s="17">
        <v>772</v>
      </c>
      <c r="AP437" s="17">
        <v>538</v>
      </c>
    </row>
    <row r="438" spans="1:42" ht="15.75" customHeight="1" x14ac:dyDescent="0.25">
      <c r="A438" s="37">
        <v>2021</v>
      </c>
      <c r="B438" s="35">
        <v>170300</v>
      </c>
      <c r="C438" s="34" t="s">
        <v>149</v>
      </c>
      <c r="D438" s="34" t="s">
        <v>24</v>
      </c>
      <c r="E438" s="17">
        <v>18</v>
      </c>
      <c r="F438" s="36">
        <f t="shared" si="129"/>
        <v>5.3571428571428568E-2</v>
      </c>
      <c r="G438" s="17">
        <v>9</v>
      </c>
      <c r="H438" s="36">
        <f t="shared" si="130"/>
        <v>4.5226130653266333E-2</v>
      </c>
      <c r="I438" s="17">
        <v>18</v>
      </c>
      <c r="J438" s="36">
        <f t="shared" si="131"/>
        <v>5.3571428571428568E-2</v>
      </c>
      <c r="K438" s="17">
        <v>7</v>
      </c>
      <c r="L438" s="36">
        <f t="shared" si="132"/>
        <v>3.5175879396984924E-2</v>
      </c>
      <c r="M438" s="17">
        <v>300</v>
      </c>
      <c r="N438" s="36">
        <f t="shared" si="140"/>
        <v>0.8928571428571429</v>
      </c>
      <c r="O438" s="17">
        <v>183</v>
      </c>
      <c r="P438" s="36">
        <f t="shared" si="133"/>
        <v>0.91959798994974873</v>
      </c>
      <c r="Q438" s="17">
        <v>5</v>
      </c>
      <c r="R438" s="36">
        <f t="shared" si="141"/>
        <v>1.488095238095238E-2</v>
      </c>
      <c r="S438" s="17">
        <v>4</v>
      </c>
      <c r="T438" s="36">
        <f t="shared" si="134"/>
        <v>2.0100502512562814E-2</v>
      </c>
      <c r="U438" s="17">
        <v>16</v>
      </c>
      <c r="V438" s="36">
        <f t="shared" si="142"/>
        <v>4.7619047619047616E-2</v>
      </c>
      <c r="W438" s="17">
        <v>8</v>
      </c>
      <c r="X438" s="36">
        <f t="shared" si="135"/>
        <v>4.0201005025125629E-2</v>
      </c>
      <c r="Y438" s="17">
        <v>207</v>
      </c>
      <c r="Z438" s="36">
        <f t="shared" si="143"/>
        <v>0.6160714285714286</v>
      </c>
      <c r="AA438" s="17">
        <v>123</v>
      </c>
      <c r="AB438" s="36">
        <f t="shared" si="136"/>
        <v>0.61809045226130654</v>
      </c>
      <c r="AC438" s="17">
        <v>65</v>
      </c>
      <c r="AD438" s="36">
        <f t="shared" si="144"/>
        <v>0.19345238095238096</v>
      </c>
      <c r="AE438" s="17">
        <v>35</v>
      </c>
      <c r="AF438" s="36">
        <f t="shared" si="137"/>
        <v>0.17587939698492464</v>
      </c>
      <c r="AG438" s="17">
        <v>38</v>
      </c>
      <c r="AH438" s="36">
        <f t="shared" si="145"/>
        <v>0.1130952380952381</v>
      </c>
      <c r="AI438" s="17">
        <v>28</v>
      </c>
      <c r="AJ438" s="36">
        <f t="shared" si="138"/>
        <v>0.1407035175879397</v>
      </c>
      <c r="AK438" s="17">
        <v>5</v>
      </c>
      <c r="AL438" s="36">
        <f t="shared" si="146"/>
        <v>1.488095238095238E-2</v>
      </c>
      <c r="AM438" s="17">
        <v>1</v>
      </c>
      <c r="AN438" s="36">
        <f t="shared" si="139"/>
        <v>5.0251256281407036E-3</v>
      </c>
      <c r="AO438" s="17">
        <v>336</v>
      </c>
      <c r="AP438" s="17">
        <v>199</v>
      </c>
    </row>
    <row r="439" spans="1:42" ht="15.75" customHeight="1" x14ac:dyDescent="0.25">
      <c r="A439" s="37">
        <v>2021</v>
      </c>
      <c r="B439" s="35">
        <v>170305</v>
      </c>
      <c r="C439" s="34" t="s">
        <v>150</v>
      </c>
      <c r="D439" s="34" t="s">
        <v>25</v>
      </c>
      <c r="E439" s="17">
        <v>1</v>
      </c>
      <c r="F439" s="36">
        <f t="shared" si="129"/>
        <v>1.1494252873563218E-2</v>
      </c>
      <c r="G439" s="17">
        <v>1</v>
      </c>
      <c r="H439" s="36">
        <f t="shared" si="130"/>
        <v>1.4925373134328358E-2</v>
      </c>
      <c r="I439" s="17">
        <v>7</v>
      </c>
      <c r="J439" s="36">
        <f t="shared" si="131"/>
        <v>8.0459770114942528E-2</v>
      </c>
      <c r="K439" s="17">
        <v>6</v>
      </c>
      <c r="L439" s="36">
        <f t="shared" si="132"/>
        <v>8.9552238805970144E-2</v>
      </c>
      <c r="M439" s="17">
        <v>79</v>
      </c>
      <c r="N439" s="36">
        <f t="shared" si="140"/>
        <v>0.90804597701149425</v>
      </c>
      <c r="O439" s="17">
        <v>60</v>
      </c>
      <c r="P439" s="36">
        <f t="shared" si="133"/>
        <v>0.89552238805970152</v>
      </c>
      <c r="Q439" s="17">
        <v>1</v>
      </c>
      <c r="R439" s="36">
        <f t="shared" si="141"/>
        <v>1.1494252873563218E-2</v>
      </c>
      <c r="S439" s="17">
        <v>1</v>
      </c>
      <c r="T439" s="36">
        <f t="shared" si="134"/>
        <v>1.4925373134328358E-2</v>
      </c>
      <c r="U439" s="17">
        <v>1</v>
      </c>
      <c r="V439" s="36">
        <f t="shared" si="142"/>
        <v>1.1494252873563218E-2</v>
      </c>
      <c r="W439" s="17">
        <v>1</v>
      </c>
      <c r="X439" s="36">
        <f t="shared" si="135"/>
        <v>1.4925373134328358E-2</v>
      </c>
      <c r="Y439" s="17">
        <v>47</v>
      </c>
      <c r="Z439" s="36">
        <f t="shared" si="143"/>
        <v>0.54022988505747127</v>
      </c>
      <c r="AA439" s="17">
        <v>41</v>
      </c>
      <c r="AB439" s="36">
        <f t="shared" si="136"/>
        <v>0.61194029850746268</v>
      </c>
      <c r="AC439" s="17">
        <v>27</v>
      </c>
      <c r="AD439" s="36">
        <f t="shared" si="144"/>
        <v>0.31034482758620691</v>
      </c>
      <c r="AE439" s="17">
        <v>18</v>
      </c>
      <c r="AF439" s="36">
        <f t="shared" si="137"/>
        <v>0.26865671641791045</v>
      </c>
      <c r="AG439" s="17">
        <v>7</v>
      </c>
      <c r="AH439" s="36">
        <f t="shared" si="145"/>
        <v>8.0459770114942528E-2</v>
      </c>
      <c r="AI439" s="17">
        <v>4</v>
      </c>
      <c r="AJ439" s="36">
        <f t="shared" si="138"/>
        <v>5.9701492537313432E-2</v>
      </c>
      <c r="AK439" s="17">
        <v>4</v>
      </c>
      <c r="AL439" s="36">
        <f t="shared" si="146"/>
        <v>4.5977011494252873E-2</v>
      </c>
      <c r="AM439" s="17">
        <v>2</v>
      </c>
      <c r="AN439" s="36">
        <f t="shared" si="139"/>
        <v>2.9850746268656716E-2</v>
      </c>
      <c r="AO439" s="17">
        <v>87</v>
      </c>
      <c r="AP439" s="17">
        <v>67</v>
      </c>
    </row>
    <row r="440" spans="1:42" ht="15.75" customHeight="1" x14ac:dyDescent="0.25">
      <c r="A440" s="37">
        <v>2021</v>
      </c>
      <c r="B440" s="35">
        <v>170307</v>
      </c>
      <c r="C440" s="34" t="s">
        <v>149</v>
      </c>
      <c r="D440" s="34" t="s">
        <v>26</v>
      </c>
      <c r="E440" s="17">
        <v>8</v>
      </c>
      <c r="F440" s="36">
        <f t="shared" si="129"/>
        <v>2.8070175438596492E-2</v>
      </c>
      <c r="G440" s="17">
        <v>4</v>
      </c>
      <c r="H440" s="36">
        <f t="shared" si="130"/>
        <v>2.6315789473684209E-2</v>
      </c>
      <c r="I440" s="17">
        <v>30</v>
      </c>
      <c r="J440" s="36">
        <f t="shared" si="131"/>
        <v>0.10526315789473684</v>
      </c>
      <c r="K440" s="17">
        <v>19</v>
      </c>
      <c r="L440" s="36">
        <f t="shared" si="132"/>
        <v>0.125</v>
      </c>
      <c r="M440" s="17">
        <v>247</v>
      </c>
      <c r="N440" s="36">
        <f t="shared" si="140"/>
        <v>0.8666666666666667</v>
      </c>
      <c r="O440" s="17">
        <v>129</v>
      </c>
      <c r="P440" s="36">
        <f t="shared" si="133"/>
        <v>0.84868421052631582</v>
      </c>
      <c r="Q440" s="17">
        <v>1</v>
      </c>
      <c r="R440" s="36">
        <f t="shared" si="141"/>
        <v>3.5087719298245615E-3</v>
      </c>
      <c r="S440" s="17">
        <v>1</v>
      </c>
      <c r="T440" s="36">
        <f t="shared" si="134"/>
        <v>6.5789473684210523E-3</v>
      </c>
      <c r="U440" s="17">
        <v>11</v>
      </c>
      <c r="V440" s="36">
        <f t="shared" si="142"/>
        <v>3.8596491228070177E-2</v>
      </c>
      <c r="W440" s="17">
        <v>5</v>
      </c>
      <c r="X440" s="36">
        <f t="shared" si="135"/>
        <v>3.2894736842105261E-2</v>
      </c>
      <c r="Y440" s="17">
        <v>189</v>
      </c>
      <c r="Z440" s="36">
        <f t="shared" si="143"/>
        <v>0.66315789473684206</v>
      </c>
      <c r="AA440" s="17">
        <v>95</v>
      </c>
      <c r="AB440" s="36">
        <f t="shared" si="136"/>
        <v>0.625</v>
      </c>
      <c r="AC440" s="17">
        <v>56</v>
      </c>
      <c r="AD440" s="36">
        <f t="shared" si="144"/>
        <v>0.19649122807017544</v>
      </c>
      <c r="AE440" s="17">
        <v>36</v>
      </c>
      <c r="AF440" s="36">
        <f t="shared" si="137"/>
        <v>0.23684210526315788</v>
      </c>
      <c r="AG440" s="17">
        <v>23</v>
      </c>
      <c r="AH440" s="36">
        <f t="shared" si="145"/>
        <v>8.0701754385964913E-2</v>
      </c>
      <c r="AI440" s="17">
        <v>12</v>
      </c>
      <c r="AJ440" s="36">
        <f t="shared" si="138"/>
        <v>7.8947368421052627E-2</v>
      </c>
      <c r="AK440" s="17">
        <v>5</v>
      </c>
      <c r="AL440" s="36">
        <f t="shared" si="146"/>
        <v>1.7543859649122806E-2</v>
      </c>
      <c r="AM440" s="17">
        <v>3</v>
      </c>
      <c r="AN440" s="36">
        <f t="shared" si="139"/>
        <v>1.9736842105263157E-2</v>
      </c>
      <c r="AO440" s="17">
        <v>285</v>
      </c>
      <c r="AP440" s="17">
        <v>152</v>
      </c>
    </row>
    <row r="441" spans="1:42" ht="15.75" customHeight="1" x14ac:dyDescent="0.25">
      <c r="A441" s="37">
        <v>2021</v>
      </c>
      <c r="B441" s="35">
        <v>170310</v>
      </c>
      <c r="C441" s="34" t="s">
        <v>144</v>
      </c>
      <c r="D441" s="34" t="s">
        <v>27</v>
      </c>
      <c r="E441" s="17">
        <v>0</v>
      </c>
      <c r="F441" s="36">
        <f t="shared" si="129"/>
        <v>0</v>
      </c>
      <c r="G441" s="17">
        <v>0</v>
      </c>
      <c r="H441" s="36">
        <f t="shared" si="130"/>
        <v>0</v>
      </c>
      <c r="I441" s="17">
        <v>14</v>
      </c>
      <c r="J441" s="36">
        <f t="shared" si="131"/>
        <v>5.185185185185185E-2</v>
      </c>
      <c r="K441" s="17">
        <v>0</v>
      </c>
      <c r="L441" s="36">
        <f t="shared" si="132"/>
        <v>0</v>
      </c>
      <c r="M441" s="17">
        <v>256</v>
      </c>
      <c r="N441" s="36">
        <f t="shared" si="140"/>
        <v>0.94814814814814818</v>
      </c>
      <c r="O441" s="17">
        <v>12</v>
      </c>
      <c r="P441" s="36">
        <f t="shared" si="133"/>
        <v>1</v>
      </c>
      <c r="Q441" s="17">
        <v>4</v>
      </c>
      <c r="R441" s="36">
        <f t="shared" si="141"/>
        <v>1.4814814814814815E-2</v>
      </c>
      <c r="S441" s="17">
        <v>0</v>
      </c>
      <c r="T441" s="36">
        <f t="shared" si="134"/>
        <v>0</v>
      </c>
      <c r="U441" s="17">
        <v>9</v>
      </c>
      <c r="V441" s="36">
        <f t="shared" si="142"/>
        <v>3.3333333333333333E-2</v>
      </c>
      <c r="W441" s="17">
        <v>0</v>
      </c>
      <c r="X441" s="36">
        <f t="shared" si="135"/>
        <v>0</v>
      </c>
      <c r="Y441" s="17">
        <v>167</v>
      </c>
      <c r="Z441" s="36">
        <f t="shared" si="143"/>
        <v>0.61851851851851847</v>
      </c>
      <c r="AA441" s="17">
        <v>8</v>
      </c>
      <c r="AB441" s="36">
        <f t="shared" si="136"/>
        <v>0.66666666666666663</v>
      </c>
      <c r="AC441" s="17">
        <v>56</v>
      </c>
      <c r="AD441" s="36">
        <f t="shared" si="144"/>
        <v>0.2074074074074074</v>
      </c>
      <c r="AE441" s="17">
        <v>3</v>
      </c>
      <c r="AF441" s="36">
        <f t="shared" si="137"/>
        <v>0.25</v>
      </c>
      <c r="AG441" s="17">
        <v>27</v>
      </c>
      <c r="AH441" s="36">
        <f t="shared" si="145"/>
        <v>0.1</v>
      </c>
      <c r="AI441" s="17">
        <v>1</v>
      </c>
      <c r="AJ441" s="36">
        <f t="shared" si="138"/>
        <v>8.3333333333333329E-2</v>
      </c>
      <c r="AK441" s="17">
        <v>7</v>
      </c>
      <c r="AL441" s="36">
        <f t="shared" si="146"/>
        <v>2.5925925925925925E-2</v>
      </c>
      <c r="AM441" s="17">
        <v>0</v>
      </c>
      <c r="AN441" s="36">
        <f t="shared" si="139"/>
        <v>0</v>
      </c>
      <c r="AO441" s="17">
        <v>270</v>
      </c>
      <c r="AP441" s="17">
        <v>12</v>
      </c>
    </row>
    <row r="442" spans="1:42" ht="15.75" customHeight="1" x14ac:dyDescent="0.25">
      <c r="A442" s="37">
        <v>2021</v>
      </c>
      <c r="B442" s="35">
        <v>170320</v>
      </c>
      <c r="C442" s="34" t="s">
        <v>150</v>
      </c>
      <c r="D442" s="34" t="s">
        <v>28</v>
      </c>
      <c r="E442" s="17">
        <v>2</v>
      </c>
      <c r="F442" s="36">
        <f t="shared" si="129"/>
        <v>1.8691588785046728E-2</v>
      </c>
      <c r="G442" s="17">
        <v>2</v>
      </c>
      <c r="H442" s="36">
        <f t="shared" si="130"/>
        <v>2.0408163265306121E-2</v>
      </c>
      <c r="I442" s="17">
        <v>3</v>
      </c>
      <c r="J442" s="36">
        <f t="shared" si="131"/>
        <v>2.8037383177570093E-2</v>
      </c>
      <c r="K442" s="17">
        <v>3</v>
      </c>
      <c r="L442" s="36">
        <f t="shared" si="132"/>
        <v>3.0612244897959183E-2</v>
      </c>
      <c r="M442" s="17">
        <v>102</v>
      </c>
      <c r="N442" s="36">
        <f t="shared" ref="N442:N505" si="147">IFERROR(M442/$AO442,0)</f>
        <v>0.95327102803738317</v>
      </c>
      <c r="O442" s="17">
        <v>93</v>
      </c>
      <c r="P442" s="36">
        <f t="shared" si="133"/>
        <v>0.94897959183673475</v>
      </c>
      <c r="Q442" s="17">
        <v>5</v>
      </c>
      <c r="R442" s="36">
        <f t="shared" ref="R442:R505" si="148">IFERROR(Q442/$AO442,0)</f>
        <v>4.6728971962616821E-2</v>
      </c>
      <c r="S442" s="17">
        <v>5</v>
      </c>
      <c r="T442" s="36">
        <f t="shared" si="134"/>
        <v>5.1020408163265307E-2</v>
      </c>
      <c r="U442" s="17">
        <v>8</v>
      </c>
      <c r="V442" s="36">
        <f t="shared" ref="V442:V505" si="149">IFERROR(U442/$AO442,0)</f>
        <v>7.476635514018691E-2</v>
      </c>
      <c r="W442" s="17">
        <v>8</v>
      </c>
      <c r="X442" s="36">
        <f t="shared" si="135"/>
        <v>8.1632653061224483E-2</v>
      </c>
      <c r="Y442" s="17">
        <v>66</v>
      </c>
      <c r="Z442" s="36">
        <f t="shared" ref="Z442:Z505" si="150">IFERROR(Y442/$AO442,0)</f>
        <v>0.61682242990654201</v>
      </c>
      <c r="AA442" s="17">
        <v>60</v>
      </c>
      <c r="AB442" s="36">
        <f t="shared" si="136"/>
        <v>0.61224489795918369</v>
      </c>
      <c r="AC442" s="17">
        <v>17</v>
      </c>
      <c r="AD442" s="36">
        <f t="shared" ref="AD442:AD505" si="151">IFERROR(AC442/$AO442,0)</f>
        <v>0.15887850467289719</v>
      </c>
      <c r="AE442" s="17">
        <v>15</v>
      </c>
      <c r="AF442" s="36">
        <f t="shared" si="137"/>
        <v>0.15306122448979592</v>
      </c>
      <c r="AG442" s="17">
        <v>8</v>
      </c>
      <c r="AH442" s="36">
        <f t="shared" ref="AH442:AH505" si="152">IFERROR(AG442/$AO442,0)</f>
        <v>7.476635514018691E-2</v>
      </c>
      <c r="AI442" s="17">
        <v>8</v>
      </c>
      <c r="AJ442" s="36">
        <f t="shared" si="138"/>
        <v>8.1632653061224483E-2</v>
      </c>
      <c r="AK442" s="17">
        <v>3</v>
      </c>
      <c r="AL442" s="36">
        <f t="shared" ref="AL442:AL505" si="153">IFERROR(AK442/$AO442,0)</f>
        <v>2.8037383177570093E-2</v>
      </c>
      <c r="AM442" s="17">
        <v>2</v>
      </c>
      <c r="AN442" s="36">
        <f t="shared" si="139"/>
        <v>2.0408163265306121E-2</v>
      </c>
      <c r="AO442" s="17">
        <v>107</v>
      </c>
      <c r="AP442" s="17">
        <v>98</v>
      </c>
    </row>
    <row r="443" spans="1:42" ht="15.75" customHeight="1" x14ac:dyDescent="0.25">
      <c r="A443" s="37">
        <v>2021</v>
      </c>
      <c r="B443" s="35">
        <v>170330</v>
      </c>
      <c r="C443" s="34" t="s">
        <v>150</v>
      </c>
      <c r="D443" s="34" t="s">
        <v>29</v>
      </c>
      <c r="E443" s="17">
        <v>5</v>
      </c>
      <c r="F443" s="36">
        <f t="shared" si="129"/>
        <v>3.1847133757961783E-2</v>
      </c>
      <c r="G443" s="17">
        <v>1</v>
      </c>
      <c r="H443" s="36">
        <f t="shared" si="130"/>
        <v>9.0909090909090905E-3</v>
      </c>
      <c r="I443" s="17">
        <v>16</v>
      </c>
      <c r="J443" s="36">
        <f t="shared" si="131"/>
        <v>0.10191082802547771</v>
      </c>
      <c r="K443" s="17">
        <v>9</v>
      </c>
      <c r="L443" s="36">
        <f t="shared" si="132"/>
        <v>8.1818181818181818E-2</v>
      </c>
      <c r="M443" s="17">
        <v>136</v>
      </c>
      <c r="N443" s="36">
        <f t="shared" si="147"/>
        <v>0.86624203821656054</v>
      </c>
      <c r="O443" s="17">
        <v>100</v>
      </c>
      <c r="P443" s="36">
        <f t="shared" si="133"/>
        <v>0.90909090909090906</v>
      </c>
      <c r="Q443" s="17">
        <v>0</v>
      </c>
      <c r="R443" s="36">
        <f t="shared" si="148"/>
        <v>0</v>
      </c>
      <c r="S443" s="17">
        <v>0</v>
      </c>
      <c r="T443" s="36">
        <f t="shared" si="134"/>
        <v>0</v>
      </c>
      <c r="U443" s="17">
        <v>6</v>
      </c>
      <c r="V443" s="36">
        <f t="shared" si="149"/>
        <v>3.8216560509554139E-2</v>
      </c>
      <c r="W443" s="17">
        <v>5</v>
      </c>
      <c r="X443" s="36">
        <f t="shared" si="135"/>
        <v>4.5454545454545456E-2</v>
      </c>
      <c r="Y443" s="17">
        <v>107</v>
      </c>
      <c r="Z443" s="36">
        <f t="shared" si="150"/>
        <v>0.68152866242038213</v>
      </c>
      <c r="AA443" s="17">
        <v>74</v>
      </c>
      <c r="AB443" s="36">
        <f t="shared" si="136"/>
        <v>0.67272727272727273</v>
      </c>
      <c r="AC443" s="17">
        <v>23</v>
      </c>
      <c r="AD443" s="36">
        <f t="shared" si="151"/>
        <v>0.1464968152866242</v>
      </c>
      <c r="AE443" s="17">
        <v>17</v>
      </c>
      <c r="AF443" s="36">
        <f t="shared" si="137"/>
        <v>0.15454545454545454</v>
      </c>
      <c r="AG443" s="17">
        <v>19</v>
      </c>
      <c r="AH443" s="36">
        <f t="shared" si="152"/>
        <v>0.12101910828025478</v>
      </c>
      <c r="AI443" s="17">
        <v>13</v>
      </c>
      <c r="AJ443" s="36">
        <f t="shared" si="138"/>
        <v>0.11818181818181818</v>
      </c>
      <c r="AK443" s="17">
        <v>2</v>
      </c>
      <c r="AL443" s="36">
        <f t="shared" si="153"/>
        <v>1.2738853503184714E-2</v>
      </c>
      <c r="AM443" s="17">
        <v>1</v>
      </c>
      <c r="AN443" s="36">
        <f t="shared" si="139"/>
        <v>9.0909090909090905E-3</v>
      </c>
      <c r="AO443" s="17">
        <v>157</v>
      </c>
      <c r="AP443" s="17">
        <v>110</v>
      </c>
    </row>
    <row r="444" spans="1:42" ht="15.75" customHeight="1" x14ac:dyDescent="0.25">
      <c r="A444" s="37">
        <v>2021</v>
      </c>
      <c r="B444" s="35">
        <v>170360</v>
      </c>
      <c r="C444" s="34" t="s">
        <v>150</v>
      </c>
      <c r="D444" s="34" t="s">
        <v>30</v>
      </c>
      <c r="E444" s="17">
        <v>2</v>
      </c>
      <c r="F444" s="36">
        <f t="shared" si="129"/>
        <v>2.6315789473684209E-2</v>
      </c>
      <c r="G444" s="17">
        <v>2</v>
      </c>
      <c r="H444" s="36">
        <f t="shared" si="130"/>
        <v>4.5454545454545456E-2</v>
      </c>
      <c r="I444" s="17">
        <v>3</v>
      </c>
      <c r="J444" s="36">
        <f t="shared" si="131"/>
        <v>3.9473684210526314E-2</v>
      </c>
      <c r="K444" s="17">
        <v>1</v>
      </c>
      <c r="L444" s="36">
        <f t="shared" si="132"/>
        <v>2.2727272727272728E-2</v>
      </c>
      <c r="M444" s="17">
        <v>71</v>
      </c>
      <c r="N444" s="36">
        <f t="shared" si="147"/>
        <v>0.93421052631578949</v>
      </c>
      <c r="O444" s="17">
        <v>41</v>
      </c>
      <c r="P444" s="36">
        <f t="shared" si="133"/>
        <v>0.93181818181818177</v>
      </c>
      <c r="Q444" s="17">
        <v>0</v>
      </c>
      <c r="R444" s="36">
        <f t="shared" si="148"/>
        <v>0</v>
      </c>
      <c r="S444" s="17">
        <v>0</v>
      </c>
      <c r="T444" s="36">
        <f t="shared" si="134"/>
        <v>0</v>
      </c>
      <c r="U444" s="17">
        <v>2</v>
      </c>
      <c r="V444" s="36">
        <f t="shared" si="149"/>
        <v>2.6315789473684209E-2</v>
      </c>
      <c r="W444" s="17">
        <v>2</v>
      </c>
      <c r="X444" s="36">
        <f t="shared" si="135"/>
        <v>4.5454545454545456E-2</v>
      </c>
      <c r="Y444" s="17">
        <v>55</v>
      </c>
      <c r="Z444" s="36">
        <f t="shared" si="150"/>
        <v>0.72368421052631582</v>
      </c>
      <c r="AA444" s="17">
        <v>34</v>
      </c>
      <c r="AB444" s="36">
        <f t="shared" si="136"/>
        <v>0.77272727272727271</v>
      </c>
      <c r="AC444" s="17">
        <v>6</v>
      </c>
      <c r="AD444" s="36">
        <f t="shared" si="151"/>
        <v>7.8947368421052627E-2</v>
      </c>
      <c r="AE444" s="17">
        <v>2</v>
      </c>
      <c r="AF444" s="36">
        <f t="shared" si="137"/>
        <v>4.5454545454545456E-2</v>
      </c>
      <c r="AG444" s="17">
        <v>11</v>
      </c>
      <c r="AH444" s="36">
        <f t="shared" si="152"/>
        <v>0.14473684210526316</v>
      </c>
      <c r="AI444" s="17">
        <v>6</v>
      </c>
      <c r="AJ444" s="36">
        <f t="shared" si="138"/>
        <v>0.13636363636363635</v>
      </c>
      <c r="AK444" s="17">
        <v>2</v>
      </c>
      <c r="AL444" s="36">
        <f t="shared" si="153"/>
        <v>2.6315789473684209E-2</v>
      </c>
      <c r="AM444" s="17">
        <v>0</v>
      </c>
      <c r="AN444" s="36">
        <f t="shared" si="139"/>
        <v>0</v>
      </c>
      <c r="AO444" s="17">
        <v>76</v>
      </c>
      <c r="AP444" s="17">
        <v>44</v>
      </c>
    </row>
    <row r="445" spans="1:42" ht="15.75" customHeight="1" x14ac:dyDescent="0.25">
      <c r="A445" s="37">
        <v>2021</v>
      </c>
      <c r="B445" s="35">
        <v>170370</v>
      </c>
      <c r="C445" s="34" t="s">
        <v>151</v>
      </c>
      <c r="D445" s="34" t="s">
        <v>31</v>
      </c>
      <c r="E445" s="17">
        <v>1</v>
      </c>
      <c r="F445" s="36">
        <f t="shared" si="129"/>
        <v>1.5384615384615385E-2</v>
      </c>
      <c r="G445" s="17">
        <v>1</v>
      </c>
      <c r="H445" s="36">
        <f t="shared" si="130"/>
        <v>2.1276595744680851E-2</v>
      </c>
      <c r="I445" s="17">
        <v>3</v>
      </c>
      <c r="J445" s="36">
        <f t="shared" si="131"/>
        <v>4.6153846153846156E-2</v>
      </c>
      <c r="K445" s="17">
        <v>3</v>
      </c>
      <c r="L445" s="36">
        <f t="shared" si="132"/>
        <v>6.3829787234042548E-2</v>
      </c>
      <c r="M445" s="17">
        <v>61</v>
      </c>
      <c r="N445" s="36">
        <f t="shared" si="147"/>
        <v>0.93846153846153846</v>
      </c>
      <c r="O445" s="17">
        <v>43</v>
      </c>
      <c r="P445" s="36">
        <f t="shared" si="133"/>
        <v>0.91489361702127658</v>
      </c>
      <c r="Q445" s="17">
        <v>0</v>
      </c>
      <c r="R445" s="36">
        <f t="shared" si="148"/>
        <v>0</v>
      </c>
      <c r="S445" s="17">
        <v>0</v>
      </c>
      <c r="T445" s="36">
        <f t="shared" si="134"/>
        <v>0</v>
      </c>
      <c r="U445" s="17">
        <v>2</v>
      </c>
      <c r="V445" s="36">
        <f t="shared" si="149"/>
        <v>3.0769230769230771E-2</v>
      </c>
      <c r="W445" s="17">
        <v>2</v>
      </c>
      <c r="X445" s="36">
        <f t="shared" si="135"/>
        <v>4.2553191489361701E-2</v>
      </c>
      <c r="Y445" s="17">
        <v>46</v>
      </c>
      <c r="Z445" s="36">
        <f t="shared" si="150"/>
        <v>0.70769230769230773</v>
      </c>
      <c r="AA445" s="17">
        <v>35</v>
      </c>
      <c r="AB445" s="36">
        <f t="shared" si="136"/>
        <v>0.74468085106382975</v>
      </c>
      <c r="AC445" s="17">
        <v>13</v>
      </c>
      <c r="AD445" s="36">
        <f t="shared" si="151"/>
        <v>0.2</v>
      </c>
      <c r="AE445" s="17">
        <v>8</v>
      </c>
      <c r="AF445" s="36">
        <f t="shared" si="137"/>
        <v>0.1702127659574468</v>
      </c>
      <c r="AG445" s="17">
        <v>4</v>
      </c>
      <c r="AH445" s="36">
        <f t="shared" si="152"/>
        <v>6.1538461538461542E-2</v>
      </c>
      <c r="AI445" s="17">
        <v>2</v>
      </c>
      <c r="AJ445" s="36">
        <f t="shared" si="138"/>
        <v>4.2553191489361701E-2</v>
      </c>
      <c r="AK445" s="17">
        <v>0</v>
      </c>
      <c r="AL445" s="36">
        <f t="shared" si="153"/>
        <v>0</v>
      </c>
      <c r="AM445" s="17">
        <v>0</v>
      </c>
      <c r="AN445" s="36">
        <f t="shared" si="139"/>
        <v>0</v>
      </c>
      <c r="AO445" s="17">
        <v>65</v>
      </c>
      <c r="AP445" s="17">
        <v>47</v>
      </c>
    </row>
    <row r="446" spans="1:42" ht="15.75" customHeight="1" x14ac:dyDescent="0.25">
      <c r="A446" s="37">
        <v>2021</v>
      </c>
      <c r="B446" s="35">
        <v>170380</v>
      </c>
      <c r="C446" s="34" t="s">
        <v>145</v>
      </c>
      <c r="D446" s="34" t="s">
        <v>32</v>
      </c>
      <c r="E446" s="17">
        <v>5</v>
      </c>
      <c r="F446" s="36">
        <f t="shared" si="129"/>
        <v>1.1363636363636364E-2</v>
      </c>
      <c r="G446" s="17">
        <v>1</v>
      </c>
      <c r="H446" s="36">
        <f t="shared" si="130"/>
        <v>4.2016806722689074E-3</v>
      </c>
      <c r="I446" s="17">
        <v>32</v>
      </c>
      <c r="J446" s="36">
        <f t="shared" si="131"/>
        <v>7.2727272727272724E-2</v>
      </c>
      <c r="K446" s="17">
        <v>11</v>
      </c>
      <c r="L446" s="36">
        <f t="shared" si="132"/>
        <v>4.6218487394957986E-2</v>
      </c>
      <c r="M446" s="17">
        <v>403</v>
      </c>
      <c r="N446" s="36">
        <f t="shared" si="147"/>
        <v>0.91590909090909089</v>
      </c>
      <c r="O446" s="17">
        <v>226</v>
      </c>
      <c r="P446" s="36">
        <f t="shared" si="133"/>
        <v>0.94957983193277307</v>
      </c>
      <c r="Q446" s="17">
        <v>4</v>
      </c>
      <c r="R446" s="36">
        <f t="shared" si="148"/>
        <v>9.0909090909090905E-3</v>
      </c>
      <c r="S446" s="17">
        <v>3</v>
      </c>
      <c r="T446" s="36">
        <f t="shared" si="134"/>
        <v>1.2605042016806723E-2</v>
      </c>
      <c r="U446" s="17">
        <v>20</v>
      </c>
      <c r="V446" s="36">
        <f t="shared" si="149"/>
        <v>4.5454545454545456E-2</v>
      </c>
      <c r="W446" s="17">
        <v>9</v>
      </c>
      <c r="X446" s="36">
        <f t="shared" si="135"/>
        <v>3.7815126050420166E-2</v>
      </c>
      <c r="Y446" s="17">
        <v>305</v>
      </c>
      <c r="Z446" s="36">
        <f t="shared" si="150"/>
        <v>0.69318181818181823</v>
      </c>
      <c r="AA446" s="17">
        <v>167</v>
      </c>
      <c r="AB446" s="36">
        <f t="shared" si="136"/>
        <v>0.70168067226890751</v>
      </c>
      <c r="AC446" s="17">
        <v>77</v>
      </c>
      <c r="AD446" s="36">
        <f t="shared" si="151"/>
        <v>0.17499999999999999</v>
      </c>
      <c r="AE446" s="17">
        <v>39</v>
      </c>
      <c r="AF446" s="36">
        <f t="shared" si="137"/>
        <v>0.1638655462184874</v>
      </c>
      <c r="AG446" s="17">
        <v>29</v>
      </c>
      <c r="AH446" s="36">
        <f t="shared" si="152"/>
        <v>6.5909090909090903E-2</v>
      </c>
      <c r="AI446" s="17">
        <v>18</v>
      </c>
      <c r="AJ446" s="36">
        <f t="shared" si="138"/>
        <v>7.5630252100840331E-2</v>
      </c>
      <c r="AK446" s="17">
        <v>5</v>
      </c>
      <c r="AL446" s="36">
        <f t="shared" si="153"/>
        <v>1.1363636363636364E-2</v>
      </c>
      <c r="AM446" s="17">
        <v>2</v>
      </c>
      <c r="AN446" s="36">
        <f t="shared" si="139"/>
        <v>8.4033613445378148E-3</v>
      </c>
      <c r="AO446" s="17">
        <v>440</v>
      </c>
      <c r="AP446" s="17">
        <v>238</v>
      </c>
    </row>
    <row r="447" spans="1:42" ht="15.75" customHeight="1" x14ac:dyDescent="0.25">
      <c r="A447" s="37">
        <v>2021</v>
      </c>
      <c r="B447" s="35">
        <v>170382</v>
      </c>
      <c r="C447" s="34" t="s">
        <v>145</v>
      </c>
      <c r="D447" s="34" t="s">
        <v>33</v>
      </c>
      <c r="E447" s="17">
        <v>1</v>
      </c>
      <c r="F447" s="36">
        <f t="shared" si="129"/>
        <v>1.282051282051282E-2</v>
      </c>
      <c r="G447" s="17">
        <v>1</v>
      </c>
      <c r="H447" s="36">
        <f t="shared" si="130"/>
        <v>1.3157894736842105E-2</v>
      </c>
      <c r="I447" s="17">
        <v>3</v>
      </c>
      <c r="J447" s="36">
        <f t="shared" si="131"/>
        <v>3.8461538461538464E-2</v>
      </c>
      <c r="K447" s="17">
        <v>3</v>
      </c>
      <c r="L447" s="36">
        <f t="shared" si="132"/>
        <v>3.9473684210526314E-2</v>
      </c>
      <c r="M447" s="17">
        <v>74</v>
      </c>
      <c r="N447" s="36">
        <f t="shared" si="147"/>
        <v>0.94871794871794868</v>
      </c>
      <c r="O447" s="17">
        <v>72</v>
      </c>
      <c r="P447" s="36">
        <f t="shared" si="133"/>
        <v>0.94736842105263153</v>
      </c>
      <c r="Q447" s="17">
        <v>0</v>
      </c>
      <c r="R447" s="36">
        <f t="shared" si="148"/>
        <v>0</v>
      </c>
      <c r="S447" s="17">
        <v>0</v>
      </c>
      <c r="T447" s="36">
        <f t="shared" si="134"/>
        <v>0</v>
      </c>
      <c r="U447" s="17">
        <v>5</v>
      </c>
      <c r="V447" s="36">
        <f t="shared" si="149"/>
        <v>6.4102564102564097E-2</v>
      </c>
      <c r="W447" s="17">
        <v>5</v>
      </c>
      <c r="X447" s="36">
        <f t="shared" si="135"/>
        <v>6.5789473684210523E-2</v>
      </c>
      <c r="Y447" s="17">
        <v>54</v>
      </c>
      <c r="Z447" s="36">
        <f t="shared" si="150"/>
        <v>0.69230769230769229</v>
      </c>
      <c r="AA447" s="17">
        <v>54</v>
      </c>
      <c r="AB447" s="36">
        <f t="shared" si="136"/>
        <v>0.71052631578947367</v>
      </c>
      <c r="AC447" s="17">
        <v>12</v>
      </c>
      <c r="AD447" s="36">
        <f t="shared" si="151"/>
        <v>0.15384615384615385</v>
      </c>
      <c r="AE447" s="17">
        <v>10</v>
      </c>
      <c r="AF447" s="36">
        <f t="shared" si="137"/>
        <v>0.13157894736842105</v>
      </c>
      <c r="AG447" s="17">
        <v>6</v>
      </c>
      <c r="AH447" s="36">
        <f t="shared" si="152"/>
        <v>7.6923076923076927E-2</v>
      </c>
      <c r="AI447" s="17">
        <v>6</v>
      </c>
      <c r="AJ447" s="36">
        <f t="shared" si="138"/>
        <v>7.8947368421052627E-2</v>
      </c>
      <c r="AK447" s="17">
        <v>1</v>
      </c>
      <c r="AL447" s="36">
        <f t="shared" si="153"/>
        <v>1.282051282051282E-2</v>
      </c>
      <c r="AM447" s="17">
        <v>1</v>
      </c>
      <c r="AN447" s="36">
        <f t="shared" si="139"/>
        <v>1.3157894736842105E-2</v>
      </c>
      <c r="AO447" s="17">
        <v>78</v>
      </c>
      <c r="AP447" s="17">
        <v>76</v>
      </c>
    </row>
    <row r="448" spans="1:42" ht="15.75" customHeight="1" x14ac:dyDescent="0.25">
      <c r="A448" s="37">
        <v>2021</v>
      </c>
      <c r="B448" s="35">
        <v>170384</v>
      </c>
      <c r="C448" s="34" t="s">
        <v>149</v>
      </c>
      <c r="D448" s="34" t="s">
        <v>34</v>
      </c>
      <c r="E448" s="17">
        <v>11</v>
      </c>
      <c r="F448" s="36">
        <f t="shared" si="129"/>
        <v>1.7543859649122806E-2</v>
      </c>
      <c r="G448" s="17">
        <v>9</v>
      </c>
      <c r="H448" s="36">
        <f t="shared" si="130"/>
        <v>2.2727272727272728E-2</v>
      </c>
      <c r="I448" s="17">
        <v>61</v>
      </c>
      <c r="J448" s="36">
        <f t="shared" si="131"/>
        <v>9.7288676236044661E-2</v>
      </c>
      <c r="K448" s="17">
        <v>35</v>
      </c>
      <c r="L448" s="36">
        <f t="shared" si="132"/>
        <v>8.8383838383838384E-2</v>
      </c>
      <c r="M448" s="17">
        <v>555</v>
      </c>
      <c r="N448" s="36">
        <f t="shared" si="147"/>
        <v>0.88516746411483249</v>
      </c>
      <c r="O448" s="17">
        <v>352</v>
      </c>
      <c r="P448" s="36">
        <f t="shared" si="133"/>
        <v>0.88888888888888884</v>
      </c>
      <c r="Q448" s="17">
        <v>3</v>
      </c>
      <c r="R448" s="36">
        <f t="shared" si="148"/>
        <v>4.7846889952153108E-3</v>
      </c>
      <c r="S448" s="17">
        <v>1</v>
      </c>
      <c r="T448" s="36">
        <f t="shared" si="134"/>
        <v>2.5252525252525255E-3</v>
      </c>
      <c r="U448" s="17">
        <v>22</v>
      </c>
      <c r="V448" s="36">
        <f t="shared" si="149"/>
        <v>3.5087719298245612E-2</v>
      </c>
      <c r="W448" s="17">
        <v>18</v>
      </c>
      <c r="X448" s="36">
        <f t="shared" si="135"/>
        <v>4.5454545454545456E-2</v>
      </c>
      <c r="Y448" s="17">
        <v>465</v>
      </c>
      <c r="Z448" s="36">
        <f t="shared" si="150"/>
        <v>0.74162679425837319</v>
      </c>
      <c r="AA448" s="17">
        <v>306</v>
      </c>
      <c r="AB448" s="36">
        <f t="shared" si="136"/>
        <v>0.77272727272727271</v>
      </c>
      <c r="AC448" s="17">
        <v>98</v>
      </c>
      <c r="AD448" s="36">
        <f t="shared" si="151"/>
        <v>0.15629984051036683</v>
      </c>
      <c r="AE448" s="17">
        <v>54</v>
      </c>
      <c r="AF448" s="36">
        <f t="shared" si="137"/>
        <v>0.13636363636363635</v>
      </c>
      <c r="AG448" s="17">
        <v>35</v>
      </c>
      <c r="AH448" s="36">
        <f t="shared" si="152"/>
        <v>5.5821371610845293E-2</v>
      </c>
      <c r="AI448" s="17">
        <v>17</v>
      </c>
      <c r="AJ448" s="36">
        <f t="shared" si="138"/>
        <v>4.2929292929292928E-2</v>
      </c>
      <c r="AK448" s="17">
        <v>4</v>
      </c>
      <c r="AL448" s="36">
        <f t="shared" si="153"/>
        <v>6.379585326953748E-3</v>
      </c>
      <c r="AM448" s="17">
        <v>0</v>
      </c>
      <c r="AN448" s="36">
        <f t="shared" si="139"/>
        <v>0</v>
      </c>
      <c r="AO448" s="17">
        <v>627</v>
      </c>
      <c r="AP448" s="17">
        <v>396</v>
      </c>
    </row>
    <row r="449" spans="1:42" ht="15.75" customHeight="1" x14ac:dyDescent="0.25">
      <c r="A449" s="37">
        <v>2021</v>
      </c>
      <c r="B449" s="35">
        <v>170386</v>
      </c>
      <c r="C449" s="34" t="s">
        <v>146</v>
      </c>
      <c r="D449" s="34" t="s">
        <v>35</v>
      </c>
      <c r="E449" s="17">
        <v>6</v>
      </c>
      <c r="F449" s="36">
        <f t="shared" si="129"/>
        <v>4.9180327868852458E-2</v>
      </c>
      <c r="G449" s="17">
        <v>5</v>
      </c>
      <c r="H449" s="36">
        <f t="shared" si="130"/>
        <v>7.4626865671641784E-2</v>
      </c>
      <c r="I449" s="17">
        <v>9</v>
      </c>
      <c r="J449" s="36">
        <f t="shared" si="131"/>
        <v>7.3770491803278687E-2</v>
      </c>
      <c r="K449" s="17">
        <v>8</v>
      </c>
      <c r="L449" s="36">
        <f t="shared" si="132"/>
        <v>0.11940298507462686</v>
      </c>
      <c r="M449" s="17">
        <v>107</v>
      </c>
      <c r="N449" s="36">
        <f t="shared" si="147"/>
        <v>0.87704918032786883</v>
      </c>
      <c r="O449" s="17">
        <v>54</v>
      </c>
      <c r="P449" s="36">
        <f t="shared" si="133"/>
        <v>0.80597014925373134</v>
      </c>
      <c r="Q449" s="17">
        <v>2</v>
      </c>
      <c r="R449" s="36">
        <f t="shared" si="148"/>
        <v>1.6393442622950821E-2</v>
      </c>
      <c r="S449" s="17">
        <v>1</v>
      </c>
      <c r="T449" s="36">
        <f t="shared" si="134"/>
        <v>1.4925373134328358E-2</v>
      </c>
      <c r="U449" s="17">
        <v>2</v>
      </c>
      <c r="V449" s="36">
        <f t="shared" si="149"/>
        <v>1.6393442622950821E-2</v>
      </c>
      <c r="W449" s="17">
        <v>2</v>
      </c>
      <c r="X449" s="36">
        <f t="shared" si="135"/>
        <v>2.9850746268656716E-2</v>
      </c>
      <c r="Y449" s="17">
        <v>75</v>
      </c>
      <c r="Z449" s="36">
        <f t="shared" si="150"/>
        <v>0.61475409836065575</v>
      </c>
      <c r="AA449" s="17">
        <v>48</v>
      </c>
      <c r="AB449" s="36">
        <f t="shared" si="136"/>
        <v>0.71641791044776115</v>
      </c>
      <c r="AC449" s="17">
        <v>31</v>
      </c>
      <c r="AD449" s="36">
        <f t="shared" si="151"/>
        <v>0.25409836065573771</v>
      </c>
      <c r="AE449" s="17">
        <v>14</v>
      </c>
      <c r="AF449" s="36">
        <f t="shared" si="137"/>
        <v>0.20895522388059701</v>
      </c>
      <c r="AG449" s="17">
        <v>10</v>
      </c>
      <c r="AH449" s="36">
        <f t="shared" si="152"/>
        <v>8.1967213114754092E-2</v>
      </c>
      <c r="AI449" s="17">
        <v>2</v>
      </c>
      <c r="AJ449" s="36">
        <f t="shared" si="138"/>
        <v>2.9850746268656716E-2</v>
      </c>
      <c r="AK449" s="17">
        <v>2</v>
      </c>
      <c r="AL449" s="36">
        <f t="shared" si="153"/>
        <v>1.6393442622950821E-2</v>
      </c>
      <c r="AM449" s="17">
        <v>0</v>
      </c>
      <c r="AN449" s="36">
        <f t="shared" si="139"/>
        <v>0</v>
      </c>
      <c r="AO449" s="17">
        <v>122</v>
      </c>
      <c r="AP449" s="17">
        <v>67</v>
      </c>
    </row>
    <row r="450" spans="1:42" ht="15.75" customHeight="1" x14ac:dyDescent="0.25">
      <c r="A450" s="37">
        <v>2021</v>
      </c>
      <c r="B450" s="35">
        <v>170388</v>
      </c>
      <c r="C450" s="34" t="s">
        <v>149</v>
      </c>
      <c r="D450" s="34" t="s">
        <v>36</v>
      </c>
      <c r="E450" s="17">
        <v>3</v>
      </c>
      <c r="F450" s="36">
        <f t="shared" ref="F450:F513" si="154">IFERROR(E450/$AO450,0)</f>
        <v>2.097902097902098E-2</v>
      </c>
      <c r="G450" s="17">
        <v>3</v>
      </c>
      <c r="H450" s="36">
        <f t="shared" ref="H450:H513" si="155">IFERROR(G450/$AP450,0)</f>
        <v>6.9767441860465115E-2</v>
      </c>
      <c r="I450" s="17">
        <v>3</v>
      </c>
      <c r="J450" s="36">
        <f t="shared" ref="J450:J513" si="156">IFERROR(I450/$AO450,0)</f>
        <v>2.097902097902098E-2</v>
      </c>
      <c r="K450" s="17">
        <v>1</v>
      </c>
      <c r="L450" s="36">
        <f t="shared" ref="L450:L513" si="157">IFERROR(K450/$AP450,0)</f>
        <v>2.3255813953488372E-2</v>
      </c>
      <c r="M450" s="17">
        <v>137</v>
      </c>
      <c r="N450" s="36">
        <f t="shared" si="147"/>
        <v>0.95804195804195802</v>
      </c>
      <c r="O450" s="17">
        <v>39</v>
      </c>
      <c r="P450" s="36">
        <f t="shared" ref="P450:P513" si="158">IFERROR(O450/$AP450,0)</f>
        <v>0.90697674418604646</v>
      </c>
      <c r="Q450" s="17">
        <v>5</v>
      </c>
      <c r="R450" s="36">
        <f t="shared" si="148"/>
        <v>3.4965034965034968E-2</v>
      </c>
      <c r="S450" s="17">
        <v>2</v>
      </c>
      <c r="T450" s="36">
        <f t="shared" ref="T450:T513" si="159">IFERROR(S450/$AP450,0)</f>
        <v>4.6511627906976744E-2</v>
      </c>
      <c r="U450" s="17">
        <v>10</v>
      </c>
      <c r="V450" s="36">
        <f t="shared" si="149"/>
        <v>6.9930069930069935E-2</v>
      </c>
      <c r="W450" s="17">
        <v>4</v>
      </c>
      <c r="X450" s="36">
        <f t="shared" ref="X450:X513" si="160">IFERROR(W450/$AP450,0)</f>
        <v>9.3023255813953487E-2</v>
      </c>
      <c r="Y450" s="17">
        <v>89</v>
      </c>
      <c r="Z450" s="36">
        <f t="shared" si="150"/>
        <v>0.6223776223776224</v>
      </c>
      <c r="AA450" s="17">
        <v>26</v>
      </c>
      <c r="AB450" s="36">
        <f t="shared" ref="AB450:AB513" si="161">IFERROR(AA450/$AP450,0)</f>
        <v>0.60465116279069764</v>
      </c>
      <c r="AC450" s="17">
        <v>23</v>
      </c>
      <c r="AD450" s="36">
        <f t="shared" si="151"/>
        <v>0.16083916083916083</v>
      </c>
      <c r="AE450" s="17">
        <v>8</v>
      </c>
      <c r="AF450" s="36">
        <f t="shared" ref="AF450:AF513" si="162">IFERROR(AE450/$AP450,0)</f>
        <v>0.18604651162790697</v>
      </c>
      <c r="AG450" s="17">
        <v>13</v>
      </c>
      <c r="AH450" s="36">
        <f t="shared" si="152"/>
        <v>9.0909090909090912E-2</v>
      </c>
      <c r="AI450" s="17">
        <v>3</v>
      </c>
      <c r="AJ450" s="36">
        <f t="shared" ref="AJ450:AJ513" si="163">IFERROR(AI450/$AP450,0)</f>
        <v>6.9767441860465115E-2</v>
      </c>
      <c r="AK450" s="17">
        <v>3</v>
      </c>
      <c r="AL450" s="36">
        <f t="shared" si="153"/>
        <v>2.097902097902098E-2</v>
      </c>
      <c r="AM450" s="17">
        <v>0</v>
      </c>
      <c r="AN450" s="36">
        <f t="shared" ref="AN450:AN513" si="164">IFERROR(AM450/$AP450,0)</f>
        <v>0</v>
      </c>
      <c r="AO450" s="17">
        <v>143</v>
      </c>
      <c r="AP450" s="17">
        <v>43</v>
      </c>
    </row>
    <row r="451" spans="1:42" ht="15.75" customHeight="1" x14ac:dyDescent="0.25">
      <c r="A451" s="37">
        <v>2021</v>
      </c>
      <c r="B451" s="35">
        <v>170389</v>
      </c>
      <c r="C451" s="34" t="s">
        <v>145</v>
      </c>
      <c r="D451" s="34" t="s">
        <v>37</v>
      </c>
      <c r="E451" s="17">
        <v>0</v>
      </c>
      <c r="F451" s="36">
        <f t="shared" si="154"/>
        <v>0</v>
      </c>
      <c r="G451" s="17">
        <v>0</v>
      </c>
      <c r="H451" s="36">
        <f t="shared" si="155"/>
        <v>0</v>
      </c>
      <c r="I451" s="17">
        <v>21</v>
      </c>
      <c r="J451" s="36">
        <f t="shared" si="156"/>
        <v>0.12804878048780488</v>
      </c>
      <c r="K451" s="17">
        <v>12</v>
      </c>
      <c r="L451" s="36">
        <f t="shared" si="157"/>
        <v>9.1603053435114504E-2</v>
      </c>
      <c r="M451" s="17">
        <v>143</v>
      </c>
      <c r="N451" s="36">
        <f t="shared" si="147"/>
        <v>0.87195121951219512</v>
      </c>
      <c r="O451" s="17">
        <v>119</v>
      </c>
      <c r="P451" s="36">
        <f t="shared" si="158"/>
        <v>0.90839694656488545</v>
      </c>
      <c r="Q451" s="17">
        <v>4</v>
      </c>
      <c r="R451" s="36">
        <f t="shared" si="148"/>
        <v>2.4390243902439025E-2</v>
      </c>
      <c r="S451" s="17">
        <v>3</v>
      </c>
      <c r="T451" s="36">
        <f t="shared" si="159"/>
        <v>2.2900763358778626E-2</v>
      </c>
      <c r="U451" s="17">
        <v>3</v>
      </c>
      <c r="V451" s="36">
        <f t="shared" si="149"/>
        <v>1.8292682926829267E-2</v>
      </c>
      <c r="W451" s="17">
        <v>3</v>
      </c>
      <c r="X451" s="36">
        <f t="shared" si="160"/>
        <v>2.2900763358778626E-2</v>
      </c>
      <c r="Y451" s="17">
        <v>112</v>
      </c>
      <c r="Z451" s="36">
        <f t="shared" si="150"/>
        <v>0.68292682926829273</v>
      </c>
      <c r="AA451" s="17">
        <v>91</v>
      </c>
      <c r="AB451" s="36">
        <f t="shared" si="161"/>
        <v>0.69465648854961837</v>
      </c>
      <c r="AC451" s="17">
        <v>30</v>
      </c>
      <c r="AD451" s="36">
        <f t="shared" si="151"/>
        <v>0.18292682926829268</v>
      </c>
      <c r="AE451" s="17">
        <v>22</v>
      </c>
      <c r="AF451" s="36">
        <f t="shared" si="162"/>
        <v>0.16793893129770993</v>
      </c>
      <c r="AG451" s="17">
        <v>14</v>
      </c>
      <c r="AH451" s="36">
        <f t="shared" si="152"/>
        <v>8.5365853658536592E-2</v>
      </c>
      <c r="AI451" s="17">
        <v>11</v>
      </c>
      <c r="AJ451" s="36">
        <f t="shared" si="163"/>
        <v>8.3969465648854963E-2</v>
      </c>
      <c r="AK451" s="17">
        <v>1</v>
      </c>
      <c r="AL451" s="36">
        <f t="shared" si="153"/>
        <v>6.0975609756097563E-3</v>
      </c>
      <c r="AM451" s="17">
        <v>1</v>
      </c>
      <c r="AN451" s="36">
        <f t="shared" si="164"/>
        <v>7.6335877862595417E-3</v>
      </c>
      <c r="AO451" s="17">
        <v>164</v>
      </c>
      <c r="AP451" s="17">
        <v>131</v>
      </c>
    </row>
    <row r="452" spans="1:42" ht="15.75" customHeight="1" x14ac:dyDescent="0.25">
      <c r="A452" s="37">
        <v>2021</v>
      </c>
      <c r="B452" s="35">
        <v>170390</v>
      </c>
      <c r="C452" s="34" t="s">
        <v>144</v>
      </c>
      <c r="D452" s="34" t="s">
        <v>38</v>
      </c>
      <c r="E452" s="17">
        <v>6</v>
      </c>
      <c r="F452" s="36">
        <f t="shared" si="154"/>
        <v>5.9405940594059403E-2</v>
      </c>
      <c r="G452" s="17">
        <v>4</v>
      </c>
      <c r="H452" s="36">
        <f t="shared" si="155"/>
        <v>4.9382716049382713E-2</v>
      </c>
      <c r="I452" s="17">
        <v>4</v>
      </c>
      <c r="J452" s="36">
        <f t="shared" si="156"/>
        <v>3.9603960396039604E-2</v>
      </c>
      <c r="K452" s="17">
        <v>4</v>
      </c>
      <c r="L452" s="36">
        <f t="shared" si="157"/>
        <v>4.9382716049382713E-2</v>
      </c>
      <c r="M452" s="17">
        <v>91</v>
      </c>
      <c r="N452" s="36">
        <f t="shared" si="147"/>
        <v>0.90099009900990101</v>
      </c>
      <c r="O452" s="17">
        <v>73</v>
      </c>
      <c r="P452" s="36">
        <f t="shared" si="158"/>
        <v>0.90123456790123457</v>
      </c>
      <c r="Q452" s="17">
        <v>2</v>
      </c>
      <c r="R452" s="36">
        <f t="shared" si="148"/>
        <v>1.9801980198019802E-2</v>
      </c>
      <c r="S452" s="17">
        <v>2</v>
      </c>
      <c r="T452" s="36">
        <f t="shared" si="159"/>
        <v>2.4691358024691357E-2</v>
      </c>
      <c r="U452" s="17">
        <v>2</v>
      </c>
      <c r="V452" s="36">
        <f t="shared" si="149"/>
        <v>1.9801980198019802E-2</v>
      </c>
      <c r="W452" s="17">
        <v>2</v>
      </c>
      <c r="X452" s="36">
        <f t="shared" si="160"/>
        <v>2.4691358024691357E-2</v>
      </c>
      <c r="Y452" s="17">
        <v>66</v>
      </c>
      <c r="Z452" s="36">
        <f t="shared" si="150"/>
        <v>0.65346534653465349</v>
      </c>
      <c r="AA452" s="17">
        <v>51</v>
      </c>
      <c r="AB452" s="36">
        <f t="shared" si="161"/>
        <v>0.62962962962962965</v>
      </c>
      <c r="AC452" s="17">
        <v>18</v>
      </c>
      <c r="AD452" s="36">
        <f t="shared" si="151"/>
        <v>0.17821782178217821</v>
      </c>
      <c r="AE452" s="17">
        <v>17</v>
      </c>
      <c r="AF452" s="36">
        <f t="shared" si="162"/>
        <v>0.20987654320987653</v>
      </c>
      <c r="AG452" s="17">
        <v>11</v>
      </c>
      <c r="AH452" s="36">
        <f t="shared" si="152"/>
        <v>0.10891089108910891</v>
      </c>
      <c r="AI452" s="17">
        <v>7</v>
      </c>
      <c r="AJ452" s="36">
        <f t="shared" si="163"/>
        <v>8.6419753086419748E-2</v>
      </c>
      <c r="AK452" s="17">
        <v>2</v>
      </c>
      <c r="AL452" s="36">
        <f t="shared" si="153"/>
        <v>1.9801980198019802E-2</v>
      </c>
      <c r="AM452" s="17">
        <v>2</v>
      </c>
      <c r="AN452" s="36">
        <f t="shared" si="164"/>
        <v>2.4691358024691357E-2</v>
      </c>
      <c r="AO452" s="17">
        <v>101</v>
      </c>
      <c r="AP452" s="17">
        <v>81</v>
      </c>
    </row>
    <row r="453" spans="1:42" ht="15.75" customHeight="1" x14ac:dyDescent="0.25">
      <c r="A453" s="37">
        <v>2021</v>
      </c>
      <c r="B453" s="35">
        <v>170410</v>
      </c>
      <c r="C453" s="34" t="s">
        <v>150</v>
      </c>
      <c r="D453" s="34" t="s">
        <v>39</v>
      </c>
      <c r="E453" s="17">
        <v>3</v>
      </c>
      <c r="F453" s="36">
        <f t="shared" si="154"/>
        <v>3.1914893617021274E-2</v>
      </c>
      <c r="G453" s="17">
        <v>2</v>
      </c>
      <c r="H453" s="36">
        <f t="shared" si="155"/>
        <v>2.2222222222222223E-2</v>
      </c>
      <c r="I453" s="17">
        <v>7</v>
      </c>
      <c r="J453" s="36">
        <f t="shared" si="156"/>
        <v>7.4468085106382975E-2</v>
      </c>
      <c r="K453" s="17">
        <v>6</v>
      </c>
      <c r="L453" s="36">
        <f t="shared" si="157"/>
        <v>6.6666666666666666E-2</v>
      </c>
      <c r="M453" s="17">
        <v>84</v>
      </c>
      <c r="N453" s="36">
        <f t="shared" si="147"/>
        <v>0.8936170212765957</v>
      </c>
      <c r="O453" s="17">
        <v>82</v>
      </c>
      <c r="P453" s="36">
        <f t="shared" si="158"/>
        <v>0.91111111111111109</v>
      </c>
      <c r="Q453" s="17">
        <v>0</v>
      </c>
      <c r="R453" s="36">
        <f t="shared" si="148"/>
        <v>0</v>
      </c>
      <c r="S453" s="17">
        <v>0</v>
      </c>
      <c r="T453" s="36">
        <f t="shared" si="159"/>
        <v>0</v>
      </c>
      <c r="U453" s="17">
        <v>1</v>
      </c>
      <c r="V453" s="36">
        <f t="shared" si="149"/>
        <v>1.0638297872340425E-2</v>
      </c>
      <c r="W453" s="17">
        <v>0</v>
      </c>
      <c r="X453" s="36">
        <f t="shared" si="160"/>
        <v>0</v>
      </c>
      <c r="Y453" s="17">
        <v>67</v>
      </c>
      <c r="Z453" s="36">
        <f t="shared" si="150"/>
        <v>0.71276595744680848</v>
      </c>
      <c r="AA453" s="17">
        <v>67</v>
      </c>
      <c r="AB453" s="36">
        <f t="shared" si="161"/>
        <v>0.74444444444444446</v>
      </c>
      <c r="AC453" s="17">
        <v>16</v>
      </c>
      <c r="AD453" s="36">
        <f t="shared" si="151"/>
        <v>0.1702127659574468</v>
      </c>
      <c r="AE453" s="17">
        <v>14</v>
      </c>
      <c r="AF453" s="36">
        <f t="shared" si="162"/>
        <v>0.15555555555555556</v>
      </c>
      <c r="AG453" s="17">
        <v>6</v>
      </c>
      <c r="AH453" s="36">
        <f t="shared" si="152"/>
        <v>6.3829787234042548E-2</v>
      </c>
      <c r="AI453" s="17">
        <v>6</v>
      </c>
      <c r="AJ453" s="36">
        <f t="shared" si="163"/>
        <v>6.6666666666666666E-2</v>
      </c>
      <c r="AK453" s="17">
        <v>4</v>
      </c>
      <c r="AL453" s="36">
        <f t="shared" si="153"/>
        <v>4.2553191489361701E-2</v>
      </c>
      <c r="AM453" s="17">
        <v>3</v>
      </c>
      <c r="AN453" s="36">
        <f t="shared" si="164"/>
        <v>3.3333333333333333E-2</v>
      </c>
      <c r="AO453" s="17">
        <v>94</v>
      </c>
      <c r="AP453" s="17">
        <v>90</v>
      </c>
    </row>
    <row r="454" spans="1:42" ht="15.75" customHeight="1" x14ac:dyDescent="0.25">
      <c r="A454" s="37">
        <v>2021</v>
      </c>
      <c r="B454" s="35">
        <v>170510</v>
      </c>
      <c r="C454" s="34" t="s">
        <v>151</v>
      </c>
      <c r="D454" s="34" t="s">
        <v>40</v>
      </c>
      <c r="E454" s="17">
        <v>1</v>
      </c>
      <c r="F454" s="36">
        <f t="shared" si="154"/>
        <v>9.6153846153846159E-3</v>
      </c>
      <c r="G454" s="17">
        <v>0</v>
      </c>
      <c r="H454" s="36">
        <f t="shared" si="155"/>
        <v>0</v>
      </c>
      <c r="I454" s="17">
        <v>3</v>
      </c>
      <c r="J454" s="36">
        <f t="shared" si="156"/>
        <v>2.8846153846153848E-2</v>
      </c>
      <c r="K454" s="17">
        <v>2</v>
      </c>
      <c r="L454" s="36">
        <f t="shared" si="157"/>
        <v>3.5087719298245612E-2</v>
      </c>
      <c r="M454" s="17">
        <v>100</v>
      </c>
      <c r="N454" s="36">
        <f t="shared" si="147"/>
        <v>0.96153846153846156</v>
      </c>
      <c r="O454" s="17">
        <v>55</v>
      </c>
      <c r="P454" s="36">
        <f t="shared" si="158"/>
        <v>0.96491228070175439</v>
      </c>
      <c r="Q454" s="17">
        <v>1</v>
      </c>
      <c r="R454" s="36">
        <f t="shared" si="148"/>
        <v>9.6153846153846159E-3</v>
      </c>
      <c r="S454" s="17">
        <v>0</v>
      </c>
      <c r="T454" s="36">
        <f t="shared" si="159"/>
        <v>0</v>
      </c>
      <c r="U454" s="17">
        <v>8</v>
      </c>
      <c r="V454" s="36">
        <f t="shared" si="149"/>
        <v>7.6923076923076927E-2</v>
      </c>
      <c r="W454" s="17">
        <v>8</v>
      </c>
      <c r="X454" s="36">
        <f t="shared" si="160"/>
        <v>0.14035087719298245</v>
      </c>
      <c r="Y454" s="17">
        <v>63</v>
      </c>
      <c r="Z454" s="36">
        <f t="shared" si="150"/>
        <v>0.60576923076923073</v>
      </c>
      <c r="AA454" s="17">
        <v>35</v>
      </c>
      <c r="AB454" s="36">
        <f t="shared" si="161"/>
        <v>0.61403508771929827</v>
      </c>
      <c r="AC454" s="17">
        <v>20</v>
      </c>
      <c r="AD454" s="36">
        <f t="shared" si="151"/>
        <v>0.19230769230769232</v>
      </c>
      <c r="AE454" s="17">
        <v>7</v>
      </c>
      <c r="AF454" s="36">
        <f t="shared" si="162"/>
        <v>0.12280701754385964</v>
      </c>
      <c r="AG454" s="17">
        <v>11</v>
      </c>
      <c r="AH454" s="36">
        <f t="shared" si="152"/>
        <v>0.10576923076923077</v>
      </c>
      <c r="AI454" s="17">
        <v>6</v>
      </c>
      <c r="AJ454" s="36">
        <f t="shared" si="163"/>
        <v>0.10526315789473684</v>
      </c>
      <c r="AK454" s="17">
        <v>1</v>
      </c>
      <c r="AL454" s="36">
        <f t="shared" si="153"/>
        <v>9.6153846153846159E-3</v>
      </c>
      <c r="AM454" s="17">
        <v>1</v>
      </c>
      <c r="AN454" s="36">
        <f t="shared" si="164"/>
        <v>1.7543859649122806E-2</v>
      </c>
      <c r="AO454" s="17">
        <v>104</v>
      </c>
      <c r="AP454" s="17">
        <v>57</v>
      </c>
    </row>
    <row r="455" spans="1:42" ht="15.75" customHeight="1" x14ac:dyDescent="0.25">
      <c r="A455" s="37">
        <v>2021</v>
      </c>
      <c r="B455" s="35">
        <v>170460</v>
      </c>
      <c r="C455" s="34" t="s">
        <v>144</v>
      </c>
      <c r="D455" s="34" t="s">
        <v>41</v>
      </c>
      <c r="E455" s="17">
        <v>0</v>
      </c>
      <c r="F455" s="36">
        <f t="shared" si="154"/>
        <v>0</v>
      </c>
      <c r="G455" s="17">
        <v>0</v>
      </c>
      <c r="H455" s="36">
        <f t="shared" si="155"/>
        <v>0</v>
      </c>
      <c r="I455" s="17">
        <v>1</v>
      </c>
      <c r="J455" s="36">
        <f t="shared" si="156"/>
        <v>2.2727272727272728E-2</v>
      </c>
      <c r="K455" s="17">
        <v>1</v>
      </c>
      <c r="L455" s="36">
        <f t="shared" si="157"/>
        <v>2.3255813953488372E-2</v>
      </c>
      <c r="M455" s="17">
        <v>43</v>
      </c>
      <c r="N455" s="36">
        <f t="shared" si="147"/>
        <v>0.97727272727272729</v>
      </c>
      <c r="O455" s="17">
        <v>42</v>
      </c>
      <c r="P455" s="36">
        <f t="shared" si="158"/>
        <v>0.97674418604651159</v>
      </c>
      <c r="Q455" s="17">
        <v>1</v>
      </c>
      <c r="R455" s="36">
        <f t="shared" si="148"/>
        <v>2.2727272727272728E-2</v>
      </c>
      <c r="S455" s="17">
        <v>1</v>
      </c>
      <c r="T455" s="36">
        <f t="shared" si="159"/>
        <v>2.3255813953488372E-2</v>
      </c>
      <c r="U455" s="17">
        <v>2</v>
      </c>
      <c r="V455" s="36">
        <f t="shared" si="149"/>
        <v>4.5454545454545456E-2</v>
      </c>
      <c r="W455" s="17">
        <v>2</v>
      </c>
      <c r="X455" s="36">
        <f t="shared" si="160"/>
        <v>4.6511627906976744E-2</v>
      </c>
      <c r="Y455" s="17">
        <v>24</v>
      </c>
      <c r="Z455" s="36">
        <f t="shared" si="150"/>
        <v>0.54545454545454541</v>
      </c>
      <c r="AA455" s="17">
        <v>23</v>
      </c>
      <c r="AB455" s="36">
        <f t="shared" si="161"/>
        <v>0.53488372093023251</v>
      </c>
      <c r="AC455" s="17">
        <v>12</v>
      </c>
      <c r="AD455" s="36">
        <f t="shared" si="151"/>
        <v>0.27272727272727271</v>
      </c>
      <c r="AE455" s="17">
        <v>12</v>
      </c>
      <c r="AF455" s="36">
        <f t="shared" si="162"/>
        <v>0.27906976744186046</v>
      </c>
      <c r="AG455" s="17">
        <v>5</v>
      </c>
      <c r="AH455" s="36">
        <f t="shared" si="152"/>
        <v>0.11363636363636363</v>
      </c>
      <c r="AI455" s="17">
        <v>5</v>
      </c>
      <c r="AJ455" s="36">
        <f t="shared" si="163"/>
        <v>0.11627906976744186</v>
      </c>
      <c r="AK455" s="17">
        <v>0</v>
      </c>
      <c r="AL455" s="36">
        <f t="shared" si="153"/>
        <v>0</v>
      </c>
      <c r="AM455" s="17">
        <v>0</v>
      </c>
      <c r="AN455" s="36">
        <f t="shared" si="164"/>
        <v>0</v>
      </c>
      <c r="AO455" s="17">
        <v>44</v>
      </c>
      <c r="AP455" s="17">
        <v>43</v>
      </c>
    </row>
    <row r="456" spans="1:42" ht="15.75" customHeight="1" x14ac:dyDescent="0.25">
      <c r="A456" s="37">
        <v>2021</v>
      </c>
      <c r="B456" s="35">
        <v>170550</v>
      </c>
      <c r="C456" s="34" t="s">
        <v>150</v>
      </c>
      <c r="D456" s="34" t="s">
        <v>42</v>
      </c>
      <c r="E456" s="17">
        <v>11</v>
      </c>
      <c r="F456" s="36">
        <f t="shared" si="154"/>
        <v>1.9855595667870037E-2</v>
      </c>
      <c r="G456" s="17">
        <v>4</v>
      </c>
      <c r="H456" s="36">
        <f t="shared" si="155"/>
        <v>1.8518518518518517E-2</v>
      </c>
      <c r="I456" s="17">
        <v>27</v>
      </c>
      <c r="J456" s="36">
        <f t="shared" si="156"/>
        <v>4.8736462093862815E-2</v>
      </c>
      <c r="K456" s="17">
        <v>10</v>
      </c>
      <c r="L456" s="36">
        <f t="shared" si="157"/>
        <v>4.6296296296296294E-2</v>
      </c>
      <c r="M456" s="17">
        <v>516</v>
      </c>
      <c r="N456" s="36">
        <f t="shared" si="147"/>
        <v>0.93140794223826717</v>
      </c>
      <c r="O456" s="17">
        <v>202</v>
      </c>
      <c r="P456" s="36">
        <f t="shared" si="158"/>
        <v>0.93518518518518523</v>
      </c>
      <c r="Q456" s="17">
        <v>7</v>
      </c>
      <c r="R456" s="36">
        <f t="shared" si="148"/>
        <v>1.263537906137184E-2</v>
      </c>
      <c r="S456" s="17">
        <v>1</v>
      </c>
      <c r="T456" s="36">
        <f t="shared" si="159"/>
        <v>4.6296296296296294E-3</v>
      </c>
      <c r="U456" s="17">
        <v>19</v>
      </c>
      <c r="V456" s="36">
        <f t="shared" si="149"/>
        <v>3.4296028880866428E-2</v>
      </c>
      <c r="W456" s="17">
        <v>6</v>
      </c>
      <c r="X456" s="36">
        <f t="shared" si="160"/>
        <v>2.7777777777777776E-2</v>
      </c>
      <c r="Y456" s="17">
        <v>343</v>
      </c>
      <c r="Z456" s="36">
        <f t="shared" si="150"/>
        <v>0.61913357400722024</v>
      </c>
      <c r="AA456" s="17">
        <v>145</v>
      </c>
      <c r="AB456" s="36">
        <f t="shared" si="161"/>
        <v>0.67129629629629628</v>
      </c>
      <c r="AC456" s="17">
        <v>107</v>
      </c>
      <c r="AD456" s="36">
        <f t="shared" si="151"/>
        <v>0.19314079422382671</v>
      </c>
      <c r="AE456" s="17">
        <v>35</v>
      </c>
      <c r="AF456" s="36">
        <f t="shared" si="162"/>
        <v>0.16203703703703703</v>
      </c>
      <c r="AG456" s="17">
        <v>59</v>
      </c>
      <c r="AH456" s="36">
        <f t="shared" si="152"/>
        <v>0.10649819494584838</v>
      </c>
      <c r="AI456" s="17">
        <v>24</v>
      </c>
      <c r="AJ456" s="36">
        <f t="shared" si="163"/>
        <v>0.1111111111111111</v>
      </c>
      <c r="AK456" s="17">
        <v>19</v>
      </c>
      <c r="AL456" s="36">
        <f t="shared" si="153"/>
        <v>3.4296028880866428E-2</v>
      </c>
      <c r="AM456" s="17">
        <v>5</v>
      </c>
      <c r="AN456" s="36">
        <f t="shared" si="164"/>
        <v>2.3148148148148147E-2</v>
      </c>
      <c r="AO456" s="17">
        <v>554</v>
      </c>
      <c r="AP456" s="17">
        <v>216</v>
      </c>
    </row>
    <row r="457" spans="1:42" ht="15.75" customHeight="1" x14ac:dyDescent="0.25">
      <c r="A457" s="37">
        <v>2021</v>
      </c>
      <c r="B457" s="35">
        <v>171670</v>
      </c>
      <c r="C457" s="34" t="s">
        <v>150</v>
      </c>
      <c r="D457" s="34" t="s">
        <v>43</v>
      </c>
      <c r="E457" s="17">
        <v>5</v>
      </c>
      <c r="F457" s="36">
        <f t="shared" si="154"/>
        <v>2.403846153846154E-2</v>
      </c>
      <c r="G457" s="17">
        <v>5</v>
      </c>
      <c r="H457" s="36">
        <f t="shared" si="155"/>
        <v>3.7313432835820892E-2</v>
      </c>
      <c r="I457" s="17">
        <v>7</v>
      </c>
      <c r="J457" s="36">
        <f t="shared" si="156"/>
        <v>3.3653846153846152E-2</v>
      </c>
      <c r="K457" s="17">
        <v>6</v>
      </c>
      <c r="L457" s="36">
        <f t="shared" si="157"/>
        <v>4.4776119402985072E-2</v>
      </c>
      <c r="M457" s="17">
        <v>196</v>
      </c>
      <c r="N457" s="36">
        <f t="shared" si="147"/>
        <v>0.94230769230769229</v>
      </c>
      <c r="O457" s="17">
        <v>123</v>
      </c>
      <c r="P457" s="36">
        <f t="shared" si="158"/>
        <v>0.91791044776119401</v>
      </c>
      <c r="Q457" s="17">
        <v>5</v>
      </c>
      <c r="R457" s="36">
        <f t="shared" si="148"/>
        <v>2.403846153846154E-2</v>
      </c>
      <c r="S457" s="17">
        <v>4</v>
      </c>
      <c r="T457" s="36">
        <f t="shared" si="159"/>
        <v>2.9850746268656716E-2</v>
      </c>
      <c r="U457" s="17">
        <v>6</v>
      </c>
      <c r="V457" s="36">
        <f t="shared" si="149"/>
        <v>2.8846153846153848E-2</v>
      </c>
      <c r="W457" s="17">
        <v>4</v>
      </c>
      <c r="X457" s="36">
        <f t="shared" si="160"/>
        <v>2.9850746268656716E-2</v>
      </c>
      <c r="Y457" s="17">
        <v>138</v>
      </c>
      <c r="Z457" s="36">
        <f t="shared" si="150"/>
        <v>0.66346153846153844</v>
      </c>
      <c r="AA457" s="17">
        <v>87</v>
      </c>
      <c r="AB457" s="36">
        <f t="shared" si="161"/>
        <v>0.64925373134328357</v>
      </c>
      <c r="AC457" s="17">
        <v>32</v>
      </c>
      <c r="AD457" s="36">
        <f t="shared" si="151"/>
        <v>0.15384615384615385</v>
      </c>
      <c r="AE457" s="17">
        <v>22</v>
      </c>
      <c r="AF457" s="36">
        <f t="shared" si="162"/>
        <v>0.16417910447761194</v>
      </c>
      <c r="AG457" s="17">
        <v>23</v>
      </c>
      <c r="AH457" s="36">
        <f t="shared" si="152"/>
        <v>0.11057692307692307</v>
      </c>
      <c r="AI457" s="17">
        <v>15</v>
      </c>
      <c r="AJ457" s="36">
        <f t="shared" si="163"/>
        <v>0.11194029850746269</v>
      </c>
      <c r="AK457" s="17">
        <v>4</v>
      </c>
      <c r="AL457" s="36">
        <f t="shared" si="153"/>
        <v>1.9230769230769232E-2</v>
      </c>
      <c r="AM457" s="17">
        <v>2</v>
      </c>
      <c r="AN457" s="36">
        <f t="shared" si="164"/>
        <v>1.4925373134328358E-2</v>
      </c>
      <c r="AO457" s="17">
        <v>208</v>
      </c>
      <c r="AP457" s="17">
        <v>134</v>
      </c>
    </row>
    <row r="458" spans="1:42" ht="15.75" customHeight="1" x14ac:dyDescent="0.25">
      <c r="A458" s="37">
        <v>2021</v>
      </c>
      <c r="B458" s="35">
        <v>170555</v>
      </c>
      <c r="C458" s="34" t="s">
        <v>147</v>
      </c>
      <c r="D458" s="34" t="s">
        <v>44</v>
      </c>
      <c r="E458" s="17">
        <v>12</v>
      </c>
      <c r="F458" s="36">
        <f t="shared" si="154"/>
        <v>3.1088082901554404E-2</v>
      </c>
      <c r="G458" s="17">
        <v>13</v>
      </c>
      <c r="H458" s="36">
        <f t="shared" si="155"/>
        <v>7.9754601226993863E-2</v>
      </c>
      <c r="I458" s="17">
        <v>19</v>
      </c>
      <c r="J458" s="36">
        <f t="shared" si="156"/>
        <v>4.9222797927461141E-2</v>
      </c>
      <c r="K458" s="17">
        <v>15</v>
      </c>
      <c r="L458" s="36">
        <f t="shared" si="157"/>
        <v>9.202453987730061E-2</v>
      </c>
      <c r="M458" s="17">
        <v>355</v>
      </c>
      <c r="N458" s="36">
        <f t="shared" si="147"/>
        <v>0.9196891191709845</v>
      </c>
      <c r="O458" s="17">
        <v>135</v>
      </c>
      <c r="P458" s="36">
        <f t="shared" si="158"/>
        <v>0.82822085889570551</v>
      </c>
      <c r="Q458" s="17">
        <v>5</v>
      </c>
      <c r="R458" s="36">
        <f t="shared" si="148"/>
        <v>1.2953367875647668E-2</v>
      </c>
      <c r="S458" s="17">
        <v>3</v>
      </c>
      <c r="T458" s="36">
        <f t="shared" si="159"/>
        <v>1.8404907975460124E-2</v>
      </c>
      <c r="U458" s="17">
        <v>18</v>
      </c>
      <c r="V458" s="36">
        <f t="shared" si="149"/>
        <v>4.6632124352331605E-2</v>
      </c>
      <c r="W458" s="17">
        <v>5</v>
      </c>
      <c r="X458" s="36">
        <f t="shared" si="160"/>
        <v>3.0674846625766871E-2</v>
      </c>
      <c r="Y458" s="17">
        <v>276</v>
      </c>
      <c r="Z458" s="36">
        <f t="shared" si="150"/>
        <v>0.71502590673575128</v>
      </c>
      <c r="AA458" s="17">
        <v>114</v>
      </c>
      <c r="AB458" s="36">
        <f t="shared" si="161"/>
        <v>0.69938650306748462</v>
      </c>
      <c r="AC458" s="17">
        <v>69</v>
      </c>
      <c r="AD458" s="36">
        <f t="shared" si="151"/>
        <v>0.17875647668393782</v>
      </c>
      <c r="AE458" s="17">
        <v>33</v>
      </c>
      <c r="AF458" s="36">
        <f t="shared" si="162"/>
        <v>0.20245398773006135</v>
      </c>
      <c r="AG458" s="17">
        <v>16</v>
      </c>
      <c r="AH458" s="36">
        <f t="shared" si="152"/>
        <v>4.145077720207254E-2</v>
      </c>
      <c r="AI458" s="17">
        <v>8</v>
      </c>
      <c r="AJ458" s="36">
        <f t="shared" si="163"/>
        <v>4.9079754601226995E-2</v>
      </c>
      <c r="AK458" s="17">
        <v>2</v>
      </c>
      <c r="AL458" s="36">
        <f t="shared" si="153"/>
        <v>5.1813471502590676E-3</v>
      </c>
      <c r="AM458" s="17">
        <v>0</v>
      </c>
      <c r="AN458" s="36">
        <f t="shared" si="164"/>
        <v>0</v>
      </c>
      <c r="AO458" s="17">
        <v>386</v>
      </c>
      <c r="AP458" s="17">
        <v>163</v>
      </c>
    </row>
    <row r="459" spans="1:42" ht="15.75" customHeight="1" x14ac:dyDescent="0.25">
      <c r="A459" s="37">
        <v>2021</v>
      </c>
      <c r="B459" s="35">
        <v>170560</v>
      </c>
      <c r="C459" s="34" t="s">
        <v>147</v>
      </c>
      <c r="D459" s="34" t="s">
        <v>45</v>
      </c>
      <c r="E459" s="17">
        <v>7</v>
      </c>
      <c r="F459" s="36">
        <f t="shared" si="154"/>
        <v>2.7237354085603113E-2</v>
      </c>
      <c r="G459" s="17">
        <v>7</v>
      </c>
      <c r="H459" s="36">
        <f t="shared" si="155"/>
        <v>2.9166666666666667E-2</v>
      </c>
      <c r="I459" s="17">
        <v>8</v>
      </c>
      <c r="J459" s="36">
        <f t="shared" si="156"/>
        <v>3.1128404669260701E-2</v>
      </c>
      <c r="K459" s="17">
        <v>9</v>
      </c>
      <c r="L459" s="36">
        <f t="shared" si="157"/>
        <v>3.7499999999999999E-2</v>
      </c>
      <c r="M459" s="17">
        <v>242</v>
      </c>
      <c r="N459" s="36">
        <f t="shared" si="147"/>
        <v>0.94163424124513617</v>
      </c>
      <c r="O459" s="17">
        <v>224</v>
      </c>
      <c r="P459" s="36">
        <f t="shared" si="158"/>
        <v>0.93333333333333335</v>
      </c>
      <c r="Q459" s="17">
        <v>7</v>
      </c>
      <c r="R459" s="36">
        <f t="shared" si="148"/>
        <v>2.7237354085603113E-2</v>
      </c>
      <c r="S459" s="17">
        <v>7</v>
      </c>
      <c r="T459" s="36">
        <f t="shared" si="159"/>
        <v>2.9166666666666667E-2</v>
      </c>
      <c r="U459" s="17">
        <v>14</v>
      </c>
      <c r="V459" s="36">
        <f t="shared" si="149"/>
        <v>5.4474708171206226E-2</v>
      </c>
      <c r="W459" s="17">
        <v>14</v>
      </c>
      <c r="X459" s="36">
        <f t="shared" si="160"/>
        <v>5.8333333333333334E-2</v>
      </c>
      <c r="Y459" s="17">
        <v>158</v>
      </c>
      <c r="Z459" s="36">
        <f t="shared" si="150"/>
        <v>0.61478599221789887</v>
      </c>
      <c r="AA459" s="17">
        <v>154</v>
      </c>
      <c r="AB459" s="36">
        <f t="shared" si="161"/>
        <v>0.64166666666666672</v>
      </c>
      <c r="AC459" s="17">
        <v>47</v>
      </c>
      <c r="AD459" s="36">
        <f t="shared" si="151"/>
        <v>0.1828793774319066</v>
      </c>
      <c r="AE459" s="17">
        <v>40</v>
      </c>
      <c r="AF459" s="36">
        <f t="shared" si="162"/>
        <v>0.16666666666666666</v>
      </c>
      <c r="AG459" s="17">
        <v>26</v>
      </c>
      <c r="AH459" s="36">
        <f t="shared" si="152"/>
        <v>0.10116731517509728</v>
      </c>
      <c r="AI459" s="17">
        <v>22</v>
      </c>
      <c r="AJ459" s="36">
        <f t="shared" si="163"/>
        <v>9.166666666666666E-2</v>
      </c>
      <c r="AK459" s="17">
        <v>5</v>
      </c>
      <c r="AL459" s="36">
        <f t="shared" si="153"/>
        <v>1.9455252918287938E-2</v>
      </c>
      <c r="AM459" s="17">
        <v>3</v>
      </c>
      <c r="AN459" s="36">
        <f t="shared" si="164"/>
        <v>1.2500000000000001E-2</v>
      </c>
      <c r="AO459" s="17">
        <v>257</v>
      </c>
      <c r="AP459" s="17">
        <v>240</v>
      </c>
    </row>
    <row r="460" spans="1:42" ht="15.75" customHeight="1" x14ac:dyDescent="0.25">
      <c r="A460" s="37">
        <v>2021</v>
      </c>
      <c r="B460" s="35">
        <v>170600</v>
      </c>
      <c r="C460" s="34" t="s">
        <v>150</v>
      </c>
      <c r="D460" s="34" t="s">
        <v>46</v>
      </c>
      <c r="E460" s="17">
        <v>8</v>
      </c>
      <c r="F460" s="36">
        <f t="shared" si="154"/>
        <v>3.3898305084745763E-2</v>
      </c>
      <c r="G460" s="17">
        <v>8</v>
      </c>
      <c r="H460" s="36">
        <f t="shared" si="155"/>
        <v>6.1068702290076333E-2</v>
      </c>
      <c r="I460" s="17">
        <v>8</v>
      </c>
      <c r="J460" s="36">
        <f t="shared" si="156"/>
        <v>3.3898305084745763E-2</v>
      </c>
      <c r="K460" s="17">
        <v>7</v>
      </c>
      <c r="L460" s="36">
        <f t="shared" si="157"/>
        <v>5.3435114503816793E-2</v>
      </c>
      <c r="M460" s="17">
        <v>220</v>
      </c>
      <c r="N460" s="36">
        <f t="shared" si="147"/>
        <v>0.93220338983050843</v>
      </c>
      <c r="O460" s="17">
        <v>116</v>
      </c>
      <c r="P460" s="36">
        <f t="shared" si="158"/>
        <v>0.8854961832061069</v>
      </c>
      <c r="Q460" s="17">
        <v>2</v>
      </c>
      <c r="R460" s="36">
        <f t="shared" si="148"/>
        <v>8.4745762711864406E-3</v>
      </c>
      <c r="S460" s="17">
        <v>1</v>
      </c>
      <c r="T460" s="36">
        <f t="shared" si="159"/>
        <v>7.6335877862595417E-3</v>
      </c>
      <c r="U460" s="17">
        <v>12</v>
      </c>
      <c r="V460" s="36">
        <f t="shared" si="149"/>
        <v>5.0847457627118647E-2</v>
      </c>
      <c r="W460" s="17">
        <v>5</v>
      </c>
      <c r="X460" s="36">
        <f t="shared" si="160"/>
        <v>3.8167938931297711E-2</v>
      </c>
      <c r="Y460" s="17">
        <v>155</v>
      </c>
      <c r="Z460" s="36">
        <f t="shared" si="150"/>
        <v>0.65677966101694918</v>
      </c>
      <c r="AA460" s="17">
        <v>91</v>
      </c>
      <c r="AB460" s="36">
        <f t="shared" si="161"/>
        <v>0.69465648854961837</v>
      </c>
      <c r="AC460" s="17">
        <v>49</v>
      </c>
      <c r="AD460" s="36">
        <f t="shared" si="151"/>
        <v>0.2076271186440678</v>
      </c>
      <c r="AE460" s="17">
        <v>25</v>
      </c>
      <c r="AF460" s="36">
        <f t="shared" si="162"/>
        <v>0.19083969465648856</v>
      </c>
      <c r="AG460" s="17">
        <v>13</v>
      </c>
      <c r="AH460" s="36">
        <f t="shared" si="152"/>
        <v>5.5084745762711863E-2</v>
      </c>
      <c r="AI460" s="17">
        <v>8</v>
      </c>
      <c r="AJ460" s="36">
        <f t="shared" si="163"/>
        <v>6.1068702290076333E-2</v>
      </c>
      <c r="AK460" s="17">
        <v>5</v>
      </c>
      <c r="AL460" s="36">
        <f t="shared" si="153"/>
        <v>2.1186440677966101E-2</v>
      </c>
      <c r="AM460" s="17">
        <v>1</v>
      </c>
      <c r="AN460" s="36">
        <f t="shared" si="164"/>
        <v>7.6335877862595417E-3</v>
      </c>
      <c r="AO460" s="17">
        <v>236</v>
      </c>
      <c r="AP460" s="17">
        <v>131</v>
      </c>
    </row>
    <row r="461" spans="1:42" ht="15.75" customHeight="1" x14ac:dyDescent="0.25">
      <c r="A461" s="37">
        <v>2021</v>
      </c>
      <c r="B461" s="35">
        <v>170610</v>
      </c>
      <c r="C461" s="34" t="s">
        <v>144</v>
      </c>
      <c r="D461" s="34" t="s">
        <v>47</v>
      </c>
      <c r="E461" s="17">
        <v>3</v>
      </c>
      <c r="F461" s="36">
        <f t="shared" si="154"/>
        <v>1.282051282051282E-2</v>
      </c>
      <c r="G461" s="17">
        <v>3</v>
      </c>
      <c r="H461" s="36">
        <f t="shared" si="155"/>
        <v>2.3809523809523808E-2</v>
      </c>
      <c r="I461" s="17">
        <v>8</v>
      </c>
      <c r="J461" s="36">
        <f t="shared" si="156"/>
        <v>3.4188034188034191E-2</v>
      </c>
      <c r="K461" s="17">
        <v>7</v>
      </c>
      <c r="L461" s="36">
        <f t="shared" si="157"/>
        <v>5.5555555555555552E-2</v>
      </c>
      <c r="M461" s="17">
        <v>223</v>
      </c>
      <c r="N461" s="36">
        <f t="shared" si="147"/>
        <v>0.95299145299145294</v>
      </c>
      <c r="O461" s="17">
        <v>116</v>
      </c>
      <c r="P461" s="36">
        <f t="shared" si="158"/>
        <v>0.92063492063492058</v>
      </c>
      <c r="Q461" s="17">
        <v>1</v>
      </c>
      <c r="R461" s="36">
        <f t="shared" si="148"/>
        <v>4.2735042735042739E-3</v>
      </c>
      <c r="S461" s="17">
        <v>1</v>
      </c>
      <c r="T461" s="36">
        <f t="shared" si="159"/>
        <v>7.9365079365079361E-3</v>
      </c>
      <c r="U461" s="17">
        <v>10</v>
      </c>
      <c r="V461" s="36">
        <f t="shared" si="149"/>
        <v>4.2735042735042736E-2</v>
      </c>
      <c r="W461" s="17">
        <v>6</v>
      </c>
      <c r="X461" s="36">
        <f t="shared" si="160"/>
        <v>4.7619047619047616E-2</v>
      </c>
      <c r="Y461" s="17">
        <v>145</v>
      </c>
      <c r="Z461" s="36">
        <f t="shared" si="150"/>
        <v>0.61965811965811968</v>
      </c>
      <c r="AA461" s="17">
        <v>81</v>
      </c>
      <c r="AB461" s="36">
        <f t="shared" si="161"/>
        <v>0.6428571428571429</v>
      </c>
      <c r="AC461" s="17">
        <v>55</v>
      </c>
      <c r="AD461" s="36">
        <f t="shared" si="151"/>
        <v>0.23504273504273504</v>
      </c>
      <c r="AE461" s="17">
        <v>27</v>
      </c>
      <c r="AF461" s="36">
        <f t="shared" si="162"/>
        <v>0.21428571428571427</v>
      </c>
      <c r="AG461" s="17">
        <v>19</v>
      </c>
      <c r="AH461" s="36">
        <f t="shared" si="152"/>
        <v>8.11965811965812E-2</v>
      </c>
      <c r="AI461" s="17">
        <v>7</v>
      </c>
      <c r="AJ461" s="36">
        <f t="shared" si="163"/>
        <v>5.5555555555555552E-2</v>
      </c>
      <c r="AK461" s="17">
        <v>4</v>
      </c>
      <c r="AL461" s="36">
        <f t="shared" si="153"/>
        <v>1.7094017094017096E-2</v>
      </c>
      <c r="AM461" s="17">
        <v>4</v>
      </c>
      <c r="AN461" s="36">
        <f t="shared" si="164"/>
        <v>3.1746031746031744E-2</v>
      </c>
      <c r="AO461" s="17">
        <v>234</v>
      </c>
      <c r="AP461" s="17">
        <v>126</v>
      </c>
    </row>
    <row r="462" spans="1:42" ht="15.75" customHeight="1" x14ac:dyDescent="0.25">
      <c r="A462" s="37">
        <v>2021</v>
      </c>
      <c r="B462" s="35">
        <v>170625</v>
      </c>
      <c r="C462" s="34" t="s">
        <v>146</v>
      </c>
      <c r="D462" s="34" t="s">
        <v>48</v>
      </c>
      <c r="E462" s="17">
        <v>0</v>
      </c>
      <c r="F462" s="36">
        <f t="shared" si="154"/>
        <v>0</v>
      </c>
      <c r="G462" s="17">
        <v>0</v>
      </c>
      <c r="H462" s="36">
        <f t="shared" si="155"/>
        <v>0</v>
      </c>
      <c r="I462" s="17">
        <v>3</v>
      </c>
      <c r="J462" s="36">
        <f t="shared" si="156"/>
        <v>0.13636363636363635</v>
      </c>
      <c r="K462" s="17">
        <v>1</v>
      </c>
      <c r="L462" s="36">
        <f t="shared" si="157"/>
        <v>1</v>
      </c>
      <c r="M462" s="17">
        <v>19</v>
      </c>
      <c r="N462" s="36">
        <f t="shared" si="147"/>
        <v>0.86363636363636365</v>
      </c>
      <c r="O462" s="17">
        <v>0</v>
      </c>
      <c r="P462" s="36">
        <f t="shared" si="158"/>
        <v>0</v>
      </c>
      <c r="Q462" s="17">
        <v>0</v>
      </c>
      <c r="R462" s="36">
        <f t="shared" si="148"/>
        <v>0</v>
      </c>
      <c r="S462" s="17">
        <v>0</v>
      </c>
      <c r="T462" s="36">
        <f t="shared" si="159"/>
        <v>0</v>
      </c>
      <c r="U462" s="17">
        <v>0</v>
      </c>
      <c r="V462" s="36">
        <f t="shared" si="149"/>
        <v>0</v>
      </c>
      <c r="W462" s="17">
        <v>0</v>
      </c>
      <c r="X462" s="36">
        <f t="shared" si="160"/>
        <v>0</v>
      </c>
      <c r="Y462" s="17">
        <v>16</v>
      </c>
      <c r="Z462" s="36">
        <f t="shared" si="150"/>
        <v>0.72727272727272729</v>
      </c>
      <c r="AA462" s="17">
        <v>1</v>
      </c>
      <c r="AB462" s="36">
        <f t="shared" si="161"/>
        <v>1</v>
      </c>
      <c r="AC462" s="17">
        <v>3</v>
      </c>
      <c r="AD462" s="36">
        <f t="shared" si="151"/>
        <v>0.13636363636363635</v>
      </c>
      <c r="AE462" s="17">
        <v>0</v>
      </c>
      <c r="AF462" s="36">
        <f t="shared" si="162"/>
        <v>0</v>
      </c>
      <c r="AG462" s="17">
        <v>0</v>
      </c>
      <c r="AH462" s="36">
        <f t="shared" si="152"/>
        <v>0</v>
      </c>
      <c r="AI462" s="17">
        <v>0</v>
      </c>
      <c r="AJ462" s="36">
        <f t="shared" si="163"/>
        <v>0</v>
      </c>
      <c r="AK462" s="17">
        <v>3</v>
      </c>
      <c r="AL462" s="36">
        <f t="shared" si="153"/>
        <v>0.13636363636363635</v>
      </c>
      <c r="AM462" s="17">
        <v>0</v>
      </c>
      <c r="AN462" s="36">
        <f t="shared" si="164"/>
        <v>0</v>
      </c>
      <c r="AO462" s="17">
        <v>22</v>
      </c>
      <c r="AP462" s="17">
        <v>1</v>
      </c>
    </row>
    <row r="463" spans="1:42" ht="15.75" customHeight="1" x14ac:dyDescent="0.25">
      <c r="A463" s="37">
        <v>2021</v>
      </c>
      <c r="B463" s="35">
        <v>170650</v>
      </c>
      <c r="C463" s="34" t="s">
        <v>149</v>
      </c>
      <c r="D463" s="34" t="s">
        <v>49</v>
      </c>
      <c r="E463" s="17">
        <v>17</v>
      </c>
      <c r="F463" s="36">
        <f t="shared" si="154"/>
        <v>8.3333333333333329E-2</v>
      </c>
      <c r="G463" s="17">
        <v>17</v>
      </c>
      <c r="H463" s="36">
        <f t="shared" si="155"/>
        <v>9.8837209302325577E-2</v>
      </c>
      <c r="I463" s="17">
        <v>15</v>
      </c>
      <c r="J463" s="36">
        <f t="shared" si="156"/>
        <v>7.3529411764705885E-2</v>
      </c>
      <c r="K463" s="17">
        <v>13</v>
      </c>
      <c r="L463" s="36">
        <f t="shared" si="157"/>
        <v>7.5581395348837205E-2</v>
      </c>
      <c r="M463" s="17">
        <v>172</v>
      </c>
      <c r="N463" s="36">
        <f t="shared" si="147"/>
        <v>0.84313725490196079</v>
      </c>
      <c r="O463" s="17">
        <v>142</v>
      </c>
      <c r="P463" s="36">
        <f t="shared" si="158"/>
        <v>0.82558139534883723</v>
      </c>
      <c r="Q463" s="17">
        <v>3</v>
      </c>
      <c r="R463" s="36">
        <f t="shared" si="148"/>
        <v>1.4705882352941176E-2</v>
      </c>
      <c r="S463" s="17">
        <v>3</v>
      </c>
      <c r="T463" s="36">
        <f t="shared" si="159"/>
        <v>1.7441860465116279E-2</v>
      </c>
      <c r="U463" s="17">
        <v>3</v>
      </c>
      <c r="V463" s="36">
        <f t="shared" si="149"/>
        <v>1.4705882352941176E-2</v>
      </c>
      <c r="W463" s="17">
        <v>3</v>
      </c>
      <c r="X463" s="36">
        <f t="shared" si="160"/>
        <v>1.7441860465116279E-2</v>
      </c>
      <c r="Y463" s="17">
        <v>127</v>
      </c>
      <c r="Z463" s="36">
        <f t="shared" si="150"/>
        <v>0.62254901960784315</v>
      </c>
      <c r="AA463" s="17">
        <v>117</v>
      </c>
      <c r="AB463" s="36">
        <f t="shared" si="161"/>
        <v>0.68023255813953487</v>
      </c>
      <c r="AC463" s="17">
        <v>57</v>
      </c>
      <c r="AD463" s="36">
        <f t="shared" si="151"/>
        <v>0.27941176470588236</v>
      </c>
      <c r="AE463" s="17">
        <v>40</v>
      </c>
      <c r="AF463" s="36">
        <f t="shared" si="162"/>
        <v>0.23255813953488372</v>
      </c>
      <c r="AG463" s="17">
        <v>12</v>
      </c>
      <c r="AH463" s="36">
        <f t="shared" si="152"/>
        <v>5.8823529411764705E-2</v>
      </c>
      <c r="AI463" s="17">
        <v>7</v>
      </c>
      <c r="AJ463" s="36">
        <f t="shared" si="163"/>
        <v>4.0697674418604654E-2</v>
      </c>
      <c r="AK463" s="17">
        <v>2</v>
      </c>
      <c r="AL463" s="36">
        <f t="shared" si="153"/>
        <v>9.8039215686274508E-3</v>
      </c>
      <c r="AM463" s="17">
        <v>2</v>
      </c>
      <c r="AN463" s="36">
        <f t="shared" si="164"/>
        <v>1.1627906976744186E-2</v>
      </c>
      <c r="AO463" s="17">
        <v>204</v>
      </c>
      <c r="AP463" s="17">
        <v>172</v>
      </c>
    </row>
    <row r="464" spans="1:42" ht="15.75" customHeight="1" x14ac:dyDescent="0.25">
      <c r="A464" s="37">
        <v>2021</v>
      </c>
      <c r="B464" s="35">
        <v>170700</v>
      </c>
      <c r="C464" s="34" t="s">
        <v>147</v>
      </c>
      <c r="D464" s="34" t="s">
        <v>50</v>
      </c>
      <c r="E464" s="17">
        <v>10</v>
      </c>
      <c r="F464" s="36">
        <f t="shared" si="154"/>
        <v>1.5673981191222569E-2</v>
      </c>
      <c r="G464" s="17">
        <v>6</v>
      </c>
      <c r="H464" s="36">
        <f t="shared" si="155"/>
        <v>2.4096385542168676E-2</v>
      </c>
      <c r="I464" s="17">
        <v>23</v>
      </c>
      <c r="J464" s="36">
        <f t="shared" si="156"/>
        <v>3.6050156739811913E-2</v>
      </c>
      <c r="K464" s="17">
        <v>11</v>
      </c>
      <c r="L464" s="36">
        <f t="shared" si="157"/>
        <v>4.4176706827309238E-2</v>
      </c>
      <c r="M464" s="17">
        <v>605</v>
      </c>
      <c r="N464" s="36">
        <f t="shared" si="147"/>
        <v>0.94827586206896552</v>
      </c>
      <c r="O464" s="17">
        <v>232</v>
      </c>
      <c r="P464" s="36">
        <f t="shared" si="158"/>
        <v>0.93172690763052213</v>
      </c>
      <c r="Q464" s="17">
        <v>6</v>
      </c>
      <c r="R464" s="36">
        <f t="shared" si="148"/>
        <v>9.4043887147335428E-3</v>
      </c>
      <c r="S464" s="17">
        <v>4</v>
      </c>
      <c r="T464" s="36">
        <f t="shared" si="159"/>
        <v>1.6064257028112448E-2</v>
      </c>
      <c r="U464" s="17">
        <v>21</v>
      </c>
      <c r="V464" s="36">
        <f t="shared" si="149"/>
        <v>3.2915360501567396E-2</v>
      </c>
      <c r="W464" s="17">
        <v>9</v>
      </c>
      <c r="X464" s="36">
        <f t="shared" si="160"/>
        <v>3.614457831325301E-2</v>
      </c>
      <c r="Y464" s="17">
        <v>452</v>
      </c>
      <c r="Z464" s="36">
        <f t="shared" si="150"/>
        <v>0.70846394984326022</v>
      </c>
      <c r="AA464" s="17">
        <v>185</v>
      </c>
      <c r="AB464" s="36">
        <f t="shared" si="161"/>
        <v>0.74297188755020083</v>
      </c>
      <c r="AC464" s="17">
        <v>107</v>
      </c>
      <c r="AD464" s="36">
        <f t="shared" si="151"/>
        <v>0.16771159874608149</v>
      </c>
      <c r="AE464" s="17">
        <v>37</v>
      </c>
      <c r="AF464" s="36">
        <f t="shared" si="162"/>
        <v>0.14859437751004015</v>
      </c>
      <c r="AG464" s="17">
        <v>39</v>
      </c>
      <c r="AH464" s="36">
        <f t="shared" si="152"/>
        <v>6.1128526645768025E-2</v>
      </c>
      <c r="AI464" s="17">
        <v>10</v>
      </c>
      <c r="AJ464" s="36">
        <f t="shared" si="163"/>
        <v>4.0160642570281124E-2</v>
      </c>
      <c r="AK464" s="17">
        <v>13</v>
      </c>
      <c r="AL464" s="36">
        <f t="shared" si="153"/>
        <v>2.037617554858934E-2</v>
      </c>
      <c r="AM464" s="17">
        <v>4</v>
      </c>
      <c r="AN464" s="36">
        <f t="shared" si="164"/>
        <v>1.6064257028112448E-2</v>
      </c>
      <c r="AO464" s="17">
        <v>638</v>
      </c>
      <c r="AP464" s="17">
        <v>249</v>
      </c>
    </row>
    <row r="465" spans="1:42" ht="15.75" customHeight="1" x14ac:dyDescent="0.25">
      <c r="A465" s="37">
        <v>2021</v>
      </c>
      <c r="B465" s="35">
        <v>170710</v>
      </c>
      <c r="C465" s="34" t="s">
        <v>144</v>
      </c>
      <c r="D465" s="34" t="s">
        <v>51</v>
      </c>
      <c r="E465" s="17">
        <v>8</v>
      </c>
      <c r="F465" s="36">
        <f t="shared" si="154"/>
        <v>3.6866359447004608E-2</v>
      </c>
      <c r="G465" s="17">
        <v>8</v>
      </c>
      <c r="H465" s="36">
        <f t="shared" si="155"/>
        <v>4.9382716049382713E-2</v>
      </c>
      <c r="I465" s="17">
        <v>13</v>
      </c>
      <c r="J465" s="36">
        <f t="shared" si="156"/>
        <v>5.9907834101382486E-2</v>
      </c>
      <c r="K465" s="17">
        <v>10</v>
      </c>
      <c r="L465" s="36">
        <f t="shared" si="157"/>
        <v>6.1728395061728392E-2</v>
      </c>
      <c r="M465" s="17">
        <v>196</v>
      </c>
      <c r="N465" s="36">
        <f t="shared" si="147"/>
        <v>0.90322580645161288</v>
      </c>
      <c r="O465" s="17">
        <v>144</v>
      </c>
      <c r="P465" s="36">
        <f t="shared" si="158"/>
        <v>0.88888888888888884</v>
      </c>
      <c r="Q465" s="17">
        <v>2</v>
      </c>
      <c r="R465" s="36">
        <f t="shared" si="148"/>
        <v>9.2165898617511521E-3</v>
      </c>
      <c r="S465" s="17">
        <v>2</v>
      </c>
      <c r="T465" s="36">
        <f t="shared" si="159"/>
        <v>1.2345679012345678E-2</v>
      </c>
      <c r="U465" s="17">
        <v>9</v>
      </c>
      <c r="V465" s="36">
        <f t="shared" si="149"/>
        <v>4.1474654377880185E-2</v>
      </c>
      <c r="W465" s="17">
        <v>7</v>
      </c>
      <c r="X465" s="36">
        <f t="shared" si="160"/>
        <v>4.3209876543209874E-2</v>
      </c>
      <c r="Y465" s="17">
        <v>141</v>
      </c>
      <c r="Z465" s="36">
        <f t="shared" si="150"/>
        <v>0.64976958525345618</v>
      </c>
      <c r="AA465" s="17">
        <v>111</v>
      </c>
      <c r="AB465" s="36">
        <f t="shared" si="161"/>
        <v>0.68518518518518523</v>
      </c>
      <c r="AC465" s="17">
        <v>50</v>
      </c>
      <c r="AD465" s="36">
        <f t="shared" si="151"/>
        <v>0.2304147465437788</v>
      </c>
      <c r="AE465" s="17">
        <v>33</v>
      </c>
      <c r="AF465" s="36">
        <f t="shared" si="162"/>
        <v>0.20370370370370369</v>
      </c>
      <c r="AG465" s="17">
        <v>12</v>
      </c>
      <c r="AH465" s="36">
        <f t="shared" si="152"/>
        <v>5.5299539170506916E-2</v>
      </c>
      <c r="AI465" s="17">
        <v>7</v>
      </c>
      <c r="AJ465" s="36">
        <f t="shared" si="163"/>
        <v>4.3209876543209874E-2</v>
      </c>
      <c r="AK465" s="17">
        <v>3</v>
      </c>
      <c r="AL465" s="36">
        <f t="shared" si="153"/>
        <v>1.3824884792626729E-2</v>
      </c>
      <c r="AM465" s="17">
        <v>2</v>
      </c>
      <c r="AN465" s="36">
        <f t="shared" si="164"/>
        <v>1.2345679012345678E-2</v>
      </c>
      <c r="AO465" s="17">
        <v>217</v>
      </c>
      <c r="AP465" s="17">
        <v>162</v>
      </c>
    </row>
    <row r="466" spans="1:42" ht="15.75" customHeight="1" x14ac:dyDescent="0.25">
      <c r="A466" s="37">
        <v>2021</v>
      </c>
      <c r="B466" s="35">
        <v>170720</v>
      </c>
      <c r="C466" s="34" t="s">
        <v>144</v>
      </c>
      <c r="D466" s="34" t="s">
        <v>52</v>
      </c>
      <c r="E466" s="17">
        <v>8</v>
      </c>
      <c r="F466" s="36">
        <f t="shared" si="154"/>
        <v>2.3529411764705882E-2</v>
      </c>
      <c r="G466" s="17">
        <v>7</v>
      </c>
      <c r="H466" s="36">
        <f t="shared" si="155"/>
        <v>3.954802259887006E-2</v>
      </c>
      <c r="I466" s="17">
        <v>11</v>
      </c>
      <c r="J466" s="36">
        <f t="shared" si="156"/>
        <v>3.2352941176470591E-2</v>
      </c>
      <c r="K466" s="17">
        <v>3</v>
      </c>
      <c r="L466" s="36">
        <f t="shared" si="157"/>
        <v>1.6949152542372881E-2</v>
      </c>
      <c r="M466" s="17">
        <v>321</v>
      </c>
      <c r="N466" s="36">
        <f t="shared" si="147"/>
        <v>0.94411764705882351</v>
      </c>
      <c r="O466" s="17">
        <v>167</v>
      </c>
      <c r="P466" s="36">
        <f t="shared" si="158"/>
        <v>0.94350282485875703</v>
      </c>
      <c r="Q466" s="17">
        <v>3</v>
      </c>
      <c r="R466" s="36">
        <f t="shared" si="148"/>
        <v>8.8235294117647058E-3</v>
      </c>
      <c r="S466" s="17">
        <v>2</v>
      </c>
      <c r="T466" s="36">
        <f t="shared" si="159"/>
        <v>1.1299435028248588E-2</v>
      </c>
      <c r="U466" s="17">
        <v>13</v>
      </c>
      <c r="V466" s="36">
        <f t="shared" si="149"/>
        <v>3.8235294117647062E-2</v>
      </c>
      <c r="W466" s="17">
        <v>7</v>
      </c>
      <c r="X466" s="36">
        <f t="shared" si="160"/>
        <v>3.954802259887006E-2</v>
      </c>
      <c r="Y466" s="17">
        <v>220</v>
      </c>
      <c r="Z466" s="36">
        <f t="shared" si="150"/>
        <v>0.6470588235294118</v>
      </c>
      <c r="AA466" s="17">
        <v>112</v>
      </c>
      <c r="AB466" s="36">
        <f t="shared" si="161"/>
        <v>0.63276836158192096</v>
      </c>
      <c r="AC466" s="17">
        <v>74</v>
      </c>
      <c r="AD466" s="36">
        <f t="shared" si="151"/>
        <v>0.21764705882352942</v>
      </c>
      <c r="AE466" s="17">
        <v>42</v>
      </c>
      <c r="AF466" s="36">
        <f t="shared" si="162"/>
        <v>0.23728813559322035</v>
      </c>
      <c r="AG466" s="17">
        <v>22</v>
      </c>
      <c r="AH466" s="36">
        <f t="shared" si="152"/>
        <v>6.4705882352941183E-2</v>
      </c>
      <c r="AI466" s="17">
        <v>9</v>
      </c>
      <c r="AJ466" s="36">
        <f t="shared" si="163"/>
        <v>5.0847457627118647E-2</v>
      </c>
      <c r="AK466" s="17">
        <v>8</v>
      </c>
      <c r="AL466" s="36">
        <f t="shared" si="153"/>
        <v>2.3529411764705882E-2</v>
      </c>
      <c r="AM466" s="17">
        <v>5</v>
      </c>
      <c r="AN466" s="36">
        <f t="shared" si="164"/>
        <v>2.8248587570621469E-2</v>
      </c>
      <c r="AO466" s="17">
        <v>340</v>
      </c>
      <c r="AP466" s="17">
        <v>177</v>
      </c>
    </row>
    <row r="467" spans="1:42" ht="15.75" customHeight="1" x14ac:dyDescent="0.25">
      <c r="A467" s="37">
        <v>2021</v>
      </c>
      <c r="B467" s="35">
        <v>170730</v>
      </c>
      <c r="C467" s="34" t="s">
        <v>146</v>
      </c>
      <c r="D467" s="34" t="s">
        <v>53</v>
      </c>
      <c r="E467" s="17">
        <v>5</v>
      </c>
      <c r="F467" s="36">
        <f t="shared" si="154"/>
        <v>3.2679738562091505E-2</v>
      </c>
      <c r="G467" s="17">
        <v>5</v>
      </c>
      <c r="H467" s="36">
        <f t="shared" si="155"/>
        <v>5.2083333333333336E-2</v>
      </c>
      <c r="I467" s="17">
        <v>7</v>
      </c>
      <c r="J467" s="36">
        <f t="shared" si="156"/>
        <v>4.5751633986928102E-2</v>
      </c>
      <c r="K467" s="17">
        <v>8</v>
      </c>
      <c r="L467" s="36">
        <f t="shared" si="157"/>
        <v>8.3333333333333329E-2</v>
      </c>
      <c r="M467" s="17">
        <v>141</v>
      </c>
      <c r="N467" s="36">
        <f t="shared" si="147"/>
        <v>0.92156862745098034</v>
      </c>
      <c r="O467" s="17">
        <v>83</v>
      </c>
      <c r="P467" s="36">
        <f t="shared" si="158"/>
        <v>0.86458333333333337</v>
      </c>
      <c r="Q467" s="17">
        <v>7</v>
      </c>
      <c r="R467" s="36">
        <f t="shared" si="148"/>
        <v>4.5751633986928102E-2</v>
      </c>
      <c r="S467" s="17">
        <v>8</v>
      </c>
      <c r="T467" s="36">
        <f t="shared" si="159"/>
        <v>8.3333333333333329E-2</v>
      </c>
      <c r="U467" s="17">
        <v>6</v>
      </c>
      <c r="V467" s="36">
        <f t="shared" si="149"/>
        <v>3.9215686274509803E-2</v>
      </c>
      <c r="W467" s="17">
        <v>6</v>
      </c>
      <c r="X467" s="36">
        <f t="shared" si="160"/>
        <v>6.25E-2</v>
      </c>
      <c r="Y467" s="17">
        <v>91</v>
      </c>
      <c r="Z467" s="36">
        <f t="shared" si="150"/>
        <v>0.59477124183006536</v>
      </c>
      <c r="AA467" s="17">
        <v>58</v>
      </c>
      <c r="AB467" s="36">
        <f t="shared" si="161"/>
        <v>0.60416666666666663</v>
      </c>
      <c r="AC467" s="17">
        <v>30</v>
      </c>
      <c r="AD467" s="36">
        <f t="shared" si="151"/>
        <v>0.19607843137254902</v>
      </c>
      <c r="AE467" s="17">
        <v>16</v>
      </c>
      <c r="AF467" s="36">
        <f t="shared" si="162"/>
        <v>0.16666666666666666</v>
      </c>
      <c r="AG467" s="17">
        <v>16</v>
      </c>
      <c r="AH467" s="36">
        <f t="shared" si="152"/>
        <v>0.10457516339869281</v>
      </c>
      <c r="AI467" s="17">
        <v>6</v>
      </c>
      <c r="AJ467" s="36">
        <f t="shared" si="163"/>
        <v>6.25E-2</v>
      </c>
      <c r="AK467" s="17">
        <v>3</v>
      </c>
      <c r="AL467" s="36">
        <f t="shared" si="153"/>
        <v>1.9607843137254902E-2</v>
      </c>
      <c r="AM467" s="17">
        <v>2</v>
      </c>
      <c r="AN467" s="36">
        <f t="shared" si="164"/>
        <v>2.0833333333333332E-2</v>
      </c>
      <c r="AO467" s="17">
        <v>153</v>
      </c>
      <c r="AP467" s="17">
        <v>96</v>
      </c>
    </row>
    <row r="468" spans="1:42" ht="15.75" customHeight="1" x14ac:dyDescent="0.25">
      <c r="A468" s="37">
        <v>2021</v>
      </c>
      <c r="B468" s="35">
        <v>170740</v>
      </c>
      <c r="C468" s="34" t="s">
        <v>145</v>
      </c>
      <c r="D468" s="34" t="s">
        <v>54</v>
      </c>
      <c r="E468" s="17">
        <v>15</v>
      </c>
      <c r="F468" s="36">
        <f t="shared" si="154"/>
        <v>2.0604395604395604E-2</v>
      </c>
      <c r="G468" s="17">
        <v>7</v>
      </c>
      <c r="H468" s="36">
        <f t="shared" si="155"/>
        <v>2.0527859237536656E-2</v>
      </c>
      <c r="I468" s="17">
        <v>53</v>
      </c>
      <c r="J468" s="36">
        <f t="shared" si="156"/>
        <v>7.2802197802197807E-2</v>
      </c>
      <c r="K468" s="17">
        <v>23</v>
      </c>
      <c r="L468" s="36">
        <f t="shared" si="157"/>
        <v>6.7448680351906154E-2</v>
      </c>
      <c r="M468" s="17">
        <v>660</v>
      </c>
      <c r="N468" s="36">
        <f t="shared" si="147"/>
        <v>0.90659340659340659</v>
      </c>
      <c r="O468" s="17">
        <v>311</v>
      </c>
      <c r="P468" s="36">
        <f t="shared" si="158"/>
        <v>0.91202346041055715</v>
      </c>
      <c r="Q468" s="17">
        <v>8</v>
      </c>
      <c r="R468" s="36">
        <f t="shared" si="148"/>
        <v>1.098901098901099E-2</v>
      </c>
      <c r="S468" s="17">
        <v>2</v>
      </c>
      <c r="T468" s="36">
        <f t="shared" si="159"/>
        <v>5.8651026392961877E-3</v>
      </c>
      <c r="U468" s="17">
        <v>15</v>
      </c>
      <c r="V468" s="36">
        <f t="shared" si="149"/>
        <v>2.0604395604395604E-2</v>
      </c>
      <c r="W468" s="17">
        <v>8</v>
      </c>
      <c r="X468" s="36">
        <f t="shared" si="160"/>
        <v>2.3460410557184751E-2</v>
      </c>
      <c r="Y468" s="17">
        <v>552</v>
      </c>
      <c r="Z468" s="36">
        <f t="shared" si="150"/>
        <v>0.75824175824175821</v>
      </c>
      <c r="AA468" s="17">
        <v>270</v>
      </c>
      <c r="AB468" s="36">
        <f t="shared" si="161"/>
        <v>0.7917888563049853</v>
      </c>
      <c r="AC468" s="17">
        <v>103</v>
      </c>
      <c r="AD468" s="36">
        <f t="shared" si="151"/>
        <v>0.14148351648351648</v>
      </c>
      <c r="AE468" s="17">
        <v>44</v>
      </c>
      <c r="AF468" s="36">
        <f t="shared" si="162"/>
        <v>0.12903225806451613</v>
      </c>
      <c r="AG468" s="17">
        <v>42</v>
      </c>
      <c r="AH468" s="36">
        <f t="shared" si="152"/>
        <v>5.7692307692307696E-2</v>
      </c>
      <c r="AI468" s="17">
        <v>14</v>
      </c>
      <c r="AJ468" s="36">
        <f t="shared" si="163"/>
        <v>4.1055718475073312E-2</v>
      </c>
      <c r="AK468" s="17">
        <v>8</v>
      </c>
      <c r="AL468" s="36">
        <f t="shared" si="153"/>
        <v>1.098901098901099E-2</v>
      </c>
      <c r="AM468" s="17">
        <v>3</v>
      </c>
      <c r="AN468" s="36">
        <f t="shared" si="164"/>
        <v>8.7976539589442824E-3</v>
      </c>
      <c r="AO468" s="17">
        <v>728</v>
      </c>
      <c r="AP468" s="17">
        <v>341</v>
      </c>
    </row>
    <row r="469" spans="1:42" ht="15.75" customHeight="1" x14ac:dyDescent="0.25">
      <c r="A469" s="37">
        <v>2021</v>
      </c>
      <c r="B469" s="35">
        <v>170755</v>
      </c>
      <c r="C469" s="34" t="s">
        <v>151</v>
      </c>
      <c r="D469" s="34" t="s">
        <v>55</v>
      </c>
      <c r="E469" s="17">
        <v>0</v>
      </c>
      <c r="F469" s="36">
        <f t="shared" si="154"/>
        <v>0</v>
      </c>
      <c r="G469" s="17">
        <v>0</v>
      </c>
      <c r="H469" s="36">
        <f t="shared" si="155"/>
        <v>0</v>
      </c>
      <c r="I469" s="17">
        <v>2</v>
      </c>
      <c r="J469" s="36">
        <f t="shared" si="156"/>
        <v>0.16666666666666666</v>
      </c>
      <c r="K469" s="17">
        <v>0</v>
      </c>
      <c r="L469" s="36">
        <f t="shared" si="157"/>
        <v>0</v>
      </c>
      <c r="M469" s="17">
        <v>10</v>
      </c>
      <c r="N469" s="36">
        <f t="shared" si="147"/>
        <v>0.83333333333333337</v>
      </c>
      <c r="O469" s="17">
        <v>1</v>
      </c>
      <c r="P469" s="36">
        <f t="shared" si="158"/>
        <v>1</v>
      </c>
      <c r="Q469" s="17">
        <v>0</v>
      </c>
      <c r="R469" s="36">
        <f t="shared" si="148"/>
        <v>0</v>
      </c>
      <c r="S469" s="17">
        <v>0</v>
      </c>
      <c r="T469" s="36">
        <f t="shared" si="159"/>
        <v>0</v>
      </c>
      <c r="U469" s="17">
        <v>0</v>
      </c>
      <c r="V469" s="36">
        <f t="shared" si="149"/>
        <v>0</v>
      </c>
      <c r="W469" s="17">
        <v>0</v>
      </c>
      <c r="X469" s="36">
        <f t="shared" si="160"/>
        <v>0</v>
      </c>
      <c r="Y469" s="17">
        <v>7</v>
      </c>
      <c r="Z469" s="36">
        <f t="shared" si="150"/>
        <v>0.58333333333333337</v>
      </c>
      <c r="AA469" s="17">
        <v>1</v>
      </c>
      <c r="AB469" s="36">
        <f t="shared" si="161"/>
        <v>1</v>
      </c>
      <c r="AC469" s="17">
        <v>2</v>
      </c>
      <c r="AD469" s="36">
        <f t="shared" si="151"/>
        <v>0.16666666666666666</v>
      </c>
      <c r="AE469" s="17">
        <v>0</v>
      </c>
      <c r="AF469" s="36">
        <f t="shared" si="162"/>
        <v>0</v>
      </c>
      <c r="AG469" s="17">
        <v>3</v>
      </c>
      <c r="AH469" s="36">
        <f t="shared" si="152"/>
        <v>0.25</v>
      </c>
      <c r="AI469" s="17">
        <v>0</v>
      </c>
      <c r="AJ469" s="36">
        <f t="shared" si="163"/>
        <v>0</v>
      </c>
      <c r="AK469" s="17">
        <v>0</v>
      </c>
      <c r="AL469" s="36">
        <f t="shared" si="153"/>
        <v>0</v>
      </c>
      <c r="AM469" s="17">
        <v>0</v>
      </c>
      <c r="AN469" s="36">
        <f t="shared" si="164"/>
        <v>0</v>
      </c>
      <c r="AO469" s="17">
        <v>12</v>
      </c>
      <c r="AP469" s="17">
        <v>1</v>
      </c>
    </row>
    <row r="470" spans="1:42" ht="15.75" customHeight="1" x14ac:dyDescent="0.25">
      <c r="A470" s="37">
        <v>2021</v>
      </c>
      <c r="B470" s="35">
        <v>170765</v>
      </c>
      <c r="C470" s="34" t="s">
        <v>146</v>
      </c>
      <c r="D470" s="34" t="s">
        <v>56</v>
      </c>
      <c r="E470" s="17">
        <v>1</v>
      </c>
      <c r="F470" s="36">
        <f t="shared" si="154"/>
        <v>5.9171597633136093E-3</v>
      </c>
      <c r="G470" s="17">
        <v>1</v>
      </c>
      <c r="H470" s="36">
        <f t="shared" si="155"/>
        <v>7.6335877862595417E-3</v>
      </c>
      <c r="I470" s="17">
        <v>3</v>
      </c>
      <c r="J470" s="36">
        <f t="shared" si="156"/>
        <v>1.7751479289940829E-2</v>
      </c>
      <c r="K470" s="17">
        <v>0</v>
      </c>
      <c r="L470" s="36">
        <f t="shared" si="157"/>
        <v>0</v>
      </c>
      <c r="M470" s="17">
        <v>165</v>
      </c>
      <c r="N470" s="36">
        <f t="shared" si="147"/>
        <v>0.97633136094674555</v>
      </c>
      <c r="O470" s="17">
        <v>130</v>
      </c>
      <c r="P470" s="36">
        <f t="shared" si="158"/>
        <v>0.99236641221374045</v>
      </c>
      <c r="Q470" s="17">
        <v>6</v>
      </c>
      <c r="R470" s="36">
        <f t="shared" si="148"/>
        <v>3.5502958579881658E-2</v>
      </c>
      <c r="S470" s="17">
        <v>5</v>
      </c>
      <c r="T470" s="36">
        <f t="shared" si="159"/>
        <v>3.8167938931297711E-2</v>
      </c>
      <c r="U470" s="17">
        <v>5</v>
      </c>
      <c r="V470" s="36">
        <f t="shared" si="149"/>
        <v>2.9585798816568046E-2</v>
      </c>
      <c r="W470" s="17">
        <v>2</v>
      </c>
      <c r="X470" s="36">
        <f t="shared" si="160"/>
        <v>1.5267175572519083E-2</v>
      </c>
      <c r="Y470" s="17">
        <v>100</v>
      </c>
      <c r="Z470" s="36">
        <f t="shared" si="150"/>
        <v>0.59171597633136097</v>
      </c>
      <c r="AA470" s="17">
        <v>81</v>
      </c>
      <c r="AB470" s="36">
        <f t="shared" si="161"/>
        <v>0.61832061068702293</v>
      </c>
      <c r="AC470" s="17">
        <v>42</v>
      </c>
      <c r="AD470" s="36">
        <f t="shared" si="151"/>
        <v>0.24852071005917159</v>
      </c>
      <c r="AE470" s="17">
        <v>32</v>
      </c>
      <c r="AF470" s="36">
        <f t="shared" si="162"/>
        <v>0.24427480916030533</v>
      </c>
      <c r="AG470" s="17">
        <v>11</v>
      </c>
      <c r="AH470" s="36">
        <f t="shared" si="152"/>
        <v>6.5088757396449703E-2</v>
      </c>
      <c r="AI470" s="17">
        <v>8</v>
      </c>
      <c r="AJ470" s="36">
        <f t="shared" si="163"/>
        <v>6.1068702290076333E-2</v>
      </c>
      <c r="AK470" s="17">
        <v>5</v>
      </c>
      <c r="AL470" s="36">
        <f t="shared" si="153"/>
        <v>2.9585798816568046E-2</v>
      </c>
      <c r="AM470" s="17">
        <v>3</v>
      </c>
      <c r="AN470" s="36">
        <f t="shared" si="164"/>
        <v>2.2900763358778626E-2</v>
      </c>
      <c r="AO470" s="17">
        <v>169</v>
      </c>
      <c r="AP470" s="17">
        <v>131</v>
      </c>
    </row>
    <row r="471" spans="1:42" ht="15.75" customHeight="1" x14ac:dyDescent="0.25">
      <c r="A471" s="37">
        <v>2021</v>
      </c>
      <c r="B471" s="35">
        <v>170770</v>
      </c>
      <c r="C471" s="34" t="s">
        <v>149</v>
      </c>
      <c r="D471" s="34" t="s">
        <v>57</v>
      </c>
      <c r="E471" s="17">
        <v>17</v>
      </c>
      <c r="F471" s="36">
        <f t="shared" si="154"/>
        <v>4.4736842105263158E-2</v>
      </c>
      <c r="G471" s="17">
        <v>15</v>
      </c>
      <c r="H471" s="36">
        <f t="shared" si="155"/>
        <v>4.9342105263157895E-2</v>
      </c>
      <c r="I471" s="17">
        <v>21</v>
      </c>
      <c r="J471" s="36">
        <f t="shared" si="156"/>
        <v>5.526315789473684E-2</v>
      </c>
      <c r="K471" s="17">
        <v>17</v>
      </c>
      <c r="L471" s="36">
        <f t="shared" si="157"/>
        <v>5.5921052631578948E-2</v>
      </c>
      <c r="M471" s="17">
        <v>342</v>
      </c>
      <c r="N471" s="36">
        <f t="shared" si="147"/>
        <v>0.9</v>
      </c>
      <c r="O471" s="17">
        <v>272</v>
      </c>
      <c r="P471" s="36">
        <f t="shared" si="158"/>
        <v>0.89473684210526316</v>
      </c>
      <c r="Q471" s="17">
        <v>6</v>
      </c>
      <c r="R471" s="36">
        <f t="shared" si="148"/>
        <v>1.5789473684210527E-2</v>
      </c>
      <c r="S471" s="17">
        <v>6</v>
      </c>
      <c r="T471" s="36">
        <f t="shared" si="159"/>
        <v>1.9736842105263157E-2</v>
      </c>
      <c r="U471" s="17">
        <v>14</v>
      </c>
      <c r="V471" s="36">
        <f t="shared" si="149"/>
        <v>3.6842105263157891E-2</v>
      </c>
      <c r="W471" s="17">
        <v>12</v>
      </c>
      <c r="X471" s="36">
        <f t="shared" si="160"/>
        <v>3.9473684210526314E-2</v>
      </c>
      <c r="Y471" s="17">
        <v>250</v>
      </c>
      <c r="Z471" s="36">
        <f t="shared" si="150"/>
        <v>0.65789473684210531</v>
      </c>
      <c r="AA471" s="17">
        <v>202</v>
      </c>
      <c r="AB471" s="36">
        <f t="shared" si="161"/>
        <v>0.66447368421052633</v>
      </c>
      <c r="AC471" s="17">
        <v>63</v>
      </c>
      <c r="AD471" s="36">
        <f t="shared" si="151"/>
        <v>0.16578947368421051</v>
      </c>
      <c r="AE471" s="17">
        <v>51</v>
      </c>
      <c r="AF471" s="36">
        <f t="shared" si="162"/>
        <v>0.16776315789473684</v>
      </c>
      <c r="AG471" s="17">
        <v>35</v>
      </c>
      <c r="AH471" s="36">
        <f t="shared" si="152"/>
        <v>9.2105263157894732E-2</v>
      </c>
      <c r="AI471" s="17">
        <v>21</v>
      </c>
      <c r="AJ471" s="36">
        <f t="shared" si="163"/>
        <v>6.9078947368421059E-2</v>
      </c>
      <c r="AK471" s="17">
        <v>12</v>
      </c>
      <c r="AL471" s="36">
        <f t="shared" si="153"/>
        <v>3.1578947368421054E-2</v>
      </c>
      <c r="AM471" s="17">
        <v>12</v>
      </c>
      <c r="AN471" s="36">
        <f t="shared" si="164"/>
        <v>3.9473684210526314E-2</v>
      </c>
      <c r="AO471" s="17">
        <v>380</v>
      </c>
      <c r="AP471" s="17">
        <v>304</v>
      </c>
    </row>
    <row r="472" spans="1:42" ht="15.75" customHeight="1" x14ac:dyDescent="0.25">
      <c r="A472" s="37">
        <v>2021</v>
      </c>
      <c r="B472" s="35">
        <v>170820</v>
      </c>
      <c r="C472" s="34" t="s">
        <v>146</v>
      </c>
      <c r="D472" s="34" t="s">
        <v>58</v>
      </c>
      <c r="E472" s="17">
        <v>7</v>
      </c>
      <c r="F472" s="36">
        <f t="shared" si="154"/>
        <v>1.3618677042801557E-2</v>
      </c>
      <c r="G472" s="17">
        <v>6</v>
      </c>
      <c r="H472" s="36">
        <f t="shared" si="155"/>
        <v>1.5228426395939087E-2</v>
      </c>
      <c r="I472" s="17">
        <v>18</v>
      </c>
      <c r="J472" s="36">
        <f t="shared" si="156"/>
        <v>3.5019455252918288E-2</v>
      </c>
      <c r="K472" s="17">
        <v>12</v>
      </c>
      <c r="L472" s="36">
        <f t="shared" si="157"/>
        <v>3.0456852791878174E-2</v>
      </c>
      <c r="M472" s="17">
        <v>489</v>
      </c>
      <c r="N472" s="36">
        <f t="shared" si="147"/>
        <v>0.95136186770428011</v>
      </c>
      <c r="O472" s="17">
        <v>376</v>
      </c>
      <c r="P472" s="36">
        <f t="shared" si="158"/>
        <v>0.95431472081218272</v>
      </c>
      <c r="Q472" s="17">
        <v>10</v>
      </c>
      <c r="R472" s="36">
        <f t="shared" si="148"/>
        <v>1.9455252918287938E-2</v>
      </c>
      <c r="S472" s="17">
        <v>8</v>
      </c>
      <c r="T472" s="36">
        <f t="shared" si="159"/>
        <v>2.030456852791878E-2</v>
      </c>
      <c r="U472" s="17">
        <v>22</v>
      </c>
      <c r="V472" s="36">
        <f t="shared" si="149"/>
        <v>4.2801556420233464E-2</v>
      </c>
      <c r="W472" s="17">
        <v>17</v>
      </c>
      <c r="X472" s="36">
        <f t="shared" si="160"/>
        <v>4.3147208121827409E-2</v>
      </c>
      <c r="Y472" s="17">
        <v>318</v>
      </c>
      <c r="Z472" s="36">
        <f t="shared" si="150"/>
        <v>0.61867704280155644</v>
      </c>
      <c r="AA472" s="17">
        <v>256</v>
      </c>
      <c r="AB472" s="36">
        <f t="shared" si="161"/>
        <v>0.64974619289340096</v>
      </c>
      <c r="AC472" s="17">
        <v>98</v>
      </c>
      <c r="AD472" s="36">
        <f t="shared" si="151"/>
        <v>0.19066147859922178</v>
      </c>
      <c r="AE472" s="17">
        <v>70</v>
      </c>
      <c r="AF472" s="36">
        <f t="shared" si="162"/>
        <v>0.17766497461928935</v>
      </c>
      <c r="AG472" s="17">
        <v>54</v>
      </c>
      <c r="AH472" s="36">
        <f t="shared" si="152"/>
        <v>0.10505836575875487</v>
      </c>
      <c r="AI472" s="17">
        <v>38</v>
      </c>
      <c r="AJ472" s="36">
        <f t="shared" si="163"/>
        <v>9.6446700507614211E-2</v>
      </c>
      <c r="AK472" s="17">
        <v>14</v>
      </c>
      <c r="AL472" s="36">
        <f t="shared" si="153"/>
        <v>2.7237354085603113E-2</v>
      </c>
      <c r="AM472" s="17">
        <v>7</v>
      </c>
      <c r="AN472" s="36">
        <f t="shared" si="164"/>
        <v>1.7766497461928935E-2</v>
      </c>
      <c r="AO472" s="17">
        <v>514</v>
      </c>
      <c r="AP472" s="17">
        <v>394</v>
      </c>
    </row>
    <row r="473" spans="1:42" ht="15.75" customHeight="1" x14ac:dyDescent="0.25">
      <c r="A473" s="37">
        <v>2021</v>
      </c>
      <c r="B473" s="35">
        <v>170830</v>
      </c>
      <c r="C473" s="34" t="s">
        <v>150</v>
      </c>
      <c r="D473" s="34" t="s">
        <v>59</v>
      </c>
      <c r="E473" s="17">
        <v>1</v>
      </c>
      <c r="F473" s="36">
        <f t="shared" si="154"/>
        <v>1.020408163265306E-2</v>
      </c>
      <c r="G473" s="17">
        <v>1</v>
      </c>
      <c r="H473" s="36">
        <f t="shared" si="155"/>
        <v>1.4492753623188406E-2</v>
      </c>
      <c r="I473" s="17">
        <v>3</v>
      </c>
      <c r="J473" s="36">
        <f t="shared" si="156"/>
        <v>3.0612244897959183E-2</v>
      </c>
      <c r="K473" s="17">
        <v>3</v>
      </c>
      <c r="L473" s="36">
        <f t="shared" si="157"/>
        <v>4.3478260869565216E-2</v>
      </c>
      <c r="M473" s="17">
        <v>94</v>
      </c>
      <c r="N473" s="36">
        <f t="shared" si="147"/>
        <v>0.95918367346938771</v>
      </c>
      <c r="O473" s="17">
        <v>65</v>
      </c>
      <c r="P473" s="36">
        <f t="shared" si="158"/>
        <v>0.94202898550724634</v>
      </c>
      <c r="Q473" s="17">
        <v>1</v>
      </c>
      <c r="R473" s="36">
        <f t="shared" si="148"/>
        <v>1.020408163265306E-2</v>
      </c>
      <c r="S473" s="17">
        <v>1</v>
      </c>
      <c r="T473" s="36">
        <f t="shared" si="159"/>
        <v>1.4492753623188406E-2</v>
      </c>
      <c r="U473" s="17">
        <v>5</v>
      </c>
      <c r="V473" s="36">
        <f t="shared" si="149"/>
        <v>5.1020408163265307E-2</v>
      </c>
      <c r="W473" s="17">
        <v>4</v>
      </c>
      <c r="X473" s="36">
        <f t="shared" si="160"/>
        <v>5.7971014492753624E-2</v>
      </c>
      <c r="Y473" s="17">
        <v>60</v>
      </c>
      <c r="Z473" s="36">
        <f t="shared" si="150"/>
        <v>0.61224489795918369</v>
      </c>
      <c r="AA473" s="17">
        <v>43</v>
      </c>
      <c r="AB473" s="36">
        <f t="shared" si="161"/>
        <v>0.62318840579710144</v>
      </c>
      <c r="AC473" s="17">
        <v>17</v>
      </c>
      <c r="AD473" s="36">
        <f t="shared" si="151"/>
        <v>0.17346938775510204</v>
      </c>
      <c r="AE473" s="17">
        <v>11</v>
      </c>
      <c r="AF473" s="36">
        <f t="shared" si="162"/>
        <v>0.15942028985507245</v>
      </c>
      <c r="AG473" s="17">
        <v>12</v>
      </c>
      <c r="AH473" s="36">
        <f t="shared" si="152"/>
        <v>0.12244897959183673</v>
      </c>
      <c r="AI473" s="17">
        <v>7</v>
      </c>
      <c r="AJ473" s="36">
        <f t="shared" si="163"/>
        <v>0.10144927536231885</v>
      </c>
      <c r="AK473" s="17">
        <v>3</v>
      </c>
      <c r="AL473" s="36">
        <f t="shared" si="153"/>
        <v>3.0612244897959183E-2</v>
      </c>
      <c r="AM473" s="17">
        <v>3</v>
      </c>
      <c r="AN473" s="36">
        <f t="shared" si="164"/>
        <v>4.3478260869565216E-2</v>
      </c>
      <c r="AO473" s="17">
        <v>98</v>
      </c>
      <c r="AP473" s="17">
        <v>69</v>
      </c>
    </row>
    <row r="474" spans="1:42" ht="15.75" customHeight="1" x14ac:dyDescent="0.25">
      <c r="A474" s="37">
        <v>2021</v>
      </c>
      <c r="B474" s="35">
        <v>170900</v>
      </c>
      <c r="C474" s="34" t="s">
        <v>149</v>
      </c>
      <c r="D474" s="34" t="s">
        <v>60</v>
      </c>
      <c r="E474" s="17">
        <v>17</v>
      </c>
      <c r="F474" s="36">
        <f t="shared" si="154"/>
        <v>3.9627039627039624E-2</v>
      </c>
      <c r="G474" s="17">
        <v>13</v>
      </c>
      <c r="H474" s="36">
        <f t="shared" si="155"/>
        <v>4.0247678018575851E-2</v>
      </c>
      <c r="I474" s="17">
        <v>26</v>
      </c>
      <c r="J474" s="36">
        <f t="shared" si="156"/>
        <v>6.0606060606060608E-2</v>
      </c>
      <c r="K474" s="17">
        <v>19</v>
      </c>
      <c r="L474" s="36">
        <f t="shared" si="157"/>
        <v>5.8823529411764705E-2</v>
      </c>
      <c r="M474" s="17">
        <v>386</v>
      </c>
      <c r="N474" s="36">
        <f t="shared" si="147"/>
        <v>0.89976689976689972</v>
      </c>
      <c r="O474" s="17">
        <v>291</v>
      </c>
      <c r="P474" s="36">
        <f t="shared" si="158"/>
        <v>0.90092879256965941</v>
      </c>
      <c r="Q474" s="17">
        <v>9</v>
      </c>
      <c r="R474" s="36">
        <f t="shared" si="148"/>
        <v>2.097902097902098E-2</v>
      </c>
      <c r="S474" s="17">
        <v>8</v>
      </c>
      <c r="T474" s="36">
        <f t="shared" si="159"/>
        <v>2.4767801857585141E-2</v>
      </c>
      <c r="U474" s="17">
        <v>18</v>
      </c>
      <c r="V474" s="36">
        <f t="shared" si="149"/>
        <v>4.195804195804196E-2</v>
      </c>
      <c r="W474" s="17">
        <v>17</v>
      </c>
      <c r="X474" s="36">
        <f t="shared" si="160"/>
        <v>5.2631578947368418E-2</v>
      </c>
      <c r="Y474" s="17">
        <v>310</v>
      </c>
      <c r="Z474" s="36">
        <f t="shared" si="150"/>
        <v>0.72261072261072257</v>
      </c>
      <c r="AA474" s="17">
        <v>240</v>
      </c>
      <c r="AB474" s="36">
        <f t="shared" si="161"/>
        <v>0.74303405572755421</v>
      </c>
      <c r="AC474" s="17">
        <v>64</v>
      </c>
      <c r="AD474" s="36">
        <f t="shared" si="151"/>
        <v>0.14918414918414918</v>
      </c>
      <c r="AE474" s="17">
        <v>38</v>
      </c>
      <c r="AF474" s="36">
        <f t="shared" si="162"/>
        <v>0.11764705882352941</v>
      </c>
      <c r="AG474" s="17">
        <v>25</v>
      </c>
      <c r="AH474" s="36">
        <f t="shared" si="152"/>
        <v>5.8275058275058272E-2</v>
      </c>
      <c r="AI474" s="17">
        <v>17</v>
      </c>
      <c r="AJ474" s="36">
        <f t="shared" si="163"/>
        <v>5.2631578947368418E-2</v>
      </c>
      <c r="AK474" s="17">
        <v>3</v>
      </c>
      <c r="AL474" s="36">
        <f t="shared" si="153"/>
        <v>6.993006993006993E-3</v>
      </c>
      <c r="AM474" s="17">
        <v>3</v>
      </c>
      <c r="AN474" s="36">
        <f t="shared" si="164"/>
        <v>9.2879256965944269E-3</v>
      </c>
      <c r="AO474" s="17">
        <v>429</v>
      </c>
      <c r="AP474" s="17">
        <v>323</v>
      </c>
    </row>
    <row r="475" spans="1:42" ht="15.75" customHeight="1" x14ac:dyDescent="0.25">
      <c r="A475" s="37">
        <v>2021</v>
      </c>
      <c r="B475" s="35">
        <v>170930</v>
      </c>
      <c r="C475" s="34" t="s">
        <v>150</v>
      </c>
      <c r="D475" s="34" t="s">
        <v>61</v>
      </c>
      <c r="E475" s="17">
        <v>4</v>
      </c>
      <c r="F475" s="36">
        <f t="shared" si="154"/>
        <v>7.2332730560578659E-3</v>
      </c>
      <c r="G475" s="17">
        <v>2</v>
      </c>
      <c r="H475" s="36">
        <f t="shared" si="155"/>
        <v>9.9502487562189053E-3</v>
      </c>
      <c r="I475" s="17">
        <v>22</v>
      </c>
      <c r="J475" s="36">
        <f t="shared" si="156"/>
        <v>3.9783001808318265E-2</v>
      </c>
      <c r="K475" s="17">
        <v>5</v>
      </c>
      <c r="L475" s="36">
        <f t="shared" si="157"/>
        <v>2.4875621890547265E-2</v>
      </c>
      <c r="M475" s="17">
        <v>527</v>
      </c>
      <c r="N475" s="36">
        <f t="shared" si="147"/>
        <v>0.9529837251356239</v>
      </c>
      <c r="O475" s="17">
        <v>194</v>
      </c>
      <c r="P475" s="36">
        <f t="shared" si="158"/>
        <v>0.96517412935323388</v>
      </c>
      <c r="Q475" s="17">
        <v>5</v>
      </c>
      <c r="R475" s="36">
        <f t="shared" si="148"/>
        <v>9.0415913200723331E-3</v>
      </c>
      <c r="S475" s="17">
        <v>1</v>
      </c>
      <c r="T475" s="36">
        <f t="shared" si="159"/>
        <v>4.9751243781094526E-3</v>
      </c>
      <c r="U475" s="17">
        <v>12</v>
      </c>
      <c r="V475" s="36">
        <f t="shared" si="149"/>
        <v>2.1699819168173599E-2</v>
      </c>
      <c r="W475" s="17">
        <v>7</v>
      </c>
      <c r="X475" s="36">
        <f t="shared" si="160"/>
        <v>3.482587064676617E-2</v>
      </c>
      <c r="Y475" s="17">
        <v>368</v>
      </c>
      <c r="Z475" s="36">
        <f t="shared" si="150"/>
        <v>0.6654611211573237</v>
      </c>
      <c r="AA475" s="17">
        <v>142</v>
      </c>
      <c r="AB475" s="36">
        <f t="shared" si="161"/>
        <v>0.70646766169154229</v>
      </c>
      <c r="AC475" s="17">
        <v>93</v>
      </c>
      <c r="AD475" s="36">
        <f t="shared" si="151"/>
        <v>0.16817359855334538</v>
      </c>
      <c r="AE475" s="17">
        <v>32</v>
      </c>
      <c r="AF475" s="36">
        <f t="shared" si="162"/>
        <v>0.15920398009950248</v>
      </c>
      <c r="AG475" s="17">
        <v>61</v>
      </c>
      <c r="AH475" s="36">
        <f t="shared" si="152"/>
        <v>0.11030741410488246</v>
      </c>
      <c r="AI475" s="17">
        <v>14</v>
      </c>
      <c r="AJ475" s="36">
        <f t="shared" si="163"/>
        <v>6.965174129353234E-2</v>
      </c>
      <c r="AK475" s="17">
        <v>14</v>
      </c>
      <c r="AL475" s="36">
        <f t="shared" si="153"/>
        <v>2.5316455696202531E-2</v>
      </c>
      <c r="AM475" s="17">
        <v>5</v>
      </c>
      <c r="AN475" s="36">
        <f t="shared" si="164"/>
        <v>2.4875621890547265E-2</v>
      </c>
      <c r="AO475" s="17">
        <v>553</v>
      </c>
      <c r="AP475" s="17">
        <v>201</v>
      </c>
    </row>
    <row r="476" spans="1:42" ht="15.75" customHeight="1" x14ac:dyDescent="0.25">
      <c r="A476" s="37">
        <v>2021</v>
      </c>
      <c r="B476" s="35">
        <v>170950</v>
      </c>
      <c r="C476" s="34" t="s">
        <v>146</v>
      </c>
      <c r="D476" s="34" t="s">
        <v>62</v>
      </c>
      <c r="E476" s="17">
        <v>96</v>
      </c>
      <c r="F476" s="36">
        <f t="shared" si="154"/>
        <v>4.7808764940239043E-2</v>
      </c>
      <c r="G476" s="17">
        <v>95</v>
      </c>
      <c r="H476" s="36">
        <f t="shared" si="155"/>
        <v>6.8542568542568544E-2</v>
      </c>
      <c r="I476" s="17">
        <v>382</v>
      </c>
      <c r="J476" s="36">
        <f t="shared" si="156"/>
        <v>0.19023904382470119</v>
      </c>
      <c r="K476" s="17">
        <v>379</v>
      </c>
      <c r="L476" s="36">
        <f t="shared" si="157"/>
        <v>0.27344877344877344</v>
      </c>
      <c r="M476" s="16">
        <v>1530</v>
      </c>
      <c r="N476" s="36">
        <f t="shared" si="147"/>
        <v>0.76195219123505975</v>
      </c>
      <c r="O476" s="17">
        <v>912</v>
      </c>
      <c r="P476" s="36">
        <f t="shared" si="158"/>
        <v>0.65800865800865804</v>
      </c>
      <c r="Q476" s="17">
        <v>48</v>
      </c>
      <c r="R476" s="36">
        <f t="shared" si="148"/>
        <v>2.3904382470119521E-2</v>
      </c>
      <c r="S476" s="17">
        <v>35</v>
      </c>
      <c r="T476" s="36">
        <f t="shared" si="159"/>
        <v>2.5252525252525252E-2</v>
      </c>
      <c r="U476" s="17">
        <v>47</v>
      </c>
      <c r="V476" s="36">
        <f t="shared" si="149"/>
        <v>2.3406374501992032E-2</v>
      </c>
      <c r="W476" s="17">
        <v>25</v>
      </c>
      <c r="X476" s="36">
        <f t="shared" si="160"/>
        <v>1.8037518037518036E-2</v>
      </c>
      <c r="Y476" s="16">
        <v>1397</v>
      </c>
      <c r="Z476" s="36">
        <f t="shared" si="150"/>
        <v>0.69571713147410363</v>
      </c>
      <c r="AA476" s="16">
        <v>1033</v>
      </c>
      <c r="AB476" s="36">
        <f t="shared" si="161"/>
        <v>0.74531024531024526</v>
      </c>
      <c r="AC476" s="17">
        <v>343</v>
      </c>
      <c r="AD476" s="36">
        <f t="shared" si="151"/>
        <v>0.17081673306772907</v>
      </c>
      <c r="AE476" s="17">
        <v>223</v>
      </c>
      <c r="AF476" s="36">
        <f t="shared" si="162"/>
        <v>0.1608946608946609</v>
      </c>
      <c r="AG476" s="17">
        <v>129</v>
      </c>
      <c r="AH476" s="36">
        <f t="shared" si="152"/>
        <v>6.4243027888446214E-2</v>
      </c>
      <c r="AI476" s="17">
        <v>50</v>
      </c>
      <c r="AJ476" s="36">
        <f t="shared" si="163"/>
        <v>3.6075036075036072E-2</v>
      </c>
      <c r="AK476" s="17">
        <v>44</v>
      </c>
      <c r="AL476" s="36">
        <f t="shared" si="153"/>
        <v>2.1912350597609563E-2</v>
      </c>
      <c r="AM476" s="17">
        <v>20</v>
      </c>
      <c r="AN476" s="36">
        <f t="shared" si="164"/>
        <v>1.443001443001443E-2</v>
      </c>
      <c r="AO476" s="16">
        <v>2008</v>
      </c>
      <c r="AP476" s="16">
        <v>1386</v>
      </c>
    </row>
    <row r="477" spans="1:42" ht="15.75" customHeight="1" x14ac:dyDescent="0.25">
      <c r="A477" s="37">
        <v>2021</v>
      </c>
      <c r="B477" s="35">
        <v>170980</v>
      </c>
      <c r="C477" s="34" t="s">
        <v>151</v>
      </c>
      <c r="D477" s="34" t="s">
        <v>63</v>
      </c>
      <c r="E477" s="17">
        <v>5</v>
      </c>
      <c r="F477" s="36">
        <f t="shared" si="154"/>
        <v>3.2051282051282048E-2</v>
      </c>
      <c r="G477" s="17">
        <v>3</v>
      </c>
      <c r="H477" s="36">
        <f t="shared" si="155"/>
        <v>0.05</v>
      </c>
      <c r="I477" s="17">
        <v>3</v>
      </c>
      <c r="J477" s="36">
        <f t="shared" si="156"/>
        <v>1.9230769230769232E-2</v>
      </c>
      <c r="K477" s="17">
        <v>1</v>
      </c>
      <c r="L477" s="36">
        <f t="shared" si="157"/>
        <v>1.6666666666666666E-2</v>
      </c>
      <c r="M477" s="17">
        <v>148</v>
      </c>
      <c r="N477" s="36">
        <f t="shared" si="147"/>
        <v>0.94871794871794868</v>
      </c>
      <c r="O477" s="17">
        <v>56</v>
      </c>
      <c r="P477" s="36">
        <f t="shared" si="158"/>
        <v>0.93333333333333335</v>
      </c>
      <c r="Q477" s="17">
        <v>1</v>
      </c>
      <c r="R477" s="36">
        <f t="shared" si="148"/>
        <v>6.41025641025641E-3</v>
      </c>
      <c r="S477" s="17">
        <v>1</v>
      </c>
      <c r="T477" s="36">
        <f t="shared" si="159"/>
        <v>1.6666666666666666E-2</v>
      </c>
      <c r="U477" s="17">
        <v>5</v>
      </c>
      <c r="V477" s="36">
        <f t="shared" si="149"/>
        <v>3.2051282051282048E-2</v>
      </c>
      <c r="W477" s="17">
        <v>4</v>
      </c>
      <c r="X477" s="36">
        <f t="shared" si="160"/>
        <v>6.6666666666666666E-2</v>
      </c>
      <c r="Y477" s="17">
        <v>98</v>
      </c>
      <c r="Z477" s="36">
        <f t="shared" si="150"/>
        <v>0.62820512820512819</v>
      </c>
      <c r="AA477" s="17">
        <v>36</v>
      </c>
      <c r="AB477" s="36">
        <f t="shared" si="161"/>
        <v>0.6</v>
      </c>
      <c r="AC477" s="17">
        <v>33</v>
      </c>
      <c r="AD477" s="36">
        <f t="shared" si="151"/>
        <v>0.21153846153846154</v>
      </c>
      <c r="AE477" s="17">
        <v>11</v>
      </c>
      <c r="AF477" s="36">
        <f t="shared" si="162"/>
        <v>0.18333333333333332</v>
      </c>
      <c r="AG477" s="17">
        <v>14</v>
      </c>
      <c r="AH477" s="36">
        <f t="shared" si="152"/>
        <v>8.9743589743589744E-2</v>
      </c>
      <c r="AI477" s="17">
        <v>7</v>
      </c>
      <c r="AJ477" s="36">
        <f t="shared" si="163"/>
        <v>0.11666666666666667</v>
      </c>
      <c r="AK477" s="17">
        <v>5</v>
      </c>
      <c r="AL477" s="36">
        <f t="shared" si="153"/>
        <v>3.2051282051282048E-2</v>
      </c>
      <c r="AM477" s="17">
        <v>1</v>
      </c>
      <c r="AN477" s="36">
        <f t="shared" si="164"/>
        <v>1.6666666666666666E-2</v>
      </c>
      <c r="AO477" s="17">
        <v>156</v>
      </c>
      <c r="AP477" s="17">
        <v>60</v>
      </c>
    </row>
    <row r="478" spans="1:42" ht="15.75" customHeight="1" x14ac:dyDescent="0.25">
      <c r="A478" s="37">
        <v>2021</v>
      </c>
      <c r="B478" s="35">
        <v>171050</v>
      </c>
      <c r="C478" s="34" t="s">
        <v>150</v>
      </c>
      <c r="D478" s="34" t="s">
        <v>64</v>
      </c>
      <c r="E478" s="17">
        <v>19</v>
      </c>
      <c r="F478" s="36">
        <f t="shared" si="154"/>
        <v>6.2913907284768214E-2</v>
      </c>
      <c r="G478" s="17">
        <v>19</v>
      </c>
      <c r="H478" s="36">
        <f t="shared" si="155"/>
        <v>6.8100358422939072E-2</v>
      </c>
      <c r="I478" s="17">
        <v>21</v>
      </c>
      <c r="J478" s="36">
        <f t="shared" si="156"/>
        <v>6.9536423841059597E-2</v>
      </c>
      <c r="K478" s="17">
        <v>20</v>
      </c>
      <c r="L478" s="36">
        <f t="shared" si="157"/>
        <v>7.1684587813620068E-2</v>
      </c>
      <c r="M478" s="17">
        <v>262</v>
      </c>
      <c r="N478" s="36">
        <f t="shared" si="147"/>
        <v>0.86754966887417218</v>
      </c>
      <c r="O478" s="17">
        <v>240</v>
      </c>
      <c r="P478" s="36">
        <f t="shared" si="158"/>
        <v>0.86021505376344087</v>
      </c>
      <c r="Q478" s="17">
        <v>7</v>
      </c>
      <c r="R478" s="36">
        <f t="shared" si="148"/>
        <v>2.3178807947019868E-2</v>
      </c>
      <c r="S478" s="17">
        <v>7</v>
      </c>
      <c r="T478" s="36">
        <f t="shared" si="159"/>
        <v>2.5089605734767026E-2</v>
      </c>
      <c r="U478" s="17">
        <v>8</v>
      </c>
      <c r="V478" s="36">
        <f t="shared" si="149"/>
        <v>2.6490066225165563E-2</v>
      </c>
      <c r="W478" s="17">
        <v>8</v>
      </c>
      <c r="X478" s="36">
        <f t="shared" si="160"/>
        <v>2.8673835125448029E-2</v>
      </c>
      <c r="Y478" s="17">
        <v>168</v>
      </c>
      <c r="Z478" s="36">
        <f t="shared" si="150"/>
        <v>0.55629139072847678</v>
      </c>
      <c r="AA478" s="17">
        <v>162</v>
      </c>
      <c r="AB478" s="36">
        <f t="shared" si="161"/>
        <v>0.58064516129032262</v>
      </c>
      <c r="AC478" s="17">
        <v>90</v>
      </c>
      <c r="AD478" s="36">
        <f t="shared" si="151"/>
        <v>0.29801324503311261</v>
      </c>
      <c r="AE478" s="17">
        <v>83</v>
      </c>
      <c r="AF478" s="36">
        <f t="shared" si="162"/>
        <v>0.29749103942652327</v>
      </c>
      <c r="AG478" s="17">
        <v>21</v>
      </c>
      <c r="AH478" s="36">
        <f t="shared" si="152"/>
        <v>6.9536423841059597E-2</v>
      </c>
      <c r="AI478" s="17">
        <v>14</v>
      </c>
      <c r="AJ478" s="36">
        <f t="shared" si="163"/>
        <v>5.0179211469534052E-2</v>
      </c>
      <c r="AK478" s="17">
        <v>8</v>
      </c>
      <c r="AL478" s="36">
        <f t="shared" si="153"/>
        <v>2.6490066225165563E-2</v>
      </c>
      <c r="AM478" s="17">
        <v>5</v>
      </c>
      <c r="AN478" s="36">
        <f t="shared" si="164"/>
        <v>1.7921146953405017E-2</v>
      </c>
      <c r="AO478" s="17">
        <v>302</v>
      </c>
      <c r="AP478" s="17">
        <v>279</v>
      </c>
    </row>
    <row r="479" spans="1:42" ht="15.75" customHeight="1" x14ac:dyDescent="0.25">
      <c r="A479" s="37">
        <v>2021</v>
      </c>
      <c r="B479" s="35">
        <v>171070</v>
      </c>
      <c r="C479" s="34" t="s">
        <v>145</v>
      </c>
      <c r="D479" s="34" t="s">
        <v>65</v>
      </c>
      <c r="E479" s="17">
        <v>22</v>
      </c>
      <c r="F479" s="36">
        <f t="shared" si="154"/>
        <v>5.5555555555555552E-2</v>
      </c>
      <c r="G479" s="17">
        <v>12</v>
      </c>
      <c r="H479" s="36">
        <f t="shared" si="155"/>
        <v>5.1724137931034482E-2</v>
      </c>
      <c r="I479" s="17">
        <v>54</v>
      </c>
      <c r="J479" s="36">
        <f t="shared" si="156"/>
        <v>0.13636363636363635</v>
      </c>
      <c r="K479" s="17">
        <v>30</v>
      </c>
      <c r="L479" s="36">
        <f t="shared" si="157"/>
        <v>0.12931034482758622</v>
      </c>
      <c r="M479" s="17">
        <v>320</v>
      </c>
      <c r="N479" s="36">
        <f t="shared" si="147"/>
        <v>0.80808080808080807</v>
      </c>
      <c r="O479" s="17">
        <v>190</v>
      </c>
      <c r="P479" s="36">
        <f t="shared" si="158"/>
        <v>0.81896551724137934</v>
      </c>
      <c r="Q479" s="17">
        <v>6</v>
      </c>
      <c r="R479" s="36">
        <f t="shared" si="148"/>
        <v>1.5151515151515152E-2</v>
      </c>
      <c r="S479" s="17">
        <v>3</v>
      </c>
      <c r="T479" s="36">
        <f t="shared" si="159"/>
        <v>1.2931034482758621E-2</v>
      </c>
      <c r="U479" s="17">
        <v>21</v>
      </c>
      <c r="V479" s="36">
        <f t="shared" si="149"/>
        <v>5.3030303030303032E-2</v>
      </c>
      <c r="W479" s="17">
        <v>14</v>
      </c>
      <c r="X479" s="36">
        <f t="shared" si="160"/>
        <v>6.0344827586206899E-2</v>
      </c>
      <c r="Y479" s="17">
        <v>266</v>
      </c>
      <c r="Z479" s="36">
        <f t="shared" si="150"/>
        <v>0.67171717171717171</v>
      </c>
      <c r="AA479" s="17">
        <v>159</v>
      </c>
      <c r="AB479" s="36">
        <f t="shared" si="161"/>
        <v>0.68534482758620685</v>
      </c>
      <c r="AC479" s="17">
        <v>63</v>
      </c>
      <c r="AD479" s="36">
        <f t="shared" si="151"/>
        <v>0.15909090909090909</v>
      </c>
      <c r="AE479" s="17">
        <v>32</v>
      </c>
      <c r="AF479" s="36">
        <f t="shared" si="162"/>
        <v>0.13793103448275862</v>
      </c>
      <c r="AG479" s="17">
        <v>32</v>
      </c>
      <c r="AH479" s="36">
        <f t="shared" si="152"/>
        <v>8.0808080808080815E-2</v>
      </c>
      <c r="AI479" s="17">
        <v>20</v>
      </c>
      <c r="AJ479" s="36">
        <f t="shared" si="163"/>
        <v>8.6206896551724144E-2</v>
      </c>
      <c r="AK479" s="17">
        <v>8</v>
      </c>
      <c r="AL479" s="36">
        <f t="shared" si="153"/>
        <v>2.0202020202020204E-2</v>
      </c>
      <c r="AM479" s="17">
        <v>4</v>
      </c>
      <c r="AN479" s="36">
        <f t="shared" si="164"/>
        <v>1.7241379310344827E-2</v>
      </c>
      <c r="AO479" s="17">
        <v>396</v>
      </c>
      <c r="AP479" s="17">
        <v>232</v>
      </c>
    </row>
    <row r="480" spans="1:42" ht="15.75" customHeight="1" x14ac:dyDescent="0.25">
      <c r="A480" s="37">
        <v>2021</v>
      </c>
      <c r="B480" s="35">
        <v>171090</v>
      </c>
      <c r="C480" s="34" t="s">
        <v>150</v>
      </c>
      <c r="D480" s="34" t="s">
        <v>66</v>
      </c>
      <c r="E480" s="17">
        <v>1</v>
      </c>
      <c r="F480" s="36">
        <f t="shared" si="154"/>
        <v>7.462686567164179E-3</v>
      </c>
      <c r="G480" s="17">
        <v>1</v>
      </c>
      <c r="H480" s="36">
        <f t="shared" si="155"/>
        <v>8.5470085470085479E-3</v>
      </c>
      <c r="I480" s="17">
        <v>7</v>
      </c>
      <c r="J480" s="36">
        <f t="shared" si="156"/>
        <v>5.2238805970149252E-2</v>
      </c>
      <c r="K480" s="17">
        <v>6</v>
      </c>
      <c r="L480" s="36">
        <f t="shared" si="157"/>
        <v>5.128205128205128E-2</v>
      </c>
      <c r="M480" s="17">
        <v>126</v>
      </c>
      <c r="N480" s="36">
        <f t="shared" si="147"/>
        <v>0.94029850746268662</v>
      </c>
      <c r="O480" s="17">
        <v>110</v>
      </c>
      <c r="P480" s="36">
        <f t="shared" si="158"/>
        <v>0.94017094017094016</v>
      </c>
      <c r="Q480" s="17">
        <v>0</v>
      </c>
      <c r="R480" s="36">
        <f t="shared" si="148"/>
        <v>0</v>
      </c>
      <c r="S480" s="17">
        <v>0</v>
      </c>
      <c r="T480" s="36">
        <f t="shared" si="159"/>
        <v>0</v>
      </c>
      <c r="U480" s="17">
        <v>2</v>
      </c>
      <c r="V480" s="36">
        <f t="shared" si="149"/>
        <v>1.4925373134328358E-2</v>
      </c>
      <c r="W480" s="17">
        <v>2</v>
      </c>
      <c r="X480" s="36">
        <f t="shared" si="160"/>
        <v>1.7094017094017096E-2</v>
      </c>
      <c r="Y480" s="17">
        <v>92</v>
      </c>
      <c r="Z480" s="36">
        <f t="shared" si="150"/>
        <v>0.68656716417910446</v>
      </c>
      <c r="AA480" s="17">
        <v>81</v>
      </c>
      <c r="AB480" s="36">
        <f t="shared" si="161"/>
        <v>0.69230769230769229</v>
      </c>
      <c r="AC480" s="17">
        <v>20</v>
      </c>
      <c r="AD480" s="36">
        <f t="shared" si="151"/>
        <v>0.14925373134328357</v>
      </c>
      <c r="AE480" s="17">
        <v>17</v>
      </c>
      <c r="AF480" s="36">
        <f t="shared" si="162"/>
        <v>0.14529914529914531</v>
      </c>
      <c r="AG480" s="17">
        <v>16</v>
      </c>
      <c r="AH480" s="36">
        <f t="shared" si="152"/>
        <v>0.11940298507462686</v>
      </c>
      <c r="AI480" s="17">
        <v>15</v>
      </c>
      <c r="AJ480" s="36">
        <f t="shared" si="163"/>
        <v>0.12820512820512819</v>
      </c>
      <c r="AK480" s="17">
        <v>4</v>
      </c>
      <c r="AL480" s="36">
        <f t="shared" si="153"/>
        <v>2.9850746268656716E-2</v>
      </c>
      <c r="AM480" s="17">
        <v>2</v>
      </c>
      <c r="AN480" s="36">
        <f t="shared" si="164"/>
        <v>1.7094017094017096E-2</v>
      </c>
      <c r="AO480" s="17">
        <v>134</v>
      </c>
      <c r="AP480" s="17">
        <v>117</v>
      </c>
    </row>
    <row r="481" spans="1:42" ht="15.75" customHeight="1" x14ac:dyDescent="0.25">
      <c r="A481" s="37">
        <v>2021</v>
      </c>
      <c r="B481" s="35">
        <v>171110</v>
      </c>
      <c r="C481" s="34" t="s">
        <v>150</v>
      </c>
      <c r="D481" s="34" t="s">
        <v>67</v>
      </c>
      <c r="E481" s="17">
        <v>2</v>
      </c>
      <c r="F481" s="36">
        <f t="shared" si="154"/>
        <v>2.5974025974025976E-2</v>
      </c>
      <c r="G481" s="17">
        <v>1</v>
      </c>
      <c r="H481" s="36">
        <f t="shared" si="155"/>
        <v>2.4390243902439025E-2</v>
      </c>
      <c r="I481" s="17">
        <v>0</v>
      </c>
      <c r="J481" s="36">
        <f t="shared" si="156"/>
        <v>0</v>
      </c>
      <c r="K481" s="17">
        <v>0</v>
      </c>
      <c r="L481" s="36">
        <f t="shared" si="157"/>
        <v>0</v>
      </c>
      <c r="M481" s="17">
        <v>75</v>
      </c>
      <c r="N481" s="36">
        <f t="shared" si="147"/>
        <v>0.97402597402597402</v>
      </c>
      <c r="O481" s="17">
        <v>40</v>
      </c>
      <c r="P481" s="36">
        <f t="shared" si="158"/>
        <v>0.97560975609756095</v>
      </c>
      <c r="Q481" s="17">
        <v>2</v>
      </c>
      <c r="R481" s="36">
        <f t="shared" si="148"/>
        <v>2.5974025974025976E-2</v>
      </c>
      <c r="S481" s="17">
        <v>2</v>
      </c>
      <c r="T481" s="36">
        <f t="shared" si="159"/>
        <v>4.878048780487805E-2</v>
      </c>
      <c r="U481" s="17">
        <v>2</v>
      </c>
      <c r="V481" s="36">
        <f t="shared" si="149"/>
        <v>2.5974025974025976E-2</v>
      </c>
      <c r="W481" s="17">
        <v>1</v>
      </c>
      <c r="X481" s="36">
        <f t="shared" si="160"/>
        <v>2.4390243902439025E-2</v>
      </c>
      <c r="Y481" s="17">
        <v>53</v>
      </c>
      <c r="Z481" s="36">
        <f t="shared" si="150"/>
        <v>0.68831168831168832</v>
      </c>
      <c r="AA481" s="17">
        <v>27</v>
      </c>
      <c r="AB481" s="36">
        <f t="shared" si="161"/>
        <v>0.65853658536585369</v>
      </c>
      <c r="AC481" s="17">
        <v>17</v>
      </c>
      <c r="AD481" s="36">
        <f t="shared" si="151"/>
        <v>0.22077922077922077</v>
      </c>
      <c r="AE481" s="17">
        <v>10</v>
      </c>
      <c r="AF481" s="36">
        <f t="shared" si="162"/>
        <v>0.24390243902439024</v>
      </c>
      <c r="AG481" s="17">
        <v>3</v>
      </c>
      <c r="AH481" s="36">
        <f t="shared" si="152"/>
        <v>3.896103896103896E-2</v>
      </c>
      <c r="AI481" s="17">
        <v>1</v>
      </c>
      <c r="AJ481" s="36">
        <f t="shared" si="163"/>
        <v>2.4390243902439025E-2</v>
      </c>
      <c r="AK481" s="17">
        <v>0</v>
      </c>
      <c r="AL481" s="36">
        <f t="shared" si="153"/>
        <v>0</v>
      </c>
      <c r="AM481" s="17">
        <v>0</v>
      </c>
      <c r="AN481" s="36">
        <f t="shared" si="164"/>
        <v>0</v>
      </c>
      <c r="AO481" s="17">
        <v>77</v>
      </c>
      <c r="AP481" s="17">
        <v>41</v>
      </c>
    </row>
    <row r="482" spans="1:42" ht="15.75" customHeight="1" x14ac:dyDescent="0.25">
      <c r="A482" s="37">
        <v>2021</v>
      </c>
      <c r="B482" s="35">
        <v>171150</v>
      </c>
      <c r="C482" s="34" t="s">
        <v>146</v>
      </c>
      <c r="D482" s="34" t="s">
        <v>68</v>
      </c>
      <c r="E482" s="17">
        <v>0</v>
      </c>
      <c r="F482" s="36">
        <f t="shared" si="154"/>
        <v>0</v>
      </c>
      <c r="G482" s="17">
        <v>0</v>
      </c>
      <c r="H482" s="36">
        <f t="shared" si="155"/>
        <v>0</v>
      </c>
      <c r="I482" s="17">
        <v>8</v>
      </c>
      <c r="J482" s="36">
        <f t="shared" si="156"/>
        <v>8.6956521739130432E-2</v>
      </c>
      <c r="K482" s="17">
        <v>5</v>
      </c>
      <c r="L482" s="36">
        <f t="shared" si="157"/>
        <v>7.575757575757576E-2</v>
      </c>
      <c r="M482" s="17">
        <v>84</v>
      </c>
      <c r="N482" s="36">
        <f t="shared" si="147"/>
        <v>0.91304347826086951</v>
      </c>
      <c r="O482" s="17">
        <v>61</v>
      </c>
      <c r="P482" s="36">
        <f t="shared" si="158"/>
        <v>0.9242424242424242</v>
      </c>
      <c r="Q482" s="17">
        <v>0</v>
      </c>
      <c r="R482" s="36">
        <f t="shared" si="148"/>
        <v>0</v>
      </c>
      <c r="S482" s="17">
        <v>0</v>
      </c>
      <c r="T482" s="36">
        <f t="shared" si="159"/>
        <v>0</v>
      </c>
      <c r="U482" s="17">
        <v>5</v>
      </c>
      <c r="V482" s="36">
        <f t="shared" si="149"/>
        <v>5.434782608695652E-2</v>
      </c>
      <c r="W482" s="17">
        <v>5</v>
      </c>
      <c r="X482" s="36">
        <f t="shared" si="160"/>
        <v>7.575757575757576E-2</v>
      </c>
      <c r="Y482" s="17">
        <v>62</v>
      </c>
      <c r="Z482" s="36">
        <f t="shared" si="150"/>
        <v>0.67391304347826086</v>
      </c>
      <c r="AA482" s="17">
        <v>45</v>
      </c>
      <c r="AB482" s="36">
        <f t="shared" si="161"/>
        <v>0.68181818181818177</v>
      </c>
      <c r="AC482" s="17">
        <v>14</v>
      </c>
      <c r="AD482" s="36">
        <f t="shared" si="151"/>
        <v>0.15217391304347827</v>
      </c>
      <c r="AE482" s="17">
        <v>11</v>
      </c>
      <c r="AF482" s="36">
        <f t="shared" si="162"/>
        <v>0.16666666666666666</v>
      </c>
      <c r="AG482" s="17">
        <v>9</v>
      </c>
      <c r="AH482" s="36">
        <f t="shared" si="152"/>
        <v>9.7826086956521743E-2</v>
      </c>
      <c r="AI482" s="17">
        <v>5</v>
      </c>
      <c r="AJ482" s="36">
        <f t="shared" si="163"/>
        <v>7.575757575757576E-2</v>
      </c>
      <c r="AK482" s="17">
        <v>2</v>
      </c>
      <c r="AL482" s="36">
        <f t="shared" si="153"/>
        <v>2.1739130434782608E-2</v>
      </c>
      <c r="AM482" s="17">
        <v>0</v>
      </c>
      <c r="AN482" s="36">
        <f t="shared" si="164"/>
        <v>0</v>
      </c>
      <c r="AO482" s="17">
        <v>92</v>
      </c>
      <c r="AP482" s="17">
        <v>66</v>
      </c>
    </row>
    <row r="483" spans="1:42" ht="15.75" customHeight="1" x14ac:dyDescent="0.25">
      <c r="A483" s="37">
        <v>2021</v>
      </c>
      <c r="B483" s="35">
        <v>171180</v>
      </c>
      <c r="C483" s="34" t="s">
        <v>150</v>
      </c>
      <c r="D483" s="34" t="s">
        <v>69</v>
      </c>
      <c r="E483" s="17">
        <v>1</v>
      </c>
      <c r="F483" s="36">
        <f t="shared" si="154"/>
        <v>1.6129032258064516E-2</v>
      </c>
      <c r="G483" s="17">
        <v>1</v>
      </c>
      <c r="H483" s="36">
        <f t="shared" si="155"/>
        <v>1.7857142857142856E-2</v>
      </c>
      <c r="I483" s="17">
        <v>1</v>
      </c>
      <c r="J483" s="36">
        <f t="shared" si="156"/>
        <v>1.6129032258064516E-2</v>
      </c>
      <c r="K483" s="17">
        <v>1</v>
      </c>
      <c r="L483" s="36">
        <f t="shared" si="157"/>
        <v>1.7857142857142856E-2</v>
      </c>
      <c r="M483" s="17">
        <v>60</v>
      </c>
      <c r="N483" s="36">
        <f t="shared" si="147"/>
        <v>0.967741935483871</v>
      </c>
      <c r="O483" s="17">
        <v>54</v>
      </c>
      <c r="P483" s="36">
        <f t="shared" si="158"/>
        <v>0.9642857142857143</v>
      </c>
      <c r="Q483" s="17">
        <v>0</v>
      </c>
      <c r="R483" s="36">
        <f t="shared" si="148"/>
        <v>0</v>
      </c>
      <c r="S483" s="17">
        <v>0</v>
      </c>
      <c r="T483" s="36">
        <f t="shared" si="159"/>
        <v>0</v>
      </c>
      <c r="U483" s="17">
        <v>2</v>
      </c>
      <c r="V483" s="36">
        <f t="shared" si="149"/>
        <v>3.2258064516129031E-2</v>
      </c>
      <c r="W483" s="17">
        <v>2</v>
      </c>
      <c r="X483" s="36">
        <f t="shared" si="160"/>
        <v>3.5714285714285712E-2</v>
      </c>
      <c r="Y483" s="17">
        <v>46</v>
      </c>
      <c r="Z483" s="36">
        <f t="shared" si="150"/>
        <v>0.74193548387096775</v>
      </c>
      <c r="AA483" s="17">
        <v>39</v>
      </c>
      <c r="AB483" s="36">
        <f t="shared" si="161"/>
        <v>0.6964285714285714</v>
      </c>
      <c r="AC483" s="17">
        <v>9</v>
      </c>
      <c r="AD483" s="36">
        <f t="shared" si="151"/>
        <v>0.14516129032258066</v>
      </c>
      <c r="AE483" s="17">
        <v>10</v>
      </c>
      <c r="AF483" s="36">
        <f t="shared" si="162"/>
        <v>0.17857142857142858</v>
      </c>
      <c r="AG483" s="17">
        <v>5</v>
      </c>
      <c r="AH483" s="36">
        <f t="shared" si="152"/>
        <v>8.0645161290322578E-2</v>
      </c>
      <c r="AI483" s="17">
        <v>5</v>
      </c>
      <c r="AJ483" s="36">
        <f t="shared" si="163"/>
        <v>8.9285714285714288E-2</v>
      </c>
      <c r="AK483" s="17">
        <v>0</v>
      </c>
      <c r="AL483" s="36">
        <f t="shared" si="153"/>
        <v>0</v>
      </c>
      <c r="AM483" s="17">
        <v>0</v>
      </c>
      <c r="AN483" s="36">
        <f t="shared" si="164"/>
        <v>0</v>
      </c>
      <c r="AO483" s="17">
        <v>62</v>
      </c>
      <c r="AP483" s="17">
        <v>56</v>
      </c>
    </row>
    <row r="484" spans="1:42" ht="15.75" customHeight="1" x14ac:dyDescent="0.25">
      <c r="A484" s="37">
        <v>2021</v>
      </c>
      <c r="B484" s="35">
        <v>171190</v>
      </c>
      <c r="C484" s="34" t="s">
        <v>144</v>
      </c>
      <c r="D484" s="34" t="s">
        <v>70</v>
      </c>
      <c r="E484" s="17">
        <v>8</v>
      </c>
      <c r="F484" s="36">
        <f t="shared" si="154"/>
        <v>1.8475750577367205E-2</v>
      </c>
      <c r="G484" s="17">
        <v>8</v>
      </c>
      <c r="H484" s="36">
        <f t="shared" si="155"/>
        <v>2.0100502512562814E-2</v>
      </c>
      <c r="I484" s="17">
        <v>21</v>
      </c>
      <c r="J484" s="36">
        <f t="shared" si="156"/>
        <v>4.8498845265588918E-2</v>
      </c>
      <c r="K484" s="17">
        <v>20</v>
      </c>
      <c r="L484" s="36">
        <f t="shared" si="157"/>
        <v>5.0251256281407038E-2</v>
      </c>
      <c r="M484" s="17">
        <v>404</v>
      </c>
      <c r="N484" s="36">
        <f t="shared" si="147"/>
        <v>0.93302540415704383</v>
      </c>
      <c r="O484" s="17">
        <v>370</v>
      </c>
      <c r="P484" s="36">
        <f t="shared" si="158"/>
        <v>0.92964824120603018</v>
      </c>
      <c r="Q484" s="17">
        <v>2</v>
      </c>
      <c r="R484" s="36">
        <f t="shared" si="148"/>
        <v>4.6189376443418013E-3</v>
      </c>
      <c r="S484" s="17">
        <v>1</v>
      </c>
      <c r="T484" s="36">
        <f t="shared" si="159"/>
        <v>2.5125628140703518E-3</v>
      </c>
      <c r="U484" s="17">
        <v>4</v>
      </c>
      <c r="V484" s="36">
        <f t="shared" si="149"/>
        <v>9.2378752886836026E-3</v>
      </c>
      <c r="W484" s="17">
        <v>3</v>
      </c>
      <c r="X484" s="36">
        <f t="shared" si="160"/>
        <v>7.537688442211055E-3</v>
      </c>
      <c r="Y484" s="17">
        <v>286</v>
      </c>
      <c r="Z484" s="36">
        <f t="shared" si="150"/>
        <v>0.66050808314087761</v>
      </c>
      <c r="AA484" s="17">
        <v>266</v>
      </c>
      <c r="AB484" s="36">
        <f t="shared" si="161"/>
        <v>0.66834170854271358</v>
      </c>
      <c r="AC484" s="17">
        <v>88</v>
      </c>
      <c r="AD484" s="36">
        <f t="shared" si="151"/>
        <v>0.20323325635103925</v>
      </c>
      <c r="AE484" s="17">
        <v>81</v>
      </c>
      <c r="AF484" s="36">
        <f t="shared" si="162"/>
        <v>0.20351758793969849</v>
      </c>
      <c r="AG484" s="17">
        <v>43</v>
      </c>
      <c r="AH484" s="36">
        <f t="shared" si="152"/>
        <v>9.9307159353348731E-2</v>
      </c>
      <c r="AI484" s="17">
        <v>39</v>
      </c>
      <c r="AJ484" s="36">
        <f t="shared" si="163"/>
        <v>9.7989949748743713E-2</v>
      </c>
      <c r="AK484" s="17">
        <v>10</v>
      </c>
      <c r="AL484" s="36">
        <f t="shared" si="153"/>
        <v>2.3094688221709007E-2</v>
      </c>
      <c r="AM484" s="17">
        <v>8</v>
      </c>
      <c r="AN484" s="36">
        <f t="shared" si="164"/>
        <v>2.0100502512562814E-2</v>
      </c>
      <c r="AO484" s="17">
        <v>433</v>
      </c>
      <c r="AP484" s="17">
        <v>398</v>
      </c>
    </row>
    <row r="485" spans="1:42" ht="15.75" customHeight="1" x14ac:dyDescent="0.25">
      <c r="A485" s="37">
        <v>2021</v>
      </c>
      <c r="B485" s="35">
        <v>171195</v>
      </c>
      <c r="C485" s="34" t="s">
        <v>148</v>
      </c>
      <c r="D485" s="34" t="s">
        <v>71</v>
      </c>
      <c r="E485" s="17">
        <v>12</v>
      </c>
      <c r="F485" s="36">
        <f t="shared" si="154"/>
        <v>3.64741641337386E-2</v>
      </c>
      <c r="G485" s="17">
        <v>11</v>
      </c>
      <c r="H485" s="36">
        <f t="shared" si="155"/>
        <v>7.857142857142857E-2</v>
      </c>
      <c r="I485" s="17">
        <v>21</v>
      </c>
      <c r="J485" s="36">
        <f t="shared" si="156"/>
        <v>6.3829787234042548E-2</v>
      </c>
      <c r="K485" s="17">
        <v>10</v>
      </c>
      <c r="L485" s="36">
        <f t="shared" si="157"/>
        <v>7.1428571428571425E-2</v>
      </c>
      <c r="M485" s="17">
        <v>296</v>
      </c>
      <c r="N485" s="36">
        <f t="shared" si="147"/>
        <v>0.89969604863221886</v>
      </c>
      <c r="O485" s="17">
        <v>119</v>
      </c>
      <c r="P485" s="36">
        <f t="shared" si="158"/>
        <v>0.85</v>
      </c>
      <c r="Q485" s="17">
        <v>2</v>
      </c>
      <c r="R485" s="36">
        <f t="shared" si="148"/>
        <v>6.0790273556231003E-3</v>
      </c>
      <c r="S485" s="17">
        <v>2</v>
      </c>
      <c r="T485" s="36">
        <f t="shared" si="159"/>
        <v>1.4285714285714285E-2</v>
      </c>
      <c r="U485" s="17">
        <v>9</v>
      </c>
      <c r="V485" s="36">
        <f t="shared" si="149"/>
        <v>2.7355623100303952E-2</v>
      </c>
      <c r="W485" s="17">
        <v>5</v>
      </c>
      <c r="X485" s="36">
        <f t="shared" si="160"/>
        <v>3.5714285714285712E-2</v>
      </c>
      <c r="Y485" s="17">
        <v>216</v>
      </c>
      <c r="Z485" s="36">
        <f t="shared" si="150"/>
        <v>0.65653495440729481</v>
      </c>
      <c r="AA485" s="17">
        <v>87</v>
      </c>
      <c r="AB485" s="36">
        <f t="shared" si="161"/>
        <v>0.62142857142857144</v>
      </c>
      <c r="AC485" s="17">
        <v>66</v>
      </c>
      <c r="AD485" s="36">
        <f t="shared" si="151"/>
        <v>0.20060790273556231</v>
      </c>
      <c r="AE485" s="17">
        <v>31</v>
      </c>
      <c r="AF485" s="36">
        <f t="shared" si="162"/>
        <v>0.22142857142857142</v>
      </c>
      <c r="AG485" s="17">
        <v>20</v>
      </c>
      <c r="AH485" s="36">
        <f t="shared" si="152"/>
        <v>6.0790273556231005E-2</v>
      </c>
      <c r="AI485" s="17">
        <v>2</v>
      </c>
      <c r="AJ485" s="36">
        <f t="shared" si="163"/>
        <v>1.4285714285714285E-2</v>
      </c>
      <c r="AK485" s="17">
        <v>16</v>
      </c>
      <c r="AL485" s="36">
        <f t="shared" si="153"/>
        <v>4.8632218844984802E-2</v>
      </c>
      <c r="AM485" s="17">
        <v>13</v>
      </c>
      <c r="AN485" s="36">
        <f t="shared" si="164"/>
        <v>9.285714285714286E-2</v>
      </c>
      <c r="AO485" s="17">
        <v>329</v>
      </c>
      <c r="AP485" s="17">
        <v>140</v>
      </c>
    </row>
    <row r="486" spans="1:42" ht="15.75" customHeight="1" x14ac:dyDescent="0.25">
      <c r="A486" s="37">
        <v>2021</v>
      </c>
      <c r="B486" s="35">
        <v>171200</v>
      </c>
      <c r="C486" s="34" t="s">
        <v>148</v>
      </c>
      <c r="D486" s="34" t="s">
        <v>72</v>
      </c>
      <c r="E486" s="17">
        <v>1</v>
      </c>
      <c r="F486" s="36">
        <f t="shared" si="154"/>
        <v>2.1739130434782608E-2</v>
      </c>
      <c r="G486" s="17">
        <v>1</v>
      </c>
      <c r="H486" s="36">
        <f t="shared" si="155"/>
        <v>2.7027027027027029E-2</v>
      </c>
      <c r="I486" s="17">
        <v>2</v>
      </c>
      <c r="J486" s="36">
        <f t="shared" si="156"/>
        <v>4.3478260869565216E-2</v>
      </c>
      <c r="K486" s="17">
        <v>1</v>
      </c>
      <c r="L486" s="36">
        <f t="shared" si="157"/>
        <v>2.7027027027027029E-2</v>
      </c>
      <c r="M486" s="17">
        <v>43</v>
      </c>
      <c r="N486" s="36">
        <f t="shared" si="147"/>
        <v>0.93478260869565222</v>
      </c>
      <c r="O486" s="17">
        <v>35</v>
      </c>
      <c r="P486" s="36">
        <f t="shared" si="158"/>
        <v>0.94594594594594594</v>
      </c>
      <c r="Q486" s="17">
        <v>1</v>
      </c>
      <c r="R486" s="36">
        <f t="shared" si="148"/>
        <v>2.1739130434782608E-2</v>
      </c>
      <c r="S486" s="17">
        <v>1</v>
      </c>
      <c r="T486" s="36">
        <f t="shared" si="159"/>
        <v>2.7027027027027029E-2</v>
      </c>
      <c r="U486" s="17">
        <v>2</v>
      </c>
      <c r="V486" s="36">
        <f t="shared" si="149"/>
        <v>4.3478260869565216E-2</v>
      </c>
      <c r="W486" s="17">
        <v>2</v>
      </c>
      <c r="X486" s="36">
        <f t="shared" si="160"/>
        <v>5.4054054054054057E-2</v>
      </c>
      <c r="Y486" s="17">
        <v>30</v>
      </c>
      <c r="Z486" s="36">
        <f t="shared" si="150"/>
        <v>0.65217391304347827</v>
      </c>
      <c r="AA486" s="17">
        <v>23</v>
      </c>
      <c r="AB486" s="36">
        <f t="shared" si="161"/>
        <v>0.6216216216216216</v>
      </c>
      <c r="AC486" s="17">
        <v>10</v>
      </c>
      <c r="AD486" s="36">
        <f t="shared" si="151"/>
        <v>0.21739130434782608</v>
      </c>
      <c r="AE486" s="17">
        <v>8</v>
      </c>
      <c r="AF486" s="36">
        <f t="shared" si="162"/>
        <v>0.21621621621621623</v>
      </c>
      <c r="AG486" s="17">
        <v>3</v>
      </c>
      <c r="AH486" s="36">
        <f t="shared" si="152"/>
        <v>6.5217391304347824E-2</v>
      </c>
      <c r="AI486" s="17">
        <v>2</v>
      </c>
      <c r="AJ486" s="36">
        <f t="shared" si="163"/>
        <v>5.4054054054054057E-2</v>
      </c>
      <c r="AK486" s="17">
        <v>0</v>
      </c>
      <c r="AL486" s="36">
        <f t="shared" si="153"/>
        <v>0</v>
      </c>
      <c r="AM486" s="17">
        <v>1</v>
      </c>
      <c r="AN486" s="36">
        <f t="shared" si="164"/>
        <v>2.7027027027027029E-2</v>
      </c>
      <c r="AO486" s="17">
        <v>46</v>
      </c>
      <c r="AP486" s="17">
        <v>37</v>
      </c>
    </row>
    <row r="487" spans="1:42" ht="15.75" customHeight="1" x14ac:dyDescent="0.25">
      <c r="A487" s="37">
        <v>2021</v>
      </c>
      <c r="B487" s="35">
        <v>171215</v>
      </c>
      <c r="C487" s="34" t="s">
        <v>147</v>
      </c>
      <c r="D487" s="34" t="s">
        <v>73</v>
      </c>
      <c r="E487" s="17">
        <v>2</v>
      </c>
      <c r="F487" s="36">
        <f t="shared" si="154"/>
        <v>1.6129032258064516E-2</v>
      </c>
      <c r="G487" s="17">
        <v>0</v>
      </c>
      <c r="H487" s="36">
        <f t="shared" si="155"/>
        <v>0</v>
      </c>
      <c r="I487" s="17">
        <v>8</v>
      </c>
      <c r="J487" s="36">
        <f t="shared" si="156"/>
        <v>6.4516129032258063E-2</v>
      </c>
      <c r="K487" s="17">
        <v>4</v>
      </c>
      <c r="L487" s="36">
        <f t="shared" si="157"/>
        <v>8.1632653061224483E-2</v>
      </c>
      <c r="M487" s="17">
        <v>114</v>
      </c>
      <c r="N487" s="36">
        <f t="shared" si="147"/>
        <v>0.91935483870967738</v>
      </c>
      <c r="O487" s="17">
        <v>45</v>
      </c>
      <c r="P487" s="36">
        <f t="shared" si="158"/>
        <v>0.91836734693877553</v>
      </c>
      <c r="Q487" s="17">
        <v>1</v>
      </c>
      <c r="R487" s="36">
        <f t="shared" si="148"/>
        <v>8.0645161290322578E-3</v>
      </c>
      <c r="S487" s="17">
        <v>0</v>
      </c>
      <c r="T487" s="36">
        <f t="shared" si="159"/>
        <v>0</v>
      </c>
      <c r="U487" s="17">
        <v>7</v>
      </c>
      <c r="V487" s="36">
        <f t="shared" si="149"/>
        <v>5.6451612903225805E-2</v>
      </c>
      <c r="W487" s="17">
        <v>3</v>
      </c>
      <c r="X487" s="36">
        <f t="shared" si="160"/>
        <v>6.1224489795918366E-2</v>
      </c>
      <c r="Y487" s="17">
        <v>83</v>
      </c>
      <c r="Z487" s="36">
        <f t="shared" si="150"/>
        <v>0.66935483870967738</v>
      </c>
      <c r="AA487" s="17">
        <v>36</v>
      </c>
      <c r="AB487" s="36">
        <f t="shared" si="161"/>
        <v>0.73469387755102045</v>
      </c>
      <c r="AC487" s="17">
        <v>23</v>
      </c>
      <c r="AD487" s="36">
        <f t="shared" si="151"/>
        <v>0.18548387096774194</v>
      </c>
      <c r="AE487" s="17">
        <v>8</v>
      </c>
      <c r="AF487" s="36">
        <f t="shared" si="162"/>
        <v>0.16326530612244897</v>
      </c>
      <c r="AG487" s="17">
        <v>10</v>
      </c>
      <c r="AH487" s="36">
        <f t="shared" si="152"/>
        <v>8.0645161290322578E-2</v>
      </c>
      <c r="AI487" s="17">
        <v>2</v>
      </c>
      <c r="AJ487" s="36">
        <f t="shared" si="163"/>
        <v>4.0816326530612242E-2</v>
      </c>
      <c r="AK487" s="17">
        <v>0</v>
      </c>
      <c r="AL487" s="36">
        <f t="shared" si="153"/>
        <v>0</v>
      </c>
      <c r="AM487" s="17">
        <v>0</v>
      </c>
      <c r="AN487" s="36">
        <f t="shared" si="164"/>
        <v>0</v>
      </c>
      <c r="AO487" s="17">
        <v>124</v>
      </c>
      <c r="AP487" s="17">
        <v>49</v>
      </c>
    </row>
    <row r="488" spans="1:42" ht="15.75" customHeight="1" x14ac:dyDescent="0.25">
      <c r="A488" s="37">
        <v>2021</v>
      </c>
      <c r="B488" s="35">
        <v>171240</v>
      </c>
      <c r="C488" s="34" t="s">
        <v>148</v>
      </c>
      <c r="D488" s="34" t="s">
        <v>74</v>
      </c>
      <c r="E488" s="17">
        <v>1</v>
      </c>
      <c r="F488" s="36">
        <f t="shared" si="154"/>
        <v>1.8867924528301886E-2</v>
      </c>
      <c r="G488" s="17">
        <v>1</v>
      </c>
      <c r="H488" s="36">
        <f t="shared" si="155"/>
        <v>0.02</v>
      </c>
      <c r="I488" s="17">
        <v>6</v>
      </c>
      <c r="J488" s="36">
        <f t="shared" si="156"/>
        <v>0.11320754716981132</v>
      </c>
      <c r="K488" s="17">
        <v>6</v>
      </c>
      <c r="L488" s="36">
        <f t="shared" si="157"/>
        <v>0.12</v>
      </c>
      <c r="M488" s="17">
        <v>46</v>
      </c>
      <c r="N488" s="36">
        <f t="shared" si="147"/>
        <v>0.86792452830188682</v>
      </c>
      <c r="O488" s="17">
        <v>43</v>
      </c>
      <c r="P488" s="36">
        <f t="shared" si="158"/>
        <v>0.86</v>
      </c>
      <c r="Q488" s="17">
        <v>0</v>
      </c>
      <c r="R488" s="36">
        <f t="shared" si="148"/>
        <v>0</v>
      </c>
      <c r="S488" s="17">
        <v>0</v>
      </c>
      <c r="T488" s="36">
        <f t="shared" si="159"/>
        <v>0</v>
      </c>
      <c r="U488" s="17">
        <v>1</v>
      </c>
      <c r="V488" s="36">
        <f t="shared" si="149"/>
        <v>1.8867924528301886E-2</v>
      </c>
      <c r="W488" s="17">
        <v>1</v>
      </c>
      <c r="X488" s="36">
        <f t="shared" si="160"/>
        <v>0.02</v>
      </c>
      <c r="Y488" s="17">
        <v>39</v>
      </c>
      <c r="Z488" s="36">
        <f t="shared" si="150"/>
        <v>0.73584905660377353</v>
      </c>
      <c r="AA488" s="17">
        <v>37</v>
      </c>
      <c r="AB488" s="36">
        <f t="shared" si="161"/>
        <v>0.74</v>
      </c>
      <c r="AC488" s="17">
        <v>8</v>
      </c>
      <c r="AD488" s="36">
        <f t="shared" si="151"/>
        <v>0.15094339622641509</v>
      </c>
      <c r="AE488" s="17">
        <v>7</v>
      </c>
      <c r="AF488" s="36">
        <f t="shared" si="162"/>
        <v>0.14000000000000001</v>
      </c>
      <c r="AG488" s="17">
        <v>5</v>
      </c>
      <c r="AH488" s="36">
        <f t="shared" si="152"/>
        <v>9.4339622641509441E-2</v>
      </c>
      <c r="AI488" s="17">
        <v>5</v>
      </c>
      <c r="AJ488" s="36">
        <f t="shared" si="163"/>
        <v>0.1</v>
      </c>
      <c r="AK488" s="17">
        <v>0</v>
      </c>
      <c r="AL488" s="36">
        <f t="shared" si="153"/>
        <v>0</v>
      </c>
      <c r="AM488" s="17">
        <v>0</v>
      </c>
      <c r="AN488" s="36">
        <f t="shared" si="164"/>
        <v>0</v>
      </c>
      <c r="AO488" s="17">
        <v>53</v>
      </c>
      <c r="AP488" s="17">
        <v>50</v>
      </c>
    </row>
    <row r="489" spans="1:42" ht="15.75" customHeight="1" x14ac:dyDescent="0.25">
      <c r="A489" s="37">
        <v>2021</v>
      </c>
      <c r="B489" s="35">
        <v>171245</v>
      </c>
      <c r="C489" s="34" t="s">
        <v>145</v>
      </c>
      <c r="D489" s="34" t="s">
        <v>75</v>
      </c>
      <c r="E489" s="17">
        <v>2</v>
      </c>
      <c r="F489" s="36">
        <f t="shared" si="154"/>
        <v>7.9051383399209481E-3</v>
      </c>
      <c r="G489" s="17">
        <v>0</v>
      </c>
      <c r="H489" s="36">
        <f t="shared" si="155"/>
        <v>0</v>
      </c>
      <c r="I489" s="17">
        <v>18</v>
      </c>
      <c r="J489" s="36">
        <f t="shared" si="156"/>
        <v>7.1146245059288543E-2</v>
      </c>
      <c r="K489" s="17">
        <v>9</v>
      </c>
      <c r="L489" s="36">
        <f t="shared" si="157"/>
        <v>8.7378640776699032E-2</v>
      </c>
      <c r="M489" s="17">
        <v>233</v>
      </c>
      <c r="N489" s="36">
        <f t="shared" si="147"/>
        <v>0.92094861660079053</v>
      </c>
      <c r="O489" s="17">
        <v>94</v>
      </c>
      <c r="P489" s="36">
        <f t="shared" si="158"/>
        <v>0.91262135922330101</v>
      </c>
      <c r="Q489" s="17">
        <v>3</v>
      </c>
      <c r="R489" s="36">
        <f t="shared" si="148"/>
        <v>1.1857707509881422E-2</v>
      </c>
      <c r="S489" s="17">
        <v>1</v>
      </c>
      <c r="T489" s="36">
        <f t="shared" si="159"/>
        <v>9.7087378640776691E-3</v>
      </c>
      <c r="U489" s="17">
        <v>7</v>
      </c>
      <c r="V489" s="36">
        <f t="shared" si="149"/>
        <v>2.766798418972332E-2</v>
      </c>
      <c r="W489" s="17">
        <v>1</v>
      </c>
      <c r="X489" s="36">
        <f t="shared" si="160"/>
        <v>9.7087378640776691E-3</v>
      </c>
      <c r="Y489" s="17">
        <v>173</v>
      </c>
      <c r="Z489" s="36">
        <f t="shared" si="150"/>
        <v>0.6837944664031621</v>
      </c>
      <c r="AA489" s="17">
        <v>78</v>
      </c>
      <c r="AB489" s="36">
        <f t="shared" si="161"/>
        <v>0.75728155339805825</v>
      </c>
      <c r="AC489" s="17">
        <v>48</v>
      </c>
      <c r="AD489" s="36">
        <f t="shared" si="151"/>
        <v>0.18972332015810275</v>
      </c>
      <c r="AE489" s="17">
        <v>18</v>
      </c>
      <c r="AF489" s="36">
        <f t="shared" si="162"/>
        <v>0.17475728155339806</v>
      </c>
      <c r="AG489" s="17">
        <v>19</v>
      </c>
      <c r="AH489" s="36">
        <f t="shared" si="152"/>
        <v>7.5098814229249009E-2</v>
      </c>
      <c r="AI489" s="17">
        <v>4</v>
      </c>
      <c r="AJ489" s="36">
        <f t="shared" si="163"/>
        <v>3.8834951456310676E-2</v>
      </c>
      <c r="AK489" s="17">
        <v>3</v>
      </c>
      <c r="AL489" s="36">
        <f t="shared" si="153"/>
        <v>1.1857707509881422E-2</v>
      </c>
      <c r="AM489" s="17">
        <v>1</v>
      </c>
      <c r="AN489" s="36">
        <f t="shared" si="164"/>
        <v>9.7087378640776691E-3</v>
      </c>
      <c r="AO489" s="17">
        <v>253</v>
      </c>
      <c r="AP489" s="17">
        <v>103</v>
      </c>
    </row>
    <row r="490" spans="1:42" ht="15.75" customHeight="1" x14ac:dyDescent="0.25">
      <c r="A490" s="37">
        <v>2021</v>
      </c>
      <c r="B490" s="35">
        <v>171250</v>
      </c>
      <c r="C490" s="34" t="s">
        <v>144</v>
      </c>
      <c r="D490" s="34" t="s">
        <v>76</v>
      </c>
      <c r="E490" s="17">
        <v>2</v>
      </c>
      <c r="F490" s="36">
        <f t="shared" si="154"/>
        <v>8.0971659919028341E-3</v>
      </c>
      <c r="G490" s="17">
        <v>2</v>
      </c>
      <c r="H490" s="36">
        <f t="shared" si="155"/>
        <v>1.7857142857142856E-2</v>
      </c>
      <c r="I490" s="17">
        <v>8</v>
      </c>
      <c r="J490" s="36">
        <f t="shared" si="156"/>
        <v>3.2388663967611336E-2</v>
      </c>
      <c r="K490" s="17">
        <v>4</v>
      </c>
      <c r="L490" s="36">
        <f t="shared" si="157"/>
        <v>3.5714285714285712E-2</v>
      </c>
      <c r="M490" s="17">
        <v>237</v>
      </c>
      <c r="N490" s="36">
        <f t="shared" si="147"/>
        <v>0.95951417004048578</v>
      </c>
      <c r="O490" s="17">
        <v>106</v>
      </c>
      <c r="P490" s="36">
        <f t="shared" si="158"/>
        <v>0.9464285714285714</v>
      </c>
      <c r="Q490" s="17">
        <v>4</v>
      </c>
      <c r="R490" s="36">
        <f t="shared" si="148"/>
        <v>1.6194331983805668E-2</v>
      </c>
      <c r="S490" s="17">
        <v>3</v>
      </c>
      <c r="T490" s="36">
        <f t="shared" si="159"/>
        <v>2.6785714285714284E-2</v>
      </c>
      <c r="U490" s="17">
        <v>4</v>
      </c>
      <c r="V490" s="36">
        <f t="shared" si="149"/>
        <v>1.6194331983805668E-2</v>
      </c>
      <c r="W490" s="17">
        <v>1</v>
      </c>
      <c r="X490" s="36">
        <f t="shared" si="160"/>
        <v>8.9285714285714281E-3</v>
      </c>
      <c r="Y490" s="17">
        <v>161</v>
      </c>
      <c r="Z490" s="36">
        <f t="shared" si="150"/>
        <v>0.65182186234817818</v>
      </c>
      <c r="AA490" s="17">
        <v>75</v>
      </c>
      <c r="AB490" s="36">
        <f t="shared" si="161"/>
        <v>0.6696428571428571</v>
      </c>
      <c r="AC490" s="17">
        <v>46</v>
      </c>
      <c r="AD490" s="36">
        <f t="shared" si="151"/>
        <v>0.18623481781376519</v>
      </c>
      <c r="AE490" s="17">
        <v>22</v>
      </c>
      <c r="AF490" s="36">
        <f t="shared" si="162"/>
        <v>0.19642857142857142</v>
      </c>
      <c r="AG490" s="17">
        <v>26</v>
      </c>
      <c r="AH490" s="36">
        <f t="shared" si="152"/>
        <v>0.10526315789473684</v>
      </c>
      <c r="AI490" s="17">
        <v>11</v>
      </c>
      <c r="AJ490" s="36">
        <f t="shared" si="163"/>
        <v>9.8214285714285712E-2</v>
      </c>
      <c r="AK490" s="17">
        <v>6</v>
      </c>
      <c r="AL490" s="36">
        <f t="shared" si="153"/>
        <v>2.4291497975708502E-2</v>
      </c>
      <c r="AM490" s="17">
        <v>0</v>
      </c>
      <c r="AN490" s="36">
        <f t="shared" si="164"/>
        <v>0</v>
      </c>
      <c r="AO490" s="17">
        <v>247</v>
      </c>
      <c r="AP490" s="17">
        <v>112</v>
      </c>
    </row>
    <row r="491" spans="1:42" ht="15.75" customHeight="1" x14ac:dyDescent="0.25">
      <c r="A491" s="37">
        <v>2021</v>
      </c>
      <c r="B491" s="35">
        <v>171270</v>
      </c>
      <c r="C491" s="34" t="s">
        <v>151</v>
      </c>
      <c r="D491" s="34" t="s">
        <v>77</v>
      </c>
      <c r="E491" s="17">
        <v>7</v>
      </c>
      <c r="F491" s="36">
        <f t="shared" si="154"/>
        <v>3.5175879396984924E-2</v>
      </c>
      <c r="G491" s="17">
        <v>6</v>
      </c>
      <c r="H491" s="36">
        <f t="shared" si="155"/>
        <v>4.8000000000000001E-2</v>
      </c>
      <c r="I491" s="17">
        <v>9</v>
      </c>
      <c r="J491" s="36">
        <f t="shared" si="156"/>
        <v>4.5226130653266333E-2</v>
      </c>
      <c r="K491" s="17">
        <v>9</v>
      </c>
      <c r="L491" s="36">
        <f t="shared" si="157"/>
        <v>7.1999999999999995E-2</v>
      </c>
      <c r="M491" s="17">
        <v>183</v>
      </c>
      <c r="N491" s="36">
        <f t="shared" si="147"/>
        <v>0.91959798994974873</v>
      </c>
      <c r="O491" s="17">
        <v>110</v>
      </c>
      <c r="P491" s="36">
        <f t="shared" si="158"/>
        <v>0.88</v>
      </c>
      <c r="Q491" s="17">
        <v>3</v>
      </c>
      <c r="R491" s="36">
        <f t="shared" si="148"/>
        <v>1.507537688442211E-2</v>
      </c>
      <c r="S491" s="17">
        <v>3</v>
      </c>
      <c r="T491" s="36">
        <f t="shared" si="159"/>
        <v>2.4E-2</v>
      </c>
      <c r="U491" s="17">
        <v>7</v>
      </c>
      <c r="V491" s="36">
        <f t="shared" si="149"/>
        <v>3.5175879396984924E-2</v>
      </c>
      <c r="W491" s="17">
        <v>7</v>
      </c>
      <c r="X491" s="36">
        <f t="shared" si="160"/>
        <v>5.6000000000000001E-2</v>
      </c>
      <c r="Y491" s="17">
        <v>134</v>
      </c>
      <c r="Z491" s="36">
        <f t="shared" si="150"/>
        <v>0.6733668341708543</v>
      </c>
      <c r="AA491" s="17">
        <v>88</v>
      </c>
      <c r="AB491" s="36">
        <f t="shared" si="161"/>
        <v>0.70399999999999996</v>
      </c>
      <c r="AC491" s="17">
        <v>35</v>
      </c>
      <c r="AD491" s="36">
        <f t="shared" si="151"/>
        <v>0.17587939698492464</v>
      </c>
      <c r="AE491" s="17">
        <v>16</v>
      </c>
      <c r="AF491" s="36">
        <f t="shared" si="162"/>
        <v>0.128</v>
      </c>
      <c r="AG491" s="17">
        <v>19</v>
      </c>
      <c r="AH491" s="36">
        <f t="shared" si="152"/>
        <v>9.5477386934673364E-2</v>
      </c>
      <c r="AI491" s="17">
        <v>10</v>
      </c>
      <c r="AJ491" s="36">
        <f t="shared" si="163"/>
        <v>0.08</v>
      </c>
      <c r="AK491" s="17">
        <v>1</v>
      </c>
      <c r="AL491" s="36">
        <f t="shared" si="153"/>
        <v>5.0251256281407036E-3</v>
      </c>
      <c r="AM491" s="17">
        <v>1</v>
      </c>
      <c r="AN491" s="36">
        <f t="shared" si="164"/>
        <v>8.0000000000000002E-3</v>
      </c>
      <c r="AO491" s="17">
        <v>199</v>
      </c>
      <c r="AP491" s="17">
        <v>125</v>
      </c>
    </row>
    <row r="492" spans="1:42" ht="15.75" customHeight="1" x14ac:dyDescent="0.25">
      <c r="A492" s="37">
        <v>2021</v>
      </c>
      <c r="B492" s="35">
        <v>171280</v>
      </c>
      <c r="C492" s="34" t="s">
        <v>145</v>
      </c>
      <c r="D492" s="34" t="s">
        <v>78</v>
      </c>
      <c r="E492" s="17">
        <v>3</v>
      </c>
      <c r="F492" s="36">
        <f t="shared" si="154"/>
        <v>1.5957446808510637E-2</v>
      </c>
      <c r="G492" s="17">
        <v>2</v>
      </c>
      <c r="H492" s="36">
        <f t="shared" si="155"/>
        <v>2.5974025974025976E-2</v>
      </c>
      <c r="I492" s="17">
        <v>11</v>
      </c>
      <c r="J492" s="36">
        <f t="shared" si="156"/>
        <v>5.8510638297872342E-2</v>
      </c>
      <c r="K492" s="17">
        <v>5</v>
      </c>
      <c r="L492" s="36">
        <f t="shared" si="157"/>
        <v>6.4935064935064929E-2</v>
      </c>
      <c r="M492" s="17">
        <v>174</v>
      </c>
      <c r="N492" s="36">
        <f t="shared" si="147"/>
        <v>0.92553191489361697</v>
      </c>
      <c r="O492" s="17">
        <v>70</v>
      </c>
      <c r="P492" s="36">
        <f t="shared" si="158"/>
        <v>0.90909090909090906</v>
      </c>
      <c r="Q492" s="17">
        <v>4</v>
      </c>
      <c r="R492" s="36">
        <f t="shared" si="148"/>
        <v>2.1276595744680851E-2</v>
      </c>
      <c r="S492" s="17">
        <v>2</v>
      </c>
      <c r="T492" s="36">
        <f t="shared" si="159"/>
        <v>2.5974025974025976E-2</v>
      </c>
      <c r="U492" s="17">
        <v>7</v>
      </c>
      <c r="V492" s="36">
        <f t="shared" si="149"/>
        <v>3.7234042553191488E-2</v>
      </c>
      <c r="W492" s="17">
        <v>1</v>
      </c>
      <c r="X492" s="36">
        <f t="shared" si="160"/>
        <v>1.2987012987012988E-2</v>
      </c>
      <c r="Y492" s="17">
        <v>119</v>
      </c>
      <c r="Z492" s="36">
        <f t="shared" si="150"/>
        <v>0.63297872340425532</v>
      </c>
      <c r="AA492" s="17">
        <v>47</v>
      </c>
      <c r="AB492" s="36">
        <f t="shared" si="161"/>
        <v>0.61038961038961037</v>
      </c>
      <c r="AC492" s="17">
        <v>44</v>
      </c>
      <c r="AD492" s="36">
        <f t="shared" si="151"/>
        <v>0.23404255319148937</v>
      </c>
      <c r="AE492" s="17">
        <v>22</v>
      </c>
      <c r="AF492" s="36">
        <f t="shared" si="162"/>
        <v>0.2857142857142857</v>
      </c>
      <c r="AG492" s="17">
        <v>13</v>
      </c>
      <c r="AH492" s="36">
        <f t="shared" si="152"/>
        <v>6.9148936170212769E-2</v>
      </c>
      <c r="AI492" s="17">
        <v>4</v>
      </c>
      <c r="AJ492" s="36">
        <f t="shared" si="163"/>
        <v>5.1948051948051951E-2</v>
      </c>
      <c r="AK492" s="17">
        <v>1</v>
      </c>
      <c r="AL492" s="36">
        <f t="shared" si="153"/>
        <v>5.3191489361702126E-3</v>
      </c>
      <c r="AM492" s="17">
        <v>1</v>
      </c>
      <c r="AN492" s="36">
        <f t="shared" si="164"/>
        <v>1.2987012987012988E-2</v>
      </c>
      <c r="AO492" s="17">
        <v>188</v>
      </c>
      <c r="AP492" s="17">
        <v>77</v>
      </c>
    </row>
    <row r="493" spans="1:42" ht="15.75" customHeight="1" x14ac:dyDescent="0.25">
      <c r="A493" s="37">
        <v>2021</v>
      </c>
      <c r="B493" s="35">
        <v>171320</v>
      </c>
      <c r="C493" s="34" t="s">
        <v>148</v>
      </c>
      <c r="D493" s="34" t="s">
        <v>79</v>
      </c>
      <c r="E493" s="17">
        <v>40</v>
      </c>
      <c r="F493" s="36">
        <f t="shared" si="154"/>
        <v>3.7986704653371318E-2</v>
      </c>
      <c r="G493" s="17">
        <v>11</v>
      </c>
      <c r="H493" s="36">
        <f t="shared" si="155"/>
        <v>2.9255319148936171E-2</v>
      </c>
      <c r="I493" s="17">
        <v>68</v>
      </c>
      <c r="J493" s="36">
        <f t="shared" si="156"/>
        <v>6.4577397910731249E-2</v>
      </c>
      <c r="K493" s="17">
        <v>26</v>
      </c>
      <c r="L493" s="36">
        <f t="shared" si="157"/>
        <v>6.9148936170212769E-2</v>
      </c>
      <c r="M493" s="17">
        <v>945</v>
      </c>
      <c r="N493" s="36">
        <f t="shared" si="147"/>
        <v>0.89743589743589747</v>
      </c>
      <c r="O493" s="17">
        <v>339</v>
      </c>
      <c r="P493" s="36">
        <f t="shared" si="158"/>
        <v>0.90159574468085102</v>
      </c>
      <c r="Q493" s="17">
        <v>9</v>
      </c>
      <c r="R493" s="36">
        <f t="shared" si="148"/>
        <v>8.5470085470085479E-3</v>
      </c>
      <c r="S493" s="17">
        <v>3</v>
      </c>
      <c r="T493" s="36">
        <f t="shared" si="159"/>
        <v>7.9787234042553185E-3</v>
      </c>
      <c r="U493" s="17">
        <v>34</v>
      </c>
      <c r="V493" s="36">
        <f t="shared" si="149"/>
        <v>3.2288698955365625E-2</v>
      </c>
      <c r="W493" s="17">
        <v>15</v>
      </c>
      <c r="X493" s="36">
        <f t="shared" si="160"/>
        <v>3.9893617021276598E-2</v>
      </c>
      <c r="Y493" s="17">
        <v>718</v>
      </c>
      <c r="Z493" s="36">
        <f t="shared" si="150"/>
        <v>0.68186134852801517</v>
      </c>
      <c r="AA493" s="17">
        <v>267</v>
      </c>
      <c r="AB493" s="36">
        <f t="shared" si="161"/>
        <v>0.71010638297872342</v>
      </c>
      <c r="AC493" s="17">
        <v>191</v>
      </c>
      <c r="AD493" s="36">
        <f t="shared" si="151"/>
        <v>0.18138651471984804</v>
      </c>
      <c r="AE493" s="17">
        <v>65</v>
      </c>
      <c r="AF493" s="36">
        <f t="shared" si="162"/>
        <v>0.17287234042553193</v>
      </c>
      <c r="AG493" s="17">
        <v>87</v>
      </c>
      <c r="AH493" s="36">
        <f t="shared" si="152"/>
        <v>8.2621082621082614E-2</v>
      </c>
      <c r="AI493" s="17">
        <v>22</v>
      </c>
      <c r="AJ493" s="36">
        <f t="shared" si="163"/>
        <v>5.8510638297872342E-2</v>
      </c>
      <c r="AK493" s="17">
        <v>14</v>
      </c>
      <c r="AL493" s="36">
        <f t="shared" si="153"/>
        <v>1.3295346628679962E-2</v>
      </c>
      <c r="AM493" s="17">
        <v>4</v>
      </c>
      <c r="AN493" s="36">
        <f t="shared" si="164"/>
        <v>1.0638297872340425E-2</v>
      </c>
      <c r="AO493" s="16">
        <v>1053</v>
      </c>
      <c r="AP493" s="17">
        <v>376</v>
      </c>
    </row>
    <row r="494" spans="1:42" ht="15.75" customHeight="1" x14ac:dyDescent="0.25">
      <c r="A494" s="37">
        <v>2021</v>
      </c>
      <c r="B494" s="35">
        <v>171330</v>
      </c>
      <c r="C494" s="34" t="s">
        <v>148</v>
      </c>
      <c r="D494" s="34" t="s">
        <v>80</v>
      </c>
      <c r="E494" s="17">
        <v>5</v>
      </c>
      <c r="F494" s="36">
        <f t="shared" si="154"/>
        <v>1.2919896640826873E-2</v>
      </c>
      <c r="G494" s="17">
        <v>3</v>
      </c>
      <c r="H494" s="36">
        <f t="shared" si="155"/>
        <v>1.6853932584269662E-2</v>
      </c>
      <c r="I494" s="17">
        <v>13</v>
      </c>
      <c r="J494" s="36">
        <f t="shared" si="156"/>
        <v>3.3591731266149873E-2</v>
      </c>
      <c r="K494" s="17">
        <v>6</v>
      </c>
      <c r="L494" s="36">
        <f t="shared" si="157"/>
        <v>3.3707865168539325E-2</v>
      </c>
      <c r="M494" s="17">
        <v>369</v>
      </c>
      <c r="N494" s="36">
        <f t="shared" si="147"/>
        <v>0.95348837209302328</v>
      </c>
      <c r="O494" s="17">
        <v>169</v>
      </c>
      <c r="P494" s="36">
        <f t="shared" si="158"/>
        <v>0.949438202247191</v>
      </c>
      <c r="Q494" s="17">
        <v>3</v>
      </c>
      <c r="R494" s="36">
        <f t="shared" si="148"/>
        <v>7.7519379844961239E-3</v>
      </c>
      <c r="S494" s="17">
        <v>3</v>
      </c>
      <c r="T494" s="36">
        <f t="shared" si="159"/>
        <v>1.6853932584269662E-2</v>
      </c>
      <c r="U494" s="17">
        <v>7</v>
      </c>
      <c r="V494" s="36">
        <f t="shared" si="149"/>
        <v>1.8087855297157621E-2</v>
      </c>
      <c r="W494" s="17">
        <v>3</v>
      </c>
      <c r="X494" s="36">
        <f t="shared" si="160"/>
        <v>1.6853932584269662E-2</v>
      </c>
      <c r="Y494" s="17">
        <v>250</v>
      </c>
      <c r="Z494" s="36">
        <f t="shared" si="150"/>
        <v>0.64599483204134367</v>
      </c>
      <c r="AA494" s="17">
        <v>118</v>
      </c>
      <c r="AB494" s="36">
        <f t="shared" si="161"/>
        <v>0.6629213483146067</v>
      </c>
      <c r="AC494" s="17">
        <v>72</v>
      </c>
      <c r="AD494" s="36">
        <f t="shared" si="151"/>
        <v>0.18604651162790697</v>
      </c>
      <c r="AE494" s="17">
        <v>37</v>
      </c>
      <c r="AF494" s="36">
        <f t="shared" si="162"/>
        <v>0.20786516853932585</v>
      </c>
      <c r="AG494" s="17">
        <v>43</v>
      </c>
      <c r="AH494" s="36">
        <f t="shared" si="152"/>
        <v>0.1111111111111111</v>
      </c>
      <c r="AI494" s="17">
        <v>13</v>
      </c>
      <c r="AJ494" s="36">
        <f t="shared" si="163"/>
        <v>7.3033707865168537E-2</v>
      </c>
      <c r="AK494" s="17">
        <v>12</v>
      </c>
      <c r="AL494" s="36">
        <f t="shared" si="153"/>
        <v>3.1007751937984496E-2</v>
      </c>
      <c r="AM494" s="17">
        <v>4</v>
      </c>
      <c r="AN494" s="36">
        <f t="shared" si="164"/>
        <v>2.247191011235955E-2</v>
      </c>
      <c r="AO494" s="17">
        <v>387</v>
      </c>
      <c r="AP494" s="17">
        <v>178</v>
      </c>
    </row>
    <row r="495" spans="1:42" ht="15.75" customHeight="1" x14ac:dyDescent="0.25">
      <c r="A495" s="37">
        <v>2021</v>
      </c>
      <c r="B495" s="35">
        <v>171360</v>
      </c>
      <c r="C495" s="34" t="s">
        <v>151</v>
      </c>
      <c r="D495" s="34" t="s">
        <v>81</v>
      </c>
      <c r="E495" s="17">
        <v>3</v>
      </c>
      <c r="F495" s="36">
        <f t="shared" si="154"/>
        <v>1.6666666666666666E-2</v>
      </c>
      <c r="G495" s="17">
        <v>1</v>
      </c>
      <c r="H495" s="36">
        <f t="shared" si="155"/>
        <v>0.1111111111111111</v>
      </c>
      <c r="I495" s="17">
        <v>3</v>
      </c>
      <c r="J495" s="36">
        <f t="shared" si="156"/>
        <v>1.6666666666666666E-2</v>
      </c>
      <c r="K495" s="17">
        <v>1</v>
      </c>
      <c r="L495" s="36">
        <f t="shared" si="157"/>
        <v>0.1111111111111111</v>
      </c>
      <c r="M495" s="17">
        <v>174</v>
      </c>
      <c r="N495" s="36">
        <f t="shared" si="147"/>
        <v>0.96666666666666667</v>
      </c>
      <c r="O495" s="17">
        <v>7</v>
      </c>
      <c r="P495" s="36">
        <f t="shared" si="158"/>
        <v>0.77777777777777779</v>
      </c>
      <c r="Q495" s="17">
        <v>1</v>
      </c>
      <c r="R495" s="36">
        <f t="shared" si="148"/>
        <v>5.5555555555555558E-3</v>
      </c>
      <c r="S495" s="17">
        <v>0</v>
      </c>
      <c r="T495" s="36">
        <f t="shared" si="159"/>
        <v>0</v>
      </c>
      <c r="U495" s="17">
        <v>7</v>
      </c>
      <c r="V495" s="36">
        <f t="shared" si="149"/>
        <v>3.888888888888889E-2</v>
      </c>
      <c r="W495" s="17">
        <v>1</v>
      </c>
      <c r="X495" s="36">
        <f t="shared" si="160"/>
        <v>0.1111111111111111</v>
      </c>
      <c r="Y495" s="17">
        <v>129</v>
      </c>
      <c r="Z495" s="36">
        <f t="shared" si="150"/>
        <v>0.71666666666666667</v>
      </c>
      <c r="AA495" s="17">
        <v>5</v>
      </c>
      <c r="AB495" s="36">
        <f t="shared" si="161"/>
        <v>0.55555555555555558</v>
      </c>
      <c r="AC495" s="17">
        <v>23</v>
      </c>
      <c r="AD495" s="36">
        <f t="shared" si="151"/>
        <v>0.12777777777777777</v>
      </c>
      <c r="AE495" s="17">
        <v>2</v>
      </c>
      <c r="AF495" s="36">
        <f t="shared" si="162"/>
        <v>0.22222222222222221</v>
      </c>
      <c r="AG495" s="17">
        <v>17</v>
      </c>
      <c r="AH495" s="36">
        <f t="shared" si="152"/>
        <v>9.4444444444444442E-2</v>
      </c>
      <c r="AI495" s="17">
        <v>0</v>
      </c>
      <c r="AJ495" s="36">
        <f t="shared" si="163"/>
        <v>0</v>
      </c>
      <c r="AK495" s="17">
        <v>3</v>
      </c>
      <c r="AL495" s="36">
        <f t="shared" si="153"/>
        <v>1.6666666666666666E-2</v>
      </c>
      <c r="AM495" s="17">
        <v>1</v>
      </c>
      <c r="AN495" s="36">
        <f t="shared" si="164"/>
        <v>0.1111111111111111</v>
      </c>
      <c r="AO495" s="17">
        <v>180</v>
      </c>
      <c r="AP495" s="17">
        <v>9</v>
      </c>
    </row>
    <row r="496" spans="1:42" ht="15.75" customHeight="1" x14ac:dyDescent="0.25">
      <c r="A496" s="37">
        <v>2021</v>
      </c>
      <c r="B496" s="35">
        <v>171370</v>
      </c>
      <c r="C496" s="34" t="s">
        <v>144</v>
      </c>
      <c r="D496" s="34" t="s">
        <v>82</v>
      </c>
      <c r="E496" s="17">
        <v>1</v>
      </c>
      <c r="F496" s="36">
        <f t="shared" si="154"/>
        <v>1.8867924528301886E-2</v>
      </c>
      <c r="G496" s="17">
        <v>1</v>
      </c>
      <c r="H496" s="36">
        <f t="shared" si="155"/>
        <v>1.9230769230769232E-2</v>
      </c>
      <c r="I496" s="17">
        <v>0</v>
      </c>
      <c r="J496" s="36">
        <f t="shared" si="156"/>
        <v>0</v>
      </c>
      <c r="K496" s="17">
        <v>0</v>
      </c>
      <c r="L496" s="36">
        <f t="shared" si="157"/>
        <v>0</v>
      </c>
      <c r="M496" s="17">
        <v>52</v>
      </c>
      <c r="N496" s="36">
        <f t="shared" si="147"/>
        <v>0.98113207547169812</v>
      </c>
      <c r="O496" s="17">
        <v>51</v>
      </c>
      <c r="P496" s="36">
        <f t="shared" si="158"/>
        <v>0.98076923076923073</v>
      </c>
      <c r="Q496" s="17">
        <v>2</v>
      </c>
      <c r="R496" s="36">
        <f t="shared" si="148"/>
        <v>3.7735849056603772E-2</v>
      </c>
      <c r="S496" s="17">
        <v>2</v>
      </c>
      <c r="T496" s="36">
        <f t="shared" si="159"/>
        <v>3.8461538461538464E-2</v>
      </c>
      <c r="U496" s="17">
        <v>4</v>
      </c>
      <c r="V496" s="36">
        <f t="shared" si="149"/>
        <v>7.5471698113207544E-2</v>
      </c>
      <c r="W496" s="17">
        <v>4</v>
      </c>
      <c r="X496" s="36">
        <f t="shared" si="160"/>
        <v>7.6923076923076927E-2</v>
      </c>
      <c r="Y496" s="17">
        <v>34</v>
      </c>
      <c r="Z496" s="36">
        <f t="shared" si="150"/>
        <v>0.64150943396226412</v>
      </c>
      <c r="AA496" s="17">
        <v>33</v>
      </c>
      <c r="AB496" s="36">
        <f t="shared" si="161"/>
        <v>0.63461538461538458</v>
      </c>
      <c r="AC496" s="17">
        <v>5</v>
      </c>
      <c r="AD496" s="36">
        <f t="shared" si="151"/>
        <v>9.4339622641509441E-2</v>
      </c>
      <c r="AE496" s="17">
        <v>5</v>
      </c>
      <c r="AF496" s="36">
        <f t="shared" si="162"/>
        <v>9.6153846153846159E-2</v>
      </c>
      <c r="AG496" s="17">
        <v>7</v>
      </c>
      <c r="AH496" s="36">
        <f t="shared" si="152"/>
        <v>0.13207547169811321</v>
      </c>
      <c r="AI496" s="17">
        <v>7</v>
      </c>
      <c r="AJ496" s="36">
        <f t="shared" si="163"/>
        <v>0.13461538461538461</v>
      </c>
      <c r="AK496" s="17">
        <v>1</v>
      </c>
      <c r="AL496" s="36">
        <f t="shared" si="153"/>
        <v>1.8867924528301886E-2</v>
      </c>
      <c r="AM496" s="17">
        <v>1</v>
      </c>
      <c r="AN496" s="36">
        <f t="shared" si="164"/>
        <v>1.9230769230769232E-2</v>
      </c>
      <c r="AO496" s="17">
        <v>53</v>
      </c>
      <c r="AP496" s="17">
        <v>52</v>
      </c>
    </row>
    <row r="497" spans="1:42" ht="15.75" customHeight="1" x14ac:dyDescent="0.25">
      <c r="A497" s="37">
        <v>2021</v>
      </c>
      <c r="B497" s="35">
        <v>171395</v>
      </c>
      <c r="C497" s="34" t="s">
        <v>149</v>
      </c>
      <c r="D497" s="34" t="s">
        <v>83</v>
      </c>
      <c r="E497" s="17">
        <v>24</v>
      </c>
      <c r="F497" s="36">
        <f t="shared" si="154"/>
        <v>0.11009174311926606</v>
      </c>
      <c r="G497" s="17">
        <v>12</v>
      </c>
      <c r="H497" s="36">
        <f t="shared" si="155"/>
        <v>0.10714285714285714</v>
      </c>
      <c r="I497" s="17">
        <v>40</v>
      </c>
      <c r="J497" s="36">
        <f t="shared" si="156"/>
        <v>0.1834862385321101</v>
      </c>
      <c r="K497" s="17">
        <v>10</v>
      </c>
      <c r="L497" s="36">
        <f t="shared" si="157"/>
        <v>8.9285714285714288E-2</v>
      </c>
      <c r="M497" s="17">
        <v>154</v>
      </c>
      <c r="N497" s="36">
        <f t="shared" si="147"/>
        <v>0.70642201834862384</v>
      </c>
      <c r="O497" s="17">
        <v>90</v>
      </c>
      <c r="P497" s="36">
        <f t="shared" si="158"/>
        <v>0.8035714285714286</v>
      </c>
      <c r="Q497" s="17">
        <v>1</v>
      </c>
      <c r="R497" s="36">
        <f t="shared" si="148"/>
        <v>4.5871559633027525E-3</v>
      </c>
      <c r="S497" s="17">
        <v>0</v>
      </c>
      <c r="T497" s="36">
        <f t="shared" si="159"/>
        <v>0</v>
      </c>
      <c r="U497" s="17">
        <v>3</v>
      </c>
      <c r="V497" s="36">
        <f t="shared" si="149"/>
        <v>1.3761467889908258E-2</v>
      </c>
      <c r="W497" s="17">
        <v>4</v>
      </c>
      <c r="X497" s="36">
        <f t="shared" si="160"/>
        <v>3.5714285714285712E-2</v>
      </c>
      <c r="Y497" s="17">
        <v>147</v>
      </c>
      <c r="Z497" s="36">
        <f t="shared" si="150"/>
        <v>0.67431192660550454</v>
      </c>
      <c r="AA497" s="17">
        <v>87</v>
      </c>
      <c r="AB497" s="36">
        <f t="shared" si="161"/>
        <v>0.7767857142857143</v>
      </c>
      <c r="AC497" s="17">
        <v>57</v>
      </c>
      <c r="AD497" s="36">
        <f t="shared" si="151"/>
        <v>0.26146788990825687</v>
      </c>
      <c r="AE497" s="17">
        <v>19</v>
      </c>
      <c r="AF497" s="36">
        <f t="shared" si="162"/>
        <v>0.16964285714285715</v>
      </c>
      <c r="AG497" s="17">
        <v>9</v>
      </c>
      <c r="AH497" s="36">
        <f t="shared" si="152"/>
        <v>4.1284403669724773E-2</v>
      </c>
      <c r="AI497" s="17">
        <v>1</v>
      </c>
      <c r="AJ497" s="36">
        <f t="shared" si="163"/>
        <v>8.9285714285714281E-3</v>
      </c>
      <c r="AK497" s="17">
        <v>1</v>
      </c>
      <c r="AL497" s="36">
        <f t="shared" si="153"/>
        <v>4.5871559633027525E-3</v>
      </c>
      <c r="AM497" s="17">
        <v>1</v>
      </c>
      <c r="AN497" s="36">
        <f t="shared" si="164"/>
        <v>8.9285714285714281E-3</v>
      </c>
      <c r="AO497" s="17">
        <v>218</v>
      </c>
      <c r="AP497" s="17">
        <v>112</v>
      </c>
    </row>
    <row r="498" spans="1:42" ht="15.75" customHeight="1" x14ac:dyDescent="0.25">
      <c r="A498" s="37">
        <v>2021</v>
      </c>
      <c r="B498" s="35">
        <v>171420</v>
      </c>
      <c r="C498" s="34" t="s">
        <v>151</v>
      </c>
      <c r="D498" s="34" t="s">
        <v>84</v>
      </c>
      <c r="E498" s="17">
        <v>2</v>
      </c>
      <c r="F498" s="36">
        <f t="shared" si="154"/>
        <v>5.0377833753148613E-3</v>
      </c>
      <c r="G498" s="17">
        <v>2</v>
      </c>
      <c r="H498" s="36">
        <f t="shared" si="155"/>
        <v>2.2727272727272728E-2</v>
      </c>
      <c r="I498" s="17">
        <v>10</v>
      </c>
      <c r="J498" s="36">
        <f t="shared" si="156"/>
        <v>2.5188916876574308E-2</v>
      </c>
      <c r="K498" s="17">
        <v>5</v>
      </c>
      <c r="L498" s="36">
        <f t="shared" si="157"/>
        <v>5.6818181818181816E-2</v>
      </c>
      <c r="M498" s="17">
        <v>385</v>
      </c>
      <c r="N498" s="36">
        <f t="shared" si="147"/>
        <v>0.96977329974811088</v>
      </c>
      <c r="O498" s="17">
        <v>81</v>
      </c>
      <c r="P498" s="36">
        <f t="shared" si="158"/>
        <v>0.92045454545454541</v>
      </c>
      <c r="Q498" s="17">
        <v>3</v>
      </c>
      <c r="R498" s="36">
        <f t="shared" si="148"/>
        <v>7.556675062972292E-3</v>
      </c>
      <c r="S498" s="17">
        <v>1</v>
      </c>
      <c r="T498" s="36">
        <f t="shared" si="159"/>
        <v>1.1363636363636364E-2</v>
      </c>
      <c r="U498" s="17">
        <v>10</v>
      </c>
      <c r="V498" s="36">
        <f t="shared" si="149"/>
        <v>2.5188916876574308E-2</v>
      </c>
      <c r="W498" s="17">
        <v>1</v>
      </c>
      <c r="X498" s="36">
        <f t="shared" si="160"/>
        <v>1.1363636363636364E-2</v>
      </c>
      <c r="Y498" s="17">
        <v>249</v>
      </c>
      <c r="Z498" s="36">
        <f t="shared" si="150"/>
        <v>0.62720403022670024</v>
      </c>
      <c r="AA498" s="17">
        <v>51</v>
      </c>
      <c r="AB498" s="36">
        <f t="shared" si="161"/>
        <v>0.57954545454545459</v>
      </c>
      <c r="AC498" s="17">
        <v>76</v>
      </c>
      <c r="AD498" s="36">
        <f t="shared" si="151"/>
        <v>0.19143576826196473</v>
      </c>
      <c r="AE498" s="17">
        <v>15</v>
      </c>
      <c r="AF498" s="36">
        <f t="shared" si="162"/>
        <v>0.17045454545454544</v>
      </c>
      <c r="AG498" s="17">
        <v>47</v>
      </c>
      <c r="AH498" s="36">
        <f t="shared" si="152"/>
        <v>0.11838790931989925</v>
      </c>
      <c r="AI498" s="17">
        <v>17</v>
      </c>
      <c r="AJ498" s="36">
        <f t="shared" si="163"/>
        <v>0.19318181818181818</v>
      </c>
      <c r="AK498" s="17">
        <v>12</v>
      </c>
      <c r="AL498" s="36">
        <f t="shared" si="153"/>
        <v>3.0226700251889168E-2</v>
      </c>
      <c r="AM498" s="17">
        <v>3</v>
      </c>
      <c r="AN498" s="36">
        <f t="shared" si="164"/>
        <v>3.4090909090909088E-2</v>
      </c>
      <c r="AO498" s="17">
        <v>397</v>
      </c>
      <c r="AP498" s="17">
        <v>88</v>
      </c>
    </row>
    <row r="499" spans="1:42" ht="15.75" customHeight="1" x14ac:dyDescent="0.25">
      <c r="A499" s="37">
        <v>2021</v>
      </c>
      <c r="B499" s="35">
        <v>171430</v>
      </c>
      <c r="C499" s="34" t="s">
        <v>145</v>
      </c>
      <c r="D499" s="34" t="s">
        <v>85</v>
      </c>
      <c r="E499" s="17">
        <v>6</v>
      </c>
      <c r="F499" s="36">
        <f t="shared" si="154"/>
        <v>4.2253521126760563E-2</v>
      </c>
      <c r="G499" s="17">
        <v>7</v>
      </c>
      <c r="H499" s="36">
        <f t="shared" si="155"/>
        <v>8.1395348837209308E-2</v>
      </c>
      <c r="I499" s="17">
        <v>13</v>
      </c>
      <c r="J499" s="36">
        <f t="shared" si="156"/>
        <v>9.154929577464789E-2</v>
      </c>
      <c r="K499" s="17">
        <v>10</v>
      </c>
      <c r="L499" s="36">
        <f t="shared" si="157"/>
        <v>0.11627906976744186</v>
      </c>
      <c r="M499" s="17">
        <v>123</v>
      </c>
      <c r="N499" s="36">
        <f t="shared" si="147"/>
        <v>0.86619718309859151</v>
      </c>
      <c r="O499" s="17">
        <v>69</v>
      </c>
      <c r="P499" s="36">
        <f t="shared" si="158"/>
        <v>0.80232558139534882</v>
      </c>
      <c r="Q499" s="17">
        <v>1</v>
      </c>
      <c r="R499" s="36">
        <f t="shared" si="148"/>
        <v>7.0422535211267607E-3</v>
      </c>
      <c r="S499" s="17">
        <v>1</v>
      </c>
      <c r="T499" s="36">
        <f t="shared" si="159"/>
        <v>1.1627906976744186E-2</v>
      </c>
      <c r="U499" s="17">
        <v>11</v>
      </c>
      <c r="V499" s="36">
        <f t="shared" si="149"/>
        <v>7.746478873239436E-2</v>
      </c>
      <c r="W499" s="17">
        <v>7</v>
      </c>
      <c r="X499" s="36">
        <f t="shared" si="160"/>
        <v>8.1395348837209308E-2</v>
      </c>
      <c r="Y499" s="17">
        <v>108</v>
      </c>
      <c r="Z499" s="36">
        <f t="shared" si="150"/>
        <v>0.76056338028169013</v>
      </c>
      <c r="AA499" s="17">
        <v>62</v>
      </c>
      <c r="AB499" s="36">
        <f t="shared" si="161"/>
        <v>0.72093023255813948</v>
      </c>
      <c r="AC499" s="17">
        <v>14</v>
      </c>
      <c r="AD499" s="36">
        <f t="shared" si="151"/>
        <v>9.8591549295774641E-2</v>
      </c>
      <c r="AE499" s="17">
        <v>9</v>
      </c>
      <c r="AF499" s="36">
        <f t="shared" si="162"/>
        <v>0.10465116279069768</v>
      </c>
      <c r="AG499" s="17">
        <v>8</v>
      </c>
      <c r="AH499" s="36">
        <f t="shared" si="152"/>
        <v>5.6338028169014086E-2</v>
      </c>
      <c r="AI499" s="17">
        <v>7</v>
      </c>
      <c r="AJ499" s="36">
        <f t="shared" si="163"/>
        <v>8.1395348837209308E-2</v>
      </c>
      <c r="AK499" s="17">
        <v>0</v>
      </c>
      <c r="AL499" s="36">
        <f t="shared" si="153"/>
        <v>0</v>
      </c>
      <c r="AM499" s="17">
        <v>0</v>
      </c>
      <c r="AN499" s="36">
        <f t="shared" si="164"/>
        <v>0</v>
      </c>
      <c r="AO499" s="17">
        <v>142</v>
      </c>
      <c r="AP499" s="17">
        <v>86</v>
      </c>
    </row>
    <row r="500" spans="1:42" ht="15.75" customHeight="1" x14ac:dyDescent="0.25">
      <c r="A500" s="37">
        <v>2021</v>
      </c>
      <c r="B500" s="35">
        <v>171488</v>
      </c>
      <c r="C500" s="34" t="s">
        <v>149</v>
      </c>
      <c r="D500" s="34" t="s">
        <v>86</v>
      </c>
      <c r="E500" s="17">
        <v>27</v>
      </c>
      <c r="F500" s="36">
        <f t="shared" si="154"/>
        <v>6.323185011709602E-2</v>
      </c>
      <c r="G500" s="17">
        <v>15</v>
      </c>
      <c r="H500" s="36">
        <f t="shared" si="155"/>
        <v>7.0422535211267609E-2</v>
      </c>
      <c r="I500" s="17">
        <v>39</v>
      </c>
      <c r="J500" s="36">
        <f t="shared" si="156"/>
        <v>9.1334894613583142E-2</v>
      </c>
      <c r="K500" s="17">
        <v>21</v>
      </c>
      <c r="L500" s="36">
        <f t="shared" si="157"/>
        <v>9.8591549295774641E-2</v>
      </c>
      <c r="M500" s="17">
        <v>361</v>
      </c>
      <c r="N500" s="36">
        <f t="shared" si="147"/>
        <v>0.84543325526932089</v>
      </c>
      <c r="O500" s="17">
        <v>177</v>
      </c>
      <c r="P500" s="36">
        <f t="shared" si="158"/>
        <v>0.83098591549295775</v>
      </c>
      <c r="Q500" s="17">
        <v>2</v>
      </c>
      <c r="R500" s="36">
        <f t="shared" si="148"/>
        <v>4.6838407494145199E-3</v>
      </c>
      <c r="S500" s="17">
        <v>2</v>
      </c>
      <c r="T500" s="36">
        <f t="shared" si="159"/>
        <v>9.3896713615023476E-3</v>
      </c>
      <c r="U500" s="17">
        <v>12</v>
      </c>
      <c r="V500" s="36">
        <f t="shared" si="149"/>
        <v>2.8103044496487119E-2</v>
      </c>
      <c r="W500" s="17">
        <v>4</v>
      </c>
      <c r="X500" s="36">
        <f t="shared" si="160"/>
        <v>1.8779342723004695E-2</v>
      </c>
      <c r="Y500" s="17">
        <v>300</v>
      </c>
      <c r="Z500" s="36">
        <f t="shared" si="150"/>
        <v>0.70257611241217799</v>
      </c>
      <c r="AA500" s="17">
        <v>155</v>
      </c>
      <c r="AB500" s="36">
        <f t="shared" si="161"/>
        <v>0.72769953051643188</v>
      </c>
      <c r="AC500" s="17">
        <v>71</v>
      </c>
      <c r="AD500" s="36">
        <f t="shared" si="151"/>
        <v>0.16627634660421545</v>
      </c>
      <c r="AE500" s="17">
        <v>37</v>
      </c>
      <c r="AF500" s="36">
        <f t="shared" si="162"/>
        <v>0.17370892018779344</v>
      </c>
      <c r="AG500" s="17">
        <v>27</v>
      </c>
      <c r="AH500" s="36">
        <f t="shared" si="152"/>
        <v>6.323185011709602E-2</v>
      </c>
      <c r="AI500" s="17">
        <v>9</v>
      </c>
      <c r="AJ500" s="36">
        <f t="shared" si="163"/>
        <v>4.2253521126760563E-2</v>
      </c>
      <c r="AK500" s="17">
        <v>15</v>
      </c>
      <c r="AL500" s="36">
        <f t="shared" si="153"/>
        <v>3.5128805620608897E-2</v>
      </c>
      <c r="AM500" s="17">
        <v>6</v>
      </c>
      <c r="AN500" s="36">
        <f t="shared" si="164"/>
        <v>2.8169014084507043E-2</v>
      </c>
      <c r="AO500" s="17">
        <v>427</v>
      </c>
      <c r="AP500" s="17">
        <v>213</v>
      </c>
    </row>
    <row r="501" spans="1:42" ht="15.75" customHeight="1" x14ac:dyDescent="0.25">
      <c r="A501" s="37">
        <v>2021</v>
      </c>
      <c r="B501" s="35">
        <v>171500</v>
      </c>
      <c r="C501" s="34" t="s">
        <v>144</v>
      </c>
      <c r="D501" s="34" t="s">
        <v>87</v>
      </c>
      <c r="E501" s="17">
        <v>2</v>
      </c>
      <c r="F501" s="36">
        <f t="shared" si="154"/>
        <v>1.8018018018018018E-2</v>
      </c>
      <c r="G501" s="17">
        <v>0</v>
      </c>
      <c r="H501" s="36">
        <f t="shared" si="155"/>
        <v>0</v>
      </c>
      <c r="I501" s="17">
        <v>3</v>
      </c>
      <c r="J501" s="36">
        <f t="shared" si="156"/>
        <v>2.7027027027027029E-2</v>
      </c>
      <c r="K501" s="17">
        <v>2</v>
      </c>
      <c r="L501" s="36">
        <f t="shared" si="157"/>
        <v>3.6363636363636362E-2</v>
      </c>
      <c r="M501" s="17">
        <v>106</v>
      </c>
      <c r="N501" s="36">
        <f t="shared" si="147"/>
        <v>0.95495495495495497</v>
      </c>
      <c r="O501" s="17">
        <v>53</v>
      </c>
      <c r="P501" s="36">
        <f t="shared" si="158"/>
        <v>0.96363636363636362</v>
      </c>
      <c r="Q501" s="17">
        <v>0</v>
      </c>
      <c r="R501" s="36">
        <f t="shared" si="148"/>
        <v>0</v>
      </c>
      <c r="S501" s="17">
        <v>0</v>
      </c>
      <c r="T501" s="36">
        <f t="shared" si="159"/>
        <v>0</v>
      </c>
      <c r="U501" s="17">
        <v>5</v>
      </c>
      <c r="V501" s="36">
        <f t="shared" si="149"/>
        <v>4.5045045045045043E-2</v>
      </c>
      <c r="W501" s="17">
        <v>2</v>
      </c>
      <c r="X501" s="36">
        <f t="shared" si="160"/>
        <v>3.6363636363636362E-2</v>
      </c>
      <c r="Y501" s="17">
        <v>71</v>
      </c>
      <c r="Z501" s="36">
        <f t="shared" si="150"/>
        <v>0.63963963963963966</v>
      </c>
      <c r="AA501" s="17">
        <v>39</v>
      </c>
      <c r="AB501" s="36">
        <f t="shared" si="161"/>
        <v>0.70909090909090911</v>
      </c>
      <c r="AC501" s="17">
        <v>20</v>
      </c>
      <c r="AD501" s="36">
        <f t="shared" si="151"/>
        <v>0.18018018018018017</v>
      </c>
      <c r="AE501" s="17">
        <v>10</v>
      </c>
      <c r="AF501" s="36">
        <f t="shared" si="162"/>
        <v>0.18181818181818182</v>
      </c>
      <c r="AG501" s="17">
        <v>13</v>
      </c>
      <c r="AH501" s="36">
        <f t="shared" si="152"/>
        <v>0.11711711711711711</v>
      </c>
      <c r="AI501" s="17">
        <v>4</v>
      </c>
      <c r="AJ501" s="36">
        <f t="shared" si="163"/>
        <v>7.2727272727272724E-2</v>
      </c>
      <c r="AK501" s="17">
        <v>2</v>
      </c>
      <c r="AL501" s="36">
        <f t="shared" si="153"/>
        <v>1.8018018018018018E-2</v>
      </c>
      <c r="AM501" s="17">
        <v>0</v>
      </c>
      <c r="AN501" s="36">
        <f t="shared" si="164"/>
        <v>0</v>
      </c>
      <c r="AO501" s="17">
        <v>111</v>
      </c>
      <c r="AP501" s="17">
        <v>55</v>
      </c>
    </row>
    <row r="502" spans="1:42" ht="15.75" customHeight="1" x14ac:dyDescent="0.25">
      <c r="A502" s="37">
        <v>2021</v>
      </c>
      <c r="B502" s="35">
        <v>171510</v>
      </c>
      <c r="C502" s="34" t="s">
        <v>148</v>
      </c>
      <c r="D502" s="34" t="s">
        <v>88</v>
      </c>
      <c r="E502" s="17">
        <v>1</v>
      </c>
      <c r="F502" s="36">
        <f t="shared" si="154"/>
        <v>1.0752688172043012E-2</v>
      </c>
      <c r="G502" s="17">
        <v>0</v>
      </c>
      <c r="H502" s="36">
        <f t="shared" si="155"/>
        <v>0</v>
      </c>
      <c r="I502" s="17">
        <v>5</v>
      </c>
      <c r="J502" s="36">
        <f t="shared" si="156"/>
        <v>5.3763440860215055E-2</v>
      </c>
      <c r="K502" s="17">
        <v>0</v>
      </c>
      <c r="L502" s="36">
        <f t="shared" si="157"/>
        <v>0</v>
      </c>
      <c r="M502" s="17">
        <v>87</v>
      </c>
      <c r="N502" s="36">
        <f t="shared" si="147"/>
        <v>0.93548387096774188</v>
      </c>
      <c r="O502" s="17">
        <v>5</v>
      </c>
      <c r="P502" s="36">
        <f t="shared" si="158"/>
        <v>1</v>
      </c>
      <c r="Q502" s="17">
        <v>2</v>
      </c>
      <c r="R502" s="36">
        <f t="shared" si="148"/>
        <v>2.1505376344086023E-2</v>
      </c>
      <c r="S502" s="17">
        <v>0</v>
      </c>
      <c r="T502" s="36">
        <f t="shared" si="159"/>
        <v>0</v>
      </c>
      <c r="U502" s="17">
        <v>4</v>
      </c>
      <c r="V502" s="36">
        <f t="shared" si="149"/>
        <v>4.3010752688172046E-2</v>
      </c>
      <c r="W502" s="17">
        <v>0</v>
      </c>
      <c r="X502" s="36">
        <f t="shared" si="160"/>
        <v>0</v>
      </c>
      <c r="Y502" s="17">
        <v>62</v>
      </c>
      <c r="Z502" s="36">
        <f t="shared" si="150"/>
        <v>0.66666666666666663</v>
      </c>
      <c r="AA502" s="17">
        <v>5</v>
      </c>
      <c r="AB502" s="36">
        <f t="shared" si="161"/>
        <v>1</v>
      </c>
      <c r="AC502" s="17">
        <v>15</v>
      </c>
      <c r="AD502" s="36">
        <f t="shared" si="151"/>
        <v>0.16129032258064516</v>
      </c>
      <c r="AE502" s="17">
        <v>0</v>
      </c>
      <c r="AF502" s="36">
        <f t="shared" si="162"/>
        <v>0</v>
      </c>
      <c r="AG502" s="17">
        <v>8</v>
      </c>
      <c r="AH502" s="36">
        <f t="shared" si="152"/>
        <v>8.6021505376344093E-2</v>
      </c>
      <c r="AI502" s="17">
        <v>0</v>
      </c>
      <c r="AJ502" s="36">
        <f t="shared" si="163"/>
        <v>0</v>
      </c>
      <c r="AK502" s="17">
        <v>2</v>
      </c>
      <c r="AL502" s="36">
        <f t="shared" si="153"/>
        <v>2.1505376344086023E-2</v>
      </c>
      <c r="AM502" s="17">
        <v>0</v>
      </c>
      <c r="AN502" s="36">
        <f t="shared" si="164"/>
        <v>0</v>
      </c>
      <c r="AO502" s="17">
        <v>93</v>
      </c>
      <c r="AP502" s="17">
        <v>5</v>
      </c>
    </row>
    <row r="503" spans="1:42" ht="15.75" customHeight="1" x14ac:dyDescent="0.25">
      <c r="A503" s="37">
        <v>2021</v>
      </c>
      <c r="B503" s="35">
        <v>171515</v>
      </c>
      <c r="C503" s="34" t="s">
        <v>147</v>
      </c>
      <c r="D503" s="34" t="s">
        <v>89</v>
      </c>
      <c r="E503" s="17">
        <v>1</v>
      </c>
      <c r="F503" s="36">
        <f t="shared" si="154"/>
        <v>4.9019607843137254E-3</v>
      </c>
      <c r="G503" s="17">
        <v>0</v>
      </c>
      <c r="H503" s="36">
        <f t="shared" si="155"/>
        <v>0</v>
      </c>
      <c r="I503" s="17">
        <v>12</v>
      </c>
      <c r="J503" s="36">
        <f t="shared" si="156"/>
        <v>5.8823529411764705E-2</v>
      </c>
      <c r="K503" s="17">
        <v>3</v>
      </c>
      <c r="L503" s="36">
        <f t="shared" si="157"/>
        <v>5.1724137931034482E-2</v>
      </c>
      <c r="M503" s="17">
        <v>191</v>
      </c>
      <c r="N503" s="36">
        <f t="shared" si="147"/>
        <v>0.93627450980392157</v>
      </c>
      <c r="O503" s="17">
        <v>55</v>
      </c>
      <c r="P503" s="36">
        <f t="shared" si="158"/>
        <v>0.94827586206896552</v>
      </c>
      <c r="Q503" s="17">
        <v>0</v>
      </c>
      <c r="R503" s="36">
        <f t="shared" si="148"/>
        <v>0</v>
      </c>
      <c r="S503" s="17">
        <v>0</v>
      </c>
      <c r="T503" s="36">
        <f t="shared" si="159"/>
        <v>0</v>
      </c>
      <c r="U503" s="17">
        <v>7</v>
      </c>
      <c r="V503" s="36">
        <f t="shared" si="149"/>
        <v>3.4313725490196081E-2</v>
      </c>
      <c r="W503" s="17">
        <v>1</v>
      </c>
      <c r="X503" s="36">
        <f t="shared" si="160"/>
        <v>1.7241379310344827E-2</v>
      </c>
      <c r="Y503" s="17">
        <v>142</v>
      </c>
      <c r="Z503" s="36">
        <f t="shared" si="150"/>
        <v>0.69607843137254899</v>
      </c>
      <c r="AA503" s="17">
        <v>41</v>
      </c>
      <c r="AB503" s="36">
        <f t="shared" si="161"/>
        <v>0.7068965517241379</v>
      </c>
      <c r="AC503" s="17">
        <v>36</v>
      </c>
      <c r="AD503" s="36">
        <f t="shared" si="151"/>
        <v>0.17647058823529413</v>
      </c>
      <c r="AE503" s="17">
        <v>9</v>
      </c>
      <c r="AF503" s="36">
        <f t="shared" si="162"/>
        <v>0.15517241379310345</v>
      </c>
      <c r="AG503" s="17">
        <v>13</v>
      </c>
      <c r="AH503" s="36">
        <f t="shared" si="152"/>
        <v>6.3725490196078427E-2</v>
      </c>
      <c r="AI503" s="17">
        <v>6</v>
      </c>
      <c r="AJ503" s="36">
        <f t="shared" si="163"/>
        <v>0.10344827586206896</v>
      </c>
      <c r="AK503" s="17">
        <v>6</v>
      </c>
      <c r="AL503" s="36">
        <f t="shared" si="153"/>
        <v>2.9411764705882353E-2</v>
      </c>
      <c r="AM503" s="17">
        <v>1</v>
      </c>
      <c r="AN503" s="36">
        <f t="shared" si="164"/>
        <v>1.7241379310344827E-2</v>
      </c>
      <c r="AO503" s="17">
        <v>204</v>
      </c>
      <c r="AP503" s="17">
        <v>58</v>
      </c>
    </row>
    <row r="504" spans="1:42" ht="15.75" customHeight="1" x14ac:dyDescent="0.25">
      <c r="A504" s="37">
        <v>2021</v>
      </c>
      <c r="B504" s="35">
        <v>171525</v>
      </c>
      <c r="C504" s="34" t="s">
        <v>147</v>
      </c>
      <c r="D504" s="34" t="s">
        <v>90</v>
      </c>
      <c r="E504" s="17">
        <v>2</v>
      </c>
      <c r="F504" s="36">
        <f t="shared" si="154"/>
        <v>3.125E-2</v>
      </c>
      <c r="G504" s="17">
        <v>2</v>
      </c>
      <c r="H504" s="36">
        <f t="shared" si="155"/>
        <v>3.8461538461538464E-2</v>
      </c>
      <c r="I504" s="17">
        <v>4</v>
      </c>
      <c r="J504" s="36">
        <f t="shared" si="156"/>
        <v>6.25E-2</v>
      </c>
      <c r="K504" s="17">
        <v>3</v>
      </c>
      <c r="L504" s="36">
        <f t="shared" si="157"/>
        <v>5.7692307692307696E-2</v>
      </c>
      <c r="M504" s="17">
        <v>58</v>
      </c>
      <c r="N504" s="36">
        <f t="shared" si="147"/>
        <v>0.90625</v>
      </c>
      <c r="O504" s="17">
        <v>47</v>
      </c>
      <c r="P504" s="36">
        <f t="shared" si="158"/>
        <v>0.90384615384615385</v>
      </c>
      <c r="Q504" s="17">
        <v>1</v>
      </c>
      <c r="R504" s="36">
        <f t="shared" si="148"/>
        <v>1.5625E-2</v>
      </c>
      <c r="S504" s="17">
        <v>1</v>
      </c>
      <c r="T504" s="36">
        <f t="shared" si="159"/>
        <v>1.9230769230769232E-2</v>
      </c>
      <c r="U504" s="17">
        <v>3</v>
      </c>
      <c r="V504" s="36">
        <f t="shared" si="149"/>
        <v>4.6875E-2</v>
      </c>
      <c r="W504" s="17">
        <v>3</v>
      </c>
      <c r="X504" s="36">
        <f t="shared" si="160"/>
        <v>5.7692307692307696E-2</v>
      </c>
      <c r="Y504" s="17">
        <v>49</v>
      </c>
      <c r="Z504" s="36">
        <f t="shared" si="150"/>
        <v>0.765625</v>
      </c>
      <c r="AA504" s="17">
        <v>40</v>
      </c>
      <c r="AB504" s="36">
        <f t="shared" si="161"/>
        <v>0.76923076923076927</v>
      </c>
      <c r="AC504" s="17">
        <v>10</v>
      </c>
      <c r="AD504" s="36">
        <f t="shared" si="151"/>
        <v>0.15625</v>
      </c>
      <c r="AE504" s="17">
        <v>7</v>
      </c>
      <c r="AF504" s="36">
        <f t="shared" si="162"/>
        <v>0.13461538461538461</v>
      </c>
      <c r="AG504" s="17">
        <v>1</v>
      </c>
      <c r="AH504" s="36">
        <f t="shared" si="152"/>
        <v>1.5625E-2</v>
      </c>
      <c r="AI504" s="17">
        <v>1</v>
      </c>
      <c r="AJ504" s="36">
        <f t="shared" si="163"/>
        <v>1.9230769230769232E-2</v>
      </c>
      <c r="AK504" s="17">
        <v>0</v>
      </c>
      <c r="AL504" s="36">
        <f t="shared" si="153"/>
        <v>0</v>
      </c>
      <c r="AM504" s="17">
        <v>0</v>
      </c>
      <c r="AN504" s="36">
        <f t="shared" si="164"/>
        <v>0</v>
      </c>
      <c r="AO504" s="17">
        <v>64</v>
      </c>
      <c r="AP504" s="17">
        <v>52</v>
      </c>
    </row>
    <row r="505" spans="1:42" ht="15.75" customHeight="1" x14ac:dyDescent="0.25">
      <c r="A505" s="37">
        <v>2021</v>
      </c>
      <c r="B505" s="35">
        <v>171550</v>
      </c>
      <c r="C505" s="34" t="s">
        <v>151</v>
      </c>
      <c r="D505" s="34" t="s">
        <v>91</v>
      </c>
      <c r="E505" s="17">
        <v>0</v>
      </c>
      <c r="F505" s="36">
        <f t="shared" si="154"/>
        <v>0</v>
      </c>
      <c r="G505" s="17">
        <v>0</v>
      </c>
      <c r="H505" s="36">
        <f t="shared" si="155"/>
        <v>0</v>
      </c>
      <c r="I505" s="17">
        <v>3</v>
      </c>
      <c r="J505" s="36">
        <f t="shared" si="156"/>
        <v>2.3255813953488372E-2</v>
      </c>
      <c r="K505" s="17">
        <v>1</v>
      </c>
      <c r="L505" s="36">
        <f t="shared" si="157"/>
        <v>2.1276595744680851E-2</v>
      </c>
      <c r="M505" s="17">
        <v>126</v>
      </c>
      <c r="N505" s="36">
        <f t="shared" si="147"/>
        <v>0.97674418604651159</v>
      </c>
      <c r="O505" s="17">
        <v>46</v>
      </c>
      <c r="P505" s="36">
        <f t="shared" si="158"/>
        <v>0.97872340425531912</v>
      </c>
      <c r="Q505" s="17">
        <v>1</v>
      </c>
      <c r="R505" s="36">
        <f t="shared" si="148"/>
        <v>7.7519379844961239E-3</v>
      </c>
      <c r="S505" s="17">
        <v>1</v>
      </c>
      <c r="T505" s="36">
        <f t="shared" si="159"/>
        <v>2.1276595744680851E-2</v>
      </c>
      <c r="U505" s="17">
        <v>5</v>
      </c>
      <c r="V505" s="36">
        <f t="shared" si="149"/>
        <v>3.875968992248062E-2</v>
      </c>
      <c r="W505" s="17">
        <v>1</v>
      </c>
      <c r="X505" s="36">
        <f t="shared" si="160"/>
        <v>2.1276595744680851E-2</v>
      </c>
      <c r="Y505" s="17">
        <v>85</v>
      </c>
      <c r="Z505" s="36">
        <f t="shared" si="150"/>
        <v>0.65891472868217049</v>
      </c>
      <c r="AA505" s="17">
        <v>32</v>
      </c>
      <c r="AB505" s="36">
        <f t="shared" si="161"/>
        <v>0.68085106382978722</v>
      </c>
      <c r="AC505" s="17">
        <v>29</v>
      </c>
      <c r="AD505" s="36">
        <f t="shared" si="151"/>
        <v>0.22480620155038761</v>
      </c>
      <c r="AE505" s="17">
        <v>10</v>
      </c>
      <c r="AF505" s="36">
        <f t="shared" si="162"/>
        <v>0.21276595744680851</v>
      </c>
      <c r="AG505" s="17">
        <v>4</v>
      </c>
      <c r="AH505" s="36">
        <f t="shared" si="152"/>
        <v>3.1007751937984496E-2</v>
      </c>
      <c r="AI505" s="17">
        <v>3</v>
      </c>
      <c r="AJ505" s="36">
        <f t="shared" si="163"/>
        <v>6.3829787234042548E-2</v>
      </c>
      <c r="AK505" s="17">
        <v>5</v>
      </c>
      <c r="AL505" s="36">
        <f t="shared" si="153"/>
        <v>3.875968992248062E-2</v>
      </c>
      <c r="AM505" s="17">
        <v>0</v>
      </c>
      <c r="AN505" s="36">
        <f t="shared" si="164"/>
        <v>0</v>
      </c>
      <c r="AO505" s="17">
        <v>129</v>
      </c>
      <c r="AP505" s="17">
        <v>47</v>
      </c>
    </row>
    <row r="506" spans="1:42" ht="15.75" customHeight="1" x14ac:dyDescent="0.25">
      <c r="A506" s="37">
        <v>2021</v>
      </c>
      <c r="B506" s="35">
        <v>172100</v>
      </c>
      <c r="C506" s="34" t="s">
        <v>148</v>
      </c>
      <c r="D506" s="34" t="s">
        <v>92</v>
      </c>
      <c r="E506" s="17">
        <v>137</v>
      </c>
      <c r="F506" s="36">
        <f t="shared" si="154"/>
        <v>2.8884672148429266E-2</v>
      </c>
      <c r="G506" s="17">
        <v>112</v>
      </c>
      <c r="H506" s="36">
        <f t="shared" si="155"/>
        <v>4.9165935030728712E-2</v>
      </c>
      <c r="I506" s="17">
        <v>227</v>
      </c>
      <c r="J506" s="36">
        <f t="shared" si="156"/>
        <v>4.7860004216740457E-2</v>
      </c>
      <c r="K506" s="17">
        <v>133</v>
      </c>
      <c r="L506" s="36">
        <f t="shared" si="157"/>
        <v>5.8384547848990345E-2</v>
      </c>
      <c r="M506" s="16">
        <v>4379</v>
      </c>
      <c r="N506" s="36">
        <f t="shared" ref="N506:N537" si="165">IFERROR(M506/$AO506,0)</f>
        <v>0.92325532363483032</v>
      </c>
      <c r="O506" s="16">
        <v>2033</v>
      </c>
      <c r="P506" s="36">
        <f t="shared" si="158"/>
        <v>0.89244951712028098</v>
      </c>
      <c r="Q506" s="17">
        <v>72</v>
      </c>
      <c r="R506" s="36">
        <f t="shared" ref="R506:R537" si="166">IFERROR(Q506/$AO506,0)</f>
        <v>1.5180265654648957E-2</v>
      </c>
      <c r="S506" s="17">
        <v>41</v>
      </c>
      <c r="T506" s="36">
        <f t="shared" si="159"/>
        <v>1.7998244073748903E-2</v>
      </c>
      <c r="U506" s="17">
        <v>175</v>
      </c>
      <c r="V506" s="36">
        <f t="shared" ref="V506:V537" si="167">IFERROR(U506/$AO506,0)</f>
        <v>3.6896479021716215E-2</v>
      </c>
      <c r="W506" s="17">
        <v>79</v>
      </c>
      <c r="X506" s="36">
        <f t="shared" si="160"/>
        <v>3.4679543459174712E-2</v>
      </c>
      <c r="Y506" s="16">
        <v>3070</v>
      </c>
      <c r="Z506" s="36">
        <f t="shared" ref="Z506:Z537" si="168">IFERROR(Y506/$AO506,0)</f>
        <v>0.64726966055239299</v>
      </c>
      <c r="AA506" s="16">
        <v>1571</v>
      </c>
      <c r="AB506" s="36">
        <f t="shared" si="161"/>
        <v>0.68964003511852501</v>
      </c>
      <c r="AC506" s="17">
        <v>916</v>
      </c>
      <c r="AD506" s="36">
        <f t="shared" ref="AD506:AD537" si="169">IFERROR(AC506/$AO506,0)</f>
        <v>0.19312671305081172</v>
      </c>
      <c r="AE506" s="17">
        <v>391</v>
      </c>
      <c r="AF506" s="36">
        <f t="shared" si="162"/>
        <v>0.17164179104477612</v>
      </c>
      <c r="AG506" s="17">
        <v>398</v>
      </c>
      <c r="AH506" s="36">
        <f t="shared" ref="AH506:AH537" si="170">IFERROR(AG506/$AO506,0)</f>
        <v>8.3913135146531731E-2</v>
      </c>
      <c r="AI506" s="17">
        <v>157</v>
      </c>
      <c r="AJ506" s="36">
        <f t="shared" si="163"/>
        <v>6.8920105355575065E-2</v>
      </c>
      <c r="AK506" s="17">
        <v>112</v>
      </c>
      <c r="AL506" s="36">
        <f t="shared" ref="AL506:AL537" si="171">IFERROR(AK506/$AO506,0)</f>
        <v>2.3613746573898378E-2</v>
      </c>
      <c r="AM506" s="17">
        <v>39</v>
      </c>
      <c r="AN506" s="36">
        <f t="shared" si="164"/>
        <v>1.7120280948200176E-2</v>
      </c>
      <c r="AO506" s="16">
        <v>4743</v>
      </c>
      <c r="AP506" s="16">
        <v>2278</v>
      </c>
    </row>
    <row r="507" spans="1:42" ht="15.75" customHeight="1" x14ac:dyDescent="0.25">
      <c r="A507" s="37">
        <v>2021</v>
      </c>
      <c r="B507" s="35">
        <v>171570</v>
      </c>
      <c r="C507" s="34" t="s">
        <v>150</v>
      </c>
      <c r="D507" s="34" t="s">
        <v>93</v>
      </c>
      <c r="E507" s="17">
        <v>4</v>
      </c>
      <c r="F507" s="36">
        <f t="shared" si="154"/>
        <v>1.7094017094017096E-2</v>
      </c>
      <c r="G507" s="17">
        <v>2</v>
      </c>
      <c r="H507" s="36">
        <f t="shared" si="155"/>
        <v>1.4598540145985401E-2</v>
      </c>
      <c r="I507" s="17">
        <v>9</v>
      </c>
      <c r="J507" s="36">
        <f t="shared" si="156"/>
        <v>3.8461538461538464E-2</v>
      </c>
      <c r="K507" s="17">
        <v>3</v>
      </c>
      <c r="L507" s="36">
        <f t="shared" si="157"/>
        <v>2.1897810218978103E-2</v>
      </c>
      <c r="M507" s="17">
        <v>221</v>
      </c>
      <c r="N507" s="36">
        <f t="shared" si="165"/>
        <v>0.94444444444444442</v>
      </c>
      <c r="O507" s="17">
        <v>132</v>
      </c>
      <c r="P507" s="36">
        <f t="shared" si="158"/>
        <v>0.96350364963503654</v>
      </c>
      <c r="Q507" s="17">
        <v>2</v>
      </c>
      <c r="R507" s="36">
        <f t="shared" si="166"/>
        <v>8.5470085470085479E-3</v>
      </c>
      <c r="S507" s="17">
        <v>0</v>
      </c>
      <c r="T507" s="36">
        <f t="shared" si="159"/>
        <v>0</v>
      </c>
      <c r="U507" s="17">
        <v>6</v>
      </c>
      <c r="V507" s="36">
        <f t="shared" si="167"/>
        <v>2.564102564102564E-2</v>
      </c>
      <c r="W507" s="17">
        <v>3</v>
      </c>
      <c r="X507" s="36">
        <f t="shared" si="160"/>
        <v>2.1897810218978103E-2</v>
      </c>
      <c r="Y507" s="17">
        <v>182</v>
      </c>
      <c r="Z507" s="36">
        <f t="shared" si="168"/>
        <v>0.77777777777777779</v>
      </c>
      <c r="AA507" s="17">
        <v>108</v>
      </c>
      <c r="AB507" s="36">
        <f t="shared" si="161"/>
        <v>0.78832116788321172</v>
      </c>
      <c r="AC507" s="17">
        <v>29</v>
      </c>
      <c r="AD507" s="36">
        <f t="shared" si="169"/>
        <v>0.12393162393162394</v>
      </c>
      <c r="AE507" s="17">
        <v>17</v>
      </c>
      <c r="AF507" s="36">
        <f t="shared" si="162"/>
        <v>0.12408759124087591</v>
      </c>
      <c r="AG507" s="17">
        <v>15</v>
      </c>
      <c r="AH507" s="36">
        <f t="shared" si="170"/>
        <v>6.4102564102564097E-2</v>
      </c>
      <c r="AI507" s="17">
        <v>9</v>
      </c>
      <c r="AJ507" s="36">
        <f t="shared" si="163"/>
        <v>6.569343065693431E-2</v>
      </c>
      <c r="AK507" s="17">
        <v>0</v>
      </c>
      <c r="AL507" s="36">
        <f t="shared" si="171"/>
        <v>0</v>
      </c>
      <c r="AM507" s="17">
        <v>0</v>
      </c>
      <c r="AN507" s="36">
        <f t="shared" si="164"/>
        <v>0</v>
      </c>
      <c r="AO507" s="17">
        <v>234</v>
      </c>
      <c r="AP507" s="17">
        <v>137</v>
      </c>
    </row>
    <row r="508" spans="1:42" ht="15.75" customHeight="1" x14ac:dyDescent="0.25">
      <c r="A508" s="37">
        <v>2021</v>
      </c>
      <c r="B508" s="35">
        <v>171380</v>
      </c>
      <c r="C508" s="34" t="s">
        <v>145</v>
      </c>
      <c r="D508" s="34" t="s">
        <v>94</v>
      </c>
      <c r="E508" s="17">
        <v>1</v>
      </c>
      <c r="F508" s="36">
        <f t="shared" si="154"/>
        <v>2.9411764705882353E-2</v>
      </c>
      <c r="G508" s="17">
        <v>0</v>
      </c>
      <c r="H508" s="36">
        <f t="shared" si="155"/>
        <v>0</v>
      </c>
      <c r="I508" s="17">
        <v>1</v>
      </c>
      <c r="J508" s="36">
        <f t="shared" si="156"/>
        <v>2.9411764705882353E-2</v>
      </c>
      <c r="K508" s="17">
        <v>0</v>
      </c>
      <c r="L508" s="36">
        <f t="shared" si="157"/>
        <v>0</v>
      </c>
      <c r="M508" s="17">
        <v>32</v>
      </c>
      <c r="N508" s="36">
        <f t="shared" si="165"/>
        <v>0.94117647058823528</v>
      </c>
      <c r="O508" s="17">
        <v>8</v>
      </c>
      <c r="P508" s="36">
        <f t="shared" si="158"/>
        <v>1</v>
      </c>
      <c r="Q508" s="17">
        <v>0</v>
      </c>
      <c r="R508" s="36">
        <f t="shared" si="166"/>
        <v>0</v>
      </c>
      <c r="S508" s="17">
        <v>0</v>
      </c>
      <c r="T508" s="36">
        <f t="shared" si="159"/>
        <v>0</v>
      </c>
      <c r="U508" s="17">
        <v>0</v>
      </c>
      <c r="V508" s="36">
        <f t="shared" si="167"/>
        <v>0</v>
      </c>
      <c r="W508" s="17">
        <v>0</v>
      </c>
      <c r="X508" s="36">
        <f t="shared" si="160"/>
        <v>0</v>
      </c>
      <c r="Y508" s="17">
        <v>22</v>
      </c>
      <c r="Z508" s="36">
        <f t="shared" si="168"/>
        <v>0.6470588235294118</v>
      </c>
      <c r="AA508" s="17">
        <v>4</v>
      </c>
      <c r="AB508" s="36">
        <f t="shared" si="161"/>
        <v>0.5</v>
      </c>
      <c r="AC508" s="17">
        <v>9</v>
      </c>
      <c r="AD508" s="36">
        <f t="shared" si="169"/>
        <v>0.26470588235294118</v>
      </c>
      <c r="AE508" s="17">
        <v>3</v>
      </c>
      <c r="AF508" s="36">
        <f t="shared" si="162"/>
        <v>0.375</v>
      </c>
      <c r="AG508" s="17">
        <v>3</v>
      </c>
      <c r="AH508" s="36">
        <f t="shared" si="170"/>
        <v>8.8235294117647065E-2</v>
      </c>
      <c r="AI508" s="17">
        <v>0</v>
      </c>
      <c r="AJ508" s="36">
        <f t="shared" si="163"/>
        <v>0</v>
      </c>
      <c r="AK508" s="17">
        <v>0</v>
      </c>
      <c r="AL508" s="36">
        <f t="shared" si="171"/>
        <v>0</v>
      </c>
      <c r="AM508" s="17">
        <v>1</v>
      </c>
      <c r="AN508" s="36">
        <f t="shared" si="164"/>
        <v>0.125</v>
      </c>
      <c r="AO508" s="17">
        <v>34</v>
      </c>
      <c r="AP508" s="17">
        <v>8</v>
      </c>
    </row>
    <row r="509" spans="1:42" ht="15.75" customHeight="1" x14ac:dyDescent="0.25">
      <c r="A509" s="37">
        <v>2021</v>
      </c>
      <c r="B509" s="35">
        <v>171575</v>
      </c>
      <c r="C509" s="34" t="s">
        <v>146</v>
      </c>
      <c r="D509" s="34" t="s">
        <v>95</v>
      </c>
      <c r="E509" s="17">
        <v>4</v>
      </c>
      <c r="F509" s="36">
        <f t="shared" si="154"/>
        <v>1.6877637130801686E-2</v>
      </c>
      <c r="G509" s="17">
        <v>1</v>
      </c>
      <c r="H509" s="36">
        <f t="shared" si="155"/>
        <v>9.7087378640776691E-3</v>
      </c>
      <c r="I509" s="17">
        <v>6</v>
      </c>
      <c r="J509" s="36">
        <f t="shared" si="156"/>
        <v>2.5316455696202531E-2</v>
      </c>
      <c r="K509" s="17">
        <v>4</v>
      </c>
      <c r="L509" s="36">
        <f t="shared" si="157"/>
        <v>3.8834951456310676E-2</v>
      </c>
      <c r="M509" s="17">
        <v>227</v>
      </c>
      <c r="N509" s="36">
        <f t="shared" si="165"/>
        <v>0.95780590717299574</v>
      </c>
      <c r="O509" s="17">
        <v>98</v>
      </c>
      <c r="P509" s="36">
        <f t="shared" si="158"/>
        <v>0.95145631067961167</v>
      </c>
      <c r="Q509" s="17">
        <v>1</v>
      </c>
      <c r="R509" s="36">
        <f t="shared" si="166"/>
        <v>4.2194092827004216E-3</v>
      </c>
      <c r="S509" s="17">
        <v>0</v>
      </c>
      <c r="T509" s="36">
        <f t="shared" si="159"/>
        <v>0</v>
      </c>
      <c r="U509" s="17">
        <v>11</v>
      </c>
      <c r="V509" s="36">
        <f t="shared" si="167"/>
        <v>4.6413502109704644E-2</v>
      </c>
      <c r="W509" s="17">
        <v>3</v>
      </c>
      <c r="X509" s="36">
        <f t="shared" si="160"/>
        <v>2.9126213592233011E-2</v>
      </c>
      <c r="Y509" s="17">
        <v>164</v>
      </c>
      <c r="Z509" s="36">
        <f t="shared" si="168"/>
        <v>0.69198312236286919</v>
      </c>
      <c r="AA509" s="17">
        <v>81</v>
      </c>
      <c r="AB509" s="36">
        <f t="shared" si="161"/>
        <v>0.78640776699029125</v>
      </c>
      <c r="AC509" s="17">
        <v>44</v>
      </c>
      <c r="AD509" s="36">
        <f t="shared" si="169"/>
        <v>0.18565400843881857</v>
      </c>
      <c r="AE509" s="17">
        <v>15</v>
      </c>
      <c r="AF509" s="36">
        <f t="shared" si="162"/>
        <v>0.14563106796116504</v>
      </c>
      <c r="AG509" s="17">
        <v>12</v>
      </c>
      <c r="AH509" s="36">
        <f t="shared" si="170"/>
        <v>5.0632911392405063E-2</v>
      </c>
      <c r="AI509" s="17">
        <v>2</v>
      </c>
      <c r="AJ509" s="36">
        <f t="shared" si="163"/>
        <v>1.9417475728155338E-2</v>
      </c>
      <c r="AK509" s="17">
        <v>5</v>
      </c>
      <c r="AL509" s="36">
        <f t="shared" si="171"/>
        <v>2.1097046413502109E-2</v>
      </c>
      <c r="AM509" s="17">
        <v>2</v>
      </c>
      <c r="AN509" s="36">
        <f t="shared" si="164"/>
        <v>1.9417475728155338E-2</v>
      </c>
      <c r="AO509" s="17">
        <v>237</v>
      </c>
      <c r="AP509" s="17">
        <v>103</v>
      </c>
    </row>
    <row r="510" spans="1:42" ht="15.75" customHeight="1" x14ac:dyDescent="0.25">
      <c r="A510" s="37">
        <v>2021</v>
      </c>
      <c r="B510" s="35">
        <v>171610</v>
      </c>
      <c r="C510" s="34" t="s">
        <v>144</v>
      </c>
      <c r="D510" s="34" t="s">
        <v>96</v>
      </c>
      <c r="E510" s="17">
        <v>9</v>
      </c>
      <c r="F510" s="36">
        <f t="shared" si="154"/>
        <v>1.5929203539823009E-2</v>
      </c>
      <c r="G510" s="17">
        <v>6</v>
      </c>
      <c r="H510" s="36">
        <f t="shared" si="155"/>
        <v>2.6315789473684209E-2</v>
      </c>
      <c r="I510" s="17">
        <v>17</v>
      </c>
      <c r="J510" s="36">
        <f t="shared" si="156"/>
        <v>3.0088495575221239E-2</v>
      </c>
      <c r="K510" s="17">
        <v>7</v>
      </c>
      <c r="L510" s="36">
        <f t="shared" si="157"/>
        <v>3.0701754385964911E-2</v>
      </c>
      <c r="M510" s="17">
        <v>539</v>
      </c>
      <c r="N510" s="36">
        <f t="shared" si="165"/>
        <v>0.95398230088495573</v>
      </c>
      <c r="O510" s="17">
        <v>215</v>
      </c>
      <c r="P510" s="36">
        <f t="shared" si="158"/>
        <v>0.94298245614035092</v>
      </c>
      <c r="Q510" s="17">
        <v>9</v>
      </c>
      <c r="R510" s="36">
        <f t="shared" si="166"/>
        <v>1.5929203539823009E-2</v>
      </c>
      <c r="S510" s="17">
        <v>9</v>
      </c>
      <c r="T510" s="36">
        <f t="shared" si="159"/>
        <v>3.9473684210526314E-2</v>
      </c>
      <c r="U510" s="17">
        <v>17</v>
      </c>
      <c r="V510" s="36">
        <f t="shared" si="167"/>
        <v>3.0088495575221239E-2</v>
      </c>
      <c r="W510" s="17">
        <v>8</v>
      </c>
      <c r="X510" s="36">
        <f t="shared" si="160"/>
        <v>3.5087719298245612E-2</v>
      </c>
      <c r="Y510" s="17">
        <v>359</v>
      </c>
      <c r="Z510" s="36">
        <f t="shared" si="168"/>
        <v>0.63539823008849561</v>
      </c>
      <c r="AA510" s="17">
        <v>159</v>
      </c>
      <c r="AB510" s="36">
        <f t="shared" si="161"/>
        <v>0.69736842105263153</v>
      </c>
      <c r="AC510" s="17">
        <v>107</v>
      </c>
      <c r="AD510" s="36">
        <f t="shared" si="169"/>
        <v>0.18938053097345134</v>
      </c>
      <c r="AE510" s="17">
        <v>29</v>
      </c>
      <c r="AF510" s="36">
        <f t="shared" si="162"/>
        <v>0.12719298245614036</v>
      </c>
      <c r="AG510" s="17">
        <v>57</v>
      </c>
      <c r="AH510" s="36">
        <f t="shared" si="170"/>
        <v>0.10088495575221239</v>
      </c>
      <c r="AI510" s="17">
        <v>19</v>
      </c>
      <c r="AJ510" s="36">
        <f t="shared" si="163"/>
        <v>8.3333333333333329E-2</v>
      </c>
      <c r="AK510" s="17">
        <v>16</v>
      </c>
      <c r="AL510" s="36">
        <f t="shared" si="171"/>
        <v>2.831858407079646E-2</v>
      </c>
      <c r="AM510" s="17">
        <v>4</v>
      </c>
      <c r="AN510" s="36">
        <f t="shared" si="164"/>
        <v>1.7543859649122806E-2</v>
      </c>
      <c r="AO510" s="17">
        <v>565</v>
      </c>
      <c r="AP510" s="17">
        <v>228</v>
      </c>
    </row>
    <row r="511" spans="1:42" ht="15.75" customHeight="1" x14ac:dyDescent="0.25">
      <c r="A511" s="37">
        <v>2021</v>
      </c>
      <c r="B511" s="35">
        <v>171620</v>
      </c>
      <c r="C511" s="34" t="s">
        <v>147</v>
      </c>
      <c r="D511" s="34" t="s">
        <v>97</v>
      </c>
      <c r="E511" s="17">
        <v>16</v>
      </c>
      <c r="F511" s="36">
        <f t="shared" si="154"/>
        <v>2.6711185308848081E-2</v>
      </c>
      <c r="G511" s="17">
        <v>2</v>
      </c>
      <c r="H511" s="36">
        <f t="shared" si="155"/>
        <v>1.1363636363636364E-2</v>
      </c>
      <c r="I511" s="17">
        <v>42</v>
      </c>
      <c r="J511" s="36">
        <f t="shared" si="156"/>
        <v>7.0116861435726208E-2</v>
      </c>
      <c r="K511" s="17">
        <v>11</v>
      </c>
      <c r="L511" s="36">
        <f t="shared" si="157"/>
        <v>6.25E-2</v>
      </c>
      <c r="M511" s="17">
        <v>541</v>
      </c>
      <c r="N511" s="36">
        <f t="shared" si="165"/>
        <v>0.90317195325542576</v>
      </c>
      <c r="O511" s="17">
        <v>163</v>
      </c>
      <c r="P511" s="36">
        <f t="shared" si="158"/>
        <v>0.92613636363636365</v>
      </c>
      <c r="Q511" s="17">
        <v>6</v>
      </c>
      <c r="R511" s="36">
        <f t="shared" si="166"/>
        <v>1.001669449081803E-2</v>
      </c>
      <c r="S511" s="17">
        <v>2</v>
      </c>
      <c r="T511" s="36">
        <f t="shared" si="159"/>
        <v>1.1363636363636364E-2</v>
      </c>
      <c r="U511" s="17">
        <v>17</v>
      </c>
      <c r="V511" s="36">
        <f t="shared" si="167"/>
        <v>2.8380634390651086E-2</v>
      </c>
      <c r="W511" s="17">
        <v>4</v>
      </c>
      <c r="X511" s="36">
        <f t="shared" si="160"/>
        <v>2.2727272727272728E-2</v>
      </c>
      <c r="Y511" s="17">
        <v>431</v>
      </c>
      <c r="Z511" s="36">
        <f t="shared" si="168"/>
        <v>0.71953255425709517</v>
      </c>
      <c r="AA511" s="17">
        <v>128</v>
      </c>
      <c r="AB511" s="36">
        <f t="shared" si="161"/>
        <v>0.72727272727272729</v>
      </c>
      <c r="AC511" s="17">
        <v>107</v>
      </c>
      <c r="AD511" s="36">
        <f t="shared" si="169"/>
        <v>0.17863105175292154</v>
      </c>
      <c r="AE511" s="17">
        <v>33</v>
      </c>
      <c r="AF511" s="36">
        <f t="shared" si="162"/>
        <v>0.1875</v>
      </c>
      <c r="AG511" s="17">
        <v>27</v>
      </c>
      <c r="AH511" s="36">
        <f t="shared" si="170"/>
        <v>4.5075125208681135E-2</v>
      </c>
      <c r="AI511" s="17">
        <v>7</v>
      </c>
      <c r="AJ511" s="36">
        <f t="shared" si="163"/>
        <v>3.9772727272727272E-2</v>
      </c>
      <c r="AK511" s="17">
        <v>11</v>
      </c>
      <c r="AL511" s="36">
        <f t="shared" si="171"/>
        <v>1.8363939899833055E-2</v>
      </c>
      <c r="AM511" s="17">
        <v>2</v>
      </c>
      <c r="AN511" s="36">
        <f t="shared" si="164"/>
        <v>1.1363636363636364E-2</v>
      </c>
      <c r="AO511" s="17">
        <v>599</v>
      </c>
      <c r="AP511" s="17">
        <v>176</v>
      </c>
    </row>
    <row r="512" spans="1:42" ht="15.75" customHeight="1" x14ac:dyDescent="0.25">
      <c r="A512" s="37">
        <v>2021</v>
      </c>
      <c r="B512" s="35">
        <v>171630</v>
      </c>
      <c r="C512" s="34" t="s">
        <v>149</v>
      </c>
      <c r="D512" s="34" t="s">
        <v>98</v>
      </c>
      <c r="E512" s="17">
        <v>2</v>
      </c>
      <c r="F512" s="36">
        <f t="shared" si="154"/>
        <v>1.4084507042253521E-2</v>
      </c>
      <c r="G512" s="17">
        <v>1</v>
      </c>
      <c r="H512" s="36">
        <f t="shared" si="155"/>
        <v>1.3888888888888888E-2</v>
      </c>
      <c r="I512" s="17">
        <v>11</v>
      </c>
      <c r="J512" s="36">
        <f t="shared" si="156"/>
        <v>7.746478873239436E-2</v>
      </c>
      <c r="K512" s="17">
        <v>5</v>
      </c>
      <c r="L512" s="36">
        <f t="shared" si="157"/>
        <v>6.9444444444444448E-2</v>
      </c>
      <c r="M512" s="17">
        <v>129</v>
      </c>
      <c r="N512" s="36">
        <f t="shared" si="165"/>
        <v>0.90845070422535212</v>
      </c>
      <c r="O512" s="17">
        <v>66</v>
      </c>
      <c r="P512" s="36">
        <f t="shared" si="158"/>
        <v>0.91666666666666663</v>
      </c>
      <c r="Q512" s="17">
        <v>1</v>
      </c>
      <c r="R512" s="36">
        <f t="shared" si="166"/>
        <v>7.0422535211267607E-3</v>
      </c>
      <c r="S512" s="17">
        <v>1</v>
      </c>
      <c r="T512" s="36">
        <f t="shared" si="159"/>
        <v>1.3888888888888888E-2</v>
      </c>
      <c r="U512" s="17">
        <v>5</v>
      </c>
      <c r="V512" s="36">
        <f t="shared" si="167"/>
        <v>3.5211267605633804E-2</v>
      </c>
      <c r="W512" s="17">
        <v>2</v>
      </c>
      <c r="X512" s="36">
        <f t="shared" si="160"/>
        <v>2.7777777777777776E-2</v>
      </c>
      <c r="Y512" s="17">
        <v>98</v>
      </c>
      <c r="Z512" s="36">
        <f t="shared" si="168"/>
        <v>0.6901408450704225</v>
      </c>
      <c r="AA512" s="17">
        <v>50</v>
      </c>
      <c r="AB512" s="36">
        <f t="shared" si="161"/>
        <v>0.69444444444444442</v>
      </c>
      <c r="AC512" s="17">
        <v>22</v>
      </c>
      <c r="AD512" s="36">
        <f t="shared" si="169"/>
        <v>0.15492957746478872</v>
      </c>
      <c r="AE512" s="17">
        <v>13</v>
      </c>
      <c r="AF512" s="36">
        <f t="shared" si="162"/>
        <v>0.18055555555555555</v>
      </c>
      <c r="AG512" s="17">
        <v>14</v>
      </c>
      <c r="AH512" s="36">
        <f t="shared" si="170"/>
        <v>9.8591549295774641E-2</v>
      </c>
      <c r="AI512" s="17">
        <v>5</v>
      </c>
      <c r="AJ512" s="36">
        <f t="shared" si="163"/>
        <v>6.9444444444444448E-2</v>
      </c>
      <c r="AK512" s="17">
        <v>2</v>
      </c>
      <c r="AL512" s="36">
        <f t="shared" si="171"/>
        <v>1.4084507042253521E-2</v>
      </c>
      <c r="AM512" s="17">
        <v>1</v>
      </c>
      <c r="AN512" s="36">
        <f t="shared" si="164"/>
        <v>1.3888888888888888E-2</v>
      </c>
      <c r="AO512" s="17">
        <v>142</v>
      </c>
      <c r="AP512" s="17">
        <v>72</v>
      </c>
    </row>
    <row r="513" spans="1:42" ht="15.75" customHeight="1" x14ac:dyDescent="0.25">
      <c r="A513" s="37">
        <v>2021</v>
      </c>
      <c r="B513" s="35">
        <v>171650</v>
      </c>
      <c r="C513" s="34" t="s">
        <v>150</v>
      </c>
      <c r="D513" s="34" t="s">
        <v>99</v>
      </c>
      <c r="E513" s="17">
        <v>4</v>
      </c>
      <c r="F513" s="36">
        <f t="shared" si="154"/>
        <v>8.4566596194503175E-3</v>
      </c>
      <c r="G513" s="17">
        <v>2</v>
      </c>
      <c r="H513" s="36">
        <f t="shared" si="155"/>
        <v>7.9365079365079361E-3</v>
      </c>
      <c r="I513" s="17">
        <v>28</v>
      </c>
      <c r="J513" s="36">
        <f t="shared" si="156"/>
        <v>5.9196617336152217E-2</v>
      </c>
      <c r="K513" s="17">
        <v>10</v>
      </c>
      <c r="L513" s="36">
        <f t="shared" si="157"/>
        <v>3.968253968253968E-2</v>
      </c>
      <c r="M513" s="17">
        <v>441</v>
      </c>
      <c r="N513" s="36">
        <f t="shared" si="165"/>
        <v>0.93234672304439747</v>
      </c>
      <c r="O513" s="17">
        <v>240</v>
      </c>
      <c r="P513" s="36">
        <f t="shared" si="158"/>
        <v>0.95238095238095233</v>
      </c>
      <c r="Q513" s="17">
        <v>2</v>
      </c>
      <c r="R513" s="36">
        <f t="shared" si="166"/>
        <v>4.2283298097251587E-3</v>
      </c>
      <c r="S513" s="17">
        <v>0</v>
      </c>
      <c r="T513" s="36">
        <f t="shared" si="159"/>
        <v>0</v>
      </c>
      <c r="U513" s="17">
        <v>12</v>
      </c>
      <c r="V513" s="36">
        <f t="shared" si="167"/>
        <v>2.5369978858350951E-2</v>
      </c>
      <c r="W513" s="17">
        <v>8</v>
      </c>
      <c r="X513" s="36">
        <f t="shared" si="160"/>
        <v>3.1746031746031744E-2</v>
      </c>
      <c r="Y513" s="17">
        <v>322</v>
      </c>
      <c r="Z513" s="36">
        <f t="shared" si="168"/>
        <v>0.68076109936575058</v>
      </c>
      <c r="AA513" s="17">
        <v>181</v>
      </c>
      <c r="AB513" s="36">
        <f t="shared" si="161"/>
        <v>0.71825396825396826</v>
      </c>
      <c r="AC513" s="17">
        <v>89</v>
      </c>
      <c r="AD513" s="36">
        <f t="shared" si="169"/>
        <v>0.18816067653276955</v>
      </c>
      <c r="AE513" s="17">
        <v>44</v>
      </c>
      <c r="AF513" s="36">
        <f t="shared" si="162"/>
        <v>0.17460317460317459</v>
      </c>
      <c r="AG513" s="17">
        <v>42</v>
      </c>
      <c r="AH513" s="36">
        <f t="shared" si="170"/>
        <v>8.8794926004228336E-2</v>
      </c>
      <c r="AI513" s="17">
        <v>15</v>
      </c>
      <c r="AJ513" s="36">
        <f t="shared" si="163"/>
        <v>5.9523809523809521E-2</v>
      </c>
      <c r="AK513" s="17">
        <v>6</v>
      </c>
      <c r="AL513" s="36">
        <f t="shared" si="171"/>
        <v>1.2684989429175475E-2</v>
      </c>
      <c r="AM513" s="17">
        <v>4</v>
      </c>
      <c r="AN513" s="36">
        <f t="shared" si="164"/>
        <v>1.5873015873015872E-2</v>
      </c>
      <c r="AO513" s="17">
        <v>473</v>
      </c>
      <c r="AP513" s="17">
        <v>252</v>
      </c>
    </row>
    <row r="514" spans="1:42" ht="15.75" customHeight="1" x14ac:dyDescent="0.25">
      <c r="A514" s="37">
        <v>2021</v>
      </c>
      <c r="B514" s="35">
        <v>171660</v>
      </c>
      <c r="C514" s="34" t="s">
        <v>146</v>
      </c>
      <c r="D514" s="34" t="s">
        <v>100</v>
      </c>
      <c r="E514" s="17">
        <v>4</v>
      </c>
      <c r="F514" s="36">
        <f t="shared" ref="F514:F577" si="172">IFERROR(E514/$AO514,0)</f>
        <v>9.3676814988290398E-3</v>
      </c>
      <c r="G514" s="17">
        <v>2</v>
      </c>
      <c r="H514" s="36">
        <f t="shared" ref="H514:H577" si="173">IFERROR(G514/$AP514,0)</f>
        <v>1.4285714285714285E-2</v>
      </c>
      <c r="I514" s="17">
        <v>21</v>
      </c>
      <c r="J514" s="36">
        <f t="shared" ref="J514:J577" si="174">IFERROR(I514/$AO514,0)</f>
        <v>4.9180327868852458E-2</v>
      </c>
      <c r="K514" s="17">
        <v>4</v>
      </c>
      <c r="L514" s="36">
        <f t="shared" ref="L514:L577" si="175">IFERROR(K514/$AP514,0)</f>
        <v>2.8571428571428571E-2</v>
      </c>
      <c r="M514" s="17">
        <v>402</v>
      </c>
      <c r="N514" s="36">
        <f t="shared" si="165"/>
        <v>0.94145199063231855</v>
      </c>
      <c r="O514" s="17">
        <v>134</v>
      </c>
      <c r="P514" s="36">
        <f t="shared" ref="P514:P577" si="176">IFERROR(O514/$AP514,0)</f>
        <v>0.95714285714285718</v>
      </c>
      <c r="Q514" s="17">
        <v>3</v>
      </c>
      <c r="R514" s="36">
        <f t="shared" si="166"/>
        <v>7.0257611241217799E-3</v>
      </c>
      <c r="S514" s="17">
        <v>1</v>
      </c>
      <c r="T514" s="36">
        <f t="shared" ref="T514:T577" si="177">IFERROR(S514/$AP514,0)</f>
        <v>7.1428571428571426E-3</v>
      </c>
      <c r="U514" s="17">
        <v>10</v>
      </c>
      <c r="V514" s="36">
        <f t="shared" si="167"/>
        <v>2.3419203747072601E-2</v>
      </c>
      <c r="W514" s="17">
        <v>4</v>
      </c>
      <c r="X514" s="36">
        <f t="shared" ref="X514:X577" si="178">IFERROR(W514/$AP514,0)</f>
        <v>2.8571428571428571E-2</v>
      </c>
      <c r="Y514" s="17">
        <v>264</v>
      </c>
      <c r="Z514" s="36">
        <f t="shared" si="168"/>
        <v>0.61826697892271665</v>
      </c>
      <c r="AA514" s="17">
        <v>92</v>
      </c>
      <c r="AB514" s="36">
        <f t="shared" ref="AB514:AB577" si="179">IFERROR(AA514/$AP514,0)</f>
        <v>0.65714285714285714</v>
      </c>
      <c r="AC514" s="17">
        <v>86</v>
      </c>
      <c r="AD514" s="36">
        <f t="shared" si="169"/>
        <v>0.20140515222482436</v>
      </c>
      <c r="AE514" s="17">
        <v>23</v>
      </c>
      <c r="AF514" s="36">
        <f t="shared" ref="AF514:AF577" si="180">IFERROR(AE514/$AP514,0)</f>
        <v>0.16428571428571428</v>
      </c>
      <c r="AG514" s="17">
        <v>57</v>
      </c>
      <c r="AH514" s="36">
        <f t="shared" si="170"/>
        <v>0.13348946135831383</v>
      </c>
      <c r="AI514" s="17">
        <v>17</v>
      </c>
      <c r="AJ514" s="36">
        <f t="shared" ref="AJ514:AJ577" si="181">IFERROR(AI514/$AP514,0)</f>
        <v>0.12142857142857143</v>
      </c>
      <c r="AK514" s="17">
        <v>7</v>
      </c>
      <c r="AL514" s="36">
        <f t="shared" si="171"/>
        <v>1.6393442622950821E-2</v>
      </c>
      <c r="AM514" s="17">
        <v>3</v>
      </c>
      <c r="AN514" s="36">
        <f t="shared" ref="AN514:AN577" si="182">IFERROR(AM514/$AP514,0)</f>
        <v>2.1428571428571429E-2</v>
      </c>
      <c r="AO514" s="17">
        <v>427</v>
      </c>
      <c r="AP514" s="17">
        <v>140</v>
      </c>
    </row>
    <row r="515" spans="1:42" ht="15.75" customHeight="1" x14ac:dyDescent="0.25">
      <c r="A515" s="37">
        <v>2021</v>
      </c>
      <c r="B515" s="35">
        <v>171665</v>
      </c>
      <c r="C515" s="34" t="s">
        <v>150</v>
      </c>
      <c r="D515" s="34" t="s">
        <v>101</v>
      </c>
      <c r="E515" s="17">
        <v>2</v>
      </c>
      <c r="F515" s="36">
        <f t="shared" si="172"/>
        <v>1.3986013986013986E-2</v>
      </c>
      <c r="G515" s="17">
        <v>2</v>
      </c>
      <c r="H515" s="36">
        <f t="shared" si="173"/>
        <v>2.9411764705882353E-2</v>
      </c>
      <c r="I515" s="17">
        <v>4</v>
      </c>
      <c r="J515" s="36">
        <f t="shared" si="174"/>
        <v>2.7972027972027972E-2</v>
      </c>
      <c r="K515" s="17">
        <v>2</v>
      </c>
      <c r="L515" s="36">
        <f t="shared" si="175"/>
        <v>2.9411764705882353E-2</v>
      </c>
      <c r="M515" s="17">
        <v>137</v>
      </c>
      <c r="N515" s="36">
        <f t="shared" si="165"/>
        <v>0.95804195804195802</v>
      </c>
      <c r="O515" s="17">
        <v>64</v>
      </c>
      <c r="P515" s="36">
        <f t="shared" si="176"/>
        <v>0.94117647058823528</v>
      </c>
      <c r="Q515" s="17">
        <v>0</v>
      </c>
      <c r="R515" s="36">
        <f t="shared" si="166"/>
        <v>0</v>
      </c>
      <c r="S515" s="17">
        <v>0</v>
      </c>
      <c r="T515" s="36">
        <f t="shared" si="177"/>
        <v>0</v>
      </c>
      <c r="U515" s="17">
        <v>4</v>
      </c>
      <c r="V515" s="36">
        <f t="shared" si="167"/>
        <v>2.7972027972027972E-2</v>
      </c>
      <c r="W515" s="17">
        <v>3</v>
      </c>
      <c r="X515" s="36">
        <f t="shared" si="178"/>
        <v>4.4117647058823532E-2</v>
      </c>
      <c r="Y515" s="17">
        <v>91</v>
      </c>
      <c r="Z515" s="36">
        <f t="shared" si="168"/>
        <v>0.63636363636363635</v>
      </c>
      <c r="AA515" s="17">
        <v>42</v>
      </c>
      <c r="AB515" s="36">
        <f t="shared" si="179"/>
        <v>0.61764705882352944</v>
      </c>
      <c r="AC515" s="17">
        <v>28</v>
      </c>
      <c r="AD515" s="36">
        <f t="shared" si="169"/>
        <v>0.19580419580419581</v>
      </c>
      <c r="AE515" s="17">
        <v>12</v>
      </c>
      <c r="AF515" s="36">
        <f t="shared" si="180"/>
        <v>0.17647058823529413</v>
      </c>
      <c r="AG515" s="17">
        <v>16</v>
      </c>
      <c r="AH515" s="36">
        <f t="shared" si="170"/>
        <v>0.11188811188811189</v>
      </c>
      <c r="AI515" s="17">
        <v>10</v>
      </c>
      <c r="AJ515" s="36">
        <f t="shared" si="181"/>
        <v>0.14705882352941177</v>
      </c>
      <c r="AK515" s="17">
        <v>4</v>
      </c>
      <c r="AL515" s="36">
        <f t="shared" si="171"/>
        <v>2.7972027972027972E-2</v>
      </c>
      <c r="AM515" s="17">
        <v>1</v>
      </c>
      <c r="AN515" s="36">
        <f t="shared" si="182"/>
        <v>1.4705882352941176E-2</v>
      </c>
      <c r="AO515" s="17">
        <v>143</v>
      </c>
      <c r="AP515" s="17">
        <v>68</v>
      </c>
    </row>
    <row r="516" spans="1:42" ht="15.75" customHeight="1" x14ac:dyDescent="0.25">
      <c r="A516" s="37">
        <v>2021</v>
      </c>
      <c r="B516" s="35">
        <v>171700</v>
      </c>
      <c r="C516" s="34" t="s">
        <v>151</v>
      </c>
      <c r="D516" s="34" t="s">
        <v>102</v>
      </c>
      <c r="E516" s="17">
        <v>2</v>
      </c>
      <c r="F516" s="36">
        <f t="shared" si="172"/>
        <v>3.2258064516129031E-2</v>
      </c>
      <c r="G516" s="17">
        <v>2</v>
      </c>
      <c r="H516" s="36">
        <f t="shared" si="173"/>
        <v>4.2553191489361701E-2</v>
      </c>
      <c r="I516" s="17">
        <v>3</v>
      </c>
      <c r="J516" s="36">
        <f t="shared" si="174"/>
        <v>4.8387096774193547E-2</v>
      </c>
      <c r="K516" s="17">
        <v>2</v>
      </c>
      <c r="L516" s="36">
        <f t="shared" si="175"/>
        <v>4.2553191489361701E-2</v>
      </c>
      <c r="M516" s="17">
        <v>57</v>
      </c>
      <c r="N516" s="36">
        <f t="shared" si="165"/>
        <v>0.91935483870967738</v>
      </c>
      <c r="O516" s="17">
        <v>43</v>
      </c>
      <c r="P516" s="36">
        <f t="shared" si="176"/>
        <v>0.91489361702127658</v>
      </c>
      <c r="Q516" s="17">
        <v>0</v>
      </c>
      <c r="R516" s="36">
        <f t="shared" si="166"/>
        <v>0</v>
      </c>
      <c r="S516" s="17">
        <v>0</v>
      </c>
      <c r="T516" s="36">
        <f t="shared" si="177"/>
        <v>0</v>
      </c>
      <c r="U516" s="17">
        <v>0</v>
      </c>
      <c r="V516" s="36">
        <f t="shared" si="167"/>
        <v>0</v>
      </c>
      <c r="W516" s="17">
        <v>0</v>
      </c>
      <c r="X516" s="36">
        <f t="shared" si="178"/>
        <v>0</v>
      </c>
      <c r="Y516" s="17">
        <v>42</v>
      </c>
      <c r="Z516" s="36">
        <f t="shared" si="168"/>
        <v>0.67741935483870963</v>
      </c>
      <c r="AA516" s="17">
        <v>35</v>
      </c>
      <c r="AB516" s="36">
        <f t="shared" si="179"/>
        <v>0.74468085106382975</v>
      </c>
      <c r="AC516" s="17">
        <v>14</v>
      </c>
      <c r="AD516" s="36">
        <f t="shared" si="169"/>
        <v>0.22580645161290322</v>
      </c>
      <c r="AE516" s="17">
        <v>10</v>
      </c>
      <c r="AF516" s="36">
        <f t="shared" si="180"/>
        <v>0.21276595744680851</v>
      </c>
      <c r="AG516" s="17">
        <v>5</v>
      </c>
      <c r="AH516" s="36">
        <f t="shared" si="170"/>
        <v>8.0645161290322578E-2</v>
      </c>
      <c r="AI516" s="17">
        <v>2</v>
      </c>
      <c r="AJ516" s="36">
        <f t="shared" si="181"/>
        <v>4.2553191489361701E-2</v>
      </c>
      <c r="AK516" s="17">
        <v>1</v>
      </c>
      <c r="AL516" s="36">
        <f t="shared" si="171"/>
        <v>1.6129032258064516E-2</v>
      </c>
      <c r="AM516" s="17">
        <v>0</v>
      </c>
      <c r="AN516" s="36">
        <f t="shared" si="182"/>
        <v>0</v>
      </c>
      <c r="AO516" s="17">
        <v>62</v>
      </c>
      <c r="AP516" s="17">
        <v>47</v>
      </c>
    </row>
    <row r="517" spans="1:42" ht="15.75" customHeight="1" x14ac:dyDescent="0.25">
      <c r="A517" s="37">
        <v>2021</v>
      </c>
      <c r="B517" s="35">
        <v>171720</v>
      </c>
      <c r="C517" s="34" t="s">
        <v>149</v>
      </c>
      <c r="D517" s="34" t="s">
        <v>103</v>
      </c>
      <c r="E517" s="17">
        <v>4</v>
      </c>
      <c r="F517" s="36">
        <f t="shared" si="172"/>
        <v>3.125E-2</v>
      </c>
      <c r="G517" s="17">
        <v>3</v>
      </c>
      <c r="H517" s="36">
        <f t="shared" si="173"/>
        <v>4.6875E-2</v>
      </c>
      <c r="I517" s="17">
        <v>9</v>
      </c>
      <c r="J517" s="36">
        <f t="shared" si="174"/>
        <v>7.03125E-2</v>
      </c>
      <c r="K517" s="17">
        <v>6</v>
      </c>
      <c r="L517" s="36">
        <f t="shared" si="175"/>
        <v>9.375E-2</v>
      </c>
      <c r="M517" s="17">
        <v>115</v>
      </c>
      <c r="N517" s="36">
        <f t="shared" si="165"/>
        <v>0.8984375</v>
      </c>
      <c r="O517" s="17">
        <v>55</v>
      </c>
      <c r="P517" s="36">
        <f t="shared" si="176"/>
        <v>0.859375</v>
      </c>
      <c r="Q517" s="17">
        <v>3</v>
      </c>
      <c r="R517" s="36">
        <f t="shared" si="166"/>
        <v>2.34375E-2</v>
      </c>
      <c r="S517" s="17">
        <v>3</v>
      </c>
      <c r="T517" s="36">
        <f t="shared" si="177"/>
        <v>4.6875E-2</v>
      </c>
      <c r="U517" s="17">
        <v>7</v>
      </c>
      <c r="V517" s="36">
        <f t="shared" si="167"/>
        <v>5.46875E-2</v>
      </c>
      <c r="W517" s="17">
        <v>5</v>
      </c>
      <c r="X517" s="36">
        <f t="shared" si="178"/>
        <v>7.8125E-2</v>
      </c>
      <c r="Y517" s="17">
        <v>89</v>
      </c>
      <c r="Z517" s="36">
        <f t="shared" si="168"/>
        <v>0.6953125</v>
      </c>
      <c r="AA517" s="17">
        <v>47</v>
      </c>
      <c r="AB517" s="36">
        <f t="shared" si="179"/>
        <v>0.734375</v>
      </c>
      <c r="AC517" s="17">
        <v>20</v>
      </c>
      <c r="AD517" s="36">
        <f t="shared" si="169"/>
        <v>0.15625</v>
      </c>
      <c r="AE517" s="17">
        <v>6</v>
      </c>
      <c r="AF517" s="36">
        <f t="shared" si="180"/>
        <v>9.375E-2</v>
      </c>
      <c r="AG517" s="17">
        <v>8</v>
      </c>
      <c r="AH517" s="36">
        <f t="shared" si="170"/>
        <v>6.25E-2</v>
      </c>
      <c r="AI517" s="17">
        <v>2</v>
      </c>
      <c r="AJ517" s="36">
        <f t="shared" si="181"/>
        <v>3.125E-2</v>
      </c>
      <c r="AK517" s="17">
        <v>1</v>
      </c>
      <c r="AL517" s="36">
        <f t="shared" si="171"/>
        <v>7.8125E-3</v>
      </c>
      <c r="AM517" s="17">
        <v>1</v>
      </c>
      <c r="AN517" s="36">
        <f t="shared" si="182"/>
        <v>1.5625E-2</v>
      </c>
      <c r="AO517" s="17">
        <v>128</v>
      </c>
      <c r="AP517" s="17">
        <v>64</v>
      </c>
    </row>
    <row r="518" spans="1:42" ht="15.75" customHeight="1" x14ac:dyDescent="0.25">
      <c r="A518" s="37">
        <v>2021</v>
      </c>
      <c r="B518" s="35">
        <v>171750</v>
      </c>
      <c r="C518" s="34" t="s">
        <v>144</v>
      </c>
      <c r="D518" s="34" t="s">
        <v>104</v>
      </c>
      <c r="E518" s="17">
        <v>2</v>
      </c>
      <c r="F518" s="36">
        <f t="shared" si="172"/>
        <v>6.3492063492063492E-3</v>
      </c>
      <c r="G518" s="17">
        <v>0</v>
      </c>
      <c r="H518" s="36">
        <f t="shared" si="173"/>
        <v>0</v>
      </c>
      <c r="I518" s="17">
        <v>3</v>
      </c>
      <c r="J518" s="36">
        <f t="shared" si="174"/>
        <v>9.5238095238095247E-3</v>
      </c>
      <c r="K518" s="17">
        <v>3</v>
      </c>
      <c r="L518" s="36">
        <f t="shared" si="175"/>
        <v>0.17647058823529413</v>
      </c>
      <c r="M518" s="17">
        <v>310</v>
      </c>
      <c r="N518" s="36">
        <f t="shared" si="165"/>
        <v>0.98412698412698407</v>
      </c>
      <c r="O518" s="17">
        <v>14</v>
      </c>
      <c r="P518" s="36">
        <f t="shared" si="176"/>
        <v>0.82352941176470584</v>
      </c>
      <c r="Q518" s="17">
        <v>2</v>
      </c>
      <c r="R518" s="36">
        <f t="shared" si="166"/>
        <v>6.3492063492063492E-3</v>
      </c>
      <c r="S518" s="17">
        <v>0</v>
      </c>
      <c r="T518" s="36">
        <f t="shared" si="177"/>
        <v>0</v>
      </c>
      <c r="U518" s="17">
        <v>5</v>
      </c>
      <c r="V518" s="36">
        <f t="shared" si="167"/>
        <v>1.5873015873015872E-2</v>
      </c>
      <c r="W518" s="17">
        <v>1</v>
      </c>
      <c r="X518" s="36">
        <f t="shared" si="178"/>
        <v>5.8823529411764705E-2</v>
      </c>
      <c r="Y518" s="17">
        <v>210</v>
      </c>
      <c r="Z518" s="36">
        <f t="shared" si="168"/>
        <v>0.66666666666666663</v>
      </c>
      <c r="AA518" s="17">
        <v>13</v>
      </c>
      <c r="AB518" s="36">
        <f t="shared" si="179"/>
        <v>0.76470588235294112</v>
      </c>
      <c r="AC518" s="17">
        <v>59</v>
      </c>
      <c r="AD518" s="36">
        <f t="shared" si="169"/>
        <v>0.1873015873015873</v>
      </c>
      <c r="AE518" s="17">
        <v>2</v>
      </c>
      <c r="AF518" s="36">
        <f t="shared" si="180"/>
        <v>0.11764705882352941</v>
      </c>
      <c r="AG518" s="17">
        <v>33</v>
      </c>
      <c r="AH518" s="36">
        <f t="shared" si="170"/>
        <v>0.10476190476190476</v>
      </c>
      <c r="AI518" s="17">
        <v>1</v>
      </c>
      <c r="AJ518" s="36">
        <f t="shared" si="181"/>
        <v>5.8823529411764705E-2</v>
      </c>
      <c r="AK518" s="17">
        <v>6</v>
      </c>
      <c r="AL518" s="36">
        <f t="shared" si="171"/>
        <v>1.9047619047619049E-2</v>
      </c>
      <c r="AM518" s="17">
        <v>0</v>
      </c>
      <c r="AN518" s="36">
        <f t="shared" si="182"/>
        <v>0</v>
      </c>
      <c r="AO518" s="17">
        <v>315</v>
      </c>
      <c r="AP518" s="17">
        <v>17</v>
      </c>
    </row>
    <row r="519" spans="1:42" ht="15.75" customHeight="1" x14ac:dyDescent="0.25">
      <c r="A519" s="37">
        <v>2021</v>
      </c>
      <c r="B519" s="35">
        <v>171780</v>
      </c>
      <c r="C519" s="34" t="s">
        <v>147</v>
      </c>
      <c r="D519" s="34" t="s">
        <v>105</v>
      </c>
      <c r="E519" s="17">
        <v>2</v>
      </c>
      <c r="F519" s="36">
        <f t="shared" si="172"/>
        <v>1.2121212121212121E-2</v>
      </c>
      <c r="G519" s="17">
        <v>2</v>
      </c>
      <c r="H519" s="36">
        <f t="shared" si="173"/>
        <v>2.2988505747126436E-2</v>
      </c>
      <c r="I519" s="17">
        <v>3</v>
      </c>
      <c r="J519" s="36">
        <f t="shared" si="174"/>
        <v>1.8181818181818181E-2</v>
      </c>
      <c r="K519" s="17">
        <v>2</v>
      </c>
      <c r="L519" s="36">
        <f t="shared" si="175"/>
        <v>2.2988505747126436E-2</v>
      </c>
      <c r="M519" s="17">
        <v>160</v>
      </c>
      <c r="N519" s="36">
        <f t="shared" si="165"/>
        <v>0.96969696969696972</v>
      </c>
      <c r="O519" s="17">
        <v>83</v>
      </c>
      <c r="P519" s="36">
        <f t="shared" si="176"/>
        <v>0.95402298850574707</v>
      </c>
      <c r="Q519" s="17">
        <v>1</v>
      </c>
      <c r="R519" s="36">
        <f t="shared" si="166"/>
        <v>6.0606060606060606E-3</v>
      </c>
      <c r="S519" s="17">
        <v>1</v>
      </c>
      <c r="T519" s="36">
        <f t="shared" si="177"/>
        <v>1.1494252873563218E-2</v>
      </c>
      <c r="U519" s="17">
        <v>7</v>
      </c>
      <c r="V519" s="36">
        <f t="shared" si="167"/>
        <v>4.2424242424242427E-2</v>
      </c>
      <c r="W519" s="17">
        <v>4</v>
      </c>
      <c r="X519" s="36">
        <f t="shared" si="178"/>
        <v>4.5977011494252873E-2</v>
      </c>
      <c r="Y519" s="17">
        <v>122</v>
      </c>
      <c r="Z519" s="36">
        <f t="shared" si="168"/>
        <v>0.73939393939393938</v>
      </c>
      <c r="AA519" s="17">
        <v>64</v>
      </c>
      <c r="AB519" s="36">
        <f t="shared" si="179"/>
        <v>0.73563218390804597</v>
      </c>
      <c r="AC519" s="17">
        <v>27</v>
      </c>
      <c r="AD519" s="36">
        <f t="shared" si="169"/>
        <v>0.16363636363636364</v>
      </c>
      <c r="AE519" s="17">
        <v>15</v>
      </c>
      <c r="AF519" s="36">
        <f t="shared" si="180"/>
        <v>0.17241379310344829</v>
      </c>
      <c r="AG519" s="17">
        <v>7</v>
      </c>
      <c r="AH519" s="36">
        <f t="shared" si="170"/>
        <v>4.2424242424242427E-2</v>
      </c>
      <c r="AI519" s="17">
        <v>2</v>
      </c>
      <c r="AJ519" s="36">
        <f t="shared" si="181"/>
        <v>2.2988505747126436E-2</v>
      </c>
      <c r="AK519" s="17">
        <v>1</v>
      </c>
      <c r="AL519" s="36">
        <f t="shared" si="171"/>
        <v>6.0606060606060606E-3</v>
      </c>
      <c r="AM519" s="17">
        <v>1</v>
      </c>
      <c r="AN519" s="36">
        <f t="shared" si="182"/>
        <v>1.1494252873563218E-2</v>
      </c>
      <c r="AO519" s="17">
        <v>165</v>
      </c>
      <c r="AP519" s="17">
        <v>87</v>
      </c>
    </row>
    <row r="520" spans="1:42" ht="15.75" customHeight="1" x14ac:dyDescent="0.25">
      <c r="A520" s="37">
        <v>2021</v>
      </c>
      <c r="B520" s="35">
        <v>171790</v>
      </c>
      <c r="C520" s="34" t="s">
        <v>151</v>
      </c>
      <c r="D520" s="34" t="s">
        <v>106</v>
      </c>
      <c r="E520" s="17">
        <v>4</v>
      </c>
      <c r="F520" s="36">
        <f t="shared" si="172"/>
        <v>1.8181818181818181E-2</v>
      </c>
      <c r="G520" s="17">
        <v>4</v>
      </c>
      <c r="H520" s="36">
        <f t="shared" si="173"/>
        <v>1.9512195121951219E-2</v>
      </c>
      <c r="I520" s="17">
        <v>10</v>
      </c>
      <c r="J520" s="36">
        <f t="shared" si="174"/>
        <v>4.5454545454545456E-2</v>
      </c>
      <c r="K520" s="17">
        <v>9</v>
      </c>
      <c r="L520" s="36">
        <f t="shared" si="175"/>
        <v>4.3902439024390241E-2</v>
      </c>
      <c r="M520" s="17">
        <v>206</v>
      </c>
      <c r="N520" s="36">
        <f t="shared" si="165"/>
        <v>0.9363636363636364</v>
      </c>
      <c r="O520" s="17">
        <v>192</v>
      </c>
      <c r="P520" s="36">
        <f t="shared" si="176"/>
        <v>0.93658536585365859</v>
      </c>
      <c r="Q520" s="17">
        <v>3</v>
      </c>
      <c r="R520" s="36">
        <f t="shared" si="166"/>
        <v>1.3636363636363636E-2</v>
      </c>
      <c r="S520" s="17">
        <v>4</v>
      </c>
      <c r="T520" s="36">
        <f t="shared" si="177"/>
        <v>1.9512195121951219E-2</v>
      </c>
      <c r="U520" s="17">
        <v>4</v>
      </c>
      <c r="V520" s="36">
        <f t="shared" si="167"/>
        <v>1.8181818181818181E-2</v>
      </c>
      <c r="W520" s="17">
        <v>4</v>
      </c>
      <c r="X520" s="36">
        <f t="shared" si="178"/>
        <v>1.9512195121951219E-2</v>
      </c>
      <c r="Y520" s="17">
        <v>143</v>
      </c>
      <c r="Z520" s="36">
        <f t="shared" si="168"/>
        <v>0.65</v>
      </c>
      <c r="AA520" s="17">
        <v>131</v>
      </c>
      <c r="AB520" s="36">
        <f t="shared" si="179"/>
        <v>0.63902439024390245</v>
      </c>
      <c r="AC520" s="17">
        <v>44</v>
      </c>
      <c r="AD520" s="36">
        <f t="shared" si="169"/>
        <v>0.2</v>
      </c>
      <c r="AE520" s="17">
        <v>42</v>
      </c>
      <c r="AF520" s="36">
        <f t="shared" si="180"/>
        <v>0.20487804878048779</v>
      </c>
      <c r="AG520" s="17">
        <v>24</v>
      </c>
      <c r="AH520" s="36">
        <f t="shared" si="170"/>
        <v>0.10909090909090909</v>
      </c>
      <c r="AI520" s="17">
        <v>22</v>
      </c>
      <c r="AJ520" s="36">
        <f t="shared" si="181"/>
        <v>0.10731707317073171</v>
      </c>
      <c r="AK520" s="17">
        <v>2</v>
      </c>
      <c r="AL520" s="36">
        <f t="shared" si="171"/>
        <v>9.0909090909090905E-3</v>
      </c>
      <c r="AM520" s="17">
        <v>2</v>
      </c>
      <c r="AN520" s="36">
        <f t="shared" si="182"/>
        <v>9.7560975609756097E-3</v>
      </c>
      <c r="AO520" s="17">
        <v>220</v>
      </c>
      <c r="AP520" s="17">
        <v>205</v>
      </c>
    </row>
    <row r="521" spans="1:42" ht="15.75" customHeight="1" x14ac:dyDescent="0.25">
      <c r="A521" s="37">
        <v>2021</v>
      </c>
      <c r="B521" s="35">
        <v>171800</v>
      </c>
      <c r="C521" s="34" t="s">
        <v>147</v>
      </c>
      <c r="D521" s="34" t="s">
        <v>107</v>
      </c>
      <c r="E521" s="17">
        <v>2</v>
      </c>
      <c r="F521" s="36">
        <f t="shared" si="172"/>
        <v>1.6393442622950821E-2</v>
      </c>
      <c r="G521" s="17">
        <v>2</v>
      </c>
      <c r="H521" s="36">
        <f t="shared" si="173"/>
        <v>1.7699115044247787E-2</v>
      </c>
      <c r="I521" s="17">
        <v>6</v>
      </c>
      <c r="J521" s="36">
        <f t="shared" si="174"/>
        <v>4.9180327868852458E-2</v>
      </c>
      <c r="K521" s="17">
        <v>6</v>
      </c>
      <c r="L521" s="36">
        <f t="shared" si="175"/>
        <v>5.3097345132743362E-2</v>
      </c>
      <c r="M521" s="17">
        <v>114</v>
      </c>
      <c r="N521" s="36">
        <f t="shared" si="165"/>
        <v>0.93442622950819676</v>
      </c>
      <c r="O521" s="17">
        <v>105</v>
      </c>
      <c r="P521" s="36">
        <f t="shared" si="176"/>
        <v>0.92920353982300885</v>
      </c>
      <c r="Q521" s="17">
        <v>3</v>
      </c>
      <c r="R521" s="36">
        <f t="shared" si="166"/>
        <v>2.4590163934426229E-2</v>
      </c>
      <c r="S521" s="17">
        <v>2</v>
      </c>
      <c r="T521" s="36">
        <f t="shared" si="177"/>
        <v>1.7699115044247787E-2</v>
      </c>
      <c r="U521" s="17">
        <v>6</v>
      </c>
      <c r="V521" s="36">
        <f t="shared" si="167"/>
        <v>4.9180327868852458E-2</v>
      </c>
      <c r="W521" s="17">
        <v>6</v>
      </c>
      <c r="X521" s="36">
        <f t="shared" si="178"/>
        <v>5.3097345132743362E-2</v>
      </c>
      <c r="Y521" s="17">
        <v>73</v>
      </c>
      <c r="Z521" s="36">
        <f t="shared" si="168"/>
        <v>0.59836065573770492</v>
      </c>
      <c r="AA521" s="17">
        <v>70</v>
      </c>
      <c r="AB521" s="36">
        <f t="shared" si="179"/>
        <v>0.61946902654867253</v>
      </c>
      <c r="AC521" s="17">
        <v>24</v>
      </c>
      <c r="AD521" s="36">
        <f t="shared" si="169"/>
        <v>0.19672131147540983</v>
      </c>
      <c r="AE521" s="17">
        <v>21</v>
      </c>
      <c r="AF521" s="36">
        <f t="shared" si="180"/>
        <v>0.18584070796460178</v>
      </c>
      <c r="AG521" s="17">
        <v>14</v>
      </c>
      <c r="AH521" s="36">
        <f t="shared" si="170"/>
        <v>0.11475409836065574</v>
      </c>
      <c r="AI521" s="17">
        <v>12</v>
      </c>
      <c r="AJ521" s="36">
        <f t="shared" si="181"/>
        <v>0.10619469026548672</v>
      </c>
      <c r="AK521" s="17">
        <v>2</v>
      </c>
      <c r="AL521" s="36">
        <f t="shared" si="171"/>
        <v>1.6393442622950821E-2</v>
      </c>
      <c r="AM521" s="17">
        <v>2</v>
      </c>
      <c r="AN521" s="36">
        <f t="shared" si="182"/>
        <v>1.7699115044247787E-2</v>
      </c>
      <c r="AO521" s="17">
        <v>122</v>
      </c>
      <c r="AP521" s="17">
        <v>113</v>
      </c>
    </row>
    <row r="522" spans="1:42" ht="15.75" customHeight="1" x14ac:dyDescent="0.25">
      <c r="A522" s="37">
        <v>2021</v>
      </c>
      <c r="B522" s="35">
        <v>171820</v>
      </c>
      <c r="C522" s="34" t="s">
        <v>151</v>
      </c>
      <c r="D522" s="34" t="s">
        <v>108</v>
      </c>
      <c r="E522" s="17">
        <v>31</v>
      </c>
      <c r="F522" s="36">
        <f t="shared" si="172"/>
        <v>1.6783974011911208E-2</v>
      </c>
      <c r="G522" s="17">
        <v>19</v>
      </c>
      <c r="H522" s="36">
        <f t="shared" si="173"/>
        <v>2.144469525959368E-2</v>
      </c>
      <c r="I522" s="17">
        <v>67</v>
      </c>
      <c r="J522" s="36">
        <f t="shared" si="174"/>
        <v>3.6275040606388739E-2</v>
      </c>
      <c r="K522" s="17">
        <v>38</v>
      </c>
      <c r="L522" s="36">
        <f t="shared" si="175"/>
        <v>4.2889390519187359E-2</v>
      </c>
      <c r="M522" s="16">
        <v>1749</v>
      </c>
      <c r="N522" s="36">
        <f t="shared" si="165"/>
        <v>0.94694098538170002</v>
      </c>
      <c r="O522" s="17">
        <v>829</v>
      </c>
      <c r="P522" s="36">
        <f t="shared" si="176"/>
        <v>0.93566591422121892</v>
      </c>
      <c r="Q522" s="17">
        <v>29</v>
      </c>
      <c r="R522" s="36">
        <f t="shared" si="166"/>
        <v>1.5701136978884679E-2</v>
      </c>
      <c r="S522" s="17">
        <v>21</v>
      </c>
      <c r="T522" s="36">
        <f t="shared" si="177"/>
        <v>2.3702031602708805E-2</v>
      </c>
      <c r="U522" s="17">
        <v>87</v>
      </c>
      <c r="V522" s="36">
        <f t="shared" si="167"/>
        <v>4.710341093665403E-2</v>
      </c>
      <c r="W522" s="17">
        <v>44</v>
      </c>
      <c r="X522" s="36">
        <f t="shared" si="178"/>
        <v>4.9661399548532728E-2</v>
      </c>
      <c r="Y522" s="16">
        <v>1168</v>
      </c>
      <c r="Z522" s="36">
        <f t="shared" si="168"/>
        <v>0.63237682728749323</v>
      </c>
      <c r="AA522" s="17">
        <v>579</v>
      </c>
      <c r="AB522" s="36">
        <f t="shared" si="179"/>
        <v>0.65349887133182849</v>
      </c>
      <c r="AC522" s="17">
        <v>324</v>
      </c>
      <c r="AD522" s="36">
        <f t="shared" si="169"/>
        <v>0.17541959935029777</v>
      </c>
      <c r="AE522" s="17">
        <v>146</v>
      </c>
      <c r="AF522" s="36">
        <f t="shared" si="180"/>
        <v>0.16478555304740405</v>
      </c>
      <c r="AG522" s="17">
        <v>196</v>
      </c>
      <c r="AH522" s="36">
        <f t="shared" si="170"/>
        <v>0.1061180292365999</v>
      </c>
      <c r="AI522" s="17">
        <v>79</v>
      </c>
      <c r="AJ522" s="36">
        <f t="shared" si="181"/>
        <v>8.916478555304741E-2</v>
      </c>
      <c r="AK522" s="17">
        <v>43</v>
      </c>
      <c r="AL522" s="36">
        <f t="shared" si="171"/>
        <v>2.3280996210070383E-2</v>
      </c>
      <c r="AM522" s="17">
        <v>17</v>
      </c>
      <c r="AN522" s="36">
        <f t="shared" si="182"/>
        <v>1.9187358916478554E-2</v>
      </c>
      <c r="AO522" s="16">
        <v>1847</v>
      </c>
      <c r="AP522" s="17">
        <v>886</v>
      </c>
    </row>
    <row r="523" spans="1:42" ht="15.75" customHeight="1" x14ac:dyDescent="0.25">
      <c r="A523" s="37">
        <v>2021</v>
      </c>
      <c r="B523" s="35">
        <v>171830</v>
      </c>
      <c r="C523" s="34" t="s">
        <v>145</v>
      </c>
      <c r="D523" s="34" t="s">
        <v>109</v>
      </c>
      <c r="E523" s="17">
        <v>5</v>
      </c>
      <c r="F523" s="36">
        <f t="shared" si="172"/>
        <v>1.2106537530266344E-2</v>
      </c>
      <c r="G523" s="17">
        <v>5</v>
      </c>
      <c r="H523" s="36">
        <f t="shared" si="173"/>
        <v>2.100840336134454E-2</v>
      </c>
      <c r="I523" s="17">
        <v>35</v>
      </c>
      <c r="J523" s="36">
        <f t="shared" si="174"/>
        <v>8.4745762711864403E-2</v>
      </c>
      <c r="K523" s="17">
        <v>24</v>
      </c>
      <c r="L523" s="36">
        <f t="shared" si="175"/>
        <v>0.10084033613445378</v>
      </c>
      <c r="M523" s="17">
        <v>373</v>
      </c>
      <c r="N523" s="36">
        <f t="shared" si="165"/>
        <v>0.90314769975786924</v>
      </c>
      <c r="O523" s="17">
        <v>209</v>
      </c>
      <c r="P523" s="36">
        <f t="shared" si="176"/>
        <v>0.87815126050420167</v>
      </c>
      <c r="Q523" s="17">
        <v>4</v>
      </c>
      <c r="R523" s="36">
        <f t="shared" si="166"/>
        <v>9.6852300242130755E-3</v>
      </c>
      <c r="S523" s="17">
        <v>3</v>
      </c>
      <c r="T523" s="36">
        <f t="shared" si="177"/>
        <v>1.2605042016806723E-2</v>
      </c>
      <c r="U523" s="17">
        <v>18</v>
      </c>
      <c r="V523" s="36">
        <f t="shared" si="167"/>
        <v>4.3583535108958835E-2</v>
      </c>
      <c r="W523" s="17">
        <v>13</v>
      </c>
      <c r="X523" s="36">
        <f t="shared" si="178"/>
        <v>5.4621848739495799E-2</v>
      </c>
      <c r="Y523" s="17">
        <v>305</v>
      </c>
      <c r="Z523" s="36">
        <f t="shared" si="168"/>
        <v>0.73849878934624702</v>
      </c>
      <c r="AA523" s="17">
        <v>177</v>
      </c>
      <c r="AB523" s="36">
        <f t="shared" si="179"/>
        <v>0.74369747899159666</v>
      </c>
      <c r="AC523" s="17">
        <v>61</v>
      </c>
      <c r="AD523" s="36">
        <f t="shared" si="169"/>
        <v>0.14769975786924938</v>
      </c>
      <c r="AE523" s="17">
        <v>33</v>
      </c>
      <c r="AF523" s="36">
        <f t="shared" si="180"/>
        <v>0.13865546218487396</v>
      </c>
      <c r="AG523" s="17">
        <v>24</v>
      </c>
      <c r="AH523" s="36">
        <f t="shared" si="170"/>
        <v>5.8111380145278453E-2</v>
      </c>
      <c r="AI523" s="17">
        <v>12</v>
      </c>
      <c r="AJ523" s="36">
        <f t="shared" si="181"/>
        <v>5.0420168067226892E-2</v>
      </c>
      <c r="AK523" s="17">
        <v>1</v>
      </c>
      <c r="AL523" s="36">
        <f t="shared" si="171"/>
        <v>2.4213075060532689E-3</v>
      </c>
      <c r="AM523" s="17">
        <v>0</v>
      </c>
      <c r="AN523" s="36">
        <f t="shared" si="182"/>
        <v>0</v>
      </c>
      <c r="AO523" s="17">
        <v>413</v>
      </c>
      <c r="AP523" s="17">
        <v>238</v>
      </c>
    </row>
    <row r="524" spans="1:42" ht="15.75" customHeight="1" x14ac:dyDescent="0.25">
      <c r="A524" s="37">
        <v>2021</v>
      </c>
      <c r="B524" s="35">
        <v>171840</v>
      </c>
      <c r="C524" s="34" t="s">
        <v>150</v>
      </c>
      <c r="D524" s="34" t="s">
        <v>110</v>
      </c>
      <c r="E524" s="17">
        <v>2</v>
      </c>
      <c r="F524" s="36">
        <f t="shared" si="172"/>
        <v>1.2048192771084338E-2</v>
      </c>
      <c r="G524" s="17">
        <v>1</v>
      </c>
      <c r="H524" s="36">
        <f t="shared" si="173"/>
        <v>1.2195121951219513E-2</v>
      </c>
      <c r="I524" s="17">
        <v>6</v>
      </c>
      <c r="J524" s="36">
        <f t="shared" si="174"/>
        <v>3.614457831325301E-2</v>
      </c>
      <c r="K524" s="17">
        <v>3</v>
      </c>
      <c r="L524" s="36">
        <f t="shared" si="175"/>
        <v>3.6585365853658534E-2</v>
      </c>
      <c r="M524" s="17">
        <v>158</v>
      </c>
      <c r="N524" s="36">
        <f t="shared" si="165"/>
        <v>0.95180722891566261</v>
      </c>
      <c r="O524" s="17">
        <v>78</v>
      </c>
      <c r="P524" s="36">
        <f t="shared" si="176"/>
        <v>0.95121951219512191</v>
      </c>
      <c r="Q524" s="17">
        <v>0</v>
      </c>
      <c r="R524" s="36">
        <f t="shared" si="166"/>
        <v>0</v>
      </c>
      <c r="S524" s="17">
        <v>0</v>
      </c>
      <c r="T524" s="36">
        <f t="shared" si="177"/>
        <v>0</v>
      </c>
      <c r="U524" s="17">
        <v>7</v>
      </c>
      <c r="V524" s="36">
        <f t="shared" si="167"/>
        <v>4.2168674698795178E-2</v>
      </c>
      <c r="W524" s="17">
        <v>2</v>
      </c>
      <c r="X524" s="36">
        <f t="shared" si="178"/>
        <v>2.4390243902439025E-2</v>
      </c>
      <c r="Y524" s="17">
        <v>118</v>
      </c>
      <c r="Z524" s="36">
        <f t="shared" si="168"/>
        <v>0.71084337349397586</v>
      </c>
      <c r="AA524" s="17">
        <v>55</v>
      </c>
      <c r="AB524" s="36">
        <f t="shared" si="179"/>
        <v>0.67073170731707321</v>
      </c>
      <c r="AC524" s="17">
        <v>25</v>
      </c>
      <c r="AD524" s="36">
        <f t="shared" si="169"/>
        <v>0.15060240963855423</v>
      </c>
      <c r="AE524" s="17">
        <v>19</v>
      </c>
      <c r="AF524" s="36">
        <f t="shared" si="180"/>
        <v>0.23170731707317074</v>
      </c>
      <c r="AG524" s="17">
        <v>12</v>
      </c>
      <c r="AH524" s="36">
        <f t="shared" si="170"/>
        <v>7.2289156626506021E-2</v>
      </c>
      <c r="AI524" s="17">
        <v>4</v>
      </c>
      <c r="AJ524" s="36">
        <f t="shared" si="181"/>
        <v>4.878048780487805E-2</v>
      </c>
      <c r="AK524" s="17">
        <v>4</v>
      </c>
      <c r="AL524" s="36">
        <f t="shared" si="171"/>
        <v>2.4096385542168676E-2</v>
      </c>
      <c r="AM524" s="17">
        <v>2</v>
      </c>
      <c r="AN524" s="36">
        <f t="shared" si="182"/>
        <v>2.4390243902439025E-2</v>
      </c>
      <c r="AO524" s="17">
        <v>166</v>
      </c>
      <c r="AP524" s="17">
        <v>82</v>
      </c>
    </row>
    <row r="525" spans="1:42" ht="15.75" customHeight="1" x14ac:dyDescent="0.25">
      <c r="A525" s="37">
        <v>2021</v>
      </c>
      <c r="B525" s="35">
        <v>171845</v>
      </c>
      <c r="C525" s="34" t="s">
        <v>144</v>
      </c>
      <c r="D525" s="34" t="s">
        <v>111</v>
      </c>
      <c r="E525" s="17">
        <v>2</v>
      </c>
      <c r="F525" s="36">
        <f t="shared" si="172"/>
        <v>2.0408163265306121E-2</v>
      </c>
      <c r="G525" s="17">
        <v>2</v>
      </c>
      <c r="H525" s="36">
        <f t="shared" si="173"/>
        <v>4.2553191489361701E-2</v>
      </c>
      <c r="I525" s="17">
        <v>2</v>
      </c>
      <c r="J525" s="36">
        <f t="shared" si="174"/>
        <v>2.0408163265306121E-2</v>
      </c>
      <c r="K525" s="17">
        <v>2</v>
      </c>
      <c r="L525" s="36">
        <f t="shared" si="175"/>
        <v>4.2553191489361701E-2</v>
      </c>
      <c r="M525" s="17">
        <v>94</v>
      </c>
      <c r="N525" s="36">
        <f t="shared" si="165"/>
        <v>0.95918367346938771</v>
      </c>
      <c r="O525" s="17">
        <v>43</v>
      </c>
      <c r="P525" s="36">
        <f t="shared" si="176"/>
        <v>0.91489361702127658</v>
      </c>
      <c r="Q525" s="17">
        <v>2</v>
      </c>
      <c r="R525" s="36">
        <f t="shared" si="166"/>
        <v>2.0408163265306121E-2</v>
      </c>
      <c r="S525" s="17">
        <v>1</v>
      </c>
      <c r="T525" s="36">
        <f t="shared" si="177"/>
        <v>2.1276595744680851E-2</v>
      </c>
      <c r="U525" s="17">
        <v>2</v>
      </c>
      <c r="V525" s="36">
        <f t="shared" si="167"/>
        <v>2.0408163265306121E-2</v>
      </c>
      <c r="W525" s="17">
        <v>0</v>
      </c>
      <c r="X525" s="36">
        <f t="shared" si="178"/>
        <v>0</v>
      </c>
      <c r="Y525" s="17">
        <v>71</v>
      </c>
      <c r="Z525" s="36">
        <f t="shared" si="168"/>
        <v>0.72448979591836737</v>
      </c>
      <c r="AA525" s="17">
        <v>36</v>
      </c>
      <c r="AB525" s="36">
        <f t="shared" si="179"/>
        <v>0.76595744680851063</v>
      </c>
      <c r="AC525" s="17">
        <v>10</v>
      </c>
      <c r="AD525" s="36">
        <f t="shared" si="169"/>
        <v>0.10204081632653061</v>
      </c>
      <c r="AE525" s="17">
        <v>6</v>
      </c>
      <c r="AF525" s="36">
        <f t="shared" si="180"/>
        <v>0.1276595744680851</v>
      </c>
      <c r="AG525" s="17">
        <v>7</v>
      </c>
      <c r="AH525" s="36">
        <f t="shared" si="170"/>
        <v>7.1428571428571425E-2</v>
      </c>
      <c r="AI525" s="17">
        <v>1</v>
      </c>
      <c r="AJ525" s="36">
        <f t="shared" si="181"/>
        <v>2.1276595744680851E-2</v>
      </c>
      <c r="AK525" s="17">
        <v>6</v>
      </c>
      <c r="AL525" s="36">
        <f t="shared" si="171"/>
        <v>6.1224489795918366E-2</v>
      </c>
      <c r="AM525" s="17">
        <v>3</v>
      </c>
      <c r="AN525" s="36">
        <f t="shared" si="182"/>
        <v>6.3829787234042548E-2</v>
      </c>
      <c r="AO525" s="17">
        <v>98</v>
      </c>
      <c r="AP525" s="17">
        <v>47</v>
      </c>
    </row>
    <row r="526" spans="1:42" ht="15.75" customHeight="1" x14ac:dyDescent="0.25">
      <c r="A526" s="37">
        <v>2021</v>
      </c>
      <c r="B526" s="35">
        <v>171850</v>
      </c>
      <c r="C526" s="34" t="s">
        <v>150</v>
      </c>
      <c r="D526" s="34" t="s">
        <v>112</v>
      </c>
      <c r="E526" s="17">
        <v>1</v>
      </c>
      <c r="F526" s="36">
        <f t="shared" si="172"/>
        <v>1.1111111111111112E-2</v>
      </c>
      <c r="G526" s="17">
        <v>1</v>
      </c>
      <c r="H526" s="36">
        <f t="shared" si="173"/>
        <v>1.8181818181818181E-2</v>
      </c>
      <c r="I526" s="17">
        <v>7</v>
      </c>
      <c r="J526" s="36">
        <f t="shared" si="174"/>
        <v>7.7777777777777779E-2</v>
      </c>
      <c r="K526" s="17">
        <v>6</v>
      </c>
      <c r="L526" s="36">
        <f t="shared" si="175"/>
        <v>0.10909090909090909</v>
      </c>
      <c r="M526" s="17">
        <v>82</v>
      </c>
      <c r="N526" s="36">
        <f t="shared" si="165"/>
        <v>0.91111111111111109</v>
      </c>
      <c r="O526" s="17">
        <v>48</v>
      </c>
      <c r="P526" s="36">
        <f t="shared" si="176"/>
        <v>0.87272727272727268</v>
      </c>
      <c r="Q526" s="17">
        <v>3</v>
      </c>
      <c r="R526" s="36">
        <f t="shared" si="166"/>
        <v>3.3333333333333333E-2</v>
      </c>
      <c r="S526" s="17">
        <v>4</v>
      </c>
      <c r="T526" s="36">
        <f t="shared" si="177"/>
        <v>7.2727272727272724E-2</v>
      </c>
      <c r="U526" s="17">
        <v>6</v>
      </c>
      <c r="V526" s="36">
        <f t="shared" si="167"/>
        <v>6.6666666666666666E-2</v>
      </c>
      <c r="W526" s="17">
        <v>4</v>
      </c>
      <c r="X526" s="36">
        <f t="shared" si="178"/>
        <v>7.2727272727272724E-2</v>
      </c>
      <c r="Y526" s="17">
        <v>61</v>
      </c>
      <c r="Z526" s="36">
        <f t="shared" si="168"/>
        <v>0.67777777777777781</v>
      </c>
      <c r="AA526" s="17">
        <v>35</v>
      </c>
      <c r="AB526" s="36">
        <f t="shared" si="179"/>
        <v>0.63636363636363635</v>
      </c>
      <c r="AC526" s="17">
        <v>15</v>
      </c>
      <c r="AD526" s="36">
        <f t="shared" si="169"/>
        <v>0.16666666666666666</v>
      </c>
      <c r="AE526" s="17">
        <v>7</v>
      </c>
      <c r="AF526" s="36">
        <f t="shared" si="180"/>
        <v>0.12727272727272726</v>
      </c>
      <c r="AG526" s="17">
        <v>5</v>
      </c>
      <c r="AH526" s="36">
        <f t="shared" si="170"/>
        <v>5.5555555555555552E-2</v>
      </c>
      <c r="AI526" s="17">
        <v>5</v>
      </c>
      <c r="AJ526" s="36">
        <f t="shared" si="181"/>
        <v>9.0909090909090912E-2</v>
      </c>
      <c r="AK526" s="17">
        <v>0</v>
      </c>
      <c r="AL526" s="36">
        <f t="shared" si="171"/>
        <v>0</v>
      </c>
      <c r="AM526" s="17">
        <v>0</v>
      </c>
      <c r="AN526" s="36">
        <f t="shared" si="182"/>
        <v>0</v>
      </c>
      <c r="AO526" s="17">
        <v>90</v>
      </c>
      <c r="AP526" s="17">
        <v>55</v>
      </c>
    </row>
    <row r="527" spans="1:42" ht="15.75" customHeight="1" x14ac:dyDescent="0.25">
      <c r="A527" s="37">
        <v>2021</v>
      </c>
      <c r="B527" s="35">
        <v>171855</v>
      </c>
      <c r="C527" s="34" t="s">
        <v>145</v>
      </c>
      <c r="D527" s="34" t="s">
        <v>113</v>
      </c>
      <c r="E527" s="17">
        <v>3</v>
      </c>
      <c r="F527" s="36">
        <f t="shared" si="172"/>
        <v>2.4193548387096774E-2</v>
      </c>
      <c r="G527" s="17">
        <v>3</v>
      </c>
      <c r="H527" s="36">
        <f t="shared" si="173"/>
        <v>2.9702970297029702E-2</v>
      </c>
      <c r="I527" s="17">
        <v>4</v>
      </c>
      <c r="J527" s="36">
        <f t="shared" si="174"/>
        <v>3.2258064516129031E-2</v>
      </c>
      <c r="K527" s="17">
        <v>4</v>
      </c>
      <c r="L527" s="36">
        <f t="shared" si="175"/>
        <v>3.9603960396039604E-2</v>
      </c>
      <c r="M527" s="17">
        <v>117</v>
      </c>
      <c r="N527" s="36">
        <f t="shared" si="165"/>
        <v>0.94354838709677424</v>
      </c>
      <c r="O527" s="17">
        <v>94</v>
      </c>
      <c r="P527" s="36">
        <f t="shared" si="176"/>
        <v>0.93069306930693074</v>
      </c>
      <c r="Q527" s="17">
        <v>1</v>
      </c>
      <c r="R527" s="36">
        <f t="shared" si="166"/>
        <v>8.0645161290322578E-3</v>
      </c>
      <c r="S527" s="17">
        <v>1</v>
      </c>
      <c r="T527" s="36">
        <f t="shared" si="177"/>
        <v>9.9009900990099011E-3</v>
      </c>
      <c r="U527" s="17">
        <v>6</v>
      </c>
      <c r="V527" s="36">
        <f t="shared" si="167"/>
        <v>4.8387096774193547E-2</v>
      </c>
      <c r="W527" s="17">
        <v>5</v>
      </c>
      <c r="X527" s="36">
        <f t="shared" si="178"/>
        <v>4.9504950495049507E-2</v>
      </c>
      <c r="Y527" s="17">
        <v>90</v>
      </c>
      <c r="Z527" s="36">
        <f t="shared" si="168"/>
        <v>0.72580645161290325</v>
      </c>
      <c r="AA527" s="17">
        <v>75</v>
      </c>
      <c r="AB527" s="36">
        <f t="shared" si="179"/>
        <v>0.74257425742574257</v>
      </c>
      <c r="AC527" s="17">
        <v>16</v>
      </c>
      <c r="AD527" s="36">
        <f t="shared" si="169"/>
        <v>0.12903225806451613</v>
      </c>
      <c r="AE527" s="17">
        <v>13</v>
      </c>
      <c r="AF527" s="36">
        <f t="shared" si="180"/>
        <v>0.12871287128712872</v>
      </c>
      <c r="AG527" s="17">
        <v>10</v>
      </c>
      <c r="AH527" s="36">
        <f t="shared" si="170"/>
        <v>8.0645161290322578E-2</v>
      </c>
      <c r="AI527" s="17">
        <v>6</v>
      </c>
      <c r="AJ527" s="36">
        <f t="shared" si="181"/>
        <v>5.9405940594059403E-2</v>
      </c>
      <c r="AK527" s="17">
        <v>1</v>
      </c>
      <c r="AL527" s="36">
        <f t="shared" si="171"/>
        <v>8.0645161290322578E-3</v>
      </c>
      <c r="AM527" s="17">
        <v>1</v>
      </c>
      <c r="AN527" s="36">
        <f t="shared" si="182"/>
        <v>9.9009900990099011E-3</v>
      </c>
      <c r="AO527" s="17">
        <v>124</v>
      </c>
      <c r="AP527" s="17">
        <v>101</v>
      </c>
    </row>
    <row r="528" spans="1:42" ht="15.75" customHeight="1" x14ac:dyDescent="0.25">
      <c r="A528" s="37">
        <v>2021</v>
      </c>
      <c r="B528" s="35">
        <v>171865</v>
      </c>
      <c r="C528" s="34" t="s">
        <v>147</v>
      </c>
      <c r="D528" s="34" t="s">
        <v>114</v>
      </c>
      <c r="E528" s="17">
        <v>0</v>
      </c>
      <c r="F528" s="36">
        <f t="shared" si="172"/>
        <v>0</v>
      </c>
      <c r="G528" s="17">
        <v>0</v>
      </c>
      <c r="H528" s="36">
        <f t="shared" si="173"/>
        <v>0</v>
      </c>
      <c r="I528" s="17">
        <v>1</v>
      </c>
      <c r="J528" s="36">
        <f t="shared" si="174"/>
        <v>1.7241379310344827E-2</v>
      </c>
      <c r="K528" s="17">
        <v>0</v>
      </c>
      <c r="L528" s="36">
        <f t="shared" si="175"/>
        <v>0</v>
      </c>
      <c r="M528" s="17">
        <v>57</v>
      </c>
      <c r="N528" s="36">
        <f t="shared" si="165"/>
        <v>0.98275862068965514</v>
      </c>
      <c r="O528" s="17">
        <v>43</v>
      </c>
      <c r="P528" s="36">
        <f t="shared" si="176"/>
        <v>1</v>
      </c>
      <c r="Q528" s="17">
        <v>1</v>
      </c>
      <c r="R528" s="36">
        <f t="shared" si="166"/>
        <v>1.7241379310344827E-2</v>
      </c>
      <c r="S528" s="17">
        <v>1</v>
      </c>
      <c r="T528" s="36">
        <f t="shared" si="177"/>
        <v>2.3255813953488372E-2</v>
      </c>
      <c r="U528" s="17">
        <v>1</v>
      </c>
      <c r="V528" s="36">
        <f t="shared" si="167"/>
        <v>1.7241379310344827E-2</v>
      </c>
      <c r="W528" s="17">
        <v>0</v>
      </c>
      <c r="X528" s="36">
        <f t="shared" si="178"/>
        <v>0</v>
      </c>
      <c r="Y528" s="17">
        <v>39</v>
      </c>
      <c r="Z528" s="36">
        <f t="shared" si="168"/>
        <v>0.67241379310344829</v>
      </c>
      <c r="AA528" s="17">
        <v>31</v>
      </c>
      <c r="AB528" s="36">
        <f t="shared" si="179"/>
        <v>0.72093023255813948</v>
      </c>
      <c r="AC528" s="17">
        <v>12</v>
      </c>
      <c r="AD528" s="36">
        <f t="shared" si="169"/>
        <v>0.20689655172413793</v>
      </c>
      <c r="AE528" s="17">
        <v>9</v>
      </c>
      <c r="AF528" s="36">
        <f t="shared" si="180"/>
        <v>0.20930232558139536</v>
      </c>
      <c r="AG528" s="17">
        <v>5</v>
      </c>
      <c r="AH528" s="36">
        <f t="shared" si="170"/>
        <v>8.6206896551724144E-2</v>
      </c>
      <c r="AI528" s="17">
        <v>2</v>
      </c>
      <c r="AJ528" s="36">
        <f t="shared" si="181"/>
        <v>4.6511627906976744E-2</v>
      </c>
      <c r="AK528" s="17">
        <v>0</v>
      </c>
      <c r="AL528" s="36">
        <f t="shared" si="171"/>
        <v>0</v>
      </c>
      <c r="AM528" s="17">
        <v>0</v>
      </c>
      <c r="AN528" s="36">
        <f t="shared" si="182"/>
        <v>0</v>
      </c>
      <c r="AO528" s="17">
        <v>58</v>
      </c>
      <c r="AP528" s="17">
        <v>43</v>
      </c>
    </row>
    <row r="529" spans="1:42" ht="15.75" customHeight="1" x14ac:dyDescent="0.25">
      <c r="A529" s="37">
        <v>2021</v>
      </c>
      <c r="B529" s="35">
        <v>171870</v>
      </c>
      <c r="C529" s="34" t="s">
        <v>148</v>
      </c>
      <c r="D529" s="34" t="s">
        <v>115</v>
      </c>
      <c r="E529" s="17">
        <v>1</v>
      </c>
      <c r="F529" s="36">
        <f t="shared" si="172"/>
        <v>5.3191489361702126E-3</v>
      </c>
      <c r="G529" s="17">
        <v>1</v>
      </c>
      <c r="H529" s="36">
        <f t="shared" si="173"/>
        <v>8.2644628099173556E-3</v>
      </c>
      <c r="I529" s="17">
        <v>14</v>
      </c>
      <c r="J529" s="36">
        <f t="shared" si="174"/>
        <v>7.4468085106382975E-2</v>
      </c>
      <c r="K529" s="17">
        <v>9</v>
      </c>
      <c r="L529" s="36">
        <f t="shared" si="175"/>
        <v>7.43801652892562E-2</v>
      </c>
      <c r="M529" s="17">
        <v>173</v>
      </c>
      <c r="N529" s="36">
        <f t="shared" si="165"/>
        <v>0.92021276595744683</v>
      </c>
      <c r="O529" s="17">
        <v>111</v>
      </c>
      <c r="P529" s="36">
        <f t="shared" si="176"/>
        <v>0.9173553719008265</v>
      </c>
      <c r="Q529" s="17">
        <v>0</v>
      </c>
      <c r="R529" s="36">
        <f t="shared" si="166"/>
        <v>0</v>
      </c>
      <c r="S529" s="17">
        <v>0</v>
      </c>
      <c r="T529" s="36">
        <f t="shared" si="177"/>
        <v>0</v>
      </c>
      <c r="U529" s="17">
        <v>7</v>
      </c>
      <c r="V529" s="36">
        <f t="shared" si="167"/>
        <v>3.7234042553191488E-2</v>
      </c>
      <c r="W529" s="17">
        <v>6</v>
      </c>
      <c r="X529" s="36">
        <f t="shared" si="178"/>
        <v>4.9586776859504134E-2</v>
      </c>
      <c r="Y529" s="17">
        <v>139</v>
      </c>
      <c r="Z529" s="36">
        <f t="shared" si="168"/>
        <v>0.73936170212765961</v>
      </c>
      <c r="AA529" s="17">
        <v>93</v>
      </c>
      <c r="AB529" s="36">
        <f t="shared" si="179"/>
        <v>0.76859504132231404</v>
      </c>
      <c r="AC529" s="17">
        <v>27</v>
      </c>
      <c r="AD529" s="36">
        <f t="shared" si="169"/>
        <v>0.14361702127659576</v>
      </c>
      <c r="AE529" s="17">
        <v>13</v>
      </c>
      <c r="AF529" s="36">
        <f t="shared" si="180"/>
        <v>0.10743801652892562</v>
      </c>
      <c r="AG529" s="17">
        <v>14</v>
      </c>
      <c r="AH529" s="36">
        <f t="shared" si="170"/>
        <v>7.4468085106382975E-2</v>
      </c>
      <c r="AI529" s="17">
        <v>9</v>
      </c>
      <c r="AJ529" s="36">
        <f t="shared" si="181"/>
        <v>7.43801652892562E-2</v>
      </c>
      <c r="AK529" s="17">
        <v>1</v>
      </c>
      <c r="AL529" s="36">
        <f t="shared" si="171"/>
        <v>5.3191489361702126E-3</v>
      </c>
      <c r="AM529" s="17">
        <v>0</v>
      </c>
      <c r="AN529" s="36">
        <f t="shared" si="182"/>
        <v>0</v>
      </c>
      <c r="AO529" s="17">
        <v>188</v>
      </c>
      <c r="AP529" s="17">
        <v>121</v>
      </c>
    </row>
    <row r="530" spans="1:42" ht="15.75" customHeight="1" x14ac:dyDescent="0.25">
      <c r="A530" s="37">
        <v>2021</v>
      </c>
      <c r="B530" s="35">
        <v>171875</v>
      </c>
      <c r="C530" s="34" t="s">
        <v>148</v>
      </c>
      <c r="D530" s="34" t="s">
        <v>116</v>
      </c>
      <c r="E530" s="17">
        <v>5</v>
      </c>
      <c r="F530" s="36">
        <f t="shared" si="172"/>
        <v>2.2222222222222223E-2</v>
      </c>
      <c r="G530" s="17">
        <v>5</v>
      </c>
      <c r="H530" s="36">
        <f t="shared" si="173"/>
        <v>2.9585798816568046E-2</v>
      </c>
      <c r="I530" s="17">
        <v>8</v>
      </c>
      <c r="J530" s="36">
        <f t="shared" si="174"/>
        <v>3.5555555555555556E-2</v>
      </c>
      <c r="K530" s="17">
        <v>6</v>
      </c>
      <c r="L530" s="36">
        <f t="shared" si="175"/>
        <v>3.5502958579881658E-2</v>
      </c>
      <c r="M530" s="17">
        <v>212</v>
      </c>
      <c r="N530" s="36">
        <f t="shared" si="165"/>
        <v>0.94222222222222218</v>
      </c>
      <c r="O530" s="17">
        <v>158</v>
      </c>
      <c r="P530" s="36">
        <f t="shared" si="176"/>
        <v>0.9349112426035503</v>
      </c>
      <c r="Q530" s="17">
        <v>4</v>
      </c>
      <c r="R530" s="36">
        <f t="shared" si="166"/>
        <v>1.7777777777777778E-2</v>
      </c>
      <c r="S530" s="17">
        <v>4</v>
      </c>
      <c r="T530" s="36">
        <f t="shared" si="177"/>
        <v>2.3668639053254437E-2</v>
      </c>
      <c r="U530" s="17">
        <v>11</v>
      </c>
      <c r="V530" s="36">
        <f t="shared" si="167"/>
        <v>4.8888888888888891E-2</v>
      </c>
      <c r="W530" s="17">
        <v>8</v>
      </c>
      <c r="X530" s="36">
        <f t="shared" si="178"/>
        <v>4.7337278106508875E-2</v>
      </c>
      <c r="Y530" s="17">
        <v>169</v>
      </c>
      <c r="Z530" s="36">
        <f t="shared" si="168"/>
        <v>0.75111111111111106</v>
      </c>
      <c r="AA530" s="17">
        <v>127</v>
      </c>
      <c r="AB530" s="36">
        <f t="shared" si="179"/>
        <v>0.75147928994082835</v>
      </c>
      <c r="AC530" s="17">
        <v>25</v>
      </c>
      <c r="AD530" s="36">
        <f t="shared" si="169"/>
        <v>0.1111111111111111</v>
      </c>
      <c r="AE530" s="17">
        <v>15</v>
      </c>
      <c r="AF530" s="36">
        <f t="shared" si="180"/>
        <v>8.8757396449704137E-2</v>
      </c>
      <c r="AG530" s="17">
        <v>15</v>
      </c>
      <c r="AH530" s="36">
        <f t="shared" si="170"/>
        <v>6.6666666666666666E-2</v>
      </c>
      <c r="AI530" s="17">
        <v>14</v>
      </c>
      <c r="AJ530" s="36">
        <f t="shared" si="181"/>
        <v>8.2840236686390539E-2</v>
      </c>
      <c r="AK530" s="17">
        <v>1</v>
      </c>
      <c r="AL530" s="36">
        <f t="shared" si="171"/>
        <v>4.4444444444444444E-3</v>
      </c>
      <c r="AM530" s="17">
        <v>1</v>
      </c>
      <c r="AN530" s="36">
        <f t="shared" si="182"/>
        <v>5.9171597633136093E-3</v>
      </c>
      <c r="AO530" s="17">
        <v>225</v>
      </c>
      <c r="AP530" s="17">
        <v>169</v>
      </c>
    </row>
    <row r="531" spans="1:42" ht="15.75" customHeight="1" x14ac:dyDescent="0.25">
      <c r="A531" s="37">
        <v>2021</v>
      </c>
      <c r="B531" s="35">
        <v>171880</v>
      </c>
      <c r="C531" s="34" t="s">
        <v>145</v>
      </c>
      <c r="D531" s="34" t="s">
        <v>117</v>
      </c>
      <c r="E531" s="17">
        <v>5</v>
      </c>
      <c r="F531" s="36">
        <f t="shared" si="172"/>
        <v>1.6233766233766232E-2</v>
      </c>
      <c r="G531" s="17">
        <v>6</v>
      </c>
      <c r="H531" s="36">
        <f t="shared" si="173"/>
        <v>4.6511627906976744E-2</v>
      </c>
      <c r="I531" s="17">
        <v>11</v>
      </c>
      <c r="J531" s="36">
        <f t="shared" si="174"/>
        <v>3.5714285714285712E-2</v>
      </c>
      <c r="K531" s="17">
        <v>7</v>
      </c>
      <c r="L531" s="36">
        <f t="shared" si="175"/>
        <v>5.4263565891472867E-2</v>
      </c>
      <c r="M531" s="17">
        <v>292</v>
      </c>
      <c r="N531" s="36">
        <f t="shared" si="165"/>
        <v>0.94805194805194803</v>
      </c>
      <c r="O531" s="17">
        <v>116</v>
      </c>
      <c r="P531" s="36">
        <f t="shared" si="176"/>
        <v>0.89922480620155043</v>
      </c>
      <c r="Q531" s="17">
        <v>9</v>
      </c>
      <c r="R531" s="36">
        <f t="shared" si="166"/>
        <v>2.922077922077922E-2</v>
      </c>
      <c r="S531" s="17">
        <v>4</v>
      </c>
      <c r="T531" s="36">
        <f t="shared" si="177"/>
        <v>3.1007751937984496E-2</v>
      </c>
      <c r="U531" s="17">
        <v>18</v>
      </c>
      <c r="V531" s="36">
        <f t="shared" si="167"/>
        <v>5.844155844155844E-2</v>
      </c>
      <c r="W531" s="17">
        <v>8</v>
      </c>
      <c r="X531" s="36">
        <f t="shared" si="178"/>
        <v>6.2015503875968991E-2</v>
      </c>
      <c r="Y531" s="17">
        <v>211</v>
      </c>
      <c r="Z531" s="36">
        <f t="shared" si="168"/>
        <v>0.68506493506493504</v>
      </c>
      <c r="AA531" s="17">
        <v>88</v>
      </c>
      <c r="AB531" s="36">
        <f t="shared" si="179"/>
        <v>0.68217054263565891</v>
      </c>
      <c r="AC531" s="17">
        <v>52</v>
      </c>
      <c r="AD531" s="36">
        <f t="shared" si="169"/>
        <v>0.16883116883116883</v>
      </c>
      <c r="AE531" s="17">
        <v>24</v>
      </c>
      <c r="AF531" s="36">
        <f t="shared" si="180"/>
        <v>0.18604651162790697</v>
      </c>
      <c r="AG531" s="17">
        <v>13</v>
      </c>
      <c r="AH531" s="36">
        <f t="shared" si="170"/>
        <v>4.2207792207792208E-2</v>
      </c>
      <c r="AI531" s="17">
        <v>2</v>
      </c>
      <c r="AJ531" s="36">
        <f t="shared" si="181"/>
        <v>1.5503875968992248E-2</v>
      </c>
      <c r="AK531" s="17">
        <v>5</v>
      </c>
      <c r="AL531" s="36">
        <f t="shared" si="171"/>
        <v>1.6233766233766232E-2</v>
      </c>
      <c r="AM531" s="17">
        <v>3</v>
      </c>
      <c r="AN531" s="36">
        <f t="shared" si="182"/>
        <v>2.3255813953488372E-2</v>
      </c>
      <c r="AO531" s="17">
        <v>308</v>
      </c>
      <c r="AP531" s="17">
        <v>129</v>
      </c>
    </row>
    <row r="532" spans="1:42" ht="15.75" customHeight="1" x14ac:dyDescent="0.25">
      <c r="A532" s="37">
        <v>2021</v>
      </c>
      <c r="B532" s="35">
        <v>171884</v>
      </c>
      <c r="C532" s="34" t="s">
        <v>146</v>
      </c>
      <c r="D532" s="34" t="s">
        <v>118</v>
      </c>
      <c r="E532" s="17">
        <v>2</v>
      </c>
      <c r="F532" s="36">
        <f t="shared" si="172"/>
        <v>2.6315789473684209E-2</v>
      </c>
      <c r="G532" s="17">
        <v>2</v>
      </c>
      <c r="H532" s="36">
        <f t="shared" si="173"/>
        <v>0.08</v>
      </c>
      <c r="I532" s="17">
        <v>2</v>
      </c>
      <c r="J532" s="36">
        <f t="shared" si="174"/>
        <v>2.6315789473684209E-2</v>
      </c>
      <c r="K532" s="17">
        <v>1</v>
      </c>
      <c r="L532" s="36">
        <f t="shared" si="175"/>
        <v>0.04</v>
      </c>
      <c r="M532" s="17">
        <v>72</v>
      </c>
      <c r="N532" s="36">
        <f t="shared" si="165"/>
        <v>0.94736842105263153</v>
      </c>
      <c r="O532" s="17">
        <v>22</v>
      </c>
      <c r="P532" s="36">
        <f t="shared" si="176"/>
        <v>0.88</v>
      </c>
      <c r="Q532" s="17">
        <v>2</v>
      </c>
      <c r="R532" s="36">
        <f t="shared" si="166"/>
        <v>2.6315789473684209E-2</v>
      </c>
      <c r="S532" s="17">
        <v>1</v>
      </c>
      <c r="T532" s="36">
        <f t="shared" si="177"/>
        <v>0.04</v>
      </c>
      <c r="U532" s="17">
        <v>2</v>
      </c>
      <c r="V532" s="36">
        <f t="shared" si="167"/>
        <v>2.6315789473684209E-2</v>
      </c>
      <c r="W532" s="17">
        <v>0</v>
      </c>
      <c r="X532" s="36">
        <f t="shared" si="178"/>
        <v>0</v>
      </c>
      <c r="Y532" s="17">
        <v>36</v>
      </c>
      <c r="Z532" s="36">
        <f t="shared" si="168"/>
        <v>0.47368421052631576</v>
      </c>
      <c r="AA532" s="17">
        <v>9</v>
      </c>
      <c r="AB532" s="36">
        <f t="shared" si="179"/>
        <v>0.36</v>
      </c>
      <c r="AC532" s="17">
        <v>21</v>
      </c>
      <c r="AD532" s="36">
        <f t="shared" si="169"/>
        <v>0.27631578947368424</v>
      </c>
      <c r="AE532" s="17">
        <v>9</v>
      </c>
      <c r="AF532" s="36">
        <f t="shared" si="180"/>
        <v>0.36</v>
      </c>
      <c r="AG532" s="17">
        <v>10</v>
      </c>
      <c r="AH532" s="36">
        <f t="shared" si="170"/>
        <v>0.13157894736842105</v>
      </c>
      <c r="AI532" s="17">
        <v>4</v>
      </c>
      <c r="AJ532" s="36">
        <f t="shared" si="181"/>
        <v>0.16</v>
      </c>
      <c r="AK532" s="17">
        <v>5</v>
      </c>
      <c r="AL532" s="36">
        <f t="shared" si="171"/>
        <v>6.5789473684210523E-2</v>
      </c>
      <c r="AM532" s="17">
        <v>2</v>
      </c>
      <c r="AN532" s="36">
        <f t="shared" si="182"/>
        <v>0.08</v>
      </c>
      <c r="AO532" s="17">
        <v>76</v>
      </c>
      <c r="AP532" s="17">
        <v>25</v>
      </c>
    </row>
    <row r="533" spans="1:42" ht="15.75" customHeight="1" x14ac:dyDescent="0.25">
      <c r="A533" s="37">
        <v>2021</v>
      </c>
      <c r="B533" s="35">
        <v>171886</v>
      </c>
      <c r="C533" s="34" t="s">
        <v>149</v>
      </c>
      <c r="D533" s="34" t="s">
        <v>119</v>
      </c>
      <c r="E533" s="17">
        <v>14</v>
      </c>
      <c r="F533" s="36">
        <f t="shared" si="172"/>
        <v>4.72972972972973E-2</v>
      </c>
      <c r="G533" s="17">
        <v>10</v>
      </c>
      <c r="H533" s="36">
        <f t="shared" si="173"/>
        <v>9.9009900990099015E-2</v>
      </c>
      <c r="I533" s="17">
        <v>14</v>
      </c>
      <c r="J533" s="36">
        <f t="shared" si="174"/>
        <v>4.72972972972973E-2</v>
      </c>
      <c r="K533" s="17">
        <v>6</v>
      </c>
      <c r="L533" s="36">
        <f t="shared" si="175"/>
        <v>5.9405940594059403E-2</v>
      </c>
      <c r="M533" s="17">
        <v>268</v>
      </c>
      <c r="N533" s="36">
        <f t="shared" si="165"/>
        <v>0.90540540540540537</v>
      </c>
      <c r="O533" s="17">
        <v>85</v>
      </c>
      <c r="P533" s="36">
        <f t="shared" si="176"/>
        <v>0.84158415841584155</v>
      </c>
      <c r="Q533" s="17">
        <v>10</v>
      </c>
      <c r="R533" s="36">
        <f t="shared" si="166"/>
        <v>3.3783783783783786E-2</v>
      </c>
      <c r="S533" s="17">
        <v>8</v>
      </c>
      <c r="T533" s="36">
        <f t="shared" si="177"/>
        <v>7.9207920792079209E-2</v>
      </c>
      <c r="U533" s="17">
        <v>9</v>
      </c>
      <c r="V533" s="36">
        <f t="shared" si="167"/>
        <v>3.0405405405405407E-2</v>
      </c>
      <c r="W533" s="17">
        <v>5</v>
      </c>
      <c r="X533" s="36">
        <f t="shared" si="178"/>
        <v>4.9504950495049507E-2</v>
      </c>
      <c r="Y533" s="17">
        <v>192</v>
      </c>
      <c r="Z533" s="36">
        <f t="shared" si="168"/>
        <v>0.64864864864864868</v>
      </c>
      <c r="AA533" s="17">
        <v>67</v>
      </c>
      <c r="AB533" s="36">
        <f t="shared" si="179"/>
        <v>0.6633663366336634</v>
      </c>
      <c r="AC533" s="17">
        <v>54</v>
      </c>
      <c r="AD533" s="36">
        <f t="shared" si="169"/>
        <v>0.18243243243243243</v>
      </c>
      <c r="AE533" s="17">
        <v>14</v>
      </c>
      <c r="AF533" s="36">
        <f t="shared" si="180"/>
        <v>0.13861386138613863</v>
      </c>
      <c r="AG533" s="17">
        <v>25</v>
      </c>
      <c r="AH533" s="36">
        <f t="shared" si="170"/>
        <v>8.4459459459459457E-2</v>
      </c>
      <c r="AI533" s="17">
        <v>5</v>
      </c>
      <c r="AJ533" s="36">
        <f t="shared" si="181"/>
        <v>4.9504950495049507E-2</v>
      </c>
      <c r="AK533" s="17">
        <v>6</v>
      </c>
      <c r="AL533" s="36">
        <f t="shared" si="171"/>
        <v>2.0270270270270271E-2</v>
      </c>
      <c r="AM533" s="17">
        <v>2</v>
      </c>
      <c r="AN533" s="36">
        <f t="shared" si="182"/>
        <v>1.9801980198019802E-2</v>
      </c>
      <c r="AO533" s="17">
        <v>296</v>
      </c>
      <c r="AP533" s="17">
        <v>101</v>
      </c>
    </row>
    <row r="534" spans="1:42" ht="15.75" customHeight="1" x14ac:dyDescent="0.25">
      <c r="A534" s="37">
        <v>2021</v>
      </c>
      <c r="B534" s="35">
        <v>171888</v>
      </c>
      <c r="C534" s="34" t="s">
        <v>150</v>
      </c>
      <c r="D534" s="34" t="s">
        <v>120</v>
      </c>
      <c r="E534" s="17">
        <v>2</v>
      </c>
      <c r="F534" s="36">
        <f t="shared" si="172"/>
        <v>2.0408163265306121E-2</v>
      </c>
      <c r="G534" s="17">
        <v>3</v>
      </c>
      <c r="H534" s="36">
        <f t="shared" si="173"/>
        <v>4.1666666666666664E-2</v>
      </c>
      <c r="I534" s="17">
        <v>9</v>
      </c>
      <c r="J534" s="36">
        <f t="shared" si="174"/>
        <v>9.1836734693877556E-2</v>
      </c>
      <c r="K534" s="17">
        <v>5</v>
      </c>
      <c r="L534" s="36">
        <f t="shared" si="175"/>
        <v>6.9444444444444448E-2</v>
      </c>
      <c r="M534" s="17">
        <v>87</v>
      </c>
      <c r="N534" s="36">
        <f t="shared" si="165"/>
        <v>0.88775510204081631</v>
      </c>
      <c r="O534" s="17">
        <v>64</v>
      </c>
      <c r="P534" s="36">
        <f t="shared" si="176"/>
        <v>0.88888888888888884</v>
      </c>
      <c r="Q534" s="17">
        <v>0</v>
      </c>
      <c r="R534" s="36">
        <f t="shared" si="166"/>
        <v>0</v>
      </c>
      <c r="S534" s="17">
        <v>0</v>
      </c>
      <c r="T534" s="36">
        <f t="shared" si="177"/>
        <v>0</v>
      </c>
      <c r="U534" s="17">
        <v>0</v>
      </c>
      <c r="V534" s="36">
        <f t="shared" si="167"/>
        <v>0</v>
      </c>
      <c r="W534" s="17">
        <v>0</v>
      </c>
      <c r="X534" s="36">
        <f t="shared" si="178"/>
        <v>0</v>
      </c>
      <c r="Y534" s="17">
        <v>55</v>
      </c>
      <c r="Z534" s="36">
        <f t="shared" si="168"/>
        <v>0.56122448979591832</v>
      </c>
      <c r="AA534" s="17">
        <v>40</v>
      </c>
      <c r="AB534" s="36">
        <f t="shared" si="179"/>
        <v>0.55555555555555558</v>
      </c>
      <c r="AC534" s="17">
        <v>29</v>
      </c>
      <c r="AD534" s="36">
        <f t="shared" si="169"/>
        <v>0.29591836734693877</v>
      </c>
      <c r="AE534" s="17">
        <v>21</v>
      </c>
      <c r="AF534" s="36">
        <f t="shared" si="180"/>
        <v>0.29166666666666669</v>
      </c>
      <c r="AG534" s="17">
        <v>12</v>
      </c>
      <c r="AH534" s="36">
        <f t="shared" si="170"/>
        <v>0.12244897959183673</v>
      </c>
      <c r="AI534" s="17">
        <v>9</v>
      </c>
      <c r="AJ534" s="36">
        <f t="shared" si="181"/>
        <v>0.125</v>
      </c>
      <c r="AK534" s="17">
        <v>2</v>
      </c>
      <c r="AL534" s="36">
        <f t="shared" si="171"/>
        <v>2.0408163265306121E-2</v>
      </c>
      <c r="AM534" s="17">
        <v>2</v>
      </c>
      <c r="AN534" s="36">
        <f t="shared" si="182"/>
        <v>2.7777777777777776E-2</v>
      </c>
      <c r="AO534" s="17">
        <v>98</v>
      </c>
      <c r="AP534" s="17">
        <v>72</v>
      </c>
    </row>
    <row r="535" spans="1:42" ht="15.75" customHeight="1" x14ac:dyDescent="0.25">
      <c r="A535" s="37">
        <v>2021</v>
      </c>
      <c r="B535" s="35">
        <v>171889</v>
      </c>
      <c r="C535" s="34" t="s">
        <v>146</v>
      </c>
      <c r="D535" s="34" t="s">
        <v>121</v>
      </c>
      <c r="E535" s="17">
        <v>1</v>
      </c>
      <c r="F535" s="36">
        <f t="shared" si="172"/>
        <v>7.246376811594203E-3</v>
      </c>
      <c r="G535" s="17">
        <v>0</v>
      </c>
      <c r="H535" s="36">
        <f t="shared" si="173"/>
        <v>0</v>
      </c>
      <c r="I535" s="17">
        <v>5</v>
      </c>
      <c r="J535" s="36">
        <f t="shared" si="174"/>
        <v>3.6231884057971016E-2</v>
      </c>
      <c r="K535" s="17">
        <v>2</v>
      </c>
      <c r="L535" s="36">
        <f t="shared" si="175"/>
        <v>6.6666666666666666E-2</v>
      </c>
      <c r="M535" s="17">
        <v>132</v>
      </c>
      <c r="N535" s="36">
        <f t="shared" si="165"/>
        <v>0.95652173913043481</v>
      </c>
      <c r="O535" s="17">
        <v>28</v>
      </c>
      <c r="P535" s="36">
        <f t="shared" si="176"/>
        <v>0.93333333333333335</v>
      </c>
      <c r="Q535" s="17">
        <v>1</v>
      </c>
      <c r="R535" s="36">
        <f t="shared" si="166"/>
        <v>7.246376811594203E-3</v>
      </c>
      <c r="S535" s="17">
        <v>0</v>
      </c>
      <c r="T535" s="36">
        <f t="shared" si="177"/>
        <v>0</v>
      </c>
      <c r="U535" s="17">
        <v>4</v>
      </c>
      <c r="V535" s="36">
        <f t="shared" si="167"/>
        <v>2.8985507246376812E-2</v>
      </c>
      <c r="W535" s="17">
        <v>0</v>
      </c>
      <c r="X535" s="36">
        <f t="shared" si="178"/>
        <v>0</v>
      </c>
      <c r="Y535" s="17">
        <v>83</v>
      </c>
      <c r="Z535" s="36">
        <f t="shared" si="168"/>
        <v>0.60144927536231885</v>
      </c>
      <c r="AA535" s="17">
        <v>16</v>
      </c>
      <c r="AB535" s="36">
        <f t="shared" si="179"/>
        <v>0.53333333333333333</v>
      </c>
      <c r="AC535" s="17">
        <v>36</v>
      </c>
      <c r="AD535" s="36">
        <f t="shared" si="169"/>
        <v>0.2608695652173913</v>
      </c>
      <c r="AE535" s="17">
        <v>10</v>
      </c>
      <c r="AF535" s="36">
        <f t="shared" si="180"/>
        <v>0.33333333333333331</v>
      </c>
      <c r="AG535" s="17">
        <v>14</v>
      </c>
      <c r="AH535" s="36">
        <f t="shared" si="170"/>
        <v>0.10144927536231885</v>
      </c>
      <c r="AI535" s="17">
        <v>4</v>
      </c>
      <c r="AJ535" s="36">
        <f t="shared" si="181"/>
        <v>0.13333333333333333</v>
      </c>
      <c r="AK535" s="17">
        <v>0</v>
      </c>
      <c r="AL535" s="36">
        <f t="shared" si="171"/>
        <v>0</v>
      </c>
      <c r="AM535" s="17">
        <v>0</v>
      </c>
      <c r="AN535" s="36">
        <f t="shared" si="182"/>
        <v>0</v>
      </c>
      <c r="AO535" s="17">
        <v>138</v>
      </c>
      <c r="AP535" s="17">
        <v>30</v>
      </c>
    </row>
    <row r="536" spans="1:42" ht="15.75" customHeight="1" x14ac:dyDescent="0.25">
      <c r="A536" s="37">
        <v>2021</v>
      </c>
      <c r="B536" s="35">
        <v>171890</v>
      </c>
      <c r="C536" s="34" t="s">
        <v>151</v>
      </c>
      <c r="D536" s="34" t="s">
        <v>122</v>
      </c>
      <c r="E536" s="17">
        <v>0</v>
      </c>
      <c r="F536" s="36">
        <f t="shared" si="172"/>
        <v>0</v>
      </c>
      <c r="G536" s="17">
        <v>0</v>
      </c>
      <c r="H536" s="36">
        <f t="shared" si="173"/>
        <v>0</v>
      </c>
      <c r="I536" s="17">
        <v>4</v>
      </c>
      <c r="J536" s="36">
        <f t="shared" si="174"/>
        <v>3.1746031746031744E-2</v>
      </c>
      <c r="K536" s="17">
        <v>0</v>
      </c>
      <c r="L536" s="36">
        <f t="shared" si="175"/>
        <v>0</v>
      </c>
      <c r="M536" s="17">
        <v>122</v>
      </c>
      <c r="N536" s="36">
        <f t="shared" si="165"/>
        <v>0.96825396825396826</v>
      </c>
      <c r="O536" s="17">
        <v>16</v>
      </c>
      <c r="P536" s="36">
        <f t="shared" si="176"/>
        <v>1</v>
      </c>
      <c r="Q536" s="17">
        <v>0</v>
      </c>
      <c r="R536" s="36">
        <f t="shared" si="166"/>
        <v>0</v>
      </c>
      <c r="S536" s="17">
        <v>0</v>
      </c>
      <c r="T536" s="36">
        <f t="shared" si="177"/>
        <v>0</v>
      </c>
      <c r="U536" s="17">
        <v>5</v>
      </c>
      <c r="V536" s="36">
        <f t="shared" si="167"/>
        <v>3.968253968253968E-2</v>
      </c>
      <c r="W536" s="17">
        <v>0</v>
      </c>
      <c r="X536" s="36">
        <f t="shared" si="178"/>
        <v>0</v>
      </c>
      <c r="Y536" s="17">
        <v>81</v>
      </c>
      <c r="Z536" s="36">
        <f t="shared" si="168"/>
        <v>0.6428571428571429</v>
      </c>
      <c r="AA536" s="17">
        <v>10</v>
      </c>
      <c r="AB536" s="36">
        <f t="shared" si="179"/>
        <v>0.625</v>
      </c>
      <c r="AC536" s="17">
        <v>27</v>
      </c>
      <c r="AD536" s="36">
        <f t="shared" si="169"/>
        <v>0.21428571428571427</v>
      </c>
      <c r="AE536" s="17">
        <v>3</v>
      </c>
      <c r="AF536" s="36">
        <f t="shared" si="180"/>
        <v>0.1875</v>
      </c>
      <c r="AG536" s="17">
        <v>10</v>
      </c>
      <c r="AH536" s="36">
        <f t="shared" si="170"/>
        <v>7.9365079365079361E-2</v>
      </c>
      <c r="AI536" s="17">
        <v>3</v>
      </c>
      <c r="AJ536" s="36">
        <f t="shared" si="181"/>
        <v>0.1875</v>
      </c>
      <c r="AK536" s="17">
        <v>3</v>
      </c>
      <c r="AL536" s="36">
        <f t="shared" si="171"/>
        <v>2.3809523809523808E-2</v>
      </c>
      <c r="AM536" s="17">
        <v>0</v>
      </c>
      <c r="AN536" s="36">
        <f t="shared" si="182"/>
        <v>0</v>
      </c>
      <c r="AO536" s="17">
        <v>126</v>
      </c>
      <c r="AP536" s="17">
        <v>16</v>
      </c>
    </row>
    <row r="537" spans="1:42" ht="15.75" customHeight="1" x14ac:dyDescent="0.25">
      <c r="A537" s="37">
        <v>2021</v>
      </c>
      <c r="B537" s="35">
        <v>171900</v>
      </c>
      <c r="C537" s="34" t="s">
        <v>148</v>
      </c>
      <c r="D537" s="34" t="s">
        <v>123</v>
      </c>
      <c r="E537" s="17">
        <v>5</v>
      </c>
      <c r="F537" s="36">
        <f t="shared" si="172"/>
        <v>1.6949152542372881E-2</v>
      </c>
      <c r="G537" s="17">
        <v>1</v>
      </c>
      <c r="H537" s="36">
        <f t="shared" si="173"/>
        <v>1.1363636363636364E-2</v>
      </c>
      <c r="I537" s="17">
        <v>14</v>
      </c>
      <c r="J537" s="36">
        <f t="shared" si="174"/>
        <v>4.7457627118644069E-2</v>
      </c>
      <c r="K537" s="17">
        <v>2</v>
      </c>
      <c r="L537" s="36">
        <f t="shared" si="175"/>
        <v>2.2727272727272728E-2</v>
      </c>
      <c r="M537" s="17">
        <v>276</v>
      </c>
      <c r="N537" s="36">
        <f t="shared" si="165"/>
        <v>0.93559322033898307</v>
      </c>
      <c r="O537" s="17">
        <v>85</v>
      </c>
      <c r="P537" s="36">
        <f t="shared" si="176"/>
        <v>0.96590909090909094</v>
      </c>
      <c r="Q537" s="17">
        <v>3</v>
      </c>
      <c r="R537" s="36">
        <f t="shared" si="166"/>
        <v>1.0169491525423728E-2</v>
      </c>
      <c r="S537" s="17">
        <v>3</v>
      </c>
      <c r="T537" s="36">
        <f t="shared" si="177"/>
        <v>3.4090909090909088E-2</v>
      </c>
      <c r="U537" s="17">
        <v>15</v>
      </c>
      <c r="V537" s="36">
        <f t="shared" si="167"/>
        <v>5.0847457627118647E-2</v>
      </c>
      <c r="W537" s="17">
        <v>2</v>
      </c>
      <c r="X537" s="36">
        <f t="shared" si="178"/>
        <v>2.2727272727272728E-2</v>
      </c>
      <c r="Y537" s="17">
        <v>206</v>
      </c>
      <c r="Z537" s="36">
        <f t="shared" si="168"/>
        <v>0.69830508474576269</v>
      </c>
      <c r="AA537" s="17">
        <v>64</v>
      </c>
      <c r="AB537" s="36">
        <f t="shared" si="179"/>
        <v>0.72727272727272729</v>
      </c>
      <c r="AC537" s="17">
        <v>44</v>
      </c>
      <c r="AD537" s="36">
        <f t="shared" si="169"/>
        <v>0.14915254237288136</v>
      </c>
      <c r="AE537" s="17">
        <v>11</v>
      </c>
      <c r="AF537" s="36">
        <f t="shared" si="180"/>
        <v>0.125</v>
      </c>
      <c r="AG537" s="17">
        <v>19</v>
      </c>
      <c r="AH537" s="36">
        <f t="shared" si="170"/>
        <v>6.4406779661016947E-2</v>
      </c>
      <c r="AI537" s="17">
        <v>6</v>
      </c>
      <c r="AJ537" s="36">
        <f t="shared" si="181"/>
        <v>6.8181818181818177E-2</v>
      </c>
      <c r="AK537" s="17">
        <v>8</v>
      </c>
      <c r="AL537" s="36">
        <f t="shared" si="171"/>
        <v>2.7118644067796609E-2</v>
      </c>
      <c r="AM537" s="17">
        <v>2</v>
      </c>
      <c r="AN537" s="36">
        <f t="shared" si="182"/>
        <v>2.2727272727272728E-2</v>
      </c>
      <c r="AO537" s="17">
        <v>295</v>
      </c>
      <c r="AP537" s="17">
        <v>88</v>
      </c>
    </row>
    <row r="538" spans="1:42" ht="15.75" customHeight="1" x14ac:dyDescent="0.25">
      <c r="A538" s="37">
        <v>2021</v>
      </c>
      <c r="B538" s="35">
        <v>172000</v>
      </c>
      <c r="C538" s="34" t="s">
        <v>145</v>
      </c>
      <c r="D538" s="34" t="s">
        <v>124</v>
      </c>
      <c r="E538" s="17">
        <v>3</v>
      </c>
      <c r="F538" s="36">
        <f t="shared" si="172"/>
        <v>1.9736842105263157E-2</v>
      </c>
      <c r="G538" s="17">
        <v>2</v>
      </c>
      <c r="H538" s="36">
        <f t="shared" si="173"/>
        <v>4.4444444444444446E-2</v>
      </c>
      <c r="I538" s="17">
        <v>11</v>
      </c>
      <c r="J538" s="36">
        <f t="shared" si="174"/>
        <v>7.2368421052631582E-2</v>
      </c>
      <c r="K538" s="17">
        <v>4</v>
      </c>
      <c r="L538" s="36">
        <f t="shared" si="175"/>
        <v>8.8888888888888892E-2</v>
      </c>
      <c r="M538" s="17">
        <v>138</v>
      </c>
      <c r="N538" s="36">
        <f t="shared" ref="N538:N566" si="183">IFERROR(M538/$AO538,0)</f>
        <v>0.90789473684210531</v>
      </c>
      <c r="O538" s="17">
        <v>39</v>
      </c>
      <c r="P538" s="36">
        <f t="shared" si="176"/>
        <v>0.8666666666666667</v>
      </c>
      <c r="Q538" s="17">
        <v>2</v>
      </c>
      <c r="R538" s="36">
        <f t="shared" ref="R538:R566" si="184">IFERROR(Q538/$AO538,0)</f>
        <v>1.3157894736842105E-2</v>
      </c>
      <c r="S538" s="17">
        <v>0</v>
      </c>
      <c r="T538" s="36">
        <f t="shared" si="177"/>
        <v>0</v>
      </c>
      <c r="U538" s="17">
        <v>7</v>
      </c>
      <c r="V538" s="36">
        <f t="shared" ref="V538:V566" si="185">IFERROR(U538/$AO538,0)</f>
        <v>4.6052631578947366E-2</v>
      </c>
      <c r="W538" s="17">
        <v>5</v>
      </c>
      <c r="X538" s="36">
        <f t="shared" si="178"/>
        <v>0.1111111111111111</v>
      </c>
      <c r="Y538" s="17">
        <v>103</v>
      </c>
      <c r="Z538" s="36">
        <f t="shared" ref="Z538:Z566" si="186">IFERROR(Y538/$AO538,0)</f>
        <v>0.67763157894736847</v>
      </c>
      <c r="AA538" s="17">
        <v>25</v>
      </c>
      <c r="AB538" s="36">
        <f t="shared" si="179"/>
        <v>0.55555555555555558</v>
      </c>
      <c r="AC538" s="17">
        <v>34</v>
      </c>
      <c r="AD538" s="36">
        <f t="shared" ref="AD538:AD566" si="187">IFERROR(AC538/$AO538,0)</f>
        <v>0.22368421052631579</v>
      </c>
      <c r="AE538" s="17">
        <v>12</v>
      </c>
      <c r="AF538" s="36">
        <f t="shared" si="180"/>
        <v>0.26666666666666666</v>
      </c>
      <c r="AG538" s="17">
        <v>6</v>
      </c>
      <c r="AH538" s="36">
        <f t="shared" ref="AH538:AH566" si="188">IFERROR(AG538/$AO538,0)</f>
        <v>3.9473684210526314E-2</v>
      </c>
      <c r="AI538" s="17">
        <v>3</v>
      </c>
      <c r="AJ538" s="36">
        <f t="shared" si="181"/>
        <v>6.6666666666666666E-2</v>
      </c>
      <c r="AK538" s="17">
        <v>0</v>
      </c>
      <c r="AL538" s="36">
        <f t="shared" ref="AL538:AL566" si="189">IFERROR(AK538/$AO538,0)</f>
        <v>0</v>
      </c>
      <c r="AM538" s="17">
        <v>0</v>
      </c>
      <c r="AN538" s="36">
        <f t="shared" si="182"/>
        <v>0</v>
      </c>
      <c r="AO538" s="17">
        <v>152</v>
      </c>
      <c r="AP538" s="17">
        <v>45</v>
      </c>
    </row>
    <row r="539" spans="1:42" ht="15.75" customHeight="1" x14ac:dyDescent="0.25">
      <c r="A539" s="37">
        <v>2021</v>
      </c>
      <c r="B539" s="35">
        <v>172010</v>
      </c>
      <c r="C539" s="34" t="s">
        <v>145</v>
      </c>
      <c r="D539" s="34" t="s">
        <v>125</v>
      </c>
      <c r="E539" s="17">
        <v>2</v>
      </c>
      <c r="F539" s="36">
        <f t="shared" si="172"/>
        <v>5.3050397877984082E-3</v>
      </c>
      <c r="G539" s="17">
        <v>1</v>
      </c>
      <c r="H539" s="36">
        <f t="shared" si="173"/>
        <v>4.4444444444444444E-3</v>
      </c>
      <c r="I539" s="17">
        <v>14</v>
      </c>
      <c r="J539" s="36">
        <f t="shared" si="174"/>
        <v>3.7135278514588858E-2</v>
      </c>
      <c r="K539" s="17">
        <v>6</v>
      </c>
      <c r="L539" s="36">
        <f t="shared" si="175"/>
        <v>2.6666666666666668E-2</v>
      </c>
      <c r="M539" s="17">
        <v>361</v>
      </c>
      <c r="N539" s="36">
        <f t="shared" si="183"/>
        <v>0.95755968169761274</v>
      </c>
      <c r="O539" s="17">
        <v>218</v>
      </c>
      <c r="P539" s="36">
        <f t="shared" si="176"/>
        <v>0.96888888888888891</v>
      </c>
      <c r="Q539" s="17">
        <v>2</v>
      </c>
      <c r="R539" s="36">
        <f t="shared" si="184"/>
        <v>5.3050397877984082E-3</v>
      </c>
      <c r="S539" s="17">
        <v>2</v>
      </c>
      <c r="T539" s="36">
        <f t="shared" si="177"/>
        <v>8.8888888888888889E-3</v>
      </c>
      <c r="U539" s="17">
        <v>15</v>
      </c>
      <c r="V539" s="36">
        <f t="shared" si="185"/>
        <v>3.9787798408488062E-2</v>
      </c>
      <c r="W539" s="17">
        <v>12</v>
      </c>
      <c r="X539" s="36">
        <f t="shared" si="178"/>
        <v>5.3333333333333337E-2</v>
      </c>
      <c r="Y539" s="17">
        <v>262</v>
      </c>
      <c r="Z539" s="36">
        <f t="shared" si="186"/>
        <v>0.69496021220159154</v>
      </c>
      <c r="AA539" s="17">
        <v>151</v>
      </c>
      <c r="AB539" s="36">
        <f t="shared" si="179"/>
        <v>0.6711111111111111</v>
      </c>
      <c r="AC539" s="17">
        <v>66</v>
      </c>
      <c r="AD539" s="36">
        <f t="shared" si="187"/>
        <v>0.17506631299734748</v>
      </c>
      <c r="AE539" s="17">
        <v>41</v>
      </c>
      <c r="AF539" s="36">
        <f t="shared" si="180"/>
        <v>0.18222222222222223</v>
      </c>
      <c r="AG539" s="17">
        <v>29</v>
      </c>
      <c r="AH539" s="36">
        <f t="shared" si="188"/>
        <v>7.6923076923076927E-2</v>
      </c>
      <c r="AI539" s="17">
        <v>19</v>
      </c>
      <c r="AJ539" s="36">
        <f t="shared" si="181"/>
        <v>8.4444444444444447E-2</v>
      </c>
      <c r="AK539" s="17">
        <v>3</v>
      </c>
      <c r="AL539" s="36">
        <f t="shared" si="189"/>
        <v>7.9575596816976128E-3</v>
      </c>
      <c r="AM539" s="17">
        <v>0</v>
      </c>
      <c r="AN539" s="36">
        <f t="shared" si="182"/>
        <v>0</v>
      </c>
      <c r="AO539" s="17">
        <v>377</v>
      </c>
      <c r="AP539" s="17">
        <v>225</v>
      </c>
    </row>
    <row r="540" spans="1:42" ht="15.75" customHeight="1" x14ac:dyDescent="0.25">
      <c r="A540" s="37">
        <v>2021</v>
      </c>
      <c r="B540" s="35">
        <v>172015</v>
      </c>
      <c r="C540" s="34" t="s">
        <v>148</v>
      </c>
      <c r="D540" s="34" t="s">
        <v>126</v>
      </c>
      <c r="E540" s="17">
        <v>4</v>
      </c>
      <c r="F540" s="36">
        <f t="shared" si="172"/>
        <v>2.564102564102564E-2</v>
      </c>
      <c r="G540" s="17">
        <v>0</v>
      </c>
      <c r="H540" s="36">
        <f t="shared" si="173"/>
        <v>0</v>
      </c>
      <c r="I540" s="17">
        <v>7</v>
      </c>
      <c r="J540" s="36">
        <f t="shared" si="174"/>
        <v>4.4871794871794872E-2</v>
      </c>
      <c r="K540" s="17">
        <v>4</v>
      </c>
      <c r="L540" s="36">
        <f t="shared" si="175"/>
        <v>7.1428571428571425E-2</v>
      </c>
      <c r="M540" s="17">
        <v>145</v>
      </c>
      <c r="N540" s="36">
        <f t="shared" si="183"/>
        <v>0.92948717948717952</v>
      </c>
      <c r="O540" s="17">
        <v>52</v>
      </c>
      <c r="P540" s="36">
        <f t="shared" si="176"/>
        <v>0.9285714285714286</v>
      </c>
      <c r="Q540" s="17">
        <v>3</v>
      </c>
      <c r="R540" s="36">
        <f t="shared" si="184"/>
        <v>1.9230769230769232E-2</v>
      </c>
      <c r="S540" s="17">
        <v>1</v>
      </c>
      <c r="T540" s="36">
        <f t="shared" si="177"/>
        <v>1.7857142857142856E-2</v>
      </c>
      <c r="U540" s="17">
        <v>4</v>
      </c>
      <c r="V540" s="36">
        <f t="shared" si="185"/>
        <v>2.564102564102564E-2</v>
      </c>
      <c r="W540" s="17">
        <v>0</v>
      </c>
      <c r="X540" s="36">
        <f t="shared" si="178"/>
        <v>0</v>
      </c>
      <c r="Y540" s="17">
        <v>109</v>
      </c>
      <c r="Z540" s="36">
        <f t="shared" si="186"/>
        <v>0.69871794871794868</v>
      </c>
      <c r="AA540" s="17">
        <v>40</v>
      </c>
      <c r="AB540" s="36">
        <f t="shared" si="179"/>
        <v>0.7142857142857143</v>
      </c>
      <c r="AC540" s="17">
        <v>23</v>
      </c>
      <c r="AD540" s="36">
        <f t="shared" si="187"/>
        <v>0.14743589743589744</v>
      </c>
      <c r="AE540" s="17">
        <v>9</v>
      </c>
      <c r="AF540" s="36">
        <f t="shared" si="180"/>
        <v>0.16071428571428573</v>
      </c>
      <c r="AG540" s="17">
        <v>11</v>
      </c>
      <c r="AH540" s="36">
        <f t="shared" si="188"/>
        <v>7.0512820512820512E-2</v>
      </c>
      <c r="AI540" s="17">
        <v>2</v>
      </c>
      <c r="AJ540" s="36">
        <f t="shared" si="181"/>
        <v>3.5714285714285712E-2</v>
      </c>
      <c r="AK540" s="17">
        <v>6</v>
      </c>
      <c r="AL540" s="36">
        <f t="shared" si="189"/>
        <v>3.8461538461538464E-2</v>
      </c>
      <c r="AM540" s="17">
        <v>4</v>
      </c>
      <c r="AN540" s="36">
        <f t="shared" si="182"/>
        <v>7.1428571428571425E-2</v>
      </c>
      <c r="AO540" s="17">
        <v>156</v>
      </c>
      <c r="AP540" s="17">
        <v>56</v>
      </c>
    </row>
    <row r="541" spans="1:42" ht="15.75" customHeight="1" x14ac:dyDescent="0.25">
      <c r="A541" s="37">
        <v>2021</v>
      </c>
      <c r="B541" s="35">
        <v>172020</v>
      </c>
      <c r="C541" s="34" t="s">
        <v>145</v>
      </c>
      <c r="D541" s="34" t="s">
        <v>127</v>
      </c>
      <c r="E541" s="17">
        <v>11</v>
      </c>
      <c r="F541" s="36">
        <f t="shared" si="172"/>
        <v>1.2443438914027148E-2</v>
      </c>
      <c r="G541" s="17">
        <v>5</v>
      </c>
      <c r="H541" s="36">
        <f t="shared" si="173"/>
        <v>1.4534883720930232E-2</v>
      </c>
      <c r="I541" s="17">
        <v>41</v>
      </c>
      <c r="J541" s="36">
        <f t="shared" si="174"/>
        <v>4.6380090497737558E-2</v>
      </c>
      <c r="K541" s="17">
        <v>21</v>
      </c>
      <c r="L541" s="36">
        <f t="shared" si="175"/>
        <v>6.1046511627906974E-2</v>
      </c>
      <c r="M541" s="17">
        <v>832</v>
      </c>
      <c r="N541" s="36">
        <f t="shared" si="183"/>
        <v>0.94117647058823528</v>
      </c>
      <c r="O541" s="17">
        <v>318</v>
      </c>
      <c r="P541" s="36">
        <f t="shared" si="176"/>
        <v>0.92441860465116277</v>
      </c>
      <c r="Q541" s="17">
        <v>10</v>
      </c>
      <c r="R541" s="36">
        <f t="shared" si="184"/>
        <v>1.1312217194570135E-2</v>
      </c>
      <c r="S541" s="17">
        <v>4</v>
      </c>
      <c r="T541" s="36">
        <f t="shared" si="177"/>
        <v>1.1627906976744186E-2</v>
      </c>
      <c r="U541" s="17">
        <v>40</v>
      </c>
      <c r="V541" s="36">
        <f t="shared" si="185"/>
        <v>4.5248868778280542E-2</v>
      </c>
      <c r="W541" s="17">
        <v>15</v>
      </c>
      <c r="X541" s="36">
        <f t="shared" si="178"/>
        <v>4.3604651162790699E-2</v>
      </c>
      <c r="Y541" s="17">
        <v>627</v>
      </c>
      <c r="Z541" s="36">
        <f t="shared" si="186"/>
        <v>0.70927601809954754</v>
      </c>
      <c r="AA541" s="17">
        <v>247</v>
      </c>
      <c r="AB541" s="36">
        <f t="shared" si="179"/>
        <v>0.71802325581395354</v>
      </c>
      <c r="AC541" s="17">
        <v>131</v>
      </c>
      <c r="AD541" s="36">
        <f t="shared" si="187"/>
        <v>0.14819004524886878</v>
      </c>
      <c r="AE541" s="17">
        <v>54</v>
      </c>
      <c r="AF541" s="36">
        <f t="shared" si="180"/>
        <v>0.15697674418604651</v>
      </c>
      <c r="AG541" s="17">
        <v>68</v>
      </c>
      <c r="AH541" s="36">
        <f t="shared" si="188"/>
        <v>7.6923076923076927E-2</v>
      </c>
      <c r="AI541" s="17">
        <v>21</v>
      </c>
      <c r="AJ541" s="36">
        <f t="shared" si="181"/>
        <v>6.1046511627906974E-2</v>
      </c>
      <c r="AK541" s="17">
        <v>8</v>
      </c>
      <c r="AL541" s="36">
        <f t="shared" si="189"/>
        <v>9.0497737556561094E-3</v>
      </c>
      <c r="AM541" s="17">
        <v>3</v>
      </c>
      <c r="AN541" s="36">
        <f t="shared" si="182"/>
        <v>8.7209302325581394E-3</v>
      </c>
      <c r="AO541" s="17">
        <v>884</v>
      </c>
      <c r="AP541" s="17">
        <v>344</v>
      </c>
    </row>
    <row r="542" spans="1:42" ht="15.75" customHeight="1" x14ac:dyDescent="0.25">
      <c r="A542" s="37">
        <v>2021</v>
      </c>
      <c r="B542" s="35">
        <v>172025</v>
      </c>
      <c r="C542" s="34" t="s">
        <v>146</v>
      </c>
      <c r="D542" s="34" t="s">
        <v>128</v>
      </c>
      <c r="E542" s="17">
        <v>1</v>
      </c>
      <c r="F542" s="36">
        <f t="shared" si="172"/>
        <v>5.9171597633136093E-3</v>
      </c>
      <c r="G542" s="17">
        <v>0</v>
      </c>
      <c r="H542" s="36">
        <f t="shared" si="173"/>
        <v>0</v>
      </c>
      <c r="I542" s="17">
        <v>7</v>
      </c>
      <c r="J542" s="36">
        <f t="shared" si="174"/>
        <v>4.142011834319527E-2</v>
      </c>
      <c r="K542" s="17">
        <v>4</v>
      </c>
      <c r="L542" s="36">
        <f t="shared" si="175"/>
        <v>4.5454545454545456E-2</v>
      </c>
      <c r="M542" s="17">
        <v>161</v>
      </c>
      <c r="N542" s="36">
        <f t="shared" si="183"/>
        <v>0.9526627218934911</v>
      </c>
      <c r="O542" s="17">
        <v>84</v>
      </c>
      <c r="P542" s="36">
        <f t="shared" si="176"/>
        <v>0.95454545454545459</v>
      </c>
      <c r="Q542" s="17">
        <v>4</v>
      </c>
      <c r="R542" s="36">
        <f t="shared" si="184"/>
        <v>2.3668639053254437E-2</v>
      </c>
      <c r="S542" s="17">
        <v>2</v>
      </c>
      <c r="T542" s="36">
        <f t="shared" si="177"/>
        <v>2.2727272727272728E-2</v>
      </c>
      <c r="U542" s="17">
        <v>1</v>
      </c>
      <c r="V542" s="36">
        <f t="shared" si="185"/>
        <v>5.9171597633136093E-3</v>
      </c>
      <c r="W542" s="17">
        <v>2</v>
      </c>
      <c r="X542" s="36">
        <f t="shared" si="178"/>
        <v>2.2727272727272728E-2</v>
      </c>
      <c r="Y542" s="17">
        <v>110</v>
      </c>
      <c r="Z542" s="36">
        <f t="shared" si="186"/>
        <v>0.65088757396449703</v>
      </c>
      <c r="AA542" s="17">
        <v>57</v>
      </c>
      <c r="AB542" s="36">
        <f t="shared" si="179"/>
        <v>0.64772727272727271</v>
      </c>
      <c r="AC542" s="17">
        <v>40</v>
      </c>
      <c r="AD542" s="36">
        <f t="shared" si="187"/>
        <v>0.23668639053254437</v>
      </c>
      <c r="AE542" s="17">
        <v>21</v>
      </c>
      <c r="AF542" s="36">
        <f t="shared" si="180"/>
        <v>0.23863636363636365</v>
      </c>
      <c r="AG542" s="17">
        <v>11</v>
      </c>
      <c r="AH542" s="36">
        <f t="shared" si="188"/>
        <v>6.5088757396449703E-2</v>
      </c>
      <c r="AI542" s="17">
        <v>4</v>
      </c>
      <c r="AJ542" s="36">
        <f t="shared" si="181"/>
        <v>4.5454545454545456E-2</v>
      </c>
      <c r="AK542" s="17">
        <v>3</v>
      </c>
      <c r="AL542" s="36">
        <f t="shared" si="189"/>
        <v>1.7751479289940829E-2</v>
      </c>
      <c r="AM542" s="17">
        <v>2</v>
      </c>
      <c r="AN542" s="36">
        <f t="shared" si="182"/>
        <v>2.2727272727272728E-2</v>
      </c>
      <c r="AO542" s="17">
        <v>169</v>
      </c>
      <c r="AP542" s="17">
        <v>88</v>
      </c>
    </row>
    <row r="543" spans="1:42" ht="15.75" customHeight="1" x14ac:dyDescent="0.25">
      <c r="A543" s="37">
        <v>2021</v>
      </c>
      <c r="B543" s="35">
        <v>172030</v>
      </c>
      <c r="C543" s="34" t="s">
        <v>145</v>
      </c>
      <c r="D543" s="34" t="s">
        <v>129</v>
      </c>
      <c r="E543" s="17">
        <v>9</v>
      </c>
      <c r="F543" s="36">
        <f t="shared" si="172"/>
        <v>2.4E-2</v>
      </c>
      <c r="G543" s="17">
        <v>7</v>
      </c>
      <c r="H543" s="36">
        <f t="shared" si="173"/>
        <v>3.2710280373831772E-2</v>
      </c>
      <c r="I543" s="17">
        <v>23</v>
      </c>
      <c r="J543" s="36">
        <f t="shared" si="174"/>
        <v>6.133333333333333E-2</v>
      </c>
      <c r="K543" s="17">
        <v>14</v>
      </c>
      <c r="L543" s="36">
        <f t="shared" si="175"/>
        <v>6.5420560747663545E-2</v>
      </c>
      <c r="M543" s="17">
        <v>343</v>
      </c>
      <c r="N543" s="36">
        <f t="shared" si="183"/>
        <v>0.91466666666666663</v>
      </c>
      <c r="O543" s="17">
        <v>193</v>
      </c>
      <c r="P543" s="36">
        <f t="shared" si="176"/>
        <v>0.90186915887850472</v>
      </c>
      <c r="Q543" s="17">
        <v>11</v>
      </c>
      <c r="R543" s="36">
        <f t="shared" si="184"/>
        <v>2.9333333333333333E-2</v>
      </c>
      <c r="S543" s="17">
        <v>7</v>
      </c>
      <c r="T543" s="36">
        <f t="shared" si="177"/>
        <v>3.2710280373831772E-2</v>
      </c>
      <c r="U543" s="17">
        <v>13</v>
      </c>
      <c r="V543" s="36">
        <f t="shared" si="185"/>
        <v>3.4666666666666665E-2</v>
      </c>
      <c r="W543" s="17">
        <v>9</v>
      </c>
      <c r="X543" s="36">
        <f t="shared" si="178"/>
        <v>4.2056074766355138E-2</v>
      </c>
      <c r="Y543" s="17">
        <v>267</v>
      </c>
      <c r="Z543" s="36">
        <f t="shared" si="186"/>
        <v>0.71199999999999997</v>
      </c>
      <c r="AA543" s="17">
        <v>158</v>
      </c>
      <c r="AB543" s="36">
        <f t="shared" si="179"/>
        <v>0.73831775700934577</v>
      </c>
      <c r="AC543" s="17">
        <v>62</v>
      </c>
      <c r="AD543" s="36">
        <f t="shared" si="187"/>
        <v>0.16533333333333333</v>
      </c>
      <c r="AE543" s="17">
        <v>31</v>
      </c>
      <c r="AF543" s="36">
        <f t="shared" si="180"/>
        <v>0.14485981308411214</v>
      </c>
      <c r="AG543" s="17">
        <v>20</v>
      </c>
      <c r="AH543" s="36">
        <f t="shared" si="188"/>
        <v>5.3333333333333337E-2</v>
      </c>
      <c r="AI543" s="17">
        <v>8</v>
      </c>
      <c r="AJ543" s="36">
        <f t="shared" si="181"/>
        <v>3.7383177570093455E-2</v>
      </c>
      <c r="AK543" s="17">
        <v>2</v>
      </c>
      <c r="AL543" s="36">
        <f t="shared" si="189"/>
        <v>5.3333333333333332E-3</v>
      </c>
      <c r="AM543" s="17">
        <v>1</v>
      </c>
      <c r="AN543" s="36">
        <f t="shared" si="182"/>
        <v>4.6728971962616819E-3</v>
      </c>
      <c r="AO543" s="17">
        <v>375</v>
      </c>
      <c r="AP543" s="17">
        <v>214</v>
      </c>
    </row>
    <row r="544" spans="1:42" ht="15.75" customHeight="1" x14ac:dyDescent="0.25">
      <c r="A544" s="37">
        <v>2021</v>
      </c>
      <c r="B544" s="35">
        <v>172049</v>
      </c>
      <c r="C544" s="34" t="s">
        <v>146</v>
      </c>
      <c r="D544" s="34" t="s">
        <v>130</v>
      </c>
      <c r="E544" s="17">
        <v>3</v>
      </c>
      <c r="F544" s="36">
        <f t="shared" si="172"/>
        <v>1.276595744680851E-2</v>
      </c>
      <c r="G544" s="17">
        <v>3</v>
      </c>
      <c r="H544" s="36">
        <f t="shared" si="173"/>
        <v>2.2727272727272728E-2</v>
      </c>
      <c r="I544" s="17">
        <v>12</v>
      </c>
      <c r="J544" s="36">
        <f t="shared" si="174"/>
        <v>5.106382978723404E-2</v>
      </c>
      <c r="K544" s="17">
        <v>9</v>
      </c>
      <c r="L544" s="36">
        <f t="shared" si="175"/>
        <v>6.8181818181818177E-2</v>
      </c>
      <c r="M544" s="17">
        <v>220</v>
      </c>
      <c r="N544" s="36">
        <f t="shared" si="183"/>
        <v>0.93617021276595747</v>
      </c>
      <c r="O544" s="17">
        <v>120</v>
      </c>
      <c r="P544" s="36">
        <f t="shared" si="176"/>
        <v>0.90909090909090906</v>
      </c>
      <c r="Q544" s="17">
        <v>3</v>
      </c>
      <c r="R544" s="36">
        <f t="shared" si="184"/>
        <v>1.276595744680851E-2</v>
      </c>
      <c r="S544" s="17">
        <v>2</v>
      </c>
      <c r="T544" s="36">
        <f t="shared" si="177"/>
        <v>1.5151515151515152E-2</v>
      </c>
      <c r="U544" s="17">
        <v>6</v>
      </c>
      <c r="V544" s="36">
        <f t="shared" si="185"/>
        <v>2.553191489361702E-2</v>
      </c>
      <c r="W544" s="17">
        <v>2</v>
      </c>
      <c r="X544" s="36">
        <f t="shared" si="178"/>
        <v>1.5151515151515152E-2</v>
      </c>
      <c r="Y544" s="17">
        <v>158</v>
      </c>
      <c r="Z544" s="36">
        <f t="shared" si="186"/>
        <v>0.67234042553191486</v>
      </c>
      <c r="AA544" s="17">
        <v>91</v>
      </c>
      <c r="AB544" s="36">
        <f t="shared" si="179"/>
        <v>0.68939393939393945</v>
      </c>
      <c r="AC544" s="17">
        <v>38</v>
      </c>
      <c r="AD544" s="36">
        <f t="shared" si="187"/>
        <v>0.16170212765957448</v>
      </c>
      <c r="AE544" s="17">
        <v>21</v>
      </c>
      <c r="AF544" s="36">
        <f t="shared" si="180"/>
        <v>0.15909090909090909</v>
      </c>
      <c r="AG544" s="17">
        <v>27</v>
      </c>
      <c r="AH544" s="36">
        <f t="shared" si="188"/>
        <v>0.1148936170212766</v>
      </c>
      <c r="AI544" s="17">
        <v>15</v>
      </c>
      <c r="AJ544" s="36">
        <f t="shared" si="181"/>
        <v>0.11363636363636363</v>
      </c>
      <c r="AK544" s="17">
        <v>3</v>
      </c>
      <c r="AL544" s="36">
        <f t="shared" si="189"/>
        <v>1.276595744680851E-2</v>
      </c>
      <c r="AM544" s="17">
        <v>1</v>
      </c>
      <c r="AN544" s="36">
        <f t="shared" si="182"/>
        <v>7.575757575757576E-3</v>
      </c>
      <c r="AO544" s="17">
        <v>235</v>
      </c>
      <c r="AP544" s="17">
        <v>132</v>
      </c>
    </row>
    <row r="545" spans="1:42" ht="15.75" customHeight="1" x14ac:dyDescent="0.25">
      <c r="A545" s="37">
        <v>2021</v>
      </c>
      <c r="B545" s="35">
        <v>172065</v>
      </c>
      <c r="C545" s="34" t="s">
        <v>151</v>
      </c>
      <c r="D545" s="34" t="s">
        <v>131</v>
      </c>
      <c r="E545" s="17">
        <v>9</v>
      </c>
      <c r="F545" s="36">
        <f t="shared" si="172"/>
        <v>2.9508196721311476E-2</v>
      </c>
      <c r="G545" s="17">
        <v>9</v>
      </c>
      <c r="H545" s="36">
        <f t="shared" si="173"/>
        <v>3.71900826446281E-2</v>
      </c>
      <c r="I545" s="17">
        <v>6</v>
      </c>
      <c r="J545" s="36">
        <f t="shared" si="174"/>
        <v>1.9672131147540985E-2</v>
      </c>
      <c r="K545" s="17">
        <v>5</v>
      </c>
      <c r="L545" s="36">
        <f t="shared" si="175"/>
        <v>2.0661157024793389E-2</v>
      </c>
      <c r="M545" s="17">
        <v>290</v>
      </c>
      <c r="N545" s="36">
        <f t="shared" si="183"/>
        <v>0.95081967213114749</v>
      </c>
      <c r="O545" s="17">
        <v>228</v>
      </c>
      <c r="P545" s="36">
        <f t="shared" si="176"/>
        <v>0.94214876033057848</v>
      </c>
      <c r="Q545" s="17">
        <v>3</v>
      </c>
      <c r="R545" s="36">
        <f t="shared" si="184"/>
        <v>9.8360655737704927E-3</v>
      </c>
      <c r="S545" s="17">
        <v>2</v>
      </c>
      <c r="T545" s="36">
        <f t="shared" si="177"/>
        <v>8.2644628099173556E-3</v>
      </c>
      <c r="U545" s="17">
        <v>13</v>
      </c>
      <c r="V545" s="36">
        <f t="shared" si="185"/>
        <v>4.2622950819672129E-2</v>
      </c>
      <c r="W545" s="17">
        <v>10</v>
      </c>
      <c r="X545" s="36">
        <f t="shared" si="178"/>
        <v>4.1322314049586778E-2</v>
      </c>
      <c r="Y545" s="17">
        <v>195</v>
      </c>
      <c r="Z545" s="36">
        <f t="shared" si="186"/>
        <v>0.63934426229508201</v>
      </c>
      <c r="AA545" s="17">
        <v>158</v>
      </c>
      <c r="AB545" s="36">
        <f t="shared" si="179"/>
        <v>0.65289256198347112</v>
      </c>
      <c r="AC545" s="17">
        <v>57</v>
      </c>
      <c r="AD545" s="36">
        <f t="shared" si="187"/>
        <v>0.18688524590163935</v>
      </c>
      <c r="AE545" s="17">
        <v>45</v>
      </c>
      <c r="AF545" s="36">
        <f t="shared" si="180"/>
        <v>0.18595041322314049</v>
      </c>
      <c r="AG545" s="17">
        <v>28</v>
      </c>
      <c r="AH545" s="36">
        <f t="shared" si="188"/>
        <v>9.1803278688524587E-2</v>
      </c>
      <c r="AI545" s="17">
        <v>22</v>
      </c>
      <c r="AJ545" s="36">
        <f t="shared" si="181"/>
        <v>9.0909090909090912E-2</v>
      </c>
      <c r="AK545" s="17">
        <v>9</v>
      </c>
      <c r="AL545" s="36">
        <f t="shared" si="189"/>
        <v>2.9508196721311476E-2</v>
      </c>
      <c r="AM545" s="17">
        <v>5</v>
      </c>
      <c r="AN545" s="36">
        <f t="shared" si="182"/>
        <v>2.0661157024793389E-2</v>
      </c>
      <c r="AO545" s="17">
        <v>305</v>
      </c>
      <c r="AP545" s="17">
        <v>242</v>
      </c>
    </row>
    <row r="546" spans="1:42" ht="15.75" customHeight="1" x14ac:dyDescent="0.25">
      <c r="A546" s="37">
        <v>2021</v>
      </c>
      <c r="B546" s="35">
        <v>172080</v>
      </c>
      <c r="C546" s="34" t="s">
        <v>145</v>
      </c>
      <c r="D546" s="34" t="s">
        <v>132</v>
      </c>
      <c r="E546" s="17">
        <v>15</v>
      </c>
      <c r="F546" s="36">
        <f t="shared" si="172"/>
        <v>1.4150943396226415E-2</v>
      </c>
      <c r="G546" s="17">
        <v>3</v>
      </c>
      <c r="H546" s="36">
        <f t="shared" si="173"/>
        <v>8.130081300813009E-3</v>
      </c>
      <c r="I546" s="17">
        <v>68</v>
      </c>
      <c r="J546" s="36">
        <f t="shared" si="174"/>
        <v>6.4150943396226415E-2</v>
      </c>
      <c r="K546" s="17">
        <v>15</v>
      </c>
      <c r="L546" s="36">
        <f t="shared" si="175"/>
        <v>4.065040650406504E-2</v>
      </c>
      <c r="M546" s="17">
        <v>977</v>
      </c>
      <c r="N546" s="36">
        <f t="shared" si="183"/>
        <v>0.92169811320754713</v>
      </c>
      <c r="O546" s="17">
        <v>351</v>
      </c>
      <c r="P546" s="36">
        <f t="shared" si="176"/>
        <v>0.95121951219512191</v>
      </c>
      <c r="Q546" s="17">
        <v>12</v>
      </c>
      <c r="R546" s="36">
        <f t="shared" si="184"/>
        <v>1.1320754716981131E-2</v>
      </c>
      <c r="S546" s="17">
        <v>2</v>
      </c>
      <c r="T546" s="36">
        <f t="shared" si="177"/>
        <v>5.4200542005420054E-3</v>
      </c>
      <c r="U546" s="17">
        <v>42</v>
      </c>
      <c r="V546" s="36">
        <f t="shared" si="185"/>
        <v>3.962264150943396E-2</v>
      </c>
      <c r="W546" s="17">
        <v>5</v>
      </c>
      <c r="X546" s="36">
        <f t="shared" si="178"/>
        <v>1.3550135501355014E-2</v>
      </c>
      <c r="Y546" s="17">
        <v>787</v>
      </c>
      <c r="Z546" s="36">
        <f t="shared" si="186"/>
        <v>0.74245283018867925</v>
      </c>
      <c r="AA546" s="17">
        <v>303</v>
      </c>
      <c r="AB546" s="36">
        <f t="shared" si="179"/>
        <v>0.82113821138211385</v>
      </c>
      <c r="AC546" s="17">
        <v>150</v>
      </c>
      <c r="AD546" s="36">
        <f t="shared" si="187"/>
        <v>0.14150943396226415</v>
      </c>
      <c r="AE546" s="17">
        <v>49</v>
      </c>
      <c r="AF546" s="36">
        <f t="shared" si="180"/>
        <v>0.13279132791327913</v>
      </c>
      <c r="AG546" s="17">
        <v>57</v>
      </c>
      <c r="AH546" s="36">
        <f t="shared" si="188"/>
        <v>5.3773584905660379E-2</v>
      </c>
      <c r="AI546" s="17">
        <v>8</v>
      </c>
      <c r="AJ546" s="36">
        <f t="shared" si="181"/>
        <v>2.1680216802168022E-2</v>
      </c>
      <c r="AK546" s="17">
        <v>12</v>
      </c>
      <c r="AL546" s="36">
        <f t="shared" si="189"/>
        <v>1.1320754716981131E-2</v>
      </c>
      <c r="AM546" s="17">
        <v>2</v>
      </c>
      <c r="AN546" s="36">
        <f t="shared" si="182"/>
        <v>5.4200542005420054E-3</v>
      </c>
      <c r="AO546" s="16">
        <v>1060</v>
      </c>
      <c r="AP546" s="17">
        <v>369</v>
      </c>
    </row>
    <row r="547" spans="1:42" ht="15.75" customHeight="1" x14ac:dyDescent="0.25">
      <c r="A547" s="37">
        <v>2021</v>
      </c>
      <c r="B547" s="35">
        <v>172085</v>
      </c>
      <c r="C547" s="34" t="s">
        <v>146</v>
      </c>
      <c r="D547" s="34" t="s">
        <v>133</v>
      </c>
      <c r="E547" s="17">
        <v>2</v>
      </c>
      <c r="F547" s="36">
        <f t="shared" si="172"/>
        <v>1.282051282051282E-2</v>
      </c>
      <c r="G547" s="17">
        <v>0</v>
      </c>
      <c r="H547" s="36">
        <f t="shared" si="173"/>
        <v>0</v>
      </c>
      <c r="I547" s="17">
        <v>10</v>
      </c>
      <c r="J547" s="36">
        <f t="shared" si="174"/>
        <v>6.4102564102564097E-2</v>
      </c>
      <c r="K547" s="17">
        <v>2</v>
      </c>
      <c r="L547" s="36">
        <f t="shared" si="175"/>
        <v>0.04</v>
      </c>
      <c r="M547" s="17">
        <v>144</v>
      </c>
      <c r="N547" s="36">
        <f t="shared" si="183"/>
        <v>0.92307692307692313</v>
      </c>
      <c r="O547" s="17">
        <v>48</v>
      </c>
      <c r="P547" s="36">
        <f t="shared" si="176"/>
        <v>0.96</v>
      </c>
      <c r="Q547" s="17">
        <v>3</v>
      </c>
      <c r="R547" s="36">
        <f t="shared" si="184"/>
        <v>1.9230769230769232E-2</v>
      </c>
      <c r="S547" s="17">
        <v>0</v>
      </c>
      <c r="T547" s="36">
        <f t="shared" si="177"/>
        <v>0</v>
      </c>
      <c r="U547" s="17">
        <v>10</v>
      </c>
      <c r="V547" s="36">
        <f t="shared" si="185"/>
        <v>6.4102564102564097E-2</v>
      </c>
      <c r="W547" s="17">
        <v>8</v>
      </c>
      <c r="X547" s="36">
        <f t="shared" si="178"/>
        <v>0.16</v>
      </c>
      <c r="Y547" s="17">
        <v>105</v>
      </c>
      <c r="Z547" s="36">
        <f t="shared" si="186"/>
        <v>0.67307692307692313</v>
      </c>
      <c r="AA547" s="17">
        <v>31</v>
      </c>
      <c r="AB547" s="36">
        <f t="shared" si="179"/>
        <v>0.62</v>
      </c>
      <c r="AC547" s="17">
        <v>23</v>
      </c>
      <c r="AD547" s="36">
        <f t="shared" si="187"/>
        <v>0.14743589743589744</v>
      </c>
      <c r="AE547" s="17">
        <v>7</v>
      </c>
      <c r="AF547" s="36">
        <f t="shared" si="180"/>
        <v>0.14000000000000001</v>
      </c>
      <c r="AG547" s="17">
        <v>12</v>
      </c>
      <c r="AH547" s="36">
        <f t="shared" si="188"/>
        <v>7.6923076923076927E-2</v>
      </c>
      <c r="AI547" s="17">
        <v>3</v>
      </c>
      <c r="AJ547" s="36">
        <f t="shared" si="181"/>
        <v>0.06</v>
      </c>
      <c r="AK547" s="17">
        <v>3</v>
      </c>
      <c r="AL547" s="36">
        <f t="shared" si="189"/>
        <v>1.9230769230769232E-2</v>
      </c>
      <c r="AM547" s="17">
        <v>1</v>
      </c>
      <c r="AN547" s="36">
        <f t="shared" si="182"/>
        <v>0.02</v>
      </c>
      <c r="AO547" s="17">
        <v>156</v>
      </c>
      <c r="AP547" s="17">
        <v>50</v>
      </c>
    </row>
    <row r="548" spans="1:42" ht="15.75" customHeight="1" x14ac:dyDescent="0.25">
      <c r="A548" s="37">
        <v>2021</v>
      </c>
      <c r="B548" s="35">
        <v>170825</v>
      </c>
      <c r="C548" s="34" t="s">
        <v>148</v>
      </c>
      <c r="D548" s="34" t="s">
        <v>134</v>
      </c>
      <c r="E548" s="17">
        <v>4</v>
      </c>
      <c r="F548" s="36">
        <f t="shared" si="172"/>
        <v>3.4482758620689655E-2</v>
      </c>
      <c r="G548" s="17">
        <v>4</v>
      </c>
      <c r="H548" s="36">
        <f t="shared" si="173"/>
        <v>4.0404040404040407E-2</v>
      </c>
      <c r="I548" s="17">
        <v>1</v>
      </c>
      <c r="J548" s="36">
        <f t="shared" si="174"/>
        <v>8.6206896551724137E-3</v>
      </c>
      <c r="K548" s="17">
        <v>1</v>
      </c>
      <c r="L548" s="36">
        <f t="shared" si="175"/>
        <v>1.0101010101010102E-2</v>
      </c>
      <c r="M548" s="17">
        <v>111</v>
      </c>
      <c r="N548" s="36">
        <f t="shared" si="183"/>
        <v>0.9568965517241379</v>
      </c>
      <c r="O548" s="17">
        <v>94</v>
      </c>
      <c r="P548" s="36">
        <f t="shared" si="176"/>
        <v>0.9494949494949495</v>
      </c>
      <c r="Q548" s="17">
        <v>1</v>
      </c>
      <c r="R548" s="36">
        <f t="shared" si="184"/>
        <v>8.6206896551724137E-3</v>
      </c>
      <c r="S548" s="17">
        <v>1</v>
      </c>
      <c r="T548" s="36">
        <f t="shared" si="177"/>
        <v>1.0101010101010102E-2</v>
      </c>
      <c r="U548" s="17">
        <v>3</v>
      </c>
      <c r="V548" s="36">
        <f t="shared" si="185"/>
        <v>2.5862068965517241E-2</v>
      </c>
      <c r="W548" s="17">
        <v>2</v>
      </c>
      <c r="X548" s="36">
        <f t="shared" si="178"/>
        <v>2.0202020202020204E-2</v>
      </c>
      <c r="Y548" s="17">
        <v>67</v>
      </c>
      <c r="Z548" s="36">
        <f t="shared" si="186"/>
        <v>0.57758620689655171</v>
      </c>
      <c r="AA548" s="17">
        <v>60</v>
      </c>
      <c r="AB548" s="36">
        <f t="shared" si="179"/>
        <v>0.60606060606060608</v>
      </c>
      <c r="AC548" s="17">
        <v>33</v>
      </c>
      <c r="AD548" s="36">
        <f t="shared" si="187"/>
        <v>0.28448275862068967</v>
      </c>
      <c r="AE548" s="17">
        <v>30</v>
      </c>
      <c r="AF548" s="36">
        <f t="shared" si="180"/>
        <v>0.30303030303030304</v>
      </c>
      <c r="AG548" s="17">
        <v>9</v>
      </c>
      <c r="AH548" s="36">
        <f t="shared" si="188"/>
        <v>7.7586206896551727E-2</v>
      </c>
      <c r="AI548" s="17">
        <v>5</v>
      </c>
      <c r="AJ548" s="36">
        <f t="shared" si="181"/>
        <v>5.0505050505050504E-2</v>
      </c>
      <c r="AK548" s="17">
        <v>3</v>
      </c>
      <c r="AL548" s="36">
        <f t="shared" si="189"/>
        <v>2.5862068965517241E-2</v>
      </c>
      <c r="AM548" s="17">
        <v>1</v>
      </c>
      <c r="AN548" s="36">
        <f t="shared" si="182"/>
        <v>1.0101010101010102E-2</v>
      </c>
      <c r="AO548" s="17">
        <v>116</v>
      </c>
      <c r="AP548" s="17">
        <v>99</v>
      </c>
    </row>
    <row r="549" spans="1:42" ht="15.75" customHeight="1" x14ac:dyDescent="0.25">
      <c r="A549" s="37">
        <v>2021</v>
      </c>
      <c r="B549" s="35">
        <v>172090</v>
      </c>
      <c r="C549" s="34" t="s">
        <v>147</v>
      </c>
      <c r="D549" s="34" t="s">
        <v>135</v>
      </c>
      <c r="E549" s="17">
        <v>5</v>
      </c>
      <c r="F549" s="36">
        <f t="shared" si="172"/>
        <v>9.1911764705882356E-3</v>
      </c>
      <c r="G549" s="17">
        <v>4</v>
      </c>
      <c r="H549" s="36">
        <f t="shared" si="173"/>
        <v>1.4134275618374558E-2</v>
      </c>
      <c r="I549" s="17">
        <v>17</v>
      </c>
      <c r="J549" s="36">
        <f t="shared" si="174"/>
        <v>3.125E-2</v>
      </c>
      <c r="K549" s="17">
        <v>11</v>
      </c>
      <c r="L549" s="36">
        <f t="shared" si="175"/>
        <v>3.8869257950530034E-2</v>
      </c>
      <c r="M549" s="17">
        <v>522</v>
      </c>
      <c r="N549" s="36">
        <f t="shared" si="183"/>
        <v>0.9595588235294118</v>
      </c>
      <c r="O549" s="17">
        <v>268</v>
      </c>
      <c r="P549" s="36">
        <f t="shared" si="176"/>
        <v>0.94699646643109536</v>
      </c>
      <c r="Q549" s="17">
        <v>9</v>
      </c>
      <c r="R549" s="36">
        <f t="shared" si="184"/>
        <v>1.6544117647058824E-2</v>
      </c>
      <c r="S549" s="17">
        <v>6</v>
      </c>
      <c r="T549" s="36">
        <f t="shared" si="177"/>
        <v>2.1201413427561839E-2</v>
      </c>
      <c r="U549" s="17">
        <v>22</v>
      </c>
      <c r="V549" s="36">
        <f t="shared" si="185"/>
        <v>4.0441176470588237E-2</v>
      </c>
      <c r="W549" s="17">
        <v>17</v>
      </c>
      <c r="X549" s="36">
        <f t="shared" si="178"/>
        <v>6.0070671378091869E-2</v>
      </c>
      <c r="Y549" s="17">
        <v>367</v>
      </c>
      <c r="Z549" s="36">
        <f t="shared" si="186"/>
        <v>0.67463235294117652</v>
      </c>
      <c r="AA549" s="17">
        <v>187</v>
      </c>
      <c r="AB549" s="36">
        <f t="shared" si="179"/>
        <v>0.66077738515901063</v>
      </c>
      <c r="AC549" s="17">
        <v>86</v>
      </c>
      <c r="AD549" s="36">
        <f t="shared" si="187"/>
        <v>0.15808823529411764</v>
      </c>
      <c r="AE549" s="17">
        <v>42</v>
      </c>
      <c r="AF549" s="36">
        <f t="shared" si="180"/>
        <v>0.14840989399293286</v>
      </c>
      <c r="AG549" s="17">
        <v>44</v>
      </c>
      <c r="AH549" s="36">
        <f t="shared" si="188"/>
        <v>8.0882352941176475E-2</v>
      </c>
      <c r="AI549" s="17">
        <v>24</v>
      </c>
      <c r="AJ549" s="36">
        <f t="shared" si="181"/>
        <v>8.4805653710247356E-2</v>
      </c>
      <c r="AK549" s="17">
        <v>16</v>
      </c>
      <c r="AL549" s="36">
        <f t="shared" si="189"/>
        <v>2.9411764705882353E-2</v>
      </c>
      <c r="AM549" s="17">
        <v>7</v>
      </c>
      <c r="AN549" s="36">
        <f t="shared" si="182"/>
        <v>2.4734982332155476E-2</v>
      </c>
      <c r="AO549" s="17">
        <v>544</v>
      </c>
      <c r="AP549" s="17">
        <v>283</v>
      </c>
    </row>
    <row r="550" spans="1:42" ht="15.75" customHeight="1" x14ac:dyDescent="0.25">
      <c r="A550" s="37">
        <v>2021</v>
      </c>
      <c r="B550" s="35">
        <v>172093</v>
      </c>
      <c r="C550" s="34" t="s">
        <v>147</v>
      </c>
      <c r="D550" s="34" t="s">
        <v>136</v>
      </c>
      <c r="E550" s="17">
        <v>1</v>
      </c>
      <c r="F550" s="36">
        <f t="shared" si="172"/>
        <v>7.575757575757576E-3</v>
      </c>
      <c r="G550" s="17">
        <v>0</v>
      </c>
      <c r="H550" s="36">
        <f t="shared" si="173"/>
        <v>0</v>
      </c>
      <c r="I550" s="17">
        <v>4</v>
      </c>
      <c r="J550" s="36">
        <f t="shared" si="174"/>
        <v>3.0303030303030304E-2</v>
      </c>
      <c r="K550" s="17">
        <v>0</v>
      </c>
      <c r="L550" s="36">
        <f t="shared" si="175"/>
        <v>0</v>
      </c>
      <c r="M550" s="17">
        <v>127</v>
      </c>
      <c r="N550" s="36">
        <f t="shared" si="183"/>
        <v>0.96212121212121215</v>
      </c>
      <c r="O550" s="17">
        <v>53</v>
      </c>
      <c r="P550" s="36">
        <f t="shared" si="176"/>
        <v>1</v>
      </c>
      <c r="Q550" s="17">
        <v>0</v>
      </c>
      <c r="R550" s="36">
        <f t="shared" si="184"/>
        <v>0</v>
      </c>
      <c r="S550" s="17">
        <v>0</v>
      </c>
      <c r="T550" s="36">
        <f t="shared" si="177"/>
        <v>0</v>
      </c>
      <c r="U550" s="17">
        <v>4</v>
      </c>
      <c r="V550" s="36">
        <f t="shared" si="185"/>
        <v>3.0303030303030304E-2</v>
      </c>
      <c r="W550" s="17">
        <v>0</v>
      </c>
      <c r="X550" s="36">
        <f t="shared" si="178"/>
        <v>0</v>
      </c>
      <c r="Y550" s="17">
        <v>92</v>
      </c>
      <c r="Z550" s="36">
        <f t="shared" si="186"/>
        <v>0.69696969696969702</v>
      </c>
      <c r="AA550" s="17">
        <v>36</v>
      </c>
      <c r="AB550" s="36">
        <f t="shared" si="179"/>
        <v>0.67924528301886788</v>
      </c>
      <c r="AC550" s="17">
        <v>22</v>
      </c>
      <c r="AD550" s="36">
        <f t="shared" si="187"/>
        <v>0.16666666666666666</v>
      </c>
      <c r="AE550" s="17">
        <v>9</v>
      </c>
      <c r="AF550" s="36">
        <f t="shared" si="180"/>
        <v>0.16981132075471697</v>
      </c>
      <c r="AG550" s="17">
        <v>11</v>
      </c>
      <c r="AH550" s="36">
        <f t="shared" si="188"/>
        <v>8.3333333333333329E-2</v>
      </c>
      <c r="AI550" s="17">
        <v>7</v>
      </c>
      <c r="AJ550" s="36">
        <f t="shared" si="181"/>
        <v>0.13207547169811321</v>
      </c>
      <c r="AK550" s="17">
        <v>3</v>
      </c>
      <c r="AL550" s="36">
        <f t="shared" si="189"/>
        <v>2.2727272727272728E-2</v>
      </c>
      <c r="AM550" s="17">
        <v>1</v>
      </c>
      <c r="AN550" s="36">
        <f t="shared" si="182"/>
        <v>1.8867924528301886E-2</v>
      </c>
      <c r="AO550" s="17">
        <v>132</v>
      </c>
      <c r="AP550" s="17">
        <v>53</v>
      </c>
    </row>
    <row r="551" spans="1:42" ht="15.75" customHeight="1" x14ac:dyDescent="0.25">
      <c r="A551" s="37">
        <v>2021</v>
      </c>
      <c r="B551" s="35">
        <v>172097</v>
      </c>
      <c r="C551" s="34" t="s">
        <v>146</v>
      </c>
      <c r="D551" s="34" t="s">
        <v>137</v>
      </c>
      <c r="E551" s="17">
        <v>0</v>
      </c>
      <c r="F551" s="36">
        <f t="shared" si="172"/>
        <v>0</v>
      </c>
      <c r="G551" s="17">
        <v>0</v>
      </c>
      <c r="H551" s="36">
        <f t="shared" si="173"/>
        <v>0</v>
      </c>
      <c r="I551" s="17">
        <v>3</v>
      </c>
      <c r="J551" s="36">
        <f t="shared" si="174"/>
        <v>4.6153846153846156E-2</v>
      </c>
      <c r="K551" s="17">
        <v>1</v>
      </c>
      <c r="L551" s="36">
        <f t="shared" si="175"/>
        <v>2.7777777777777776E-2</v>
      </c>
      <c r="M551" s="17">
        <v>62</v>
      </c>
      <c r="N551" s="36">
        <f t="shared" si="183"/>
        <v>0.9538461538461539</v>
      </c>
      <c r="O551" s="17">
        <v>35</v>
      </c>
      <c r="P551" s="36">
        <f t="shared" si="176"/>
        <v>0.97222222222222221</v>
      </c>
      <c r="Q551" s="17">
        <v>0</v>
      </c>
      <c r="R551" s="36">
        <f t="shared" si="184"/>
        <v>0</v>
      </c>
      <c r="S551" s="17">
        <v>0</v>
      </c>
      <c r="T551" s="36">
        <f t="shared" si="177"/>
        <v>0</v>
      </c>
      <c r="U551" s="17">
        <v>1</v>
      </c>
      <c r="V551" s="36">
        <f t="shared" si="185"/>
        <v>1.5384615384615385E-2</v>
      </c>
      <c r="W551" s="17">
        <v>1</v>
      </c>
      <c r="X551" s="36">
        <f t="shared" si="178"/>
        <v>2.7777777777777776E-2</v>
      </c>
      <c r="Y551" s="17">
        <v>42</v>
      </c>
      <c r="Z551" s="36">
        <f t="shared" si="186"/>
        <v>0.64615384615384619</v>
      </c>
      <c r="AA551" s="17">
        <v>22</v>
      </c>
      <c r="AB551" s="36">
        <f t="shared" si="179"/>
        <v>0.61111111111111116</v>
      </c>
      <c r="AC551" s="17">
        <v>16</v>
      </c>
      <c r="AD551" s="36">
        <f t="shared" si="187"/>
        <v>0.24615384615384617</v>
      </c>
      <c r="AE551" s="17">
        <v>9</v>
      </c>
      <c r="AF551" s="36">
        <f t="shared" si="180"/>
        <v>0.25</v>
      </c>
      <c r="AG551" s="17">
        <v>4</v>
      </c>
      <c r="AH551" s="36">
        <f t="shared" si="188"/>
        <v>6.1538461538461542E-2</v>
      </c>
      <c r="AI551" s="17">
        <v>4</v>
      </c>
      <c r="AJ551" s="36">
        <f t="shared" si="181"/>
        <v>0.1111111111111111</v>
      </c>
      <c r="AK551" s="17">
        <v>2</v>
      </c>
      <c r="AL551" s="36">
        <f t="shared" si="189"/>
        <v>3.0769230769230771E-2</v>
      </c>
      <c r="AM551" s="17">
        <v>0</v>
      </c>
      <c r="AN551" s="36">
        <f t="shared" si="182"/>
        <v>0</v>
      </c>
      <c r="AO551" s="17">
        <v>65</v>
      </c>
      <c r="AP551" s="17">
        <v>36</v>
      </c>
    </row>
    <row r="552" spans="1:42" ht="15.75" customHeight="1" x14ac:dyDescent="0.25">
      <c r="A552" s="37">
        <v>2021</v>
      </c>
      <c r="B552" s="35">
        <v>172110</v>
      </c>
      <c r="C552" s="34" t="s">
        <v>148</v>
      </c>
      <c r="D552" s="34" t="s">
        <v>138</v>
      </c>
      <c r="E552" s="17">
        <v>5</v>
      </c>
      <c r="F552" s="36">
        <f t="shared" si="172"/>
        <v>1.3227513227513227E-2</v>
      </c>
      <c r="G552" s="17">
        <v>4</v>
      </c>
      <c r="H552" s="36">
        <f t="shared" si="173"/>
        <v>1.6393442622950821E-2</v>
      </c>
      <c r="I552" s="17">
        <v>14</v>
      </c>
      <c r="J552" s="36">
        <f t="shared" si="174"/>
        <v>3.7037037037037035E-2</v>
      </c>
      <c r="K552" s="17">
        <v>11</v>
      </c>
      <c r="L552" s="36">
        <f t="shared" si="175"/>
        <v>4.5081967213114756E-2</v>
      </c>
      <c r="M552" s="17">
        <v>359</v>
      </c>
      <c r="N552" s="36">
        <f t="shared" si="183"/>
        <v>0.94973544973544977</v>
      </c>
      <c r="O552" s="17">
        <v>229</v>
      </c>
      <c r="P552" s="36">
        <f t="shared" si="176"/>
        <v>0.93852459016393441</v>
      </c>
      <c r="Q552" s="17">
        <v>4</v>
      </c>
      <c r="R552" s="36">
        <f t="shared" si="184"/>
        <v>1.0582010582010581E-2</v>
      </c>
      <c r="S552" s="17">
        <v>4</v>
      </c>
      <c r="T552" s="36">
        <f t="shared" si="177"/>
        <v>1.6393442622950821E-2</v>
      </c>
      <c r="U552" s="17">
        <v>7</v>
      </c>
      <c r="V552" s="36">
        <f t="shared" si="185"/>
        <v>1.8518518518518517E-2</v>
      </c>
      <c r="W552" s="17">
        <v>5</v>
      </c>
      <c r="X552" s="36">
        <f t="shared" si="178"/>
        <v>2.0491803278688523E-2</v>
      </c>
      <c r="Y552" s="17">
        <v>241</v>
      </c>
      <c r="Z552" s="36">
        <f t="shared" si="186"/>
        <v>0.63756613756613756</v>
      </c>
      <c r="AA552" s="17">
        <v>163</v>
      </c>
      <c r="AB552" s="36">
        <f t="shared" si="179"/>
        <v>0.66803278688524592</v>
      </c>
      <c r="AC552" s="17">
        <v>86</v>
      </c>
      <c r="AD552" s="36">
        <f t="shared" si="187"/>
        <v>0.2275132275132275</v>
      </c>
      <c r="AE552" s="17">
        <v>51</v>
      </c>
      <c r="AF552" s="36">
        <f t="shared" si="180"/>
        <v>0.20901639344262296</v>
      </c>
      <c r="AG552" s="17">
        <v>33</v>
      </c>
      <c r="AH552" s="36">
        <f t="shared" si="188"/>
        <v>8.7301587301587297E-2</v>
      </c>
      <c r="AI552" s="17">
        <v>17</v>
      </c>
      <c r="AJ552" s="36">
        <f t="shared" si="181"/>
        <v>6.9672131147540978E-2</v>
      </c>
      <c r="AK552" s="17">
        <v>7</v>
      </c>
      <c r="AL552" s="36">
        <f t="shared" si="189"/>
        <v>1.8518518518518517E-2</v>
      </c>
      <c r="AM552" s="17">
        <v>4</v>
      </c>
      <c r="AN552" s="36">
        <f t="shared" si="182"/>
        <v>1.6393442622950821E-2</v>
      </c>
      <c r="AO552" s="17">
        <v>378</v>
      </c>
      <c r="AP552" s="17">
        <v>244</v>
      </c>
    </row>
    <row r="553" spans="1:42" ht="15.75" customHeight="1" x14ac:dyDescent="0.25">
      <c r="A553" s="37">
        <v>2021</v>
      </c>
      <c r="B553" s="35">
        <v>172120</v>
      </c>
      <c r="C553" s="34" t="s">
        <v>145</v>
      </c>
      <c r="D553" s="34" t="s">
        <v>139</v>
      </c>
      <c r="E553" s="17">
        <v>34</v>
      </c>
      <c r="F553" s="36">
        <f t="shared" si="172"/>
        <v>2.9982363315696647E-2</v>
      </c>
      <c r="G553" s="17">
        <v>25</v>
      </c>
      <c r="H553" s="36">
        <f t="shared" si="173"/>
        <v>3.3692722371967652E-2</v>
      </c>
      <c r="I553" s="17">
        <v>94</v>
      </c>
      <c r="J553" s="36">
        <f t="shared" si="174"/>
        <v>8.2892416225749554E-2</v>
      </c>
      <c r="K553" s="17">
        <v>57</v>
      </c>
      <c r="L553" s="36">
        <f t="shared" si="175"/>
        <v>7.681940700808626E-2</v>
      </c>
      <c r="M553" s="16">
        <v>1006</v>
      </c>
      <c r="N553" s="36">
        <f t="shared" si="183"/>
        <v>0.8871252204585538</v>
      </c>
      <c r="O553" s="17">
        <v>660</v>
      </c>
      <c r="P553" s="36">
        <f t="shared" si="176"/>
        <v>0.88948787061994605</v>
      </c>
      <c r="Q553" s="17">
        <v>16</v>
      </c>
      <c r="R553" s="36">
        <f t="shared" si="184"/>
        <v>1.4109347442680775E-2</v>
      </c>
      <c r="S553" s="17">
        <v>12</v>
      </c>
      <c r="T553" s="36">
        <f t="shared" si="177"/>
        <v>1.6172506738544475E-2</v>
      </c>
      <c r="U553" s="17">
        <v>44</v>
      </c>
      <c r="V553" s="36">
        <f t="shared" si="185"/>
        <v>3.8800705467372132E-2</v>
      </c>
      <c r="W553" s="17">
        <v>28</v>
      </c>
      <c r="X553" s="36">
        <f t="shared" si="178"/>
        <v>3.7735849056603772E-2</v>
      </c>
      <c r="Y553" s="17">
        <v>816</v>
      </c>
      <c r="Z553" s="36">
        <f t="shared" si="186"/>
        <v>0.71957671957671954</v>
      </c>
      <c r="AA553" s="17">
        <v>553</v>
      </c>
      <c r="AB553" s="36">
        <f t="shared" si="179"/>
        <v>0.74528301886792447</v>
      </c>
      <c r="AC553" s="17">
        <v>182</v>
      </c>
      <c r="AD553" s="36">
        <f t="shared" si="187"/>
        <v>0.16049382716049382</v>
      </c>
      <c r="AE553" s="17">
        <v>110</v>
      </c>
      <c r="AF553" s="36">
        <f t="shared" si="180"/>
        <v>0.14824797843665768</v>
      </c>
      <c r="AG553" s="17">
        <v>67</v>
      </c>
      <c r="AH553" s="36">
        <f t="shared" si="188"/>
        <v>5.9082892416225746E-2</v>
      </c>
      <c r="AI553" s="17">
        <v>33</v>
      </c>
      <c r="AJ553" s="36">
        <f t="shared" si="181"/>
        <v>4.4474393530997303E-2</v>
      </c>
      <c r="AK553" s="17">
        <v>9</v>
      </c>
      <c r="AL553" s="36">
        <f t="shared" si="189"/>
        <v>7.9365079365079361E-3</v>
      </c>
      <c r="AM553" s="17">
        <v>6</v>
      </c>
      <c r="AN553" s="36">
        <f t="shared" si="182"/>
        <v>8.0862533692722376E-3</v>
      </c>
      <c r="AO553" s="16">
        <v>1134</v>
      </c>
      <c r="AP553" s="17">
        <v>742</v>
      </c>
    </row>
    <row r="554" spans="1:42" ht="15.75" customHeight="1" x14ac:dyDescent="0.25">
      <c r="A554" s="37">
        <v>2021</v>
      </c>
      <c r="B554" s="35">
        <v>172125</v>
      </c>
      <c r="C554" s="34" t="s">
        <v>150</v>
      </c>
      <c r="D554" s="34" t="s">
        <v>140</v>
      </c>
      <c r="E554" s="17">
        <v>0</v>
      </c>
      <c r="F554" s="36">
        <f t="shared" si="172"/>
        <v>0</v>
      </c>
      <c r="G554" s="17">
        <v>0</v>
      </c>
      <c r="H554" s="36">
        <f t="shared" si="173"/>
        <v>0</v>
      </c>
      <c r="I554" s="17">
        <v>4</v>
      </c>
      <c r="J554" s="36">
        <f t="shared" si="174"/>
        <v>0.10256410256410256</v>
      </c>
      <c r="K554" s="17">
        <v>2</v>
      </c>
      <c r="L554" s="36">
        <f t="shared" si="175"/>
        <v>7.6923076923076927E-2</v>
      </c>
      <c r="M554" s="17">
        <v>35</v>
      </c>
      <c r="N554" s="36">
        <f t="shared" si="183"/>
        <v>0.89743589743589747</v>
      </c>
      <c r="O554" s="17">
        <v>24</v>
      </c>
      <c r="P554" s="36">
        <f t="shared" si="176"/>
        <v>0.92307692307692313</v>
      </c>
      <c r="Q554" s="17">
        <v>2</v>
      </c>
      <c r="R554" s="36">
        <f t="shared" si="184"/>
        <v>5.128205128205128E-2</v>
      </c>
      <c r="S554" s="17">
        <v>2</v>
      </c>
      <c r="T554" s="36">
        <f t="shared" si="177"/>
        <v>7.6923076923076927E-2</v>
      </c>
      <c r="U554" s="17">
        <v>0</v>
      </c>
      <c r="V554" s="36">
        <f t="shared" si="185"/>
        <v>0</v>
      </c>
      <c r="W554" s="17">
        <v>0</v>
      </c>
      <c r="X554" s="36">
        <f t="shared" si="178"/>
        <v>0</v>
      </c>
      <c r="Y554" s="17">
        <v>25</v>
      </c>
      <c r="Z554" s="36">
        <f t="shared" si="186"/>
        <v>0.64102564102564108</v>
      </c>
      <c r="AA554" s="17">
        <v>16</v>
      </c>
      <c r="AB554" s="36">
        <f t="shared" si="179"/>
        <v>0.61538461538461542</v>
      </c>
      <c r="AC554" s="17">
        <v>7</v>
      </c>
      <c r="AD554" s="36">
        <f t="shared" si="187"/>
        <v>0.17948717948717949</v>
      </c>
      <c r="AE554" s="17">
        <v>5</v>
      </c>
      <c r="AF554" s="36">
        <f t="shared" si="180"/>
        <v>0.19230769230769232</v>
      </c>
      <c r="AG554" s="17">
        <v>4</v>
      </c>
      <c r="AH554" s="36">
        <f t="shared" si="188"/>
        <v>0.10256410256410256</v>
      </c>
      <c r="AI554" s="17">
        <v>2</v>
      </c>
      <c r="AJ554" s="36">
        <f t="shared" si="181"/>
        <v>7.6923076923076927E-2</v>
      </c>
      <c r="AK554" s="17">
        <v>1</v>
      </c>
      <c r="AL554" s="36">
        <f t="shared" si="189"/>
        <v>2.564102564102564E-2</v>
      </c>
      <c r="AM554" s="17">
        <v>1</v>
      </c>
      <c r="AN554" s="36">
        <f t="shared" si="182"/>
        <v>3.8461538461538464E-2</v>
      </c>
      <c r="AO554" s="17">
        <v>39</v>
      </c>
      <c r="AP554" s="17">
        <v>26</v>
      </c>
    </row>
    <row r="555" spans="1:42" ht="15.75" customHeight="1" x14ac:dyDescent="0.25">
      <c r="A555" s="37">
        <v>2021</v>
      </c>
      <c r="B555" s="35">
        <v>172130</v>
      </c>
      <c r="C555" s="34" t="s">
        <v>150</v>
      </c>
      <c r="D555" s="34" t="s">
        <v>141</v>
      </c>
      <c r="E555" s="17">
        <v>0</v>
      </c>
      <c r="F555" s="36">
        <f t="shared" si="172"/>
        <v>0</v>
      </c>
      <c r="G555" s="17">
        <v>0</v>
      </c>
      <c r="H555" s="36">
        <f t="shared" si="173"/>
        <v>0</v>
      </c>
      <c r="I555" s="17">
        <v>1</v>
      </c>
      <c r="J555" s="36">
        <f t="shared" si="174"/>
        <v>0.1111111111111111</v>
      </c>
      <c r="K555" s="17">
        <v>0</v>
      </c>
      <c r="L555" s="36">
        <f t="shared" si="175"/>
        <v>0</v>
      </c>
      <c r="M555" s="17">
        <v>8</v>
      </c>
      <c r="N555" s="36">
        <f t="shared" si="183"/>
        <v>0.88888888888888884</v>
      </c>
      <c r="O555" s="17">
        <v>1</v>
      </c>
      <c r="P555" s="36">
        <f t="shared" si="176"/>
        <v>1</v>
      </c>
      <c r="Q555" s="17">
        <v>0</v>
      </c>
      <c r="R555" s="36">
        <f t="shared" si="184"/>
        <v>0</v>
      </c>
      <c r="S555" s="17">
        <v>0</v>
      </c>
      <c r="T555" s="36">
        <f t="shared" si="177"/>
        <v>0</v>
      </c>
      <c r="U555" s="17">
        <v>0</v>
      </c>
      <c r="V555" s="36">
        <f t="shared" si="185"/>
        <v>0</v>
      </c>
      <c r="W555" s="17">
        <v>0</v>
      </c>
      <c r="X555" s="36">
        <f t="shared" si="178"/>
        <v>0</v>
      </c>
      <c r="Y555" s="17">
        <v>7</v>
      </c>
      <c r="Z555" s="36">
        <f t="shared" si="186"/>
        <v>0.77777777777777779</v>
      </c>
      <c r="AA555" s="17">
        <v>1</v>
      </c>
      <c r="AB555" s="36">
        <f t="shared" si="179"/>
        <v>1</v>
      </c>
      <c r="AC555" s="17">
        <v>2</v>
      </c>
      <c r="AD555" s="36">
        <f t="shared" si="187"/>
        <v>0.22222222222222221</v>
      </c>
      <c r="AE555" s="17">
        <v>0</v>
      </c>
      <c r="AF555" s="36">
        <f t="shared" si="180"/>
        <v>0</v>
      </c>
      <c r="AG555" s="17">
        <v>0</v>
      </c>
      <c r="AH555" s="36">
        <f t="shared" si="188"/>
        <v>0</v>
      </c>
      <c r="AI555" s="17">
        <v>0</v>
      </c>
      <c r="AJ555" s="36">
        <f t="shared" si="181"/>
        <v>0</v>
      </c>
      <c r="AK555" s="17">
        <v>0</v>
      </c>
      <c r="AL555" s="36">
        <f t="shared" si="189"/>
        <v>0</v>
      </c>
      <c r="AM555" s="17">
        <v>0</v>
      </c>
      <c r="AN555" s="36">
        <f t="shared" si="182"/>
        <v>0</v>
      </c>
      <c r="AO555" s="17">
        <v>9</v>
      </c>
      <c r="AP555" s="17">
        <v>1</v>
      </c>
    </row>
    <row r="556" spans="1:42" ht="15.75" customHeight="1" x14ac:dyDescent="0.25">
      <c r="A556" s="37">
        <v>2021</v>
      </c>
      <c r="B556" s="35">
        <v>172208</v>
      </c>
      <c r="C556" s="34" t="s">
        <v>149</v>
      </c>
      <c r="D556" s="34" t="s">
        <v>142</v>
      </c>
      <c r="E556" s="17">
        <v>17</v>
      </c>
      <c r="F556" s="36">
        <f t="shared" si="172"/>
        <v>3.1078610603290677E-2</v>
      </c>
      <c r="G556" s="17">
        <v>14</v>
      </c>
      <c r="H556" s="36">
        <f t="shared" si="173"/>
        <v>6.6985645933014357E-2</v>
      </c>
      <c r="I556" s="17">
        <v>34</v>
      </c>
      <c r="J556" s="36">
        <f t="shared" si="174"/>
        <v>6.2157221206581355E-2</v>
      </c>
      <c r="K556" s="17">
        <v>15</v>
      </c>
      <c r="L556" s="36">
        <f t="shared" si="175"/>
        <v>7.1770334928229665E-2</v>
      </c>
      <c r="M556" s="17">
        <v>496</v>
      </c>
      <c r="N556" s="36">
        <f t="shared" si="183"/>
        <v>0.90676416819012795</v>
      </c>
      <c r="O556" s="17">
        <v>180</v>
      </c>
      <c r="P556" s="36">
        <f t="shared" si="176"/>
        <v>0.86124401913875603</v>
      </c>
      <c r="Q556" s="17">
        <v>11</v>
      </c>
      <c r="R556" s="36">
        <f t="shared" si="184"/>
        <v>2.0109689213893969E-2</v>
      </c>
      <c r="S556" s="17">
        <v>7</v>
      </c>
      <c r="T556" s="36">
        <f t="shared" si="177"/>
        <v>3.3492822966507178E-2</v>
      </c>
      <c r="U556" s="17">
        <v>19</v>
      </c>
      <c r="V556" s="36">
        <f t="shared" si="185"/>
        <v>3.4734917733089579E-2</v>
      </c>
      <c r="W556" s="17">
        <v>7</v>
      </c>
      <c r="X556" s="36">
        <f t="shared" si="178"/>
        <v>3.3492822966507178E-2</v>
      </c>
      <c r="Y556" s="17">
        <v>371</v>
      </c>
      <c r="Z556" s="36">
        <f t="shared" si="186"/>
        <v>0.67824497257769656</v>
      </c>
      <c r="AA556" s="17">
        <v>141</v>
      </c>
      <c r="AB556" s="36">
        <f t="shared" si="179"/>
        <v>0.67464114832535882</v>
      </c>
      <c r="AC556" s="17">
        <v>90</v>
      </c>
      <c r="AD556" s="36">
        <f t="shared" si="187"/>
        <v>0.16453382084095064</v>
      </c>
      <c r="AE556" s="17">
        <v>32</v>
      </c>
      <c r="AF556" s="36">
        <f t="shared" si="180"/>
        <v>0.15311004784688995</v>
      </c>
      <c r="AG556" s="17">
        <v>52</v>
      </c>
      <c r="AH556" s="36">
        <f t="shared" si="188"/>
        <v>9.5063985374771481E-2</v>
      </c>
      <c r="AI556" s="17">
        <v>20</v>
      </c>
      <c r="AJ556" s="36">
        <f t="shared" si="181"/>
        <v>9.569377990430622E-2</v>
      </c>
      <c r="AK556" s="17">
        <v>4</v>
      </c>
      <c r="AL556" s="36">
        <f t="shared" si="189"/>
        <v>7.3126142595978062E-3</v>
      </c>
      <c r="AM556" s="17">
        <v>2</v>
      </c>
      <c r="AN556" s="36">
        <f t="shared" si="182"/>
        <v>9.5693779904306216E-3</v>
      </c>
      <c r="AO556" s="17">
        <v>547</v>
      </c>
      <c r="AP556" s="17">
        <v>209</v>
      </c>
    </row>
    <row r="557" spans="1:42" ht="15.75" customHeight="1" x14ac:dyDescent="0.25">
      <c r="A557" s="37">
        <v>2021</v>
      </c>
      <c r="B557" s="35">
        <v>172210</v>
      </c>
      <c r="C557" s="34" t="s">
        <v>149</v>
      </c>
      <c r="D557" s="34" t="s">
        <v>143</v>
      </c>
      <c r="E557" s="17">
        <v>7</v>
      </c>
      <c r="F557" s="36">
        <f t="shared" si="172"/>
        <v>2.2364217252396165E-2</v>
      </c>
      <c r="G557" s="17">
        <v>3</v>
      </c>
      <c r="H557" s="36">
        <f t="shared" si="173"/>
        <v>1.3513513513513514E-2</v>
      </c>
      <c r="I557" s="17">
        <v>18</v>
      </c>
      <c r="J557" s="36">
        <f t="shared" si="174"/>
        <v>5.7507987220447282E-2</v>
      </c>
      <c r="K557" s="17">
        <v>12</v>
      </c>
      <c r="L557" s="36">
        <f t="shared" si="175"/>
        <v>5.4054054054054057E-2</v>
      </c>
      <c r="M557" s="17">
        <v>288</v>
      </c>
      <c r="N557" s="36">
        <f t="shared" si="183"/>
        <v>0.92012779552715651</v>
      </c>
      <c r="O557" s="17">
        <v>207</v>
      </c>
      <c r="P557" s="36">
        <f t="shared" si="176"/>
        <v>0.93243243243243246</v>
      </c>
      <c r="Q557" s="17">
        <v>3</v>
      </c>
      <c r="R557" s="36">
        <f t="shared" si="184"/>
        <v>9.5846645367412137E-3</v>
      </c>
      <c r="S557" s="17">
        <v>2</v>
      </c>
      <c r="T557" s="36">
        <f t="shared" si="177"/>
        <v>9.0090090090090089E-3</v>
      </c>
      <c r="U557" s="17">
        <v>9</v>
      </c>
      <c r="V557" s="36">
        <f t="shared" si="185"/>
        <v>2.8753993610223641E-2</v>
      </c>
      <c r="W557" s="17">
        <v>8</v>
      </c>
      <c r="X557" s="36">
        <f t="shared" si="178"/>
        <v>3.6036036036036036E-2</v>
      </c>
      <c r="Y557" s="17">
        <v>217</v>
      </c>
      <c r="Z557" s="36">
        <f t="shared" si="186"/>
        <v>0.69329073482428116</v>
      </c>
      <c r="AA557" s="17">
        <v>158</v>
      </c>
      <c r="AB557" s="36">
        <f t="shared" si="179"/>
        <v>0.71171171171171166</v>
      </c>
      <c r="AC557" s="17">
        <v>53</v>
      </c>
      <c r="AD557" s="36">
        <f t="shared" si="187"/>
        <v>0.16932907348242812</v>
      </c>
      <c r="AE557" s="17">
        <v>37</v>
      </c>
      <c r="AF557" s="36">
        <f t="shared" si="180"/>
        <v>0.16666666666666666</v>
      </c>
      <c r="AG557" s="17">
        <v>20</v>
      </c>
      <c r="AH557" s="36">
        <f t="shared" si="188"/>
        <v>6.3897763578274758E-2</v>
      </c>
      <c r="AI557" s="17">
        <v>11</v>
      </c>
      <c r="AJ557" s="36">
        <f t="shared" si="181"/>
        <v>4.954954954954955E-2</v>
      </c>
      <c r="AK557" s="17">
        <v>11</v>
      </c>
      <c r="AL557" s="36">
        <f t="shared" si="189"/>
        <v>3.5143769968051117E-2</v>
      </c>
      <c r="AM557" s="17">
        <v>6</v>
      </c>
      <c r="AN557" s="36">
        <f t="shared" si="182"/>
        <v>2.7027027027027029E-2</v>
      </c>
      <c r="AO557" s="17">
        <v>313</v>
      </c>
      <c r="AP557" s="17">
        <v>222</v>
      </c>
    </row>
    <row r="558" spans="1:42" ht="15.75" customHeight="1" x14ac:dyDescent="0.25">
      <c r="A558" s="37">
        <v>2020</v>
      </c>
      <c r="B558" s="35">
        <v>170025</v>
      </c>
      <c r="C558" s="34" t="s">
        <v>144</v>
      </c>
      <c r="D558" s="34" t="s">
        <v>5</v>
      </c>
      <c r="E558" s="17">
        <v>2</v>
      </c>
      <c r="F558" s="36">
        <f t="shared" si="172"/>
        <v>1.5503875968992248E-2</v>
      </c>
      <c r="G558" s="17">
        <v>1</v>
      </c>
      <c r="H558" s="36">
        <f t="shared" si="173"/>
        <v>2.4390243902439025E-2</v>
      </c>
      <c r="I558" s="17">
        <v>2</v>
      </c>
      <c r="J558" s="36">
        <f t="shared" si="174"/>
        <v>1.5503875968992248E-2</v>
      </c>
      <c r="K558" s="17">
        <v>2</v>
      </c>
      <c r="L558" s="36">
        <f t="shared" si="175"/>
        <v>4.878048780487805E-2</v>
      </c>
      <c r="M558" s="17">
        <v>125</v>
      </c>
      <c r="N558" s="36">
        <f t="shared" si="183"/>
        <v>0.96899224806201545</v>
      </c>
      <c r="O558" s="17">
        <v>38</v>
      </c>
      <c r="P558" s="36">
        <f t="shared" si="176"/>
        <v>0.92682926829268297</v>
      </c>
      <c r="Q558" s="17">
        <v>1</v>
      </c>
      <c r="R558" s="36">
        <f t="shared" si="184"/>
        <v>7.7519379844961239E-3</v>
      </c>
      <c r="S558" s="17">
        <v>0</v>
      </c>
      <c r="T558" s="36">
        <f t="shared" si="177"/>
        <v>0</v>
      </c>
      <c r="U558" s="17">
        <v>2</v>
      </c>
      <c r="V558" s="36">
        <f t="shared" si="185"/>
        <v>1.5503875968992248E-2</v>
      </c>
      <c r="W558" s="17">
        <v>1</v>
      </c>
      <c r="X558" s="36">
        <f t="shared" si="178"/>
        <v>2.4390243902439025E-2</v>
      </c>
      <c r="Y558" s="17">
        <v>88</v>
      </c>
      <c r="Z558" s="36">
        <f t="shared" si="186"/>
        <v>0.68217054263565891</v>
      </c>
      <c r="AA558" s="17">
        <v>24</v>
      </c>
      <c r="AB558" s="36">
        <f t="shared" si="179"/>
        <v>0.58536585365853655</v>
      </c>
      <c r="AC558" s="17">
        <v>24</v>
      </c>
      <c r="AD558" s="36">
        <f t="shared" si="187"/>
        <v>0.18604651162790697</v>
      </c>
      <c r="AE558" s="17">
        <v>9</v>
      </c>
      <c r="AF558" s="36">
        <f t="shared" si="180"/>
        <v>0.21951219512195122</v>
      </c>
      <c r="AG558" s="17">
        <v>13</v>
      </c>
      <c r="AH558" s="36">
        <f t="shared" si="188"/>
        <v>0.10077519379844961</v>
      </c>
      <c r="AI558" s="17">
        <v>7</v>
      </c>
      <c r="AJ558" s="36">
        <f t="shared" si="181"/>
        <v>0.17073170731707318</v>
      </c>
      <c r="AK558" s="17">
        <v>1</v>
      </c>
      <c r="AL558" s="36">
        <f t="shared" si="189"/>
        <v>7.7519379844961239E-3</v>
      </c>
      <c r="AM558" s="17">
        <v>0</v>
      </c>
      <c r="AN558" s="36">
        <f t="shared" si="182"/>
        <v>0</v>
      </c>
      <c r="AO558" s="17">
        <v>129</v>
      </c>
      <c r="AP558" s="17">
        <v>41</v>
      </c>
    </row>
    <row r="559" spans="1:42" ht="15.75" customHeight="1" x14ac:dyDescent="0.25">
      <c r="A559" s="37">
        <v>2020</v>
      </c>
      <c r="B559" s="35">
        <v>170030</v>
      </c>
      <c r="C559" s="34" t="s">
        <v>145</v>
      </c>
      <c r="D559" s="34" t="s">
        <v>6</v>
      </c>
      <c r="E559" s="17">
        <v>3</v>
      </c>
      <c r="F559" s="36">
        <f t="shared" si="172"/>
        <v>0.05</v>
      </c>
      <c r="G559" s="17">
        <v>0</v>
      </c>
      <c r="H559" s="36">
        <f t="shared" si="173"/>
        <v>0</v>
      </c>
      <c r="I559" s="17">
        <v>3</v>
      </c>
      <c r="J559" s="36">
        <f t="shared" si="174"/>
        <v>0.05</v>
      </c>
      <c r="K559" s="17">
        <v>0</v>
      </c>
      <c r="L559" s="36">
        <f t="shared" si="175"/>
        <v>0</v>
      </c>
      <c r="M559" s="17">
        <v>54</v>
      </c>
      <c r="N559" s="36">
        <f t="shared" si="183"/>
        <v>0.9</v>
      </c>
      <c r="O559" s="17">
        <v>8</v>
      </c>
      <c r="P559" s="36">
        <f t="shared" si="176"/>
        <v>1</v>
      </c>
      <c r="Q559" s="17">
        <v>0</v>
      </c>
      <c r="R559" s="36">
        <f t="shared" si="184"/>
        <v>0</v>
      </c>
      <c r="S559" s="17">
        <v>0</v>
      </c>
      <c r="T559" s="36">
        <f t="shared" si="177"/>
        <v>0</v>
      </c>
      <c r="U559" s="17">
        <v>2</v>
      </c>
      <c r="V559" s="36">
        <f t="shared" si="185"/>
        <v>3.3333333333333333E-2</v>
      </c>
      <c r="W559" s="17">
        <v>0</v>
      </c>
      <c r="X559" s="36">
        <f t="shared" si="178"/>
        <v>0</v>
      </c>
      <c r="Y559" s="17">
        <v>40</v>
      </c>
      <c r="Z559" s="36">
        <f t="shared" si="186"/>
        <v>0.66666666666666663</v>
      </c>
      <c r="AA559" s="17">
        <v>7</v>
      </c>
      <c r="AB559" s="36">
        <f t="shared" si="179"/>
        <v>0.875</v>
      </c>
      <c r="AC559" s="17">
        <v>10</v>
      </c>
      <c r="AD559" s="36">
        <f t="shared" si="187"/>
        <v>0.16666666666666666</v>
      </c>
      <c r="AE559" s="17">
        <v>0</v>
      </c>
      <c r="AF559" s="36">
        <f t="shared" si="180"/>
        <v>0</v>
      </c>
      <c r="AG559" s="17">
        <v>7</v>
      </c>
      <c r="AH559" s="36">
        <f t="shared" si="188"/>
        <v>0.11666666666666667</v>
      </c>
      <c r="AI559" s="17">
        <v>1</v>
      </c>
      <c r="AJ559" s="36">
        <f t="shared" si="181"/>
        <v>0.125</v>
      </c>
      <c r="AK559" s="17">
        <v>1</v>
      </c>
      <c r="AL559" s="36">
        <f t="shared" si="189"/>
        <v>1.6666666666666666E-2</v>
      </c>
      <c r="AM559" s="17">
        <v>0</v>
      </c>
      <c r="AN559" s="36">
        <f t="shared" si="182"/>
        <v>0</v>
      </c>
      <c r="AO559" s="17">
        <v>60</v>
      </c>
      <c r="AP559" s="17">
        <v>8</v>
      </c>
    </row>
    <row r="560" spans="1:42" ht="15.75" customHeight="1" x14ac:dyDescent="0.25">
      <c r="A560" s="37">
        <v>2020</v>
      </c>
      <c r="B560" s="35">
        <v>170035</v>
      </c>
      <c r="C560" s="34" t="s">
        <v>146</v>
      </c>
      <c r="D560" s="34" t="s">
        <v>7</v>
      </c>
      <c r="E560" s="17">
        <v>1</v>
      </c>
      <c r="F560" s="36">
        <f t="shared" si="172"/>
        <v>1.2987012987012988E-2</v>
      </c>
      <c r="G560" s="17">
        <v>1</v>
      </c>
      <c r="H560" s="36">
        <f t="shared" si="173"/>
        <v>2.4390243902439025E-2</v>
      </c>
      <c r="I560" s="17">
        <v>3</v>
      </c>
      <c r="J560" s="36">
        <f t="shared" si="174"/>
        <v>3.896103896103896E-2</v>
      </c>
      <c r="K560" s="17">
        <v>2</v>
      </c>
      <c r="L560" s="36">
        <f t="shared" si="175"/>
        <v>4.878048780487805E-2</v>
      </c>
      <c r="M560" s="17">
        <v>73</v>
      </c>
      <c r="N560" s="36">
        <f t="shared" si="183"/>
        <v>0.94805194805194803</v>
      </c>
      <c r="O560" s="17">
        <v>38</v>
      </c>
      <c r="P560" s="36">
        <f t="shared" si="176"/>
        <v>0.92682926829268297</v>
      </c>
      <c r="Q560" s="17">
        <v>1</v>
      </c>
      <c r="R560" s="36">
        <f t="shared" si="184"/>
        <v>1.2987012987012988E-2</v>
      </c>
      <c r="S560" s="17">
        <v>0</v>
      </c>
      <c r="T560" s="36">
        <f t="shared" si="177"/>
        <v>0</v>
      </c>
      <c r="U560" s="17">
        <v>2</v>
      </c>
      <c r="V560" s="36">
        <f t="shared" si="185"/>
        <v>2.5974025974025976E-2</v>
      </c>
      <c r="W560" s="17">
        <v>2</v>
      </c>
      <c r="X560" s="36">
        <f t="shared" si="178"/>
        <v>4.878048780487805E-2</v>
      </c>
      <c r="Y560" s="17">
        <v>50</v>
      </c>
      <c r="Z560" s="36">
        <f t="shared" si="186"/>
        <v>0.64935064935064934</v>
      </c>
      <c r="AA560" s="17">
        <v>31</v>
      </c>
      <c r="AB560" s="36">
        <f t="shared" si="179"/>
        <v>0.75609756097560976</v>
      </c>
      <c r="AC560" s="17">
        <v>12</v>
      </c>
      <c r="AD560" s="36">
        <f t="shared" si="187"/>
        <v>0.15584415584415584</v>
      </c>
      <c r="AE560" s="17">
        <v>3</v>
      </c>
      <c r="AF560" s="36">
        <f t="shared" si="180"/>
        <v>7.3170731707317069E-2</v>
      </c>
      <c r="AG560" s="17">
        <v>11</v>
      </c>
      <c r="AH560" s="36">
        <f t="shared" si="188"/>
        <v>0.14285714285714285</v>
      </c>
      <c r="AI560" s="17">
        <v>5</v>
      </c>
      <c r="AJ560" s="36">
        <f t="shared" si="181"/>
        <v>0.12195121951219512</v>
      </c>
      <c r="AK560" s="17">
        <v>1</v>
      </c>
      <c r="AL560" s="36">
        <f t="shared" si="189"/>
        <v>1.2987012987012988E-2</v>
      </c>
      <c r="AM560" s="17">
        <v>0</v>
      </c>
      <c r="AN560" s="36">
        <f t="shared" si="182"/>
        <v>0</v>
      </c>
      <c r="AO560" s="17">
        <v>77</v>
      </c>
      <c r="AP560" s="17">
        <v>41</v>
      </c>
    </row>
    <row r="561" spans="1:42" ht="15.75" customHeight="1" x14ac:dyDescent="0.25">
      <c r="A561" s="37">
        <v>2020</v>
      </c>
      <c r="B561" s="35">
        <v>170040</v>
      </c>
      <c r="C561" s="34" t="s">
        <v>147</v>
      </c>
      <c r="D561" s="34" t="s">
        <v>8</v>
      </c>
      <c r="E561" s="17">
        <v>0</v>
      </c>
      <c r="F561" s="36">
        <f t="shared" si="172"/>
        <v>0</v>
      </c>
      <c r="G561" s="17">
        <v>0</v>
      </c>
      <c r="H561" s="36">
        <f t="shared" si="173"/>
        <v>0</v>
      </c>
      <c r="I561" s="17">
        <v>3</v>
      </c>
      <c r="J561" s="36">
        <f t="shared" si="174"/>
        <v>5.8823529411764705E-2</v>
      </c>
      <c r="K561" s="17">
        <v>2</v>
      </c>
      <c r="L561" s="36">
        <f t="shared" si="175"/>
        <v>6.6666666666666666E-2</v>
      </c>
      <c r="M561" s="17">
        <v>48</v>
      </c>
      <c r="N561" s="36">
        <f t="shared" si="183"/>
        <v>0.94117647058823528</v>
      </c>
      <c r="O561" s="17">
        <v>28</v>
      </c>
      <c r="P561" s="36">
        <f t="shared" si="176"/>
        <v>0.93333333333333335</v>
      </c>
      <c r="Q561" s="17">
        <v>1</v>
      </c>
      <c r="R561" s="36">
        <f t="shared" si="184"/>
        <v>1.9607843137254902E-2</v>
      </c>
      <c r="S561" s="17">
        <v>1</v>
      </c>
      <c r="T561" s="36">
        <f t="shared" si="177"/>
        <v>3.3333333333333333E-2</v>
      </c>
      <c r="U561" s="17">
        <v>1</v>
      </c>
      <c r="V561" s="36">
        <f t="shared" si="185"/>
        <v>1.9607843137254902E-2</v>
      </c>
      <c r="W561" s="17">
        <v>1</v>
      </c>
      <c r="X561" s="36">
        <f t="shared" si="178"/>
        <v>3.3333333333333333E-2</v>
      </c>
      <c r="Y561" s="17">
        <v>32</v>
      </c>
      <c r="Z561" s="36">
        <f t="shared" si="186"/>
        <v>0.62745098039215685</v>
      </c>
      <c r="AA561" s="17">
        <v>21</v>
      </c>
      <c r="AB561" s="36">
        <f t="shared" si="179"/>
        <v>0.7</v>
      </c>
      <c r="AC561" s="17">
        <v>11</v>
      </c>
      <c r="AD561" s="36">
        <f t="shared" si="187"/>
        <v>0.21568627450980393</v>
      </c>
      <c r="AE561" s="17">
        <v>4</v>
      </c>
      <c r="AF561" s="36">
        <f t="shared" si="180"/>
        <v>0.13333333333333333</v>
      </c>
      <c r="AG561" s="17">
        <v>4</v>
      </c>
      <c r="AH561" s="36">
        <f t="shared" si="188"/>
        <v>7.8431372549019607E-2</v>
      </c>
      <c r="AI561" s="17">
        <v>2</v>
      </c>
      <c r="AJ561" s="36">
        <f t="shared" si="181"/>
        <v>6.6666666666666666E-2</v>
      </c>
      <c r="AK561" s="17">
        <v>2</v>
      </c>
      <c r="AL561" s="36">
        <f t="shared" si="189"/>
        <v>3.9215686274509803E-2</v>
      </c>
      <c r="AM561" s="17">
        <v>1</v>
      </c>
      <c r="AN561" s="36">
        <f t="shared" si="182"/>
        <v>3.3333333333333333E-2</v>
      </c>
      <c r="AO561" s="17">
        <v>51</v>
      </c>
      <c r="AP561" s="17">
        <v>30</v>
      </c>
    </row>
    <row r="562" spans="1:42" ht="15.75" customHeight="1" x14ac:dyDescent="0.25">
      <c r="A562" s="37">
        <v>2020</v>
      </c>
      <c r="B562" s="35">
        <v>170070</v>
      </c>
      <c r="C562" s="34" t="s">
        <v>146</v>
      </c>
      <c r="D562" s="34" t="s">
        <v>9</v>
      </c>
      <c r="E562" s="17">
        <v>2</v>
      </c>
      <c r="F562" s="36">
        <f t="shared" si="172"/>
        <v>1.6666666666666666E-2</v>
      </c>
      <c r="G562" s="17">
        <v>0</v>
      </c>
      <c r="H562" s="36">
        <f t="shared" si="173"/>
        <v>0</v>
      </c>
      <c r="I562" s="17">
        <v>7</v>
      </c>
      <c r="J562" s="36">
        <f t="shared" si="174"/>
        <v>5.8333333333333334E-2</v>
      </c>
      <c r="K562" s="17">
        <v>1</v>
      </c>
      <c r="L562" s="36">
        <f t="shared" si="175"/>
        <v>4.3478260869565216E-2</v>
      </c>
      <c r="M562" s="17">
        <v>111</v>
      </c>
      <c r="N562" s="36">
        <f t="shared" si="183"/>
        <v>0.92500000000000004</v>
      </c>
      <c r="O562" s="17">
        <v>22</v>
      </c>
      <c r="P562" s="36">
        <f t="shared" si="176"/>
        <v>0.95652173913043481</v>
      </c>
      <c r="Q562" s="17">
        <v>1</v>
      </c>
      <c r="R562" s="36">
        <f t="shared" si="184"/>
        <v>8.3333333333333332E-3</v>
      </c>
      <c r="S562" s="17">
        <v>1</v>
      </c>
      <c r="T562" s="36">
        <f t="shared" si="177"/>
        <v>4.3478260869565216E-2</v>
      </c>
      <c r="U562" s="17">
        <v>3</v>
      </c>
      <c r="V562" s="36">
        <f t="shared" si="185"/>
        <v>2.5000000000000001E-2</v>
      </c>
      <c r="W562" s="17">
        <v>0</v>
      </c>
      <c r="X562" s="36">
        <f t="shared" si="178"/>
        <v>0</v>
      </c>
      <c r="Y562" s="17">
        <v>70</v>
      </c>
      <c r="Z562" s="36">
        <f t="shared" si="186"/>
        <v>0.58333333333333337</v>
      </c>
      <c r="AA562" s="17">
        <v>15</v>
      </c>
      <c r="AB562" s="36">
        <f t="shared" si="179"/>
        <v>0.65217391304347827</v>
      </c>
      <c r="AC562" s="17">
        <v>24</v>
      </c>
      <c r="AD562" s="36">
        <f t="shared" si="187"/>
        <v>0.2</v>
      </c>
      <c r="AE562" s="17">
        <v>4</v>
      </c>
      <c r="AF562" s="36">
        <f t="shared" si="180"/>
        <v>0.17391304347826086</v>
      </c>
      <c r="AG562" s="17">
        <v>17</v>
      </c>
      <c r="AH562" s="36">
        <f t="shared" si="188"/>
        <v>0.14166666666666666</v>
      </c>
      <c r="AI562" s="17">
        <v>3</v>
      </c>
      <c r="AJ562" s="36">
        <f t="shared" si="181"/>
        <v>0.13043478260869565</v>
      </c>
      <c r="AK562" s="17">
        <v>5</v>
      </c>
      <c r="AL562" s="36">
        <f t="shared" si="189"/>
        <v>4.1666666666666664E-2</v>
      </c>
      <c r="AM562" s="17">
        <v>0</v>
      </c>
      <c r="AN562" s="36">
        <f t="shared" si="182"/>
        <v>0</v>
      </c>
      <c r="AO562" s="17">
        <v>120</v>
      </c>
      <c r="AP562" s="17">
        <v>23</v>
      </c>
    </row>
    <row r="563" spans="1:42" ht="15.75" customHeight="1" x14ac:dyDescent="0.25">
      <c r="A563" s="37">
        <v>2020</v>
      </c>
      <c r="B563" s="35">
        <v>170100</v>
      </c>
      <c r="C563" s="34" t="s">
        <v>145</v>
      </c>
      <c r="D563" s="34" t="s">
        <v>10</v>
      </c>
      <c r="E563" s="17">
        <v>3</v>
      </c>
      <c r="F563" s="36">
        <f t="shared" si="172"/>
        <v>1.4354066985645933E-2</v>
      </c>
      <c r="G563" s="17">
        <v>0</v>
      </c>
      <c r="H563" s="36">
        <f t="shared" si="173"/>
        <v>0</v>
      </c>
      <c r="I563" s="17">
        <v>17</v>
      </c>
      <c r="J563" s="36">
        <f t="shared" si="174"/>
        <v>8.1339712918660281E-2</v>
      </c>
      <c r="K563" s="17">
        <v>2</v>
      </c>
      <c r="L563" s="36">
        <f t="shared" si="175"/>
        <v>9.5238095238095233E-2</v>
      </c>
      <c r="M563" s="17">
        <v>189</v>
      </c>
      <c r="N563" s="36">
        <f t="shared" si="183"/>
        <v>0.90430622009569372</v>
      </c>
      <c r="O563" s="17">
        <v>19</v>
      </c>
      <c r="P563" s="36">
        <f t="shared" si="176"/>
        <v>0.90476190476190477</v>
      </c>
      <c r="Q563" s="17">
        <v>2</v>
      </c>
      <c r="R563" s="36">
        <f t="shared" si="184"/>
        <v>9.5693779904306216E-3</v>
      </c>
      <c r="S563" s="17">
        <v>0</v>
      </c>
      <c r="T563" s="36">
        <f t="shared" si="177"/>
        <v>0</v>
      </c>
      <c r="U563" s="17">
        <v>7</v>
      </c>
      <c r="V563" s="36">
        <f t="shared" si="185"/>
        <v>3.3492822966507178E-2</v>
      </c>
      <c r="W563" s="17">
        <v>2</v>
      </c>
      <c r="X563" s="36">
        <f t="shared" si="178"/>
        <v>9.5238095238095233E-2</v>
      </c>
      <c r="Y563" s="17">
        <v>154</v>
      </c>
      <c r="Z563" s="36">
        <f t="shared" si="186"/>
        <v>0.73684210526315785</v>
      </c>
      <c r="AA563" s="17">
        <v>11</v>
      </c>
      <c r="AB563" s="36">
        <f t="shared" si="179"/>
        <v>0.52380952380952384</v>
      </c>
      <c r="AC563" s="17">
        <v>27</v>
      </c>
      <c r="AD563" s="36">
        <f t="shared" si="187"/>
        <v>0.12918660287081341</v>
      </c>
      <c r="AE563" s="17">
        <v>6</v>
      </c>
      <c r="AF563" s="36">
        <f t="shared" si="180"/>
        <v>0.2857142857142857</v>
      </c>
      <c r="AG563" s="17">
        <v>16</v>
      </c>
      <c r="AH563" s="36">
        <f t="shared" si="188"/>
        <v>7.6555023923444973E-2</v>
      </c>
      <c r="AI563" s="17">
        <v>2</v>
      </c>
      <c r="AJ563" s="36">
        <f t="shared" si="181"/>
        <v>9.5238095238095233E-2</v>
      </c>
      <c r="AK563" s="17">
        <v>3</v>
      </c>
      <c r="AL563" s="36">
        <f t="shared" si="189"/>
        <v>1.4354066985645933E-2</v>
      </c>
      <c r="AM563" s="17">
        <v>0</v>
      </c>
      <c r="AN563" s="36">
        <f t="shared" si="182"/>
        <v>0</v>
      </c>
      <c r="AO563" s="17">
        <v>209</v>
      </c>
      <c r="AP563" s="17">
        <v>21</v>
      </c>
    </row>
    <row r="564" spans="1:42" ht="15.75" customHeight="1" x14ac:dyDescent="0.25">
      <c r="A564" s="37">
        <v>2020</v>
      </c>
      <c r="B564" s="35">
        <v>170105</v>
      </c>
      <c r="C564" s="34" t="s">
        <v>145</v>
      </c>
      <c r="D564" s="34" t="s">
        <v>11</v>
      </c>
      <c r="E564" s="17">
        <v>6</v>
      </c>
      <c r="F564" s="36">
        <f t="shared" si="172"/>
        <v>3.5928143712574849E-2</v>
      </c>
      <c r="G564" s="17">
        <v>2</v>
      </c>
      <c r="H564" s="36">
        <f t="shared" si="173"/>
        <v>2.5974025974025976E-2</v>
      </c>
      <c r="I564" s="17">
        <v>11</v>
      </c>
      <c r="J564" s="36">
        <f t="shared" si="174"/>
        <v>6.5868263473053898E-2</v>
      </c>
      <c r="K564" s="17">
        <v>5</v>
      </c>
      <c r="L564" s="36">
        <f t="shared" si="175"/>
        <v>6.4935064935064929E-2</v>
      </c>
      <c r="M564" s="17">
        <v>150</v>
      </c>
      <c r="N564" s="36">
        <f t="shared" si="183"/>
        <v>0.89820359281437123</v>
      </c>
      <c r="O564" s="17">
        <v>70</v>
      </c>
      <c r="P564" s="36">
        <f t="shared" si="176"/>
        <v>0.90909090909090906</v>
      </c>
      <c r="Q564" s="17">
        <v>2</v>
      </c>
      <c r="R564" s="36">
        <f t="shared" si="184"/>
        <v>1.1976047904191617E-2</v>
      </c>
      <c r="S564" s="17">
        <v>1</v>
      </c>
      <c r="T564" s="36">
        <f t="shared" si="177"/>
        <v>1.2987012987012988E-2</v>
      </c>
      <c r="U564" s="17">
        <v>3</v>
      </c>
      <c r="V564" s="36">
        <f t="shared" si="185"/>
        <v>1.7964071856287425E-2</v>
      </c>
      <c r="W564" s="17">
        <v>1</v>
      </c>
      <c r="X564" s="36">
        <f t="shared" si="178"/>
        <v>1.2987012987012988E-2</v>
      </c>
      <c r="Y564" s="17">
        <v>122</v>
      </c>
      <c r="Z564" s="36">
        <f t="shared" si="186"/>
        <v>0.73053892215568861</v>
      </c>
      <c r="AA564" s="17">
        <v>57</v>
      </c>
      <c r="AB564" s="36">
        <f t="shared" si="179"/>
        <v>0.74025974025974028</v>
      </c>
      <c r="AC564" s="17">
        <v>26</v>
      </c>
      <c r="AD564" s="36">
        <f t="shared" si="187"/>
        <v>0.15568862275449102</v>
      </c>
      <c r="AE564" s="17">
        <v>14</v>
      </c>
      <c r="AF564" s="36">
        <f t="shared" si="180"/>
        <v>0.18181818181818182</v>
      </c>
      <c r="AG564" s="17">
        <v>14</v>
      </c>
      <c r="AH564" s="36">
        <f t="shared" si="188"/>
        <v>8.3832335329341312E-2</v>
      </c>
      <c r="AI564" s="17">
        <v>4</v>
      </c>
      <c r="AJ564" s="36">
        <f t="shared" si="181"/>
        <v>5.1948051948051951E-2</v>
      </c>
      <c r="AK564" s="17">
        <v>0</v>
      </c>
      <c r="AL564" s="36">
        <f t="shared" si="189"/>
        <v>0</v>
      </c>
      <c r="AM564" s="17">
        <v>0</v>
      </c>
      <c r="AN564" s="36">
        <f t="shared" si="182"/>
        <v>0</v>
      </c>
      <c r="AO564" s="17">
        <v>167</v>
      </c>
      <c r="AP564" s="17">
        <v>77</v>
      </c>
    </row>
    <row r="565" spans="1:42" ht="15.75" customHeight="1" x14ac:dyDescent="0.25">
      <c r="A565" s="37">
        <v>2020</v>
      </c>
      <c r="B565" s="35">
        <v>170110</v>
      </c>
      <c r="C565" s="34" t="s">
        <v>148</v>
      </c>
      <c r="D565" s="34" t="s">
        <v>12</v>
      </c>
      <c r="E565" s="17">
        <v>4</v>
      </c>
      <c r="F565" s="36">
        <f t="shared" si="172"/>
        <v>1.0075566750629723E-2</v>
      </c>
      <c r="G565" s="17">
        <v>1</v>
      </c>
      <c r="H565" s="36">
        <f t="shared" si="173"/>
        <v>1.0752688172043012E-2</v>
      </c>
      <c r="I565" s="17">
        <v>18</v>
      </c>
      <c r="J565" s="36">
        <f t="shared" si="174"/>
        <v>4.534005037783375E-2</v>
      </c>
      <c r="K565" s="17">
        <v>6</v>
      </c>
      <c r="L565" s="36">
        <f t="shared" si="175"/>
        <v>6.4516129032258063E-2</v>
      </c>
      <c r="M565" s="17">
        <v>375</v>
      </c>
      <c r="N565" s="36">
        <f t="shared" si="183"/>
        <v>0.94458438287153657</v>
      </c>
      <c r="O565" s="17">
        <v>86</v>
      </c>
      <c r="P565" s="36">
        <f t="shared" si="176"/>
        <v>0.92473118279569888</v>
      </c>
      <c r="Q565" s="17">
        <v>7</v>
      </c>
      <c r="R565" s="36">
        <f t="shared" si="184"/>
        <v>1.7632241813602016E-2</v>
      </c>
      <c r="S565" s="17">
        <v>0</v>
      </c>
      <c r="T565" s="36">
        <f t="shared" si="177"/>
        <v>0</v>
      </c>
      <c r="U565" s="17">
        <v>22</v>
      </c>
      <c r="V565" s="36">
        <f t="shared" si="185"/>
        <v>5.5415617128463476E-2</v>
      </c>
      <c r="W565" s="17">
        <v>2</v>
      </c>
      <c r="X565" s="36">
        <f t="shared" si="178"/>
        <v>2.1505376344086023E-2</v>
      </c>
      <c r="Y565" s="17">
        <v>261</v>
      </c>
      <c r="Z565" s="36">
        <f t="shared" si="186"/>
        <v>0.65743073047858946</v>
      </c>
      <c r="AA565" s="17">
        <v>65</v>
      </c>
      <c r="AB565" s="36">
        <f t="shared" si="179"/>
        <v>0.69892473118279574</v>
      </c>
      <c r="AC565" s="17">
        <v>70</v>
      </c>
      <c r="AD565" s="36">
        <f t="shared" si="187"/>
        <v>0.17632241813602015</v>
      </c>
      <c r="AE565" s="17">
        <v>19</v>
      </c>
      <c r="AF565" s="36">
        <f t="shared" si="180"/>
        <v>0.20430107526881722</v>
      </c>
      <c r="AG565" s="17">
        <v>33</v>
      </c>
      <c r="AH565" s="36">
        <f t="shared" si="188"/>
        <v>8.3123425692695208E-2</v>
      </c>
      <c r="AI565" s="17">
        <v>5</v>
      </c>
      <c r="AJ565" s="36">
        <f t="shared" si="181"/>
        <v>5.3763440860215055E-2</v>
      </c>
      <c r="AK565" s="17">
        <v>4</v>
      </c>
      <c r="AL565" s="36">
        <f t="shared" si="189"/>
        <v>1.0075566750629723E-2</v>
      </c>
      <c r="AM565" s="17">
        <v>2</v>
      </c>
      <c r="AN565" s="36">
        <f t="shared" si="182"/>
        <v>2.1505376344086023E-2</v>
      </c>
      <c r="AO565" s="17">
        <v>397</v>
      </c>
      <c r="AP565" s="17">
        <v>93</v>
      </c>
    </row>
    <row r="566" spans="1:42" ht="15.75" customHeight="1" x14ac:dyDescent="0.25">
      <c r="A566" s="37">
        <v>2020</v>
      </c>
      <c r="B566" s="35">
        <v>170130</v>
      </c>
      <c r="C566" s="34" t="s">
        <v>149</v>
      </c>
      <c r="D566" s="34" t="s">
        <v>13</v>
      </c>
      <c r="E566" s="17">
        <v>4</v>
      </c>
      <c r="F566" s="36">
        <f t="shared" si="172"/>
        <v>1.4705882352941176E-2</v>
      </c>
      <c r="G566" s="17">
        <v>1</v>
      </c>
      <c r="H566" s="36">
        <f t="shared" si="173"/>
        <v>8.4745762711864406E-3</v>
      </c>
      <c r="I566" s="17">
        <v>17</v>
      </c>
      <c r="J566" s="36">
        <f t="shared" si="174"/>
        <v>6.25E-2</v>
      </c>
      <c r="K566" s="17">
        <v>5</v>
      </c>
      <c r="L566" s="36">
        <f t="shared" si="175"/>
        <v>4.2372881355932202E-2</v>
      </c>
      <c r="M566" s="17">
        <v>251</v>
      </c>
      <c r="N566" s="36">
        <f t="shared" si="183"/>
        <v>0.92279411764705888</v>
      </c>
      <c r="O566" s="17">
        <v>112</v>
      </c>
      <c r="P566" s="36">
        <f t="shared" si="176"/>
        <v>0.94915254237288138</v>
      </c>
      <c r="Q566" s="17">
        <v>2</v>
      </c>
      <c r="R566" s="36">
        <f t="shared" si="184"/>
        <v>7.3529411764705881E-3</v>
      </c>
      <c r="S566" s="17">
        <v>1</v>
      </c>
      <c r="T566" s="36">
        <f t="shared" si="177"/>
        <v>8.4745762711864406E-3</v>
      </c>
      <c r="U566" s="17">
        <v>6</v>
      </c>
      <c r="V566" s="36">
        <f t="shared" si="185"/>
        <v>2.2058823529411766E-2</v>
      </c>
      <c r="W566" s="17">
        <v>4</v>
      </c>
      <c r="X566" s="36">
        <f t="shared" si="178"/>
        <v>3.3898305084745763E-2</v>
      </c>
      <c r="Y566" s="17">
        <v>186</v>
      </c>
      <c r="Z566" s="36">
        <f t="shared" si="186"/>
        <v>0.68382352941176472</v>
      </c>
      <c r="AA566" s="17">
        <v>89</v>
      </c>
      <c r="AB566" s="36">
        <f t="shared" si="179"/>
        <v>0.75423728813559321</v>
      </c>
      <c r="AC566" s="17">
        <v>55</v>
      </c>
      <c r="AD566" s="36">
        <f t="shared" si="187"/>
        <v>0.20220588235294118</v>
      </c>
      <c r="AE566" s="17">
        <v>19</v>
      </c>
      <c r="AF566" s="36">
        <f t="shared" si="180"/>
        <v>0.16101694915254236</v>
      </c>
      <c r="AG566" s="17">
        <v>19</v>
      </c>
      <c r="AH566" s="36">
        <f t="shared" si="188"/>
        <v>6.985294117647059E-2</v>
      </c>
      <c r="AI566" s="17">
        <v>4</v>
      </c>
      <c r="AJ566" s="36">
        <f t="shared" si="181"/>
        <v>3.3898305084745763E-2</v>
      </c>
      <c r="AK566" s="17">
        <v>4</v>
      </c>
      <c r="AL566" s="36">
        <f t="shared" si="189"/>
        <v>1.4705882352941176E-2</v>
      </c>
      <c r="AM566" s="17">
        <v>1</v>
      </c>
      <c r="AN566" s="36">
        <f t="shared" si="182"/>
        <v>8.4745762711864406E-3</v>
      </c>
      <c r="AO566" s="17">
        <v>272</v>
      </c>
      <c r="AP566" s="17">
        <v>118</v>
      </c>
    </row>
    <row r="567" spans="1:42" ht="15.75" customHeight="1" x14ac:dyDescent="0.25">
      <c r="A567" s="37">
        <v>2020</v>
      </c>
      <c r="B567" s="35">
        <v>170190</v>
      </c>
      <c r="C567" s="34" t="s">
        <v>144</v>
      </c>
      <c r="D567" s="34" t="s">
        <v>14</v>
      </c>
      <c r="E567" s="17">
        <v>2</v>
      </c>
      <c r="F567" s="36">
        <f t="shared" si="172"/>
        <v>1.1235955056179775E-2</v>
      </c>
      <c r="G567" s="17">
        <v>2</v>
      </c>
      <c r="H567" s="36">
        <f t="shared" si="173"/>
        <v>1.4084507042253521E-2</v>
      </c>
      <c r="I567" s="17">
        <v>7</v>
      </c>
      <c r="J567" s="36">
        <f t="shared" si="174"/>
        <v>3.9325842696629212E-2</v>
      </c>
      <c r="K567" s="17">
        <v>6</v>
      </c>
      <c r="L567" s="36">
        <f t="shared" si="175"/>
        <v>4.2253521126760563E-2</v>
      </c>
      <c r="M567" s="17">
        <v>169</v>
      </c>
      <c r="N567" s="36">
        <f t="shared" ref="N567:N630" si="190">IFERROR(M567/$AO567,0)</f>
        <v>0.949438202247191</v>
      </c>
      <c r="O567" s="17">
        <v>134</v>
      </c>
      <c r="P567" s="36">
        <f t="shared" si="176"/>
        <v>0.94366197183098588</v>
      </c>
      <c r="Q567" s="17">
        <v>2</v>
      </c>
      <c r="R567" s="36">
        <f t="shared" ref="R567:R630" si="191">IFERROR(Q567/$AO567,0)</f>
        <v>1.1235955056179775E-2</v>
      </c>
      <c r="S567" s="17">
        <v>2</v>
      </c>
      <c r="T567" s="36">
        <f t="shared" si="177"/>
        <v>1.4084507042253521E-2</v>
      </c>
      <c r="U567" s="17">
        <v>6</v>
      </c>
      <c r="V567" s="36">
        <f t="shared" ref="V567:V630" si="192">IFERROR(U567/$AO567,0)</f>
        <v>3.3707865168539325E-2</v>
      </c>
      <c r="W567" s="17">
        <v>5</v>
      </c>
      <c r="X567" s="36">
        <f t="shared" si="178"/>
        <v>3.5211267605633804E-2</v>
      </c>
      <c r="Y567" s="17">
        <v>121</v>
      </c>
      <c r="Z567" s="36">
        <f t="shared" ref="Z567:Z630" si="193">IFERROR(Y567/$AO567,0)</f>
        <v>0.6797752808988764</v>
      </c>
      <c r="AA567" s="17">
        <v>106</v>
      </c>
      <c r="AB567" s="36">
        <f t="shared" si="179"/>
        <v>0.74647887323943662</v>
      </c>
      <c r="AC567" s="17">
        <v>29</v>
      </c>
      <c r="AD567" s="36">
        <f t="shared" ref="AD567:AD630" si="194">IFERROR(AC567/$AO567,0)</f>
        <v>0.16292134831460675</v>
      </c>
      <c r="AE567" s="17">
        <v>21</v>
      </c>
      <c r="AF567" s="36">
        <f t="shared" si="180"/>
        <v>0.14788732394366197</v>
      </c>
      <c r="AG567" s="17">
        <v>19</v>
      </c>
      <c r="AH567" s="36">
        <f t="shared" ref="AH567:AH630" si="195">IFERROR(AG567/$AO567,0)</f>
        <v>0.10674157303370786</v>
      </c>
      <c r="AI567" s="17">
        <v>8</v>
      </c>
      <c r="AJ567" s="36">
        <f t="shared" si="181"/>
        <v>5.6338028169014086E-2</v>
      </c>
      <c r="AK567" s="17">
        <v>1</v>
      </c>
      <c r="AL567" s="36">
        <f t="shared" ref="AL567:AL630" si="196">IFERROR(AK567/$AO567,0)</f>
        <v>5.6179775280898875E-3</v>
      </c>
      <c r="AM567" s="17">
        <v>0</v>
      </c>
      <c r="AN567" s="36">
        <f t="shared" si="182"/>
        <v>0</v>
      </c>
      <c r="AO567" s="17">
        <v>178</v>
      </c>
      <c r="AP567" s="17">
        <v>142</v>
      </c>
    </row>
    <row r="568" spans="1:42" ht="15.75" customHeight="1" x14ac:dyDescent="0.25">
      <c r="A568" s="37">
        <v>2020</v>
      </c>
      <c r="B568" s="35">
        <v>170200</v>
      </c>
      <c r="C568" s="34" t="s">
        <v>146</v>
      </c>
      <c r="D568" s="34" t="s">
        <v>15</v>
      </c>
      <c r="E568" s="17">
        <v>1</v>
      </c>
      <c r="F568" s="36">
        <f t="shared" si="172"/>
        <v>3.0487804878048782E-3</v>
      </c>
      <c r="G568" s="17">
        <v>0</v>
      </c>
      <c r="H568" s="36">
        <f t="shared" si="173"/>
        <v>0</v>
      </c>
      <c r="I568" s="17">
        <v>17</v>
      </c>
      <c r="J568" s="36">
        <f t="shared" si="174"/>
        <v>5.1829268292682924E-2</v>
      </c>
      <c r="K568" s="17">
        <v>4</v>
      </c>
      <c r="L568" s="36">
        <f t="shared" si="175"/>
        <v>5.3333333333333337E-2</v>
      </c>
      <c r="M568" s="17">
        <v>310</v>
      </c>
      <c r="N568" s="36">
        <f t="shared" si="190"/>
        <v>0.94512195121951215</v>
      </c>
      <c r="O568" s="17">
        <v>71</v>
      </c>
      <c r="P568" s="36">
        <f t="shared" si="176"/>
        <v>0.94666666666666666</v>
      </c>
      <c r="Q568" s="17">
        <v>1</v>
      </c>
      <c r="R568" s="36">
        <f t="shared" si="191"/>
        <v>3.0487804878048782E-3</v>
      </c>
      <c r="S568" s="17">
        <v>0</v>
      </c>
      <c r="T568" s="36">
        <f t="shared" si="177"/>
        <v>0</v>
      </c>
      <c r="U568" s="17">
        <v>12</v>
      </c>
      <c r="V568" s="36">
        <f t="shared" si="192"/>
        <v>3.6585365853658534E-2</v>
      </c>
      <c r="W568" s="17">
        <v>3</v>
      </c>
      <c r="X568" s="36">
        <f t="shared" si="178"/>
        <v>0.04</v>
      </c>
      <c r="Y568" s="17">
        <v>214</v>
      </c>
      <c r="Z568" s="36">
        <f t="shared" si="193"/>
        <v>0.65243902439024393</v>
      </c>
      <c r="AA568" s="17">
        <v>54</v>
      </c>
      <c r="AB568" s="36">
        <f t="shared" si="179"/>
        <v>0.72</v>
      </c>
      <c r="AC568" s="17">
        <v>53</v>
      </c>
      <c r="AD568" s="36">
        <f t="shared" si="194"/>
        <v>0.16158536585365854</v>
      </c>
      <c r="AE568" s="17">
        <v>11</v>
      </c>
      <c r="AF568" s="36">
        <f t="shared" si="180"/>
        <v>0.14666666666666667</v>
      </c>
      <c r="AG568" s="17">
        <v>41</v>
      </c>
      <c r="AH568" s="36">
        <f t="shared" si="195"/>
        <v>0.125</v>
      </c>
      <c r="AI568" s="17">
        <v>7</v>
      </c>
      <c r="AJ568" s="36">
        <f t="shared" si="181"/>
        <v>9.3333333333333338E-2</v>
      </c>
      <c r="AK568" s="17">
        <v>7</v>
      </c>
      <c r="AL568" s="36">
        <f t="shared" si="196"/>
        <v>2.1341463414634148E-2</v>
      </c>
      <c r="AM568" s="17">
        <v>0</v>
      </c>
      <c r="AN568" s="36">
        <f t="shared" si="182"/>
        <v>0</v>
      </c>
      <c r="AO568" s="17">
        <v>328</v>
      </c>
      <c r="AP568" s="17">
        <v>75</v>
      </c>
    </row>
    <row r="569" spans="1:42" ht="15.75" customHeight="1" x14ac:dyDescent="0.25">
      <c r="A569" s="37">
        <v>2020</v>
      </c>
      <c r="B569" s="35">
        <v>170210</v>
      </c>
      <c r="C569" s="34" t="s">
        <v>149</v>
      </c>
      <c r="D569" s="34" t="s">
        <v>16</v>
      </c>
      <c r="E569" s="17">
        <v>29</v>
      </c>
      <c r="F569" s="36">
        <f t="shared" si="172"/>
        <v>1.5199161425576519E-2</v>
      </c>
      <c r="G569" s="17">
        <v>4</v>
      </c>
      <c r="H569" s="36">
        <f t="shared" si="173"/>
        <v>7.9051383399209481E-3</v>
      </c>
      <c r="I569" s="17">
        <v>90</v>
      </c>
      <c r="J569" s="36">
        <f t="shared" si="174"/>
        <v>4.716981132075472E-2</v>
      </c>
      <c r="K569" s="17">
        <v>19</v>
      </c>
      <c r="L569" s="36">
        <f t="shared" si="175"/>
        <v>3.7549407114624504E-2</v>
      </c>
      <c r="M569" s="16">
        <v>1789</v>
      </c>
      <c r="N569" s="36">
        <f t="shared" si="190"/>
        <v>0.93763102725366876</v>
      </c>
      <c r="O569" s="17">
        <v>483</v>
      </c>
      <c r="P569" s="36">
        <f t="shared" si="176"/>
        <v>0.95454545454545459</v>
      </c>
      <c r="Q569" s="17">
        <v>15</v>
      </c>
      <c r="R569" s="36">
        <f t="shared" si="191"/>
        <v>7.8616352201257862E-3</v>
      </c>
      <c r="S569" s="17">
        <v>3</v>
      </c>
      <c r="T569" s="36">
        <f t="shared" si="177"/>
        <v>5.9288537549407111E-3</v>
      </c>
      <c r="U569" s="17">
        <v>78</v>
      </c>
      <c r="V569" s="36">
        <f t="shared" si="192"/>
        <v>4.0880503144654086E-2</v>
      </c>
      <c r="W569" s="17">
        <v>16</v>
      </c>
      <c r="X569" s="36">
        <f t="shared" si="178"/>
        <v>3.1620553359683792E-2</v>
      </c>
      <c r="Y569" s="16">
        <v>1232</v>
      </c>
      <c r="Z569" s="36">
        <f t="shared" si="193"/>
        <v>0.64570230607966461</v>
      </c>
      <c r="AA569" s="17">
        <v>359</v>
      </c>
      <c r="AB569" s="36">
        <f t="shared" si="179"/>
        <v>0.70948616600790515</v>
      </c>
      <c r="AC569" s="17">
        <v>367</v>
      </c>
      <c r="AD569" s="36">
        <f t="shared" si="194"/>
        <v>0.19234800838574423</v>
      </c>
      <c r="AE569" s="17">
        <v>90</v>
      </c>
      <c r="AF569" s="36">
        <f t="shared" si="180"/>
        <v>0.17786561264822134</v>
      </c>
      <c r="AG569" s="17">
        <v>175</v>
      </c>
      <c r="AH569" s="36">
        <f t="shared" si="195"/>
        <v>9.1719077568134175E-2</v>
      </c>
      <c r="AI569" s="17">
        <v>29</v>
      </c>
      <c r="AJ569" s="36">
        <f t="shared" si="181"/>
        <v>5.731225296442688E-2</v>
      </c>
      <c r="AK569" s="17">
        <v>41</v>
      </c>
      <c r="AL569" s="36">
        <f t="shared" si="196"/>
        <v>2.1488469601677149E-2</v>
      </c>
      <c r="AM569" s="17">
        <v>9</v>
      </c>
      <c r="AN569" s="36">
        <f t="shared" si="182"/>
        <v>1.7786561264822136E-2</v>
      </c>
      <c r="AO569" s="16">
        <v>1908</v>
      </c>
      <c r="AP569" s="17">
        <v>506</v>
      </c>
    </row>
    <row r="570" spans="1:42" ht="15.75" customHeight="1" x14ac:dyDescent="0.25">
      <c r="A570" s="37">
        <v>2020</v>
      </c>
      <c r="B570" s="35">
        <v>170215</v>
      </c>
      <c r="C570" s="34" t="s">
        <v>149</v>
      </c>
      <c r="D570" s="34" t="s">
        <v>17</v>
      </c>
      <c r="E570" s="17">
        <v>4</v>
      </c>
      <c r="F570" s="36">
        <f t="shared" si="172"/>
        <v>6.4308681672025723E-3</v>
      </c>
      <c r="G570" s="17">
        <v>2</v>
      </c>
      <c r="H570" s="36">
        <f t="shared" si="173"/>
        <v>1.1111111111111112E-2</v>
      </c>
      <c r="I570" s="17">
        <v>34</v>
      </c>
      <c r="J570" s="36">
        <f t="shared" si="174"/>
        <v>5.4662379421221867E-2</v>
      </c>
      <c r="K570" s="17">
        <v>11</v>
      </c>
      <c r="L570" s="36">
        <f t="shared" si="175"/>
        <v>6.1111111111111109E-2</v>
      </c>
      <c r="M570" s="17">
        <v>584</v>
      </c>
      <c r="N570" s="36">
        <f t="shared" si="190"/>
        <v>0.93890675241157562</v>
      </c>
      <c r="O570" s="17">
        <v>167</v>
      </c>
      <c r="P570" s="36">
        <f t="shared" si="176"/>
        <v>0.92777777777777781</v>
      </c>
      <c r="Q570" s="17">
        <v>10</v>
      </c>
      <c r="R570" s="36">
        <f t="shared" si="191"/>
        <v>1.607717041800643E-2</v>
      </c>
      <c r="S570" s="17">
        <v>2</v>
      </c>
      <c r="T570" s="36">
        <f t="shared" si="177"/>
        <v>1.1111111111111112E-2</v>
      </c>
      <c r="U570" s="17">
        <v>33</v>
      </c>
      <c r="V570" s="36">
        <f t="shared" si="192"/>
        <v>5.3054662379421219E-2</v>
      </c>
      <c r="W570" s="17">
        <v>8</v>
      </c>
      <c r="X570" s="36">
        <f t="shared" si="178"/>
        <v>4.4444444444444446E-2</v>
      </c>
      <c r="Y570" s="17">
        <v>455</v>
      </c>
      <c r="Z570" s="36">
        <f t="shared" si="193"/>
        <v>0.73151125401929262</v>
      </c>
      <c r="AA570" s="17">
        <v>141</v>
      </c>
      <c r="AB570" s="36">
        <f t="shared" si="179"/>
        <v>0.78333333333333333</v>
      </c>
      <c r="AC570" s="17">
        <v>75</v>
      </c>
      <c r="AD570" s="36">
        <f t="shared" si="194"/>
        <v>0.12057877813504823</v>
      </c>
      <c r="AE570" s="17">
        <v>20</v>
      </c>
      <c r="AF570" s="36">
        <f t="shared" si="180"/>
        <v>0.1111111111111111</v>
      </c>
      <c r="AG570" s="17">
        <v>36</v>
      </c>
      <c r="AH570" s="36">
        <f t="shared" si="195"/>
        <v>5.7877813504823149E-2</v>
      </c>
      <c r="AI570" s="17">
        <v>9</v>
      </c>
      <c r="AJ570" s="36">
        <f t="shared" si="181"/>
        <v>0.05</v>
      </c>
      <c r="AK570" s="17">
        <v>13</v>
      </c>
      <c r="AL570" s="36">
        <f t="shared" si="196"/>
        <v>2.0900321543408359E-2</v>
      </c>
      <c r="AM570" s="17">
        <v>0</v>
      </c>
      <c r="AN570" s="36">
        <f t="shared" si="182"/>
        <v>0</v>
      </c>
      <c r="AO570" s="17">
        <v>622</v>
      </c>
      <c r="AP570" s="17">
        <v>180</v>
      </c>
    </row>
    <row r="571" spans="1:42" ht="15.75" customHeight="1" x14ac:dyDescent="0.25">
      <c r="A571" s="37">
        <v>2020</v>
      </c>
      <c r="B571" s="35">
        <v>170220</v>
      </c>
      <c r="C571" s="34" t="s">
        <v>145</v>
      </c>
      <c r="D571" s="34" t="s">
        <v>18</v>
      </c>
      <c r="E571" s="17">
        <v>19</v>
      </c>
      <c r="F571" s="36">
        <f t="shared" si="172"/>
        <v>1.9447287615148412E-2</v>
      </c>
      <c r="G571" s="17">
        <v>3</v>
      </c>
      <c r="H571" s="36">
        <f t="shared" si="173"/>
        <v>8.5470085470085479E-3</v>
      </c>
      <c r="I571" s="17">
        <v>82</v>
      </c>
      <c r="J571" s="36">
        <f t="shared" si="174"/>
        <v>8.3930399181166834E-2</v>
      </c>
      <c r="K571" s="17">
        <v>26</v>
      </c>
      <c r="L571" s="36">
        <f t="shared" si="175"/>
        <v>7.407407407407407E-2</v>
      </c>
      <c r="M571" s="17">
        <v>876</v>
      </c>
      <c r="N571" s="36">
        <f t="shared" si="190"/>
        <v>0.8966223132036848</v>
      </c>
      <c r="O571" s="17">
        <v>322</v>
      </c>
      <c r="P571" s="36">
        <f t="shared" si="176"/>
        <v>0.91737891737891741</v>
      </c>
      <c r="Q571" s="17">
        <v>15</v>
      </c>
      <c r="R571" s="36">
        <f t="shared" si="191"/>
        <v>1.5353121801432957E-2</v>
      </c>
      <c r="S571" s="17">
        <v>5</v>
      </c>
      <c r="T571" s="36">
        <f t="shared" si="177"/>
        <v>1.4245014245014245E-2</v>
      </c>
      <c r="U571" s="17">
        <v>43</v>
      </c>
      <c r="V571" s="36">
        <f t="shared" si="192"/>
        <v>4.4012282497441144E-2</v>
      </c>
      <c r="W571" s="17">
        <v>19</v>
      </c>
      <c r="X571" s="36">
        <f t="shared" si="178"/>
        <v>5.4131054131054131E-2</v>
      </c>
      <c r="Y571" s="17">
        <v>681</v>
      </c>
      <c r="Z571" s="36">
        <f t="shared" si="193"/>
        <v>0.69703172978505634</v>
      </c>
      <c r="AA571" s="17">
        <v>255</v>
      </c>
      <c r="AB571" s="36">
        <f t="shared" si="179"/>
        <v>0.72649572649572647</v>
      </c>
      <c r="AC571" s="17">
        <v>165</v>
      </c>
      <c r="AD571" s="36">
        <f t="shared" si="194"/>
        <v>0.16888433981576254</v>
      </c>
      <c r="AE571" s="17">
        <v>54</v>
      </c>
      <c r="AF571" s="36">
        <f t="shared" si="180"/>
        <v>0.15384615384615385</v>
      </c>
      <c r="AG571" s="17">
        <v>68</v>
      </c>
      <c r="AH571" s="36">
        <f t="shared" si="195"/>
        <v>6.9600818833162742E-2</v>
      </c>
      <c r="AI571" s="17">
        <v>17</v>
      </c>
      <c r="AJ571" s="36">
        <f t="shared" si="181"/>
        <v>4.843304843304843E-2</v>
      </c>
      <c r="AK571" s="17">
        <v>5</v>
      </c>
      <c r="AL571" s="36">
        <f t="shared" si="196"/>
        <v>5.1177072671443197E-3</v>
      </c>
      <c r="AM571" s="17">
        <v>1</v>
      </c>
      <c r="AN571" s="36">
        <f t="shared" si="182"/>
        <v>2.8490028490028491E-3</v>
      </c>
      <c r="AO571" s="17">
        <v>977</v>
      </c>
      <c r="AP571" s="17">
        <v>351</v>
      </c>
    </row>
    <row r="572" spans="1:42" ht="15.75" customHeight="1" x14ac:dyDescent="0.25">
      <c r="A572" s="37">
        <v>2020</v>
      </c>
      <c r="B572" s="35">
        <v>170230</v>
      </c>
      <c r="C572" s="34" t="s">
        <v>150</v>
      </c>
      <c r="D572" s="34" t="s">
        <v>19</v>
      </c>
      <c r="E572" s="17">
        <v>0</v>
      </c>
      <c r="F572" s="36">
        <f t="shared" si="172"/>
        <v>0</v>
      </c>
      <c r="G572" s="17">
        <v>0</v>
      </c>
      <c r="H572" s="36">
        <f t="shared" si="173"/>
        <v>0</v>
      </c>
      <c r="I572" s="17">
        <v>12</v>
      </c>
      <c r="J572" s="36">
        <f t="shared" si="174"/>
        <v>6.1538461538461542E-2</v>
      </c>
      <c r="K572" s="17">
        <v>1</v>
      </c>
      <c r="L572" s="36">
        <f t="shared" si="175"/>
        <v>3.8461538461538464E-2</v>
      </c>
      <c r="M572" s="17">
        <v>183</v>
      </c>
      <c r="N572" s="36">
        <f t="shared" si="190"/>
        <v>0.93846153846153846</v>
      </c>
      <c r="O572" s="17">
        <v>25</v>
      </c>
      <c r="P572" s="36">
        <f t="shared" si="176"/>
        <v>0.96153846153846156</v>
      </c>
      <c r="Q572" s="17">
        <v>1</v>
      </c>
      <c r="R572" s="36">
        <f t="shared" si="191"/>
        <v>5.1282051282051282E-3</v>
      </c>
      <c r="S572" s="17">
        <v>0</v>
      </c>
      <c r="T572" s="36">
        <f t="shared" si="177"/>
        <v>0</v>
      </c>
      <c r="U572" s="17">
        <v>9</v>
      </c>
      <c r="V572" s="36">
        <f t="shared" si="192"/>
        <v>4.6153846153846156E-2</v>
      </c>
      <c r="W572" s="17">
        <v>1</v>
      </c>
      <c r="X572" s="36">
        <f t="shared" si="178"/>
        <v>3.8461538461538464E-2</v>
      </c>
      <c r="Y572" s="17">
        <v>126</v>
      </c>
      <c r="Z572" s="36">
        <f t="shared" si="193"/>
        <v>0.64615384615384619</v>
      </c>
      <c r="AA572" s="17">
        <v>20</v>
      </c>
      <c r="AB572" s="36">
        <f t="shared" si="179"/>
        <v>0.76923076923076927</v>
      </c>
      <c r="AC572" s="17">
        <v>34</v>
      </c>
      <c r="AD572" s="36">
        <f t="shared" si="194"/>
        <v>0.17435897435897435</v>
      </c>
      <c r="AE572" s="17">
        <v>3</v>
      </c>
      <c r="AF572" s="36">
        <f t="shared" si="180"/>
        <v>0.11538461538461539</v>
      </c>
      <c r="AG572" s="17">
        <v>19</v>
      </c>
      <c r="AH572" s="36">
        <f t="shared" si="195"/>
        <v>9.7435897435897437E-2</v>
      </c>
      <c r="AI572" s="17">
        <v>1</v>
      </c>
      <c r="AJ572" s="36">
        <f t="shared" si="181"/>
        <v>3.8461538461538464E-2</v>
      </c>
      <c r="AK572" s="17">
        <v>6</v>
      </c>
      <c r="AL572" s="36">
        <f t="shared" si="196"/>
        <v>3.0769230769230771E-2</v>
      </c>
      <c r="AM572" s="17">
        <v>1</v>
      </c>
      <c r="AN572" s="36">
        <f t="shared" si="182"/>
        <v>3.8461538461538464E-2</v>
      </c>
      <c r="AO572" s="17">
        <v>195</v>
      </c>
      <c r="AP572" s="17">
        <v>26</v>
      </c>
    </row>
    <row r="573" spans="1:42" ht="15.75" customHeight="1" x14ac:dyDescent="0.25">
      <c r="A573" s="37">
        <v>2020</v>
      </c>
      <c r="B573" s="35">
        <v>170240</v>
      </c>
      <c r="C573" s="34" t="s">
        <v>147</v>
      </c>
      <c r="D573" s="34" t="s">
        <v>20</v>
      </c>
      <c r="E573" s="17">
        <v>3</v>
      </c>
      <c r="F573" s="36">
        <f t="shared" si="172"/>
        <v>1.2048192771084338E-2</v>
      </c>
      <c r="G573" s="17">
        <v>1</v>
      </c>
      <c r="H573" s="36">
        <f t="shared" si="173"/>
        <v>8.4033613445378148E-3</v>
      </c>
      <c r="I573" s="17">
        <v>17</v>
      </c>
      <c r="J573" s="36">
        <f t="shared" si="174"/>
        <v>6.8273092369477914E-2</v>
      </c>
      <c r="K573" s="17">
        <v>6</v>
      </c>
      <c r="L573" s="36">
        <f t="shared" si="175"/>
        <v>5.0420168067226892E-2</v>
      </c>
      <c r="M573" s="17">
        <v>229</v>
      </c>
      <c r="N573" s="36">
        <f t="shared" si="190"/>
        <v>0.91967871485943775</v>
      </c>
      <c r="O573" s="17">
        <v>112</v>
      </c>
      <c r="P573" s="36">
        <f t="shared" si="176"/>
        <v>0.94117647058823528</v>
      </c>
      <c r="Q573" s="17">
        <v>1</v>
      </c>
      <c r="R573" s="36">
        <f t="shared" si="191"/>
        <v>4.0160642570281121E-3</v>
      </c>
      <c r="S573" s="17">
        <v>1</v>
      </c>
      <c r="T573" s="36">
        <f t="shared" si="177"/>
        <v>8.4033613445378148E-3</v>
      </c>
      <c r="U573" s="17">
        <v>8</v>
      </c>
      <c r="V573" s="36">
        <f t="shared" si="192"/>
        <v>3.2128514056224897E-2</v>
      </c>
      <c r="W573" s="17">
        <v>5</v>
      </c>
      <c r="X573" s="36">
        <f t="shared" si="178"/>
        <v>4.2016806722689079E-2</v>
      </c>
      <c r="Y573" s="17">
        <v>173</v>
      </c>
      <c r="Z573" s="36">
        <f t="shared" si="193"/>
        <v>0.69477911646586343</v>
      </c>
      <c r="AA573" s="17">
        <v>86</v>
      </c>
      <c r="AB573" s="36">
        <f t="shared" si="179"/>
        <v>0.72268907563025209</v>
      </c>
      <c r="AC573" s="17">
        <v>53</v>
      </c>
      <c r="AD573" s="36">
        <f t="shared" si="194"/>
        <v>0.21285140562248997</v>
      </c>
      <c r="AE573" s="17">
        <v>24</v>
      </c>
      <c r="AF573" s="36">
        <f t="shared" si="180"/>
        <v>0.20168067226890757</v>
      </c>
      <c r="AG573" s="17">
        <v>12</v>
      </c>
      <c r="AH573" s="36">
        <f t="shared" si="195"/>
        <v>4.8192771084337352E-2</v>
      </c>
      <c r="AI573" s="17">
        <v>3</v>
      </c>
      <c r="AJ573" s="36">
        <f t="shared" si="181"/>
        <v>2.5210084033613446E-2</v>
      </c>
      <c r="AK573" s="17">
        <v>2</v>
      </c>
      <c r="AL573" s="36">
        <f t="shared" si="196"/>
        <v>8.0321285140562242E-3</v>
      </c>
      <c r="AM573" s="17">
        <v>0</v>
      </c>
      <c r="AN573" s="36">
        <f t="shared" si="182"/>
        <v>0</v>
      </c>
      <c r="AO573" s="17">
        <v>249</v>
      </c>
      <c r="AP573" s="17">
        <v>119</v>
      </c>
    </row>
    <row r="574" spans="1:42" ht="15.75" customHeight="1" x14ac:dyDescent="0.25">
      <c r="A574" s="37">
        <v>2020</v>
      </c>
      <c r="B574" s="35">
        <v>170255</v>
      </c>
      <c r="C574" s="34" t="s">
        <v>145</v>
      </c>
      <c r="D574" s="34" t="s">
        <v>21</v>
      </c>
      <c r="E574" s="17">
        <v>19</v>
      </c>
      <c r="F574" s="36">
        <f t="shared" si="172"/>
        <v>3.150912106135987E-2</v>
      </c>
      <c r="G574" s="17">
        <v>13</v>
      </c>
      <c r="H574" s="36">
        <f t="shared" si="173"/>
        <v>4.642857142857143E-2</v>
      </c>
      <c r="I574" s="17">
        <v>50</v>
      </c>
      <c r="J574" s="36">
        <f t="shared" si="174"/>
        <v>8.2918739635157543E-2</v>
      </c>
      <c r="K574" s="17">
        <v>23</v>
      </c>
      <c r="L574" s="36">
        <f t="shared" si="175"/>
        <v>8.2142857142857142E-2</v>
      </c>
      <c r="M574" s="17">
        <v>534</v>
      </c>
      <c r="N574" s="36">
        <f t="shared" si="190"/>
        <v>0.88557213930348255</v>
      </c>
      <c r="O574" s="17">
        <v>244</v>
      </c>
      <c r="P574" s="36">
        <f t="shared" si="176"/>
        <v>0.87142857142857144</v>
      </c>
      <c r="Q574" s="17">
        <v>5</v>
      </c>
      <c r="R574" s="36">
        <f t="shared" si="191"/>
        <v>8.291873963515755E-3</v>
      </c>
      <c r="S574" s="17">
        <v>3</v>
      </c>
      <c r="T574" s="36">
        <f t="shared" si="177"/>
        <v>1.0714285714285714E-2</v>
      </c>
      <c r="U574" s="17">
        <v>38</v>
      </c>
      <c r="V574" s="36">
        <f t="shared" si="192"/>
        <v>6.3018242122719739E-2</v>
      </c>
      <c r="W574" s="17">
        <v>21</v>
      </c>
      <c r="X574" s="36">
        <f t="shared" si="178"/>
        <v>7.4999999999999997E-2</v>
      </c>
      <c r="Y574" s="17">
        <v>427</v>
      </c>
      <c r="Z574" s="36">
        <f t="shared" si="193"/>
        <v>0.70812603648424544</v>
      </c>
      <c r="AA574" s="17">
        <v>197</v>
      </c>
      <c r="AB574" s="36">
        <f t="shared" si="179"/>
        <v>0.70357142857142863</v>
      </c>
      <c r="AC574" s="17">
        <v>80</v>
      </c>
      <c r="AD574" s="36">
        <f t="shared" si="194"/>
        <v>0.13266998341625208</v>
      </c>
      <c r="AE574" s="17">
        <v>37</v>
      </c>
      <c r="AF574" s="36">
        <f t="shared" si="180"/>
        <v>0.13214285714285715</v>
      </c>
      <c r="AG574" s="17">
        <v>43</v>
      </c>
      <c r="AH574" s="36">
        <f t="shared" si="195"/>
        <v>7.1310116086235484E-2</v>
      </c>
      <c r="AI574" s="17">
        <v>16</v>
      </c>
      <c r="AJ574" s="36">
        <f t="shared" si="181"/>
        <v>5.7142857142857141E-2</v>
      </c>
      <c r="AK574" s="17">
        <v>10</v>
      </c>
      <c r="AL574" s="36">
        <f t="shared" si="196"/>
        <v>1.658374792703151E-2</v>
      </c>
      <c r="AM574" s="17">
        <v>6</v>
      </c>
      <c r="AN574" s="36">
        <f t="shared" si="182"/>
        <v>2.1428571428571429E-2</v>
      </c>
      <c r="AO574" s="17">
        <v>603</v>
      </c>
      <c r="AP574" s="17">
        <v>280</v>
      </c>
    </row>
    <row r="575" spans="1:42" ht="15.75" customHeight="1" x14ac:dyDescent="0.25">
      <c r="A575" s="37">
        <v>2020</v>
      </c>
      <c r="B575" s="35">
        <v>170270</v>
      </c>
      <c r="C575" s="34" t="s">
        <v>147</v>
      </c>
      <c r="D575" s="34" t="s">
        <v>22</v>
      </c>
      <c r="E575" s="17">
        <v>0</v>
      </c>
      <c r="F575" s="36">
        <f t="shared" si="172"/>
        <v>0</v>
      </c>
      <c r="G575" s="17">
        <v>0</v>
      </c>
      <c r="H575" s="36">
        <f t="shared" si="173"/>
        <v>0</v>
      </c>
      <c r="I575" s="17">
        <v>0</v>
      </c>
      <c r="J575" s="36">
        <f t="shared" si="174"/>
        <v>0</v>
      </c>
      <c r="K575" s="17">
        <v>0</v>
      </c>
      <c r="L575" s="36">
        <f t="shared" si="175"/>
        <v>0</v>
      </c>
      <c r="M575" s="17">
        <v>5</v>
      </c>
      <c r="N575" s="36">
        <f t="shared" si="190"/>
        <v>1</v>
      </c>
      <c r="O575" s="17">
        <v>2</v>
      </c>
      <c r="P575" s="36">
        <f t="shared" si="176"/>
        <v>1</v>
      </c>
      <c r="Q575" s="17">
        <v>0</v>
      </c>
      <c r="R575" s="36">
        <f t="shared" si="191"/>
        <v>0</v>
      </c>
      <c r="S575" s="17">
        <v>0</v>
      </c>
      <c r="T575" s="36">
        <f t="shared" si="177"/>
        <v>0</v>
      </c>
      <c r="U575" s="17">
        <v>1</v>
      </c>
      <c r="V575" s="36">
        <f t="shared" si="192"/>
        <v>0.2</v>
      </c>
      <c r="W575" s="17">
        <v>0</v>
      </c>
      <c r="X575" s="36">
        <f t="shared" si="178"/>
        <v>0</v>
      </c>
      <c r="Y575" s="17">
        <v>3</v>
      </c>
      <c r="Z575" s="36">
        <f t="shared" si="193"/>
        <v>0.6</v>
      </c>
      <c r="AA575" s="17">
        <v>1</v>
      </c>
      <c r="AB575" s="36">
        <f t="shared" si="179"/>
        <v>0.5</v>
      </c>
      <c r="AC575" s="17">
        <v>1</v>
      </c>
      <c r="AD575" s="36">
        <f t="shared" si="194"/>
        <v>0.2</v>
      </c>
      <c r="AE575" s="17">
        <v>1</v>
      </c>
      <c r="AF575" s="36">
        <f t="shared" si="180"/>
        <v>0.5</v>
      </c>
      <c r="AG575" s="17">
        <v>0</v>
      </c>
      <c r="AH575" s="36">
        <f t="shared" si="195"/>
        <v>0</v>
      </c>
      <c r="AI575" s="17">
        <v>0</v>
      </c>
      <c r="AJ575" s="36">
        <f t="shared" si="181"/>
        <v>0</v>
      </c>
      <c r="AK575" s="17">
        <v>0</v>
      </c>
      <c r="AL575" s="36">
        <f t="shared" si="196"/>
        <v>0</v>
      </c>
      <c r="AM575" s="17">
        <v>0</v>
      </c>
      <c r="AN575" s="36">
        <f t="shared" si="182"/>
        <v>0</v>
      </c>
      <c r="AO575" s="17">
        <v>5</v>
      </c>
      <c r="AP575" s="17">
        <v>2</v>
      </c>
    </row>
    <row r="576" spans="1:42" ht="15.75" customHeight="1" x14ac:dyDescent="0.25">
      <c r="A576" s="37">
        <v>2020</v>
      </c>
      <c r="B576" s="35">
        <v>170290</v>
      </c>
      <c r="C576" s="34" t="s">
        <v>145</v>
      </c>
      <c r="D576" s="34" t="s">
        <v>23</v>
      </c>
      <c r="E576" s="17">
        <v>6</v>
      </c>
      <c r="F576" s="36">
        <f t="shared" si="172"/>
        <v>2.1582733812949641E-2</v>
      </c>
      <c r="G576" s="17">
        <v>1</v>
      </c>
      <c r="H576" s="36">
        <f t="shared" si="173"/>
        <v>5.9880239520958087E-3</v>
      </c>
      <c r="I576" s="17">
        <v>34</v>
      </c>
      <c r="J576" s="36">
        <f t="shared" si="174"/>
        <v>0.1223021582733813</v>
      </c>
      <c r="K576" s="17">
        <v>21</v>
      </c>
      <c r="L576" s="36">
        <f t="shared" si="175"/>
        <v>0.12574850299401197</v>
      </c>
      <c r="M576" s="17">
        <v>238</v>
      </c>
      <c r="N576" s="36">
        <f t="shared" si="190"/>
        <v>0.85611510791366907</v>
      </c>
      <c r="O576" s="17">
        <v>145</v>
      </c>
      <c r="P576" s="36">
        <f t="shared" si="176"/>
        <v>0.86826347305389218</v>
      </c>
      <c r="Q576" s="17">
        <v>8</v>
      </c>
      <c r="R576" s="36">
        <f t="shared" si="191"/>
        <v>2.8776978417266189E-2</v>
      </c>
      <c r="S576" s="17">
        <v>6</v>
      </c>
      <c r="T576" s="36">
        <f t="shared" si="177"/>
        <v>3.5928143712574849E-2</v>
      </c>
      <c r="U576" s="17">
        <v>14</v>
      </c>
      <c r="V576" s="36">
        <f t="shared" si="192"/>
        <v>5.0359712230215826E-2</v>
      </c>
      <c r="W576" s="17">
        <v>8</v>
      </c>
      <c r="X576" s="36">
        <f t="shared" si="178"/>
        <v>4.790419161676647E-2</v>
      </c>
      <c r="Y576" s="17">
        <v>199</v>
      </c>
      <c r="Z576" s="36">
        <f t="shared" si="193"/>
        <v>0.71582733812949639</v>
      </c>
      <c r="AA576" s="17">
        <v>120</v>
      </c>
      <c r="AB576" s="36">
        <f t="shared" si="179"/>
        <v>0.71856287425149701</v>
      </c>
      <c r="AC576" s="17">
        <v>37</v>
      </c>
      <c r="AD576" s="36">
        <f t="shared" si="194"/>
        <v>0.13309352517985612</v>
      </c>
      <c r="AE576" s="17">
        <v>23</v>
      </c>
      <c r="AF576" s="36">
        <f t="shared" si="180"/>
        <v>0.1377245508982036</v>
      </c>
      <c r="AG576" s="17">
        <v>16</v>
      </c>
      <c r="AH576" s="36">
        <f t="shared" si="195"/>
        <v>5.7553956834532377E-2</v>
      </c>
      <c r="AI576" s="17">
        <v>9</v>
      </c>
      <c r="AJ576" s="36">
        <f t="shared" si="181"/>
        <v>5.3892215568862277E-2</v>
      </c>
      <c r="AK576" s="17">
        <v>4</v>
      </c>
      <c r="AL576" s="36">
        <f t="shared" si="196"/>
        <v>1.4388489208633094E-2</v>
      </c>
      <c r="AM576" s="17">
        <v>1</v>
      </c>
      <c r="AN576" s="36">
        <f t="shared" si="182"/>
        <v>5.9880239520958087E-3</v>
      </c>
      <c r="AO576" s="17">
        <v>278</v>
      </c>
      <c r="AP576" s="17">
        <v>167</v>
      </c>
    </row>
    <row r="577" spans="1:42" ht="15.75" customHeight="1" x14ac:dyDescent="0.25">
      <c r="A577" s="37">
        <v>2020</v>
      </c>
      <c r="B577" s="35">
        <v>170300</v>
      </c>
      <c r="C577" s="34" t="s">
        <v>149</v>
      </c>
      <c r="D577" s="34" t="s">
        <v>24</v>
      </c>
      <c r="E577" s="17">
        <v>12</v>
      </c>
      <c r="F577" s="36">
        <f t="shared" si="172"/>
        <v>3.519061583577713E-2</v>
      </c>
      <c r="G577" s="17">
        <v>2</v>
      </c>
      <c r="H577" s="36">
        <f t="shared" si="173"/>
        <v>9.5693779904306216E-3</v>
      </c>
      <c r="I577" s="17">
        <v>27</v>
      </c>
      <c r="J577" s="36">
        <f t="shared" si="174"/>
        <v>7.9178885630498533E-2</v>
      </c>
      <c r="K577" s="17">
        <v>9</v>
      </c>
      <c r="L577" s="36">
        <f t="shared" si="175"/>
        <v>4.3062200956937802E-2</v>
      </c>
      <c r="M577" s="17">
        <v>302</v>
      </c>
      <c r="N577" s="36">
        <f t="shared" si="190"/>
        <v>0.88563049853372433</v>
      </c>
      <c r="O577" s="17">
        <v>198</v>
      </c>
      <c r="P577" s="36">
        <f t="shared" si="176"/>
        <v>0.94736842105263153</v>
      </c>
      <c r="Q577" s="17">
        <v>4</v>
      </c>
      <c r="R577" s="36">
        <f t="shared" si="191"/>
        <v>1.1730205278592375E-2</v>
      </c>
      <c r="S577" s="17">
        <v>1</v>
      </c>
      <c r="T577" s="36">
        <f t="shared" si="177"/>
        <v>4.7846889952153108E-3</v>
      </c>
      <c r="U577" s="17">
        <v>7</v>
      </c>
      <c r="V577" s="36">
        <f t="shared" si="192"/>
        <v>2.0527859237536656E-2</v>
      </c>
      <c r="W577" s="17">
        <v>5</v>
      </c>
      <c r="X577" s="36">
        <f t="shared" si="178"/>
        <v>2.3923444976076555E-2</v>
      </c>
      <c r="Y577" s="17">
        <v>228</v>
      </c>
      <c r="Z577" s="36">
        <f t="shared" si="193"/>
        <v>0.66862170087976536</v>
      </c>
      <c r="AA577" s="17">
        <v>143</v>
      </c>
      <c r="AB577" s="36">
        <f t="shared" si="179"/>
        <v>0.68421052631578949</v>
      </c>
      <c r="AC577" s="17">
        <v>62</v>
      </c>
      <c r="AD577" s="36">
        <f t="shared" si="194"/>
        <v>0.18181818181818182</v>
      </c>
      <c r="AE577" s="17">
        <v>36</v>
      </c>
      <c r="AF577" s="36">
        <f t="shared" si="180"/>
        <v>0.17224880382775121</v>
      </c>
      <c r="AG577" s="17">
        <v>36</v>
      </c>
      <c r="AH577" s="36">
        <f t="shared" si="195"/>
        <v>0.10557184750733138</v>
      </c>
      <c r="AI577" s="17">
        <v>21</v>
      </c>
      <c r="AJ577" s="36">
        <f t="shared" si="181"/>
        <v>0.10047846889952153</v>
      </c>
      <c r="AK577" s="17">
        <v>4</v>
      </c>
      <c r="AL577" s="36">
        <f t="shared" si="196"/>
        <v>1.1730205278592375E-2</v>
      </c>
      <c r="AM577" s="17">
        <v>3</v>
      </c>
      <c r="AN577" s="36">
        <f t="shared" si="182"/>
        <v>1.4354066985645933E-2</v>
      </c>
      <c r="AO577" s="17">
        <v>341</v>
      </c>
      <c r="AP577" s="17">
        <v>209</v>
      </c>
    </row>
    <row r="578" spans="1:42" ht="15.75" customHeight="1" x14ac:dyDescent="0.25">
      <c r="A578" s="37">
        <v>2020</v>
      </c>
      <c r="B578" s="35">
        <v>170305</v>
      </c>
      <c r="C578" s="34" t="s">
        <v>150</v>
      </c>
      <c r="D578" s="34" t="s">
        <v>25</v>
      </c>
      <c r="E578" s="17">
        <v>0</v>
      </c>
      <c r="F578" s="36">
        <f t="shared" ref="F578:F641" si="197">IFERROR(E578/$AO578,0)</f>
        <v>0</v>
      </c>
      <c r="G578" s="17">
        <v>0</v>
      </c>
      <c r="H578" s="36">
        <f t="shared" ref="H578:H641" si="198">IFERROR(G578/$AP578,0)</f>
        <v>0</v>
      </c>
      <c r="I578" s="17">
        <v>5</v>
      </c>
      <c r="J578" s="36">
        <f t="shared" ref="J578:J641" si="199">IFERROR(I578/$AO578,0)</f>
        <v>4.3859649122807015E-2</v>
      </c>
      <c r="K578" s="17">
        <v>2</v>
      </c>
      <c r="L578" s="36">
        <f t="shared" ref="L578:L641" si="200">IFERROR(K578/$AP578,0)</f>
        <v>2.4390243902439025E-2</v>
      </c>
      <c r="M578" s="17">
        <v>109</v>
      </c>
      <c r="N578" s="36">
        <f t="shared" si="190"/>
        <v>0.95614035087719296</v>
      </c>
      <c r="O578" s="17">
        <v>80</v>
      </c>
      <c r="P578" s="36">
        <f t="shared" ref="P578:P641" si="201">IFERROR(O578/$AP578,0)</f>
        <v>0.97560975609756095</v>
      </c>
      <c r="Q578" s="17">
        <v>1</v>
      </c>
      <c r="R578" s="36">
        <f t="shared" si="191"/>
        <v>8.771929824561403E-3</v>
      </c>
      <c r="S578" s="17">
        <v>1</v>
      </c>
      <c r="T578" s="36">
        <f t="shared" ref="T578:T641" si="202">IFERROR(S578/$AP578,0)</f>
        <v>1.2195121951219513E-2</v>
      </c>
      <c r="U578" s="17">
        <v>3</v>
      </c>
      <c r="V578" s="36">
        <f t="shared" si="192"/>
        <v>2.6315789473684209E-2</v>
      </c>
      <c r="W578" s="17">
        <v>3</v>
      </c>
      <c r="X578" s="36">
        <f t="shared" ref="X578:X641" si="203">IFERROR(W578/$AP578,0)</f>
        <v>3.6585365853658534E-2</v>
      </c>
      <c r="Y578" s="17">
        <v>80</v>
      </c>
      <c r="Z578" s="36">
        <f t="shared" si="193"/>
        <v>0.70175438596491224</v>
      </c>
      <c r="AA578" s="17">
        <v>55</v>
      </c>
      <c r="AB578" s="36">
        <f t="shared" ref="AB578:AB641" si="204">IFERROR(AA578/$AP578,0)</f>
        <v>0.67073170731707321</v>
      </c>
      <c r="AC578" s="17">
        <v>23</v>
      </c>
      <c r="AD578" s="36">
        <f t="shared" si="194"/>
        <v>0.20175438596491227</v>
      </c>
      <c r="AE578" s="17">
        <v>20</v>
      </c>
      <c r="AF578" s="36">
        <f t="shared" ref="AF578:AF641" si="205">IFERROR(AE578/$AP578,0)</f>
        <v>0.24390243902439024</v>
      </c>
      <c r="AG578" s="17">
        <v>7</v>
      </c>
      <c r="AH578" s="36">
        <f t="shared" si="195"/>
        <v>6.1403508771929821E-2</v>
      </c>
      <c r="AI578" s="17">
        <v>3</v>
      </c>
      <c r="AJ578" s="36">
        <f t="shared" ref="AJ578:AJ641" si="206">IFERROR(AI578/$AP578,0)</f>
        <v>3.6585365853658534E-2</v>
      </c>
      <c r="AK578" s="17">
        <v>0</v>
      </c>
      <c r="AL578" s="36">
        <f t="shared" si="196"/>
        <v>0</v>
      </c>
      <c r="AM578" s="17">
        <v>0</v>
      </c>
      <c r="AN578" s="36">
        <f t="shared" ref="AN578:AN641" si="207">IFERROR(AM578/$AP578,0)</f>
        <v>0</v>
      </c>
      <c r="AO578" s="17">
        <v>114</v>
      </c>
      <c r="AP578" s="17">
        <v>82</v>
      </c>
    </row>
    <row r="579" spans="1:42" ht="15.75" customHeight="1" x14ac:dyDescent="0.25">
      <c r="A579" s="37">
        <v>2020</v>
      </c>
      <c r="B579" s="35">
        <v>170307</v>
      </c>
      <c r="C579" s="34" t="s">
        <v>149</v>
      </c>
      <c r="D579" s="34" t="s">
        <v>26</v>
      </c>
      <c r="E579" s="17">
        <v>7</v>
      </c>
      <c r="F579" s="36">
        <f t="shared" si="197"/>
        <v>5.185185185185185E-2</v>
      </c>
      <c r="G579" s="17">
        <v>2</v>
      </c>
      <c r="H579" s="36">
        <f t="shared" si="198"/>
        <v>8.6956521739130432E-2</v>
      </c>
      <c r="I579" s="17">
        <v>18</v>
      </c>
      <c r="J579" s="36">
        <f t="shared" si="199"/>
        <v>0.13333333333333333</v>
      </c>
      <c r="K579" s="17">
        <v>1</v>
      </c>
      <c r="L579" s="36">
        <f t="shared" si="200"/>
        <v>4.3478260869565216E-2</v>
      </c>
      <c r="M579" s="17">
        <v>110</v>
      </c>
      <c r="N579" s="36">
        <f t="shared" si="190"/>
        <v>0.81481481481481477</v>
      </c>
      <c r="O579" s="17">
        <v>20</v>
      </c>
      <c r="P579" s="36">
        <f t="shared" si="201"/>
        <v>0.86956521739130432</v>
      </c>
      <c r="Q579" s="17">
        <v>2</v>
      </c>
      <c r="R579" s="36">
        <f t="shared" si="191"/>
        <v>1.4814814814814815E-2</v>
      </c>
      <c r="S579" s="17">
        <v>0</v>
      </c>
      <c r="T579" s="36">
        <f t="shared" si="202"/>
        <v>0</v>
      </c>
      <c r="U579" s="17">
        <v>6</v>
      </c>
      <c r="V579" s="36">
        <f t="shared" si="192"/>
        <v>4.4444444444444446E-2</v>
      </c>
      <c r="W579" s="17">
        <v>1</v>
      </c>
      <c r="X579" s="36">
        <f t="shared" si="203"/>
        <v>4.3478260869565216E-2</v>
      </c>
      <c r="Y579" s="17">
        <v>89</v>
      </c>
      <c r="Z579" s="36">
        <f t="shared" si="193"/>
        <v>0.65925925925925921</v>
      </c>
      <c r="AA579" s="17">
        <v>14</v>
      </c>
      <c r="AB579" s="36">
        <f t="shared" si="204"/>
        <v>0.60869565217391308</v>
      </c>
      <c r="AC579" s="17">
        <v>25</v>
      </c>
      <c r="AD579" s="36">
        <f t="shared" si="194"/>
        <v>0.18518518518518517</v>
      </c>
      <c r="AE579" s="17">
        <v>5</v>
      </c>
      <c r="AF579" s="36">
        <f t="shared" si="205"/>
        <v>0.21739130434782608</v>
      </c>
      <c r="AG579" s="17">
        <v>10</v>
      </c>
      <c r="AH579" s="36">
        <f t="shared" si="195"/>
        <v>7.407407407407407E-2</v>
      </c>
      <c r="AI579" s="17">
        <v>3</v>
      </c>
      <c r="AJ579" s="36">
        <f t="shared" si="206"/>
        <v>0.13043478260869565</v>
      </c>
      <c r="AK579" s="17">
        <v>3</v>
      </c>
      <c r="AL579" s="36">
        <f t="shared" si="196"/>
        <v>2.2222222222222223E-2</v>
      </c>
      <c r="AM579" s="17">
        <v>0</v>
      </c>
      <c r="AN579" s="36">
        <f t="shared" si="207"/>
        <v>0</v>
      </c>
      <c r="AO579" s="17">
        <v>135</v>
      </c>
      <c r="AP579" s="17">
        <v>23</v>
      </c>
    </row>
    <row r="580" spans="1:42" ht="15.75" customHeight="1" x14ac:dyDescent="0.25">
      <c r="A580" s="37">
        <v>2020</v>
      </c>
      <c r="B580" s="35">
        <v>170310</v>
      </c>
      <c r="C580" s="34" t="s">
        <v>144</v>
      </c>
      <c r="D580" s="34" t="s">
        <v>27</v>
      </c>
      <c r="E580" s="17">
        <v>4</v>
      </c>
      <c r="F580" s="36">
        <f t="shared" si="197"/>
        <v>2.8985507246376812E-2</v>
      </c>
      <c r="G580" s="17">
        <v>0</v>
      </c>
      <c r="H580" s="36">
        <f t="shared" si="198"/>
        <v>0</v>
      </c>
      <c r="I580" s="17">
        <v>8</v>
      </c>
      <c r="J580" s="36">
        <f t="shared" si="199"/>
        <v>5.7971014492753624E-2</v>
      </c>
      <c r="K580" s="17">
        <v>0</v>
      </c>
      <c r="L580" s="36">
        <f t="shared" si="200"/>
        <v>0</v>
      </c>
      <c r="M580" s="17">
        <v>126</v>
      </c>
      <c r="N580" s="36">
        <f t="shared" si="190"/>
        <v>0.91304347826086951</v>
      </c>
      <c r="O580" s="17">
        <v>18</v>
      </c>
      <c r="P580" s="36">
        <f t="shared" si="201"/>
        <v>1</v>
      </c>
      <c r="Q580" s="17">
        <v>0</v>
      </c>
      <c r="R580" s="36">
        <f t="shared" si="191"/>
        <v>0</v>
      </c>
      <c r="S580" s="17">
        <v>0</v>
      </c>
      <c r="T580" s="36">
        <f t="shared" si="202"/>
        <v>0</v>
      </c>
      <c r="U580" s="17">
        <v>4</v>
      </c>
      <c r="V580" s="36">
        <f t="shared" si="192"/>
        <v>2.8985507246376812E-2</v>
      </c>
      <c r="W580" s="17">
        <v>1</v>
      </c>
      <c r="X580" s="36">
        <f t="shared" si="203"/>
        <v>5.5555555555555552E-2</v>
      </c>
      <c r="Y580" s="17">
        <v>90</v>
      </c>
      <c r="Z580" s="36">
        <f t="shared" si="193"/>
        <v>0.65217391304347827</v>
      </c>
      <c r="AA580" s="17">
        <v>8</v>
      </c>
      <c r="AB580" s="36">
        <f t="shared" si="204"/>
        <v>0.44444444444444442</v>
      </c>
      <c r="AC580" s="17">
        <v>30</v>
      </c>
      <c r="AD580" s="36">
        <f t="shared" si="194"/>
        <v>0.21739130434782608</v>
      </c>
      <c r="AE580" s="17">
        <v>6</v>
      </c>
      <c r="AF580" s="36">
        <f t="shared" si="205"/>
        <v>0.33333333333333331</v>
      </c>
      <c r="AG580" s="17">
        <v>14</v>
      </c>
      <c r="AH580" s="36">
        <f t="shared" si="195"/>
        <v>0.10144927536231885</v>
      </c>
      <c r="AI580" s="17">
        <v>3</v>
      </c>
      <c r="AJ580" s="36">
        <f t="shared" si="206"/>
        <v>0.16666666666666666</v>
      </c>
      <c r="AK580" s="17">
        <v>0</v>
      </c>
      <c r="AL580" s="36">
        <f t="shared" si="196"/>
        <v>0</v>
      </c>
      <c r="AM580" s="17">
        <v>0</v>
      </c>
      <c r="AN580" s="36">
        <f t="shared" si="207"/>
        <v>0</v>
      </c>
      <c r="AO580" s="17">
        <v>138</v>
      </c>
      <c r="AP580" s="17">
        <v>18</v>
      </c>
    </row>
    <row r="581" spans="1:42" ht="15.75" customHeight="1" x14ac:dyDescent="0.25">
      <c r="A581" s="37">
        <v>2020</v>
      </c>
      <c r="B581" s="35">
        <v>170320</v>
      </c>
      <c r="C581" s="34" t="s">
        <v>150</v>
      </c>
      <c r="D581" s="34" t="s">
        <v>28</v>
      </c>
      <c r="E581" s="17">
        <v>0</v>
      </c>
      <c r="F581" s="36">
        <f t="shared" si="197"/>
        <v>0</v>
      </c>
      <c r="G581" s="17">
        <v>0</v>
      </c>
      <c r="H581" s="36">
        <f t="shared" si="198"/>
        <v>0</v>
      </c>
      <c r="I581" s="17">
        <v>0</v>
      </c>
      <c r="J581" s="36">
        <f t="shared" si="199"/>
        <v>0</v>
      </c>
      <c r="K581" s="17">
        <v>0</v>
      </c>
      <c r="L581" s="36">
        <f t="shared" si="200"/>
        <v>0</v>
      </c>
      <c r="M581" s="17">
        <v>44</v>
      </c>
      <c r="N581" s="36">
        <f t="shared" si="190"/>
        <v>1</v>
      </c>
      <c r="O581" s="17">
        <v>29</v>
      </c>
      <c r="P581" s="36">
        <f t="shared" si="201"/>
        <v>1</v>
      </c>
      <c r="Q581" s="17">
        <v>1</v>
      </c>
      <c r="R581" s="36">
        <f t="shared" si="191"/>
        <v>2.2727272727272728E-2</v>
      </c>
      <c r="S581" s="17">
        <v>1</v>
      </c>
      <c r="T581" s="36">
        <f t="shared" si="202"/>
        <v>3.4482758620689655E-2</v>
      </c>
      <c r="U581" s="17">
        <v>2</v>
      </c>
      <c r="V581" s="36">
        <f t="shared" si="192"/>
        <v>4.5454545454545456E-2</v>
      </c>
      <c r="W581" s="17">
        <v>2</v>
      </c>
      <c r="X581" s="36">
        <f t="shared" si="203"/>
        <v>6.8965517241379309E-2</v>
      </c>
      <c r="Y581" s="17">
        <v>26</v>
      </c>
      <c r="Z581" s="36">
        <f t="shared" si="193"/>
        <v>0.59090909090909094</v>
      </c>
      <c r="AA581" s="17">
        <v>20</v>
      </c>
      <c r="AB581" s="36">
        <f t="shared" si="204"/>
        <v>0.68965517241379315</v>
      </c>
      <c r="AC581" s="17">
        <v>8</v>
      </c>
      <c r="AD581" s="36">
        <f t="shared" si="194"/>
        <v>0.18181818181818182</v>
      </c>
      <c r="AE581" s="17">
        <v>3</v>
      </c>
      <c r="AF581" s="36">
        <f t="shared" si="205"/>
        <v>0.10344827586206896</v>
      </c>
      <c r="AG581" s="17">
        <v>5</v>
      </c>
      <c r="AH581" s="36">
        <f t="shared" si="195"/>
        <v>0.11363636363636363</v>
      </c>
      <c r="AI581" s="17">
        <v>2</v>
      </c>
      <c r="AJ581" s="36">
        <f t="shared" si="206"/>
        <v>6.8965517241379309E-2</v>
      </c>
      <c r="AK581" s="17">
        <v>2</v>
      </c>
      <c r="AL581" s="36">
        <f t="shared" si="196"/>
        <v>4.5454545454545456E-2</v>
      </c>
      <c r="AM581" s="17">
        <v>1</v>
      </c>
      <c r="AN581" s="36">
        <f t="shared" si="207"/>
        <v>3.4482758620689655E-2</v>
      </c>
      <c r="AO581" s="17">
        <v>44</v>
      </c>
      <c r="AP581" s="17">
        <v>29</v>
      </c>
    </row>
    <row r="582" spans="1:42" ht="15.75" customHeight="1" x14ac:dyDescent="0.25">
      <c r="A582" s="37">
        <v>2020</v>
      </c>
      <c r="B582" s="35">
        <v>170330</v>
      </c>
      <c r="C582" s="34" t="s">
        <v>150</v>
      </c>
      <c r="D582" s="34" t="s">
        <v>29</v>
      </c>
      <c r="E582" s="17">
        <v>0</v>
      </c>
      <c r="F582" s="36">
        <f t="shared" si="197"/>
        <v>0</v>
      </c>
      <c r="G582" s="17">
        <v>0</v>
      </c>
      <c r="H582" s="36">
        <f t="shared" si="198"/>
        <v>0</v>
      </c>
      <c r="I582" s="17">
        <v>0</v>
      </c>
      <c r="J582" s="36">
        <f t="shared" si="199"/>
        <v>0</v>
      </c>
      <c r="K582" s="17">
        <v>0</v>
      </c>
      <c r="L582" s="36">
        <f t="shared" si="200"/>
        <v>0</v>
      </c>
      <c r="M582" s="17">
        <v>12</v>
      </c>
      <c r="N582" s="36">
        <f t="shared" si="190"/>
        <v>1</v>
      </c>
      <c r="O582" s="17">
        <v>0</v>
      </c>
      <c r="P582" s="36">
        <f t="shared" si="201"/>
        <v>0</v>
      </c>
      <c r="Q582" s="17">
        <v>1</v>
      </c>
      <c r="R582" s="36">
        <f t="shared" si="191"/>
        <v>8.3333333333333329E-2</v>
      </c>
      <c r="S582" s="17">
        <v>0</v>
      </c>
      <c r="T582" s="36">
        <f t="shared" si="202"/>
        <v>0</v>
      </c>
      <c r="U582" s="17">
        <v>1</v>
      </c>
      <c r="V582" s="36">
        <f t="shared" si="192"/>
        <v>8.3333333333333329E-2</v>
      </c>
      <c r="W582" s="17">
        <v>0</v>
      </c>
      <c r="X582" s="36">
        <f t="shared" si="203"/>
        <v>0</v>
      </c>
      <c r="Y582" s="17">
        <v>8</v>
      </c>
      <c r="Z582" s="36">
        <f t="shared" si="193"/>
        <v>0.66666666666666663</v>
      </c>
      <c r="AA582" s="17">
        <v>0</v>
      </c>
      <c r="AB582" s="36">
        <f t="shared" si="204"/>
        <v>0</v>
      </c>
      <c r="AC582" s="17">
        <v>1</v>
      </c>
      <c r="AD582" s="36">
        <f t="shared" si="194"/>
        <v>8.3333333333333329E-2</v>
      </c>
      <c r="AE582" s="17">
        <v>0</v>
      </c>
      <c r="AF582" s="36">
        <f t="shared" si="205"/>
        <v>0</v>
      </c>
      <c r="AG582" s="17">
        <v>1</v>
      </c>
      <c r="AH582" s="36">
        <f t="shared" si="195"/>
        <v>8.3333333333333329E-2</v>
      </c>
      <c r="AI582" s="17">
        <v>0</v>
      </c>
      <c r="AJ582" s="36">
        <f t="shared" si="206"/>
        <v>0</v>
      </c>
      <c r="AK582" s="17">
        <v>0</v>
      </c>
      <c r="AL582" s="36">
        <f t="shared" si="196"/>
        <v>0</v>
      </c>
      <c r="AM582" s="17">
        <v>0</v>
      </c>
      <c r="AN582" s="36">
        <f t="shared" si="207"/>
        <v>0</v>
      </c>
      <c r="AO582" s="17">
        <v>12</v>
      </c>
      <c r="AP582" s="17">
        <v>0</v>
      </c>
    </row>
    <row r="583" spans="1:42" ht="15.75" customHeight="1" x14ac:dyDescent="0.25">
      <c r="A583" s="37">
        <v>2020</v>
      </c>
      <c r="B583" s="35">
        <v>170360</v>
      </c>
      <c r="C583" s="34" t="s">
        <v>150</v>
      </c>
      <c r="D583" s="34" t="s">
        <v>30</v>
      </c>
      <c r="E583" s="17">
        <v>0</v>
      </c>
      <c r="F583" s="36">
        <f t="shared" si="197"/>
        <v>0</v>
      </c>
      <c r="G583" s="17">
        <v>0</v>
      </c>
      <c r="H583" s="36">
        <f t="shared" si="198"/>
        <v>0</v>
      </c>
      <c r="I583" s="17">
        <v>3</v>
      </c>
      <c r="J583" s="36">
        <f t="shared" si="199"/>
        <v>3.0303030303030304E-2</v>
      </c>
      <c r="K583" s="17">
        <v>4</v>
      </c>
      <c r="L583" s="36">
        <f t="shared" si="200"/>
        <v>5.6338028169014086E-2</v>
      </c>
      <c r="M583" s="17">
        <v>96</v>
      </c>
      <c r="N583" s="36">
        <f t="shared" si="190"/>
        <v>0.96969696969696972</v>
      </c>
      <c r="O583" s="17">
        <v>67</v>
      </c>
      <c r="P583" s="36">
        <f t="shared" si="201"/>
        <v>0.94366197183098588</v>
      </c>
      <c r="Q583" s="17">
        <v>2</v>
      </c>
      <c r="R583" s="36">
        <f t="shared" si="191"/>
        <v>2.0202020202020204E-2</v>
      </c>
      <c r="S583" s="17">
        <v>2</v>
      </c>
      <c r="T583" s="36">
        <f t="shared" si="202"/>
        <v>2.8169014084507043E-2</v>
      </c>
      <c r="U583" s="17">
        <v>3</v>
      </c>
      <c r="V583" s="36">
        <f t="shared" si="192"/>
        <v>3.0303030303030304E-2</v>
      </c>
      <c r="W583" s="17">
        <v>3</v>
      </c>
      <c r="X583" s="36">
        <f t="shared" si="203"/>
        <v>4.2253521126760563E-2</v>
      </c>
      <c r="Y583" s="17">
        <v>69</v>
      </c>
      <c r="Z583" s="36">
        <f t="shared" si="193"/>
        <v>0.69696969696969702</v>
      </c>
      <c r="AA583" s="17">
        <v>53</v>
      </c>
      <c r="AB583" s="36">
        <f t="shared" si="204"/>
        <v>0.74647887323943662</v>
      </c>
      <c r="AC583" s="17">
        <v>14</v>
      </c>
      <c r="AD583" s="36">
        <f t="shared" si="194"/>
        <v>0.14141414141414141</v>
      </c>
      <c r="AE583" s="17">
        <v>9</v>
      </c>
      <c r="AF583" s="36">
        <f t="shared" si="205"/>
        <v>0.12676056338028169</v>
      </c>
      <c r="AG583" s="17">
        <v>8</v>
      </c>
      <c r="AH583" s="36">
        <f t="shared" si="195"/>
        <v>8.0808080808080815E-2</v>
      </c>
      <c r="AI583" s="17">
        <v>4</v>
      </c>
      <c r="AJ583" s="36">
        <f t="shared" si="206"/>
        <v>5.6338028169014086E-2</v>
      </c>
      <c r="AK583" s="17">
        <v>3</v>
      </c>
      <c r="AL583" s="36">
        <f t="shared" si="196"/>
        <v>3.0303030303030304E-2</v>
      </c>
      <c r="AM583" s="17">
        <v>0</v>
      </c>
      <c r="AN583" s="36">
        <f t="shared" si="207"/>
        <v>0</v>
      </c>
      <c r="AO583" s="17">
        <v>99</v>
      </c>
      <c r="AP583" s="17">
        <v>71</v>
      </c>
    </row>
    <row r="584" spans="1:42" ht="15.75" customHeight="1" x14ac:dyDescent="0.25">
      <c r="A584" s="37">
        <v>2020</v>
      </c>
      <c r="B584" s="35">
        <v>170370</v>
      </c>
      <c r="C584" s="34" t="s">
        <v>151</v>
      </c>
      <c r="D584" s="34" t="s">
        <v>31</v>
      </c>
      <c r="E584" s="17">
        <v>0</v>
      </c>
      <c r="F584" s="36">
        <f t="shared" si="197"/>
        <v>0</v>
      </c>
      <c r="G584" s="17">
        <v>0</v>
      </c>
      <c r="H584" s="36">
        <f t="shared" si="198"/>
        <v>0</v>
      </c>
      <c r="I584" s="17">
        <v>2</v>
      </c>
      <c r="J584" s="36">
        <f t="shared" si="199"/>
        <v>4.4444444444444446E-2</v>
      </c>
      <c r="K584" s="17">
        <v>2</v>
      </c>
      <c r="L584" s="36">
        <f t="shared" si="200"/>
        <v>4.7619047619047616E-2</v>
      </c>
      <c r="M584" s="17">
        <v>43</v>
      </c>
      <c r="N584" s="36">
        <f t="shared" si="190"/>
        <v>0.9555555555555556</v>
      </c>
      <c r="O584" s="17">
        <v>40</v>
      </c>
      <c r="P584" s="36">
        <f t="shared" si="201"/>
        <v>0.95238095238095233</v>
      </c>
      <c r="Q584" s="17">
        <v>0</v>
      </c>
      <c r="R584" s="36">
        <f t="shared" si="191"/>
        <v>0</v>
      </c>
      <c r="S584" s="17">
        <v>0</v>
      </c>
      <c r="T584" s="36">
        <f t="shared" si="202"/>
        <v>0</v>
      </c>
      <c r="U584" s="17">
        <v>5</v>
      </c>
      <c r="V584" s="36">
        <f t="shared" si="192"/>
        <v>0.1111111111111111</v>
      </c>
      <c r="W584" s="17">
        <v>5</v>
      </c>
      <c r="X584" s="36">
        <f t="shared" si="203"/>
        <v>0.11904761904761904</v>
      </c>
      <c r="Y584" s="17">
        <v>31</v>
      </c>
      <c r="Z584" s="36">
        <f t="shared" si="193"/>
        <v>0.68888888888888888</v>
      </c>
      <c r="AA584" s="17">
        <v>29</v>
      </c>
      <c r="AB584" s="36">
        <f t="shared" si="204"/>
        <v>0.69047619047619047</v>
      </c>
      <c r="AC584" s="17">
        <v>5</v>
      </c>
      <c r="AD584" s="36">
        <f t="shared" si="194"/>
        <v>0.1111111111111111</v>
      </c>
      <c r="AE584" s="17">
        <v>5</v>
      </c>
      <c r="AF584" s="36">
        <f t="shared" si="205"/>
        <v>0.11904761904761904</v>
      </c>
      <c r="AG584" s="17">
        <v>4</v>
      </c>
      <c r="AH584" s="36">
        <f t="shared" si="195"/>
        <v>8.8888888888888892E-2</v>
      </c>
      <c r="AI584" s="17">
        <v>3</v>
      </c>
      <c r="AJ584" s="36">
        <f t="shared" si="206"/>
        <v>7.1428571428571425E-2</v>
      </c>
      <c r="AK584" s="17">
        <v>0</v>
      </c>
      <c r="AL584" s="36">
        <f t="shared" si="196"/>
        <v>0</v>
      </c>
      <c r="AM584" s="17">
        <v>0</v>
      </c>
      <c r="AN584" s="36">
        <f t="shared" si="207"/>
        <v>0</v>
      </c>
      <c r="AO584" s="17">
        <v>45</v>
      </c>
      <c r="AP584" s="17">
        <v>42</v>
      </c>
    </row>
    <row r="585" spans="1:42" ht="15.75" customHeight="1" x14ac:dyDescent="0.25">
      <c r="A585" s="37">
        <v>2020</v>
      </c>
      <c r="B585" s="35">
        <v>170380</v>
      </c>
      <c r="C585" s="34" t="s">
        <v>145</v>
      </c>
      <c r="D585" s="34" t="s">
        <v>32</v>
      </c>
      <c r="E585" s="17">
        <v>13</v>
      </c>
      <c r="F585" s="36">
        <f t="shared" si="197"/>
        <v>2.4074074074074074E-2</v>
      </c>
      <c r="G585" s="17">
        <v>4</v>
      </c>
      <c r="H585" s="36">
        <f t="shared" si="198"/>
        <v>1.7094017094017096E-2</v>
      </c>
      <c r="I585" s="17">
        <v>45</v>
      </c>
      <c r="J585" s="36">
        <f t="shared" si="199"/>
        <v>8.3333333333333329E-2</v>
      </c>
      <c r="K585" s="17">
        <v>12</v>
      </c>
      <c r="L585" s="36">
        <f t="shared" si="200"/>
        <v>5.128205128205128E-2</v>
      </c>
      <c r="M585" s="17">
        <v>482</v>
      </c>
      <c r="N585" s="36">
        <f t="shared" si="190"/>
        <v>0.8925925925925926</v>
      </c>
      <c r="O585" s="17">
        <v>218</v>
      </c>
      <c r="P585" s="36">
        <f t="shared" si="201"/>
        <v>0.93162393162393164</v>
      </c>
      <c r="Q585" s="17">
        <v>11</v>
      </c>
      <c r="R585" s="36">
        <f t="shared" si="191"/>
        <v>2.0370370370370372E-2</v>
      </c>
      <c r="S585" s="17">
        <v>5</v>
      </c>
      <c r="T585" s="36">
        <f t="shared" si="202"/>
        <v>2.1367521367521368E-2</v>
      </c>
      <c r="U585" s="17">
        <v>13</v>
      </c>
      <c r="V585" s="36">
        <f t="shared" si="192"/>
        <v>2.4074074074074074E-2</v>
      </c>
      <c r="W585" s="17">
        <v>6</v>
      </c>
      <c r="X585" s="36">
        <f t="shared" si="203"/>
        <v>2.564102564102564E-2</v>
      </c>
      <c r="Y585" s="17">
        <v>373</v>
      </c>
      <c r="Z585" s="36">
        <f t="shared" si="193"/>
        <v>0.69074074074074077</v>
      </c>
      <c r="AA585" s="17">
        <v>161</v>
      </c>
      <c r="AB585" s="36">
        <f t="shared" si="204"/>
        <v>0.68803418803418803</v>
      </c>
      <c r="AC585" s="17">
        <v>99</v>
      </c>
      <c r="AD585" s="36">
        <f t="shared" si="194"/>
        <v>0.18333333333333332</v>
      </c>
      <c r="AE585" s="17">
        <v>48</v>
      </c>
      <c r="AF585" s="36">
        <f t="shared" si="205"/>
        <v>0.20512820512820512</v>
      </c>
      <c r="AG585" s="17">
        <v>38</v>
      </c>
      <c r="AH585" s="36">
        <f t="shared" si="195"/>
        <v>7.0370370370370375E-2</v>
      </c>
      <c r="AI585" s="17">
        <v>13</v>
      </c>
      <c r="AJ585" s="36">
        <f t="shared" si="206"/>
        <v>5.5555555555555552E-2</v>
      </c>
      <c r="AK585" s="17">
        <v>6</v>
      </c>
      <c r="AL585" s="36">
        <f t="shared" si="196"/>
        <v>1.1111111111111112E-2</v>
      </c>
      <c r="AM585" s="17">
        <v>1</v>
      </c>
      <c r="AN585" s="36">
        <f t="shared" si="207"/>
        <v>4.2735042735042739E-3</v>
      </c>
      <c r="AO585" s="17">
        <v>540</v>
      </c>
      <c r="AP585" s="17">
        <v>234</v>
      </c>
    </row>
    <row r="586" spans="1:42" ht="15.75" customHeight="1" x14ac:dyDescent="0.25">
      <c r="A586" s="37">
        <v>2020</v>
      </c>
      <c r="B586" s="35">
        <v>170382</v>
      </c>
      <c r="C586" s="34" t="s">
        <v>145</v>
      </c>
      <c r="D586" s="34" t="s">
        <v>33</v>
      </c>
      <c r="E586" s="17">
        <v>1</v>
      </c>
      <c r="F586" s="36">
        <f t="shared" si="197"/>
        <v>1.3333333333333334E-2</v>
      </c>
      <c r="G586" s="17">
        <v>1</v>
      </c>
      <c r="H586" s="36">
        <f t="shared" si="198"/>
        <v>1.4084507042253521E-2</v>
      </c>
      <c r="I586" s="17">
        <v>3</v>
      </c>
      <c r="J586" s="36">
        <f t="shared" si="199"/>
        <v>0.04</v>
      </c>
      <c r="K586" s="17">
        <v>2</v>
      </c>
      <c r="L586" s="36">
        <f t="shared" si="200"/>
        <v>2.8169014084507043E-2</v>
      </c>
      <c r="M586" s="17">
        <v>71</v>
      </c>
      <c r="N586" s="36">
        <f t="shared" si="190"/>
        <v>0.94666666666666666</v>
      </c>
      <c r="O586" s="17">
        <v>68</v>
      </c>
      <c r="P586" s="36">
        <f t="shared" si="201"/>
        <v>0.95774647887323938</v>
      </c>
      <c r="Q586" s="17">
        <v>3</v>
      </c>
      <c r="R586" s="36">
        <f t="shared" si="191"/>
        <v>0.04</v>
      </c>
      <c r="S586" s="17">
        <v>3</v>
      </c>
      <c r="T586" s="36">
        <f t="shared" si="202"/>
        <v>4.2253521126760563E-2</v>
      </c>
      <c r="U586" s="17">
        <v>5</v>
      </c>
      <c r="V586" s="36">
        <f t="shared" si="192"/>
        <v>6.6666666666666666E-2</v>
      </c>
      <c r="W586" s="17">
        <v>5</v>
      </c>
      <c r="X586" s="36">
        <f t="shared" si="203"/>
        <v>7.0422535211267609E-2</v>
      </c>
      <c r="Y586" s="17">
        <v>51</v>
      </c>
      <c r="Z586" s="36">
        <f t="shared" si="193"/>
        <v>0.68</v>
      </c>
      <c r="AA586" s="17">
        <v>49</v>
      </c>
      <c r="AB586" s="36">
        <f t="shared" si="204"/>
        <v>0.6901408450704225</v>
      </c>
      <c r="AC586" s="17">
        <v>11</v>
      </c>
      <c r="AD586" s="36">
        <f t="shared" si="194"/>
        <v>0.14666666666666667</v>
      </c>
      <c r="AE586" s="17">
        <v>9</v>
      </c>
      <c r="AF586" s="36">
        <f t="shared" si="205"/>
        <v>0.12676056338028169</v>
      </c>
      <c r="AG586" s="17">
        <v>3</v>
      </c>
      <c r="AH586" s="36">
        <f t="shared" si="195"/>
        <v>0.04</v>
      </c>
      <c r="AI586" s="17">
        <v>3</v>
      </c>
      <c r="AJ586" s="36">
        <f t="shared" si="206"/>
        <v>4.2253521126760563E-2</v>
      </c>
      <c r="AK586" s="17">
        <v>2</v>
      </c>
      <c r="AL586" s="36">
        <f t="shared" si="196"/>
        <v>2.6666666666666668E-2</v>
      </c>
      <c r="AM586" s="17">
        <v>2</v>
      </c>
      <c r="AN586" s="36">
        <f t="shared" si="207"/>
        <v>2.8169014084507043E-2</v>
      </c>
      <c r="AO586" s="17">
        <v>75</v>
      </c>
      <c r="AP586" s="17">
        <v>71</v>
      </c>
    </row>
    <row r="587" spans="1:42" ht="15.75" customHeight="1" x14ac:dyDescent="0.25">
      <c r="A587" s="37">
        <v>2020</v>
      </c>
      <c r="B587" s="35">
        <v>170384</v>
      </c>
      <c r="C587" s="34" t="s">
        <v>149</v>
      </c>
      <c r="D587" s="34" t="s">
        <v>34</v>
      </c>
      <c r="E587" s="17">
        <v>7</v>
      </c>
      <c r="F587" s="36">
        <f t="shared" si="197"/>
        <v>1.5452538631346579E-2</v>
      </c>
      <c r="G587" s="17">
        <v>3</v>
      </c>
      <c r="H587" s="36">
        <f t="shared" si="198"/>
        <v>0.01</v>
      </c>
      <c r="I587" s="17">
        <v>57</v>
      </c>
      <c r="J587" s="36">
        <f t="shared" si="199"/>
        <v>0.12582781456953643</v>
      </c>
      <c r="K587" s="17">
        <v>36</v>
      </c>
      <c r="L587" s="36">
        <f t="shared" si="200"/>
        <v>0.12</v>
      </c>
      <c r="M587" s="17">
        <v>389</v>
      </c>
      <c r="N587" s="36">
        <f t="shared" si="190"/>
        <v>0.85871964679911694</v>
      </c>
      <c r="O587" s="17">
        <v>261</v>
      </c>
      <c r="P587" s="36">
        <f t="shared" si="201"/>
        <v>0.87</v>
      </c>
      <c r="Q587" s="17">
        <v>3</v>
      </c>
      <c r="R587" s="36">
        <f t="shared" si="191"/>
        <v>6.6225165562913907E-3</v>
      </c>
      <c r="S587" s="17">
        <v>1</v>
      </c>
      <c r="T587" s="36">
        <f t="shared" si="202"/>
        <v>3.3333333333333335E-3</v>
      </c>
      <c r="U587" s="17">
        <v>18</v>
      </c>
      <c r="V587" s="36">
        <f t="shared" si="192"/>
        <v>3.9735099337748346E-2</v>
      </c>
      <c r="W587" s="17">
        <v>13</v>
      </c>
      <c r="X587" s="36">
        <f t="shared" si="203"/>
        <v>4.3333333333333335E-2</v>
      </c>
      <c r="Y587" s="17">
        <v>309</v>
      </c>
      <c r="Z587" s="36">
        <f t="shared" si="193"/>
        <v>0.68211920529801329</v>
      </c>
      <c r="AA587" s="17">
        <v>231</v>
      </c>
      <c r="AB587" s="36">
        <f t="shared" si="204"/>
        <v>0.77</v>
      </c>
      <c r="AC587" s="17">
        <v>82</v>
      </c>
      <c r="AD587" s="36">
        <f t="shared" si="194"/>
        <v>0.18101545253863136</v>
      </c>
      <c r="AE587" s="17">
        <v>33</v>
      </c>
      <c r="AF587" s="36">
        <f t="shared" si="205"/>
        <v>0.11</v>
      </c>
      <c r="AG587" s="17">
        <v>37</v>
      </c>
      <c r="AH587" s="36">
        <f t="shared" si="195"/>
        <v>8.1677704194260486E-2</v>
      </c>
      <c r="AI587" s="17">
        <v>20</v>
      </c>
      <c r="AJ587" s="36">
        <f t="shared" si="206"/>
        <v>6.6666666666666666E-2</v>
      </c>
      <c r="AK587" s="17">
        <v>4</v>
      </c>
      <c r="AL587" s="36">
        <f t="shared" si="196"/>
        <v>8.8300220750551876E-3</v>
      </c>
      <c r="AM587" s="17">
        <v>2</v>
      </c>
      <c r="AN587" s="36">
        <f t="shared" si="207"/>
        <v>6.6666666666666671E-3</v>
      </c>
      <c r="AO587" s="17">
        <v>453</v>
      </c>
      <c r="AP587" s="17">
        <v>300</v>
      </c>
    </row>
    <row r="588" spans="1:42" ht="15.75" customHeight="1" x14ac:dyDescent="0.25">
      <c r="A588" s="37">
        <v>2020</v>
      </c>
      <c r="B588" s="35">
        <v>170386</v>
      </c>
      <c r="C588" s="34" t="s">
        <v>146</v>
      </c>
      <c r="D588" s="34" t="s">
        <v>35</v>
      </c>
      <c r="E588" s="17">
        <v>7</v>
      </c>
      <c r="F588" s="36">
        <f t="shared" si="197"/>
        <v>6.8627450980392163E-2</v>
      </c>
      <c r="G588" s="17">
        <v>7</v>
      </c>
      <c r="H588" s="36">
        <f t="shared" si="198"/>
        <v>0.13461538461538461</v>
      </c>
      <c r="I588" s="17">
        <v>5</v>
      </c>
      <c r="J588" s="36">
        <f t="shared" si="199"/>
        <v>4.9019607843137254E-2</v>
      </c>
      <c r="K588" s="17">
        <v>2</v>
      </c>
      <c r="L588" s="36">
        <f t="shared" si="200"/>
        <v>3.8461538461538464E-2</v>
      </c>
      <c r="M588" s="17">
        <v>90</v>
      </c>
      <c r="N588" s="36">
        <f t="shared" si="190"/>
        <v>0.88235294117647056</v>
      </c>
      <c r="O588" s="17">
        <v>43</v>
      </c>
      <c r="P588" s="36">
        <f t="shared" si="201"/>
        <v>0.82692307692307687</v>
      </c>
      <c r="Q588" s="17">
        <v>5</v>
      </c>
      <c r="R588" s="36">
        <f t="shared" si="191"/>
        <v>4.9019607843137254E-2</v>
      </c>
      <c r="S588" s="17">
        <v>4</v>
      </c>
      <c r="T588" s="36">
        <f t="shared" si="202"/>
        <v>7.6923076923076927E-2</v>
      </c>
      <c r="U588" s="17">
        <v>3</v>
      </c>
      <c r="V588" s="36">
        <f t="shared" si="192"/>
        <v>2.9411764705882353E-2</v>
      </c>
      <c r="W588" s="17">
        <v>1</v>
      </c>
      <c r="X588" s="36">
        <f t="shared" si="203"/>
        <v>1.9230769230769232E-2</v>
      </c>
      <c r="Y588" s="17">
        <v>58</v>
      </c>
      <c r="Z588" s="36">
        <f t="shared" si="193"/>
        <v>0.56862745098039214</v>
      </c>
      <c r="AA588" s="17">
        <v>31</v>
      </c>
      <c r="AB588" s="36">
        <f t="shared" si="204"/>
        <v>0.59615384615384615</v>
      </c>
      <c r="AC588" s="17">
        <v>21</v>
      </c>
      <c r="AD588" s="36">
        <f t="shared" si="194"/>
        <v>0.20588235294117646</v>
      </c>
      <c r="AE588" s="17">
        <v>10</v>
      </c>
      <c r="AF588" s="36">
        <f t="shared" si="205"/>
        <v>0.19230769230769232</v>
      </c>
      <c r="AG588" s="17">
        <v>11</v>
      </c>
      <c r="AH588" s="36">
        <f t="shared" si="195"/>
        <v>0.10784313725490197</v>
      </c>
      <c r="AI588" s="17">
        <v>5</v>
      </c>
      <c r="AJ588" s="36">
        <f t="shared" si="206"/>
        <v>9.6153846153846159E-2</v>
      </c>
      <c r="AK588" s="17">
        <v>4</v>
      </c>
      <c r="AL588" s="36">
        <f t="shared" si="196"/>
        <v>3.9215686274509803E-2</v>
      </c>
      <c r="AM588" s="17">
        <v>1</v>
      </c>
      <c r="AN588" s="36">
        <f t="shared" si="207"/>
        <v>1.9230769230769232E-2</v>
      </c>
      <c r="AO588" s="17">
        <v>102</v>
      </c>
      <c r="AP588" s="17">
        <v>52</v>
      </c>
    </row>
    <row r="589" spans="1:42" ht="15.75" customHeight="1" x14ac:dyDescent="0.25">
      <c r="A589" s="37">
        <v>2020</v>
      </c>
      <c r="B589" s="35">
        <v>170388</v>
      </c>
      <c r="C589" s="34" t="s">
        <v>149</v>
      </c>
      <c r="D589" s="34" t="s">
        <v>36</v>
      </c>
      <c r="E589" s="17">
        <v>0</v>
      </c>
      <c r="F589" s="36">
        <f t="shared" si="197"/>
        <v>0</v>
      </c>
      <c r="G589" s="17">
        <v>0</v>
      </c>
      <c r="H589" s="36">
        <f t="shared" si="198"/>
        <v>0</v>
      </c>
      <c r="I589" s="17">
        <v>0</v>
      </c>
      <c r="J589" s="36">
        <f t="shared" si="199"/>
        <v>0</v>
      </c>
      <c r="K589" s="17">
        <v>0</v>
      </c>
      <c r="L589" s="36">
        <f t="shared" si="200"/>
        <v>0</v>
      </c>
      <c r="M589" s="17">
        <v>2</v>
      </c>
      <c r="N589" s="36">
        <f t="shared" si="190"/>
        <v>1</v>
      </c>
      <c r="O589" s="17">
        <v>0</v>
      </c>
      <c r="P589" s="36">
        <f t="shared" si="201"/>
        <v>0</v>
      </c>
      <c r="Q589" s="17">
        <v>0</v>
      </c>
      <c r="R589" s="36">
        <f t="shared" si="191"/>
        <v>0</v>
      </c>
      <c r="S589" s="17">
        <v>0</v>
      </c>
      <c r="T589" s="36">
        <f t="shared" si="202"/>
        <v>0</v>
      </c>
      <c r="U589" s="17">
        <v>0</v>
      </c>
      <c r="V589" s="36">
        <f t="shared" si="192"/>
        <v>0</v>
      </c>
      <c r="W589" s="17">
        <v>0</v>
      </c>
      <c r="X589" s="36">
        <f t="shared" si="203"/>
        <v>0</v>
      </c>
      <c r="Y589" s="17">
        <v>2</v>
      </c>
      <c r="Z589" s="36">
        <f t="shared" si="193"/>
        <v>1</v>
      </c>
      <c r="AA589" s="17">
        <v>0</v>
      </c>
      <c r="AB589" s="36">
        <f t="shared" si="204"/>
        <v>0</v>
      </c>
      <c r="AC589" s="17">
        <v>0</v>
      </c>
      <c r="AD589" s="36">
        <f t="shared" si="194"/>
        <v>0</v>
      </c>
      <c r="AE589" s="17">
        <v>0</v>
      </c>
      <c r="AF589" s="36">
        <f t="shared" si="205"/>
        <v>0</v>
      </c>
      <c r="AG589" s="17">
        <v>0</v>
      </c>
      <c r="AH589" s="36">
        <f t="shared" si="195"/>
        <v>0</v>
      </c>
      <c r="AI589" s="17">
        <v>0</v>
      </c>
      <c r="AJ589" s="36">
        <f t="shared" si="206"/>
        <v>0</v>
      </c>
      <c r="AK589" s="17">
        <v>0</v>
      </c>
      <c r="AL589" s="36">
        <f t="shared" si="196"/>
        <v>0</v>
      </c>
      <c r="AM589" s="17">
        <v>0</v>
      </c>
      <c r="AN589" s="36">
        <f t="shared" si="207"/>
        <v>0</v>
      </c>
      <c r="AO589" s="17">
        <v>2</v>
      </c>
      <c r="AP589" s="17">
        <v>0</v>
      </c>
    </row>
    <row r="590" spans="1:42" ht="15.75" customHeight="1" x14ac:dyDescent="0.25">
      <c r="A590" s="37">
        <v>2020</v>
      </c>
      <c r="B590" s="35">
        <v>170389</v>
      </c>
      <c r="C590" s="34" t="s">
        <v>145</v>
      </c>
      <c r="D590" s="34" t="s">
        <v>37</v>
      </c>
      <c r="E590" s="17">
        <v>1</v>
      </c>
      <c r="F590" s="36">
        <f t="shared" si="197"/>
        <v>1.0416666666666666E-2</v>
      </c>
      <c r="G590" s="17">
        <v>0</v>
      </c>
      <c r="H590" s="36">
        <f t="shared" si="198"/>
        <v>0</v>
      </c>
      <c r="I590" s="17">
        <v>18</v>
      </c>
      <c r="J590" s="36">
        <f t="shared" si="199"/>
        <v>0.1875</v>
      </c>
      <c r="K590" s="17">
        <v>12</v>
      </c>
      <c r="L590" s="36">
        <f t="shared" si="200"/>
        <v>0.1875</v>
      </c>
      <c r="M590" s="17">
        <v>77</v>
      </c>
      <c r="N590" s="36">
        <f t="shared" si="190"/>
        <v>0.80208333333333337</v>
      </c>
      <c r="O590" s="17">
        <v>52</v>
      </c>
      <c r="P590" s="36">
        <f t="shared" si="201"/>
        <v>0.8125</v>
      </c>
      <c r="Q590" s="17">
        <v>2</v>
      </c>
      <c r="R590" s="36">
        <f t="shared" si="191"/>
        <v>2.0833333333333332E-2</v>
      </c>
      <c r="S590" s="17">
        <v>1</v>
      </c>
      <c r="T590" s="36">
        <f t="shared" si="202"/>
        <v>1.5625E-2</v>
      </c>
      <c r="U590" s="17">
        <v>3</v>
      </c>
      <c r="V590" s="36">
        <f t="shared" si="192"/>
        <v>3.125E-2</v>
      </c>
      <c r="W590" s="17">
        <v>2</v>
      </c>
      <c r="X590" s="36">
        <f t="shared" si="203"/>
        <v>3.125E-2</v>
      </c>
      <c r="Y590" s="17">
        <v>68</v>
      </c>
      <c r="Z590" s="36">
        <f t="shared" si="193"/>
        <v>0.70833333333333337</v>
      </c>
      <c r="AA590" s="17">
        <v>46</v>
      </c>
      <c r="AB590" s="36">
        <f t="shared" si="204"/>
        <v>0.71875</v>
      </c>
      <c r="AC590" s="17">
        <v>17</v>
      </c>
      <c r="AD590" s="36">
        <f t="shared" si="194"/>
        <v>0.17708333333333334</v>
      </c>
      <c r="AE590" s="17">
        <v>11</v>
      </c>
      <c r="AF590" s="36">
        <f t="shared" si="205"/>
        <v>0.171875</v>
      </c>
      <c r="AG590" s="17">
        <v>6</v>
      </c>
      <c r="AH590" s="36">
        <f t="shared" si="195"/>
        <v>6.25E-2</v>
      </c>
      <c r="AI590" s="17">
        <v>4</v>
      </c>
      <c r="AJ590" s="36">
        <f t="shared" si="206"/>
        <v>6.25E-2</v>
      </c>
      <c r="AK590" s="17">
        <v>0</v>
      </c>
      <c r="AL590" s="36">
        <f t="shared" si="196"/>
        <v>0</v>
      </c>
      <c r="AM590" s="17">
        <v>0</v>
      </c>
      <c r="AN590" s="36">
        <f t="shared" si="207"/>
        <v>0</v>
      </c>
      <c r="AO590" s="17">
        <v>96</v>
      </c>
      <c r="AP590" s="17">
        <v>64</v>
      </c>
    </row>
    <row r="591" spans="1:42" ht="15.75" customHeight="1" x14ac:dyDescent="0.25">
      <c r="A591" s="37">
        <v>2020</v>
      </c>
      <c r="B591" s="35">
        <v>170390</v>
      </c>
      <c r="C591" s="34" t="s">
        <v>144</v>
      </c>
      <c r="D591" s="34" t="s">
        <v>38</v>
      </c>
      <c r="E591" s="17">
        <v>0</v>
      </c>
      <c r="F591" s="36">
        <f t="shared" si="197"/>
        <v>0</v>
      </c>
      <c r="G591" s="17">
        <v>0</v>
      </c>
      <c r="H591" s="36">
        <f t="shared" si="198"/>
        <v>0</v>
      </c>
      <c r="I591" s="17">
        <v>6</v>
      </c>
      <c r="J591" s="36">
        <f t="shared" si="199"/>
        <v>8.2191780821917804E-2</v>
      </c>
      <c r="K591" s="17">
        <v>2</v>
      </c>
      <c r="L591" s="36">
        <f t="shared" si="200"/>
        <v>0.2</v>
      </c>
      <c r="M591" s="17">
        <v>67</v>
      </c>
      <c r="N591" s="36">
        <f t="shared" si="190"/>
        <v>0.9178082191780822</v>
      </c>
      <c r="O591" s="17">
        <v>8</v>
      </c>
      <c r="P591" s="36">
        <f t="shared" si="201"/>
        <v>0.8</v>
      </c>
      <c r="Q591" s="17">
        <v>1</v>
      </c>
      <c r="R591" s="36">
        <f t="shared" si="191"/>
        <v>1.3698630136986301E-2</v>
      </c>
      <c r="S591" s="17">
        <v>0</v>
      </c>
      <c r="T591" s="36">
        <f t="shared" si="202"/>
        <v>0</v>
      </c>
      <c r="U591" s="17">
        <v>3</v>
      </c>
      <c r="V591" s="36">
        <f t="shared" si="192"/>
        <v>4.1095890410958902E-2</v>
      </c>
      <c r="W591" s="17">
        <v>1</v>
      </c>
      <c r="X591" s="36">
        <f t="shared" si="203"/>
        <v>0.1</v>
      </c>
      <c r="Y591" s="17">
        <v>47</v>
      </c>
      <c r="Z591" s="36">
        <f t="shared" si="193"/>
        <v>0.64383561643835618</v>
      </c>
      <c r="AA591" s="17">
        <v>5</v>
      </c>
      <c r="AB591" s="36">
        <f t="shared" si="204"/>
        <v>0.5</v>
      </c>
      <c r="AC591" s="17">
        <v>12</v>
      </c>
      <c r="AD591" s="36">
        <f t="shared" si="194"/>
        <v>0.16438356164383561</v>
      </c>
      <c r="AE591" s="17">
        <v>3</v>
      </c>
      <c r="AF591" s="36">
        <f t="shared" si="205"/>
        <v>0.3</v>
      </c>
      <c r="AG591" s="17">
        <v>8</v>
      </c>
      <c r="AH591" s="36">
        <f t="shared" si="195"/>
        <v>0.1095890410958904</v>
      </c>
      <c r="AI591" s="17">
        <v>1</v>
      </c>
      <c r="AJ591" s="36">
        <f t="shared" si="206"/>
        <v>0.1</v>
      </c>
      <c r="AK591" s="17">
        <v>2</v>
      </c>
      <c r="AL591" s="36">
        <f t="shared" si="196"/>
        <v>2.7397260273972601E-2</v>
      </c>
      <c r="AM591" s="17">
        <v>0</v>
      </c>
      <c r="AN591" s="36">
        <f t="shared" si="207"/>
        <v>0</v>
      </c>
      <c r="AO591" s="17">
        <v>73</v>
      </c>
      <c r="AP591" s="17">
        <v>10</v>
      </c>
    </row>
    <row r="592" spans="1:42" ht="15.75" customHeight="1" x14ac:dyDescent="0.25">
      <c r="A592" s="37">
        <v>2020</v>
      </c>
      <c r="B592" s="35">
        <v>170410</v>
      </c>
      <c r="C592" s="34" t="s">
        <v>150</v>
      </c>
      <c r="D592" s="34" t="s">
        <v>39</v>
      </c>
      <c r="E592" s="17">
        <v>0</v>
      </c>
      <c r="F592" s="36">
        <f t="shared" si="197"/>
        <v>0</v>
      </c>
      <c r="G592" s="17">
        <v>0</v>
      </c>
      <c r="H592" s="36">
        <f t="shared" si="198"/>
        <v>0</v>
      </c>
      <c r="I592" s="17">
        <v>11</v>
      </c>
      <c r="J592" s="36">
        <f t="shared" si="199"/>
        <v>0.11578947368421053</v>
      </c>
      <c r="K592" s="17">
        <v>9</v>
      </c>
      <c r="L592" s="36">
        <f t="shared" si="200"/>
        <v>0.10465116279069768</v>
      </c>
      <c r="M592" s="17">
        <v>84</v>
      </c>
      <c r="N592" s="36">
        <f t="shared" si="190"/>
        <v>0.88421052631578945</v>
      </c>
      <c r="O592" s="17">
        <v>77</v>
      </c>
      <c r="P592" s="36">
        <f t="shared" si="201"/>
        <v>0.89534883720930236</v>
      </c>
      <c r="Q592" s="17">
        <v>1</v>
      </c>
      <c r="R592" s="36">
        <f t="shared" si="191"/>
        <v>1.0526315789473684E-2</v>
      </c>
      <c r="S592" s="17">
        <v>1</v>
      </c>
      <c r="T592" s="36">
        <f t="shared" si="202"/>
        <v>1.1627906976744186E-2</v>
      </c>
      <c r="U592" s="17">
        <v>1</v>
      </c>
      <c r="V592" s="36">
        <f t="shared" si="192"/>
        <v>1.0526315789473684E-2</v>
      </c>
      <c r="W592" s="17">
        <v>1</v>
      </c>
      <c r="X592" s="36">
        <f t="shared" si="203"/>
        <v>1.1627906976744186E-2</v>
      </c>
      <c r="Y592" s="17">
        <v>69</v>
      </c>
      <c r="Z592" s="36">
        <f t="shared" si="193"/>
        <v>0.72631578947368425</v>
      </c>
      <c r="AA592" s="17">
        <v>64</v>
      </c>
      <c r="AB592" s="36">
        <f t="shared" si="204"/>
        <v>0.7441860465116279</v>
      </c>
      <c r="AC592" s="17">
        <v>14</v>
      </c>
      <c r="AD592" s="36">
        <f t="shared" si="194"/>
        <v>0.14736842105263157</v>
      </c>
      <c r="AE592" s="17">
        <v>11</v>
      </c>
      <c r="AF592" s="36">
        <f t="shared" si="205"/>
        <v>0.12790697674418605</v>
      </c>
      <c r="AG592" s="17">
        <v>8</v>
      </c>
      <c r="AH592" s="36">
        <f t="shared" si="195"/>
        <v>8.4210526315789472E-2</v>
      </c>
      <c r="AI592" s="17">
        <v>8</v>
      </c>
      <c r="AJ592" s="36">
        <f t="shared" si="206"/>
        <v>9.3023255813953487E-2</v>
      </c>
      <c r="AK592" s="17">
        <v>2</v>
      </c>
      <c r="AL592" s="36">
        <f t="shared" si="196"/>
        <v>2.1052631578947368E-2</v>
      </c>
      <c r="AM592" s="17">
        <v>1</v>
      </c>
      <c r="AN592" s="36">
        <f t="shared" si="207"/>
        <v>1.1627906976744186E-2</v>
      </c>
      <c r="AO592" s="17">
        <v>95</v>
      </c>
      <c r="AP592" s="17">
        <v>86</v>
      </c>
    </row>
    <row r="593" spans="1:42" ht="15.75" customHeight="1" x14ac:dyDescent="0.25">
      <c r="A593" s="37">
        <v>2020</v>
      </c>
      <c r="B593" s="35">
        <v>170510</v>
      </c>
      <c r="C593" s="34" t="s">
        <v>151</v>
      </c>
      <c r="D593" s="34" t="s">
        <v>40</v>
      </c>
      <c r="E593" s="17">
        <v>2</v>
      </c>
      <c r="F593" s="36">
        <f t="shared" si="197"/>
        <v>1.5151515151515152E-2</v>
      </c>
      <c r="G593" s="17">
        <v>0</v>
      </c>
      <c r="H593" s="36">
        <f t="shared" si="198"/>
        <v>0</v>
      </c>
      <c r="I593" s="17">
        <v>3</v>
      </c>
      <c r="J593" s="36">
        <f t="shared" si="199"/>
        <v>2.2727272727272728E-2</v>
      </c>
      <c r="K593" s="17">
        <v>0</v>
      </c>
      <c r="L593" s="36">
        <f t="shared" si="200"/>
        <v>0</v>
      </c>
      <c r="M593" s="17">
        <v>127</v>
      </c>
      <c r="N593" s="36">
        <f t="shared" si="190"/>
        <v>0.96212121212121215</v>
      </c>
      <c r="O593" s="17">
        <v>19</v>
      </c>
      <c r="P593" s="36">
        <f t="shared" si="201"/>
        <v>1</v>
      </c>
      <c r="Q593" s="17">
        <v>2</v>
      </c>
      <c r="R593" s="36">
        <f t="shared" si="191"/>
        <v>1.5151515151515152E-2</v>
      </c>
      <c r="S593" s="17">
        <v>0</v>
      </c>
      <c r="T593" s="36">
        <f t="shared" si="202"/>
        <v>0</v>
      </c>
      <c r="U593" s="17">
        <v>4</v>
      </c>
      <c r="V593" s="36">
        <f t="shared" si="192"/>
        <v>3.0303030303030304E-2</v>
      </c>
      <c r="W593" s="17">
        <v>0</v>
      </c>
      <c r="X593" s="36">
        <f t="shared" si="203"/>
        <v>0</v>
      </c>
      <c r="Y593" s="17">
        <v>88</v>
      </c>
      <c r="Z593" s="36">
        <f t="shared" si="193"/>
        <v>0.66666666666666663</v>
      </c>
      <c r="AA593" s="17">
        <v>13</v>
      </c>
      <c r="AB593" s="36">
        <f t="shared" si="204"/>
        <v>0.68421052631578949</v>
      </c>
      <c r="AC593" s="17">
        <v>22</v>
      </c>
      <c r="AD593" s="36">
        <f t="shared" si="194"/>
        <v>0.16666666666666666</v>
      </c>
      <c r="AE593" s="17">
        <v>4</v>
      </c>
      <c r="AF593" s="36">
        <f t="shared" si="205"/>
        <v>0.21052631578947367</v>
      </c>
      <c r="AG593" s="17">
        <v>12</v>
      </c>
      <c r="AH593" s="36">
        <f t="shared" si="195"/>
        <v>9.0909090909090912E-2</v>
      </c>
      <c r="AI593" s="17">
        <v>2</v>
      </c>
      <c r="AJ593" s="36">
        <f t="shared" si="206"/>
        <v>0.10526315789473684</v>
      </c>
      <c r="AK593" s="17">
        <v>4</v>
      </c>
      <c r="AL593" s="36">
        <f t="shared" si="196"/>
        <v>3.0303030303030304E-2</v>
      </c>
      <c r="AM593" s="17">
        <v>0</v>
      </c>
      <c r="AN593" s="36">
        <f t="shared" si="207"/>
        <v>0</v>
      </c>
      <c r="AO593" s="17">
        <v>132</v>
      </c>
      <c r="AP593" s="17">
        <v>19</v>
      </c>
    </row>
    <row r="594" spans="1:42" ht="15.75" customHeight="1" x14ac:dyDescent="0.25">
      <c r="A594" s="37">
        <v>2020</v>
      </c>
      <c r="B594" s="35">
        <v>170460</v>
      </c>
      <c r="C594" s="34" t="s">
        <v>144</v>
      </c>
      <c r="D594" s="34" t="s">
        <v>41</v>
      </c>
      <c r="E594" s="17">
        <v>1</v>
      </c>
      <c r="F594" s="36">
        <f t="shared" si="197"/>
        <v>1.6129032258064516E-2</v>
      </c>
      <c r="G594" s="17">
        <v>1</v>
      </c>
      <c r="H594" s="36">
        <f t="shared" si="198"/>
        <v>1.7857142857142856E-2</v>
      </c>
      <c r="I594" s="17">
        <v>1</v>
      </c>
      <c r="J594" s="36">
        <f t="shared" si="199"/>
        <v>1.6129032258064516E-2</v>
      </c>
      <c r="K594" s="17">
        <v>1</v>
      </c>
      <c r="L594" s="36">
        <f t="shared" si="200"/>
        <v>1.7857142857142856E-2</v>
      </c>
      <c r="M594" s="17">
        <v>60</v>
      </c>
      <c r="N594" s="36">
        <f t="shared" si="190"/>
        <v>0.967741935483871</v>
      </c>
      <c r="O594" s="17">
        <v>54</v>
      </c>
      <c r="P594" s="36">
        <f t="shared" si="201"/>
        <v>0.9642857142857143</v>
      </c>
      <c r="Q594" s="17">
        <v>1</v>
      </c>
      <c r="R594" s="36">
        <f t="shared" si="191"/>
        <v>1.6129032258064516E-2</v>
      </c>
      <c r="S594" s="17">
        <v>1</v>
      </c>
      <c r="T594" s="36">
        <f t="shared" si="202"/>
        <v>1.7857142857142856E-2</v>
      </c>
      <c r="U594" s="17">
        <v>1</v>
      </c>
      <c r="V594" s="36">
        <f t="shared" si="192"/>
        <v>1.6129032258064516E-2</v>
      </c>
      <c r="W594" s="17">
        <v>1</v>
      </c>
      <c r="X594" s="36">
        <f t="shared" si="203"/>
        <v>1.7857142857142856E-2</v>
      </c>
      <c r="Y594" s="17">
        <v>46</v>
      </c>
      <c r="Z594" s="36">
        <f t="shared" si="193"/>
        <v>0.74193548387096775</v>
      </c>
      <c r="AA594" s="17">
        <v>43</v>
      </c>
      <c r="AB594" s="36">
        <f t="shared" si="204"/>
        <v>0.7678571428571429</v>
      </c>
      <c r="AC594" s="17">
        <v>9</v>
      </c>
      <c r="AD594" s="36">
        <f t="shared" si="194"/>
        <v>0.14516129032258066</v>
      </c>
      <c r="AE594" s="17">
        <v>9</v>
      </c>
      <c r="AF594" s="36">
        <f t="shared" si="205"/>
        <v>0.16071428571428573</v>
      </c>
      <c r="AG594" s="17">
        <v>5</v>
      </c>
      <c r="AH594" s="36">
        <f t="shared" si="195"/>
        <v>8.0645161290322578E-2</v>
      </c>
      <c r="AI594" s="17">
        <v>2</v>
      </c>
      <c r="AJ594" s="36">
        <f t="shared" si="206"/>
        <v>3.5714285714285712E-2</v>
      </c>
      <c r="AK594" s="17">
        <v>0</v>
      </c>
      <c r="AL594" s="36">
        <f t="shared" si="196"/>
        <v>0</v>
      </c>
      <c r="AM594" s="17">
        <v>0</v>
      </c>
      <c r="AN594" s="36">
        <f t="shared" si="207"/>
        <v>0</v>
      </c>
      <c r="AO594" s="17">
        <v>62</v>
      </c>
      <c r="AP594" s="17">
        <v>56</v>
      </c>
    </row>
    <row r="595" spans="1:42" ht="15.75" customHeight="1" x14ac:dyDescent="0.25">
      <c r="A595" s="37">
        <v>2020</v>
      </c>
      <c r="B595" s="35">
        <v>170550</v>
      </c>
      <c r="C595" s="34" t="s">
        <v>150</v>
      </c>
      <c r="D595" s="34" t="s">
        <v>42</v>
      </c>
      <c r="E595" s="17">
        <v>9</v>
      </c>
      <c r="F595" s="36">
        <f t="shared" si="197"/>
        <v>1.5100671140939598E-2</v>
      </c>
      <c r="G595" s="17">
        <v>6</v>
      </c>
      <c r="H595" s="36">
        <f t="shared" si="198"/>
        <v>1.9047619047619049E-2</v>
      </c>
      <c r="I595" s="17">
        <v>31</v>
      </c>
      <c r="J595" s="36">
        <f t="shared" si="199"/>
        <v>5.2013422818791948E-2</v>
      </c>
      <c r="K595" s="17">
        <v>17</v>
      </c>
      <c r="L595" s="36">
        <f t="shared" si="200"/>
        <v>5.3968253968253971E-2</v>
      </c>
      <c r="M595" s="17">
        <v>556</v>
      </c>
      <c r="N595" s="36">
        <f t="shared" si="190"/>
        <v>0.93288590604026844</v>
      </c>
      <c r="O595" s="17">
        <v>292</v>
      </c>
      <c r="P595" s="36">
        <f t="shared" si="201"/>
        <v>0.92698412698412702</v>
      </c>
      <c r="Q595" s="17">
        <v>2</v>
      </c>
      <c r="R595" s="36">
        <f t="shared" si="191"/>
        <v>3.3557046979865771E-3</v>
      </c>
      <c r="S595" s="17">
        <v>1</v>
      </c>
      <c r="T595" s="36">
        <f t="shared" si="202"/>
        <v>3.1746031746031746E-3</v>
      </c>
      <c r="U595" s="17">
        <v>17</v>
      </c>
      <c r="V595" s="36">
        <f t="shared" si="192"/>
        <v>2.8523489932885907E-2</v>
      </c>
      <c r="W595" s="17">
        <v>12</v>
      </c>
      <c r="X595" s="36">
        <f t="shared" si="203"/>
        <v>3.8095238095238099E-2</v>
      </c>
      <c r="Y595" s="17">
        <v>392</v>
      </c>
      <c r="Z595" s="36">
        <f t="shared" si="193"/>
        <v>0.65771812080536918</v>
      </c>
      <c r="AA595" s="17">
        <v>217</v>
      </c>
      <c r="AB595" s="36">
        <f t="shared" si="204"/>
        <v>0.68888888888888888</v>
      </c>
      <c r="AC595" s="17">
        <v>124</v>
      </c>
      <c r="AD595" s="36">
        <f t="shared" si="194"/>
        <v>0.20805369127516779</v>
      </c>
      <c r="AE595" s="17">
        <v>57</v>
      </c>
      <c r="AF595" s="36">
        <f t="shared" si="205"/>
        <v>0.18095238095238095</v>
      </c>
      <c r="AG595" s="17">
        <v>47</v>
      </c>
      <c r="AH595" s="36">
        <f t="shared" si="195"/>
        <v>7.8859060402684561E-2</v>
      </c>
      <c r="AI595" s="17">
        <v>20</v>
      </c>
      <c r="AJ595" s="36">
        <f t="shared" si="206"/>
        <v>6.3492063492063489E-2</v>
      </c>
      <c r="AK595" s="17">
        <v>14</v>
      </c>
      <c r="AL595" s="36">
        <f t="shared" si="196"/>
        <v>2.3489932885906041E-2</v>
      </c>
      <c r="AM595" s="17">
        <v>8</v>
      </c>
      <c r="AN595" s="36">
        <f t="shared" si="207"/>
        <v>2.5396825396825397E-2</v>
      </c>
      <c r="AO595" s="17">
        <v>596</v>
      </c>
      <c r="AP595" s="17">
        <v>315</v>
      </c>
    </row>
    <row r="596" spans="1:42" ht="15.75" customHeight="1" x14ac:dyDescent="0.25">
      <c r="A596" s="37">
        <v>2020</v>
      </c>
      <c r="B596" s="35">
        <v>171670</v>
      </c>
      <c r="C596" s="34" t="s">
        <v>150</v>
      </c>
      <c r="D596" s="34" t="s">
        <v>43</v>
      </c>
      <c r="E596" s="17">
        <v>6</v>
      </c>
      <c r="F596" s="36">
        <f t="shared" si="197"/>
        <v>3.8216560509554139E-2</v>
      </c>
      <c r="G596" s="17">
        <v>5</v>
      </c>
      <c r="H596" s="36">
        <f t="shared" si="198"/>
        <v>0.04</v>
      </c>
      <c r="I596" s="17">
        <v>12</v>
      </c>
      <c r="J596" s="36">
        <f t="shared" si="199"/>
        <v>7.6433121019108277E-2</v>
      </c>
      <c r="K596" s="17">
        <v>9</v>
      </c>
      <c r="L596" s="36">
        <f t="shared" si="200"/>
        <v>7.1999999999999995E-2</v>
      </c>
      <c r="M596" s="17">
        <v>139</v>
      </c>
      <c r="N596" s="36">
        <f t="shared" si="190"/>
        <v>0.88535031847133761</v>
      </c>
      <c r="O596" s="17">
        <v>111</v>
      </c>
      <c r="P596" s="36">
        <f t="shared" si="201"/>
        <v>0.88800000000000001</v>
      </c>
      <c r="Q596" s="17">
        <v>4</v>
      </c>
      <c r="R596" s="36">
        <f t="shared" si="191"/>
        <v>2.5477707006369428E-2</v>
      </c>
      <c r="S596" s="17">
        <v>4</v>
      </c>
      <c r="T596" s="36">
        <f t="shared" si="202"/>
        <v>3.2000000000000001E-2</v>
      </c>
      <c r="U596" s="17">
        <v>4</v>
      </c>
      <c r="V596" s="36">
        <f t="shared" si="192"/>
        <v>2.5477707006369428E-2</v>
      </c>
      <c r="W596" s="17">
        <v>4</v>
      </c>
      <c r="X596" s="36">
        <f t="shared" si="203"/>
        <v>3.2000000000000001E-2</v>
      </c>
      <c r="Y596" s="17">
        <v>98</v>
      </c>
      <c r="Z596" s="36">
        <f t="shared" si="193"/>
        <v>0.62420382165605093</v>
      </c>
      <c r="AA596" s="17">
        <v>84</v>
      </c>
      <c r="AB596" s="36">
        <f t="shared" si="204"/>
        <v>0.67200000000000004</v>
      </c>
      <c r="AC596" s="17">
        <v>35</v>
      </c>
      <c r="AD596" s="36">
        <f t="shared" si="194"/>
        <v>0.22292993630573249</v>
      </c>
      <c r="AE596" s="17">
        <v>19</v>
      </c>
      <c r="AF596" s="36">
        <f t="shared" si="205"/>
        <v>0.152</v>
      </c>
      <c r="AG596" s="17">
        <v>14</v>
      </c>
      <c r="AH596" s="36">
        <f t="shared" si="195"/>
        <v>8.9171974522292988E-2</v>
      </c>
      <c r="AI596" s="17">
        <v>13</v>
      </c>
      <c r="AJ596" s="36">
        <f t="shared" si="206"/>
        <v>0.104</v>
      </c>
      <c r="AK596" s="17">
        <v>2</v>
      </c>
      <c r="AL596" s="36">
        <f t="shared" si="196"/>
        <v>1.2738853503184714E-2</v>
      </c>
      <c r="AM596" s="17">
        <v>1</v>
      </c>
      <c r="AN596" s="36">
        <f t="shared" si="207"/>
        <v>8.0000000000000002E-3</v>
      </c>
      <c r="AO596" s="17">
        <v>157</v>
      </c>
      <c r="AP596" s="17">
        <v>125</v>
      </c>
    </row>
    <row r="597" spans="1:42" ht="15.75" customHeight="1" x14ac:dyDescent="0.25">
      <c r="A597" s="37">
        <v>2020</v>
      </c>
      <c r="B597" s="35">
        <v>170555</v>
      </c>
      <c r="C597" s="34" t="s">
        <v>147</v>
      </c>
      <c r="D597" s="34" t="s">
        <v>44</v>
      </c>
      <c r="E597" s="17">
        <v>8</v>
      </c>
      <c r="F597" s="36">
        <f t="shared" si="197"/>
        <v>3.0418250950570342E-2</v>
      </c>
      <c r="G597" s="17">
        <v>7</v>
      </c>
      <c r="H597" s="36">
        <f t="shared" si="198"/>
        <v>3.5714285714285712E-2</v>
      </c>
      <c r="I597" s="17">
        <v>17</v>
      </c>
      <c r="J597" s="36">
        <f t="shared" si="199"/>
        <v>6.4638783269961975E-2</v>
      </c>
      <c r="K597" s="17">
        <v>17</v>
      </c>
      <c r="L597" s="36">
        <f t="shared" si="200"/>
        <v>8.673469387755102E-2</v>
      </c>
      <c r="M597" s="17">
        <v>238</v>
      </c>
      <c r="N597" s="36">
        <f t="shared" si="190"/>
        <v>0.90494296577946765</v>
      </c>
      <c r="O597" s="17">
        <v>172</v>
      </c>
      <c r="P597" s="36">
        <f t="shared" si="201"/>
        <v>0.87755102040816324</v>
      </c>
      <c r="Q597" s="17">
        <v>3</v>
      </c>
      <c r="R597" s="36">
        <f t="shared" si="191"/>
        <v>1.1406844106463879E-2</v>
      </c>
      <c r="S597" s="17">
        <v>1</v>
      </c>
      <c r="T597" s="36">
        <f t="shared" si="202"/>
        <v>5.1020408163265302E-3</v>
      </c>
      <c r="U597" s="17">
        <v>3</v>
      </c>
      <c r="V597" s="36">
        <f t="shared" si="192"/>
        <v>1.1406844106463879E-2</v>
      </c>
      <c r="W597" s="17">
        <v>3</v>
      </c>
      <c r="X597" s="36">
        <f t="shared" si="203"/>
        <v>1.5306122448979591E-2</v>
      </c>
      <c r="Y597" s="17">
        <v>205</v>
      </c>
      <c r="Z597" s="36">
        <f t="shared" si="193"/>
        <v>0.77946768060836502</v>
      </c>
      <c r="AA597" s="17">
        <v>156</v>
      </c>
      <c r="AB597" s="36">
        <f t="shared" si="204"/>
        <v>0.79591836734693877</v>
      </c>
      <c r="AC597" s="17">
        <v>45</v>
      </c>
      <c r="AD597" s="36">
        <f t="shared" si="194"/>
        <v>0.17110266159695817</v>
      </c>
      <c r="AE597" s="17">
        <v>29</v>
      </c>
      <c r="AF597" s="36">
        <f t="shared" si="205"/>
        <v>0.14795918367346939</v>
      </c>
      <c r="AG597" s="17">
        <v>7</v>
      </c>
      <c r="AH597" s="36">
        <f t="shared" si="195"/>
        <v>2.6615969581749048E-2</v>
      </c>
      <c r="AI597" s="17">
        <v>7</v>
      </c>
      <c r="AJ597" s="36">
        <f t="shared" si="206"/>
        <v>3.5714285714285712E-2</v>
      </c>
      <c r="AK597" s="17">
        <v>0</v>
      </c>
      <c r="AL597" s="36">
        <f t="shared" si="196"/>
        <v>0</v>
      </c>
      <c r="AM597" s="17">
        <v>0</v>
      </c>
      <c r="AN597" s="36">
        <f t="shared" si="207"/>
        <v>0</v>
      </c>
      <c r="AO597" s="17">
        <v>263</v>
      </c>
      <c r="AP597" s="17">
        <v>196</v>
      </c>
    </row>
    <row r="598" spans="1:42" ht="15.75" customHeight="1" x14ac:dyDescent="0.25">
      <c r="A598" s="37">
        <v>2020</v>
      </c>
      <c r="B598" s="35">
        <v>170560</v>
      </c>
      <c r="C598" s="34" t="s">
        <v>147</v>
      </c>
      <c r="D598" s="34" t="s">
        <v>45</v>
      </c>
      <c r="E598" s="17">
        <v>0</v>
      </c>
      <c r="F598" s="36">
        <f t="shared" si="197"/>
        <v>0</v>
      </c>
      <c r="G598" s="17">
        <v>0</v>
      </c>
      <c r="H598" s="36">
        <f t="shared" si="198"/>
        <v>0</v>
      </c>
      <c r="I598" s="17">
        <v>3</v>
      </c>
      <c r="J598" s="36">
        <f t="shared" si="199"/>
        <v>0.06</v>
      </c>
      <c r="K598" s="17">
        <v>0</v>
      </c>
      <c r="L598" s="36">
        <f t="shared" si="200"/>
        <v>0</v>
      </c>
      <c r="M598" s="17">
        <v>47</v>
      </c>
      <c r="N598" s="36">
        <f t="shared" si="190"/>
        <v>0.94</v>
      </c>
      <c r="O598" s="17">
        <v>4</v>
      </c>
      <c r="P598" s="36">
        <f t="shared" si="201"/>
        <v>1</v>
      </c>
      <c r="Q598" s="17">
        <v>2</v>
      </c>
      <c r="R598" s="36">
        <f t="shared" si="191"/>
        <v>0.04</v>
      </c>
      <c r="S598" s="17">
        <v>0</v>
      </c>
      <c r="T598" s="36">
        <f t="shared" si="202"/>
        <v>0</v>
      </c>
      <c r="U598" s="17">
        <v>1</v>
      </c>
      <c r="V598" s="36">
        <f t="shared" si="192"/>
        <v>0.02</v>
      </c>
      <c r="W598" s="17">
        <v>0</v>
      </c>
      <c r="X598" s="36">
        <f t="shared" si="203"/>
        <v>0</v>
      </c>
      <c r="Y598" s="17">
        <v>32</v>
      </c>
      <c r="Z598" s="36">
        <f t="shared" si="193"/>
        <v>0.64</v>
      </c>
      <c r="AA598" s="17">
        <v>3</v>
      </c>
      <c r="AB598" s="36">
        <f t="shared" si="204"/>
        <v>0.75</v>
      </c>
      <c r="AC598" s="17">
        <v>13</v>
      </c>
      <c r="AD598" s="36">
        <f t="shared" si="194"/>
        <v>0.26</v>
      </c>
      <c r="AE598" s="17">
        <v>0</v>
      </c>
      <c r="AF598" s="36">
        <f t="shared" si="205"/>
        <v>0</v>
      </c>
      <c r="AG598" s="17">
        <v>1</v>
      </c>
      <c r="AH598" s="36">
        <f t="shared" si="195"/>
        <v>0.02</v>
      </c>
      <c r="AI598" s="17">
        <v>1</v>
      </c>
      <c r="AJ598" s="36">
        <f t="shared" si="206"/>
        <v>0.25</v>
      </c>
      <c r="AK598" s="17">
        <v>1</v>
      </c>
      <c r="AL598" s="36">
        <f t="shared" si="196"/>
        <v>0.02</v>
      </c>
      <c r="AM598" s="17">
        <v>0</v>
      </c>
      <c r="AN598" s="36">
        <f t="shared" si="207"/>
        <v>0</v>
      </c>
      <c r="AO598" s="17">
        <v>50</v>
      </c>
      <c r="AP598" s="17">
        <v>4</v>
      </c>
    </row>
    <row r="599" spans="1:42" ht="15.75" customHeight="1" x14ac:dyDescent="0.25">
      <c r="A599" s="37">
        <v>2020</v>
      </c>
      <c r="B599" s="35">
        <v>170600</v>
      </c>
      <c r="C599" s="34" t="s">
        <v>150</v>
      </c>
      <c r="D599" s="34" t="s">
        <v>46</v>
      </c>
      <c r="E599" s="17">
        <v>2</v>
      </c>
      <c r="F599" s="36">
        <f t="shared" si="197"/>
        <v>5.4200542005420054E-3</v>
      </c>
      <c r="G599" s="17">
        <v>0</v>
      </c>
      <c r="H599" s="36">
        <f t="shared" si="198"/>
        <v>0</v>
      </c>
      <c r="I599" s="17">
        <v>20</v>
      </c>
      <c r="J599" s="36">
        <f t="shared" si="199"/>
        <v>5.4200542005420058E-2</v>
      </c>
      <c r="K599" s="17">
        <v>3</v>
      </c>
      <c r="L599" s="36">
        <f t="shared" si="200"/>
        <v>2.4590163934426229E-2</v>
      </c>
      <c r="M599" s="17">
        <v>347</v>
      </c>
      <c r="N599" s="36">
        <f t="shared" si="190"/>
        <v>0.94037940379403795</v>
      </c>
      <c r="O599" s="17">
        <v>119</v>
      </c>
      <c r="P599" s="36">
        <f t="shared" si="201"/>
        <v>0.97540983606557374</v>
      </c>
      <c r="Q599" s="17">
        <v>6</v>
      </c>
      <c r="R599" s="36">
        <f t="shared" si="191"/>
        <v>1.6260162601626018E-2</v>
      </c>
      <c r="S599" s="17">
        <v>4</v>
      </c>
      <c r="T599" s="36">
        <f t="shared" si="202"/>
        <v>3.2786885245901641E-2</v>
      </c>
      <c r="U599" s="17">
        <v>22</v>
      </c>
      <c r="V599" s="36">
        <f t="shared" si="192"/>
        <v>5.9620596205962058E-2</v>
      </c>
      <c r="W599" s="17">
        <v>6</v>
      </c>
      <c r="X599" s="36">
        <f t="shared" si="203"/>
        <v>4.9180327868852458E-2</v>
      </c>
      <c r="Y599" s="17">
        <v>256</v>
      </c>
      <c r="Z599" s="36">
        <f t="shared" si="193"/>
        <v>0.69376693766937669</v>
      </c>
      <c r="AA599" s="17">
        <v>84</v>
      </c>
      <c r="AB599" s="36">
        <f t="shared" si="204"/>
        <v>0.68852459016393441</v>
      </c>
      <c r="AC599" s="17">
        <v>56</v>
      </c>
      <c r="AD599" s="36">
        <f t="shared" si="194"/>
        <v>0.15176151761517614</v>
      </c>
      <c r="AE599" s="17">
        <v>16</v>
      </c>
      <c r="AF599" s="36">
        <f t="shared" si="205"/>
        <v>0.13114754098360656</v>
      </c>
      <c r="AG599" s="17">
        <v>26</v>
      </c>
      <c r="AH599" s="36">
        <f t="shared" si="195"/>
        <v>7.0460704607046065E-2</v>
      </c>
      <c r="AI599" s="17">
        <v>11</v>
      </c>
      <c r="AJ599" s="36">
        <f t="shared" si="206"/>
        <v>9.0163934426229511E-2</v>
      </c>
      <c r="AK599" s="17">
        <v>3</v>
      </c>
      <c r="AL599" s="36">
        <f t="shared" si="196"/>
        <v>8.130081300813009E-3</v>
      </c>
      <c r="AM599" s="17">
        <v>1</v>
      </c>
      <c r="AN599" s="36">
        <f t="shared" si="207"/>
        <v>8.1967213114754103E-3</v>
      </c>
      <c r="AO599" s="17">
        <v>369</v>
      </c>
      <c r="AP599" s="17">
        <v>122</v>
      </c>
    </row>
    <row r="600" spans="1:42" ht="15.75" customHeight="1" x14ac:dyDescent="0.25">
      <c r="A600" s="37">
        <v>2020</v>
      </c>
      <c r="B600" s="35">
        <v>170610</v>
      </c>
      <c r="C600" s="34" t="s">
        <v>144</v>
      </c>
      <c r="D600" s="34" t="s">
        <v>47</v>
      </c>
      <c r="E600" s="17">
        <v>3</v>
      </c>
      <c r="F600" s="36">
        <f t="shared" si="197"/>
        <v>1.3157894736842105E-2</v>
      </c>
      <c r="G600" s="17">
        <v>2</v>
      </c>
      <c r="H600" s="36">
        <f t="shared" si="198"/>
        <v>1.0309278350515464E-2</v>
      </c>
      <c r="I600" s="17">
        <v>7</v>
      </c>
      <c r="J600" s="36">
        <f t="shared" si="199"/>
        <v>3.0701754385964911E-2</v>
      </c>
      <c r="K600" s="17">
        <v>6</v>
      </c>
      <c r="L600" s="36">
        <f t="shared" si="200"/>
        <v>3.0927835051546393E-2</v>
      </c>
      <c r="M600" s="17">
        <v>218</v>
      </c>
      <c r="N600" s="36">
        <f t="shared" si="190"/>
        <v>0.95614035087719296</v>
      </c>
      <c r="O600" s="17">
        <v>186</v>
      </c>
      <c r="P600" s="36">
        <f t="shared" si="201"/>
        <v>0.95876288659793818</v>
      </c>
      <c r="Q600" s="17">
        <v>2</v>
      </c>
      <c r="R600" s="36">
        <f t="shared" si="191"/>
        <v>8.771929824561403E-3</v>
      </c>
      <c r="S600" s="17">
        <v>2</v>
      </c>
      <c r="T600" s="36">
        <f t="shared" si="202"/>
        <v>1.0309278350515464E-2</v>
      </c>
      <c r="U600" s="17">
        <v>8</v>
      </c>
      <c r="V600" s="36">
        <f t="shared" si="192"/>
        <v>3.5087719298245612E-2</v>
      </c>
      <c r="W600" s="17">
        <v>7</v>
      </c>
      <c r="X600" s="36">
        <f t="shared" si="203"/>
        <v>3.608247422680412E-2</v>
      </c>
      <c r="Y600" s="17">
        <v>151</v>
      </c>
      <c r="Z600" s="36">
        <f t="shared" si="193"/>
        <v>0.66228070175438591</v>
      </c>
      <c r="AA600" s="17">
        <v>133</v>
      </c>
      <c r="AB600" s="36">
        <f t="shared" si="204"/>
        <v>0.68556701030927836</v>
      </c>
      <c r="AC600" s="17">
        <v>41</v>
      </c>
      <c r="AD600" s="36">
        <f t="shared" si="194"/>
        <v>0.17982456140350878</v>
      </c>
      <c r="AE600" s="17">
        <v>36</v>
      </c>
      <c r="AF600" s="36">
        <f t="shared" si="205"/>
        <v>0.18556701030927836</v>
      </c>
      <c r="AG600" s="17">
        <v>25</v>
      </c>
      <c r="AH600" s="36">
        <f t="shared" si="195"/>
        <v>0.10964912280701754</v>
      </c>
      <c r="AI600" s="17">
        <v>16</v>
      </c>
      <c r="AJ600" s="36">
        <f t="shared" si="206"/>
        <v>8.247422680412371E-2</v>
      </c>
      <c r="AK600" s="17">
        <v>1</v>
      </c>
      <c r="AL600" s="36">
        <f t="shared" si="196"/>
        <v>4.3859649122807015E-3</v>
      </c>
      <c r="AM600" s="17">
        <v>0</v>
      </c>
      <c r="AN600" s="36">
        <f t="shared" si="207"/>
        <v>0</v>
      </c>
      <c r="AO600" s="17">
        <v>228</v>
      </c>
      <c r="AP600" s="17">
        <v>194</v>
      </c>
    </row>
    <row r="601" spans="1:42" ht="15.75" customHeight="1" x14ac:dyDescent="0.25">
      <c r="A601" s="37">
        <v>2020</v>
      </c>
      <c r="B601" s="35">
        <v>170625</v>
      </c>
      <c r="C601" s="34" t="s">
        <v>146</v>
      </c>
      <c r="D601" s="34" t="s">
        <v>48</v>
      </c>
      <c r="E601" s="17">
        <v>0</v>
      </c>
      <c r="F601" s="36">
        <f t="shared" si="197"/>
        <v>0</v>
      </c>
      <c r="G601" s="17">
        <v>0</v>
      </c>
      <c r="H601" s="36">
        <f t="shared" si="198"/>
        <v>0</v>
      </c>
      <c r="I601" s="17">
        <v>6</v>
      </c>
      <c r="J601" s="36">
        <f t="shared" si="199"/>
        <v>7.1428571428571425E-2</v>
      </c>
      <c r="K601" s="17">
        <v>1</v>
      </c>
      <c r="L601" s="36">
        <f t="shared" si="200"/>
        <v>0.05</v>
      </c>
      <c r="M601" s="17">
        <v>78</v>
      </c>
      <c r="N601" s="36">
        <f t="shared" si="190"/>
        <v>0.9285714285714286</v>
      </c>
      <c r="O601" s="17">
        <v>19</v>
      </c>
      <c r="P601" s="36">
        <f t="shared" si="201"/>
        <v>0.95</v>
      </c>
      <c r="Q601" s="17">
        <v>0</v>
      </c>
      <c r="R601" s="36">
        <f t="shared" si="191"/>
        <v>0</v>
      </c>
      <c r="S601" s="17">
        <v>0</v>
      </c>
      <c r="T601" s="36">
        <f t="shared" si="202"/>
        <v>0</v>
      </c>
      <c r="U601" s="17">
        <v>3</v>
      </c>
      <c r="V601" s="36">
        <f t="shared" si="192"/>
        <v>3.5714285714285712E-2</v>
      </c>
      <c r="W601" s="17">
        <v>0</v>
      </c>
      <c r="X601" s="36">
        <f t="shared" si="203"/>
        <v>0</v>
      </c>
      <c r="Y601" s="17">
        <v>51</v>
      </c>
      <c r="Z601" s="36">
        <f t="shared" si="193"/>
        <v>0.6071428571428571</v>
      </c>
      <c r="AA601" s="17">
        <v>14</v>
      </c>
      <c r="AB601" s="36">
        <f t="shared" si="204"/>
        <v>0.7</v>
      </c>
      <c r="AC601" s="17">
        <v>16</v>
      </c>
      <c r="AD601" s="36">
        <f t="shared" si="194"/>
        <v>0.19047619047619047</v>
      </c>
      <c r="AE601" s="17">
        <v>4</v>
      </c>
      <c r="AF601" s="36">
        <f t="shared" si="205"/>
        <v>0.2</v>
      </c>
      <c r="AG601" s="17">
        <v>12</v>
      </c>
      <c r="AH601" s="36">
        <f t="shared" si="195"/>
        <v>0.14285714285714285</v>
      </c>
      <c r="AI601" s="17">
        <v>2</v>
      </c>
      <c r="AJ601" s="36">
        <f t="shared" si="206"/>
        <v>0.1</v>
      </c>
      <c r="AK601" s="17">
        <v>2</v>
      </c>
      <c r="AL601" s="36">
        <f t="shared" si="196"/>
        <v>2.3809523809523808E-2</v>
      </c>
      <c r="AM601" s="17">
        <v>0</v>
      </c>
      <c r="AN601" s="36">
        <f t="shared" si="207"/>
        <v>0</v>
      </c>
      <c r="AO601" s="17">
        <v>84</v>
      </c>
      <c r="AP601" s="17">
        <v>20</v>
      </c>
    </row>
    <row r="602" spans="1:42" ht="15.75" customHeight="1" x14ac:dyDescent="0.25">
      <c r="A602" s="37">
        <v>2020</v>
      </c>
      <c r="B602" s="35">
        <v>170650</v>
      </c>
      <c r="C602" s="34" t="s">
        <v>149</v>
      </c>
      <c r="D602" s="34" t="s">
        <v>49</v>
      </c>
      <c r="E602" s="17">
        <v>0</v>
      </c>
      <c r="F602" s="36">
        <f t="shared" si="197"/>
        <v>0</v>
      </c>
      <c r="G602" s="17">
        <v>0</v>
      </c>
      <c r="H602" s="36">
        <f t="shared" si="198"/>
        <v>0</v>
      </c>
      <c r="I602" s="17">
        <v>4</v>
      </c>
      <c r="J602" s="36">
        <f t="shared" si="199"/>
        <v>8.3333333333333329E-2</v>
      </c>
      <c r="K602" s="17">
        <v>3</v>
      </c>
      <c r="L602" s="36">
        <f t="shared" si="200"/>
        <v>6.3829787234042548E-2</v>
      </c>
      <c r="M602" s="17">
        <v>44</v>
      </c>
      <c r="N602" s="36">
        <f t="shared" si="190"/>
        <v>0.91666666666666663</v>
      </c>
      <c r="O602" s="17">
        <v>44</v>
      </c>
      <c r="P602" s="36">
        <f t="shared" si="201"/>
        <v>0.93617021276595747</v>
      </c>
      <c r="Q602" s="17">
        <v>1</v>
      </c>
      <c r="R602" s="36">
        <f t="shared" si="191"/>
        <v>2.0833333333333332E-2</v>
      </c>
      <c r="S602" s="17">
        <v>1</v>
      </c>
      <c r="T602" s="36">
        <f t="shared" si="202"/>
        <v>2.1276595744680851E-2</v>
      </c>
      <c r="U602" s="17">
        <v>2</v>
      </c>
      <c r="V602" s="36">
        <f t="shared" si="192"/>
        <v>4.1666666666666664E-2</v>
      </c>
      <c r="W602" s="17">
        <v>2</v>
      </c>
      <c r="X602" s="36">
        <f t="shared" si="203"/>
        <v>4.2553191489361701E-2</v>
      </c>
      <c r="Y602" s="17">
        <v>35</v>
      </c>
      <c r="Z602" s="36">
        <f t="shared" si="193"/>
        <v>0.72916666666666663</v>
      </c>
      <c r="AA602" s="17">
        <v>34</v>
      </c>
      <c r="AB602" s="36">
        <f t="shared" si="204"/>
        <v>0.72340425531914898</v>
      </c>
      <c r="AC602" s="17">
        <v>8</v>
      </c>
      <c r="AD602" s="36">
        <f t="shared" si="194"/>
        <v>0.16666666666666666</v>
      </c>
      <c r="AE602" s="17">
        <v>8</v>
      </c>
      <c r="AF602" s="36">
        <f t="shared" si="205"/>
        <v>0.1702127659574468</v>
      </c>
      <c r="AG602" s="17">
        <v>2</v>
      </c>
      <c r="AH602" s="36">
        <f t="shared" si="195"/>
        <v>4.1666666666666664E-2</v>
      </c>
      <c r="AI602" s="17">
        <v>2</v>
      </c>
      <c r="AJ602" s="36">
        <f t="shared" si="206"/>
        <v>4.2553191489361701E-2</v>
      </c>
      <c r="AK602" s="17">
        <v>0</v>
      </c>
      <c r="AL602" s="36">
        <f t="shared" si="196"/>
        <v>0</v>
      </c>
      <c r="AM602" s="17">
        <v>0</v>
      </c>
      <c r="AN602" s="36">
        <f t="shared" si="207"/>
        <v>0</v>
      </c>
      <c r="AO602" s="17">
        <v>48</v>
      </c>
      <c r="AP602" s="17">
        <v>47</v>
      </c>
    </row>
    <row r="603" spans="1:42" ht="15.75" customHeight="1" x14ac:dyDescent="0.25">
      <c r="A603" s="37">
        <v>2020</v>
      </c>
      <c r="B603" s="35">
        <v>170700</v>
      </c>
      <c r="C603" s="34" t="s">
        <v>147</v>
      </c>
      <c r="D603" s="34" t="s">
        <v>50</v>
      </c>
      <c r="E603" s="17">
        <v>8</v>
      </c>
      <c r="F603" s="36">
        <f t="shared" si="197"/>
        <v>1.4184397163120567E-2</v>
      </c>
      <c r="G603" s="17">
        <v>6</v>
      </c>
      <c r="H603" s="36">
        <f t="shared" si="198"/>
        <v>2.0134228187919462E-2</v>
      </c>
      <c r="I603" s="17">
        <v>22</v>
      </c>
      <c r="J603" s="36">
        <f t="shared" si="199"/>
        <v>3.9007092198581561E-2</v>
      </c>
      <c r="K603" s="17">
        <v>17</v>
      </c>
      <c r="L603" s="36">
        <f t="shared" si="200"/>
        <v>5.7046979865771813E-2</v>
      </c>
      <c r="M603" s="17">
        <v>534</v>
      </c>
      <c r="N603" s="36">
        <f t="shared" si="190"/>
        <v>0.94680851063829785</v>
      </c>
      <c r="O603" s="17">
        <v>275</v>
      </c>
      <c r="P603" s="36">
        <f t="shared" si="201"/>
        <v>0.92281879194630867</v>
      </c>
      <c r="Q603" s="17">
        <v>5</v>
      </c>
      <c r="R603" s="36">
        <f t="shared" si="191"/>
        <v>8.8652482269503553E-3</v>
      </c>
      <c r="S603" s="17">
        <v>4</v>
      </c>
      <c r="T603" s="36">
        <f t="shared" si="202"/>
        <v>1.3422818791946308E-2</v>
      </c>
      <c r="U603" s="17">
        <v>17</v>
      </c>
      <c r="V603" s="36">
        <f t="shared" si="192"/>
        <v>3.0141843971631204E-2</v>
      </c>
      <c r="W603" s="17">
        <v>10</v>
      </c>
      <c r="X603" s="36">
        <f t="shared" si="203"/>
        <v>3.3557046979865772E-2</v>
      </c>
      <c r="Y603" s="17">
        <v>367</v>
      </c>
      <c r="Z603" s="36">
        <f t="shared" si="193"/>
        <v>0.650709219858156</v>
      </c>
      <c r="AA603" s="17">
        <v>203</v>
      </c>
      <c r="AB603" s="36">
        <f t="shared" si="204"/>
        <v>0.68120805369127513</v>
      </c>
      <c r="AC603" s="17">
        <v>102</v>
      </c>
      <c r="AD603" s="36">
        <f t="shared" si="194"/>
        <v>0.18085106382978725</v>
      </c>
      <c r="AE603" s="17">
        <v>40</v>
      </c>
      <c r="AF603" s="36">
        <f t="shared" si="205"/>
        <v>0.13422818791946309</v>
      </c>
      <c r="AG603" s="17">
        <v>57</v>
      </c>
      <c r="AH603" s="36">
        <f t="shared" si="195"/>
        <v>0.10106382978723404</v>
      </c>
      <c r="AI603" s="17">
        <v>30</v>
      </c>
      <c r="AJ603" s="36">
        <f t="shared" si="206"/>
        <v>0.10067114093959731</v>
      </c>
      <c r="AK603" s="17">
        <v>16</v>
      </c>
      <c r="AL603" s="36">
        <f t="shared" si="196"/>
        <v>2.8368794326241134E-2</v>
      </c>
      <c r="AM603" s="17">
        <v>11</v>
      </c>
      <c r="AN603" s="36">
        <f t="shared" si="207"/>
        <v>3.6912751677852351E-2</v>
      </c>
      <c r="AO603" s="17">
        <v>564</v>
      </c>
      <c r="AP603" s="17">
        <v>298</v>
      </c>
    </row>
    <row r="604" spans="1:42" ht="15.75" customHeight="1" x14ac:dyDescent="0.25">
      <c r="A604" s="37">
        <v>2020</v>
      </c>
      <c r="B604" s="35">
        <v>170710</v>
      </c>
      <c r="C604" s="34" t="s">
        <v>144</v>
      </c>
      <c r="D604" s="34" t="s">
        <v>51</v>
      </c>
      <c r="E604" s="17">
        <v>2</v>
      </c>
      <c r="F604" s="36">
        <f t="shared" si="197"/>
        <v>0.01</v>
      </c>
      <c r="G604" s="17">
        <v>2</v>
      </c>
      <c r="H604" s="36">
        <f t="shared" si="198"/>
        <v>1.4184397163120567E-2</v>
      </c>
      <c r="I604" s="17">
        <v>11</v>
      </c>
      <c r="J604" s="36">
        <f t="shared" si="199"/>
        <v>5.5E-2</v>
      </c>
      <c r="K604" s="17">
        <v>10</v>
      </c>
      <c r="L604" s="36">
        <f t="shared" si="200"/>
        <v>7.0921985815602842E-2</v>
      </c>
      <c r="M604" s="17">
        <v>187</v>
      </c>
      <c r="N604" s="36">
        <f t="shared" si="190"/>
        <v>0.93500000000000005</v>
      </c>
      <c r="O604" s="17">
        <v>129</v>
      </c>
      <c r="P604" s="36">
        <f t="shared" si="201"/>
        <v>0.91489361702127658</v>
      </c>
      <c r="Q604" s="17">
        <v>0</v>
      </c>
      <c r="R604" s="36">
        <f t="shared" si="191"/>
        <v>0</v>
      </c>
      <c r="S604" s="17">
        <v>0</v>
      </c>
      <c r="T604" s="36">
        <f t="shared" si="202"/>
        <v>0</v>
      </c>
      <c r="U604" s="17">
        <v>8</v>
      </c>
      <c r="V604" s="36">
        <f t="shared" si="192"/>
        <v>0.04</v>
      </c>
      <c r="W604" s="17">
        <v>7</v>
      </c>
      <c r="X604" s="36">
        <f t="shared" si="203"/>
        <v>4.9645390070921988E-2</v>
      </c>
      <c r="Y604" s="17">
        <v>133</v>
      </c>
      <c r="Z604" s="36">
        <f t="shared" si="193"/>
        <v>0.66500000000000004</v>
      </c>
      <c r="AA604" s="17">
        <v>98</v>
      </c>
      <c r="AB604" s="36">
        <f t="shared" si="204"/>
        <v>0.69503546099290781</v>
      </c>
      <c r="AC604" s="17">
        <v>45</v>
      </c>
      <c r="AD604" s="36">
        <f t="shared" si="194"/>
        <v>0.22500000000000001</v>
      </c>
      <c r="AE604" s="17">
        <v>32</v>
      </c>
      <c r="AF604" s="36">
        <f t="shared" si="205"/>
        <v>0.22695035460992907</v>
      </c>
      <c r="AG604" s="17">
        <v>10</v>
      </c>
      <c r="AH604" s="36">
        <f t="shared" si="195"/>
        <v>0.05</v>
      </c>
      <c r="AI604" s="17">
        <v>2</v>
      </c>
      <c r="AJ604" s="36">
        <f t="shared" si="206"/>
        <v>1.4184397163120567E-2</v>
      </c>
      <c r="AK604" s="17">
        <v>4</v>
      </c>
      <c r="AL604" s="36">
        <f t="shared" si="196"/>
        <v>0.02</v>
      </c>
      <c r="AM604" s="17">
        <v>2</v>
      </c>
      <c r="AN604" s="36">
        <f t="shared" si="207"/>
        <v>1.4184397163120567E-2</v>
      </c>
      <c r="AO604" s="17">
        <v>200</v>
      </c>
      <c r="AP604" s="17">
        <v>141</v>
      </c>
    </row>
    <row r="605" spans="1:42" ht="15.75" customHeight="1" x14ac:dyDescent="0.25">
      <c r="A605" s="37">
        <v>2020</v>
      </c>
      <c r="B605" s="35">
        <v>170720</v>
      </c>
      <c r="C605" s="34" t="s">
        <v>144</v>
      </c>
      <c r="D605" s="34" t="s">
        <v>52</v>
      </c>
      <c r="E605" s="17">
        <v>6</v>
      </c>
      <c r="F605" s="36">
        <f t="shared" si="197"/>
        <v>2.3076923076923078E-2</v>
      </c>
      <c r="G605" s="17">
        <v>2</v>
      </c>
      <c r="H605" s="36">
        <f t="shared" si="198"/>
        <v>1.098901098901099E-2</v>
      </c>
      <c r="I605" s="17">
        <v>14</v>
      </c>
      <c r="J605" s="36">
        <f t="shared" si="199"/>
        <v>5.3846153846153849E-2</v>
      </c>
      <c r="K605" s="17">
        <v>5</v>
      </c>
      <c r="L605" s="36">
        <f t="shared" si="200"/>
        <v>2.7472527472527472E-2</v>
      </c>
      <c r="M605" s="17">
        <v>240</v>
      </c>
      <c r="N605" s="36">
        <f t="shared" si="190"/>
        <v>0.92307692307692313</v>
      </c>
      <c r="O605" s="17">
        <v>175</v>
      </c>
      <c r="P605" s="36">
        <f t="shared" si="201"/>
        <v>0.96153846153846156</v>
      </c>
      <c r="Q605" s="17">
        <v>1</v>
      </c>
      <c r="R605" s="36">
        <f t="shared" si="191"/>
        <v>3.8461538461538464E-3</v>
      </c>
      <c r="S605" s="17">
        <v>1</v>
      </c>
      <c r="T605" s="36">
        <f t="shared" si="202"/>
        <v>5.4945054945054949E-3</v>
      </c>
      <c r="U605" s="17">
        <v>0</v>
      </c>
      <c r="V605" s="36">
        <f t="shared" si="192"/>
        <v>0</v>
      </c>
      <c r="W605" s="17">
        <v>0</v>
      </c>
      <c r="X605" s="36">
        <f t="shared" si="203"/>
        <v>0</v>
      </c>
      <c r="Y605" s="17">
        <v>176</v>
      </c>
      <c r="Z605" s="36">
        <f t="shared" si="193"/>
        <v>0.67692307692307696</v>
      </c>
      <c r="AA605" s="17">
        <v>131</v>
      </c>
      <c r="AB605" s="36">
        <f t="shared" si="204"/>
        <v>0.71978021978021978</v>
      </c>
      <c r="AC605" s="17">
        <v>60</v>
      </c>
      <c r="AD605" s="36">
        <f t="shared" si="194"/>
        <v>0.23076923076923078</v>
      </c>
      <c r="AE605" s="17">
        <v>37</v>
      </c>
      <c r="AF605" s="36">
        <f t="shared" si="205"/>
        <v>0.2032967032967033</v>
      </c>
      <c r="AG605" s="17">
        <v>18</v>
      </c>
      <c r="AH605" s="36">
        <f t="shared" si="195"/>
        <v>6.9230769230769235E-2</v>
      </c>
      <c r="AI605" s="17">
        <v>11</v>
      </c>
      <c r="AJ605" s="36">
        <f t="shared" si="206"/>
        <v>6.043956043956044E-2</v>
      </c>
      <c r="AK605" s="17">
        <v>5</v>
      </c>
      <c r="AL605" s="36">
        <f t="shared" si="196"/>
        <v>1.9230769230769232E-2</v>
      </c>
      <c r="AM605" s="17">
        <v>2</v>
      </c>
      <c r="AN605" s="36">
        <f t="shared" si="207"/>
        <v>1.098901098901099E-2</v>
      </c>
      <c r="AO605" s="17">
        <v>260</v>
      </c>
      <c r="AP605" s="17">
        <v>182</v>
      </c>
    </row>
    <row r="606" spans="1:42" ht="15.75" customHeight="1" x14ac:dyDescent="0.25">
      <c r="A606" s="37">
        <v>2020</v>
      </c>
      <c r="B606" s="35">
        <v>170730</v>
      </c>
      <c r="C606" s="34" t="s">
        <v>146</v>
      </c>
      <c r="D606" s="34" t="s">
        <v>53</v>
      </c>
      <c r="E606" s="17">
        <v>0</v>
      </c>
      <c r="F606" s="36">
        <f t="shared" si="197"/>
        <v>0</v>
      </c>
      <c r="G606" s="17">
        <v>0</v>
      </c>
      <c r="H606" s="36">
        <f t="shared" si="198"/>
        <v>0</v>
      </c>
      <c r="I606" s="17">
        <v>1</v>
      </c>
      <c r="J606" s="36">
        <f t="shared" si="199"/>
        <v>4.5454545454545456E-2</v>
      </c>
      <c r="K606" s="17">
        <v>0</v>
      </c>
      <c r="L606" s="36">
        <f t="shared" si="200"/>
        <v>0</v>
      </c>
      <c r="M606" s="17">
        <v>21</v>
      </c>
      <c r="N606" s="36">
        <f t="shared" si="190"/>
        <v>0.95454545454545459</v>
      </c>
      <c r="O606" s="17">
        <v>1</v>
      </c>
      <c r="P606" s="36">
        <f t="shared" si="201"/>
        <v>1</v>
      </c>
      <c r="Q606" s="17">
        <v>0</v>
      </c>
      <c r="R606" s="36">
        <f t="shared" si="191"/>
        <v>0</v>
      </c>
      <c r="S606" s="17">
        <v>0</v>
      </c>
      <c r="T606" s="36">
        <f t="shared" si="202"/>
        <v>0</v>
      </c>
      <c r="U606" s="17">
        <v>0</v>
      </c>
      <c r="V606" s="36">
        <f t="shared" si="192"/>
        <v>0</v>
      </c>
      <c r="W606" s="17">
        <v>0</v>
      </c>
      <c r="X606" s="36">
        <f t="shared" si="203"/>
        <v>0</v>
      </c>
      <c r="Y606" s="17">
        <v>14</v>
      </c>
      <c r="Z606" s="36">
        <f t="shared" si="193"/>
        <v>0.63636363636363635</v>
      </c>
      <c r="AA606" s="17">
        <v>0</v>
      </c>
      <c r="AB606" s="36">
        <f t="shared" si="204"/>
        <v>0</v>
      </c>
      <c r="AC606" s="17">
        <v>6</v>
      </c>
      <c r="AD606" s="36">
        <f t="shared" si="194"/>
        <v>0.27272727272727271</v>
      </c>
      <c r="AE606" s="17">
        <v>1</v>
      </c>
      <c r="AF606" s="36">
        <f t="shared" si="205"/>
        <v>1</v>
      </c>
      <c r="AG606" s="17">
        <v>2</v>
      </c>
      <c r="AH606" s="36">
        <f t="shared" si="195"/>
        <v>9.0909090909090912E-2</v>
      </c>
      <c r="AI606" s="17">
        <v>0</v>
      </c>
      <c r="AJ606" s="36">
        <f t="shared" si="206"/>
        <v>0</v>
      </c>
      <c r="AK606" s="17">
        <v>0</v>
      </c>
      <c r="AL606" s="36">
        <f t="shared" si="196"/>
        <v>0</v>
      </c>
      <c r="AM606" s="17">
        <v>0</v>
      </c>
      <c r="AN606" s="36">
        <f t="shared" si="207"/>
        <v>0</v>
      </c>
      <c r="AO606" s="17">
        <v>22</v>
      </c>
      <c r="AP606" s="17">
        <v>1</v>
      </c>
    </row>
    <row r="607" spans="1:42" ht="15.75" customHeight="1" x14ac:dyDescent="0.25">
      <c r="A607" s="37">
        <v>2020</v>
      </c>
      <c r="B607" s="35">
        <v>170740</v>
      </c>
      <c r="C607" s="34" t="s">
        <v>145</v>
      </c>
      <c r="D607" s="34" t="s">
        <v>54</v>
      </c>
      <c r="E607" s="17">
        <v>7</v>
      </c>
      <c r="F607" s="36">
        <f t="shared" si="197"/>
        <v>1.7031630170316302E-2</v>
      </c>
      <c r="G607" s="17">
        <v>1</v>
      </c>
      <c r="H607" s="36">
        <f t="shared" si="198"/>
        <v>1.1111111111111112E-2</v>
      </c>
      <c r="I607" s="17">
        <v>30</v>
      </c>
      <c r="J607" s="36">
        <f t="shared" si="199"/>
        <v>7.2992700729927001E-2</v>
      </c>
      <c r="K607" s="17">
        <v>8</v>
      </c>
      <c r="L607" s="36">
        <f t="shared" si="200"/>
        <v>8.8888888888888892E-2</v>
      </c>
      <c r="M607" s="17">
        <v>374</v>
      </c>
      <c r="N607" s="36">
        <f t="shared" si="190"/>
        <v>0.90997566909975669</v>
      </c>
      <c r="O607" s="17">
        <v>81</v>
      </c>
      <c r="P607" s="36">
        <f t="shared" si="201"/>
        <v>0.9</v>
      </c>
      <c r="Q607" s="17">
        <v>5</v>
      </c>
      <c r="R607" s="36">
        <f t="shared" si="191"/>
        <v>1.2165450121654502E-2</v>
      </c>
      <c r="S607" s="17">
        <v>2</v>
      </c>
      <c r="T607" s="36">
        <f t="shared" si="202"/>
        <v>2.2222222222222223E-2</v>
      </c>
      <c r="U607" s="17">
        <v>16</v>
      </c>
      <c r="V607" s="36">
        <f t="shared" si="192"/>
        <v>3.8929440389294405E-2</v>
      </c>
      <c r="W607" s="17">
        <v>3</v>
      </c>
      <c r="X607" s="36">
        <f t="shared" si="203"/>
        <v>3.3333333333333333E-2</v>
      </c>
      <c r="Y607" s="17">
        <v>282</v>
      </c>
      <c r="Z607" s="36">
        <f t="shared" si="193"/>
        <v>0.68613138686131392</v>
      </c>
      <c r="AA607" s="17">
        <v>61</v>
      </c>
      <c r="AB607" s="36">
        <f t="shared" si="204"/>
        <v>0.67777777777777781</v>
      </c>
      <c r="AC607" s="17">
        <v>69</v>
      </c>
      <c r="AD607" s="36">
        <f t="shared" si="194"/>
        <v>0.16788321167883211</v>
      </c>
      <c r="AE607" s="17">
        <v>17</v>
      </c>
      <c r="AF607" s="36">
        <f t="shared" si="205"/>
        <v>0.18888888888888888</v>
      </c>
      <c r="AG607" s="17">
        <v>35</v>
      </c>
      <c r="AH607" s="36">
        <f t="shared" si="195"/>
        <v>8.5158150851581502E-2</v>
      </c>
      <c r="AI607" s="17">
        <v>6</v>
      </c>
      <c r="AJ607" s="36">
        <f t="shared" si="206"/>
        <v>6.6666666666666666E-2</v>
      </c>
      <c r="AK607" s="17">
        <v>4</v>
      </c>
      <c r="AL607" s="36">
        <f t="shared" si="196"/>
        <v>9.7323600973236012E-3</v>
      </c>
      <c r="AM607" s="17">
        <v>1</v>
      </c>
      <c r="AN607" s="36">
        <f t="shared" si="207"/>
        <v>1.1111111111111112E-2</v>
      </c>
      <c r="AO607" s="17">
        <v>411</v>
      </c>
      <c r="AP607" s="17">
        <v>90</v>
      </c>
    </row>
    <row r="608" spans="1:42" ht="15.75" customHeight="1" x14ac:dyDescent="0.25">
      <c r="A608" s="37">
        <v>2020</v>
      </c>
      <c r="B608" s="35">
        <v>170755</v>
      </c>
      <c r="C608" s="34" t="s">
        <v>151</v>
      </c>
      <c r="D608" s="34" t="s">
        <v>55</v>
      </c>
      <c r="E608" s="17">
        <v>1</v>
      </c>
      <c r="F608" s="36">
        <f t="shared" si="197"/>
        <v>7.6923076923076927E-2</v>
      </c>
      <c r="G608" s="17">
        <v>1</v>
      </c>
      <c r="H608" s="36">
        <f t="shared" si="198"/>
        <v>8.3333333333333329E-2</v>
      </c>
      <c r="I608" s="17">
        <v>1</v>
      </c>
      <c r="J608" s="36">
        <f t="shared" si="199"/>
        <v>7.6923076923076927E-2</v>
      </c>
      <c r="K608" s="17">
        <v>1</v>
      </c>
      <c r="L608" s="36">
        <f t="shared" si="200"/>
        <v>8.3333333333333329E-2</v>
      </c>
      <c r="M608" s="17">
        <v>11</v>
      </c>
      <c r="N608" s="36">
        <f t="shared" si="190"/>
        <v>0.84615384615384615</v>
      </c>
      <c r="O608" s="17">
        <v>10</v>
      </c>
      <c r="P608" s="36">
        <f t="shared" si="201"/>
        <v>0.83333333333333337</v>
      </c>
      <c r="Q608" s="17">
        <v>0</v>
      </c>
      <c r="R608" s="36">
        <f t="shared" si="191"/>
        <v>0</v>
      </c>
      <c r="S608" s="17">
        <v>0</v>
      </c>
      <c r="T608" s="36">
        <f t="shared" si="202"/>
        <v>0</v>
      </c>
      <c r="U608" s="17">
        <v>1</v>
      </c>
      <c r="V608" s="36">
        <f t="shared" si="192"/>
        <v>7.6923076923076927E-2</v>
      </c>
      <c r="W608" s="17">
        <v>1</v>
      </c>
      <c r="X608" s="36">
        <f t="shared" si="203"/>
        <v>8.3333333333333329E-2</v>
      </c>
      <c r="Y608" s="17">
        <v>8</v>
      </c>
      <c r="Z608" s="36">
        <f t="shared" si="193"/>
        <v>0.61538461538461542</v>
      </c>
      <c r="AA608" s="17">
        <v>7</v>
      </c>
      <c r="AB608" s="36">
        <f t="shared" si="204"/>
        <v>0.58333333333333337</v>
      </c>
      <c r="AC608" s="17">
        <v>3</v>
      </c>
      <c r="AD608" s="36">
        <f t="shared" si="194"/>
        <v>0.23076923076923078</v>
      </c>
      <c r="AE608" s="17">
        <v>3</v>
      </c>
      <c r="AF608" s="36">
        <f t="shared" si="205"/>
        <v>0.25</v>
      </c>
      <c r="AG608" s="17">
        <v>0</v>
      </c>
      <c r="AH608" s="36">
        <f t="shared" si="195"/>
        <v>0</v>
      </c>
      <c r="AI608" s="17">
        <v>0</v>
      </c>
      <c r="AJ608" s="36">
        <f t="shared" si="206"/>
        <v>0</v>
      </c>
      <c r="AK608" s="17">
        <v>1</v>
      </c>
      <c r="AL608" s="36">
        <f t="shared" si="196"/>
        <v>7.6923076923076927E-2</v>
      </c>
      <c r="AM608" s="17">
        <v>1</v>
      </c>
      <c r="AN608" s="36">
        <f t="shared" si="207"/>
        <v>8.3333333333333329E-2</v>
      </c>
      <c r="AO608" s="17">
        <v>13</v>
      </c>
      <c r="AP608" s="17">
        <v>12</v>
      </c>
    </row>
    <row r="609" spans="1:42" ht="15.75" customHeight="1" x14ac:dyDescent="0.25">
      <c r="A609" s="37">
        <v>2020</v>
      </c>
      <c r="B609" s="35">
        <v>170765</v>
      </c>
      <c r="C609" s="34" t="s">
        <v>146</v>
      </c>
      <c r="D609" s="34" t="s">
        <v>56</v>
      </c>
      <c r="E609" s="17">
        <v>5</v>
      </c>
      <c r="F609" s="36">
        <f t="shared" si="197"/>
        <v>4.3478260869565216E-2</v>
      </c>
      <c r="G609" s="17">
        <v>4</v>
      </c>
      <c r="H609" s="36">
        <f t="shared" si="198"/>
        <v>3.5714285714285712E-2</v>
      </c>
      <c r="I609" s="17">
        <v>6</v>
      </c>
      <c r="J609" s="36">
        <f t="shared" si="199"/>
        <v>5.2173913043478258E-2</v>
      </c>
      <c r="K609" s="17">
        <v>6</v>
      </c>
      <c r="L609" s="36">
        <f t="shared" si="200"/>
        <v>5.3571428571428568E-2</v>
      </c>
      <c r="M609" s="17">
        <v>104</v>
      </c>
      <c r="N609" s="36">
        <f t="shared" si="190"/>
        <v>0.90434782608695652</v>
      </c>
      <c r="O609" s="17">
        <v>102</v>
      </c>
      <c r="P609" s="36">
        <f t="shared" si="201"/>
        <v>0.9107142857142857</v>
      </c>
      <c r="Q609" s="17">
        <v>4</v>
      </c>
      <c r="R609" s="36">
        <f t="shared" si="191"/>
        <v>3.4782608695652174E-2</v>
      </c>
      <c r="S609" s="17">
        <v>4</v>
      </c>
      <c r="T609" s="36">
        <f t="shared" si="202"/>
        <v>3.5714285714285712E-2</v>
      </c>
      <c r="U609" s="17">
        <v>6</v>
      </c>
      <c r="V609" s="36">
        <f t="shared" si="192"/>
        <v>5.2173913043478258E-2</v>
      </c>
      <c r="W609" s="17">
        <v>6</v>
      </c>
      <c r="X609" s="36">
        <f t="shared" si="203"/>
        <v>5.3571428571428568E-2</v>
      </c>
      <c r="Y609" s="17">
        <v>77</v>
      </c>
      <c r="Z609" s="36">
        <f t="shared" si="193"/>
        <v>0.66956521739130437</v>
      </c>
      <c r="AA609" s="17">
        <v>75</v>
      </c>
      <c r="AB609" s="36">
        <f t="shared" si="204"/>
        <v>0.6696428571428571</v>
      </c>
      <c r="AC609" s="17">
        <v>14</v>
      </c>
      <c r="AD609" s="36">
        <f t="shared" si="194"/>
        <v>0.12173913043478261</v>
      </c>
      <c r="AE609" s="17">
        <v>14</v>
      </c>
      <c r="AF609" s="36">
        <f t="shared" si="205"/>
        <v>0.125</v>
      </c>
      <c r="AG609" s="17">
        <v>9</v>
      </c>
      <c r="AH609" s="36">
        <f t="shared" si="195"/>
        <v>7.8260869565217397E-2</v>
      </c>
      <c r="AI609" s="17">
        <v>9</v>
      </c>
      <c r="AJ609" s="36">
        <f t="shared" si="206"/>
        <v>8.0357142857142863E-2</v>
      </c>
      <c r="AK609" s="17">
        <v>5</v>
      </c>
      <c r="AL609" s="36">
        <f t="shared" si="196"/>
        <v>4.3478260869565216E-2</v>
      </c>
      <c r="AM609" s="17">
        <v>4</v>
      </c>
      <c r="AN609" s="36">
        <f t="shared" si="207"/>
        <v>3.5714285714285712E-2</v>
      </c>
      <c r="AO609" s="17">
        <v>115</v>
      </c>
      <c r="AP609" s="17">
        <v>112</v>
      </c>
    </row>
    <row r="610" spans="1:42" ht="15.75" customHeight="1" x14ac:dyDescent="0.25">
      <c r="A610" s="37">
        <v>2020</v>
      </c>
      <c r="B610" s="35">
        <v>170770</v>
      </c>
      <c r="C610" s="34" t="s">
        <v>149</v>
      </c>
      <c r="D610" s="34" t="s">
        <v>57</v>
      </c>
      <c r="E610" s="17">
        <v>3</v>
      </c>
      <c r="F610" s="36">
        <f t="shared" si="197"/>
        <v>1.5873015873015872E-2</v>
      </c>
      <c r="G610" s="17">
        <v>1</v>
      </c>
      <c r="H610" s="36">
        <f t="shared" si="198"/>
        <v>1.1764705882352941E-2</v>
      </c>
      <c r="I610" s="17">
        <v>15</v>
      </c>
      <c r="J610" s="36">
        <f t="shared" si="199"/>
        <v>7.9365079365079361E-2</v>
      </c>
      <c r="K610" s="17">
        <v>9</v>
      </c>
      <c r="L610" s="36">
        <f t="shared" si="200"/>
        <v>0.10588235294117647</v>
      </c>
      <c r="M610" s="17">
        <v>171</v>
      </c>
      <c r="N610" s="36">
        <f t="shared" si="190"/>
        <v>0.90476190476190477</v>
      </c>
      <c r="O610" s="17">
        <v>75</v>
      </c>
      <c r="P610" s="36">
        <f t="shared" si="201"/>
        <v>0.88235294117647056</v>
      </c>
      <c r="Q610" s="17">
        <v>0</v>
      </c>
      <c r="R610" s="36">
        <f t="shared" si="191"/>
        <v>0</v>
      </c>
      <c r="S610" s="17">
        <v>0</v>
      </c>
      <c r="T610" s="36">
        <f t="shared" si="202"/>
        <v>0</v>
      </c>
      <c r="U610" s="17">
        <v>8</v>
      </c>
      <c r="V610" s="36">
        <f t="shared" si="192"/>
        <v>4.2328042328042326E-2</v>
      </c>
      <c r="W610" s="17">
        <v>2</v>
      </c>
      <c r="X610" s="36">
        <f t="shared" si="203"/>
        <v>2.3529411764705882E-2</v>
      </c>
      <c r="Y610" s="17">
        <v>129</v>
      </c>
      <c r="Z610" s="36">
        <f t="shared" si="193"/>
        <v>0.68253968253968256</v>
      </c>
      <c r="AA610" s="17">
        <v>63</v>
      </c>
      <c r="AB610" s="36">
        <f t="shared" si="204"/>
        <v>0.74117647058823533</v>
      </c>
      <c r="AC610" s="17">
        <v>27</v>
      </c>
      <c r="AD610" s="36">
        <f t="shared" si="194"/>
        <v>0.14285714285714285</v>
      </c>
      <c r="AE610" s="17">
        <v>11</v>
      </c>
      <c r="AF610" s="36">
        <f t="shared" si="205"/>
        <v>0.12941176470588237</v>
      </c>
      <c r="AG610" s="17">
        <v>20</v>
      </c>
      <c r="AH610" s="36">
        <f t="shared" si="195"/>
        <v>0.10582010582010581</v>
      </c>
      <c r="AI610" s="17">
        <v>8</v>
      </c>
      <c r="AJ610" s="36">
        <f t="shared" si="206"/>
        <v>9.4117647058823528E-2</v>
      </c>
      <c r="AK610" s="17">
        <v>5</v>
      </c>
      <c r="AL610" s="36">
        <f t="shared" si="196"/>
        <v>2.6455026455026454E-2</v>
      </c>
      <c r="AM610" s="17">
        <v>1</v>
      </c>
      <c r="AN610" s="36">
        <f t="shared" si="207"/>
        <v>1.1764705882352941E-2</v>
      </c>
      <c r="AO610" s="17">
        <v>189</v>
      </c>
      <c r="AP610" s="17">
        <v>85</v>
      </c>
    </row>
    <row r="611" spans="1:42" ht="15.75" customHeight="1" x14ac:dyDescent="0.25">
      <c r="A611" s="37">
        <v>2020</v>
      </c>
      <c r="B611" s="35">
        <v>170820</v>
      </c>
      <c r="C611" s="34" t="s">
        <v>146</v>
      </c>
      <c r="D611" s="34" t="s">
        <v>58</v>
      </c>
      <c r="E611" s="17">
        <v>0</v>
      </c>
      <c r="F611" s="36">
        <f t="shared" si="197"/>
        <v>0</v>
      </c>
      <c r="G611" s="17">
        <v>0</v>
      </c>
      <c r="H611" s="36">
        <f t="shared" si="198"/>
        <v>0</v>
      </c>
      <c r="I611" s="17">
        <v>9</v>
      </c>
      <c r="J611" s="36">
        <f t="shared" si="199"/>
        <v>8.5714285714285715E-2</v>
      </c>
      <c r="K611" s="17">
        <v>1</v>
      </c>
      <c r="L611" s="36">
        <f t="shared" si="200"/>
        <v>6.6666666666666666E-2</v>
      </c>
      <c r="M611" s="17">
        <v>96</v>
      </c>
      <c r="N611" s="36">
        <f t="shared" si="190"/>
        <v>0.91428571428571426</v>
      </c>
      <c r="O611" s="17">
        <v>14</v>
      </c>
      <c r="P611" s="36">
        <f t="shared" si="201"/>
        <v>0.93333333333333335</v>
      </c>
      <c r="Q611" s="17">
        <v>2</v>
      </c>
      <c r="R611" s="36">
        <f t="shared" si="191"/>
        <v>1.9047619047619049E-2</v>
      </c>
      <c r="S611" s="17">
        <v>0</v>
      </c>
      <c r="T611" s="36">
        <f t="shared" si="202"/>
        <v>0</v>
      </c>
      <c r="U611" s="17">
        <v>6</v>
      </c>
      <c r="V611" s="36">
        <f t="shared" si="192"/>
        <v>5.7142857142857141E-2</v>
      </c>
      <c r="W611" s="17">
        <v>0</v>
      </c>
      <c r="X611" s="36">
        <f t="shared" si="203"/>
        <v>0</v>
      </c>
      <c r="Y611" s="17">
        <v>63</v>
      </c>
      <c r="Z611" s="36">
        <f t="shared" si="193"/>
        <v>0.6</v>
      </c>
      <c r="AA611" s="17">
        <v>11</v>
      </c>
      <c r="AB611" s="36">
        <f t="shared" si="204"/>
        <v>0.73333333333333328</v>
      </c>
      <c r="AC611" s="17">
        <v>23</v>
      </c>
      <c r="AD611" s="36">
        <f t="shared" si="194"/>
        <v>0.21904761904761905</v>
      </c>
      <c r="AE611" s="17">
        <v>3</v>
      </c>
      <c r="AF611" s="36">
        <f t="shared" si="205"/>
        <v>0.2</v>
      </c>
      <c r="AG611" s="17">
        <v>10</v>
      </c>
      <c r="AH611" s="36">
        <f t="shared" si="195"/>
        <v>9.5238095238095233E-2</v>
      </c>
      <c r="AI611" s="17">
        <v>1</v>
      </c>
      <c r="AJ611" s="36">
        <f t="shared" si="206"/>
        <v>6.6666666666666666E-2</v>
      </c>
      <c r="AK611" s="17">
        <v>1</v>
      </c>
      <c r="AL611" s="36">
        <f t="shared" si="196"/>
        <v>9.5238095238095247E-3</v>
      </c>
      <c r="AM611" s="17">
        <v>0</v>
      </c>
      <c r="AN611" s="36">
        <f t="shared" si="207"/>
        <v>0</v>
      </c>
      <c r="AO611" s="17">
        <v>105</v>
      </c>
      <c r="AP611" s="17">
        <v>15</v>
      </c>
    </row>
    <row r="612" spans="1:42" ht="15.75" customHeight="1" x14ac:dyDescent="0.25">
      <c r="A612" s="37">
        <v>2020</v>
      </c>
      <c r="B612" s="35">
        <v>170830</v>
      </c>
      <c r="C612" s="34" t="s">
        <v>150</v>
      </c>
      <c r="D612" s="34" t="s">
        <v>59</v>
      </c>
      <c r="E612" s="17">
        <v>2</v>
      </c>
      <c r="F612" s="36">
        <f t="shared" si="197"/>
        <v>1.7094017094017096E-2</v>
      </c>
      <c r="G612" s="17">
        <v>2</v>
      </c>
      <c r="H612" s="36">
        <f t="shared" si="198"/>
        <v>2.8571428571428571E-2</v>
      </c>
      <c r="I612" s="17">
        <v>2</v>
      </c>
      <c r="J612" s="36">
        <f t="shared" si="199"/>
        <v>1.7094017094017096E-2</v>
      </c>
      <c r="K612" s="17">
        <v>2</v>
      </c>
      <c r="L612" s="36">
        <f t="shared" si="200"/>
        <v>2.8571428571428571E-2</v>
      </c>
      <c r="M612" s="17">
        <v>113</v>
      </c>
      <c r="N612" s="36">
        <f t="shared" si="190"/>
        <v>0.96581196581196582</v>
      </c>
      <c r="O612" s="17">
        <v>66</v>
      </c>
      <c r="P612" s="36">
        <f t="shared" si="201"/>
        <v>0.94285714285714284</v>
      </c>
      <c r="Q612" s="17">
        <v>0</v>
      </c>
      <c r="R612" s="36">
        <f t="shared" si="191"/>
        <v>0</v>
      </c>
      <c r="S612" s="17">
        <v>0</v>
      </c>
      <c r="T612" s="36">
        <f t="shared" si="202"/>
        <v>0</v>
      </c>
      <c r="U612" s="17">
        <v>5</v>
      </c>
      <c r="V612" s="36">
        <f t="shared" si="192"/>
        <v>4.2735042735042736E-2</v>
      </c>
      <c r="W612" s="17">
        <v>1</v>
      </c>
      <c r="X612" s="36">
        <f t="shared" si="203"/>
        <v>1.4285714285714285E-2</v>
      </c>
      <c r="Y612" s="17">
        <v>77</v>
      </c>
      <c r="Z612" s="36">
        <f t="shared" si="193"/>
        <v>0.65811965811965811</v>
      </c>
      <c r="AA612" s="17">
        <v>45</v>
      </c>
      <c r="AB612" s="36">
        <f t="shared" si="204"/>
        <v>0.6428571428571429</v>
      </c>
      <c r="AC612" s="17">
        <v>21</v>
      </c>
      <c r="AD612" s="36">
        <f t="shared" si="194"/>
        <v>0.17948717948717949</v>
      </c>
      <c r="AE612" s="17">
        <v>14</v>
      </c>
      <c r="AF612" s="36">
        <f t="shared" si="205"/>
        <v>0.2</v>
      </c>
      <c r="AG612" s="17">
        <v>14</v>
      </c>
      <c r="AH612" s="36">
        <f t="shared" si="195"/>
        <v>0.11965811965811966</v>
      </c>
      <c r="AI612" s="17">
        <v>10</v>
      </c>
      <c r="AJ612" s="36">
        <f t="shared" si="206"/>
        <v>0.14285714285714285</v>
      </c>
      <c r="AK612" s="17">
        <v>0</v>
      </c>
      <c r="AL612" s="36">
        <f t="shared" si="196"/>
        <v>0</v>
      </c>
      <c r="AM612" s="17">
        <v>0</v>
      </c>
      <c r="AN612" s="36">
        <f t="shared" si="207"/>
        <v>0</v>
      </c>
      <c r="AO612" s="17">
        <v>117</v>
      </c>
      <c r="AP612" s="17">
        <v>70</v>
      </c>
    </row>
    <row r="613" spans="1:42" ht="15.75" customHeight="1" x14ac:dyDescent="0.25">
      <c r="A613" s="37">
        <v>2020</v>
      </c>
      <c r="B613" s="35">
        <v>170900</v>
      </c>
      <c r="C613" s="34" t="s">
        <v>149</v>
      </c>
      <c r="D613" s="34" t="s">
        <v>60</v>
      </c>
      <c r="E613" s="17">
        <v>8</v>
      </c>
      <c r="F613" s="36">
        <f t="shared" si="197"/>
        <v>4.9382716049382713E-2</v>
      </c>
      <c r="G613" s="17">
        <v>1</v>
      </c>
      <c r="H613" s="36">
        <f t="shared" si="198"/>
        <v>0.04</v>
      </c>
      <c r="I613" s="17">
        <v>18</v>
      </c>
      <c r="J613" s="36">
        <f t="shared" si="199"/>
        <v>0.1111111111111111</v>
      </c>
      <c r="K613" s="17">
        <v>3</v>
      </c>
      <c r="L613" s="36">
        <f t="shared" si="200"/>
        <v>0.12</v>
      </c>
      <c r="M613" s="17">
        <v>136</v>
      </c>
      <c r="N613" s="36">
        <f t="shared" si="190"/>
        <v>0.83950617283950613</v>
      </c>
      <c r="O613" s="17">
        <v>21</v>
      </c>
      <c r="P613" s="36">
        <f t="shared" si="201"/>
        <v>0.84</v>
      </c>
      <c r="Q613" s="17">
        <v>1</v>
      </c>
      <c r="R613" s="36">
        <f t="shared" si="191"/>
        <v>6.1728395061728392E-3</v>
      </c>
      <c r="S613" s="17">
        <v>0</v>
      </c>
      <c r="T613" s="36">
        <f t="shared" si="202"/>
        <v>0</v>
      </c>
      <c r="U613" s="17">
        <v>7</v>
      </c>
      <c r="V613" s="36">
        <f t="shared" si="192"/>
        <v>4.3209876543209874E-2</v>
      </c>
      <c r="W613" s="17">
        <v>1</v>
      </c>
      <c r="X613" s="36">
        <f t="shared" si="203"/>
        <v>0.04</v>
      </c>
      <c r="Y613" s="17">
        <v>112</v>
      </c>
      <c r="Z613" s="36">
        <f t="shared" si="193"/>
        <v>0.69135802469135799</v>
      </c>
      <c r="AA613" s="17">
        <v>17</v>
      </c>
      <c r="AB613" s="36">
        <f t="shared" si="204"/>
        <v>0.68</v>
      </c>
      <c r="AC613" s="17">
        <v>29</v>
      </c>
      <c r="AD613" s="36">
        <f t="shared" si="194"/>
        <v>0.17901234567901234</v>
      </c>
      <c r="AE613" s="17">
        <v>3</v>
      </c>
      <c r="AF613" s="36">
        <f t="shared" si="205"/>
        <v>0.12</v>
      </c>
      <c r="AG613" s="17">
        <v>11</v>
      </c>
      <c r="AH613" s="36">
        <f t="shared" si="195"/>
        <v>6.7901234567901231E-2</v>
      </c>
      <c r="AI613" s="17">
        <v>3</v>
      </c>
      <c r="AJ613" s="36">
        <f t="shared" si="206"/>
        <v>0.12</v>
      </c>
      <c r="AK613" s="17">
        <v>2</v>
      </c>
      <c r="AL613" s="36">
        <f t="shared" si="196"/>
        <v>1.2345679012345678E-2</v>
      </c>
      <c r="AM613" s="17">
        <v>1</v>
      </c>
      <c r="AN613" s="36">
        <f t="shared" si="207"/>
        <v>0.04</v>
      </c>
      <c r="AO613" s="17">
        <v>162</v>
      </c>
      <c r="AP613" s="17">
        <v>25</v>
      </c>
    </row>
    <row r="614" spans="1:42" ht="15.75" customHeight="1" x14ac:dyDescent="0.25">
      <c r="A614" s="37">
        <v>2020</v>
      </c>
      <c r="B614" s="35">
        <v>170930</v>
      </c>
      <c r="C614" s="34" t="s">
        <v>150</v>
      </c>
      <c r="D614" s="34" t="s">
        <v>61</v>
      </c>
      <c r="E614" s="17">
        <v>4</v>
      </c>
      <c r="F614" s="36">
        <f t="shared" si="197"/>
        <v>2.185792349726776E-2</v>
      </c>
      <c r="G614" s="17">
        <v>0</v>
      </c>
      <c r="H614" s="36">
        <f t="shared" si="198"/>
        <v>0</v>
      </c>
      <c r="I614" s="17">
        <v>6</v>
      </c>
      <c r="J614" s="36">
        <f t="shared" si="199"/>
        <v>3.2786885245901641E-2</v>
      </c>
      <c r="K614" s="17">
        <v>1</v>
      </c>
      <c r="L614" s="36">
        <f t="shared" si="200"/>
        <v>5.5555555555555552E-2</v>
      </c>
      <c r="M614" s="17">
        <v>173</v>
      </c>
      <c r="N614" s="36">
        <f t="shared" si="190"/>
        <v>0.94535519125683065</v>
      </c>
      <c r="O614" s="17">
        <v>17</v>
      </c>
      <c r="P614" s="36">
        <f t="shared" si="201"/>
        <v>0.94444444444444442</v>
      </c>
      <c r="Q614" s="17">
        <v>3</v>
      </c>
      <c r="R614" s="36">
        <f t="shared" si="191"/>
        <v>1.6393442622950821E-2</v>
      </c>
      <c r="S614" s="17">
        <v>0</v>
      </c>
      <c r="T614" s="36">
        <f t="shared" si="202"/>
        <v>0</v>
      </c>
      <c r="U614" s="17">
        <v>8</v>
      </c>
      <c r="V614" s="36">
        <f t="shared" si="192"/>
        <v>4.3715846994535519E-2</v>
      </c>
      <c r="W614" s="17">
        <v>0</v>
      </c>
      <c r="X614" s="36">
        <f t="shared" si="203"/>
        <v>0</v>
      </c>
      <c r="Y614" s="17">
        <v>102</v>
      </c>
      <c r="Z614" s="36">
        <f t="shared" si="193"/>
        <v>0.55737704918032782</v>
      </c>
      <c r="AA614" s="17">
        <v>15</v>
      </c>
      <c r="AB614" s="36">
        <f t="shared" si="204"/>
        <v>0.83333333333333337</v>
      </c>
      <c r="AC614" s="17">
        <v>39</v>
      </c>
      <c r="AD614" s="36">
        <f t="shared" si="194"/>
        <v>0.21311475409836064</v>
      </c>
      <c r="AE614" s="17">
        <v>1</v>
      </c>
      <c r="AF614" s="36">
        <f t="shared" si="205"/>
        <v>5.5555555555555552E-2</v>
      </c>
      <c r="AG614" s="17">
        <v>22</v>
      </c>
      <c r="AH614" s="36">
        <f t="shared" si="195"/>
        <v>0.12021857923497267</v>
      </c>
      <c r="AI614" s="17">
        <v>1</v>
      </c>
      <c r="AJ614" s="36">
        <f t="shared" si="206"/>
        <v>5.5555555555555552E-2</v>
      </c>
      <c r="AK614" s="17">
        <v>9</v>
      </c>
      <c r="AL614" s="36">
        <f t="shared" si="196"/>
        <v>4.9180327868852458E-2</v>
      </c>
      <c r="AM614" s="17">
        <v>1</v>
      </c>
      <c r="AN614" s="36">
        <f t="shared" si="207"/>
        <v>5.5555555555555552E-2</v>
      </c>
      <c r="AO614" s="17">
        <v>183</v>
      </c>
      <c r="AP614" s="17">
        <v>18</v>
      </c>
    </row>
    <row r="615" spans="1:42" ht="15.75" customHeight="1" x14ac:dyDescent="0.25">
      <c r="A615" s="37">
        <v>2020</v>
      </c>
      <c r="B615" s="35">
        <v>170950</v>
      </c>
      <c r="C615" s="34" t="s">
        <v>146</v>
      </c>
      <c r="D615" s="34" t="s">
        <v>62</v>
      </c>
      <c r="E615" s="17">
        <v>28</v>
      </c>
      <c r="F615" s="36">
        <f t="shared" si="197"/>
        <v>2.4844720496894408E-2</v>
      </c>
      <c r="G615" s="17">
        <v>27</v>
      </c>
      <c r="H615" s="36">
        <f t="shared" si="198"/>
        <v>2.8938906752411574E-2</v>
      </c>
      <c r="I615" s="17">
        <v>79</v>
      </c>
      <c r="J615" s="36">
        <f t="shared" si="199"/>
        <v>7.0097604259094948E-2</v>
      </c>
      <c r="K615" s="17">
        <v>74</v>
      </c>
      <c r="L615" s="36">
        <f t="shared" si="200"/>
        <v>7.931404072883172E-2</v>
      </c>
      <c r="M615" s="16">
        <v>1020</v>
      </c>
      <c r="N615" s="36">
        <f t="shared" si="190"/>
        <v>0.9050576752440106</v>
      </c>
      <c r="O615" s="17">
        <v>832</v>
      </c>
      <c r="P615" s="36">
        <f t="shared" si="201"/>
        <v>0.89174705251875674</v>
      </c>
      <c r="Q615" s="17">
        <v>11</v>
      </c>
      <c r="R615" s="36">
        <f t="shared" si="191"/>
        <v>9.7604259094942331E-3</v>
      </c>
      <c r="S615" s="17">
        <v>11</v>
      </c>
      <c r="T615" s="36">
        <f t="shared" si="202"/>
        <v>1.1789924973204717E-2</v>
      </c>
      <c r="U615" s="17">
        <v>48</v>
      </c>
      <c r="V615" s="36">
        <f t="shared" si="192"/>
        <v>4.2590949423247558E-2</v>
      </c>
      <c r="W615" s="17">
        <v>47</v>
      </c>
      <c r="X615" s="36">
        <f t="shared" si="203"/>
        <v>5.0375133976420149E-2</v>
      </c>
      <c r="Y615" s="17">
        <v>789</v>
      </c>
      <c r="Z615" s="36">
        <f t="shared" si="193"/>
        <v>0.70008873114463177</v>
      </c>
      <c r="AA615" s="17">
        <v>664</v>
      </c>
      <c r="AB615" s="36">
        <f t="shared" si="204"/>
        <v>0.71168274383708463</v>
      </c>
      <c r="AC615" s="17">
        <v>180</v>
      </c>
      <c r="AD615" s="36">
        <f t="shared" si="194"/>
        <v>0.15971606033717836</v>
      </c>
      <c r="AE615" s="17">
        <v>138</v>
      </c>
      <c r="AF615" s="36">
        <f t="shared" si="205"/>
        <v>0.14790996784565916</v>
      </c>
      <c r="AG615" s="17">
        <v>83</v>
      </c>
      <c r="AH615" s="36">
        <f t="shared" si="195"/>
        <v>7.3646850044365567E-2</v>
      </c>
      <c r="AI615" s="17">
        <v>62</v>
      </c>
      <c r="AJ615" s="36">
        <f t="shared" si="206"/>
        <v>6.6452304394426578E-2</v>
      </c>
      <c r="AK615" s="17">
        <v>16</v>
      </c>
      <c r="AL615" s="36">
        <f t="shared" si="196"/>
        <v>1.419698314108252E-2</v>
      </c>
      <c r="AM615" s="17">
        <v>11</v>
      </c>
      <c r="AN615" s="36">
        <f t="shared" si="207"/>
        <v>1.1789924973204717E-2</v>
      </c>
      <c r="AO615" s="16">
        <v>1127</v>
      </c>
      <c r="AP615" s="17">
        <v>933</v>
      </c>
    </row>
    <row r="616" spans="1:42" ht="15.75" customHeight="1" x14ac:dyDescent="0.25">
      <c r="A616" s="37">
        <v>2020</v>
      </c>
      <c r="B616" s="35">
        <v>170980</v>
      </c>
      <c r="C616" s="34" t="s">
        <v>151</v>
      </c>
      <c r="D616" s="34" t="s">
        <v>63</v>
      </c>
      <c r="E616" s="17">
        <v>1</v>
      </c>
      <c r="F616" s="36">
        <f t="shared" si="197"/>
        <v>9.9009900990099011E-3</v>
      </c>
      <c r="G616" s="17">
        <v>0</v>
      </c>
      <c r="H616" s="36">
        <f t="shared" si="198"/>
        <v>0</v>
      </c>
      <c r="I616" s="17">
        <v>3</v>
      </c>
      <c r="J616" s="36">
        <f t="shared" si="199"/>
        <v>2.9702970297029702E-2</v>
      </c>
      <c r="K616" s="17">
        <v>1</v>
      </c>
      <c r="L616" s="36">
        <f t="shared" si="200"/>
        <v>1.4285714285714285E-2</v>
      </c>
      <c r="M616" s="17">
        <v>97</v>
      </c>
      <c r="N616" s="36">
        <f t="shared" si="190"/>
        <v>0.96039603960396036</v>
      </c>
      <c r="O616" s="17">
        <v>69</v>
      </c>
      <c r="P616" s="36">
        <f t="shared" si="201"/>
        <v>0.98571428571428577</v>
      </c>
      <c r="Q616" s="17">
        <v>2</v>
      </c>
      <c r="R616" s="36">
        <f t="shared" si="191"/>
        <v>1.9801980198019802E-2</v>
      </c>
      <c r="S616" s="17">
        <v>1</v>
      </c>
      <c r="T616" s="36">
        <f t="shared" si="202"/>
        <v>1.4285714285714285E-2</v>
      </c>
      <c r="U616" s="17">
        <v>3</v>
      </c>
      <c r="V616" s="36">
        <f t="shared" si="192"/>
        <v>2.9702970297029702E-2</v>
      </c>
      <c r="W616" s="17">
        <v>2</v>
      </c>
      <c r="X616" s="36">
        <f t="shared" si="203"/>
        <v>2.8571428571428571E-2</v>
      </c>
      <c r="Y616" s="17">
        <v>52</v>
      </c>
      <c r="Z616" s="36">
        <f t="shared" si="193"/>
        <v>0.51485148514851486</v>
      </c>
      <c r="AA616" s="17">
        <v>36</v>
      </c>
      <c r="AB616" s="36">
        <f t="shared" si="204"/>
        <v>0.51428571428571423</v>
      </c>
      <c r="AC616" s="17">
        <v>27</v>
      </c>
      <c r="AD616" s="36">
        <f t="shared" si="194"/>
        <v>0.26732673267326734</v>
      </c>
      <c r="AE616" s="17">
        <v>21</v>
      </c>
      <c r="AF616" s="36">
        <f t="shared" si="205"/>
        <v>0.3</v>
      </c>
      <c r="AG616" s="17">
        <v>13</v>
      </c>
      <c r="AH616" s="36">
        <f t="shared" si="195"/>
        <v>0.12871287128712872</v>
      </c>
      <c r="AI616" s="17">
        <v>8</v>
      </c>
      <c r="AJ616" s="36">
        <f t="shared" si="206"/>
        <v>0.11428571428571428</v>
      </c>
      <c r="AK616" s="17">
        <v>4</v>
      </c>
      <c r="AL616" s="36">
        <f t="shared" si="196"/>
        <v>3.9603960396039604E-2</v>
      </c>
      <c r="AM616" s="17">
        <v>2</v>
      </c>
      <c r="AN616" s="36">
        <f t="shared" si="207"/>
        <v>2.8571428571428571E-2</v>
      </c>
      <c r="AO616" s="17">
        <v>101</v>
      </c>
      <c r="AP616" s="17">
        <v>70</v>
      </c>
    </row>
    <row r="617" spans="1:42" ht="15.75" customHeight="1" x14ac:dyDescent="0.25">
      <c r="A617" s="37">
        <v>2020</v>
      </c>
      <c r="B617" s="35">
        <v>171050</v>
      </c>
      <c r="C617" s="34" t="s">
        <v>150</v>
      </c>
      <c r="D617" s="34" t="s">
        <v>64</v>
      </c>
      <c r="E617" s="17">
        <v>5</v>
      </c>
      <c r="F617" s="36">
        <f t="shared" si="197"/>
        <v>2.717391304347826E-2</v>
      </c>
      <c r="G617" s="17">
        <v>5</v>
      </c>
      <c r="H617" s="36">
        <f t="shared" si="198"/>
        <v>3.4246575342465752E-2</v>
      </c>
      <c r="I617" s="17">
        <v>18</v>
      </c>
      <c r="J617" s="36">
        <f t="shared" si="199"/>
        <v>9.7826086956521743E-2</v>
      </c>
      <c r="K617" s="17">
        <v>13</v>
      </c>
      <c r="L617" s="36">
        <f t="shared" si="200"/>
        <v>8.9041095890410954E-2</v>
      </c>
      <c r="M617" s="17">
        <v>161</v>
      </c>
      <c r="N617" s="36">
        <f t="shared" si="190"/>
        <v>0.875</v>
      </c>
      <c r="O617" s="17">
        <v>128</v>
      </c>
      <c r="P617" s="36">
        <f t="shared" si="201"/>
        <v>0.87671232876712324</v>
      </c>
      <c r="Q617" s="17">
        <v>1</v>
      </c>
      <c r="R617" s="36">
        <f t="shared" si="191"/>
        <v>5.434782608695652E-3</v>
      </c>
      <c r="S617" s="17">
        <v>1</v>
      </c>
      <c r="T617" s="36">
        <f t="shared" si="202"/>
        <v>6.8493150684931503E-3</v>
      </c>
      <c r="U617" s="17">
        <v>6</v>
      </c>
      <c r="V617" s="36">
        <f t="shared" si="192"/>
        <v>3.2608695652173912E-2</v>
      </c>
      <c r="W617" s="17">
        <v>5</v>
      </c>
      <c r="X617" s="36">
        <f t="shared" si="203"/>
        <v>3.4246575342465752E-2</v>
      </c>
      <c r="Y617" s="17">
        <v>129</v>
      </c>
      <c r="Z617" s="36">
        <f t="shared" si="193"/>
        <v>0.70108695652173914</v>
      </c>
      <c r="AA617" s="17">
        <v>100</v>
      </c>
      <c r="AB617" s="36">
        <f t="shared" si="204"/>
        <v>0.68493150684931503</v>
      </c>
      <c r="AC617" s="17">
        <v>29</v>
      </c>
      <c r="AD617" s="36">
        <f t="shared" si="194"/>
        <v>0.15760869565217392</v>
      </c>
      <c r="AE617" s="17">
        <v>25</v>
      </c>
      <c r="AF617" s="36">
        <f t="shared" si="205"/>
        <v>0.17123287671232876</v>
      </c>
      <c r="AG617" s="17">
        <v>15</v>
      </c>
      <c r="AH617" s="36">
        <f t="shared" si="195"/>
        <v>8.1521739130434784E-2</v>
      </c>
      <c r="AI617" s="17">
        <v>12</v>
      </c>
      <c r="AJ617" s="36">
        <f t="shared" si="206"/>
        <v>8.2191780821917804E-2</v>
      </c>
      <c r="AK617" s="17">
        <v>4</v>
      </c>
      <c r="AL617" s="36">
        <f t="shared" si="196"/>
        <v>2.1739130434782608E-2</v>
      </c>
      <c r="AM617" s="17">
        <v>3</v>
      </c>
      <c r="AN617" s="36">
        <f t="shared" si="207"/>
        <v>2.0547945205479451E-2</v>
      </c>
      <c r="AO617" s="17">
        <v>184</v>
      </c>
      <c r="AP617" s="17">
        <v>146</v>
      </c>
    </row>
    <row r="618" spans="1:42" ht="15.75" customHeight="1" x14ac:dyDescent="0.25">
      <c r="A618" s="37">
        <v>2020</v>
      </c>
      <c r="B618" s="35">
        <v>171070</v>
      </c>
      <c r="C618" s="34" t="s">
        <v>145</v>
      </c>
      <c r="D618" s="34" t="s">
        <v>65</v>
      </c>
      <c r="E618" s="17">
        <v>12</v>
      </c>
      <c r="F618" s="36">
        <f t="shared" si="197"/>
        <v>4.0677966101694912E-2</v>
      </c>
      <c r="G618" s="17">
        <v>8</v>
      </c>
      <c r="H618" s="36">
        <f t="shared" si="198"/>
        <v>3.9215686274509803E-2</v>
      </c>
      <c r="I618" s="17">
        <v>36</v>
      </c>
      <c r="J618" s="36">
        <f t="shared" si="199"/>
        <v>0.12203389830508475</v>
      </c>
      <c r="K618" s="17">
        <v>26</v>
      </c>
      <c r="L618" s="36">
        <f t="shared" si="200"/>
        <v>0.12745098039215685</v>
      </c>
      <c r="M618" s="17">
        <v>247</v>
      </c>
      <c r="N618" s="36">
        <f t="shared" si="190"/>
        <v>0.83728813559322035</v>
      </c>
      <c r="O618" s="17">
        <v>170</v>
      </c>
      <c r="P618" s="36">
        <f t="shared" si="201"/>
        <v>0.83333333333333337</v>
      </c>
      <c r="Q618" s="17">
        <v>3</v>
      </c>
      <c r="R618" s="36">
        <f t="shared" si="191"/>
        <v>1.0169491525423728E-2</v>
      </c>
      <c r="S618" s="17">
        <v>3</v>
      </c>
      <c r="T618" s="36">
        <f t="shared" si="202"/>
        <v>1.4705882352941176E-2</v>
      </c>
      <c r="U618" s="17">
        <v>16</v>
      </c>
      <c r="V618" s="36">
        <f t="shared" si="192"/>
        <v>5.4237288135593219E-2</v>
      </c>
      <c r="W618" s="17">
        <v>12</v>
      </c>
      <c r="X618" s="36">
        <f t="shared" si="203"/>
        <v>5.8823529411764705E-2</v>
      </c>
      <c r="Y618" s="17">
        <v>185</v>
      </c>
      <c r="Z618" s="36">
        <f t="shared" si="193"/>
        <v>0.6271186440677966</v>
      </c>
      <c r="AA618" s="17">
        <v>126</v>
      </c>
      <c r="AB618" s="36">
        <f t="shared" si="204"/>
        <v>0.61764705882352944</v>
      </c>
      <c r="AC618" s="17">
        <v>57</v>
      </c>
      <c r="AD618" s="36">
        <f t="shared" si="194"/>
        <v>0.19322033898305085</v>
      </c>
      <c r="AE618" s="17">
        <v>36</v>
      </c>
      <c r="AF618" s="36">
        <f t="shared" si="205"/>
        <v>0.17647058823529413</v>
      </c>
      <c r="AG618" s="17">
        <v>27</v>
      </c>
      <c r="AH618" s="36">
        <f t="shared" si="195"/>
        <v>9.152542372881356E-2</v>
      </c>
      <c r="AI618" s="17">
        <v>24</v>
      </c>
      <c r="AJ618" s="36">
        <f t="shared" si="206"/>
        <v>0.11764705882352941</v>
      </c>
      <c r="AK618" s="17">
        <v>7</v>
      </c>
      <c r="AL618" s="36">
        <f t="shared" si="196"/>
        <v>2.3728813559322035E-2</v>
      </c>
      <c r="AM618" s="17">
        <v>3</v>
      </c>
      <c r="AN618" s="36">
        <f t="shared" si="207"/>
        <v>1.4705882352941176E-2</v>
      </c>
      <c r="AO618" s="17">
        <v>295</v>
      </c>
      <c r="AP618" s="17">
        <v>204</v>
      </c>
    </row>
    <row r="619" spans="1:42" ht="15.75" customHeight="1" x14ac:dyDescent="0.25">
      <c r="A619" s="37">
        <v>2020</v>
      </c>
      <c r="B619" s="35">
        <v>171090</v>
      </c>
      <c r="C619" s="34" t="s">
        <v>150</v>
      </c>
      <c r="D619" s="34" t="s">
        <v>66</v>
      </c>
      <c r="E619" s="17">
        <v>0</v>
      </c>
      <c r="F619" s="36">
        <f t="shared" si="197"/>
        <v>0</v>
      </c>
      <c r="G619" s="17">
        <v>0</v>
      </c>
      <c r="H619" s="36">
        <f t="shared" si="198"/>
        <v>0</v>
      </c>
      <c r="I619" s="17">
        <v>0</v>
      </c>
      <c r="J619" s="36">
        <f t="shared" si="199"/>
        <v>0</v>
      </c>
      <c r="K619" s="17">
        <v>0</v>
      </c>
      <c r="L619" s="36">
        <f t="shared" si="200"/>
        <v>0</v>
      </c>
      <c r="M619" s="17">
        <v>18</v>
      </c>
      <c r="N619" s="36">
        <f t="shared" si="190"/>
        <v>1</v>
      </c>
      <c r="O619" s="17">
        <v>3</v>
      </c>
      <c r="P619" s="36">
        <f t="shared" si="201"/>
        <v>1</v>
      </c>
      <c r="Q619" s="17">
        <v>0</v>
      </c>
      <c r="R619" s="36">
        <f t="shared" si="191"/>
        <v>0</v>
      </c>
      <c r="S619" s="17">
        <v>0</v>
      </c>
      <c r="T619" s="36">
        <f t="shared" si="202"/>
        <v>0</v>
      </c>
      <c r="U619" s="17">
        <v>0</v>
      </c>
      <c r="V619" s="36">
        <f t="shared" si="192"/>
        <v>0</v>
      </c>
      <c r="W619" s="17">
        <v>0</v>
      </c>
      <c r="X619" s="36">
        <f t="shared" si="203"/>
        <v>0</v>
      </c>
      <c r="Y619" s="17">
        <v>5</v>
      </c>
      <c r="Z619" s="36">
        <f t="shared" si="193"/>
        <v>0.27777777777777779</v>
      </c>
      <c r="AA619" s="17">
        <v>0</v>
      </c>
      <c r="AB619" s="36">
        <f t="shared" si="204"/>
        <v>0</v>
      </c>
      <c r="AC619" s="17">
        <v>6</v>
      </c>
      <c r="AD619" s="36">
        <f t="shared" si="194"/>
        <v>0.33333333333333331</v>
      </c>
      <c r="AE619" s="17">
        <v>0</v>
      </c>
      <c r="AF619" s="36">
        <f t="shared" si="205"/>
        <v>0</v>
      </c>
      <c r="AG619" s="17">
        <v>7</v>
      </c>
      <c r="AH619" s="36">
        <f t="shared" si="195"/>
        <v>0.3888888888888889</v>
      </c>
      <c r="AI619" s="17">
        <v>3</v>
      </c>
      <c r="AJ619" s="36">
        <f t="shared" si="206"/>
        <v>1</v>
      </c>
      <c r="AK619" s="17">
        <v>0</v>
      </c>
      <c r="AL619" s="36">
        <f t="shared" si="196"/>
        <v>0</v>
      </c>
      <c r="AM619" s="17">
        <v>0</v>
      </c>
      <c r="AN619" s="36">
        <f t="shared" si="207"/>
        <v>0</v>
      </c>
      <c r="AO619" s="17">
        <v>18</v>
      </c>
      <c r="AP619" s="17">
        <v>3</v>
      </c>
    </row>
    <row r="620" spans="1:42" ht="15.75" customHeight="1" x14ac:dyDescent="0.25">
      <c r="A620" s="37">
        <v>2020</v>
      </c>
      <c r="B620" s="35">
        <v>171110</v>
      </c>
      <c r="C620" s="34" t="s">
        <v>150</v>
      </c>
      <c r="D620" s="34" t="s">
        <v>67</v>
      </c>
      <c r="E620" s="17">
        <v>1</v>
      </c>
      <c r="F620" s="36">
        <f t="shared" si="197"/>
        <v>2.3809523809523808E-2</v>
      </c>
      <c r="G620" s="17">
        <v>1</v>
      </c>
      <c r="H620" s="36">
        <f t="shared" si="198"/>
        <v>0.04</v>
      </c>
      <c r="I620" s="17">
        <v>0</v>
      </c>
      <c r="J620" s="36">
        <f t="shared" si="199"/>
        <v>0</v>
      </c>
      <c r="K620" s="17">
        <v>0</v>
      </c>
      <c r="L620" s="36">
        <f t="shared" si="200"/>
        <v>0</v>
      </c>
      <c r="M620" s="17">
        <v>41</v>
      </c>
      <c r="N620" s="36">
        <f t="shared" si="190"/>
        <v>0.97619047619047616</v>
      </c>
      <c r="O620" s="17">
        <v>24</v>
      </c>
      <c r="P620" s="36">
        <f t="shared" si="201"/>
        <v>0.96</v>
      </c>
      <c r="Q620" s="17">
        <v>0</v>
      </c>
      <c r="R620" s="36">
        <f t="shared" si="191"/>
        <v>0</v>
      </c>
      <c r="S620" s="17">
        <v>0</v>
      </c>
      <c r="T620" s="36">
        <f t="shared" si="202"/>
        <v>0</v>
      </c>
      <c r="U620" s="17">
        <v>1</v>
      </c>
      <c r="V620" s="36">
        <f t="shared" si="192"/>
        <v>2.3809523809523808E-2</v>
      </c>
      <c r="W620" s="17">
        <v>1</v>
      </c>
      <c r="X620" s="36">
        <f t="shared" si="203"/>
        <v>0.04</v>
      </c>
      <c r="Y620" s="17">
        <v>29</v>
      </c>
      <c r="Z620" s="36">
        <f t="shared" si="193"/>
        <v>0.69047619047619047</v>
      </c>
      <c r="AA620" s="17">
        <v>22</v>
      </c>
      <c r="AB620" s="36">
        <f t="shared" si="204"/>
        <v>0.88</v>
      </c>
      <c r="AC620" s="17">
        <v>8</v>
      </c>
      <c r="AD620" s="36">
        <f t="shared" si="194"/>
        <v>0.19047619047619047</v>
      </c>
      <c r="AE620" s="17">
        <v>2</v>
      </c>
      <c r="AF620" s="36">
        <f t="shared" si="205"/>
        <v>0.08</v>
      </c>
      <c r="AG620" s="17">
        <v>4</v>
      </c>
      <c r="AH620" s="36">
        <f t="shared" si="195"/>
        <v>9.5238095238095233E-2</v>
      </c>
      <c r="AI620" s="17">
        <v>0</v>
      </c>
      <c r="AJ620" s="36">
        <f t="shared" si="206"/>
        <v>0</v>
      </c>
      <c r="AK620" s="17">
        <v>0</v>
      </c>
      <c r="AL620" s="36">
        <f t="shared" si="196"/>
        <v>0</v>
      </c>
      <c r="AM620" s="17">
        <v>0</v>
      </c>
      <c r="AN620" s="36">
        <f t="shared" si="207"/>
        <v>0</v>
      </c>
      <c r="AO620" s="17">
        <v>42</v>
      </c>
      <c r="AP620" s="17">
        <v>25</v>
      </c>
    </row>
    <row r="621" spans="1:42" ht="15.75" customHeight="1" x14ac:dyDescent="0.25">
      <c r="A621" s="37">
        <v>2020</v>
      </c>
      <c r="B621" s="35">
        <v>171150</v>
      </c>
      <c r="C621" s="34" t="s">
        <v>146</v>
      </c>
      <c r="D621" s="34" t="s">
        <v>68</v>
      </c>
      <c r="E621" s="17">
        <v>3</v>
      </c>
      <c r="F621" s="36">
        <f t="shared" si="197"/>
        <v>2.2222222222222223E-2</v>
      </c>
      <c r="G621" s="17">
        <v>3</v>
      </c>
      <c r="H621" s="36">
        <f t="shared" si="198"/>
        <v>2.8571428571428571E-2</v>
      </c>
      <c r="I621" s="17">
        <v>7</v>
      </c>
      <c r="J621" s="36">
        <f t="shared" si="199"/>
        <v>5.185185185185185E-2</v>
      </c>
      <c r="K621" s="17">
        <v>7</v>
      </c>
      <c r="L621" s="36">
        <f t="shared" si="200"/>
        <v>6.6666666666666666E-2</v>
      </c>
      <c r="M621" s="17">
        <v>125</v>
      </c>
      <c r="N621" s="36">
        <f t="shared" si="190"/>
        <v>0.92592592592592593</v>
      </c>
      <c r="O621" s="17">
        <v>95</v>
      </c>
      <c r="P621" s="36">
        <f t="shared" si="201"/>
        <v>0.90476190476190477</v>
      </c>
      <c r="Q621" s="17">
        <v>1</v>
      </c>
      <c r="R621" s="36">
        <f t="shared" si="191"/>
        <v>7.4074074074074077E-3</v>
      </c>
      <c r="S621" s="17">
        <v>1</v>
      </c>
      <c r="T621" s="36">
        <f t="shared" si="202"/>
        <v>9.5238095238095247E-3</v>
      </c>
      <c r="U621" s="17">
        <v>5</v>
      </c>
      <c r="V621" s="36">
        <f t="shared" si="192"/>
        <v>3.7037037037037035E-2</v>
      </c>
      <c r="W621" s="17">
        <v>3</v>
      </c>
      <c r="X621" s="36">
        <f t="shared" si="203"/>
        <v>2.8571428571428571E-2</v>
      </c>
      <c r="Y621" s="17">
        <v>86</v>
      </c>
      <c r="Z621" s="36">
        <f t="shared" si="193"/>
        <v>0.63703703703703707</v>
      </c>
      <c r="AA621" s="17">
        <v>70</v>
      </c>
      <c r="AB621" s="36">
        <f t="shared" si="204"/>
        <v>0.66666666666666663</v>
      </c>
      <c r="AC621" s="17">
        <v>29</v>
      </c>
      <c r="AD621" s="36">
        <f t="shared" si="194"/>
        <v>0.21481481481481482</v>
      </c>
      <c r="AE621" s="17">
        <v>19</v>
      </c>
      <c r="AF621" s="36">
        <f t="shared" si="205"/>
        <v>0.18095238095238095</v>
      </c>
      <c r="AG621" s="17">
        <v>13</v>
      </c>
      <c r="AH621" s="36">
        <f t="shared" si="195"/>
        <v>9.6296296296296297E-2</v>
      </c>
      <c r="AI621" s="17">
        <v>11</v>
      </c>
      <c r="AJ621" s="36">
        <f t="shared" si="206"/>
        <v>0.10476190476190476</v>
      </c>
      <c r="AK621" s="17">
        <v>1</v>
      </c>
      <c r="AL621" s="36">
        <f t="shared" si="196"/>
        <v>7.4074074074074077E-3</v>
      </c>
      <c r="AM621" s="17">
        <v>1</v>
      </c>
      <c r="AN621" s="36">
        <f t="shared" si="207"/>
        <v>9.5238095238095247E-3</v>
      </c>
      <c r="AO621" s="17">
        <v>135</v>
      </c>
      <c r="AP621" s="17">
        <v>105</v>
      </c>
    </row>
    <row r="622" spans="1:42" ht="15.75" customHeight="1" x14ac:dyDescent="0.25">
      <c r="A622" s="37">
        <v>2020</v>
      </c>
      <c r="B622" s="35">
        <v>171180</v>
      </c>
      <c r="C622" s="34" t="s">
        <v>150</v>
      </c>
      <c r="D622" s="34" t="s">
        <v>69</v>
      </c>
      <c r="E622" s="17">
        <v>0</v>
      </c>
      <c r="F622" s="36">
        <f t="shared" si="197"/>
        <v>0</v>
      </c>
      <c r="G622" s="17">
        <v>0</v>
      </c>
      <c r="H622" s="36">
        <f t="shared" si="198"/>
        <v>0</v>
      </c>
      <c r="I622" s="17">
        <v>2</v>
      </c>
      <c r="J622" s="36">
        <f t="shared" si="199"/>
        <v>2.9850746268656716E-2</v>
      </c>
      <c r="K622" s="17">
        <v>2</v>
      </c>
      <c r="L622" s="36">
        <f t="shared" si="200"/>
        <v>3.5087719298245612E-2</v>
      </c>
      <c r="M622" s="17">
        <v>65</v>
      </c>
      <c r="N622" s="36">
        <f t="shared" si="190"/>
        <v>0.97014925373134331</v>
      </c>
      <c r="O622" s="17">
        <v>55</v>
      </c>
      <c r="P622" s="36">
        <f t="shared" si="201"/>
        <v>0.96491228070175439</v>
      </c>
      <c r="Q622" s="17">
        <v>0</v>
      </c>
      <c r="R622" s="36">
        <f t="shared" si="191"/>
        <v>0</v>
      </c>
      <c r="S622" s="17">
        <v>0</v>
      </c>
      <c r="T622" s="36">
        <f t="shared" si="202"/>
        <v>0</v>
      </c>
      <c r="U622" s="17">
        <v>2</v>
      </c>
      <c r="V622" s="36">
        <f t="shared" si="192"/>
        <v>2.9850746268656716E-2</v>
      </c>
      <c r="W622" s="17">
        <v>2</v>
      </c>
      <c r="X622" s="36">
        <f t="shared" si="203"/>
        <v>3.5087719298245612E-2</v>
      </c>
      <c r="Y622" s="17">
        <v>47</v>
      </c>
      <c r="Z622" s="36">
        <f t="shared" si="193"/>
        <v>0.70149253731343286</v>
      </c>
      <c r="AA622" s="17">
        <v>42</v>
      </c>
      <c r="AB622" s="36">
        <f t="shared" si="204"/>
        <v>0.73684210526315785</v>
      </c>
      <c r="AC622" s="17">
        <v>10</v>
      </c>
      <c r="AD622" s="36">
        <f t="shared" si="194"/>
        <v>0.14925373134328357</v>
      </c>
      <c r="AE622" s="17">
        <v>7</v>
      </c>
      <c r="AF622" s="36">
        <f t="shared" si="205"/>
        <v>0.12280701754385964</v>
      </c>
      <c r="AG622" s="17">
        <v>8</v>
      </c>
      <c r="AH622" s="36">
        <f t="shared" si="195"/>
        <v>0.11940298507462686</v>
      </c>
      <c r="AI622" s="17">
        <v>6</v>
      </c>
      <c r="AJ622" s="36">
        <f t="shared" si="206"/>
        <v>0.10526315789473684</v>
      </c>
      <c r="AK622" s="17">
        <v>0</v>
      </c>
      <c r="AL622" s="36">
        <f t="shared" si="196"/>
        <v>0</v>
      </c>
      <c r="AM622" s="17">
        <v>0</v>
      </c>
      <c r="AN622" s="36">
        <f t="shared" si="207"/>
        <v>0</v>
      </c>
      <c r="AO622" s="17">
        <v>67</v>
      </c>
      <c r="AP622" s="17">
        <v>57</v>
      </c>
    </row>
    <row r="623" spans="1:42" ht="15.75" customHeight="1" x14ac:dyDescent="0.25">
      <c r="A623" s="37">
        <v>2020</v>
      </c>
      <c r="B623" s="35">
        <v>171190</v>
      </c>
      <c r="C623" s="34" t="s">
        <v>144</v>
      </c>
      <c r="D623" s="34" t="s">
        <v>70</v>
      </c>
      <c r="E623" s="17">
        <v>0</v>
      </c>
      <c r="F623" s="36">
        <f t="shared" si="197"/>
        <v>0</v>
      </c>
      <c r="G623" s="17">
        <v>0</v>
      </c>
      <c r="H623" s="36">
        <f t="shared" si="198"/>
        <v>0</v>
      </c>
      <c r="I623" s="17">
        <v>4</v>
      </c>
      <c r="J623" s="36">
        <f t="shared" si="199"/>
        <v>3.0303030303030304E-2</v>
      </c>
      <c r="K623" s="17">
        <v>3</v>
      </c>
      <c r="L623" s="36">
        <f t="shared" si="200"/>
        <v>3.2258064516129031E-2</v>
      </c>
      <c r="M623" s="17">
        <v>128</v>
      </c>
      <c r="N623" s="36">
        <f t="shared" si="190"/>
        <v>0.96969696969696972</v>
      </c>
      <c r="O623" s="17">
        <v>90</v>
      </c>
      <c r="P623" s="36">
        <f t="shared" si="201"/>
        <v>0.967741935483871</v>
      </c>
      <c r="Q623" s="17">
        <v>0</v>
      </c>
      <c r="R623" s="36">
        <f t="shared" si="191"/>
        <v>0</v>
      </c>
      <c r="S623" s="17">
        <v>0</v>
      </c>
      <c r="T623" s="36">
        <f t="shared" si="202"/>
        <v>0</v>
      </c>
      <c r="U623" s="17">
        <v>2</v>
      </c>
      <c r="V623" s="36">
        <f t="shared" si="192"/>
        <v>1.5151515151515152E-2</v>
      </c>
      <c r="W623" s="17">
        <v>1</v>
      </c>
      <c r="X623" s="36">
        <f t="shared" si="203"/>
        <v>1.0752688172043012E-2</v>
      </c>
      <c r="Y623" s="17">
        <v>87</v>
      </c>
      <c r="Z623" s="36">
        <f t="shared" si="193"/>
        <v>0.65909090909090906</v>
      </c>
      <c r="AA623" s="17">
        <v>62</v>
      </c>
      <c r="AB623" s="36">
        <f t="shared" si="204"/>
        <v>0.66666666666666663</v>
      </c>
      <c r="AC623" s="17">
        <v>30</v>
      </c>
      <c r="AD623" s="36">
        <f t="shared" si="194"/>
        <v>0.22727272727272727</v>
      </c>
      <c r="AE623" s="17">
        <v>22</v>
      </c>
      <c r="AF623" s="36">
        <f t="shared" si="205"/>
        <v>0.23655913978494625</v>
      </c>
      <c r="AG623" s="17">
        <v>11</v>
      </c>
      <c r="AH623" s="36">
        <f t="shared" si="195"/>
        <v>8.3333333333333329E-2</v>
      </c>
      <c r="AI623" s="17">
        <v>8</v>
      </c>
      <c r="AJ623" s="36">
        <f t="shared" si="206"/>
        <v>8.6021505376344093E-2</v>
      </c>
      <c r="AK623" s="17">
        <v>2</v>
      </c>
      <c r="AL623" s="36">
        <f t="shared" si="196"/>
        <v>1.5151515151515152E-2</v>
      </c>
      <c r="AM623" s="17">
        <v>0</v>
      </c>
      <c r="AN623" s="36">
        <f t="shared" si="207"/>
        <v>0</v>
      </c>
      <c r="AO623" s="17">
        <v>132</v>
      </c>
      <c r="AP623" s="17">
        <v>93</v>
      </c>
    </row>
    <row r="624" spans="1:42" ht="15.75" customHeight="1" x14ac:dyDescent="0.25">
      <c r="A624" s="37">
        <v>2020</v>
      </c>
      <c r="B624" s="35">
        <v>171195</v>
      </c>
      <c r="C624" s="34" t="s">
        <v>148</v>
      </c>
      <c r="D624" s="34" t="s">
        <v>71</v>
      </c>
      <c r="E624" s="17">
        <v>2</v>
      </c>
      <c r="F624" s="36">
        <f t="shared" si="197"/>
        <v>8.7336244541484712E-3</v>
      </c>
      <c r="G624" s="17">
        <v>2</v>
      </c>
      <c r="H624" s="36">
        <f t="shared" si="198"/>
        <v>1.0582010582010581E-2</v>
      </c>
      <c r="I624" s="17">
        <v>12</v>
      </c>
      <c r="J624" s="36">
        <f t="shared" si="199"/>
        <v>5.2401746724890827E-2</v>
      </c>
      <c r="K624" s="17">
        <v>9</v>
      </c>
      <c r="L624" s="36">
        <f t="shared" si="200"/>
        <v>4.7619047619047616E-2</v>
      </c>
      <c r="M624" s="17">
        <v>215</v>
      </c>
      <c r="N624" s="36">
        <f t="shared" si="190"/>
        <v>0.93886462882096067</v>
      </c>
      <c r="O624" s="17">
        <v>178</v>
      </c>
      <c r="P624" s="36">
        <f t="shared" si="201"/>
        <v>0.94179894179894175</v>
      </c>
      <c r="Q624" s="17">
        <v>5</v>
      </c>
      <c r="R624" s="36">
        <f t="shared" si="191"/>
        <v>2.1834061135371178E-2</v>
      </c>
      <c r="S624" s="17">
        <v>5</v>
      </c>
      <c r="T624" s="36">
        <f t="shared" si="202"/>
        <v>2.6455026455026454E-2</v>
      </c>
      <c r="U624" s="17">
        <v>9</v>
      </c>
      <c r="V624" s="36">
        <f t="shared" si="192"/>
        <v>3.9301310043668124E-2</v>
      </c>
      <c r="W624" s="17">
        <v>8</v>
      </c>
      <c r="X624" s="36">
        <f t="shared" si="203"/>
        <v>4.2328042328042326E-2</v>
      </c>
      <c r="Y624" s="17">
        <v>157</v>
      </c>
      <c r="Z624" s="36">
        <f t="shared" si="193"/>
        <v>0.68558951965065507</v>
      </c>
      <c r="AA624" s="17">
        <v>133</v>
      </c>
      <c r="AB624" s="36">
        <f t="shared" si="204"/>
        <v>0.70370370370370372</v>
      </c>
      <c r="AC624" s="17">
        <v>42</v>
      </c>
      <c r="AD624" s="36">
        <f t="shared" si="194"/>
        <v>0.18340611353711792</v>
      </c>
      <c r="AE624" s="17">
        <v>32</v>
      </c>
      <c r="AF624" s="36">
        <f t="shared" si="205"/>
        <v>0.1693121693121693</v>
      </c>
      <c r="AG624" s="17">
        <v>12</v>
      </c>
      <c r="AH624" s="36">
        <f t="shared" si="195"/>
        <v>5.2401746724890827E-2</v>
      </c>
      <c r="AI624" s="17">
        <v>8</v>
      </c>
      <c r="AJ624" s="36">
        <f t="shared" si="206"/>
        <v>4.2328042328042326E-2</v>
      </c>
      <c r="AK624" s="17">
        <v>4</v>
      </c>
      <c r="AL624" s="36">
        <f t="shared" si="196"/>
        <v>1.7467248908296942E-2</v>
      </c>
      <c r="AM624" s="17">
        <v>3</v>
      </c>
      <c r="AN624" s="36">
        <f t="shared" si="207"/>
        <v>1.5873015873015872E-2</v>
      </c>
      <c r="AO624" s="17">
        <v>229</v>
      </c>
      <c r="AP624" s="17">
        <v>189</v>
      </c>
    </row>
    <row r="625" spans="1:42" ht="15.75" customHeight="1" x14ac:dyDescent="0.25">
      <c r="A625" s="37">
        <v>2020</v>
      </c>
      <c r="B625" s="35">
        <v>171200</v>
      </c>
      <c r="C625" s="34" t="s">
        <v>148</v>
      </c>
      <c r="D625" s="34" t="s">
        <v>72</v>
      </c>
      <c r="E625" s="17">
        <v>3</v>
      </c>
      <c r="F625" s="36">
        <f t="shared" si="197"/>
        <v>9.6774193548387094E-2</v>
      </c>
      <c r="G625" s="17">
        <v>3</v>
      </c>
      <c r="H625" s="36">
        <f t="shared" si="198"/>
        <v>0.21428571428571427</v>
      </c>
      <c r="I625" s="17">
        <v>3</v>
      </c>
      <c r="J625" s="36">
        <f t="shared" si="199"/>
        <v>9.6774193548387094E-2</v>
      </c>
      <c r="K625" s="17">
        <v>2</v>
      </c>
      <c r="L625" s="36">
        <f t="shared" si="200"/>
        <v>0.14285714285714285</v>
      </c>
      <c r="M625" s="17">
        <v>25</v>
      </c>
      <c r="N625" s="36">
        <f t="shared" si="190"/>
        <v>0.80645161290322576</v>
      </c>
      <c r="O625" s="17">
        <v>9</v>
      </c>
      <c r="P625" s="36">
        <f t="shared" si="201"/>
        <v>0.6428571428571429</v>
      </c>
      <c r="Q625" s="17">
        <v>0</v>
      </c>
      <c r="R625" s="36">
        <f t="shared" si="191"/>
        <v>0</v>
      </c>
      <c r="S625" s="17">
        <v>0</v>
      </c>
      <c r="T625" s="36">
        <f t="shared" si="202"/>
        <v>0</v>
      </c>
      <c r="U625" s="17">
        <v>0</v>
      </c>
      <c r="V625" s="36">
        <f t="shared" si="192"/>
        <v>0</v>
      </c>
      <c r="W625" s="17">
        <v>0</v>
      </c>
      <c r="X625" s="36">
        <f t="shared" si="203"/>
        <v>0</v>
      </c>
      <c r="Y625" s="17">
        <v>18</v>
      </c>
      <c r="Z625" s="36">
        <f t="shared" si="193"/>
        <v>0.58064516129032262</v>
      </c>
      <c r="AA625" s="17">
        <v>7</v>
      </c>
      <c r="AB625" s="36">
        <f t="shared" si="204"/>
        <v>0.5</v>
      </c>
      <c r="AC625" s="17">
        <v>10</v>
      </c>
      <c r="AD625" s="36">
        <f t="shared" si="194"/>
        <v>0.32258064516129031</v>
      </c>
      <c r="AE625" s="17">
        <v>6</v>
      </c>
      <c r="AF625" s="36">
        <f t="shared" si="205"/>
        <v>0.42857142857142855</v>
      </c>
      <c r="AG625" s="17">
        <v>2</v>
      </c>
      <c r="AH625" s="36">
        <f t="shared" si="195"/>
        <v>6.4516129032258063E-2</v>
      </c>
      <c r="AI625" s="17">
        <v>1</v>
      </c>
      <c r="AJ625" s="36">
        <f t="shared" si="206"/>
        <v>7.1428571428571425E-2</v>
      </c>
      <c r="AK625" s="17">
        <v>1</v>
      </c>
      <c r="AL625" s="36">
        <f t="shared" si="196"/>
        <v>3.2258064516129031E-2</v>
      </c>
      <c r="AM625" s="17">
        <v>0</v>
      </c>
      <c r="AN625" s="36">
        <f t="shared" si="207"/>
        <v>0</v>
      </c>
      <c r="AO625" s="17">
        <v>31</v>
      </c>
      <c r="AP625" s="17">
        <v>14</v>
      </c>
    </row>
    <row r="626" spans="1:42" ht="15.75" customHeight="1" x14ac:dyDescent="0.25">
      <c r="A626" s="37">
        <v>2020</v>
      </c>
      <c r="B626" s="35">
        <v>171215</v>
      </c>
      <c r="C626" s="34" t="s">
        <v>147</v>
      </c>
      <c r="D626" s="34" t="s">
        <v>73</v>
      </c>
      <c r="E626" s="17">
        <v>3</v>
      </c>
      <c r="F626" s="36">
        <f t="shared" si="197"/>
        <v>2.3809523809523808E-2</v>
      </c>
      <c r="G626" s="17">
        <v>2</v>
      </c>
      <c r="H626" s="36">
        <f t="shared" si="198"/>
        <v>2.5000000000000001E-2</v>
      </c>
      <c r="I626" s="17">
        <v>6</v>
      </c>
      <c r="J626" s="36">
        <f t="shared" si="199"/>
        <v>4.7619047619047616E-2</v>
      </c>
      <c r="K626" s="17">
        <v>2</v>
      </c>
      <c r="L626" s="36">
        <f t="shared" si="200"/>
        <v>2.5000000000000001E-2</v>
      </c>
      <c r="M626" s="17">
        <v>117</v>
      </c>
      <c r="N626" s="36">
        <f t="shared" si="190"/>
        <v>0.9285714285714286</v>
      </c>
      <c r="O626" s="17">
        <v>76</v>
      </c>
      <c r="P626" s="36">
        <f t="shared" si="201"/>
        <v>0.95</v>
      </c>
      <c r="Q626" s="17">
        <v>0</v>
      </c>
      <c r="R626" s="36">
        <f t="shared" si="191"/>
        <v>0</v>
      </c>
      <c r="S626" s="17">
        <v>0</v>
      </c>
      <c r="T626" s="36">
        <f t="shared" si="202"/>
        <v>0</v>
      </c>
      <c r="U626" s="17">
        <v>8</v>
      </c>
      <c r="V626" s="36">
        <f t="shared" si="192"/>
        <v>6.3492063492063489E-2</v>
      </c>
      <c r="W626" s="17">
        <v>6</v>
      </c>
      <c r="X626" s="36">
        <f t="shared" si="203"/>
        <v>7.4999999999999997E-2</v>
      </c>
      <c r="Y626" s="17">
        <v>79</v>
      </c>
      <c r="Z626" s="36">
        <f t="shared" si="193"/>
        <v>0.62698412698412698</v>
      </c>
      <c r="AA626" s="17">
        <v>52</v>
      </c>
      <c r="AB626" s="36">
        <f t="shared" si="204"/>
        <v>0.65</v>
      </c>
      <c r="AC626" s="17">
        <v>26</v>
      </c>
      <c r="AD626" s="36">
        <f t="shared" si="194"/>
        <v>0.20634920634920634</v>
      </c>
      <c r="AE626" s="17">
        <v>16</v>
      </c>
      <c r="AF626" s="36">
        <f t="shared" si="205"/>
        <v>0.2</v>
      </c>
      <c r="AG626" s="17">
        <v>11</v>
      </c>
      <c r="AH626" s="36">
        <f t="shared" si="195"/>
        <v>8.7301587301587297E-2</v>
      </c>
      <c r="AI626" s="17">
        <v>6</v>
      </c>
      <c r="AJ626" s="36">
        <f t="shared" si="206"/>
        <v>7.4999999999999997E-2</v>
      </c>
      <c r="AK626" s="17">
        <v>2</v>
      </c>
      <c r="AL626" s="36">
        <f t="shared" si="196"/>
        <v>1.5873015873015872E-2</v>
      </c>
      <c r="AM626" s="17">
        <v>0</v>
      </c>
      <c r="AN626" s="36">
        <f t="shared" si="207"/>
        <v>0</v>
      </c>
      <c r="AO626" s="17">
        <v>126</v>
      </c>
      <c r="AP626" s="17">
        <v>80</v>
      </c>
    </row>
    <row r="627" spans="1:42" ht="15.75" customHeight="1" x14ac:dyDescent="0.25">
      <c r="A627" s="37">
        <v>2020</v>
      </c>
      <c r="B627" s="35">
        <v>171240</v>
      </c>
      <c r="C627" s="34" t="s">
        <v>148</v>
      </c>
      <c r="D627" s="34" t="s">
        <v>74</v>
      </c>
      <c r="E627" s="17">
        <v>0</v>
      </c>
      <c r="F627" s="36">
        <f t="shared" si="197"/>
        <v>0</v>
      </c>
      <c r="G627" s="17">
        <v>0</v>
      </c>
      <c r="H627" s="36">
        <f t="shared" si="198"/>
        <v>0</v>
      </c>
      <c r="I627" s="17">
        <v>1</v>
      </c>
      <c r="J627" s="36">
        <f t="shared" si="199"/>
        <v>0.33333333333333331</v>
      </c>
      <c r="K627" s="17">
        <v>1</v>
      </c>
      <c r="L627" s="36">
        <f t="shared" si="200"/>
        <v>1</v>
      </c>
      <c r="M627" s="17">
        <v>2</v>
      </c>
      <c r="N627" s="36">
        <f t="shared" si="190"/>
        <v>0.66666666666666663</v>
      </c>
      <c r="O627" s="17">
        <v>0</v>
      </c>
      <c r="P627" s="36">
        <f t="shared" si="201"/>
        <v>0</v>
      </c>
      <c r="Q627" s="17">
        <v>0</v>
      </c>
      <c r="R627" s="36">
        <f t="shared" si="191"/>
        <v>0</v>
      </c>
      <c r="S627" s="17">
        <v>0</v>
      </c>
      <c r="T627" s="36">
        <f t="shared" si="202"/>
        <v>0</v>
      </c>
      <c r="U627" s="17">
        <v>0</v>
      </c>
      <c r="V627" s="36">
        <f t="shared" si="192"/>
        <v>0</v>
      </c>
      <c r="W627" s="17">
        <v>0</v>
      </c>
      <c r="X627" s="36">
        <f t="shared" si="203"/>
        <v>0</v>
      </c>
      <c r="Y627" s="17">
        <v>2</v>
      </c>
      <c r="Z627" s="36">
        <f t="shared" si="193"/>
        <v>0.66666666666666663</v>
      </c>
      <c r="AA627" s="17">
        <v>1</v>
      </c>
      <c r="AB627" s="36">
        <f t="shared" si="204"/>
        <v>1</v>
      </c>
      <c r="AC627" s="17">
        <v>1</v>
      </c>
      <c r="AD627" s="36">
        <f t="shared" si="194"/>
        <v>0.33333333333333331</v>
      </c>
      <c r="AE627" s="17">
        <v>0</v>
      </c>
      <c r="AF627" s="36">
        <f t="shared" si="205"/>
        <v>0</v>
      </c>
      <c r="AG627" s="17">
        <v>0</v>
      </c>
      <c r="AH627" s="36">
        <f t="shared" si="195"/>
        <v>0</v>
      </c>
      <c r="AI627" s="17">
        <v>0</v>
      </c>
      <c r="AJ627" s="36">
        <f t="shared" si="206"/>
        <v>0</v>
      </c>
      <c r="AK627" s="17">
        <v>0</v>
      </c>
      <c r="AL627" s="36">
        <f t="shared" si="196"/>
        <v>0</v>
      </c>
      <c r="AM627" s="17">
        <v>0</v>
      </c>
      <c r="AN627" s="36">
        <f t="shared" si="207"/>
        <v>0</v>
      </c>
      <c r="AO627" s="17">
        <v>3</v>
      </c>
      <c r="AP627" s="17">
        <v>1</v>
      </c>
    </row>
    <row r="628" spans="1:42" ht="15.75" customHeight="1" x14ac:dyDescent="0.25">
      <c r="A628" s="37">
        <v>2020</v>
      </c>
      <c r="B628" s="35">
        <v>171245</v>
      </c>
      <c r="C628" s="34" t="s">
        <v>145</v>
      </c>
      <c r="D628" s="34" t="s">
        <v>75</v>
      </c>
      <c r="E628" s="17">
        <v>2</v>
      </c>
      <c r="F628" s="36">
        <f t="shared" si="197"/>
        <v>2.6666666666666668E-2</v>
      </c>
      <c r="G628" s="17">
        <v>0</v>
      </c>
      <c r="H628" s="36">
        <f t="shared" si="198"/>
        <v>0</v>
      </c>
      <c r="I628" s="17">
        <v>5</v>
      </c>
      <c r="J628" s="36">
        <f t="shared" si="199"/>
        <v>6.6666666666666666E-2</v>
      </c>
      <c r="K628" s="17">
        <v>2</v>
      </c>
      <c r="L628" s="36">
        <f t="shared" si="200"/>
        <v>0.125</v>
      </c>
      <c r="M628" s="17">
        <v>68</v>
      </c>
      <c r="N628" s="36">
        <f t="shared" si="190"/>
        <v>0.90666666666666662</v>
      </c>
      <c r="O628" s="17">
        <v>14</v>
      </c>
      <c r="P628" s="36">
        <f t="shared" si="201"/>
        <v>0.875</v>
      </c>
      <c r="Q628" s="17">
        <v>0</v>
      </c>
      <c r="R628" s="36">
        <f t="shared" si="191"/>
        <v>0</v>
      </c>
      <c r="S628" s="17">
        <v>0</v>
      </c>
      <c r="T628" s="36">
        <f t="shared" si="202"/>
        <v>0</v>
      </c>
      <c r="U628" s="17">
        <v>2</v>
      </c>
      <c r="V628" s="36">
        <f t="shared" si="192"/>
        <v>2.6666666666666668E-2</v>
      </c>
      <c r="W628" s="17">
        <v>1</v>
      </c>
      <c r="X628" s="36">
        <f t="shared" si="203"/>
        <v>6.25E-2</v>
      </c>
      <c r="Y628" s="17">
        <v>56</v>
      </c>
      <c r="Z628" s="36">
        <f t="shared" si="193"/>
        <v>0.7466666666666667</v>
      </c>
      <c r="AA628" s="17">
        <v>13</v>
      </c>
      <c r="AB628" s="36">
        <f t="shared" si="204"/>
        <v>0.8125</v>
      </c>
      <c r="AC628" s="17">
        <v>14</v>
      </c>
      <c r="AD628" s="36">
        <f t="shared" si="194"/>
        <v>0.18666666666666668</v>
      </c>
      <c r="AE628" s="17">
        <v>2</v>
      </c>
      <c r="AF628" s="36">
        <f t="shared" si="205"/>
        <v>0.125</v>
      </c>
      <c r="AG628" s="17">
        <v>3</v>
      </c>
      <c r="AH628" s="36">
        <f t="shared" si="195"/>
        <v>0.04</v>
      </c>
      <c r="AI628" s="17">
        <v>0</v>
      </c>
      <c r="AJ628" s="36">
        <f t="shared" si="206"/>
        <v>0</v>
      </c>
      <c r="AK628" s="17">
        <v>0</v>
      </c>
      <c r="AL628" s="36">
        <f t="shared" si="196"/>
        <v>0</v>
      </c>
      <c r="AM628" s="17">
        <v>0</v>
      </c>
      <c r="AN628" s="36">
        <f t="shared" si="207"/>
        <v>0</v>
      </c>
      <c r="AO628" s="17">
        <v>75</v>
      </c>
      <c r="AP628" s="17">
        <v>16</v>
      </c>
    </row>
    <row r="629" spans="1:42" ht="15.75" customHeight="1" x14ac:dyDescent="0.25">
      <c r="A629" s="37">
        <v>2020</v>
      </c>
      <c r="B629" s="35">
        <v>171250</v>
      </c>
      <c r="C629" s="34" t="s">
        <v>144</v>
      </c>
      <c r="D629" s="34" t="s">
        <v>76</v>
      </c>
      <c r="E629" s="17">
        <v>1</v>
      </c>
      <c r="F629" s="36">
        <f t="shared" si="197"/>
        <v>6.8965517241379309E-3</v>
      </c>
      <c r="G629" s="17">
        <v>1</v>
      </c>
      <c r="H629" s="36">
        <f t="shared" si="198"/>
        <v>9.9009900990099011E-3</v>
      </c>
      <c r="I629" s="17">
        <v>6</v>
      </c>
      <c r="J629" s="36">
        <f t="shared" si="199"/>
        <v>4.1379310344827586E-2</v>
      </c>
      <c r="K629" s="17">
        <v>5</v>
      </c>
      <c r="L629" s="36">
        <f t="shared" si="200"/>
        <v>4.9504950495049507E-2</v>
      </c>
      <c r="M629" s="17">
        <v>138</v>
      </c>
      <c r="N629" s="36">
        <f t="shared" si="190"/>
        <v>0.9517241379310345</v>
      </c>
      <c r="O629" s="17">
        <v>95</v>
      </c>
      <c r="P629" s="36">
        <f t="shared" si="201"/>
        <v>0.94059405940594054</v>
      </c>
      <c r="Q629" s="17">
        <v>2</v>
      </c>
      <c r="R629" s="36">
        <f t="shared" si="191"/>
        <v>1.3793103448275862E-2</v>
      </c>
      <c r="S629" s="17">
        <v>2</v>
      </c>
      <c r="T629" s="36">
        <f t="shared" si="202"/>
        <v>1.9801980198019802E-2</v>
      </c>
      <c r="U629" s="17">
        <v>3</v>
      </c>
      <c r="V629" s="36">
        <f t="shared" si="192"/>
        <v>2.0689655172413793E-2</v>
      </c>
      <c r="W629" s="17">
        <v>2</v>
      </c>
      <c r="X629" s="36">
        <f t="shared" si="203"/>
        <v>1.9801980198019802E-2</v>
      </c>
      <c r="Y629" s="17">
        <v>81</v>
      </c>
      <c r="Z629" s="36">
        <f t="shared" si="193"/>
        <v>0.55862068965517242</v>
      </c>
      <c r="AA629" s="17">
        <v>62</v>
      </c>
      <c r="AB629" s="36">
        <f t="shared" si="204"/>
        <v>0.61386138613861385</v>
      </c>
      <c r="AC629" s="17">
        <v>39</v>
      </c>
      <c r="AD629" s="36">
        <f t="shared" si="194"/>
        <v>0.26896551724137929</v>
      </c>
      <c r="AE629" s="17">
        <v>22</v>
      </c>
      <c r="AF629" s="36">
        <f t="shared" si="205"/>
        <v>0.21782178217821782</v>
      </c>
      <c r="AG629" s="17">
        <v>17</v>
      </c>
      <c r="AH629" s="36">
        <f t="shared" si="195"/>
        <v>0.11724137931034483</v>
      </c>
      <c r="AI629" s="17">
        <v>10</v>
      </c>
      <c r="AJ629" s="36">
        <f t="shared" si="206"/>
        <v>9.9009900990099015E-2</v>
      </c>
      <c r="AK629" s="17">
        <v>3</v>
      </c>
      <c r="AL629" s="36">
        <f t="shared" si="196"/>
        <v>2.0689655172413793E-2</v>
      </c>
      <c r="AM629" s="17">
        <v>3</v>
      </c>
      <c r="AN629" s="36">
        <f t="shared" si="207"/>
        <v>2.9702970297029702E-2</v>
      </c>
      <c r="AO629" s="17">
        <v>145</v>
      </c>
      <c r="AP629" s="17">
        <v>101</v>
      </c>
    </row>
    <row r="630" spans="1:42" ht="15.75" customHeight="1" x14ac:dyDescent="0.25">
      <c r="A630" s="37">
        <v>2020</v>
      </c>
      <c r="B630" s="35">
        <v>171270</v>
      </c>
      <c r="C630" s="34" t="s">
        <v>151</v>
      </c>
      <c r="D630" s="34" t="s">
        <v>77</v>
      </c>
      <c r="E630" s="17">
        <v>5</v>
      </c>
      <c r="F630" s="36">
        <f t="shared" si="197"/>
        <v>4.2016806722689079E-2</v>
      </c>
      <c r="G630" s="17">
        <v>5</v>
      </c>
      <c r="H630" s="36">
        <f t="shared" si="198"/>
        <v>4.2735042735042736E-2</v>
      </c>
      <c r="I630" s="17">
        <v>5</v>
      </c>
      <c r="J630" s="36">
        <f t="shared" si="199"/>
        <v>4.2016806722689079E-2</v>
      </c>
      <c r="K630" s="17">
        <v>5</v>
      </c>
      <c r="L630" s="36">
        <f t="shared" si="200"/>
        <v>4.2735042735042736E-2</v>
      </c>
      <c r="M630" s="17">
        <v>109</v>
      </c>
      <c r="N630" s="36">
        <f t="shared" si="190"/>
        <v>0.91596638655462181</v>
      </c>
      <c r="O630" s="17">
        <v>107</v>
      </c>
      <c r="P630" s="36">
        <f t="shared" si="201"/>
        <v>0.9145299145299145</v>
      </c>
      <c r="Q630" s="17">
        <v>1</v>
      </c>
      <c r="R630" s="36">
        <f t="shared" si="191"/>
        <v>8.4033613445378148E-3</v>
      </c>
      <c r="S630" s="17">
        <v>1</v>
      </c>
      <c r="T630" s="36">
        <f t="shared" si="202"/>
        <v>8.5470085470085479E-3</v>
      </c>
      <c r="U630" s="17">
        <v>5</v>
      </c>
      <c r="V630" s="36">
        <f t="shared" si="192"/>
        <v>4.2016806722689079E-2</v>
      </c>
      <c r="W630" s="17">
        <v>5</v>
      </c>
      <c r="X630" s="36">
        <f t="shared" si="203"/>
        <v>4.2735042735042736E-2</v>
      </c>
      <c r="Y630" s="17">
        <v>95</v>
      </c>
      <c r="Z630" s="36">
        <f t="shared" si="193"/>
        <v>0.79831932773109249</v>
      </c>
      <c r="AA630" s="17">
        <v>93</v>
      </c>
      <c r="AB630" s="36">
        <f t="shared" si="204"/>
        <v>0.79487179487179482</v>
      </c>
      <c r="AC630" s="17">
        <v>12</v>
      </c>
      <c r="AD630" s="36">
        <f t="shared" si="194"/>
        <v>0.10084033613445378</v>
      </c>
      <c r="AE630" s="17">
        <v>12</v>
      </c>
      <c r="AF630" s="36">
        <f t="shared" si="205"/>
        <v>0.10256410256410256</v>
      </c>
      <c r="AG630" s="17">
        <v>6</v>
      </c>
      <c r="AH630" s="36">
        <f t="shared" si="195"/>
        <v>5.0420168067226892E-2</v>
      </c>
      <c r="AI630" s="17">
        <v>6</v>
      </c>
      <c r="AJ630" s="36">
        <f t="shared" si="206"/>
        <v>5.128205128205128E-2</v>
      </c>
      <c r="AK630" s="17">
        <v>0</v>
      </c>
      <c r="AL630" s="36">
        <f t="shared" si="196"/>
        <v>0</v>
      </c>
      <c r="AM630" s="17">
        <v>0</v>
      </c>
      <c r="AN630" s="36">
        <f t="shared" si="207"/>
        <v>0</v>
      </c>
      <c r="AO630" s="17">
        <v>119</v>
      </c>
      <c r="AP630" s="17">
        <v>117</v>
      </c>
    </row>
    <row r="631" spans="1:42" ht="15.75" customHeight="1" x14ac:dyDescent="0.25">
      <c r="A631" s="37">
        <v>2020</v>
      </c>
      <c r="B631" s="35">
        <v>171280</v>
      </c>
      <c r="C631" s="34" t="s">
        <v>145</v>
      </c>
      <c r="D631" s="34" t="s">
        <v>78</v>
      </c>
      <c r="E631" s="17">
        <v>0</v>
      </c>
      <c r="F631" s="36">
        <f t="shared" si="197"/>
        <v>0</v>
      </c>
      <c r="G631" s="17">
        <v>0</v>
      </c>
      <c r="H631" s="36">
        <f t="shared" si="198"/>
        <v>0</v>
      </c>
      <c r="I631" s="17">
        <v>3</v>
      </c>
      <c r="J631" s="36">
        <f t="shared" si="199"/>
        <v>2.6785714285714284E-2</v>
      </c>
      <c r="K631" s="17">
        <v>1</v>
      </c>
      <c r="L631" s="36">
        <f t="shared" si="200"/>
        <v>6.25E-2</v>
      </c>
      <c r="M631" s="17">
        <v>109</v>
      </c>
      <c r="N631" s="36">
        <f t="shared" ref="N631:N694" si="208">IFERROR(M631/$AO631,0)</f>
        <v>0.9732142857142857</v>
      </c>
      <c r="O631" s="17">
        <v>15</v>
      </c>
      <c r="P631" s="36">
        <f t="shared" si="201"/>
        <v>0.9375</v>
      </c>
      <c r="Q631" s="17">
        <v>1</v>
      </c>
      <c r="R631" s="36">
        <f t="shared" ref="R631:R694" si="209">IFERROR(Q631/$AO631,0)</f>
        <v>8.9285714285714281E-3</v>
      </c>
      <c r="S631" s="17">
        <v>0</v>
      </c>
      <c r="T631" s="36">
        <f t="shared" si="202"/>
        <v>0</v>
      </c>
      <c r="U631" s="17">
        <v>4</v>
      </c>
      <c r="V631" s="36">
        <f t="shared" ref="V631:V694" si="210">IFERROR(U631/$AO631,0)</f>
        <v>3.5714285714285712E-2</v>
      </c>
      <c r="W631" s="17">
        <v>0</v>
      </c>
      <c r="X631" s="36">
        <f t="shared" si="203"/>
        <v>0</v>
      </c>
      <c r="Y631" s="17">
        <v>80</v>
      </c>
      <c r="Z631" s="36">
        <f t="shared" ref="Z631:Z694" si="211">IFERROR(Y631/$AO631,0)</f>
        <v>0.7142857142857143</v>
      </c>
      <c r="AA631" s="17">
        <v>13</v>
      </c>
      <c r="AB631" s="36">
        <f t="shared" si="204"/>
        <v>0.8125</v>
      </c>
      <c r="AC631" s="17">
        <v>21</v>
      </c>
      <c r="AD631" s="36">
        <f t="shared" ref="AD631:AD694" si="212">IFERROR(AC631/$AO631,0)</f>
        <v>0.1875</v>
      </c>
      <c r="AE631" s="17">
        <v>3</v>
      </c>
      <c r="AF631" s="36">
        <f t="shared" si="205"/>
        <v>0.1875</v>
      </c>
      <c r="AG631" s="17">
        <v>4</v>
      </c>
      <c r="AH631" s="36">
        <f t="shared" ref="AH631:AH694" si="213">IFERROR(AG631/$AO631,0)</f>
        <v>3.5714285714285712E-2</v>
      </c>
      <c r="AI631" s="17">
        <v>0</v>
      </c>
      <c r="AJ631" s="36">
        <f t="shared" si="206"/>
        <v>0</v>
      </c>
      <c r="AK631" s="17">
        <v>2</v>
      </c>
      <c r="AL631" s="36">
        <f t="shared" ref="AL631:AL694" si="214">IFERROR(AK631/$AO631,0)</f>
        <v>1.7857142857142856E-2</v>
      </c>
      <c r="AM631" s="17">
        <v>0</v>
      </c>
      <c r="AN631" s="36">
        <f t="shared" si="207"/>
        <v>0</v>
      </c>
      <c r="AO631" s="17">
        <v>112</v>
      </c>
      <c r="AP631" s="17">
        <v>16</v>
      </c>
    </row>
    <row r="632" spans="1:42" ht="15.75" customHeight="1" x14ac:dyDescent="0.25">
      <c r="A632" s="37">
        <v>2020</v>
      </c>
      <c r="B632" s="35">
        <v>171320</v>
      </c>
      <c r="C632" s="34" t="s">
        <v>148</v>
      </c>
      <c r="D632" s="34" t="s">
        <v>79</v>
      </c>
      <c r="E632" s="17">
        <v>30</v>
      </c>
      <c r="F632" s="36">
        <f t="shared" si="197"/>
        <v>3.0211480362537766E-2</v>
      </c>
      <c r="G632" s="17">
        <v>11</v>
      </c>
      <c r="H632" s="36">
        <f t="shared" si="198"/>
        <v>2.9569892473118281E-2</v>
      </c>
      <c r="I632" s="17">
        <v>67</v>
      </c>
      <c r="J632" s="36">
        <f t="shared" si="199"/>
        <v>6.747230614300101E-2</v>
      </c>
      <c r="K632" s="17">
        <v>19</v>
      </c>
      <c r="L632" s="36">
        <f t="shared" si="200"/>
        <v>5.1075268817204304E-2</v>
      </c>
      <c r="M632" s="17">
        <v>896</v>
      </c>
      <c r="N632" s="36">
        <f t="shared" si="208"/>
        <v>0.90231621349446123</v>
      </c>
      <c r="O632" s="17">
        <v>342</v>
      </c>
      <c r="P632" s="36">
        <f t="shared" si="201"/>
        <v>0.91935483870967738</v>
      </c>
      <c r="Q632" s="17">
        <v>15</v>
      </c>
      <c r="R632" s="36">
        <f t="shared" si="209"/>
        <v>1.5105740181268883E-2</v>
      </c>
      <c r="S632" s="17">
        <v>3</v>
      </c>
      <c r="T632" s="36">
        <f t="shared" si="202"/>
        <v>8.0645161290322578E-3</v>
      </c>
      <c r="U632" s="17">
        <v>30</v>
      </c>
      <c r="V632" s="36">
        <f t="shared" si="210"/>
        <v>3.0211480362537766E-2</v>
      </c>
      <c r="W632" s="17">
        <v>11</v>
      </c>
      <c r="X632" s="36">
        <f t="shared" si="203"/>
        <v>2.9569892473118281E-2</v>
      </c>
      <c r="Y632" s="17">
        <v>693</v>
      </c>
      <c r="Z632" s="36">
        <f t="shared" si="211"/>
        <v>0.69788519637462232</v>
      </c>
      <c r="AA632" s="17">
        <v>270</v>
      </c>
      <c r="AB632" s="36">
        <f t="shared" si="204"/>
        <v>0.72580645161290325</v>
      </c>
      <c r="AC632" s="17">
        <v>196</v>
      </c>
      <c r="AD632" s="36">
        <f t="shared" si="212"/>
        <v>0.1973816717019134</v>
      </c>
      <c r="AE632" s="17">
        <v>67</v>
      </c>
      <c r="AF632" s="36">
        <f t="shared" si="205"/>
        <v>0.18010752688172044</v>
      </c>
      <c r="AG632" s="17">
        <v>57</v>
      </c>
      <c r="AH632" s="36">
        <f t="shared" si="213"/>
        <v>5.7401812688821753E-2</v>
      </c>
      <c r="AI632" s="17">
        <v>20</v>
      </c>
      <c r="AJ632" s="36">
        <f t="shared" si="206"/>
        <v>5.3763440860215055E-2</v>
      </c>
      <c r="AK632" s="17">
        <v>2</v>
      </c>
      <c r="AL632" s="36">
        <f t="shared" si="214"/>
        <v>2.014098690835851E-3</v>
      </c>
      <c r="AM632" s="17">
        <v>1</v>
      </c>
      <c r="AN632" s="36">
        <f t="shared" si="207"/>
        <v>2.6881720430107529E-3</v>
      </c>
      <c r="AO632" s="17">
        <v>993</v>
      </c>
      <c r="AP632" s="17">
        <v>372</v>
      </c>
    </row>
    <row r="633" spans="1:42" ht="15.75" customHeight="1" x14ac:dyDescent="0.25">
      <c r="A633" s="37">
        <v>2020</v>
      </c>
      <c r="B633" s="35">
        <v>171330</v>
      </c>
      <c r="C633" s="34" t="s">
        <v>148</v>
      </c>
      <c r="D633" s="34" t="s">
        <v>80</v>
      </c>
      <c r="E633" s="17">
        <v>3</v>
      </c>
      <c r="F633" s="36">
        <f t="shared" si="197"/>
        <v>1.3636363636363636E-2</v>
      </c>
      <c r="G633" s="17">
        <v>2</v>
      </c>
      <c r="H633" s="36">
        <f t="shared" si="198"/>
        <v>1.5748031496062992E-2</v>
      </c>
      <c r="I633" s="17">
        <v>13</v>
      </c>
      <c r="J633" s="36">
        <f t="shared" si="199"/>
        <v>5.909090909090909E-2</v>
      </c>
      <c r="K633" s="17">
        <v>8</v>
      </c>
      <c r="L633" s="36">
        <f t="shared" si="200"/>
        <v>6.2992125984251968E-2</v>
      </c>
      <c r="M633" s="17">
        <v>204</v>
      </c>
      <c r="N633" s="36">
        <f t="shared" si="208"/>
        <v>0.92727272727272725</v>
      </c>
      <c r="O633" s="17">
        <v>117</v>
      </c>
      <c r="P633" s="36">
        <f t="shared" si="201"/>
        <v>0.92125984251968507</v>
      </c>
      <c r="Q633" s="17">
        <v>2</v>
      </c>
      <c r="R633" s="36">
        <f t="shared" si="209"/>
        <v>9.0909090909090905E-3</v>
      </c>
      <c r="S633" s="17">
        <v>1</v>
      </c>
      <c r="T633" s="36">
        <f t="shared" si="202"/>
        <v>7.874015748031496E-3</v>
      </c>
      <c r="U633" s="17">
        <v>6</v>
      </c>
      <c r="V633" s="36">
        <f t="shared" si="210"/>
        <v>2.7272727272727271E-2</v>
      </c>
      <c r="W633" s="17">
        <v>4</v>
      </c>
      <c r="X633" s="36">
        <f t="shared" si="203"/>
        <v>3.1496062992125984E-2</v>
      </c>
      <c r="Y633" s="17">
        <v>142</v>
      </c>
      <c r="Z633" s="36">
        <f t="shared" si="211"/>
        <v>0.6454545454545455</v>
      </c>
      <c r="AA633" s="17">
        <v>84</v>
      </c>
      <c r="AB633" s="36">
        <f t="shared" si="204"/>
        <v>0.66141732283464572</v>
      </c>
      <c r="AC633" s="17">
        <v>40</v>
      </c>
      <c r="AD633" s="36">
        <f t="shared" si="212"/>
        <v>0.18181818181818182</v>
      </c>
      <c r="AE633" s="17">
        <v>26</v>
      </c>
      <c r="AF633" s="36">
        <f t="shared" si="205"/>
        <v>0.20472440944881889</v>
      </c>
      <c r="AG633" s="17">
        <v>26</v>
      </c>
      <c r="AH633" s="36">
        <f t="shared" si="213"/>
        <v>0.11818181818181818</v>
      </c>
      <c r="AI633" s="17">
        <v>9</v>
      </c>
      <c r="AJ633" s="36">
        <f t="shared" si="206"/>
        <v>7.0866141732283464E-2</v>
      </c>
      <c r="AK633" s="17">
        <v>4</v>
      </c>
      <c r="AL633" s="36">
        <f t="shared" si="214"/>
        <v>1.8181818181818181E-2</v>
      </c>
      <c r="AM633" s="17">
        <v>3</v>
      </c>
      <c r="AN633" s="36">
        <f t="shared" si="207"/>
        <v>2.3622047244094488E-2</v>
      </c>
      <c r="AO633" s="17">
        <v>220</v>
      </c>
      <c r="AP633" s="17">
        <v>127</v>
      </c>
    </row>
    <row r="634" spans="1:42" ht="15.75" customHeight="1" x14ac:dyDescent="0.25">
      <c r="A634" s="37">
        <v>2020</v>
      </c>
      <c r="B634" s="35">
        <v>171360</v>
      </c>
      <c r="C634" s="34" t="s">
        <v>151</v>
      </c>
      <c r="D634" s="34" t="s">
        <v>81</v>
      </c>
      <c r="E634" s="17">
        <v>1</v>
      </c>
      <c r="F634" s="36">
        <f t="shared" si="197"/>
        <v>2.0408163265306121E-2</v>
      </c>
      <c r="G634" s="17">
        <v>1</v>
      </c>
      <c r="H634" s="36">
        <f t="shared" si="198"/>
        <v>5.2631578947368418E-2</v>
      </c>
      <c r="I634" s="17">
        <v>3</v>
      </c>
      <c r="J634" s="36">
        <f t="shared" si="199"/>
        <v>6.1224489795918366E-2</v>
      </c>
      <c r="K634" s="17">
        <v>1</v>
      </c>
      <c r="L634" s="36">
        <f t="shared" si="200"/>
        <v>5.2631578947368418E-2</v>
      </c>
      <c r="M634" s="17">
        <v>45</v>
      </c>
      <c r="N634" s="36">
        <f t="shared" si="208"/>
        <v>0.91836734693877553</v>
      </c>
      <c r="O634" s="17">
        <v>17</v>
      </c>
      <c r="P634" s="36">
        <f t="shared" si="201"/>
        <v>0.89473684210526316</v>
      </c>
      <c r="Q634" s="17">
        <v>0</v>
      </c>
      <c r="R634" s="36">
        <f t="shared" si="209"/>
        <v>0</v>
      </c>
      <c r="S634" s="17">
        <v>0</v>
      </c>
      <c r="T634" s="36">
        <f t="shared" si="202"/>
        <v>0</v>
      </c>
      <c r="U634" s="17">
        <v>2</v>
      </c>
      <c r="V634" s="36">
        <f t="shared" si="210"/>
        <v>4.0816326530612242E-2</v>
      </c>
      <c r="W634" s="17">
        <v>2</v>
      </c>
      <c r="X634" s="36">
        <f t="shared" si="203"/>
        <v>0.10526315789473684</v>
      </c>
      <c r="Y634" s="17">
        <v>33</v>
      </c>
      <c r="Z634" s="36">
        <f t="shared" si="211"/>
        <v>0.67346938775510201</v>
      </c>
      <c r="AA634" s="17">
        <v>12</v>
      </c>
      <c r="AB634" s="36">
        <f t="shared" si="204"/>
        <v>0.63157894736842102</v>
      </c>
      <c r="AC634" s="17">
        <v>10</v>
      </c>
      <c r="AD634" s="36">
        <f t="shared" si="212"/>
        <v>0.20408163265306123</v>
      </c>
      <c r="AE634" s="17">
        <v>4</v>
      </c>
      <c r="AF634" s="36">
        <f t="shared" si="205"/>
        <v>0.21052631578947367</v>
      </c>
      <c r="AG634" s="17">
        <v>4</v>
      </c>
      <c r="AH634" s="36">
        <f t="shared" si="213"/>
        <v>8.1632653061224483E-2</v>
      </c>
      <c r="AI634" s="17">
        <v>1</v>
      </c>
      <c r="AJ634" s="36">
        <f t="shared" si="206"/>
        <v>5.2631578947368418E-2</v>
      </c>
      <c r="AK634" s="17">
        <v>0</v>
      </c>
      <c r="AL634" s="36">
        <f t="shared" si="214"/>
        <v>0</v>
      </c>
      <c r="AM634" s="17">
        <v>0</v>
      </c>
      <c r="AN634" s="36">
        <f t="shared" si="207"/>
        <v>0</v>
      </c>
      <c r="AO634" s="17">
        <v>49</v>
      </c>
      <c r="AP634" s="17">
        <v>19</v>
      </c>
    </row>
    <row r="635" spans="1:42" ht="15.75" customHeight="1" x14ac:dyDescent="0.25">
      <c r="A635" s="37">
        <v>2020</v>
      </c>
      <c r="B635" s="35">
        <v>171370</v>
      </c>
      <c r="C635" s="34" t="s">
        <v>144</v>
      </c>
      <c r="D635" s="34" t="s">
        <v>82</v>
      </c>
      <c r="E635" s="17">
        <v>3</v>
      </c>
      <c r="F635" s="36">
        <f t="shared" si="197"/>
        <v>2.3622047244094488E-2</v>
      </c>
      <c r="G635" s="17">
        <v>1</v>
      </c>
      <c r="H635" s="36">
        <f t="shared" si="198"/>
        <v>1.282051282051282E-2</v>
      </c>
      <c r="I635" s="17">
        <v>11</v>
      </c>
      <c r="J635" s="36">
        <f t="shared" si="199"/>
        <v>8.6614173228346455E-2</v>
      </c>
      <c r="K635" s="17">
        <v>9</v>
      </c>
      <c r="L635" s="36">
        <f t="shared" si="200"/>
        <v>0.11538461538461539</v>
      </c>
      <c r="M635" s="17">
        <v>113</v>
      </c>
      <c r="N635" s="36">
        <f t="shared" si="208"/>
        <v>0.88976377952755903</v>
      </c>
      <c r="O635" s="17">
        <v>68</v>
      </c>
      <c r="P635" s="36">
        <f t="shared" si="201"/>
        <v>0.87179487179487181</v>
      </c>
      <c r="Q635" s="17">
        <v>2</v>
      </c>
      <c r="R635" s="36">
        <f t="shared" si="209"/>
        <v>1.5748031496062992E-2</v>
      </c>
      <c r="S635" s="17">
        <v>2</v>
      </c>
      <c r="T635" s="36">
        <f t="shared" si="202"/>
        <v>2.564102564102564E-2</v>
      </c>
      <c r="U635" s="17">
        <v>6</v>
      </c>
      <c r="V635" s="36">
        <f t="shared" si="210"/>
        <v>4.7244094488188976E-2</v>
      </c>
      <c r="W635" s="17">
        <v>4</v>
      </c>
      <c r="X635" s="36">
        <f t="shared" si="203"/>
        <v>5.128205128205128E-2</v>
      </c>
      <c r="Y635" s="17">
        <v>79</v>
      </c>
      <c r="Z635" s="36">
        <f t="shared" si="211"/>
        <v>0.62204724409448819</v>
      </c>
      <c r="AA635" s="17">
        <v>49</v>
      </c>
      <c r="AB635" s="36">
        <f t="shared" si="204"/>
        <v>0.62820512820512819</v>
      </c>
      <c r="AC635" s="17">
        <v>27</v>
      </c>
      <c r="AD635" s="36">
        <f t="shared" si="212"/>
        <v>0.2125984251968504</v>
      </c>
      <c r="AE635" s="17">
        <v>15</v>
      </c>
      <c r="AF635" s="36">
        <f t="shared" si="205"/>
        <v>0.19230769230769232</v>
      </c>
      <c r="AG635" s="17">
        <v>13</v>
      </c>
      <c r="AH635" s="36">
        <f t="shared" si="213"/>
        <v>0.10236220472440945</v>
      </c>
      <c r="AI635" s="17">
        <v>8</v>
      </c>
      <c r="AJ635" s="36">
        <f t="shared" si="206"/>
        <v>0.10256410256410256</v>
      </c>
      <c r="AK635" s="17">
        <v>0</v>
      </c>
      <c r="AL635" s="36">
        <f t="shared" si="214"/>
        <v>0</v>
      </c>
      <c r="AM635" s="17">
        <v>0</v>
      </c>
      <c r="AN635" s="36">
        <f t="shared" si="207"/>
        <v>0</v>
      </c>
      <c r="AO635" s="17">
        <v>127</v>
      </c>
      <c r="AP635" s="17">
        <v>78</v>
      </c>
    </row>
    <row r="636" spans="1:42" ht="15.75" customHeight="1" x14ac:dyDescent="0.25">
      <c r="A636" s="37">
        <v>2020</v>
      </c>
      <c r="B636" s="35">
        <v>171395</v>
      </c>
      <c r="C636" s="34" t="s">
        <v>149</v>
      </c>
      <c r="D636" s="34" t="s">
        <v>83</v>
      </c>
      <c r="E636" s="17">
        <v>5</v>
      </c>
      <c r="F636" s="36">
        <f t="shared" si="197"/>
        <v>3.0674846625766871E-2</v>
      </c>
      <c r="G636" s="17">
        <v>3</v>
      </c>
      <c r="H636" s="36">
        <f t="shared" si="198"/>
        <v>2.7522935779816515E-2</v>
      </c>
      <c r="I636" s="17">
        <v>9</v>
      </c>
      <c r="J636" s="36">
        <f t="shared" si="199"/>
        <v>5.5214723926380369E-2</v>
      </c>
      <c r="K636" s="17">
        <v>3</v>
      </c>
      <c r="L636" s="36">
        <f t="shared" si="200"/>
        <v>2.7522935779816515E-2</v>
      </c>
      <c r="M636" s="17">
        <v>149</v>
      </c>
      <c r="N636" s="36">
        <f t="shared" si="208"/>
        <v>0.91411042944785281</v>
      </c>
      <c r="O636" s="17">
        <v>103</v>
      </c>
      <c r="P636" s="36">
        <f t="shared" si="201"/>
        <v>0.94495412844036697</v>
      </c>
      <c r="Q636" s="17">
        <v>3</v>
      </c>
      <c r="R636" s="36">
        <f t="shared" si="209"/>
        <v>1.8404907975460124E-2</v>
      </c>
      <c r="S636" s="17">
        <v>2</v>
      </c>
      <c r="T636" s="36">
        <f t="shared" si="202"/>
        <v>1.834862385321101E-2</v>
      </c>
      <c r="U636" s="17">
        <v>4</v>
      </c>
      <c r="V636" s="36">
        <f t="shared" si="210"/>
        <v>2.4539877300613498E-2</v>
      </c>
      <c r="W636" s="17">
        <v>3</v>
      </c>
      <c r="X636" s="36">
        <f t="shared" si="203"/>
        <v>2.7522935779816515E-2</v>
      </c>
      <c r="Y636" s="17">
        <v>132</v>
      </c>
      <c r="Z636" s="36">
        <f t="shared" si="211"/>
        <v>0.80981595092024539</v>
      </c>
      <c r="AA636" s="17">
        <v>90</v>
      </c>
      <c r="AB636" s="36">
        <f t="shared" si="204"/>
        <v>0.82568807339449546</v>
      </c>
      <c r="AC636" s="17">
        <v>21</v>
      </c>
      <c r="AD636" s="36">
        <f t="shared" si="212"/>
        <v>0.12883435582822086</v>
      </c>
      <c r="AE636" s="17">
        <v>13</v>
      </c>
      <c r="AF636" s="36">
        <f t="shared" si="205"/>
        <v>0.11926605504587157</v>
      </c>
      <c r="AG636" s="17">
        <v>3</v>
      </c>
      <c r="AH636" s="36">
        <f t="shared" si="213"/>
        <v>1.8404907975460124E-2</v>
      </c>
      <c r="AI636" s="17">
        <v>1</v>
      </c>
      <c r="AJ636" s="36">
        <f t="shared" si="206"/>
        <v>9.1743119266055051E-3</v>
      </c>
      <c r="AK636" s="17">
        <v>0</v>
      </c>
      <c r="AL636" s="36">
        <f t="shared" si="214"/>
        <v>0</v>
      </c>
      <c r="AM636" s="17">
        <v>0</v>
      </c>
      <c r="AN636" s="36">
        <f t="shared" si="207"/>
        <v>0</v>
      </c>
      <c r="AO636" s="17">
        <v>163</v>
      </c>
      <c r="AP636" s="17">
        <v>109</v>
      </c>
    </row>
    <row r="637" spans="1:42" ht="15.75" customHeight="1" x14ac:dyDescent="0.25">
      <c r="A637" s="37">
        <v>2020</v>
      </c>
      <c r="B637" s="35">
        <v>171420</v>
      </c>
      <c r="C637" s="34" t="s">
        <v>151</v>
      </c>
      <c r="D637" s="34" t="s">
        <v>84</v>
      </c>
      <c r="E637" s="17">
        <v>0</v>
      </c>
      <c r="F637" s="36">
        <f t="shared" si="197"/>
        <v>0</v>
      </c>
      <c r="G637" s="17">
        <v>0</v>
      </c>
      <c r="H637" s="36">
        <f t="shared" si="198"/>
        <v>0</v>
      </c>
      <c r="I637" s="17">
        <v>3</v>
      </c>
      <c r="J637" s="36">
        <f t="shared" si="199"/>
        <v>1.1857707509881422E-2</v>
      </c>
      <c r="K637" s="17">
        <v>0</v>
      </c>
      <c r="L637" s="36">
        <f t="shared" si="200"/>
        <v>0</v>
      </c>
      <c r="M637" s="17">
        <v>250</v>
      </c>
      <c r="N637" s="36">
        <f t="shared" si="208"/>
        <v>0.98814229249011853</v>
      </c>
      <c r="O637" s="17">
        <v>39</v>
      </c>
      <c r="P637" s="36">
        <f t="shared" si="201"/>
        <v>1</v>
      </c>
      <c r="Q637" s="17">
        <v>3</v>
      </c>
      <c r="R637" s="36">
        <f t="shared" si="209"/>
        <v>1.1857707509881422E-2</v>
      </c>
      <c r="S637" s="17">
        <v>0</v>
      </c>
      <c r="T637" s="36">
        <f t="shared" si="202"/>
        <v>0</v>
      </c>
      <c r="U637" s="17">
        <v>7</v>
      </c>
      <c r="V637" s="36">
        <f t="shared" si="210"/>
        <v>2.766798418972332E-2</v>
      </c>
      <c r="W637" s="17">
        <v>0</v>
      </c>
      <c r="X637" s="36">
        <f t="shared" si="203"/>
        <v>0</v>
      </c>
      <c r="Y637" s="17">
        <v>157</v>
      </c>
      <c r="Z637" s="36">
        <f t="shared" si="211"/>
        <v>0.62055335968379444</v>
      </c>
      <c r="AA637" s="17">
        <v>21</v>
      </c>
      <c r="AB637" s="36">
        <f t="shared" si="204"/>
        <v>0.53846153846153844</v>
      </c>
      <c r="AC637" s="17">
        <v>50</v>
      </c>
      <c r="AD637" s="36">
        <f t="shared" si="212"/>
        <v>0.19762845849802371</v>
      </c>
      <c r="AE637" s="17">
        <v>10</v>
      </c>
      <c r="AF637" s="36">
        <f t="shared" si="205"/>
        <v>0.25641025641025639</v>
      </c>
      <c r="AG637" s="17">
        <v>29</v>
      </c>
      <c r="AH637" s="36">
        <f t="shared" si="213"/>
        <v>0.11462450592885376</v>
      </c>
      <c r="AI637" s="17">
        <v>7</v>
      </c>
      <c r="AJ637" s="36">
        <f t="shared" si="206"/>
        <v>0.17948717948717949</v>
      </c>
      <c r="AK637" s="17">
        <v>7</v>
      </c>
      <c r="AL637" s="36">
        <f t="shared" si="214"/>
        <v>2.766798418972332E-2</v>
      </c>
      <c r="AM637" s="17">
        <v>1</v>
      </c>
      <c r="AN637" s="36">
        <f t="shared" si="207"/>
        <v>2.564102564102564E-2</v>
      </c>
      <c r="AO637" s="17">
        <v>253</v>
      </c>
      <c r="AP637" s="17">
        <v>39</v>
      </c>
    </row>
    <row r="638" spans="1:42" ht="15.75" customHeight="1" x14ac:dyDescent="0.25">
      <c r="A638" s="37">
        <v>2020</v>
      </c>
      <c r="B638" s="35">
        <v>171430</v>
      </c>
      <c r="C638" s="34" t="s">
        <v>145</v>
      </c>
      <c r="D638" s="34" t="s">
        <v>85</v>
      </c>
      <c r="E638" s="17">
        <v>1</v>
      </c>
      <c r="F638" s="36">
        <f t="shared" si="197"/>
        <v>6.8965517241379309E-3</v>
      </c>
      <c r="G638" s="17">
        <v>0</v>
      </c>
      <c r="H638" s="36">
        <f t="shared" si="198"/>
        <v>0</v>
      </c>
      <c r="I638" s="17">
        <v>7</v>
      </c>
      <c r="J638" s="36">
        <f t="shared" si="199"/>
        <v>4.8275862068965517E-2</v>
      </c>
      <c r="K638" s="17">
        <v>6</v>
      </c>
      <c r="L638" s="36">
        <f t="shared" si="200"/>
        <v>4.9180327868852458E-2</v>
      </c>
      <c r="M638" s="17">
        <v>137</v>
      </c>
      <c r="N638" s="36">
        <f t="shared" si="208"/>
        <v>0.94482758620689655</v>
      </c>
      <c r="O638" s="17">
        <v>116</v>
      </c>
      <c r="P638" s="36">
        <f t="shared" si="201"/>
        <v>0.95081967213114749</v>
      </c>
      <c r="Q638" s="17">
        <v>4</v>
      </c>
      <c r="R638" s="36">
        <f t="shared" si="209"/>
        <v>2.7586206896551724E-2</v>
      </c>
      <c r="S638" s="17">
        <v>4</v>
      </c>
      <c r="T638" s="36">
        <f t="shared" si="202"/>
        <v>3.2786885245901641E-2</v>
      </c>
      <c r="U638" s="17">
        <v>9</v>
      </c>
      <c r="V638" s="36">
        <f t="shared" si="210"/>
        <v>6.2068965517241378E-2</v>
      </c>
      <c r="W638" s="17">
        <v>8</v>
      </c>
      <c r="X638" s="36">
        <f t="shared" si="203"/>
        <v>6.5573770491803282E-2</v>
      </c>
      <c r="Y638" s="17">
        <v>103</v>
      </c>
      <c r="Z638" s="36">
        <f t="shared" si="211"/>
        <v>0.71034482758620687</v>
      </c>
      <c r="AA638" s="17">
        <v>84</v>
      </c>
      <c r="AB638" s="36">
        <f t="shared" si="204"/>
        <v>0.68852459016393441</v>
      </c>
      <c r="AC638" s="17">
        <v>24</v>
      </c>
      <c r="AD638" s="36">
        <f t="shared" si="212"/>
        <v>0.16551724137931034</v>
      </c>
      <c r="AE638" s="17">
        <v>22</v>
      </c>
      <c r="AF638" s="36">
        <f t="shared" si="205"/>
        <v>0.18032786885245902</v>
      </c>
      <c r="AG638" s="17">
        <v>4</v>
      </c>
      <c r="AH638" s="36">
        <f t="shared" si="213"/>
        <v>2.7586206896551724E-2</v>
      </c>
      <c r="AI638" s="17">
        <v>3</v>
      </c>
      <c r="AJ638" s="36">
        <f t="shared" si="206"/>
        <v>2.4590163934426229E-2</v>
      </c>
      <c r="AK638" s="17">
        <v>1</v>
      </c>
      <c r="AL638" s="36">
        <f t="shared" si="214"/>
        <v>6.8965517241379309E-3</v>
      </c>
      <c r="AM638" s="17">
        <v>1</v>
      </c>
      <c r="AN638" s="36">
        <f t="shared" si="207"/>
        <v>8.1967213114754103E-3</v>
      </c>
      <c r="AO638" s="17">
        <v>145</v>
      </c>
      <c r="AP638" s="17">
        <v>122</v>
      </c>
    </row>
    <row r="639" spans="1:42" ht="15.75" customHeight="1" x14ac:dyDescent="0.25">
      <c r="A639" s="37">
        <v>2020</v>
      </c>
      <c r="B639" s="35">
        <v>171488</v>
      </c>
      <c r="C639" s="34" t="s">
        <v>149</v>
      </c>
      <c r="D639" s="34" t="s">
        <v>86</v>
      </c>
      <c r="E639" s="17">
        <v>23</v>
      </c>
      <c r="F639" s="36">
        <f t="shared" si="197"/>
        <v>0.13294797687861271</v>
      </c>
      <c r="G639" s="17">
        <v>23</v>
      </c>
      <c r="H639" s="36">
        <f t="shared" si="198"/>
        <v>0.17829457364341086</v>
      </c>
      <c r="I639" s="17">
        <v>15</v>
      </c>
      <c r="J639" s="36">
        <f t="shared" si="199"/>
        <v>8.6705202312138727E-2</v>
      </c>
      <c r="K639" s="17">
        <v>12</v>
      </c>
      <c r="L639" s="36">
        <f t="shared" si="200"/>
        <v>9.3023255813953487E-2</v>
      </c>
      <c r="M639" s="17">
        <v>135</v>
      </c>
      <c r="N639" s="36">
        <f t="shared" si="208"/>
        <v>0.78034682080924855</v>
      </c>
      <c r="O639" s="17">
        <v>94</v>
      </c>
      <c r="P639" s="36">
        <f t="shared" si="201"/>
        <v>0.72868217054263562</v>
      </c>
      <c r="Q639" s="17">
        <v>5</v>
      </c>
      <c r="R639" s="36">
        <f t="shared" si="209"/>
        <v>2.8901734104046242E-2</v>
      </c>
      <c r="S639" s="17">
        <v>4</v>
      </c>
      <c r="T639" s="36">
        <f t="shared" si="202"/>
        <v>3.1007751937984496E-2</v>
      </c>
      <c r="U639" s="17">
        <v>7</v>
      </c>
      <c r="V639" s="36">
        <f t="shared" si="210"/>
        <v>4.046242774566474E-2</v>
      </c>
      <c r="W639" s="17">
        <v>6</v>
      </c>
      <c r="X639" s="36">
        <f t="shared" si="203"/>
        <v>4.6511627906976744E-2</v>
      </c>
      <c r="Y639" s="17">
        <v>115</v>
      </c>
      <c r="Z639" s="36">
        <f t="shared" si="211"/>
        <v>0.66473988439306353</v>
      </c>
      <c r="AA639" s="17">
        <v>84</v>
      </c>
      <c r="AB639" s="36">
        <f t="shared" si="204"/>
        <v>0.65116279069767447</v>
      </c>
      <c r="AC639" s="17">
        <v>39</v>
      </c>
      <c r="AD639" s="36">
        <f t="shared" si="212"/>
        <v>0.22543352601156069</v>
      </c>
      <c r="AE639" s="17">
        <v>30</v>
      </c>
      <c r="AF639" s="36">
        <f t="shared" si="205"/>
        <v>0.23255813953488372</v>
      </c>
      <c r="AG639" s="17">
        <v>5</v>
      </c>
      <c r="AH639" s="36">
        <f t="shared" si="213"/>
        <v>2.8901734104046242E-2</v>
      </c>
      <c r="AI639" s="17">
        <v>4</v>
      </c>
      <c r="AJ639" s="36">
        <f t="shared" si="206"/>
        <v>3.1007751937984496E-2</v>
      </c>
      <c r="AK639" s="17">
        <v>2</v>
      </c>
      <c r="AL639" s="36">
        <f t="shared" si="214"/>
        <v>1.1560693641618497E-2</v>
      </c>
      <c r="AM639" s="17">
        <v>1</v>
      </c>
      <c r="AN639" s="36">
        <f t="shared" si="207"/>
        <v>7.7519379844961239E-3</v>
      </c>
      <c r="AO639" s="17">
        <v>173</v>
      </c>
      <c r="AP639" s="17">
        <v>129</v>
      </c>
    </row>
    <row r="640" spans="1:42" ht="15.75" customHeight="1" x14ac:dyDescent="0.25">
      <c r="A640" s="37">
        <v>2020</v>
      </c>
      <c r="B640" s="35">
        <v>171500</v>
      </c>
      <c r="C640" s="34" t="s">
        <v>144</v>
      </c>
      <c r="D640" s="34" t="s">
        <v>87</v>
      </c>
      <c r="E640" s="17">
        <v>0</v>
      </c>
      <c r="F640" s="36">
        <f t="shared" si="197"/>
        <v>0</v>
      </c>
      <c r="G640" s="17">
        <v>0</v>
      </c>
      <c r="H640" s="36">
        <f t="shared" si="198"/>
        <v>0</v>
      </c>
      <c r="I640" s="17">
        <v>6</v>
      </c>
      <c r="J640" s="36">
        <f t="shared" si="199"/>
        <v>4.2857142857142858E-2</v>
      </c>
      <c r="K640" s="17">
        <v>4</v>
      </c>
      <c r="L640" s="36">
        <f t="shared" si="200"/>
        <v>3.8095238095238099E-2</v>
      </c>
      <c r="M640" s="17">
        <v>134</v>
      </c>
      <c r="N640" s="36">
        <f t="shared" si="208"/>
        <v>0.95714285714285718</v>
      </c>
      <c r="O640" s="17">
        <v>101</v>
      </c>
      <c r="P640" s="36">
        <f t="shared" si="201"/>
        <v>0.96190476190476193</v>
      </c>
      <c r="Q640" s="17">
        <v>2</v>
      </c>
      <c r="R640" s="36">
        <f t="shared" si="209"/>
        <v>1.4285714285714285E-2</v>
      </c>
      <c r="S640" s="17">
        <v>2</v>
      </c>
      <c r="T640" s="36">
        <f t="shared" si="202"/>
        <v>1.9047619047619049E-2</v>
      </c>
      <c r="U640" s="17">
        <v>4</v>
      </c>
      <c r="V640" s="36">
        <f t="shared" si="210"/>
        <v>2.8571428571428571E-2</v>
      </c>
      <c r="W640" s="17">
        <v>3</v>
      </c>
      <c r="X640" s="36">
        <f t="shared" si="203"/>
        <v>2.8571428571428571E-2</v>
      </c>
      <c r="Y640" s="17">
        <v>99</v>
      </c>
      <c r="Z640" s="36">
        <f t="shared" si="211"/>
        <v>0.70714285714285718</v>
      </c>
      <c r="AA640" s="17">
        <v>75</v>
      </c>
      <c r="AB640" s="36">
        <f t="shared" si="204"/>
        <v>0.7142857142857143</v>
      </c>
      <c r="AC640" s="17">
        <v>25</v>
      </c>
      <c r="AD640" s="36">
        <f t="shared" si="212"/>
        <v>0.17857142857142858</v>
      </c>
      <c r="AE640" s="17">
        <v>17</v>
      </c>
      <c r="AF640" s="36">
        <f t="shared" si="205"/>
        <v>0.16190476190476191</v>
      </c>
      <c r="AG640" s="17">
        <v>9</v>
      </c>
      <c r="AH640" s="36">
        <f t="shared" si="213"/>
        <v>6.4285714285714279E-2</v>
      </c>
      <c r="AI640" s="17">
        <v>7</v>
      </c>
      <c r="AJ640" s="36">
        <f t="shared" si="206"/>
        <v>6.6666666666666666E-2</v>
      </c>
      <c r="AK640" s="17">
        <v>1</v>
      </c>
      <c r="AL640" s="36">
        <f t="shared" si="214"/>
        <v>7.1428571428571426E-3</v>
      </c>
      <c r="AM640" s="17">
        <v>1</v>
      </c>
      <c r="AN640" s="36">
        <f t="shared" si="207"/>
        <v>9.5238095238095247E-3</v>
      </c>
      <c r="AO640" s="17">
        <v>140</v>
      </c>
      <c r="AP640" s="17">
        <v>105</v>
      </c>
    </row>
    <row r="641" spans="1:42" ht="15.75" customHeight="1" x14ac:dyDescent="0.25">
      <c r="A641" s="37">
        <v>2020</v>
      </c>
      <c r="B641" s="35">
        <v>171510</v>
      </c>
      <c r="C641" s="34" t="s">
        <v>148</v>
      </c>
      <c r="D641" s="34" t="s">
        <v>88</v>
      </c>
      <c r="E641" s="17">
        <v>1</v>
      </c>
      <c r="F641" s="36">
        <f t="shared" si="197"/>
        <v>1.1904761904761904E-2</v>
      </c>
      <c r="G641" s="17">
        <v>0</v>
      </c>
      <c r="H641" s="36">
        <f t="shared" si="198"/>
        <v>0</v>
      </c>
      <c r="I641" s="17">
        <v>1</v>
      </c>
      <c r="J641" s="36">
        <f t="shared" si="199"/>
        <v>1.1904761904761904E-2</v>
      </c>
      <c r="K641" s="17">
        <v>0</v>
      </c>
      <c r="L641" s="36">
        <f t="shared" si="200"/>
        <v>0</v>
      </c>
      <c r="M641" s="17">
        <v>82</v>
      </c>
      <c r="N641" s="36">
        <f t="shared" si="208"/>
        <v>0.97619047619047616</v>
      </c>
      <c r="O641" s="17">
        <v>17</v>
      </c>
      <c r="P641" s="36">
        <f t="shared" si="201"/>
        <v>1</v>
      </c>
      <c r="Q641" s="17">
        <v>1</v>
      </c>
      <c r="R641" s="36">
        <f t="shared" si="209"/>
        <v>1.1904761904761904E-2</v>
      </c>
      <c r="S641" s="17">
        <v>0</v>
      </c>
      <c r="T641" s="36">
        <f t="shared" si="202"/>
        <v>0</v>
      </c>
      <c r="U641" s="17">
        <v>2</v>
      </c>
      <c r="V641" s="36">
        <f t="shared" si="210"/>
        <v>2.3809523809523808E-2</v>
      </c>
      <c r="W641" s="17">
        <v>0</v>
      </c>
      <c r="X641" s="36">
        <f t="shared" si="203"/>
        <v>0</v>
      </c>
      <c r="Y641" s="17">
        <v>61</v>
      </c>
      <c r="Z641" s="36">
        <f t="shared" si="211"/>
        <v>0.72619047619047616</v>
      </c>
      <c r="AA641" s="17">
        <v>13</v>
      </c>
      <c r="AB641" s="36">
        <f t="shared" si="204"/>
        <v>0.76470588235294112</v>
      </c>
      <c r="AC641" s="17">
        <v>14</v>
      </c>
      <c r="AD641" s="36">
        <f t="shared" si="212"/>
        <v>0.16666666666666666</v>
      </c>
      <c r="AE641" s="17">
        <v>3</v>
      </c>
      <c r="AF641" s="36">
        <f t="shared" si="205"/>
        <v>0.17647058823529413</v>
      </c>
      <c r="AG641" s="17">
        <v>6</v>
      </c>
      <c r="AH641" s="36">
        <f t="shared" si="213"/>
        <v>7.1428571428571425E-2</v>
      </c>
      <c r="AI641" s="17">
        <v>1</v>
      </c>
      <c r="AJ641" s="36">
        <f t="shared" si="206"/>
        <v>5.8823529411764705E-2</v>
      </c>
      <c r="AK641" s="17">
        <v>0</v>
      </c>
      <c r="AL641" s="36">
        <f t="shared" si="214"/>
        <v>0</v>
      </c>
      <c r="AM641" s="17">
        <v>0</v>
      </c>
      <c r="AN641" s="36">
        <f t="shared" si="207"/>
        <v>0</v>
      </c>
      <c r="AO641" s="17">
        <v>84</v>
      </c>
      <c r="AP641" s="17">
        <v>17</v>
      </c>
    </row>
    <row r="642" spans="1:42" ht="15.75" customHeight="1" x14ac:dyDescent="0.25">
      <c r="A642" s="37">
        <v>2020</v>
      </c>
      <c r="B642" s="35">
        <v>171515</v>
      </c>
      <c r="C642" s="34" t="s">
        <v>147</v>
      </c>
      <c r="D642" s="34" t="s">
        <v>89</v>
      </c>
      <c r="E642" s="17">
        <v>5</v>
      </c>
      <c r="F642" s="36">
        <f t="shared" ref="F642:F705" si="215">IFERROR(E642/$AO642,0)</f>
        <v>3.4965034965034968E-2</v>
      </c>
      <c r="G642" s="17">
        <v>2</v>
      </c>
      <c r="H642" s="36">
        <f t="shared" ref="H642:H705" si="216">IFERROR(G642/$AP642,0)</f>
        <v>3.5714285714285712E-2</v>
      </c>
      <c r="I642" s="17">
        <v>3</v>
      </c>
      <c r="J642" s="36">
        <f t="shared" ref="J642:J705" si="217">IFERROR(I642/$AO642,0)</f>
        <v>2.097902097902098E-2</v>
      </c>
      <c r="K642" s="17">
        <v>1</v>
      </c>
      <c r="L642" s="36">
        <f t="shared" ref="L642:L705" si="218">IFERROR(K642/$AP642,0)</f>
        <v>1.7857142857142856E-2</v>
      </c>
      <c r="M642" s="17">
        <v>135</v>
      </c>
      <c r="N642" s="36">
        <f t="shared" si="208"/>
        <v>0.94405594405594406</v>
      </c>
      <c r="O642" s="17">
        <v>53</v>
      </c>
      <c r="P642" s="36">
        <f t="shared" ref="P642:P705" si="219">IFERROR(O642/$AP642,0)</f>
        <v>0.9464285714285714</v>
      </c>
      <c r="Q642" s="17">
        <v>0</v>
      </c>
      <c r="R642" s="36">
        <f t="shared" si="209"/>
        <v>0</v>
      </c>
      <c r="S642" s="17">
        <v>1</v>
      </c>
      <c r="T642" s="36">
        <f t="shared" ref="T642:T705" si="220">IFERROR(S642/$AP642,0)</f>
        <v>1.7857142857142856E-2</v>
      </c>
      <c r="U642" s="17">
        <v>3</v>
      </c>
      <c r="V642" s="36">
        <f t="shared" si="210"/>
        <v>2.097902097902098E-2</v>
      </c>
      <c r="W642" s="17">
        <v>1</v>
      </c>
      <c r="X642" s="36">
        <f t="shared" ref="X642:X705" si="221">IFERROR(W642/$AP642,0)</f>
        <v>1.7857142857142856E-2</v>
      </c>
      <c r="Y642" s="17">
        <v>109</v>
      </c>
      <c r="Z642" s="36">
        <f t="shared" si="211"/>
        <v>0.76223776223776218</v>
      </c>
      <c r="AA642" s="17">
        <v>43</v>
      </c>
      <c r="AB642" s="36">
        <f t="shared" ref="AB642:AB705" si="222">IFERROR(AA642/$AP642,0)</f>
        <v>0.7678571428571429</v>
      </c>
      <c r="AC642" s="17">
        <v>10</v>
      </c>
      <c r="AD642" s="36">
        <f t="shared" si="212"/>
        <v>6.9930069930069935E-2</v>
      </c>
      <c r="AE642" s="17">
        <v>4</v>
      </c>
      <c r="AF642" s="36">
        <f t="shared" ref="AF642:AF705" si="223">IFERROR(AE642/$AP642,0)</f>
        <v>7.1428571428571425E-2</v>
      </c>
      <c r="AG642" s="17">
        <v>19</v>
      </c>
      <c r="AH642" s="36">
        <f t="shared" si="213"/>
        <v>0.13286713286713286</v>
      </c>
      <c r="AI642" s="17">
        <v>6</v>
      </c>
      <c r="AJ642" s="36">
        <f t="shared" ref="AJ642:AJ705" si="224">IFERROR(AI642/$AP642,0)</f>
        <v>0.10714285714285714</v>
      </c>
      <c r="AK642" s="17">
        <v>2</v>
      </c>
      <c r="AL642" s="36">
        <f t="shared" si="214"/>
        <v>1.3986013986013986E-2</v>
      </c>
      <c r="AM642" s="17">
        <v>1</v>
      </c>
      <c r="AN642" s="36">
        <f t="shared" ref="AN642:AN705" si="225">IFERROR(AM642/$AP642,0)</f>
        <v>1.7857142857142856E-2</v>
      </c>
      <c r="AO642" s="17">
        <v>143</v>
      </c>
      <c r="AP642" s="17">
        <v>56</v>
      </c>
    </row>
    <row r="643" spans="1:42" ht="15.75" customHeight="1" x14ac:dyDescent="0.25">
      <c r="A643" s="37">
        <v>2020</v>
      </c>
      <c r="B643" s="35">
        <v>171525</v>
      </c>
      <c r="C643" s="34" t="s">
        <v>147</v>
      </c>
      <c r="D643" s="34" t="s">
        <v>90</v>
      </c>
      <c r="E643" s="17">
        <v>0</v>
      </c>
      <c r="F643" s="36">
        <f t="shared" si="215"/>
        <v>0</v>
      </c>
      <c r="G643" s="17">
        <v>0</v>
      </c>
      <c r="H643" s="36">
        <f t="shared" si="216"/>
        <v>0</v>
      </c>
      <c r="I643" s="17">
        <v>0</v>
      </c>
      <c r="J643" s="36">
        <f t="shared" si="217"/>
        <v>0</v>
      </c>
      <c r="K643" s="17">
        <v>0</v>
      </c>
      <c r="L643" s="36">
        <f t="shared" si="218"/>
        <v>0</v>
      </c>
      <c r="M643" s="17">
        <v>21</v>
      </c>
      <c r="N643" s="36">
        <f t="shared" si="208"/>
        <v>1</v>
      </c>
      <c r="O643" s="17">
        <v>19</v>
      </c>
      <c r="P643" s="36">
        <f t="shared" si="219"/>
        <v>1</v>
      </c>
      <c r="Q643" s="17">
        <v>0</v>
      </c>
      <c r="R643" s="36">
        <f t="shared" si="209"/>
        <v>0</v>
      </c>
      <c r="S643" s="17">
        <v>0</v>
      </c>
      <c r="T643" s="36">
        <f t="shared" si="220"/>
        <v>0</v>
      </c>
      <c r="U643" s="17">
        <v>0</v>
      </c>
      <c r="V643" s="36">
        <f t="shared" si="210"/>
        <v>0</v>
      </c>
      <c r="W643" s="17">
        <v>0</v>
      </c>
      <c r="X643" s="36">
        <f t="shared" si="221"/>
        <v>0</v>
      </c>
      <c r="Y643" s="17">
        <v>17</v>
      </c>
      <c r="Z643" s="36">
        <f t="shared" si="211"/>
        <v>0.80952380952380953</v>
      </c>
      <c r="AA643" s="17">
        <v>15</v>
      </c>
      <c r="AB643" s="36">
        <f t="shared" si="222"/>
        <v>0.78947368421052633</v>
      </c>
      <c r="AC643" s="17">
        <v>2</v>
      </c>
      <c r="AD643" s="36">
        <f t="shared" si="212"/>
        <v>9.5238095238095233E-2</v>
      </c>
      <c r="AE643" s="17">
        <v>2</v>
      </c>
      <c r="AF643" s="36">
        <f t="shared" si="223"/>
        <v>0.10526315789473684</v>
      </c>
      <c r="AG643" s="17">
        <v>2</v>
      </c>
      <c r="AH643" s="36">
        <f t="shared" si="213"/>
        <v>9.5238095238095233E-2</v>
      </c>
      <c r="AI643" s="17">
        <v>2</v>
      </c>
      <c r="AJ643" s="36">
        <f t="shared" si="224"/>
        <v>0.10526315789473684</v>
      </c>
      <c r="AK643" s="17">
        <v>0</v>
      </c>
      <c r="AL643" s="36">
        <f t="shared" si="214"/>
        <v>0</v>
      </c>
      <c r="AM643" s="17">
        <v>0</v>
      </c>
      <c r="AN643" s="36">
        <f t="shared" si="225"/>
        <v>0</v>
      </c>
      <c r="AO643" s="17">
        <v>21</v>
      </c>
      <c r="AP643" s="17">
        <v>19</v>
      </c>
    </row>
    <row r="644" spans="1:42" ht="15.75" customHeight="1" x14ac:dyDescent="0.25">
      <c r="A644" s="37">
        <v>2020</v>
      </c>
      <c r="B644" s="35">
        <v>171550</v>
      </c>
      <c r="C644" s="34" t="s">
        <v>151</v>
      </c>
      <c r="D644" s="34" t="s">
        <v>91</v>
      </c>
      <c r="E644" s="17">
        <v>1</v>
      </c>
      <c r="F644" s="36">
        <f t="shared" si="215"/>
        <v>1.7543859649122806E-2</v>
      </c>
      <c r="G644" s="17">
        <v>1</v>
      </c>
      <c r="H644" s="36">
        <f t="shared" si="216"/>
        <v>1.7857142857142856E-2</v>
      </c>
      <c r="I644" s="17">
        <v>2</v>
      </c>
      <c r="J644" s="36">
        <f t="shared" si="217"/>
        <v>3.5087719298245612E-2</v>
      </c>
      <c r="K644" s="17">
        <v>2</v>
      </c>
      <c r="L644" s="36">
        <f t="shared" si="218"/>
        <v>3.5714285714285712E-2</v>
      </c>
      <c r="M644" s="17">
        <v>54</v>
      </c>
      <c r="N644" s="36">
        <f t="shared" si="208"/>
        <v>0.94736842105263153</v>
      </c>
      <c r="O644" s="17">
        <v>53</v>
      </c>
      <c r="P644" s="36">
        <f t="shared" si="219"/>
        <v>0.9464285714285714</v>
      </c>
      <c r="Q644" s="17">
        <v>0</v>
      </c>
      <c r="R644" s="36">
        <f t="shared" si="209"/>
        <v>0</v>
      </c>
      <c r="S644" s="17">
        <v>0</v>
      </c>
      <c r="T644" s="36">
        <f t="shared" si="220"/>
        <v>0</v>
      </c>
      <c r="U644" s="17">
        <v>3</v>
      </c>
      <c r="V644" s="36">
        <f t="shared" si="210"/>
        <v>5.2631578947368418E-2</v>
      </c>
      <c r="W644" s="17">
        <v>3</v>
      </c>
      <c r="X644" s="36">
        <f t="shared" si="221"/>
        <v>5.3571428571428568E-2</v>
      </c>
      <c r="Y644" s="17">
        <v>39</v>
      </c>
      <c r="Z644" s="36">
        <f t="shared" si="211"/>
        <v>0.68421052631578949</v>
      </c>
      <c r="AA644" s="17">
        <v>37</v>
      </c>
      <c r="AB644" s="36">
        <f t="shared" si="222"/>
        <v>0.6607142857142857</v>
      </c>
      <c r="AC644" s="17">
        <v>11</v>
      </c>
      <c r="AD644" s="36">
        <f t="shared" si="212"/>
        <v>0.19298245614035087</v>
      </c>
      <c r="AE644" s="17">
        <v>11</v>
      </c>
      <c r="AF644" s="36">
        <f t="shared" si="223"/>
        <v>0.19642857142857142</v>
      </c>
      <c r="AG644" s="17">
        <v>3</v>
      </c>
      <c r="AH644" s="36">
        <f t="shared" si="213"/>
        <v>5.2631578947368418E-2</v>
      </c>
      <c r="AI644" s="17">
        <v>4</v>
      </c>
      <c r="AJ644" s="36">
        <f t="shared" si="224"/>
        <v>7.1428571428571425E-2</v>
      </c>
      <c r="AK644" s="17">
        <v>1</v>
      </c>
      <c r="AL644" s="36">
        <f t="shared" si="214"/>
        <v>1.7543859649122806E-2</v>
      </c>
      <c r="AM644" s="17">
        <v>1</v>
      </c>
      <c r="AN644" s="36">
        <f t="shared" si="225"/>
        <v>1.7857142857142856E-2</v>
      </c>
      <c r="AO644" s="17">
        <v>57</v>
      </c>
      <c r="AP644" s="17">
        <v>56</v>
      </c>
    </row>
    <row r="645" spans="1:42" ht="15.75" customHeight="1" x14ac:dyDescent="0.25">
      <c r="A645" s="37">
        <v>2020</v>
      </c>
      <c r="B645" s="35">
        <v>172100</v>
      </c>
      <c r="C645" s="34" t="s">
        <v>148</v>
      </c>
      <c r="D645" s="34" t="s">
        <v>92</v>
      </c>
      <c r="E645" s="17">
        <v>120</v>
      </c>
      <c r="F645" s="36">
        <f t="shared" si="215"/>
        <v>3.0326004548900682E-2</v>
      </c>
      <c r="G645" s="17">
        <v>107</v>
      </c>
      <c r="H645" s="36">
        <f t="shared" si="216"/>
        <v>4.9218031278748853E-2</v>
      </c>
      <c r="I645" s="17">
        <v>204</v>
      </c>
      <c r="J645" s="36">
        <f t="shared" si="217"/>
        <v>5.1554207733131158E-2</v>
      </c>
      <c r="K645" s="17">
        <v>129</v>
      </c>
      <c r="L645" s="36">
        <f t="shared" si="218"/>
        <v>5.9337626494940204E-2</v>
      </c>
      <c r="M645" s="16">
        <v>3633</v>
      </c>
      <c r="N645" s="36">
        <f t="shared" si="208"/>
        <v>0.91811978771796821</v>
      </c>
      <c r="O645" s="16">
        <v>1938</v>
      </c>
      <c r="P645" s="36">
        <f t="shared" si="219"/>
        <v>0.89144434222631097</v>
      </c>
      <c r="Q645" s="17">
        <v>55</v>
      </c>
      <c r="R645" s="36">
        <f t="shared" si="209"/>
        <v>1.3899418751579479E-2</v>
      </c>
      <c r="S645" s="17">
        <v>36</v>
      </c>
      <c r="T645" s="36">
        <f t="shared" si="220"/>
        <v>1.655933762649494E-2</v>
      </c>
      <c r="U645" s="17">
        <v>156</v>
      </c>
      <c r="V645" s="36">
        <f t="shared" si="210"/>
        <v>3.9423805913570885E-2</v>
      </c>
      <c r="W645" s="17">
        <v>95</v>
      </c>
      <c r="X645" s="36">
        <f t="shared" si="221"/>
        <v>4.3698252069917204E-2</v>
      </c>
      <c r="Y645" s="16">
        <v>2569</v>
      </c>
      <c r="Z645" s="36">
        <f t="shared" si="211"/>
        <v>0.64922921405104872</v>
      </c>
      <c r="AA645" s="16">
        <v>1511</v>
      </c>
      <c r="AB645" s="36">
        <f t="shared" si="222"/>
        <v>0.69503219871205146</v>
      </c>
      <c r="AC645" s="17">
        <v>743</v>
      </c>
      <c r="AD645" s="36">
        <f t="shared" si="212"/>
        <v>0.18776851149861007</v>
      </c>
      <c r="AE645" s="17">
        <v>363</v>
      </c>
      <c r="AF645" s="36">
        <f t="shared" si="223"/>
        <v>0.16697332106715732</v>
      </c>
      <c r="AG645" s="17">
        <v>338</v>
      </c>
      <c r="AH645" s="36">
        <f t="shared" si="213"/>
        <v>8.5418246146070256E-2</v>
      </c>
      <c r="AI645" s="17">
        <v>129</v>
      </c>
      <c r="AJ645" s="36">
        <f t="shared" si="224"/>
        <v>5.9337626494940204E-2</v>
      </c>
      <c r="AK645" s="17">
        <v>96</v>
      </c>
      <c r="AL645" s="36">
        <f t="shared" si="214"/>
        <v>2.4260803639120546E-2</v>
      </c>
      <c r="AM645" s="17">
        <v>40</v>
      </c>
      <c r="AN645" s="36">
        <f t="shared" si="225"/>
        <v>1.8399264029438821E-2</v>
      </c>
      <c r="AO645" s="16">
        <v>3957</v>
      </c>
      <c r="AP645" s="16">
        <v>2174</v>
      </c>
    </row>
    <row r="646" spans="1:42" ht="15.75" customHeight="1" x14ac:dyDescent="0.25">
      <c r="A646" s="37">
        <v>2020</v>
      </c>
      <c r="B646" s="35">
        <v>171570</v>
      </c>
      <c r="C646" s="34" t="s">
        <v>150</v>
      </c>
      <c r="D646" s="34" t="s">
        <v>93</v>
      </c>
      <c r="E646" s="17">
        <v>8</v>
      </c>
      <c r="F646" s="36">
        <f t="shared" si="215"/>
        <v>3.4934497816593885E-2</v>
      </c>
      <c r="G646" s="17">
        <v>7</v>
      </c>
      <c r="H646" s="36">
        <f t="shared" si="216"/>
        <v>4.142011834319527E-2</v>
      </c>
      <c r="I646" s="17">
        <v>17</v>
      </c>
      <c r="J646" s="36">
        <f t="shared" si="217"/>
        <v>7.4235807860262015E-2</v>
      </c>
      <c r="K646" s="17">
        <v>13</v>
      </c>
      <c r="L646" s="36">
        <f t="shared" si="218"/>
        <v>7.6923076923076927E-2</v>
      </c>
      <c r="M646" s="17">
        <v>204</v>
      </c>
      <c r="N646" s="36">
        <f t="shared" si="208"/>
        <v>0.89082969432314407</v>
      </c>
      <c r="O646" s="17">
        <v>149</v>
      </c>
      <c r="P646" s="36">
        <f t="shared" si="219"/>
        <v>0.88165680473372776</v>
      </c>
      <c r="Q646" s="17">
        <v>0</v>
      </c>
      <c r="R646" s="36">
        <f t="shared" si="209"/>
        <v>0</v>
      </c>
      <c r="S646" s="17">
        <v>0</v>
      </c>
      <c r="T646" s="36">
        <f t="shared" si="220"/>
        <v>0</v>
      </c>
      <c r="U646" s="17">
        <v>4</v>
      </c>
      <c r="V646" s="36">
        <f t="shared" si="210"/>
        <v>1.7467248908296942E-2</v>
      </c>
      <c r="W646" s="17">
        <v>4</v>
      </c>
      <c r="X646" s="36">
        <f t="shared" si="221"/>
        <v>2.3668639053254437E-2</v>
      </c>
      <c r="Y646" s="17">
        <v>173</v>
      </c>
      <c r="Z646" s="36">
        <f t="shared" si="211"/>
        <v>0.75545851528384278</v>
      </c>
      <c r="AA646" s="17">
        <v>129</v>
      </c>
      <c r="AB646" s="36">
        <f t="shared" si="222"/>
        <v>0.76331360946745563</v>
      </c>
      <c r="AC646" s="17">
        <v>37</v>
      </c>
      <c r="AD646" s="36">
        <f t="shared" si="212"/>
        <v>0.16157205240174671</v>
      </c>
      <c r="AE646" s="17">
        <v>27</v>
      </c>
      <c r="AF646" s="36">
        <f t="shared" si="223"/>
        <v>0.15976331360946747</v>
      </c>
      <c r="AG646" s="17">
        <v>14</v>
      </c>
      <c r="AH646" s="36">
        <f t="shared" si="213"/>
        <v>6.1135371179039298E-2</v>
      </c>
      <c r="AI646" s="17">
        <v>9</v>
      </c>
      <c r="AJ646" s="36">
        <f t="shared" si="224"/>
        <v>5.3254437869822487E-2</v>
      </c>
      <c r="AK646" s="17">
        <v>1</v>
      </c>
      <c r="AL646" s="36">
        <f t="shared" si="214"/>
        <v>4.3668122270742356E-3</v>
      </c>
      <c r="AM646" s="17">
        <v>0</v>
      </c>
      <c r="AN646" s="36">
        <f t="shared" si="225"/>
        <v>0</v>
      </c>
      <c r="AO646" s="17">
        <v>229</v>
      </c>
      <c r="AP646" s="17">
        <v>169</v>
      </c>
    </row>
    <row r="647" spans="1:42" ht="15.75" customHeight="1" x14ac:dyDescent="0.25">
      <c r="A647" s="37">
        <v>2020</v>
      </c>
      <c r="B647" s="35">
        <v>171380</v>
      </c>
      <c r="C647" s="34" t="s">
        <v>145</v>
      </c>
      <c r="D647" s="34" t="s">
        <v>94</v>
      </c>
      <c r="E647" s="17">
        <v>1</v>
      </c>
      <c r="F647" s="36">
        <f t="shared" si="215"/>
        <v>1.020408163265306E-2</v>
      </c>
      <c r="G647" s="17">
        <v>1</v>
      </c>
      <c r="H647" s="36">
        <f t="shared" si="216"/>
        <v>1.1235955056179775E-2</v>
      </c>
      <c r="I647" s="17">
        <v>11</v>
      </c>
      <c r="J647" s="36">
        <f t="shared" si="217"/>
        <v>0.11224489795918367</v>
      </c>
      <c r="K647" s="17">
        <v>10</v>
      </c>
      <c r="L647" s="36">
        <f t="shared" si="218"/>
        <v>0.11235955056179775</v>
      </c>
      <c r="M647" s="17">
        <v>86</v>
      </c>
      <c r="N647" s="36">
        <f t="shared" si="208"/>
        <v>0.87755102040816324</v>
      </c>
      <c r="O647" s="17">
        <v>78</v>
      </c>
      <c r="P647" s="36">
        <f t="shared" si="219"/>
        <v>0.8764044943820225</v>
      </c>
      <c r="Q647" s="17">
        <v>0</v>
      </c>
      <c r="R647" s="36">
        <f t="shared" si="209"/>
        <v>0</v>
      </c>
      <c r="S647" s="17">
        <v>0</v>
      </c>
      <c r="T647" s="36">
        <f t="shared" si="220"/>
        <v>0</v>
      </c>
      <c r="U647" s="17">
        <v>8</v>
      </c>
      <c r="V647" s="36">
        <f t="shared" si="210"/>
        <v>8.1632653061224483E-2</v>
      </c>
      <c r="W647" s="17">
        <v>8</v>
      </c>
      <c r="X647" s="36">
        <f t="shared" si="221"/>
        <v>8.98876404494382E-2</v>
      </c>
      <c r="Y647" s="17">
        <v>67</v>
      </c>
      <c r="Z647" s="36">
        <f t="shared" si="211"/>
        <v>0.68367346938775508</v>
      </c>
      <c r="AA647" s="17">
        <v>61</v>
      </c>
      <c r="AB647" s="36">
        <f t="shared" si="222"/>
        <v>0.6853932584269663</v>
      </c>
      <c r="AC647" s="17">
        <v>20</v>
      </c>
      <c r="AD647" s="36">
        <f t="shared" si="212"/>
        <v>0.20408163265306123</v>
      </c>
      <c r="AE647" s="17">
        <v>18</v>
      </c>
      <c r="AF647" s="36">
        <f t="shared" si="223"/>
        <v>0.20224719101123595</v>
      </c>
      <c r="AG647" s="17">
        <v>3</v>
      </c>
      <c r="AH647" s="36">
        <f t="shared" si="213"/>
        <v>3.0612244897959183E-2</v>
      </c>
      <c r="AI647" s="17">
        <v>2</v>
      </c>
      <c r="AJ647" s="36">
        <f t="shared" si="224"/>
        <v>2.247191011235955E-2</v>
      </c>
      <c r="AK647" s="17">
        <v>0</v>
      </c>
      <c r="AL647" s="36">
        <f t="shared" si="214"/>
        <v>0</v>
      </c>
      <c r="AM647" s="17">
        <v>0</v>
      </c>
      <c r="AN647" s="36">
        <f t="shared" si="225"/>
        <v>0</v>
      </c>
      <c r="AO647" s="17">
        <v>98</v>
      </c>
      <c r="AP647" s="17">
        <v>89</v>
      </c>
    </row>
    <row r="648" spans="1:42" ht="15.75" customHeight="1" x14ac:dyDescent="0.25">
      <c r="A648" s="37">
        <v>2020</v>
      </c>
      <c r="B648" s="35">
        <v>171575</v>
      </c>
      <c r="C648" s="34" t="s">
        <v>146</v>
      </c>
      <c r="D648" s="34" t="s">
        <v>95</v>
      </c>
      <c r="E648" s="17">
        <v>6</v>
      </c>
      <c r="F648" s="36">
        <f t="shared" si="215"/>
        <v>2.3166023166023165E-2</v>
      </c>
      <c r="G648" s="17">
        <v>3</v>
      </c>
      <c r="H648" s="36">
        <f t="shared" si="216"/>
        <v>2.0833333333333332E-2</v>
      </c>
      <c r="I648" s="17">
        <v>9</v>
      </c>
      <c r="J648" s="36">
        <f t="shared" si="217"/>
        <v>3.4749034749034749E-2</v>
      </c>
      <c r="K648" s="17">
        <v>6</v>
      </c>
      <c r="L648" s="36">
        <f t="shared" si="218"/>
        <v>4.1666666666666664E-2</v>
      </c>
      <c r="M648" s="17">
        <v>244</v>
      </c>
      <c r="N648" s="36">
        <f t="shared" si="208"/>
        <v>0.94208494208494209</v>
      </c>
      <c r="O648" s="17">
        <v>135</v>
      </c>
      <c r="P648" s="36">
        <f t="shared" si="219"/>
        <v>0.9375</v>
      </c>
      <c r="Q648" s="17">
        <v>2</v>
      </c>
      <c r="R648" s="36">
        <f t="shared" si="209"/>
        <v>7.7220077220077222E-3</v>
      </c>
      <c r="S648" s="17">
        <v>2</v>
      </c>
      <c r="T648" s="36">
        <f t="shared" si="220"/>
        <v>1.3888888888888888E-2</v>
      </c>
      <c r="U648" s="17">
        <v>8</v>
      </c>
      <c r="V648" s="36">
        <f t="shared" si="210"/>
        <v>3.0888030888030889E-2</v>
      </c>
      <c r="W648" s="17">
        <v>6</v>
      </c>
      <c r="X648" s="36">
        <f t="shared" si="221"/>
        <v>4.1666666666666664E-2</v>
      </c>
      <c r="Y648" s="17">
        <v>179</v>
      </c>
      <c r="Z648" s="36">
        <f t="shared" si="211"/>
        <v>0.69111969111969107</v>
      </c>
      <c r="AA648" s="17">
        <v>96</v>
      </c>
      <c r="AB648" s="36">
        <f t="shared" si="222"/>
        <v>0.66666666666666663</v>
      </c>
      <c r="AC648" s="17">
        <v>49</v>
      </c>
      <c r="AD648" s="36">
        <f t="shared" si="212"/>
        <v>0.1891891891891892</v>
      </c>
      <c r="AE648" s="17">
        <v>26</v>
      </c>
      <c r="AF648" s="36">
        <f t="shared" si="223"/>
        <v>0.18055555555555555</v>
      </c>
      <c r="AG648" s="17">
        <v>14</v>
      </c>
      <c r="AH648" s="36">
        <f t="shared" si="213"/>
        <v>5.4054054054054057E-2</v>
      </c>
      <c r="AI648" s="17">
        <v>10</v>
      </c>
      <c r="AJ648" s="36">
        <f t="shared" si="224"/>
        <v>6.9444444444444448E-2</v>
      </c>
      <c r="AK648" s="17">
        <v>7</v>
      </c>
      <c r="AL648" s="36">
        <f t="shared" si="214"/>
        <v>2.7027027027027029E-2</v>
      </c>
      <c r="AM648" s="17">
        <v>4</v>
      </c>
      <c r="AN648" s="36">
        <f t="shared" si="225"/>
        <v>2.7777777777777776E-2</v>
      </c>
      <c r="AO648" s="17">
        <v>259</v>
      </c>
      <c r="AP648" s="17">
        <v>144</v>
      </c>
    </row>
    <row r="649" spans="1:42" ht="15.75" customHeight="1" x14ac:dyDescent="0.25">
      <c r="A649" s="37">
        <v>2020</v>
      </c>
      <c r="B649" s="35">
        <v>171610</v>
      </c>
      <c r="C649" s="34" t="s">
        <v>144</v>
      </c>
      <c r="D649" s="34" t="s">
        <v>96</v>
      </c>
      <c r="E649" s="17">
        <v>8</v>
      </c>
      <c r="F649" s="36">
        <f t="shared" si="215"/>
        <v>1.8518518518518517E-2</v>
      </c>
      <c r="G649" s="17">
        <v>4</v>
      </c>
      <c r="H649" s="36">
        <f t="shared" si="216"/>
        <v>1.8691588785046728E-2</v>
      </c>
      <c r="I649" s="17">
        <v>13</v>
      </c>
      <c r="J649" s="36">
        <f t="shared" si="217"/>
        <v>3.0092592592592591E-2</v>
      </c>
      <c r="K649" s="17">
        <v>10</v>
      </c>
      <c r="L649" s="36">
        <f t="shared" si="218"/>
        <v>4.6728971962616821E-2</v>
      </c>
      <c r="M649" s="17">
        <v>411</v>
      </c>
      <c r="N649" s="36">
        <f t="shared" si="208"/>
        <v>0.95138888888888884</v>
      </c>
      <c r="O649" s="17">
        <v>200</v>
      </c>
      <c r="P649" s="36">
        <f t="shared" si="219"/>
        <v>0.93457943925233644</v>
      </c>
      <c r="Q649" s="17">
        <v>2</v>
      </c>
      <c r="R649" s="36">
        <f t="shared" si="209"/>
        <v>4.6296296296296294E-3</v>
      </c>
      <c r="S649" s="17">
        <v>2</v>
      </c>
      <c r="T649" s="36">
        <f t="shared" si="220"/>
        <v>9.3457943925233638E-3</v>
      </c>
      <c r="U649" s="17">
        <v>13</v>
      </c>
      <c r="V649" s="36">
        <f t="shared" si="210"/>
        <v>3.0092592592592591E-2</v>
      </c>
      <c r="W649" s="17">
        <v>12</v>
      </c>
      <c r="X649" s="36">
        <f t="shared" si="221"/>
        <v>5.6074766355140186E-2</v>
      </c>
      <c r="Y649" s="17">
        <v>283</v>
      </c>
      <c r="Z649" s="36">
        <f t="shared" si="211"/>
        <v>0.65509259259259256</v>
      </c>
      <c r="AA649" s="17">
        <v>151</v>
      </c>
      <c r="AB649" s="36">
        <f t="shared" si="222"/>
        <v>0.70560747663551404</v>
      </c>
      <c r="AC649" s="17">
        <v>74</v>
      </c>
      <c r="AD649" s="36">
        <f t="shared" si="212"/>
        <v>0.17129629629629631</v>
      </c>
      <c r="AE649" s="17">
        <v>30</v>
      </c>
      <c r="AF649" s="36">
        <f t="shared" si="223"/>
        <v>0.14018691588785046</v>
      </c>
      <c r="AG649" s="17">
        <v>54</v>
      </c>
      <c r="AH649" s="36">
        <f t="shared" si="213"/>
        <v>0.125</v>
      </c>
      <c r="AI649" s="17">
        <v>19</v>
      </c>
      <c r="AJ649" s="36">
        <f t="shared" si="224"/>
        <v>8.8785046728971959E-2</v>
      </c>
      <c r="AK649" s="17">
        <v>6</v>
      </c>
      <c r="AL649" s="36">
        <f t="shared" si="214"/>
        <v>1.3888888888888888E-2</v>
      </c>
      <c r="AM649" s="17">
        <v>0</v>
      </c>
      <c r="AN649" s="36">
        <f t="shared" si="225"/>
        <v>0</v>
      </c>
      <c r="AO649" s="17">
        <v>432</v>
      </c>
      <c r="AP649" s="17">
        <v>214</v>
      </c>
    </row>
    <row r="650" spans="1:42" ht="15.75" customHeight="1" x14ac:dyDescent="0.25">
      <c r="A650" s="37">
        <v>2020</v>
      </c>
      <c r="B650" s="35">
        <v>171620</v>
      </c>
      <c r="C650" s="34" t="s">
        <v>147</v>
      </c>
      <c r="D650" s="34" t="s">
        <v>97</v>
      </c>
      <c r="E650" s="17">
        <v>18</v>
      </c>
      <c r="F650" s="36">
        <f t="shared" si="215"/>
        <v>2.7397260273972601E-2</v>
      </c>
      <c r="G650" s="17">
        <v>11</v>
      </c>
      <c r="H650" s="36">
        <f t="shared" si="216"/>
        <v>3.1976744186046513E-2</v>
      </c>
      <c r="I650" s="17">
        <v>38</v>
      </c>
      <c r="J650" s="36">
        <f t="shared" si="217"/>
        <v>5.7838660578386603E-2</v>
      </c>
      <c r="K650" s="17">
        <v>14</v>
      </c>
      <c r="L650" s="36">
        <f t="shared" si="218"/>
        <v>4.0697674418604654E-2</v>
      </c>
      <c r="M650" s="17">
        <v>601</v>
      </c>
      <c r="N650" s="36">
        <f t="shared" si="208"/>
        <v>0.9147640791476408</v>
      </c>
      <c r="O650" s="17">
        <v>319</v>
      </c>
      <c r="P650" s="36">
        <f t="shared" si="219"/>
        <v>0.92732558139534882</v>
      </c>
      <c r="Q650" s="17">
        <v>8</v>
      </c>
      <c r="R650" s="36">
        <f t="shared" si="209"/>
        <v>1.2176560121765601E-2</v>
      </c>
      <c r="S650" s="17">
        <v>4</v>
      </c>
      <c r="T650" s="36">
        <f t="shared" si="220"/>
        <v>1.1627906976744186E-2</v>
      </c>
      <c r="U650" s="17">
        <v>23</v>
      </c>
      <c r="V650" s="36">
        <f t="shared" si="210"/>
        <v>3.5007610350076102E-2</v>
      </c>
      <c r="W650" s="17">
        <v>11</v>
      </c>
      <c r="X650" s="36">
        <f t="shared" si="221"/>
        <v>3.1976744186046513E-2</v>
      </c>
      <c r="Y650" s="17">
        <v>457</v>
      </c>
      <c r="Z650" s="36">
        <f t="shared" si="211"/>
        <v>0.69558599695585999</v>
      </c>
      <c r="AA650" s="17">
        <v>243</v>
      </c>
      <c r="AB650" s="36">
        <f t="shared" si="222"/>
        <v>0.70639534883720934</v>
      </c>
      <c r="AC650" s="17">
        <v>117</v>
      </c>
      <c r="AD650" s="36">
        <f t="shared" si="212"/>
        <v>0.17808219178082191</v>
      </c>
      <c r="AE650" s="17">
        <v>58</v>
      </c>
      <c r="AF650" s="36">
        <f t="shared" si="223"/>
        <v>0.16860465116279069</v>
      </c>
      <c r="AG650" s="17">
        <v>42</v>
      </c>
      <c r="AH650" s="36">
        <f t="shared" si="213"/>
        <v>6.3926940639269403E-2</v>
      </c>
      <c r="AI650" s="17">
        <v>25</v>
      </c>
      <c r="AJ650" s="36">
        <f t="shared" si="224"/>
        <v>7.2674418604651167E-2</v>
      </c>
      <c r="AK650" s="17">
        <v>10</v>
      </c>
      <c r="AL650" s="36">
        <f t="shared" si="214"/>
        <v>1.5220700152207001E-2</v>
      </c>
      <c r="AM650" s="17">
        <v>3</v>
      </c>
      <c r="AN650" s="36">
        <f t="shared" si="225"/>
        <v>8.7209302325581394E-3</v>
      </c>
      <c r="AO650" s="17">
        <v>657</v>
      </c>
      <c r="AP650" s="17">
        <v>344</v>
      </c>
    </row>
    <row r="651" spans="1:42" ht="15.75" customHeight="1" x14ac:dyDescent="0.25">
      <c r="A651" s="37">
        <v>2020</v>
      </c>
      <c r="B651" s="35">
        <v>171630</v>
      </c>
      <c r="C651" s="34" t="s">
        <v>149</v>
      </c>
      <c r="D651" s="34" t="s">
        <v>98</v>
      </c>
      <c r="E651" s="17">
        <v>6</v>
      </c>
      <c r="F651" s="36">
        <f t="shared" si="215"/>
        <v>4.4444444444444446E-2</v>
      </c>
      <c r="G651" s="17">
        <v>3</v>
      </c>
      <c r="H651" s="36">
        <f t="shared" si="216"/>
        <v>2.8037383177570093E-2</v>
      </c>
      <c r="I651" s="17">
        <v>8</v>
      </c>
      <c r="J651" s="36">
        <f t="shared" si="217"/>
        <v>5.9259259259259262E-2</v>
      </c>
      <c r="K651" s="17">
        <v>7</v>
      </c>
      <c r="L651" s="36">
        <f t="shared" si="218"/>
        <v>6.5420560747663545E-2</v>
      </c>
      <c r="M651" s="17">
        <v>121</v>
      </c>
      <c r="N651" s="36">
        <f t="shared" si="208"/>
        <v>0.89629629629629626</v>
      </c>
      <c r="O651" s="17">
        <v>97</v>
      </c>
      <c r="P651" s="36">
        <f t="shared" si="219"/>
        <v>0.90654205607476634</v>
      </c>
      <c r="Q651" s="17">
        <v>1</v>
      </c>
      <c r="R651" s="36">
        <f t="shared" si="209"/>
        <v>7.4074074074074077E-3</v>
      </c>
      <c r="S651" s="17">
        <v>1</v>
      </c>
      <c r="T651" s="36">
        <f t="shared" si="220"/>
        <v>9.3457943925233638E-3</v>
      </c>
      <c r="U651" s="17">
        <v>2</v>
      </c>
      <c r="V651" s="36">
        <f t="shared" si="210"/>
        <v>1.4814814814814815E-2</v>
      </c>
      <c r="W651" s="17">
        <v>1</v>
      </c>
      <c r="X651" s="36">
        <f t="shared" si="221"/>
        <v>9.3457943925233638E-3</v>
      </c>
      <c r="Y651" s="17">
        <v>80</v>
      </c>
      <c r="Z651" s="36">
        <f t="shared" si="211"/>
        <v>0.59259259259259256</v>
      </c>
      <c r="AA651" s="17">
        <v>70</v>
      </c>
      <c r="AB651" s="36">
        <f t="shared" si="222"/>
        <v>0.65420560747663548</v>
      </c>
      <c r="AC651" s="17">
        <v>33</v>
      </c>
      <c r="AD651" s="36">
        <f t="shared" si="212"/>
        <v>0.24444444444444444</v>
      </c>
      <c r="AE651" s="17">
        <v>22</v>
      </c>
      <c r="AF651" s="36">
        <f t="shared" si="223"/>
        <v>0.20560747663551401</v>
      </c>
      <c r="AG651" s="17">
        <v>15</v>
      </c>
      <c r="AH651" s="36">
        <f t="shared" si="213"/>
        <v>0.1111111111111111</v>
      </c>
      <c r="AI651" s="17">
        <v>12</v>
      </c>
      <c r="AJ651" s="36">
        <f t="shared" si="224"/>
        <v>0.11214953271028037</v>
      </c>
      <c r="AK651" s="17">
        <v>4</v>
      </c>
      <c r="AL651" s="36">
        <f t="shared" si="214"/>
        <v>2.9629629629629631E-2</v>
      </c>
      <c r="AM651" s="17">
        <v>1</v>
      </c>
      <c r="AN651" s="36">
        <f t="shared" si="225"/>
        <v>9.3457943925233638E-3</v>
      </c>
      <c r="AO651" s="17">
        <v>135</v>
      </c>
      <c r="AP651" s="17">
        <v>107</v>
      </c>
    </row>
    <row r="652" spans="1:42" ht="15.75" customHeight="1" x14ac:dyDescent="0.25">
      <c r="A652" s="37">
        <v>2020</v>
      </c>
      <c r="B652" s="35">
        <v>171650</v>
      </c>
      <c r="C652" s="34" t="s">
        <v>150</v>
      </c>
      <c r="D652" s="34" t="s">
        <v>99</v>
      </c>
      <c r="E652" s="17">
        <v>6</v>
      </c>
      <c r="F652" s="36">
        <f t="shared" si="215"/>
        <v>1.8404907975460124E-2</v>
      </c>
      <c r="G652" s="17">
        <v>7</v>
      </c>
      <c r="H652" s="36">
        <f t="shared" si="216"/>
        <v>3.0042918454935622E-2</v>
      </c>
      <c r="I652" s="17">
        <v>23</v>
      </c>
      <c r="J652" s="36">
        <f t="shared" si="217"/>
        <v>7.0552147239263799E-2</v>
      </c>
      <c r="K652" s="17">
        <v>14</v>
      </c>
      <c r="L652" s="36">
        <f t="shared" si="218"/>
        <v>6.0085836909871244E-2</v>
      </c>
      <c r="M652" s="17">
        <v>297</v>
      </c>
      <c r="N652" s="36">
        <f t="shared" si="208"/>
        <v>0.91104294478527603</v>
      </c>
      <c r="O652" s="17">
        <v>212</v>
      </c>
      <c r="P652" s="36">
        <f t="shared" si="219"/>
        <v>0.90987124463519309</v>
      </c>
      <c r="Q652" s="17">
        <v>4</v>
      </c>
      <c r="R652" s="36">
        <f t="shared" si="209"/>
        <v>1.2269938650306749E-2</v>
      </c>
      <c r="S652" s="17">
        <v>3</v>
      </c>
      <c r="T652" s="36">
        <f t="shared" si="220"/>
        <v>1.2875536480686695E-2</v>
      </c>
      <c r="U652" s="17">
        <v>6</v>
      </c>
      <c r="V652" s="36">
        <f t="shared" si="210"/>
        <v>1.8404907975460124E-2</v>
      </c>
      <c r="W652" s="17">
        <v>5</v>
      </c>
      <c r="X652" s="36">
        <f t="shared" si="221"/>
        <v>2.1459227467811159E-2</v>
      </c>
      <c r="Y652" s="17">
        <v>222</v>
      </c>
      <c r="Z652" s="36">
        <f t="shared" si="211"/>
        <v>0.68098159509202449</v>
      </c>
      <c r="AA652" s="17">
        <v>161</v>
      </c>
      <c r="AB652" s="36">
        <f t="shared" si="222"/>
        <v>0.69098712446351929</v>
      </c>
      <c r="AC652" s="17">
        <v>57</v>
      </c>
      <c r="AD652" s="36">
        <f t="shared" si="212"/>
        <v>0.17484662576687116</v>
      </c>
      <c r="AE652" s="17">
        <v>33</v>
      </c>
      <c r="AF652" s="36">
        <f t="shared" si="223"/>
        <v>0.14163090128755365</v>
      </c>
      <c r="AG652" s="17">
        <v>29</v>
      </c>
      <c r="AH652" s="36">
        <f t="shared" si="213"/>
        <v>8.8957055214723926E-2</v>
      </c>
      <c r="AI652" s="17">
        <v>24</v>
      </c>
      <c r="AJ652" s="36">
        <f t="shared" si="224"/>
        <v>0.10300429184549356</v>
      </c>
      <c r="AK652" s="17">
        <v>8</v>
      </c>
      <c r="AL652" s="36">
        <f t="shared" si="214"/>
        <v>2.4539877300613498E-2</v>
      </c>
      <c r="AM652" s="17">
        <v>7</v>
      </c>
      <c r="AN652" s="36">
        <f t="shared" si="225"/>
        <v>3.0042918454935622E-2</v>
      </c>
      <c r="AO652" s="17">
        <v>326</v>
      </c>
      <c r="AP652" s="17">
        <v>233</v>
      </c>
    </row>
    <row r="653" spans="1:42" ht="15.75" customHeight="1" x14ac:dyDescent="0.25">
      <c r="A653" s="37">
        <v>2020</v>
      </c>
      <c r="B653" s="35">
        <v>171660</v>
      </c>
      <c r="C653" s="34" t="s">
        <v>146</v>
      </c>
      <c r="D653" s="34" t="s">
        <v>100</v>
      </c>
      <c r="E653" s="17">
        <v>3</v>
      </c>
      <c r="F653" s="36">
        <f t="shared" si="215"/>
        <v>7.0422535211267607E-3</v>
      </c>
      <c r="G653" s="17">
        <v>1</v>
      </c>
      <c r="H653" s="36">
        <f t="shared" si="216"/>
        <v>8.0645161290322578E-3</v>
      </c>
      <c r="I653" s="17">
        <v>25</v>
      </c>
      <c r="J653" s="36">
        <f t="shared" si="217"/>
        <v>5.8685446009389672E-2</v>
      </c>
      <c r="K653" s="17">
        <v>6</v>
      </c>
      <c r="L653" s="36">
        <f t="shared" si="218"/>
        <v>4.8387096774193547E-2</v>
      </c>
      <c r="M653" s="17">
        <v>398</v>
      </c>
      <c r="N653" s="36">
        <f t="shared" si="208"/>
        <v>0.93427230046948362</v>
      </c>
      <c r="O653" s="17">
        <v>117</v>
      </c>
      <c r="P653" s="36">
        <f t="shared" si="219"/>
        <v>0.94354838709677424</v>
      </c>
      <c r="Q653" s="17">
        <v>5</v>
      </c>
      <c r="R653" s="36">
        <f t="shared" si="209"/>
        <v>1.1737089201877934E-2</v>
      </c>
      <c r="S653" s="17">
        <v>2</v>
      </c>
      <c r="T653" s="36">
        <f t="shared" si="220"/>
        <v>1.6129032258064516E-2</v>
      </c>
      <c r="U653" s="17">
        <v>21</v>
      </c>
      <c r="V653" s="36">
        <f t="shared" si="210"/>
        <v>4.9295774647887321E-2</v>
      </c>
      <c r="W653" s="17">
        <v>6</v>
      </c>
      <c r="X653" s="36">
        <f t="shared" si="221"/>
        <v>4.8387096774193547E-2</v>
      </c>
      <c r="Y653" s="17">
        <v>248</v>
      </c>
      <c r="Z653" s="36">
        <f t="shared" si="211"/>
        <v>0.5821596244131455</v>
      </c>
      <c r="AA653" s="17">
        <v>76</v>
      </c>
      <c r="AB653" s="36">
        <f t="shared" si="222"/>
        <v>0.61290322580645162</v>
      </c>
      <c r="AC653" s="17">
        <v>92</v>
      </c>
      <c r="AD653" s="36">
        <f t="shared" si="212"/>
        <v>0.215962441314554</v>
      </c>
      <c r="AE653" s="17">
        <v>28</v>
      </c>
      <c r="AF653" s="36">
        <f t="shared" si="223"/>
        <v>0.22580645161290322</v>
      </c>
      <c r="AG653" s="17">
        <v>49</v>
      </c>
      <c r="AH653" s="36">
        <f t="shared" si="213"/>
        <v>0.11502347417840375</v>
      </c>
      <c r="AI653" s="17">
        <v>11</v>
      </c>
      <c r="AJ653" s="36">
        <f t="shared" si="224"/>
        <v>8.8709677419354843E-2</v>
      </c>
      <c r="AK653" s="17">
        <v>11</v>
      </c>
      <c r="AL653" s="36">
        <f t="shared" si="214"/>
        <v>2.5821596244131457E-2</v>
      </c>
      <c r="AM653" s="17">
        <v>1</v>
      </c>
      <c r="AN653" s="36">
        <f t="shared" si="225"/>
        <v>8.0645161290322578E-3</v>
      </c>
      <c r="AO653" s="17">
        <v>426</v>
      </c>
      <c r="AP653" s="17">
        <v>124</v>
      </c>
    </row>
    <row r="654" spans="1:42" ht="15.75" customHeight="1" x14ac:dyDescent="0.25">
      <c r="A654" s="37">
        <v>2020</v>
      </c>
      <c r="B654" s="35">
        <v>171665</v>
      </c>
      <c r="C654" s="34" t="s">
        <v>150</v>
      </c>
      <c r="D654" s="34" t="s">
        <v>101</v>
      </c>
      <c r="E654" s="17">
        <v>2</v>
      </c>
      <c r="F654" s="36">
        <f t="shared" si="215"/>
        <v>1.2738853503184714E-2</v>
      </c>
      <c r="G654" s="17">
        <v>2</v>
      </c>
      <c r="H654" s="36">
        <f t="shared" si="216"/>
        <v>1.3888888888888888E-2</v>
      </c>
      <c r="I654" s="17">
        <v>8</v>
      </c>
      <c r="J654" s="36">
        <f t="shared" si="217"/>
        <v>5.0955414012738856E-2</v>
      </c>
      <c r="K654" s="17">
        <v>8</v>
      </c>
      <c r="L654" s="36">
        <f t="shared" si="218"/>
        <v>5.5555555555555552E-2</v>
      </c>
      <c r="M654" s="17">
        <v>147</v>
      </c>
      <c r="N654" s="36">
        <f t="shared" si="208"/>
        <v>0.93630573248407645</v>
      </c>
      <c r="O654" s="17">
        <v>134</v>
      </c>
      <c r="P654" s="36">
        <f t="shared" si="219"/>
        <v>0.93055555555555558</v>
      </c>
      <c r="Q654" s="17">
        <v>2</v>
      </c>
      <c r="R654" s="36">
        <f t="shared" si="209"/>
        <v>1.2738853503184714E-2</v>
      </c>
      <c r="S654" s="17">
        <v>2</v>
      </c>
      <c r="T654" s="36">
        <f t="shared" si="220"/>
        <v>1.3888888888888888E-2</v>
      </c>
      <c r="U654" s="17">
        <v>5</v>
      </c>
      <c r="V654" s="36">
        <f t="shared" si="210"/>
        <v>3.1847133757961783E-2</v>
      </c>
      <c r="W654" s="17">
        <v>4</v>
      </c>
      <c r="X654" s="36">
        <f t="shared" si="221"/>
        <v>2.7777777777777776E-2</v>
      </c>
      <c r="Y654" s="17">
        <v>98</v>
      </c>
      <c r="Z654" s="36">
        <f t="shared" si="211"/>
        <v>0.62420382165605093</v>
      </c>
      <c r="AA654" s="17">
        <v>93</v>
      </c>
      <c r="AB654" s="36">
        <f t="shared" si="222"/>
        <v>0.64583333333333337</v>
      </c>
      <c r="AC654" s="17">
        <v>35</v>
      </c>
      <c r="AD654" s="36">
        <f t="shared" si="212"/>
        <v>0.22292993630573249</v>
      </c>
      <c r="AE654" s="17">
        <v>33</v>
      </c>
      <c r="AF654" s="36">
        <f t="shared" si="223"/>
        <v>0.22916666666666666</v>
      </c>
      <c r="AG654" s="17">
        <v>17</v>
      </c>
      <c r="AH654" s="36">
        <f t="shared" si="213"/>
        <v>0.10828025477707007</v>
      </c>
      <c r="AI654" s="17">
        <v>12</v>
      </c>
      <c r="AJ654" s="36">
        <f t="shared" si="224"/>
        <v>8.3333333333333329E-2</v>
      </c>
      <c r="AK654" s="17">
        <v>0</v>
      </c>
      <c r="AL654" s="36">
        <f t="shared" si="214"/>
        <v>0</v>
      </c>
      <c r="AM654" s="17">
        <v>0</v>
      </c>
      <c r="AN654" s="36">
        <f t="shared" si="225"/>
        <v>0</v>
      </c>
      <c r="AO654" s="17">
        <v>157</v>
      </c>
      <c r="AP654" s="17">
        <v>144</v>
      </c>
    </row>
    <row r="655" spans="1:42" ht="15.75" customHeight="1" x14ac:dyDescent="0.25">
      <c r="A655" s="37">
        <v>2020</v>
      </c>
      <c r="B655" s="35">
        <v>171700</v>
      </c>
      <c r="C655" s="34" t="s">
        <v>151</v>
      </c>
      <c r="D655" s="34" t="s">
        <v>102</v>
      </c>
      <c r="E655" s="17">
        <v>0</v>
      </c>
      <c r="F655" s="36">
        <f t="shared" si="215"/>
        <v>0</v>
      </c>
      <c r="G655" s="17">
        <v>0</v>
      </c>
      <c r="H655" s="36">
        <f t="shared" si="216"/>
        <v>0</v>
      </c>
      <c r="I655" s="17">
        <v>0</v>
      </c>
      <c r="J655" s="36">
        <f t="shared" si="217"/>
        <v>0</v>
      </c>
      <c r="K655" s="17">
        <v>0</v>
      </c>
      <c r="L655" s="36">
        <f t="shared" si="218"/>
        <v>0</v>
      </c>
      <c r="M655" s="17">
        <v>2</v>
      </c>
      <c r="N655" s="36">
        <f t="shared" si="208"/>
        <v>1</v>
      </c>
      <c r="O655" s="17">
        <v>1</v>
      </c>
      <c r="P655" s="36">
        <f t="shared" si="219"/>
        <v>1</v>
      </c>
      <c r="Q655" s="17">
        <v>0</v>
      </c>
      <c r="R655" s="36">
        <f t="shared" si="209"/>
        <v>0</v>
      </c>
      <c r="S655" s="17">
        <v>0</v>
      </c>
      <c r="T655" s="36">
        <f t="shared" si="220"/>
        <v>0</v>
      </c>
      <c r="U655" s="17">
        <v>0</v>
      </c>
      <c r="V655" s="36">
        <f t="shared" si="210"/>
        <v>0</v>
      </c>
      <c r="W655" s="17">
        <v>0</v>
      </c>
      <c r="X655" s="36">
        <f t="shared" si="221"/>
        <v>0</v>
      </c>
      <c r="Y655" s="17">
        <v>2</v>
      </c>
      <c r="Z655" s="36">
        <f t="shared" si="211"/>
        <v>1</v>
      </c>
      <c r="AA655" s="17">
        <v>1</v>
      </c>
      <c r="AB655" s="36">
        <f t="shared" si="222"/>
        <v>1</v>
      </c>
      <c r="AC655" s="17">
        <v>0</v>
      </c>
      <c r="AD655" s="36">
        <f t="shared" si="212"/>
        <v>0</v>
      </c>
      <c r="AE655" s="17">
        <v>0</v>
      </c>
      <c r="AF655" s="36">
        <f t="shared" si="223"/>
        <v>0</v>
      </c>
      <c r="AG655" s="17">
        <v>0</v>
      </c>
      <c r="AH655" s="36">
        <f t="shared" si="213"/>
        <v>0</v>
      </c>
      <c r="AI655" s="17">
        <v>0</v>
      </c>
      <c r="AJ655" s="36">
        <f t="shared" si="224"/>
        <v>0</v>
      </c>
      <c r="AK655" s="17">
        <v>0</v>
      </c>
      <c r="AL655" s="36">
        <f t="shared" si="214"/>
        <v>0</v>
      </c>
      <c r="AM655" s="17">
        <v>0</v>
      </c>
      <c r="AN655" s="36">
        <f t="shared" si="225"/>
        <v>0</v>
      </c>
      <c r="AO655" s="17">
        <v>2</v>
      </c>
      <c r="AP655" s="17">
        <v>1</v>
      </c>
    </row>
    <row r="656" spans="1:42" ht="15.75" customHeight="1" x14ac:dyDescent="0.25">
      <c r="A656" s="37">
        <v>2020</v>
      </c>
      <c r="B656" s="35">
        <v>171720</v>
      </c>
      <c r="C656" s="34" t="s">
        <v>149</v>
      </c>
      <c r="D656" s="34" t="s">
        <v>103</v>
      </c>
      <c r="E656" s="17">
        <v>4</v>
      </c>
      <c r="F656" s="36">
        <f t="shared" si="215"/>
        <v>3.8095238095238099E-2</v>
      </c>
      <c r="G656" s="17">
        <v>4</v>
      </c>
      <c r="H656" s="36">
        <f t="shared" si="216"/>
        <v>4.1666666666666664E-2</v>
      </c>
      <c r="I656" s="17">
        <v>8</v>
      </c>
      <c r="J656" s="36">
        <f t="shared" si="217"/>
        <v>7.6190476190476197E-2</v>
      </c>
      <c r="K656" s="17">
        <v>7</v>
      </c>
      <c r="L656" s="36">
        <f t="shared" si="218"/>
        <v>7.2916666666666671E-2</v>
      </c>
      <c r="M656" s="17">
        <v>93</v>
      </c>
      <c r="N656" s="36">
        <f t="shared" si="208"/>
        <v>0.88571428571428568</v>
      </c>
      <c r="O656" s="17">
        <v>85</v>
      </c>
      <c r="P656" s="36">
        <f t="shared" si="219"/>
        <v>0.88541666666666663</v>
      </c>
      <c r="Q656" s="17">
        <v>1</v>
      </c>
      <c r="R656" s="36">
        <f t="shared" si="209"/>
        <v>9.5238095238095247E-3</v>
      </c>
      <c r="S656" s="17">
        <v>1</v>
      </c>
      <c r="T656" s="36">
        <f t="shared" si="220"/>
        <v>1.0416666666666666E-2</v>
      </c>
      <c r="U656" s="17">
        <v>2</v>
      </c>
      <c r="V656" s="36">
        <f t="shared" si="210"/>
        <v>1.9047619047619049E-2</v>
      </c>
      <c r="W656" s="17">
        <v>2</v>
      </c>
      <c r="X656" s="36">
        <f t="shared" si="221"/>
        <v>2.0833333333333332E-2</v>
      </c>
      <c r="Y656" s="17">
        <v>80</v>
      </c>
      <c r="Z656" s="36">
        <f t="shared" si="211"/>
        <v>0.76190476190476186</v>
      </c>
      <c r="AA656" s="17">
        <v>74</v>
      </c>
      <c r="AB656" s="36">
        <f t="shared" si="222"/>
        <v>0.77083333333333337</v>
      </c>
      <c r="AC656" s="17">
        <v>13</v>
      </c>
      <c r="AD656" s="36">
        <f t="shared" si="212"/>
        <v>0.12380952380952381</v>
      </c>
      <c r="AE656" s="17">
        <v>11</v>
      </c>
      <c r="AF656" s="36">
        <f t="shared" si="223"/>
        <v>0.11458333333333333</v>
      </c>
      <c r="AG656" s="17">
        <v>7</v>
      </c>
      <c r="AH656" s="36">
        <f t="shared" si="213"/>
        <v>6.6666666666666666E-2</v>
      </c>
      <c r="AI656" s="17">
        <v>7</v>
      </c>
      <c r="AJ656" s="36">
        <f t="shared" si="224"/>
        <v>7.2916666666666671E-2</v>
      </c>
      <c r="AK656" s="17">
        <v>2</v>
      </c>
      <c r="AL656" s="36">
        <f t="shared" si="214"/>
        <v>1.9047619047619049E-2</v>
      </c>
      <c r="AM656" s="17">
        <v>1</v>
      </c>
      <c r="AN656" s="36">
        <f t="shared" si="225"/>
        <v>1.0416666666666666E-2</v>
      </c>
      <c r="AO656" s="17">
        <v>105</v>
      </c>
      <c r="AP656" s="17">
        <v>96</v>
      </c>
    </row>
    <row r="657" spans="1:42" ht="15.75" customHeight="1" x14ac:dyDescent="0.25">
      <c r="A657" s="37">
        <v>2020</v>
      </c>
      <c r="B657" s="35">
        <v>171750</v>
      </c>
      <c r="C657" s="34" t="s">
        <v>144</v>
      </c>
      <c r="D657" s="34" t="s">
        <v>104</v>
      </c>
      <c r="E657" s="17">
        <v>3</v>
      </c>
      <c r="F657" s="36">
        <f t="shared" si="215"/>
        <v>1.6304347826086956E-2</v>
      </c>
      <c r="G657" s="17">
        <v>0</v>
      </c>
      <c r="H657" s="36">
        <f t="shared" si="216"/>
        <v>0</v>
      </c>
      <c r="I657" s="17">
        <v>5</v>
      </c>
      <c r="J657" s="36">
        <f t="shared" si="217"/>
        <v>2.717391304347826E-2</v>
      </c>
      <c r="K657" s="17">
        <v>1</v>
      </c>
      <c r="L657" s="36">
        <f t="shared" si="218"/>
        <v>0.04</v>
      </c>
      <c r="M657" s="17">
        <v>176</v>
      </c>
      <c r="N657" s="36">
        <f t="shared" si="208"/>
        <v>0.95652173913043481</v>
      </c>
      <c r="O657" s="17">
        <v>24</v>
      </c>
      <c r="P657" s="36">
        <f t="shared" si="219"/>
        <v>0.96</v>
      </c>
      <c r="Q657" s="17">
        <v>2</v>
      </c>
      <c r="R657" s="36">
        <f t="shared" si="209"/>
        <v>1.0869565217391304E-2</v>
      </c>
      <c r="S657" s="17">
        <v>0</v>
      </c>
      <c r="T657" s="36">
        <f t="shared" si="220"/>
        <v>0</v>
      </c>
      <c r="U657" s="17">
        <v>8</v>
      </c>
      <c r="V657" s="36">
        <f t="shared" si="210"/>
        <v>4.3478260869565216E-2</v>
      </c>
      <c r="W657" s="17">
        <v>1</v>
      </c>
      <c r="X657" s="36">
        <f t="shared" si="221"/>
        <v>0.04</v>
      </c>
      <c r="Y657" s="17">
        <v>119</v>
      </c>
      <c r="Z657" s="36">
        <f t="shared" si="211"/>
        <v>0.64673913043478259</v>
      </c>
      <c r="AA657" s="17">
        <v>18</v>
      </c>
      <c r="AB657" s="36">
        <f t="shared" si="222"/>
        <v>0.72</v>
      </c>
      <c r="AC657" s="17">
        <v>30</v>
      </c>
      <c r="AD657" s="36">
        <f t="shared" si="212"/>
        <v>0.16304347826086957</v>
      </c>
      <c r="AE657" s="17">
        <v>2</v>
      </c>
      <c r="AF657" s="36">
        <f t="shared" si="223"/>
        <v>0.08</v>
      </c>
      <c r="AG657" s="17">
        <v>18</v>
      </c>
      <c r="AH657" s="36">
        <f t="shared" si="213"/>
        <v>9.7826086956521743E-2</v>
      </c>
      <c r="AI657" s="17">
        <v>3</v>
      </c>
      <c r="AJ657" s="36">
        <f t="shared" si="224"/>
        <v>0.12</v>
      </c>
      <c r="AK657" s="17">
        <v>7</v>
      </c>
      <c r="AL657" s="36">
        <f t="shared" si="214"/>
        <v>3.8043478260869568E-2</v>
      </c>
      <c r="AM657" s="17">
        <v>1</v>
      </c>
      <c r="AN657" s="36">
        <f t="shared" si="225"/>
        <v>0.04</v>
      </c>
      <c r="AO657" s="17">
        <v>184</v>
      </c>
      <c r="AP657" s="17">
        <v>25</v>
      </c>
    </row>
    <row r="658" spans="1:42" ht="15.75" customHeight="1" x14ac:dyDescent="0.25">
      <c r="A658" s="37">
        <v>2020</v>
      </c>
      <c r="B658" s="35">
        <v>171780</v>
      </c>
      <c r="C658" s="34" t="s">
        <v>147</v>
      </c>
      <c r="D658" s="34" t="s">
        <v>105</v>
      </c>
      <c r="E658" s="17">
        <v>0</v>
      </c>
      <c r="F658" s="36">
        <f t="shared" si="215"/>
        <v>0</v>
      </c>
      <c r="G658" s="17">
        <v>0</v>
      </c>
      <c r="H658" s="36">
        <f t="shared" si="216"/>
        <v>0</v>
      </c>
      <c r="I658" s="17">
        <v>1</v>
      </c>
      <c r="J658" s="36">
        <f t="shared" si="217"/>
        <v>9.5238095238095247E-3</v>
      </c>
      <c r="K658" s="17">
        <v>1</v>
      </c>
      <c r="L658" s="36">
        <f t="shared" si="218"/>
        <v>1.2195121951219513E-2</v>
      </c>
      <c r="M658" s="17">
        <v>104</v>
      </c>
      <c r="N658" s="36">
        <f t="shared" si="208"/>
        <v>0.99047619047619051</v>
      </c>
      <c r="O658" s="17">
        <v>81</v>
      </c>
      <c r="P658" s="36">
        <f t="shared" si="219"/>
        <v>0.98780487804878048</v>
      </c>
      <c r="Q658" s="17">
        <v>1</v>
      </c>
      <c r="R658" s="36">
        <f t="shared" si="209"/>
        <v>9.5238095238095247E-3</v>
      </c>
      <c r="S658" s="17">
        <v>1</v>
      </c>
      <c r="T658" s="36">
        <f t="shared" si="220"/>
        <v>1.2195121951219513E-2</v>
      </c>
      <c r="U658" s="17">
        <v>4</v>
      </c>
      <c r="V658" s="36">
        <f t="shared" si="210"/>
        <v>3.8095238095238099E-2</v>
      </c>
      <c r="W658" s="17">
        <v>3</v>
      </c>
      <c r="X658" s="36">
        <f t="shared" si="221"/>
        <v>3.6585365853658534E-2</v>
      </c>
      <c r="Y658" s="17">
        <v>80</v>
      </c>
      <c r="Z658" s="36">
        <f t="shared" si="211"/>
        <v>0.76190476190476186</v>
      </c>
      <c r="AA658" s="17">
        <v>65</v>
      </c>
      <c r="AB658" s="36">
        <f t="shared" si="222"/>
        <v>0.79268292682926833</v>
      </c>
      <c r="AC658" s="17">
        <v>17</v>
      </c>
      <c r="AD658" s="36">
        <f t="shared" si="212"/>
        <v>0.16190476190476191</v>
      </c>
      <c r="AE658" s="17">
        <v>12</v>
      </c>
      <c r="AF658" s="36">
        <f t="shared" si="223"/>
        <v>0.14634146341463414</v>
      </c>
      <c r="AG658" s="17">
        <v>3</v>
      </c>
      <c r="AH658" s="36">
        <f t="shared" si="213"/>
        <v>2.8571428571428571E-2</v>
      </c>
      <c r="AI658" s="17">
        <v>1</v>
      </c>
      <c r="AJ658" s="36">
        <f t="shared" si="224"/>
        <v>1.2195121951219513E-2</v>
      </c>
      <c r="AK658" s="17">
        <v>0</v>
      </c>
      <c r="AL658" s="36">
        <f t="shared" si="214"/>
        <v>0</v>
      </c>
      <c r="AM658" s="17">
        <v>0</v>
      </c>
      <c r="AN658" s="36">
        <f t="shared" si="225"/>
        <v>0</v>
      </c>
      <c r="AO658" s="17">
        <v>105</v>
      </c>
      <c r="AP658" s="17">
        <v>82</v>
      </c>
    </row>
    <row r="659" spans="1:42" ht="15.75" customHeight="1" x14ac:dyDescent="0.25">
      <c r="A659" s="37">
        <v>2020</v>
      </c>
      <c r="B659" s="35">
        <v>171790</v>
      </c>
      <c r="C659" s="34" t="s">
        <v>151</v>
      </c>
      <c r="D659" s="34" t="s">
        <v>106</v>
      </c>
      <c r="E659" s="17">
        <v>4</v>
      </c>
      <c r="F659" s="36">
        <f t="shared" si="215"/>
        <v>1.7937219730941704E-2</v>
      </c>
      <c r="G659" s="17">
        <v>4</v>
      </c>
      <c r="H659" s="36">
        <f t="shared" si="216"/>
        <v>1.8181818181818181E-2</v>
      </c>
      <c r="I659" s="17">
        <v>15</v>
      </c>
      <c r="J659" s="36">
        <f t="shared" si="217"/>
        <v>6.726457399103139E-2</v>
      </c>
      <c r="K659" s="17">
        <v>15</v>
      </c>
      <c r="L659" s="36">
        <f t="shared" si="218"/>
        <v>6.8181818181818177E-2</v>
      </c>
      <c r="M659" s="17">
        <v>204</v>
      </c>
      <c r="N659" s="36">
        <f t="shared" si="208"/>
        <v>0.91479820627802688</v>
      </c>
      <c r="O659" s="17">
        <v>201</v>
      </c>
      <c r="P659" s="36">
        <f t="shared" si="219"/>
        <v>0.91363636363636369</v>
      </c>
      <c r="Q659" s="17">
        <v>1</v>
      </c>
      <c r="R659" s="36">
        <f t="shared" si="209"/>
        <v>4.4843049327354259E-3</v>
      </c>
      <c r="S659" s="17">
        <v>1</v>
      </c>
      <c r="T659" s="36">
        <f t="shared" si="220"/>
        <v>4.5454545454545452E-3</v>
      </c>
      <c r="U659" s="17">
        <v>3</v>
      </c>
      <c r="V659" s="36">
        <f t="shared" si="210"/>
        <v>1.3452914798206279E-2</v>
      </c>
      <c r="W659" s="17">
        <v>3</v>
      </c>
      <c r="X659" s="36">
        <f t="shared" si="221"/>
        <v>1.3636363636363636E-2</v>
      </c>
      <c r="Y659" s="17">
        <v>156</v>
      </c>
      <c r="Z659" s="36">
        <f t="shared" si="211"/>
        <v>0.69955156950672648</v>
      </c>
      <c r="AA659" s="17">
        <v>153</v>
      </c>
      <c r="AB659" s="36">
        <f t="shared" si="222"/>
        <v>0.69545454545454544</v>
      </c>
      <c r="AC659" s="17">
        <v>46</v>
      </c>
      <c r="AD659" s="36">
        <f t="shared" si="212"/>
        <v>0.20627802690582961</v>
      </c>
      <c r="AE659" s="17">
        <v>46</v>
      </c>
      <c r="AF659" s="36">
        <f t="shared" si="223"/>
        <v>0.20909090909090908</v>
      </c>
      <c r="AG659" s="17">
        <v>13</v>
      </c>
      <c r="AH659" s="36">
        <f t="shared" si="213"/>
        <v>5.829596412556054E-2</v>
      </c>
      <c r="AI659" s="17">
        <v>13</v>
      </c>
      <c r="AJ659" s="36">
        <f t="shared" si="224"/>
        <v>5.909090909090909E-2</v>
      </c>
      <c r="AK659" s="17">
        <v>4</v>
      </c>
      <c r="AL659" s="36">
        <f t="shared" si="214"/>
        <v>1.7937219730941704E-2</v>
      </c>
      <c r="AM659" s="17">
        <v>4</v>
      </c>
      <c r="AN659" s="36">
        <f t="shared" si="225"/>
        <v>1.8181818181818181E-2</v>
      </c>
      <c r="AO659" s="17">
        <v>223</v>
      </c>
      <c r="AP659" s="17">
        <v>220</v>
      </c>
    </row>
    <row r="660" spans="1:42" ht="15.75" customHeight="1" x14ac:dyDescent="0.25">
      <c r="A660" s="37">
        <v>2020</v>
      </c>
      <c r="B660" s="35">
        <v>171800</v>
      </c>
      <c r="C660" s="34" t="s">
        <v>147</v>
      </c>
      <c r="D660" s="34" t="s">
        <v>107</v>
      </c>
      <c r="E660" s="17">
        <v>2</v>
      </c>
      <c r="F660" s="36">
        <f t="shared" si="215"/>
        <v>4.2553191489361701E-2</v>
      </c>
      <c r="G660" s="17">
        <v>1</v>
      </c>
      <c r="H660" s="36">
        <f t="shared" si="216"/>
        <v>1</v>
      </c>
      <c r="I660" s="17">
        <v>3</v>
      </c>
      <c r="J660" s="36">
        <f t="shared" si="217"/>
        <v>6.3829787234042548E-2</v>
      </c>
      <c r="K660" s="17">
        <v>0</v>
      </c>
      <c r="L660" s="36">
        <f t="shared" si="218"/>
        <v>0</v>
      </c>
      <c r="M660" s="17">
        <v>42</v>
      </c>
      <c r="N660" s="36">
        <f t="shared" si="208"/>
        <v>0.8936170212765957</v>
      </c>
      <c r="O660" s="17">
        <v>0</v>
      </c>
      <c r="P660" s="36">
        <f t="shared" si="219"/>
        <v>0</v>
      </c>
      <c r="Q660" s="17">
        <v>0</v>
      </c>
      <c r="R660" s="36">
        <f t="shared" si="209"/>
        <v>0</v>
      </c>
      <c r="S660" s="17">
        <v>0</v>
      </c>
      <c r="T660" s="36">
        <f t="shared" si="220"/>
        <v>0</v>
      </c>
      <c r="U660" s="17">
        <v>2</v>
      </c>
      <c r="V660" s="36">
        <f t="shared" si="210"/>
        <v>4.2553191489361701E-2</v>
      </c>
      <c r="W660" s="17">
        <v>0</v>
      </c>
      <c r="X660" s="36">
        <f t="shared" si="221"/>
        <v>0</v>
      </c>
      <c r="Y660" s="17">
        <v>28</v>
      </c>
      <c r="Z660" s="36">
        <f t="shared" si="211"/>
        <v>0.5957446808510638</v>
      </c>
      <c r="AA660" s="17">
        <v>0</v>
      </c>
      <c r="AB660" s="36">
        <f t="shared" si="222"/>
        <v>0</v>
      </c>
      <c r="AC660" s="17">
        <v>10</v>
      </c>
      <c r="AD660" s="36">
        <f t="shared" si="212"/>
        <v>0.21276595744680851</v>
      </c>
      <c r="AE660" s="17">
        <v>1</v>
      </c>
      <c r="AF660" s="36">
        <f t="shared" si="223"/>
        <v>1</v>
      </c>
      <c r="AG660" s="17">
        <v>6</v>
      </c>
      <c r="AH660" s="36">
        <f t="shared" si="213"/>
        <v>0.1276595744680851</v>
      </c>
      <c r="AI660" s="17">
        <v>0</v>
      </c>
      <c r="AJ660" s="36">
        <f t="shared" si="224"/>
        <v>0</v>
      </c>
      <c r="AK660" s="17">
        <v>1</v>
      </c>
      <c r="AL660" s="36">
        <f t="shared" si="214"/>
        <v>2.1276595744680851E-2</v>
      </c>
      <c r="AM660" s="17">
        <v>0</v>
      </c>
      <c r="AN660" s="36">
        <f t="shared" si="225"/>
        <v>0</v>
      </c>
      <c r="AO660" s="17">
        <v>47</v>
      </c>
      <c r="AP660" s="17">
        <v>1</v>
      </c>
    </row>
    <row r="661" spans="1:42" ht="15.75" customHeight="1" x14ac:dyDescent="0.25">
      <c r="A661" s="37">
        <v>2020</v>
      </c>
      <c r="B661" s="35">
        <v>171820</v>
      </c>
      <c r="C661" s="34" t="s">
        <v>151</v>
      </c>
      <c r="D661" s="34" t="s">
        <v>108</v>
      </c>
      <c r="E661" s="17">
        <v>10</v>
      </c>
      <c r="F661" s="36">
        <f t="shared" si="215"/>
        <v>2.0366598778004074E-2</v>
      </c>
      <c r="G661" s="17">
        <v>1</v>
      </c>
      <c r="H661" s="36">
        <f t="shared" si="216"/>
        <v>1.5151515151515152E-2</v>
      </c>
      <c r="I661" s="17">
        <v>20</v>
      </c>
      <c r="J661" s="36">
        <f t="shared" si="217"/>
        <v>4.0733197556008148E-2</v>
      </c>
      <c r="K661" s="17">
        <v>1</v>
      </c>
      <c r="L661" s="36">
        <f t="shared" si="218"/>
        <v>1.5151515151515152E-2</v>
      </c>
      <c r="M661" s="17">
        <v>461</v>
      </c>
      <c r="N661" s="36">
        <f t="shared" si="208"/>
        <v>0.93890020366598781</v>
      </c>
      <c r="O661" s="17">
        <v>64</v>
      </c>
      <c r="P661" s="36">
        <f t="shared" si="219"/>
        <v>0.96969696969696972</v>
      </c>
      <c r="Q661" s="17">
        <v>4</v>
      </c>
      <c r="R661" s="36">
        <f t="shared" si="209"/>
        <v>8.1466395112016286E-3</v>
      </c>
      <c r="S661" s="17">
        <v>1</v>
      </c>
      <c r="T661" s="36">
        <f t="shared" si="220"/>
        <v>1.5151515151515152E-2</v>
      </c>
      <c r="U661" s="17">
        <v>17</v>
      </c>
      <c r="V661" s="36">
        <f t="shared" si="210"/>
        <v>3.4623217922606926E-2</v>
      </c>
      <c r="W661" s="17">
        <v>1</v>
      </c>
      <c r="X661" s="36">
        <f t="shared" si="221"/>
        <v>1.5151515151515152E-2</v>
      </c>
      <c r="Y661" s="17">
        <v>284</v>
      </c>
      <c r="Z661" s="36">
        <f t="shared" si="211"/>
        <v>0.57841140529531565</v>
      </c>
      <c r="AA661" s="17">
        <v>43</v>
      </c>
      <c r="AB661" s="36">
        <f t="shared" si="222"/>
        <v>0.65151515151515149</v>
      </c>
      <c r="AC661" s="17">
        <v>105</v>
      </c>
      <c r="AD661" s="36">
        <f t="shared" si="212"/>
        <v>0.21384928716904278</v>
      </c>
      <c r="AE661" s="17">
        <v>12</v>
      </c>
      <c r="AF661" s="36">
        <f t="shared" si="223"/>
        <v>0.18181818181818182</v>
      </c>
      <c r="AG661" s="17">
        <v>64</v>
      </c>
      <c r="AH661" s="36">
        <f t="shared" si="213"/>
        <v>0.13034623217922606</v>
      </c>
      <c r="AI661" s="17">
        <v>6</v>
      </c>
      <c r="AJ661" s="36">
        <f t="shared" si="224"/>
        <v>9.0909090909090912E-2</v>
      </c>
      <c r="AK661" s="17">
        <v>17</v>
      </c>
      <c r="AL661" s="36">
        <f t="shared" si="214"/>
        <v>3.4623217922606926E-2</v>
      </c>
      <c r="AM661" s="17">
        <v>3</v>
      </c>
      <c r="AN661" s="36">
        <f t="shared" si="225"/>
        <v>4.5454545454545456E-2</v>
      </c>
      <c r="AO661" s="17">
        <v>491</v>
      </c>
      <c r="AP661" s="17">
        <v>66</v>
      </c>
    </row>
    <row r="662" spans="1:42" ht="15.75" customHeight="1" x14ac:dyDescent="0.25">
      <c r="A662" s="37">
        <v>2020</v>
      </c>
      <c r="B662" s="35">
        <v>171830</v>
      </c>
      <c r="C662" s="34" t="s">
        <v>145</v>
      </c>
      <c r="D662" s="34" t="s">
        <v>109</v>
      </c>
      <c r="E662" s="17">
        <v>3</v>
      </c>
      <c r="F662" s="36">
        <f t="shared" si="215"/>
        <v>1.1583011583011582E-2</v>
      </c>
      <c r="G662" s="17">
        <v>2</v>
      </c>
      <c r="H662" s="36">
        <f t="shared" si="216"/>
        <v>1.9047619047619049E-2</v>
      </c>
      <c r="I662" s="17">
        <v>31</v>
      </c>
      <c r="J662" s="36">
        <f t="shared" si="217"/>
        <v>0.11969111969111969</v>
      </c>
      <c r="K662" s="17">
        <v>10</v>
      </c>
      <c r="L662" s="36">
        <f t="shared" si="218"/>
        <v>9.5238095238095233E-2</v>
      </c>
      <c r="M662" s="17">
        <v>225</v>
      </c>
      <c r="N662" s="36">
        <f t="shared" si="208"/>
        <v>0.86872586872586877</v>
      </c>
      <c r="O662" s="17">
        <v>93</v>
      </c>
      <c r="P662" s="36">
        <f t="shared" si="219"/>
        <v>0.88571428571428568</v>
      </c>
      <c r="Q662" s="17">
        <v>2</v>
      </c>
      <c r="R662" s="36">
        <f t="shared" si="209"/>
        <v>7.7220077220077222E-3</v>
      </c>
      <c r="S662" s="17">
        <v>1</v>
      </c>
      <c r="T662" s="36">
        <f t="shared" si="220"/>
        <v>9.5238095238095247E-3</v>
      </c>
      <c r="U662" s="17">
        <v>10</v>
      </c>
      <c r="V662" s="36">
        <f t="shared" si="210"/>
        <v>3.8610038610038609E-2</v>
      </c>
      <c r="W662" s="17">
        <v>3</v>
      </c>
      <c r="X662" s="36">
        <f t="shared" si="221"/>
        <v>2.8571428571428571E-2</v>
      </c>
      <c r="Y662" s="17">
        <v>189</v>
      </c>
      <c r="Z662" s="36">
        <f t="shared" si="211"/>
        <v>0.72972972972972971</v>
      </c>
      <c r="AA662" s="17">
        <v>73</v>
      </c>
      <c r="AB662" s="36">
        <f t="shared" si="222"/>
        <v>0.69523809523809521</v>
      </c>
      <c r="AC662" s="17">
        <v>44</v>
      </c>
      <c r="AD662" s="36">
        <f t="shared" si="212"/>
        <v>0.16988416988416988</v>
      </c>
      <c r="AE662" s="17">
        <v>22</v>
      </c>
      <c r="AF662" s="36">
        <f t="shared" si="223"/>
        <v>0.20952380952380953</v>
      </c>
      <c r="AG662" s="17">
        <v>13</v>
      </c>
      <c r="AH662" s="36">
        <f t="shared" si="213"/>
        <v>5.019305019305019E-2</v>
      </c>
      <c r="AI662" s="17">
        <v>5</v>
      </c>
      <c r="AJ662" s="36">
        <f t="shared" si="224"/>
        <v>4.7619047619047616E-2</v>
      </c>
      <c r="AK662" s="17">
        <v>1</v>
      </c>
      <c r="AL662" s="36">
        <f t="shared" si="214"/>
        <v>3.8610038610038611E-3</v>
      </c>
      <c r="AM662" s="17">
        <v>1</v>
      </c>
      <c r="AN662" s="36">
        <f t="shared" si="225"/>
        <v>9.5238095238095247E-3</v>
      </c>
      <c r="AO662" s="17">
        <v>259</v>
      </c>
      <c r="AP662" s="17">
        <v>105</v>
      </c>
    </row>
    <row r="663" spans="1:42" ht="15.75" customHeight="1" x14ac:dyDescent="0.25">
      <c r="A663" s="37">
        <v>2020</v>
      </c>
      <c r="B663" s="35">
        <v>171840</v>
      </c>
      <c r="C663" s="34" t="s">
        <v>150</v>
      </c>
      <c r="D663" s="34" t="s">
        <v>110</v>
      </c>
      <c r="E663" s="17">
        <v>1</v>
      </c>
      <c r="F663" s="36">
        <f t="shared" si="215"/>
        <v>1.0416666666666666E-2</v>
      </c>
      <c r="G663" s="17">
        <v>1</v>
      </c>
      <c r="H663" s="36">
        <f t="shared" si="216"/>
        <v>7.1428571428571425E-2</v>
      </c>
      <c r="I663" s="17">
        <v>3</v>
      </c>
      <c r="J663" s="36">
        <f t="shared" si="217"/>
        <v>3.125E-2</v>
      </c>
      <c r="K663" s="17">
        <v>1</v>
      </c>
      <c r="L663" s="36">
        <f t="shared" si="218"/>
        <v>7.1428571428571425E-2</v>
      </c>
      <c r="M663" s="17">
        <v>92</v>
      </c>
      <c r="N663" s="36">
        <f t="shared" si="208"/>
        <v>0.95833333333333337</v>
      </c>
      <c r="O663" s="17">
        <v>12</v>
      </c>
      <c r="P663" s="36">
        <f t="shared" si="219"/>
        <v>0.8571428571428571</v>
      </c>
      <c r="Q663" s="17">
        <v>0</v>
      </c>
      <c r="R663" s="36">
        <f t="shared" si="209"/>
        <v>0</v>
      </c>
      <c r="S663" s="17">
        <v>0</v>
      </c>
      <c r="T663" s="36">
        <f t="shared" si="220"/>
        <v>0</v>
      </c>
      <c r="U663" s="17">
        <v>1</v>
      </c>
      <c r="V663" s="36">
        <f t="shared" si="210"/>
        <v>1.0416666666666666E-2</v>
      </c>
      <c r="W663" s="17">
        <v>0</v>
      </c>
      <c r="X663" s="36">
        <f t="shared" si="221"/>
        <v>0</v>
      </c>
      <c r="Y663" s="17">
        <v>63</v>
      </c>
      <c r="Z663" s="36">
        <f t="shared" si="211"/>
        <v>0.65625</v>
      </c>
      <c r="AA663" s="17">
        <v>9</v>
      </c>
      <c r="AB663" s="36">
        <f t="shared" si="222"/>
        <v>0.6428571428571429</v>
      </c>
      <c r="AC663" s="17">
        <v>21</v>
      </c>
      <c r="AD663" s="36">
        <f t="shared" si="212"/>
        <v>0.21875</v>
      </c>
      <c r="AE663" s="17">
        <v>3</v>
      </c>
      <c r="AF663" s="36">
        <f t="shared" si="223"/>
        <v>0.21428571428571427</v>
      </c>
      <c r="AG663" s="17">
        <v>8</v>
      </c>
      <c r="AH663" s="36">
        <f t="shared" si="213"/>
        <v>8.3333333333333329E-2</v>
      </c>
      <c r="AI663" s="17">
        <v>2</v>
      </c>
      <c r="AJ663" s="36">
        <f t="shared" si="224"/>
        <v>0.14285714285714285</v>
      </c>
      <c r="AK663" s="17">
        <v>3</v>
      </c>
      <c r="AL663" s="36">
        <f t="shared" si="214"/>
        <v>3.125E-2</v>
      </c>
      <c r="AM663" s="17">
        <v>0</v>
      </c>
      <c r="AN663" s="36">
        <f t="shared" si="225"/>
        <v>0</v>
      </c>
      <c r="AO663" s="17">
        <v>96</v>
      </c>
      <c r="AP663" s="17">
        <v>14</v>
      </c>
    </row>
    <row r="664" spans="1:42" ht="15.75" customHeight="1" x14ac:dyDescent="0.25">
      <c r="A664" s="37">
        <v>2020</v>
      </c>
      <c r="B664" s="35">
        <v>171845</v>
      </c>
      <c r="C664" s="34" t="s">
        <v>144</v>
      </c>
      <c r="D664" s="34" t="s">
        <v>111</v>
      </c>
      <c r="E664" s="17">
        <v>1</v>
      </c>
      <c r="F664" s="36">
        <f t="shared" si="215"/>
        <v>1.1111111111111112E-2</v>
      </c>
      <c r="G664" s="17">
        <v>1</v>
      </c>
      <c r="H664" s="36">
        <f t="shared" si="216"/>
        <v>1.5873015873015872E-2</v>
      </c>
      <c r="I664" s="17">
        <v>5</v>
      </c>
      <c r="J664" s="36">
        <f t="shared" si="217"/>
        <v>5.5555555555555552E-2</v>
      </c>
      <c r="K664" s="17">
        <v>3</v>
      </c>
      <c r="L664" s="36">
        <f t="shared" si="218"/>
        <v>4.7619047619047616E-2</v>
      </c>
      <c r="M664" s="17">
        <v>84</v>
      </c>
      <c r="N664" s="36">
        <f t="shared" si="208"/>
        <v>0.93333333333333335</v>
      </c>
      <c r="O664" s="17">
        <v>59</v>
      </c>
      <c r="P664" s="36">
        <f t="shared" si="219"/>
        <v>0.93650793650793651</v>
      </c>
      <c r="Q664" s="17">
        <v>1</v>
      </c>
      <c r="R664" s="36">
        <f t="shared" si="209"/>
        <v>1.1111111111111112E-2</v>
      </c>
      <c r="S664" s="17">
        <v>0</v>
      </c>
      <c r="T664" s="36">
        <f t="shared" si="220"/>
        <v>0</v>
      </c>
      <c r="U664" s="17">
        <v>1</v>
      </c>
      <c r="V664" s="36">
        <f t="shared" si="210"/>
        <v>1.1111111111111112E-2</v>
      </c>
      <c r="W664" s="17">
        <v>1</v>
      </c>
      <c r="X664" s="36">
        <f t="shared" si="221"/>
        <v>1.5873015873015872E-2</v>
      </c>
      <c r="Y664" s="17">
        <v>65</v>
      </c>
      <c r="Z664" s="36">
        <f t="shared" si="211"/>
        <v>0.72222222222222221</v>
      </c>
      <c r="AA664" s="17">
        <v>45</v>
      </c>
      <c r="AB664" s="36">
        <f t="shared" si="222"/>
        <v>0.7142857142857143</v>
      </c>
      <c r="AC664" s="17">
        <v>13</v>
      </c>
      <c r="AD664" s="36">
        <f t="shared" si="212"/>
        <v>0.14444444444444443</v>
      </c>
      <c r="AE664" s="17">
        <v>12</v>
      </c>
      <c r="AF664" s="36">
        <f t="shared" si="223"/>
        <v>0.19047619047619047</v>
      </c>
      <c r="AG664" s="17">
        <v>8</v>
      </c>
      <c r="AH664" s="36">
        <f t="shared" si="213"/>
        <v>8.8888888888888892E-2</v>
      </c>
      <c r="AI664" s="17">
        <v>4</v>
      </c>
      <c r="AJ664" s="36">
        <f t="shared" si="224"/>
        <v>6.3492063492063489E-2</v>
      </c>
      <c r="AK664" s="17">
        <v>2</v>
      </c>
      <c r="AL664" s="36">
        <f t="shared" si="214"/>
        <v>2.2222222222222223E-2</v>
      </c>
      <c r="AM664" s="17">
        <v>1</v>
      </c>
      <c r="AN664" s="36">
        <f t="shared" si="225"/>
        <v>1.5873015873015872E-2</v>
      </c>
      <c r="AO664" s="17">
        <v>90</v>
      </c>
      <c r="AP664" s="17">
        <v>63</v>
      </c>
    </row>
    <row r="665" spans="1:42" ht="15.75" customHeight="1" x14ac:dyDescent="0.25">
      <c r="A665" s="37">
        <v>2020</v>
      </c>
      <c r="B665" s="35">
        <v>171850</v>
      </c>
      <c r="C665" s="34" t="s">
        <v>150</v>
      </c>
      <c r="D665" s="34" t="s">
        <v>112</v>
      </c>
      <c r="E665" s="17">
        <v>5</v>
      </c>
      <c r="F665" s="36">
        <f t="shared" si="215"/>
        <v>4.8543689320388349E-2</v>
      </c>
      <c r="G665" s="17">
        <v>3</v>
      </c>
      <c r="H665" s="36">
        <f t="shared" si="216"/>
        <v>3.614457831325301E-2</v>
      </c>
      <c r="I665" s="17">
        <v>7</v>
      </c>
      <c r="J665" s="36">
        <f t="shared" si="217"/>
        <v>6.7961165048543687E-2</v>
      </c>
      <c r="K665" s="17">
        <v>6</v>
      </c>
      <c r="L665" s="36">
        <f t="shared" si="218"/>
        <v>7.2289156626506021E-2</v>
      </c>
      <c r="M665" s="17">
        <v>91</v>
      </c>
      <c r="N665" s="36">
        <f t="shared" si="208"/>
        <v>0.88349514563106801</v>
      </c>
      <c r="O665" s="17">
        <v>74</v>
      </c>
      <c r="P665" s="36">
        <f t="shared" si="219"/>
        <v>0.89156626506024095</v>
      </c>
      <c r="Q665" s="17">
        <v>1</v>
      </c>
      <c r="R665" s="36">
        <f t="shared" si="209"/>
        <v>9.7087378640776691E-3</v>
      </c>
      <c r="S665" s="17">
        <v>1</v>
      </c>
      <c r="T665" s="36">
        <f t="shared" si="220"/>
        <v>1.2048192771084338E-2</v>
      </c>
      <c r="U665" s="17">
        <v>6</v>
      </c>
      <c r="V665" s="36">
        <f t="shared" si="210"/>
        <v>5.8252427184466021E-2</v>
      </c>
      <c r="W665" s="17">
        <v>6</v>
      </c>
      <c r="X665" s="36">
        <f t="shared" si="221"/>
        <v>7.2289156626506021E-2</v>
      </c>
      <c r="Y665" s="17">
        <v>72</v>
      </c>
      <c r="Z665" s="36">
        <f t="shared" si="211"/>
        <v>0.69902912621359226</v>
      </c>
      <c r="AA665" s="17">
        <v>56</v>
      </c>
      <c r="AB665" s="36">
        <f t="shared" si="222"/>
        <v>0.67469879518072284</v>
      </c>
      <c r="AC665" s="17">
        <v>19</v>
      </c>
      <c r="AD665" s="36">
        <f t="shared" si="212"/>
        <v>0.18446601941747573</v>
      </c>
      <c r="AE665" s="17">
        <v>17</v>
      </c>
      <c r="AF665" s="36">
        <f t="shared" si="223"/>
        <v>0.20481927710843373</v>
      </c>
      <c r="AG665" s="17">
        <v>4</v>
      </c>
      <c r="AH665" s="36">
        <f t="shared" si="213"/>
        <v>3.8834951456310676E-2</v>
      </c>
      <c r="AI665" s="17">
        <v>3</v>
      </c>
      <c r="AJ665" s="36">
        <f t="shared" si="224"/>
        <v>3.614457831325301E-2</v>
      </c>
      <c r="AK665" s="17">
        <v>1</v>
      </c>
      <c r="AL665" s="36">
        <f t="shared" si="214"/>
        <v>9.7087378640776691E-3</v>
      </c>
      <c r="AM665" s="17">
        <v>0</v>
      </c>
      <c r="AN665" s="36">
        <f t="shared" si="225"/>
        <v>0</v>
      </c>
      <c r="AO665" s="17">
        <v>103</v>
      </c>
      <c r="AP665" s="17">
        <v>83</v>
      </c>
    </row>
    <row r="666" spans="1:42" ht="15.75" customHeight="1" x14ac:dyDescent="0.25">
      <c r="A666" s="37">
        <v>2020</v>
      </c>
      <c r="B666" s="35">
        <v>171855</v>
      </c>
      <c r="C666" s="34" t="s">
        <v>145</v>
      </c>
      <c r="D666" s="34" t="s">
        <v>113</v>
      </c>
      <c r="E666" s="17">
        <v>0</v>
      </c>
      <c r="F666" s="36">
        <f t="shared" si="215"/>
        <v>0</v>
      </c>
      <c r="G666" s="17">
        <v>0</v>
      </c>
      <c r="H666" s="36">
        <f t="shared" si="216"/>
        <v>0</v>
      </c>
      <c r="I666" s="17">
        <v>0</v>
      </c>
      <c r="J666" s="36">
        <f t="shared" si="217"/>
        <v>0</v>
      </c>
      <c r="K666" s="17">
        <v>0</v>
      </c>
      <c r="L666" s="36">
        <f t="shared" si="218"/>
        <v>0</v>
      </c>
      <c r="M666" s="17">
        <v>1</v>
      </c>
      <c r="N666" s="36">
        <f t="shared" si="208"/>
        <v>1</v>
      </c>
      <c r="O666" s="17">
        <v>0</v>
      </c>
      <c r="P666" s="36">
        <f t="shared" si="219"/>
        <v>0</v>
      </c>
      <c r="Q666" s="17">
        <v>0</v>
      </c>
      <c r="R666" s="36">
        <f t="shared" si="209"/>
        <v>0</v>
      </c>
      <c r="S666" s="17">
        <v>0</v>
      </c>
      <c r="T666" s="36">
        <f t="shared" si="220"/>
        <v>0</v>
      </c>
      <c r="U666" s="17">
        <v>0</v>
      </c>
      <c r="V666" s="36">
        <f t="shared" si="210"/>
        <v>0</v>
      </c>
      <c r="W666" s="17">
        <v>0</v>
      </c>
      <c r="X666" s="36">
        <f t="shared" si="221"/>
        <v>0</v>
      </c>
      <c r="Y666" s="17">
        <v>1</v>
      </c>
      <c r="Z666" s="36">
        <f t="shared" si="211"/>
        <v>1</v>
      </c>
      <c r="AA666" s="17">
        <v>0</v>
      </c>
      <c r="AB666" s="36">
        <f t="shared" si="222"/>
        <v>0</v>
      </c>
      <c r="AC666" s="17">
        <v>0</v>
      </c>
      <c r="AD666" s="36">
        <f t="shared" si="212"/>
        <v>0</v>
      </c>
      <c r="AE666" s="17">
        <v>0</v>
      </c>
      <c r="AF666" s="36">
        <f t="shared" si="223"/>
        <v>0</v>
      </c>
      <c r="AG666" s="17">
        <v>0</v>
      </c>
      <c r="AH666" s="36">
        <f t="shared" si="213"/>
        <v>0</v>
      </c>
      <c r="AI666" s="17">
        <v>0</v>
      </c>
      <c r="AJ666" s="36">
        <f t="shared" si="224"/>
        <v>0</v>
      </c>
      <c r="AK666" s="17">
        <v>0</v>
      </c>
      <c r="AL666" s="36">
        <f t="shared" si="214"/>
        <v>0</v>
      </c>
      <c r="AM666" s="17">
        <v>0</v>
      </c>
      <c r="AN666" s="36">
        <f t="shared" si="225"/>
        <v>0</v>
      </c>
      <c r="AO666" s="17">
        <v>1</v>
      </c>
      <c r="AP666" s="17">
        <v>0</v>
      </c>
    </row>
    <row r="667" spans="1:42" ht="15.75" customHeight="1" x14ac:dyDescent="0.25">
      <c r="A667" s="37">
        <v>2020</v>
      </c>
      <c r="B667" s="35">
        <v>171865</v>
      </c>
      <c r="C667" s="34" t="s">
        <v>147</v>
      </c>
      <c r="D667" s="34" t="s">
        <v>114</v>
      </c>
      <c r="E667" s="17">
        <v>0</v>
      </c>
      <c r="F667" s="36">
        <f t="shared" si="215"/>
        <v>0</v>
      </c>
      <c r="G667" s="17">
        <v>0</v>
      </c>
      <c r="H667" s="36">
        <f t="shared" si="216"/>
        <v>0</v>
      </c>
      <c r="I667" s="17">
        <v>2</v>
      </c>
      <c r="J667" s="36">
        <f t="shared" si="217"/>
        <v>2.7397260273972601E-2</v>
      </c>
      <c r="K667" s="17">
        <v>2</v>
      </c>
      <c r="L667" s="36">
        <f t="shared" si="218"/>
        <v>3.125E-2</v>
      </c>
      <c r="M667" s="17">
        <v>71</v>
      </c>
      <c r="N667" s="36">
        <f t="shared" si="208"/>
        <v>0.9726027397260274</v>
      </c>
      <c r="O667" s="17">
        <v>62</v>
      </c>
      <c r="P667" s="36">
        <f t="shared" si="219"/>
        <v>0.96875</v>
      </c>
      <c r="Q667" s="17">
        <v>0</v>
      </c>
      <c r="R667" s="36">
        <f t="shared" si="209"/>
        <v>0</v>
      </c>
      <c r="S667" s="17">
        <v>0</v>
      </c>
      <c r="T667" s="36">
        <f t="shared" si="220"/>
        <v>0</v>
      </c>
      <c r="U667" s="17">
        <v>3</v>
      </c>
      <c r="V667" s="36">
        <f t="shared" si="210"/>
        <v>4.1095890410958902E-2</v>
      </c>
      <c r="W667" s="17">
        <v>2</v>
      </c>
      <c r="X667" s="36">
        <f t="shared" si="221"/>
        <v>3.125E-2</v>
      </c>
      <c r="Y667" s="17">
        <v>52</v>
      </c>
      <c r="Z667" s="36">
        <f t="shared" si="211"/>
        <v>0.71232876712328763</v>
      </c>
      <c r="AA667" s="17">
        <v>46</v>
      </c>
      <c r="AB667" s="36">
        <f t="shared" si="222"/>
        <v>0.71875</v>
      </c>
      <c r="AC667" s="17">
        <v>12</v>
      </c>
      <c r="AD667" s="36">
        <f t="shared" si="212"/>
        <v>0.16438356164383561</v>
      </c>
      <c r="AE667" s="17">
        <v>10</v>
      </c>
      <c r="AF667" s="36">
        <f t="shared" si="223"/>
        <v>0.15625</v>
      </c>
      <c r="AG667" s="17">
        <v>6</v>
      </c>
      <c r="AH667" s="36">
        <f t="shared" si="213"/>
        <v>8.2191780821917804E-2</v>
      </c>
      <c r="AI667" s="17">
        <v>6</v>
      </c>
      <c r="AJ667" s="36">
        <f t="shared" si="224"/>
        <v>9.375E-2</v>
      </c>
      <c r="AK667" s="17">
        <v>0</v>
      </c>
      <c r="AL667" s="36">
        <f t="shared" si="214"/>
        <v>0</v>
      </c>
      <c r="AM667" s="17">
        <v>0</v>
      </c>
      <c r="AN667" s="36">
        <f t="shared" si="225"/>
        <v>0</v>
      </c>
      <c r="AO667" s="17">
        <v>73</v>
      </c>
      <c r="AP667" s="17">
        <v>64</v>
      </c>
    </row>
    <row r="668" spans="1:42" ht="15.75" customHeight="1" x14ac:dyDescent="0.25">
      <c r="A668" s="37">
        <v>2020</v>
      </c>
      <c r="B668" s="35">
        <v>171870</v>
      </c>
      <c r="C668" s="34" t="s">
        <v>148</v>
      </c>
      <c r="D668" s="34" t="s">
        <v>115</v>
      </c>
      <c r="E668" s="17">
        <v>5</v>
      </c>
      <c r="F668" s="36">
        <f t="shared" si="215"/>
        <v>2.9411764705882353E-2</v>
      </c>
      <c r="G668" s="17">
        <v>1</v>
      </c>
      <c r="H668" s="36">
        <f t="shared" si="216"/>
        <v>8.0000000000000002E-3</v>
      </c>
      <c r="I668" s="17">
        <v>10</v>
      </c>
      <c r="J668" s="36">
        <f t="shared" si="217"/>
        <v>5.8823529411764705E-2</v>
      </c>
      <c r="K668" s="17">
        <v>6</v>
      </c>
      <c r="L668" s="36">
        <f t="shared" si="218"/>
        <v>4.8000000000000001E-2</v>
      </c>
      <c r="M668" s="17">
        <v>155</v>
      </c>
      <c r="N668" s="36">
        <f t="shared" si="208"/>
        <v>0.91176470588235292</v>
      </c>
      <c r="O668" s="17">
        <v>118</v>
      </c>
      <c r="P668" s="36">
        <f t="shared" si="219"/>
        <v>0.94399999999999995</v>
      </c>
      <c r="Q668" s="17">
        <v>4</v>
      </c>
      <c r="R668" s="36">
        <f t="shared" si="209"/>
        <v>2.3529411764705882E-2</v>
      </c>
      <c r="S668" s="17">
        <v>2</v>
      </c>
      <c r="T668" s="36">
        <f t="shared" si="220"/>
        <v>1.6E-2</v>
      </c>
      <c r="U668" s="17">
        <v>4</v>
      </c>
      <c r="V668" s="36">
        <f t="shared" si="210"/>
        <v>2.3529411764705882E-2</v>
      </c>
      <c r="W668" s="17">
        <v>5</v>
      </c>
      <c r="X668" s="36">
        <f t="shared" si="221"/>
        <v>0.04</v>
      </c>
      <c r="Y668" s="17">
        <v>112</v>
      </c>
      <c r="Z668" s="36">
        <f t="shared" si="211"/>
        <v>0.6588235294117647</v>
      </c>
      <c r="AA668" s="17">
        <v>82</v>
      </c>
      <c r="AB668" s="36">
        <f t="shared" si="222"/>
        <v>0.65600000000000003</v>
      </c>
      <c r="AC668" s="17">
        <v>28</v>
      </c>
      <c r="AD668" s="36">
        <f t="shared" si="212"/>
        <v>0.16470588235294117</v>
      </c>
      <c r="AE668" s="17">
        <v>22</v>
      </c>
      <c r="AF668" s="36">
        <f t="shared" si="223"/>
        <v>0.17599999999999999</v>
      </c>
      <c r="AG668" s="17">
        <v>20</v>
      </c>
      <c r="AH668" s="36">
        <f t="shared" si="213"/>
        <v>0.11764705882352941</v>
      </c>
      <c r="AI668" s="17">
        <v>13</v>
      </c>
      <c r="AJ668" s="36">
        <f t="shared" si="224"/>
        <v>0.104</v>
      </c>
      <c r="AK668" s="17">
        <v>2</v>
      </c>
      <c r="AL668" s="36">
        <f t="shared" si="214"/>
        <v>1.1764705882352941E-2</v>
      </c>
      <c r="AM668" s="17">
        <v>1</v>
      </c>
      <c r="AN668" s="36">
        <f t="shared" si="225"/>
        <v>8.0000000000000002E-3</v>
      </c>
      <c r="AO668" s="17">
        <v>170</v>
      </c>
      <c r="AP668" s="17">
        <v>125</v>
      </c>
    </row>
    <row r="669" spans="1:42" ht="15.75" customHeight="1" x14ac:dyDescent="0.25">
      <c r="A669" s="37">
        <v>2020</v>
      </c>
      <c r="B669" s="35">
        <v>171875</v>
      </c>
      <c r="C669" s="34" t="s">
        <v>148</v>
      </c>
      <c r="D669" s="34" t="s">
        <v>116</v>
      </c>
      <c r="E669" s="17">
        <v>2</v>
      </c>
      <c r="F669" s="36">
        <f t="shared" si="215"/>
        <v>2.5000000000000001E-2</v>
      </c>
      <c r="G669" s="17">
        <v>1</v>
      </c>
      <c r="H669" s="36">
        <f t="shared" si="216"/>
        <v>2.2727272727272728E-2</v>
      </c>
      <c r="I669" s="17">
        <v>4</v>
      </c>
      <c r="J669" s="36">
        <f t="shared" si="217"/>
        <v>0.05</v>
      </c>
      <c r="K669" s="17">
        <v>3</v>
      </c>
      <c r="L669" s="36">
        <f t="shared" si="218"/>
        <v>6.8181818181818177E-2</v>
      </c>
      <c r="M669" s="17">
        <v>74</v>
      </c>
      <c r="N669" s="36">
        <f t="shared" si="208"/>
        <v>0.92500000000000004</v>
      </c>
      <c r="O669" s="17">
        <v>40</v>
      </c>
      <c r="P669" s="36">
        <f t="shared" si="219"/>
        <v>0.90909090909090906</v>
      </c>
      <c r="Q669" s="17">
        <v>2</v>
      </c>
      <c r="R669" s="36">
        <f t="shared" si="209"/>
        <v>2.5000000000000001E-2</v>
      </c>
      <c r="S669" s="17">
        <v>1</v>
      </c>
      <c r="T669" s="36">
        <f t="shared" si="220"/>
        <v>2.2727272727272728E-2</v>
      </c>
      <c r="U669" s="17">
        <v>2</v>
      </c>
      <c r="V669" s="36">
        <f t="shared" si="210"/>
        <v>2.5000000000000001E-2</v>
      </c>
      <c r="W669" s="17">
        <v>1</v>
      </c>
      <c r="X669" s="36">
        <f t="shared" si="221"/>
        <v>2.2727272727272728E-2</v>
      </c>
      <c r="Y669" s="17">
        <v>57</v>
      </c>
      <c r="Z669" s="36">
        <f t="shared" si="211"/>
        <v>0.71250000000000002</v>
      </c>
      <c r="AA669" s="17">
        <v>39</v>
      </c>
      <c r="AB669" s="36">
        <f t="shared" si="222"/>
        <v>0.88636363636363635</v>
      </c>
      <c r="AC669" s="17">
        <v>12</v>
      </c>
      <c r="AD669" s="36">
        <f t="shared" si="212"/>
        <v>0.15</v>
      </c>
      <c r="AE669" s="17">
        <v>2</v>
      </c>
      <c r="AF669" s="36">
        <f t="shared" si="223"/>
        <v>4.5454545454545456E-2</v>
      </c>
      <c r="AG669" s="17">
        <v>6</v>
      </c>
      <c r="AH669" s="36">
        <f t="shared" si="213"/>
        <v>7.4999999999999997E-2</v>
      </c>
      <c r="AI669" s="17">
        <v>0</v>
      </c>
      <c r="AJ669" s="36">
        <f t="shared" si="224"/>
        <v>0</v>
      </c>
      <c r="AK669" s="17">
        <v>1</v>
      </c>
      <c r="AL669" s="36">
        <f t="shared" si="214"/>
        <v>1.2500000000000001E-2</v>
      </c>
      <c r="AM669" s="17">
        <v>1</v>
      </c>
      <c r="AN669" s="36">
        <f t="shared" si="225"/>
        <v>2.2727272727272728E-2</v>
      </c>
      <c r="AO669" s="17">
        <v>80</v>
      </c>
      <c r="AP669" s="17">
        <v>44</v>
      </c>
    </row>
    <row r="670" spans="1:42" ht="15.75" customHeight="1" x14ac:dyDescent="0.25">
      <c r="A670" s="37">
        <v>2020</v>
      </c>
      <c r="B670" s="35">
        <v>171880</v>
      </c>
      <c r="C670" s="34" t="s">
        <v>145</v>
      </c>
      <c r="D670" s="34" t="s">
        <v>117</v>
      </c>
      <c r="E670" s="17">
        <v>10</v>
      </c>
      <c r="F670" s="36">
        <f t="shared" si="215"/>
        <v>3.3783783783783786E-2</v>
      </c>
      <c r="G670" s="17">
        <v>7</v>
      </c>
      <c r="H670" s="36">
        <f t="shared" si="216"/>
        <v>2.9166666666666667E-2</v>
      </c>
      <c r="I670" s="17">
        <v>22</v>
      </c>
      <c r="J670" s="36">
        <f t="shared" si="217"/>
        <v>7.4324324324324328E-2</v>
      </c>
      <c r="K670" s="17">
        <v>19</v>
      </c>
      <c r="L670" s="36">
        <f t="shared" si="218"/>
        <v>7.9166666666666663E-2</v>
      </c>
      <c r="M670" s="17">
        <v>264</v>
      </c>
      <c r="N670" s="36">
        <f t="shared" si="208"/>
        <v>0.89189189189189189</v>
      </c>
      <c r="O670" s="17">
        <v>214</v>
      </c>
      <c r="P670" s="36">
        <f t="shared" si="219"/>
        <v>0.89166666666666672</v>
      </c>
      <c r="Q670" s="17">
        <v>3</v>
      </c>
      <c r="R670" s="36">
        <f t="shared" si="209"/>
        <v>1.0135135135135136E-2</v>
      </c>
      <c r="S670" s="17">
        <v>1</v>
      </c>
      <c r="T670" s="36">
        <f t="shared" si="220"/>
        <v>4.1666666666666666E-3</v>
      </c>
      <c r="U670" s="17">
        <v>13</v>
      </c>
      <c r="V670" s="36">
        <f t="shared" si="210"/>
        <v>4.3918918918918921E-2</v>
      </c>
      <c r="W670" s="17">
        <v>11</v>
      </c>
      <c r="X670" s="36">
        <f t="shared" si="221"/>
        <v>4.583333333333333E-2</v>
      </c>
      <c r="Y670" s="17">
        <v>224</v>
      </c>
      <c r="Z670" s="36">
        <f t="shared" si="211"/>
        <v>0.7567567567567568</v>
      </c>
      <c r="AA670" s="17">
        <v>180</v>
      </c>
      <c r="AB670" s="36">
        <f t="shared" si="222"/>
        <v>0.75</v>
      </c>
      <c r="AC670" s="17">
        <v>44</v>
      </c>
      <c r="AD670" s="36">
        <f t="shared" si="212"/>
        <v>0.14864864864864866</v>
      </c>
      <c r="AE670" s="17">
        <v>39</v>
      </c>
      <c r="AF670" s="36">
        <f t="shared" si="223"/>
        <v>0.16250000000000001</v>
      </c>
      <c r="AG670" s="17">
        <v>8</v>
      </c>
      <c r="AH670" s="36">
        <f t="shared" si="213"/>
        <v>2.7027027027027029E-2</v>
      </c>
      <c r="AI670" s="17">
        <v>6</v>
      </c>
      <c r="AJ670" s="36">
        <f t="shared" si="224"/>
        <v>2.5000000000000001E-2</v>
      </c>
      <c r="AK670" s="17">
        <v>4</v>
      </c>
      <c r="AL670" s="36">
        <f t="shared" si="214"/>
        <v>1.3513513513513514E-2</v>
      </c>
      <c r="AM670" s="17">
        <v>3</v>
      </c>
      <c r="AN670" s="36">
        <f t="shared" si="225"/>
        <v>1.2500000000000001E-2</v>
      </c>
      <c r="AO670" s="17">
        <v>296</v>
      </c>
      <c r="AP670" s="17">
        <v>240</v>
      </c>
    </row>
    <row r="671" spans="1:42" ht="15.75" customHeight="1" x14ac:dyDescent="0.25">
      <c r="A671" s="37">
        <v>2020</v>
      </c>
      <c r="B671" s="35">
        <v>171884</v>
      </c>
      <c r="C671" s="34" t="s">
        <v>146</v>
      </c>
      <c r="D671" s="34" t="s">
        <v>118</v>
      </c>
      <c r="E671" s="17">
        <v>1</v>
      </c>
      <c r="F671" s="36">
        <f t="shared" si="215"/>
        <v>2.1739130434782608E-2</v>
      </c>
      <c r="G671" s="17">
        <v>0</v>
      </c>
      <c r="H671" s="36">
        <f t="shared" si="216"/>
        <v>0</v>
      </c>
      <c r="I671" s="17">
        <v>2</v>
      </c>
      <c r="J671" s="36">
        <f t="shared" si="217"/>
        <v>4.3478260869565216E-2</v>
      </c>
      <c r="K671" s="17">
        <v>0</v>
      </c>
      <c r="L671" s="36">
        <f t="shared" si="218"/>
        <v>0</v>
      </c>
      <c r="M671" s="17">
        <v>43</v>
      </c>
      <c r="N671" s="36">
        <f t="shared" si="208"/>
        <v>0.93478260869565222</v>
      </c>
      <c r="O671" s="17">
        <v>15</v>
      </c>
      <c r="P671" s="36">
        <f t="shared" si="219"/>
        <v>1</v>
      </c>
      <c r="Q671" s="17">
        <v>0</v>
      </c>
      <c r="R671" s="36">
        <f t="shared" si="209"/>
        <v>0</v>
      </c>
      <c r="S671" s="17">
        <v>0</v>
      </c>
      <c r="T671" s="36">
        <f t="shared" si="220"/>
        <v>0</v>
      </c>
      <c r="U671" s="17">
        <v>2</v>
      </c>
      <c r="V671" s="36">
        <f t="shared" si="210"/>
        <v>4.3478260869565216E-2</v>
      </c>
      <c r="W671" s="17">
        <v>2</v>
      </c>
      <c r="X671" s="36">
        <f t="shared" si="221"/>
        <v>0.13333333333333333</v>
      </c>
      <c r="Y671" s="17">
        <v>35</v>
      </c>
      <c r="Z671" s="36">
        <f t="shared" si="211"/>
        <v>0.76086956521739135</v>
      </c>
      <c r="AA671" s="17">
        <v>7</v>
      </c>
      <c r="AB671" s="36">
        <f t="shared" si="222"/>
        <v>0.46666666666666667</v>
      </c>
      <c r="AC671" s="17">
        <v>5</v>
      </c>
      <c r="AD671" s="36">
        <f t="shared" si="212"/>
        <v>0.10869565217391304</v>
      </c>
      <c r="AE671" s="17">
        <v>4</v>
      </c>
      <c r="AF671" s="36">
        <f t="shared" si="223"/>
        <v>0.26666666666666666</v>
      </c>
      <c r="AG671" s="17">
        <v>2</v>
      </c>
      <c r="AH671" s="36">
        <f t="shared" si="213"/>
        <v>4.3478260869565216E-2</v>
      </c>
      <c r="AI671" s="17">
        <v>1</v>
      </c>
      <c r="AJ671" s="36">
        <f t="shared" si="224"/>
        <v>6.6666666666666666E-2</v>
      </c>
      <c r="AK671" s="17">
        <v>2</v>
      </c>
      <c r="AL671" s="36">
        <f t="shared" si="214"/>
        <v>4.3478260869565216E-2</v>
      </c>
      <c r="AM671" s="17">
        <v>1</v>
      </c>
      <c r="AN671" s="36">
        <f t="shared" si="225"/>
        <v>6.6666666666666666E-2</v>
      </c>
      <c r="AO671" s="17">
        <v>46</v>
      </c>
      <c r="AP671" s="17">
        <v>15</v>
      </c>
    </row>
    <row r="672" spans="1:42" ht="15.75" customHeight="1" x14ac:dyDescent="0.25">
      <c r="A672" s="37">
        <v>2020</v>
      </c>
      <c r="B672" s="35">
        <v>171886</v>
      </c>
      <c r="C672" s="34" t="s">
        <v>149</v>
      </c>
      <c r="D672" s="34" t="s">
        <v>119</v>
      </c>
      <c r="E672" s="17">
        <v>1</v>
      </c>
      <c r="F672" s="36">
        <f t="shared" si="215"/>
        <v>4.2194092827004216E-3</v>
      </c>
      <c r="G672" s="17">
        <v>0</v>
      </c>
      <c r="H672" s="36">
        <f t="shared" si="216"/>
        <v>0</v>
      </c>
      <c r="I672" s="17">
        <v>12</v>
      </c>
      <c r="J672" s="36">
        <f t="shared" si="217"/>
        <v>5.0632911392405063E-2</v>
      </c>
      <c r="K672" s="17">
        <v>0</v>
      </c>
      <c r="L672" s="36">
        <f t="shared" si="218"/>
        <v>0</v>
      </c>
      <c r="M672" s="17">
        <v>224</v>
      </c>
      <c r="N672" s="36">
        <f t="shared" si="208"/>
        <v>0.94514767932489452</v>
      </c>
      <c r="O672" s="17">
        <v>37</v>
      </c>
      <c r="P672" s="36">
        <f t="shared" si="219"/>
        <v>1</v>
      </c>
      <c r="Q672" s="17">
        <v>4</v>
      </c>
      <c r="R672" s="36">
        <f t="shared" si="209"/>
        <v>1.6877637130801686E-2</v>
      </c>
      <c r="S672" s="17">
        <v>0</v>
      </c>
      <c r="T672" s="36">
        <f t="shared" si="220"/>
        <v>0</v>
      </c>
      <c r="U672" s="17">
        <v>5</v>
      </c>
      <c r="V672" s="36">
        <f t="shared" si="210"/>
        <v>2.1097046413502109E-2</v>
      </c>
      <c r="W672" s="17">
        <v>2</v>
      </c>
      <c r="X672" s="36">
        <f t="shared" si="221"/>
        <v>5.4054054054054057E-2</v>
      </c>
      <c r="Y672" s="17">
        <v>152</v>
      </c>
      <c r="Z672" s="36">
        <f t="shared" si="211"/>
        <v>0.64135021097046419</v>
      </c>
      <c r="AA672" s="17">
        <v>17</v>
      </c>
      <c r="AB672" s="36">
        <f t="shared" si="222"/>
        <v>0.45945945945945948</v>
      </c>
      <c r="AC672" s="17">
        <v>44</v>
      </c>
      <c r="AD672" s="36">
        <f t="shared" si="212"/>
        <v>0.18565400843881857</v>
      </c>
      <c r="AE672" s="17">
        <v>11</v>
      </c>
      <c r="AF672" s="36">
        <f t="shared" si="223"/>
        <v>0.29729729729729731</v>
      </c>
      <c r="AG672" s="17">
        <v>26</v>
      </c>
      <c r="AH672" s="36">
        <f t="shared" si="213"/>
        <v>0.10970464135021098</v>
      </c>
      <c r="AI672" s="17">
        <v>4</v>
      </c>
      <c r="AJ672" s="36">
        <f t="shared" si="224"/>
        <v>0.10810810810810811</v>
      </c>
      <c r="AK672" s="17">
        <v>6</v>
      </c>
      <c r="AL672" s="36">
        <f t="shared" si="214"/>
        <v>2.5316455696202531E-2</v>
      </c>
      <c r="AM672" s="17">
        <v>3</v>
      </c>
      <c r="AN672" s="36">
        <f t="shared" si="225"/>
        <v>8.1081081081081086E-2</v>
      </c>
      <c r="AO672" s="17">
        <v>237</v>
      </c>
      <c r="AP672" s="17">
        <v>37</v>
      </c>
    </row>
    <row r="673" spans="1:42" ht="15.75" customHeight="1" x14ac:dyDescent="0.25">
      <c r="A673" s="37">
        <v>2020</v>
      </c>
      <c r="B673" s="35">
        <v>171888</v>
      </c>
      <c r="C673" s="34" t="s">
        <v>150</v>
      </c>
      <c r="D673" s="34" t="s">
        <v>120</v>
      </c>
      <c r="E673" s="17">
        <v>1</v>
      </c>
      <c r="F673" s="36">
        <f t="shared" si="215"/>
        <v>0.33333333333333331</v>
      </c>
      <c r="G673" s="17">
        <v>0</v>
      </c>
      <c r="H673" s="36">
        <f t="shared" si="216"/>
        <v>0</v>
      </c>
      <c r="I673" s="17">
        <v>0</v>
      </c>
      <c r="J673" s="36">
        <f t="shared" si="217"/>
        <v>0</v>
      </c>
      <c r="K673" s="17">
        <v>0</v>
      </c>
      <c r="L673" s="36">
        <f t="shared" si="218"/>
        <v>0</v>
      </c>
      <c r="M673" s="17">
        <v>2</v>
      </c>
      <c r="N673" s="36">
        <f t="shared" si="208"/>
        <v>0.66666666666666663</v>
      </c>
      <c r="O673" s="17">
        <v>0</v>
      </c>
      <c r="P673" s="36">
        <f t="shared" si="219"/>
        <v>0</v>
      </c>
      <c r="Q673" s="17">
        <v>1</v>
      </c>
      <c r="R673" s="36">
        <f t="shared" si="209"/>
        <v>0.33333333333333331</v>
      </c>
      <c r="S673" s="17">
        <v>0</v>
      </c>
      <c r="T673" s="36">
        <f t="shared" si="220"/>
        <v>0</v>
      </c>
      <c r="U673" s="17">
        <v>0</v>
      </c>
      <c r="V673" s="36">
        <f t="shared" si="210"/>
        <v>0</v>
      </c>
      <c r="W673" s="17">
        <v>0</v>
      </c>
      <c r="X673" s="36">
        <f t="shared" si="221"/>
        <v>0</v>
      </c>
      <c r="Y673" s="17">
        <v>2</v>
      </c>
      <c r="Z673" s="36">
        <f t="shared" si="211"/>
        <v>0.66666666666666663</v>
      </c>
      <c r="AA673" s="17">
        <v>0</v>
      </c>
      <c r="AB673" s="36">
        <f t="shared" si="222"/>
        <v>0</v>
      </c>
      <c r="AC673" s="17">
        <v>0</v>
      </c>
      <c r="AD673" s="36">
        <f t="shared" si="212"/>
        <v>0</v>
      </c>
      <c r="AE673" s="17">
        <v>0</v>
      </c>
      <c r="AF673" s="36">
        <f t="shared" si="223"/>
        <v>0</v>
      </c>
      <c r="AG673" s="17">
        <v>0</v>
      </c>
      <c r="AH673" s="36">
        <f t="shared" si="213"/>
        <v>0</v>
      </c>
      <c r="AI673" s="17">
        <v>0</v>
      </c>
      <c r="AJ673" s="36">
        <f t="shared" si="224"/>
        <v>0</v>
      </c>
      <c r="AK673" s="17">
        <v>0</v>
      </c>
      <c r="AL673" s="36">
        <f t="shared" si="214"/>
        <v>0</v>
      </c>
      <c r="AM673" s="17">
        <v>0</v>
      </c>
      <c r="AN673" s="36">
        <f t="shared" si="225"/>
        <v>0</v>
      </c>
      <c r="AO673" s="17">
        <v>3</v>
      </c>
      <c r="AP673" s="17">
        <v>0</v>
      </c>
    </row>
    <row r="674" spans="1:42" ht="15.75" customHeight="1" x14ac:dyDescent="0.25">
      <c r="A674" s="37">
        <v>2020</v>
      </c>
      <c r="B674" s="35">
        <v>171889</v>
      </c>
      <c r="C674" s="34" t="s">
        <v>146</v>
      </c>
      <c r="D674" s="34" t="s">
        <v>121</v>
      </c>
      <c r="E674" s="17">
        <v>1</v>
      </c>
      <c r="F674" s="36">
        <f t="shared" si="215"/>
        <v>7.8125E-3</v>
      </c>
      <c r="G674" s="17">
        <v>1</v>
      </c>
      <c r="H674" s="36">
        <f t="shared" si="216"/>
        <v>2.7027027027027029E-2</v>
      </c>
      <c r="I674" s="17">
        <v>9</v>
      </c>
      <c r="J674" s="36">
        <f t="shared" si="217"/>
        <v>7.03125E-2</v>
      </c>
      <c r="K674" s="17">
        <v>9</v>
      </c>
      <c r="L674" s="36">
        <f t="shared" si="218"/>
        <v>0.24324324324324326</v>
      </c>
      <c r="M674" s="17">
        <v>118</v>
      </c>
      <c r="N674" s="36">
        <f t="shared" si="208"/>
        <v>0.921875</v>
      </c>
      <c r="O674" s="17">
        <v>27</v>
      </c>
      <c r="P674" s="36">
        <f t="shared" si="219"/>
        <v>0.72972972972972971</v>
      </c>
      <c r="Q674" s="17">
        <v>2</v>
      </c>
      <c r="R674" s="36">
        <f t="shared" si="209"/>
        <v>1.5625E-2</v>
      </c>
      <c r="S674" s="17">
        <v>1</v>
      </c>
      <c r="T674" s="36">
        <f t="shared" si="220"/>
        <v>2.7027027027027029E-2</v>
      </c>
      <c r="U674" s="17">
        <v>6</v>
      </c>
      <c r="V674" s="36">
        <f t="shared" si="210"/>
        <v>4.6875E-2</v>
      </c>
      <c r="W674" s="17">
        <v>0</v>
      </c>
      <c r="X674" s="36">
        <f t="shared" si="221"/>
        <v>0</v>
      </c>
      <c r="Y674" s="17">
        <v>78</v>
      </c>
      <c r="Z674" s="36">
        <f t="shared" si="211"/>
        <v>0.609375</v>
      </c>
      <c r="AA674" s="17">
        <v>19</v>
      </c>
      <c r="AB674" s="36">
        <f t="shared" si="222"/>
        <v>0.51351351351351349</v>
      </c>
      <c r="AC674" s="17">
        <v>27</v>
      </c>
      <c r="AD674" s="36">
        <f t="shared" si="212"/>
        <v>0.2109375</v>
      </c>
      <c r="AE674" s="17">
        <v>11</v>
      </c>
      <c r="AF674" s="36">
        <f t="shared" si="223"/>
        <v>0.29729729729729731</v>
      </c>
      <c r="AG674" s="17">
        <v>10</v>
      </c>
      <c r="AH674" s="36">
        <f t="shared" si="213"/>
        <v>7.8125E-2</v>
      </c>
      <c r="AI674" s="17">
        <v>3</v>
      </c>
      <c r="AJ674" s="36">
        <f t="shared" si="224"/>
        <v>8.1081081081081086E-2</v>
      </c>
      <c r="AK674" s="17">
        <v>5</v>
      </c>
      <c r="AL674" s="36">
        <f t="shared" si="214"/>
        <v>3.90625E-2</v>
      </c>
      <c r="AM674" s="17">
        <v>3</v>
      </c>
      <c r="AN674" s="36">
        <f t="shared" si="225"/>
        <v>8.1081081081081086E-2</v>
      </c>
      <c r="AO674" s="17">
        <v>128</v>
      </c>
      <c r="AP674" s="17">
        <v>37</v>
      </c>
    </row>
    <row r="675" spans="1:42" ht="15.75" customHeight="1" x14ac:dyDescent="0.25">
      <c r="A675" s="37">
        <v>2020</v>
      </c>
      <c r="B675" s="35">
        <v>171890</v>
      </c>
      <c r="C675" s="34" t="s">
        <v>151</v>
      </c>
      <c r="D675" s="34" t="s">
        <v>122</v>
      </c>
      <c r="E675" s="17">
        <v>0</v>
      </c>
      <c r="F675" s="36">
        <f t="shared" si="215"/>
        <v>0</v>
      </c>
      <c r="G675" s="17">
        <v>0</v>
      </c>
      <c r="H675" s="36">
        <f t="shared" si="216"/>
        <v>0</v>
      </c>
      <c r="I675" s="17">
        <v>0</v>
      </c>
      <c r="J675" s="36">
        <f t="shared" si="217"/>
        <v>0</v>
      </c>
      <c r="K675" s="17">
        <v>0</v>
      </c>
      <c r="L675" s="36">
        <f t="shared" si="218"/>
        <v>0</v>
      </c>
      <c r="M675" s="17">
        <v>12</v>
      </c>
      <c r="N675" s="36">
        <f t="shared" si="208"/>
        <v>1</v>
      </c>
      <c r="O675" s="17">
        <v>2</v>
      </c>
      <c r="P675" s="36">
        <f t="shared" si="219"/>
        <v>1</v>
      </c>
      <c r="Q675" s="17">
        <v>0</v>
      </c>
      <c r="R675" s="36">
        <f t="shared" si="209"/>
        <v>0</v>
      </c>
      <c r="S675" s="17">
        <v>0</v>
      </c>
      <c r="T675" s="36">
        <f t="shared" si="220"/>
        <v>0</v>
      </c>
      <c r="U675" s="17">
        <v>0</v>
      </c>
      <c r="V675" s="36">
        <f t="shared" si="210"/>
        <v>0</v>
      </c>
      <c r="W675" s="17">
        <v>0</v>
      </c>
      <c r="X675" s="36">
        <f t="shared" si="221"/>
        <v>0</v>
      </c>
      <c r="Y675" s="17">
        <v>11</v>
      </c>
      <c r="Z675" s="36">
        <f t="shared" si="211"/>
        <v>0.91666666666666663</v>
      </c>
      <c r="AA675" s="17">
        <v>2</v>
      </c>
      <c r="AB675" s="36">
        <f t="shared" si="222"/>
        <v>1</v>
      </c>
      <c r="AC675" s="17">
        <v>0</v>
      </c>
      <c r="AD675" s="36">
        <f t="shared" si="212"/>
        <v>0</v>
      </c>
      <c r="AE675" s="17">
        <v>0</v>
      </c>
      <c r="AF675" s="36">
        <f t="shared" si="223"/>
        <v>0</v>
      </c>
      <c r="AG675" s="17">
        <v>1</v>
      </c>
      <c r="AH675" s="36">
        <f t="shared" si="213"/>
        <v>8.3333333333333329E-2</v>
      </c>
      <c r="AI675" s="17">
        <v>0</v>
      </c>
      <c r="AJ675" s="36">
        <f t="shared" si="224"/>
        <v>0</v>
      </c>
      <c r="AK675" s="17">
        <v>0</v>
      </c>
      <c r="AL675" s="36">
        <f t="shared" si="214"/>
        <v>0</v>
      </c>
      <c r="AM675" s="17">
        <v>0</v>
      </c>
      <c r="AN675" s="36">
        <f t="shared" si="225"/>
        <v>0</v>
      </c>
      <c r="AO675" s="17">
        <v>12</v>
      </c>
      <c r="AP675" s="17">
        <v>2</v>
      </c>
    </row>
    <row r="676" spans="1:42" ht="15.75" customHeight="1" x14ac:dyDescent="0.25">
      <c r="A676" s="37">
        <v>2020</v>
      </c>
      <c r="B676" s="35">
        <v>171900</v>
      </c>
      <c r="C676" s="34" t="s">
        <v>148</v>
      </c>
      <c r="D676" s="34" t="s">
        <v>123</v>
      </c>
      <c r="E676" s="17">
        <v>2</v>
      </c>
      <c r="F676" s="36">
        <f t="shared" si="215"/>
        <v>2.1052631578947368E-2</v>
      </c>
      <c r="G676" s="17">
        <v>2</v>
      </c>
      <c r="H676" s="36">
        <f t="shared" si="216"/>
        <v>2.5000000000000001E-2</v>
      </c>
      <c r="I676" s="17">
        <v>7</v>
      </c>
      <c r="J676" s="36">
        <f t="shared" si="217"/>
        <v>7.3684210526315783E-2</v>
      </c>
      <c r="K676" s="17">
        <v>6</v>
      </c>
      <c r="L676" s="36">
        <f t="shared" si="218"/>
        <v>7.4999999999999997E-2</v>
      </c>
      <c r="M676" s="17">
        <v>86</v>
      </c>
      <c r="N676" s="36">
        <f t="shared" si="208"/>
        <v>0.90526315789473688</v>
      </c>
      <c r="O676" s="17">
        <v>72</v>
      </c>
      <c r="P676" s="36">
        <f t="shared" si="219"/>
        <v>0.9</v>
      </c>
      <c r="Q676" s="17">
        <v>0</v>
      </c>
      <c r="R676" s="36">
        <f t="shared" si="209"/>
        <v>0</v>
      </c>
      <c r="S676" s="17">
        <v>0</v>
      </c>
      <c r="T676" s="36">
        <f t="shared" si="220"/>
        <v>0</v>
      </c>
      <c r="U676" s="17">
        <v>6</v>
      </c>
      <c r="V676" s="36">
        <f t="shared" si="210"/>
        <v>6.3157894736842107E-2</v>
      </c>
      <c r="W676" s="17">
        <v>4</v>
      </c>
      <c r="X676" s="36">
        <f t="shared" si="221"/>
        <v>0.05</v>
      </c>
      <c r="Y676" s="17">
        <v>64</v>
      </c>
      <c r="Z676" s="36">
        <f t="shared" si="211"/>
        <v>0.67368421052631577</v>
      </c>
      <c r="AA676" s="17">
        <v>58</v>
      </c>
      <c r="AB676" s="36">
        <f t="shared" si="222"/>
        <v>0.72499999999999998</v>
      </c>
      <c r="AC676" s="17">
        <v>18</v>
      </c>
      <c r="AD676" s="36">
        <f t="shared" si="212"/>
        <v>0.18947368421052632</v>
      </c>
      <c r="AE676" s="17">
        <v>11</v>
      </c>
      <c r="AF676" s="36">
        <f t="shared" si="223"/>
        <v>0.13750000000000001</v>
      </c>
      <c r="AG676" s="17">
        <v>5</v>
      </c>
      <c r="AH676" s="36">
        <f t="shared" si="213"/>
        <v>5.2631578947368418E-2</v>
      </c>
      <c r="AI676" s="17">
        <v>5</v>
      </c>
      <c r="AJ676" s="36">
        <f t="shared" si="224"/>
        <v>6.25E-2</v>
      </c>
      <c r="AK676" s="17">
        <v>2</v>
      </c>
      <c r="AL676" s="36">
        <f t="shared" si="214"/>
        <v>2.1052631578947368E-2</v>
      </c>
      <c r="AM676" s="17">
        <v>2</v>
      </c>
      <c r="AN676" s="36">
        <f t="shared" si="225"/>
        <v>2.5000000000000001E-2</v>
      </c>
      <c r="AO676" s="17">
        <v>95</v>
      </c>
      <c r="AP676" s="17">
        <v>80</v>
      </c>
    </row>
    <row r="677" spans="1:42" ht="15.75" customHeight="1" x14ac:dyDescent="0.25">
      <c r="A677" s="37">
        <v>2020</v>
      </c>
      <c r="B677" s="35">
        <v>172000</v>
      </c>
      <c r="C677" s="34" t="s">
        <v>145</v>
      </c>
      <c r="D677" s="34" t="s">
        <v>124</v>
      </c>
      <c r="E677" s="17">
        <v>0</v>
      </c>
      <c r="F677" s="36">
        <f t="shared" si="215"/>
        <v>0</v>
      </c>
      <c r="G677" s="17">
        <v>0</v>
      </c>
      <c r="H677" s="36">
        <f t="shared" si="216"/>
        <v>0</v>
      </c>
      <c r="I677" s="17">
        <v>1</v>
      </c>
      <c r="J677" s="36">
        <f t="shared" si="217"/>
        <v>4.1666666666666664E-2</v>
      </c>
      <c r="K677" s="17">
        <v>0</v>
      </c>
      <c r="L677" s="36">
        <f t="shared" si="218"/>
        <v>0</v>
      </c>
      <c r="M677" s="17">
        <v>23</v>
      </c>
      <c r="N677" s="36">
        <f t="shared" si="208"/>
        <v>0.95833333333333337</v>
      </c>
      <c r="O677" s="17">
        <v>3</v>
      </c>
      <c r="P677" s="36">
        <f t="shared" si="219"/>
        <v>1</v>
      </c>
      <c r="Q677" s="17">
        <v>0</v>
      </c>
      <c r="R677" s="36">
        <f t="shared" si="209"/>
        <v>0</v>
      </c>
      <c r="S677" s="17">
        <v>0</v>
      </c>
      <c r="T677" s="36">
        <f t="shared" si="220"/>
        <v>0</v>
      </c>
      <c r="U677" s="17">
        <v>1</v>
      </c>
      <c r="V677" s="36">
        <f t="shared" si="210"/>
        <v>4.1666666666666664E-2</v>
      </c>
      <c r="W677" s="17">
        <v>0</v>
      </c>
      <c r="X677" s="36">
        <f t="shared" si="221"/>
        <v>0</v>
      </c>
      <c r="Y677" s="17">
        <v>20</v>
      </c>
      <c r="Z677" s="36">
        <f t="shared" si="211"/>
        <v>0.83333333333333337</v>
      </c>
      <c r="AA677" s="17">
        <v>3</v>
      </c>
      <c r="AB677" s="36">
        <f t="shared" si="222"/>
        <v>1</v>
      </c>
      <c r="AC677" s="17">
        <v>2</v>
      </c>
      <c r="AD677" s="36">
        <f t="shared" si="212"/>
        <v>8.3333333333333329E-2</v>
      </c>
      <c r="AE677" s="17">
        <v>0</v>
      </c>
      <c r="AF677" s="36">
        <f t="shared" si="223"/>
        <v>0</v>
      </c>
      <c r="AG677" s="17">
        <v>1</v>
      </c>
      <c r="AH677" s="36">
        <f t="shared" si="213"/>
        <v>4.1666666666666664E-2</v>
      </c>
      <c r="AI677" s="17">
        <v>0</v>
      </c>
      <c r="AJ677" s="36">
        <f t="shared" si="224"/>
        <v>0</v>
      </c>
      <c r="AK677" s="17">
        <v>0</v>
      </c>
      <c r="AL677" s="36">
        <f t="shared" si="214"/>
        <v>0</v>
      </c>
      <c r="AM677" s="17">
        <v>0</v>
      </c>
      <c r="AN677" s="36">
        <f t="shared" si="225"/>
        <v>0</v>
      </c>
      <c r="AO677" s="17">
        <v>24</v>
      </c>
      <c r="AP677" s="17">
        <v>3</v>
      </c>
    </row>
    <row r="678" spans="1:42" ht="15.75" customHeight="1" x14ac:dyDescent="0.25">
      <c r="A678" s="37">
        <v>2020</v>
      </c>
      <c r="B678" s="35">
        <v>172010</v>
      </c>
      <c r="C678" s="34" t="s">
        <v>145</v>
      </c>
      <c r="D678" s="34" t="s">
        <v>125</v>
      </c>
      <c r="E678" s="17">
        <v>2</v>
      </c>
      <c r="F678" s="36">
        <f t="shared" si="215"/>
        <v>1.8691588785046728E-2</v>
      </c>
      <c r="G678" s="17">
        <v>0</v>
      </c>
      <c r="H678" s="36">
        <f t="shared" si="216"/>
        <v>0</v>
      </c>
      <c r="I678" s="17">
        <v>4</v>
      </c>
      <c r="J678" s="36">
        <f t="shared" si="217"/>
        <v>3.7383177570093455E-2</v>
      </c>
      <c r="K678" s="17">
        <v>0</v>
      </c>
      <c r="L678" s="36">
        <f t="shared" si="218"/>
        <v>0</v>
      </c>
      <c r="M678" s="17">
        <v>101</v>
      </c>
      <c r="N678" s="36">
        <f t="shared" si="208"/>
        <v>0.94392523364485981</v>
      </c>
      <c r="O678" s="17">
        <v>12</v>
      </c>
      <c r="P678" s="36">
        <f t="shared" si="219"/>
        <v>1</v>
      </c>
      <c r="Q678" s="17">
        <v>1</v>
      </c>
      <c r="R678" s="36">
        <f t="shared" si="209"/>
        <v>9.3457943925233638E-3</v>
      </c>
      <c r="S678" s="17">
        <v>0</v>
      </c>
      <c r="T678" s="36">
        <f t="shared" si="220"/>
        <v>0</v>
      </c>
      <c r="U678" s="17">
        <v>5</v>
      </c>
      <c r="V678" s="36">
        <f t="shared" si="210"/>
        <v>4.6728971962616821E-2</v>
      </c>
      <c r="W678" s="17">
        <v>0</v>
      </c>
      <c r="X678" s="36">
        <f t="shared" si="221"/>
        <v>0</v>
      </c>
      <c r="Y678" s="17">
        <v>75</v>
      </c>
      <c r="Z678" s="36">
        <f t="shared" si="211"/>
        <v>0.7009345794392523</v>
      </c>
      <c r="AA678" s="17">
        <v>6</v>
      </c>
      <c r="AB678" s="36">
        <f t="shared" si="222"/>
        <v>0.5</v>
      </c>
      <c r="AC678" s="17">
        <v>20</v>
      </c>
      <c r="AD678" s="36">
        <f t="shared" si="212"/>
        <v>0.18691588785046728</v>
      </c>
      <c r="AE678" s="17">
        <v>4</v>
      </c>
      <c r="AF678" s="36">
        <f t="shared" si="223"/>
        <v>0.33333333333333331</v>
      </c>
      <c r="AG678" s="17">
        <v>6</v>
      </c>
      <c r="AH678" s="36">
        <f t="shared" si="213"/>
        <v>5.6074766355140186E-2</v>
      </c>
      <c r="AI678" s="17">
        <v>2</v>
      </c>
      <c r="AJ678" s="36">
        <f t="shared" si="224"/>
        <v>0.16666666666666666</v>
      </c>
      <c r="AK678" s="17">
        <v>0</v>
      </c>
      <c r="AL678" s="36">
        <f t="shared" si="214"/>
        <v>0</v>
      </c>
      <c r="AM678" s="17">
        <v>0</v>
      </c>
      <c r="AN678" s="36">
        <f t="shared" si="225"/>
        <v>0</v>
      </c>
      <c r="AO678" s="17">
        <v>107</v>
      </c>
      <c r="AP678" s="17">
        <v>12</v>
      </c>
    </row>
    <row r="679" spans="1:42" ht="15.75" customHeight="1" x14ac:dyDescent="0.25">
      <c r="A679" s="37">
        <v>2020</v>
      </c>
      <c r="B679" s="35">
        <v>172015</v>
      </c>
      <c r="C679" s="34" t="s">
        <v>148</v>
      </c>
      <c r="D679" s="34" t="s">
        <v>126</v>
      </c>
      <c r="E679" s="17">
        <v>6</v>
      </c>
      <c r="F679" s="36">
        <f t="shared" si="215"/>
        <v>3.2786885245901641E-2</v>
      </c>
      <c r="G679" s="17">
        <v>2</v>
      </c>
      <c r="H679" s="36">
        <f t="shared" si="216"/>
        <v>2.1052631578947368E-2</v>
      </c>
      <c r="I679" s="17">
        <v>19</v>
      </c>
      <c r="J679" s="36">
        <f t="shared" si="217"/>
        <v>0.10382513661202186</v>
      </c>
      <c r="K679" s="17">
        <v>10</v>
      </c>
      <c r="L679" s="36">
        <f t="shared" si="218"/>
        <v>0.10526315789473684</v>
      </c>
      <c r="M679" s="17">
        <v>158</v>
      </c>
      <c r="N679" s="36">
        <f t="shared" si="208"/>
        <v>0.86338797814207646</v>
      </c>
      <c r="O679" s="17">
        <v>83</v>
      </c>
      <c r="P679" s="36">
        <f t="shared" si="219"/>
        <v>0.87368421052631584</v>
      </c>
      <c r="Q679" s="17">
        <v>4</v>
      </c>
      <c r="R679" s="36">
        <f t="shared" si="209"/>
        <v>2.185792349726776E-2</v>
      </c>
      <c r="S679" s="17">
        <v>1</v>
      </c>
      <c r="T679" s="36">
        <f t="shared" si="220"/>
        <v>1.0526315789473684E-2</v>
      </c>
      <c r="U679" s="17">
        <v>3</v>
      </c>
      <c r="V679" s="36">
        <f t="shared" si="210"/>
        <v>1.6393442622950821E-2</v>
      </c>
      <c r="W679" s="17">
        <v>0</v>
      </c>
      <c r="X679" s="36">
        <f t="shared" si="221"/>
        <v>0</v>
      </c>
      <c r="Y679" s="17">
        <v>112</v>
      </c>
      <c r="Z679" s="36">
        <f t="shared" si="211"/>
        <v>0.61202185792349728</v>
      </c>
      <c r="AA679" s="17">
        <v>61</v>
      </c>
      <c r="AB679" s="36">
        <f t="shared" si="222"/>
        <v>0.64210526315789473</v>
      </c>
      <c r="AC679" s="17">
        <v>46</v>
      </c>
      <c r="AD679" s="36">
        <f t="shared" si="212"/>
        <v>0.25136612021857924</v>
      </c>
      <c r="AE679" s="17">
        <v>25</v>
      </c>
      <c r="AF679" s="36">
        <f t="shared" si="223"/>
        <v>0.26315789473684209</v>
      </c>
      <c r="AG679" s="17">
        <v>12</v>
      </c>
      <c r="AH679" s="36">
        <f t="shared" si="213"/>
        <v>6.5573770491803282E-2</v>
      </c>
      <c r="AI679" s="17">
        <v>5</v>
      </c>
      <c r="AJ679" s="36">
        <f t="shared" si="224"/>
        <v>5.2631578947368418E-2</v>
      </c>
      <c r="AK679" s="17">
        <v>6</v>
      </c>
      <c r="AL679" s="36">
        <f t="shared" si="214"/>
        <v>3.2786885245901641E-2</v>
      </c>
      <c r="AM679" s="17">
        <v>3</v>
      </c>
      <c r="AN679" s="36">
        <f t="shared" si="225"/>
        <v>3.1578947368421054E-2</v>
      </c>
      <c r="AO679" s="17">
        <v>183</v>
      </c>
      <c r="AP679" s="17">
        <v>95</v>
      </c>
    </row>
    <row r="680" spans="1:42" ht="15.75" customHeight="1" x14ac:dyDescent="0.25">
      <c r="A680" s="37">
        <v>2020</v>
      </c>
      <c r="B680" s="35">
        <v>172020</v>
      </c>
      <c r="C680" s="34" t="s">
        <v>145</v>
      </c>
      <c r="D680" s="34" t="s">
        <v>127</v>
      </c>
      <c r="E680" s="17">
        <v>27</v>
      </c>
      <c r="F680" s="36">
        <f t="shared" si="215"/>
        <v>3.5248041775456922E-2</v>
      </c>
      <c r="G680" s="17">
        <v>17</v>
      </c>
      <c r="H680" s="36">
        <f t="shared" si="216"/>
        <v>5.362776025236593E-2</v>
      </c>
      <c r="I680" s="17">
        <v>45</v>
      </c>
      <c r="J680" s="36">
        <f t="shared" si="217"/>
        <v>5.87467362924282E-2</v>
      </c>
      <c r="K680" s="17">
        <v>22</v>
      </c>
      <c r="L680" s="36">
        <f t="shared" si="218"/>
        <v>6.9400630914826497E-2</v>
      </c>
      <c r="M680" s="17">
        <v>694</v>
      </c>
      <c r="N680" s="36">
        <f t="shared" si="208"/>
        <v>0.90600522193211486</v>
      </c>
      <c r="O680" s="17">
        <v>278</v>
      </c>
      <c r="P680" s="36">
        <f t="shared" si="219"/>
        <v>0.87697160883280756</v>
      </c>
      <c r="Q680" s="17">
        <v>11</v>
      </c>
      <c r="R680" s="36">
        <f t="shared" si="209"/>
        <v>1.4360313315926894E-2</v>
      </c>
      <c r="S680" s="17">
        <v>11</v>
      </c>
      <c r="T680" s="36">
        <f t="shared" si="220"/>
        <v>3.4700315457413249E-2</v>
      </c>
      <c r="U680" s="17">
        <v>25</v>
      </c>
      <c r="V680" s="36">
        <f t="shared" si="210"/>
        <v>3.2637075718015669E-2</v>
      </c>
      <c r="W680" s="17">
        <v>9</v>
      </c>
      <c r="X680" s="36">
        <f t="shared" si="221"/>
        <v>2.8391167192429023E-2</v>
      </c>
      <c r="Y680" s="17">
        <v>546</v>
      </c>
      <c r="Z680" s="36">
        <f t="shared" si="211"/>
        <v>0.71279373368146215</v>
      </c>
      <c r="AA680" s="17">
        <v>224</v>
      </c>
      <c r="AB680" s="36">
        <f t="shared" si="222"/>
        <v>0.70662460567823349</v>
      </c>
      <c r="AC680" s="17">
        <v>122</v>
      </c>
      <c r="AD680" s="36">
        <f t="shared" si="212"/>
        <v>0.15926892950391644</v>
      </c>
      <c r="AE680" s="17">
        <v>48</v>
      </c>
      <c r="AF680" s="36">
        <f t="shared" si="223"/>
        <v>0.15141955835962145</v>
      </c>
      <c r="AG680" s="17">
        <v>56</v>
      </c>
      <c r="AH680" s="36">
        <f t="shared" si="213"/>
        <v>7.3107049608355096E-2</v>
      </c>
      <c r="AI680" s="17">
        <v>21</v>
      </c>
      <c r="AJ680" s="36">
        <f t="shared" si="224"/>
        <v>6.6246056782334389E-2</v>
      </c>
      <c r="AK680" s="17">
        <v>6</v>
      </c>
      <c r="AL680" s="36">
        <f t="shared" si="214"/>
        <v>7.832898172323759E-3</v>
      </c>
      <c r="AM680" s="17">
        <v>4</v>
      </c>
      <c r="AN680" s="36">
        <f t="shared" si="225"/>
        <v>1.2618296529968454E-2</v>
      </c>
      <c r="AO680" s="17">
        <v>766</v>
      </c>
      <c r="AP680" s="17">
        <v>317</v>
      </c>
    </row>
    <row r="681" spans="1:42" ht="15.75" customHeight="1" x14ac:dyDescent="0.25">
      <c r="A681" s="37">
        <v>2020</v>
      </c>
      <c r="B681" s="35">
        <v>172025</v>
      </c>
      <c r="C681" s="34" t="s">
        <v>146</v>
      </c>
      <c r="D681" s="34" t="s">
        <v>128</v>
      </c>
      <c r="E681" s="17">
        <v>1</v>
      </c>
      <c r="F681" s="36">
        <f t="shared" si="215"/>
        <v>1.7543859649122806E-2</v>
      </c>
      <c r="G681" s="17">
        <v>0</v>
      </c>
      <c r="H681" s="36">
        <f t="shared" si="216"/>
        <v>0</v>
      </c>
      <c r="I681" s="17">
        <v>0</v>
      </c>
      <c r="J681" s="36">
        <f t="shared" si="217"/>
        <v>0</v>
      </c>
      <c r="K681" s="17">
        <v>0</v>
      </c>
      <c r="L681" s="36">
        <f t="shared" si="218"/>
        <v>0</v>
      </c>
      <c r="M681" s="17">
        <v>56</v>
      </c>
      <c r="N681" s="36">
        <f t="shared" si="208"/>
        <v>0.98245614035087714</v>
      </c>
      <c r="O681" s="17">
        <v>7</v>
      </c>
      <c r="P681" s="36">
        <f t="shared" si="219"/>
        <v>1</v>
      </c>
      <c r="Q681" s="17">
        <v>0</v>
      </c>
      <c r="R681" s="36">
        <f t="shared" si="209"/>
        <v>0</v>
      </c>
      <c r="S681" s="17">
        <v>0</v>
      </c>
      <c r="T681" s="36">
        <f t="shared" si="220"/>
        <v>0</v>
      </c>
      <c r="U681" s="17">
        <v>1</v>
      </c>
      <c r="V681" s="36">
        <f t="shared" si="210"/>
        <v>1.7543859649122806E-2</v>
      </c>
      <c r="W681" s="17">
        <v>0</v>
      </c>
      <c r="X681" s="36">
        <f t="shared" si="221"/>
        <v>0</v>
      </c>
      <c r="Y681" s="17">
        <v>37</v>
      </c>
      <c r="Z681" s="36">
        <f t="shared" si="211"/>
        <v>0.64912280701754388</v>
      </c>
      <c r="AA681" s="17">
        <v>3</v>
      </c>
      <c r="AB681" s="36">
        <f t="shared" si="222"/>
        <v>0.42857142857142855</v>
      </c>
      <c r="AC681" s="17">
        <v>13</v>
      </c>
      <c r="AD681" s="36">
        <f t="shared" si="212"/>
        <v>0.22807017543859648</v>
      </c>
      <c r="AE681" s="17">
        <v>3</v>
      </c>
      <c r="AF681" s="36">
        <f t="shared" si="223"/>
        <v>0.42857142857142855</v>
      </c>
      <c r="AG681" s="17">
        <v>6</v>
      </c>
      <c r="AH681" s="36">
        <f t="shared" si="213"/>
        <v>0.10526315789473684</v>
      </c>
      <c r="AI681" s="17">
        <v>1</v>
      </c>
      <c r="AJ681" s="36">
        <f t="shared" si="224"/>
        <v>0.14285714285714285</v>
      </c>
      <c r="AK681" s="17">
        <v>0</v>
      </c>
      <c r="AL681" s="36">
        <f t="shared" si="214"/>
        <v>0</v>
      </c>
      <c r="AM681" s="17">
        <v>0</v>
      </c>
      <c r="AN681" s="36">
        <f t="shared" si="225"/>
        <v>0</v>
      </c>
      <c r="AO681" s="17">
        <v>57</v>
      </c>
      <c r="AP681" s="17">
        <v>7</v>
      </c>
    </row>
    <row r="682" spans="1:42" ht="15.75" customHeight="1" x14ac:dyDescent="0.25">
      <c r="A682" s="37">
        <v>2020</v>
      </c>
      <c r="B682" s="35">
        <v>172030</v>
      </c>
      <c r="C682" s="34" t="s">
        <v>145</v>
      </c>
      <c r="D682" s="34" t="s">
        <v>129</v>
      </c>
      <c r="E682" s="17">
        <v>9</v>
      </c>
      <c r="F682" s="36">
        <f t="shared" si="215"/>
        <v>2.5069637883008356E-2</v>
      </c>
      <c r="G682" s="17">
        <v>6</v>
      </c>
      <c r="H682" s="36">
        <f t="shared" si="216"/>
        <v>2.6086956521739129E-2</v>
      </c>
      <c r="I682" s="17">
        <v>21</v>
      </c>
      <c r="J682" s="36">
        <f t="shared" si="217"/>
        <v>5.8495821727019497E-2</v>
      </c>
      <c r="K682" s="17">
        <v>15</v>
      </c>
      <c r="L682" s="36">
        <f t="shared" si="218"/>
        <v>6.5217391304347824E-2</v>
      </c>
      <c r="M682" s="17">
        <v>329</v>
      </c>
      <c r="N682" s="36">
        <f t="shared" si="208"/>
        <v>0.91643454038997219</v>
      </c>
      <c r="O682" s="17">
        <v>209</v>
      </c>
      <c r="P682" s="36">
        <f t="shared" si="219"/>
        <v>0.90869565217391302</v>
      </c>
      <c r="Q682" s="17">
        <v>9</v>
      </c>
      <c r="R682" s="36">
        <f t="shared" si="209"/>
        <v>2.5069637883008356E-2</v>
      </c>
      <c r="S682" s="17">
        <v>3</v>
      </c>
      <c r="T682" s="36">
        <f t="shared" si="220"/>
        <v>1.3043478260869565E-2</v>
      </c>
      <c r="U682" s="17">
        <v>21</v>
      </c>
      <c r="V682" s="36">
        <f t="shared" si="210"/>
        <v>5.8495821727019497E-2</v>
      </c>
      <c r="W682" s="17">
        <v>12</v>
      </c>
      <c r="X682" s="36">
        <f t="shared" si="221"/>
        <v>5.2173913043478258E-2</v>
      </c>
      <c r="Y682" s="17">
        <v>243</v>
      </c>
      <c r="Z682" s="36">
        <f t="shared" si="211"/>
        <v>0.67688022284122562</v>
      </c>
      <c r="AA682" s="17">
        <v>156</v>
      </c>
      <c r="AB682" s="36">
        <f t="shared" si="222"/>
        <v>0.67826086956521736</v>
      </c>
      <c r="AC682" s="17">
        <v>63</v>
      </c>
      <c r="AD682" s="36">
        <f t="shared" si="212"/>
        <v>0.17548746518105848</v>
      </c>
      <c r="AE682" s="17">
        <v>47</v>
      </c>
      <c r="AF682" s="36">
        <f t="shared" si="223"/>
        <v>0.20434782608695654</v>
      </c>
      <c r="AG682" s="17">
        <v>14</v>
      </c>
      <c r="AH682" s="36">
        <f t="shared" si="213"/>
        <v>3.8997214484679667E-2</v>
      </c>
      <c r="AI682" s="17">
        <v>7</v>
      </c>
      <c r="AJ682" s="36">
        <f t="shared" si="224"/>
        <v>3.0434782608695653E-2</v>
      </c>
      <c r="AK682" s="17">
        <v>9</v>
      </c>
      <c r="AL682" s="36">
        <f t="shared" si="214"/>
        <v>2.5069637883008356E-2</v>
      </c>
      <c r="AM682" s="17">
        <v>5</v>
      </c>
      <c r="AN682" s="36">
        <f t="shared" si="225"/>
        <v>2.1739130434782608E-2</v>
      </c>
      <c r="AO682" s="17">
        <v>359</v>
      </c>
      <c r="AP682" s="17">
        <v>230</v>
      </c>
    </row>
    <row r="683" spans="1:42" ht="15.75" customHeight="1" x14ac:dyDescent="0.25">
      <c r="A683" s="37">
        <v>2020</v>
      </c>
      <c r="B683" s="35">
        <v>172049</v>
      </c>
      <c r="C683" s="34" t="s">
        <v>146</v>
      </c>
      <c r="D683" s="34" t="s">
        <v>130</v>
      </c>
      <c r="E683" s="17">
        <v>4</v>
      </c>
      <c r="F683" s="36">
        <f t="shared" si="215"/>
        <v>1.2578616352201259E-2</v>
      </c>
      <c r="G683" s="17">
        <v>2</v>
      </c>
      <c r="H683" s="36">
        <f t="shared" si="216"/>
        <v>1.1976047904191617E-2</v>
      </c>
      <c r="I683" s="17">
        <v>13</v>
      </c>
      <c r="J683" s="36">
        <f t="shared" si="217"/>
        <v>4.0880503144654086E-2</v>
      </c>
      <c r="K683" s="17">
        <v>9</v>
      </c>
      <c r="L683" s="36">
        <f t="shared" si="218"/>
        <v>5.3892215568862277E-2</v>
      </c>
      <c r="M683" s="17">
        <v>301</v>
      </c>
      <c r="N683" s="36">
        <f t="shared" si="208"/>
        <v>0.94654088050314467</v>
      </c>
      <c r="O683" s="17">
        <v>156</v>
      </c>
      <c r="P683" s="36">
        <f t="shared" si="219"/>
        <v>0.93413173652694614</v>
      </c>
      <c r="Q683" s="17">
        <v>2</v>
      </c>
      <c r="R683" s="36">
        <f t="shared" si="209"/>
        <v>6.2893081761006293E-3</v>
      </c>
      <c r="S683" s="17">
        <v>1</v>
      </c>
      <c r="T683" s="36">
        <f t="shared" si="220"/>
        <v>5.9880239520958087E-3</v>
      </c>
      <c r="U683" s="17">
        <v>12</v>
      </c>
      <c r="V683" s="36">
        <f t="shared" si="210"/>
        <v>3.7735849056603772E-2</v>
      </c>
      <c r="W683" s="17">
        <v>10</v>
      </c>
      <c r="X683" s="36">
        <f t="shared" si="221"/>
        <v>5.9880239520958084E-2</v>
      </c>
      <c r="Y683" s="17">
        <v>204</v>
      </c>
      <c r="Z683" s="36">
        <f t="shared" si="211"/>
        <v>0.64150943396226412</v>
      </c>
      <c r="AA683" s="17">
        <v>102</v>
      </c>
      <c r="AB683" s="36">
        <f t="shared" si="222"/>
        <v>0.6107784431137725</v>
      </c>
      <c r="AC683" s="17">
        <v>58</v>
      </c>
      <c r="AD683" s="36">
        <f t="shared" si="212"/>
        <v>0.18238993710691823</v>
      </c>
      <c r="AE683" s="17">
        <v>33</v>
      </c>
      <c r="AF683" s="36">
        <f t="shared" si="223"/>
        <v>0.19760479041916168</v>
      </c>
      <c r="AG683" s="17">
        <v>37</v>
      </c>
      <c r="AH683" s="36">
        <f t="shared" si="213"/>
        <v>0.11635220125786164</v>
      </c>
      <c r="AI683" s="17">
        <v>20</v>
      </c>
      <c r="AJ683" s="36">
        <f t="shared" si="224"/>
        <v>0.11976047904191617</v>
      </c>
      <c r="AK683" s="17">
        <v>5</v>
      </c>
      <c r="AL683" s="36">
        <f t="shared" si="214"/>
        <v>1.5723270440251572E-2</v>
      </c>
      <c r="AM683" s="17">
        <v>1</v>
      </c>
      <c r="AN683" s="36">
        <f t="shared" si="225"/>
        <v>5.9880239520958087E-3</v>
      </c>
      <c r="AO683" s="17">
        <v>318</v>
      </c>
      <c r="AP683" s="17">
        <v>167</v>
      </c>
    </row>
    <row r="684" spans="1:42" ht="15.75" customHeight="1" x14ac:dyDescent="0.25">
      <c r="A684" s="37">
        <v>2020</v>
      </c>
      <c r="B684" s="35">
        <v>172065</v>
      </c>
      <c r="C684" s="34" t="s">
        <v>151</v>
      </c>
      <c r="D684" s="34" t="s">
        <v>131</v>
      </c>
      <c r="E684" s="17">
        <v>7</v>
      </c>
      <c r="F684" s="36">
        <f t="shared" si="215"/>
        <v>1.6431924882629109E-2</v>
      </c>
      <c r="G684" s="17">
        <v>6</v>
      </c>
      <c r="H684" s="36">
        <f t="shared" si="216"/>
        <v>2.1276595744680851E-2</v>
      </c>
      <c r="I684" s="17">
        <v>10</v>
      </c>
      <c r="J684" s="36">
        <f t="shared" si="217"/>
        <v>2.3474178403755867E-2</v>
      </c>
      <c r="K684" s="17">
        <v>5</v>
      </c>
      <c r="L684" s="36">
        <f t="shared" si="218"/>
        <v>1.7730496453900711E-2</v>
      </c>
      <c r="M684" s="17">
        <v>409</v>
      </c>
      <c r="N684" s="36">
        <f t="shared" si="208"/>
        <v>0.960093896713615</v>
      </c>
      <c r="O684" s="17">
        <v>271</v>
      </c>
      <c r="P684" s="36">
        <f t="shared" si="219"/>
        <v>0.96099290780141844</v>
      </c>
      <c r="Q684" s="17">
        <v>3</v>
      </c>
      <c r="R684" s="36">
        <f t="shared" si="209"/>
        <v>7.0422535211267607E-3</v>
      </c>
      <c r="S684" s="17">
        <v>3</v>
      </c>
      <c r="T684" s="36">
        <f t="shared" si="220"/>
        <v>1.0638297872340425E-2</v>
      </c>
      <c r="U684" s="17">
        <v>25</v>
      </c>
      <c r="V684" s="36">
        <f t="shared" si="210"/>
        <v>5.8685446009389672E-2</v>
      </c>
      <c r="W684" s="17">
        <v>15</v>
      </c>
      <c r="X684" s="36">
        <f t="shared" si="221"/>
        <v>5.3191489361702128E-2</v>
      </c>
      <c r="Y684" s="17">
        <v>268</v>
      </c>
      <c r="Z684" s="36">
        <f t="shared" si="211"/>
        <v>0.62910798122065725</v>
      </c>
      <c r="AA684" s="17">
        <v>181</v>
      </c>
      <c r="AB684" s="36">
        <f t="shared" si="222"/>
        <v>0.64184397163120566</v>
      </c>
      <c r="AC684" s="17">
        <v>91</v>
      </c>
      <c r="AD684" s="36">
        <f t="shared" si="212"/>
        <v>0.21361502347417841</v>
      </c>
      <c r="AE684" s="17">
        <v>59</v>
      </c>
      <c r="AF684" s="36">
        <f t="shared" si="223"/>
        <v>0.20921985815602837</v>
      </c>
      <c r="AG684" s="17">
        <v>31</v>
      </c>
      <c r="AH684" s="36">
        <f t="shared" si="213"/>
        <v>7.2769953051643188E-2</v>
      </c>
      <c r="AI684" s="17">
        <v>17</v>
      </c>
      <c r="AJ684" s="36">
        <f t="shared" si="224"/>
        <v>6.0283687943262408E-2</v>
      </c>
      <c r="AK684" s="17">
        <v>8</v>
      </c>
      <c r="AL684" s="36">
        <f t="shared" si="214"/>
        <v>1.8779342723004695E-2</v>
      </c>
      <c r="AM684" s="17">
        <v>7</v>
      </c>
      <c r="AN684" s="36">
        <f t="shared" si="225"/>
        <v>2.4822695035460994E-2</v>
      </c>
      <c r="AO684" s="17">
        <v>426</v>
      </c>
      <c r="AP684" s="17">
        <v>282</v>
      </c>
    </row>
    <row r="685" spans="1:42" ht="15.75" customHeight="1" x14ac:dyDescent="0.25">
      <c r="A685" s="37">
        <v>2020</v>
      </c>
      <c r="B685" s="35">
        <v>172080</v>
      </c>
      <c r="C685" s="34" t="s">
        <v>145</v>
      </c>
      <c r="D685" s="34" t="s">
        <v>132</v>
      </c>
      <c r="E685" s="17">
        <v>14</v>
      </c>
      <c r="F685" s="36">
        <f t="shared" si="215"/>
        <v>1.8158236057068743E-2</v>
      </c>
      <c r="G685" s="17">
        <v>2</v>
      </c>
      <c r="H685" s="36">
        <f t="shared" si="216"/>
        <v>3.2786885245901641E-2</v>
      </c>
      <c r="I685" s="17">
        <v>54</v>
      </c>
      <c r="J685" s="36">
        <f t="shared" si="217"/>
        <v>7.0038910505836577E-2</v>
      </c>
      <c r="K685" s="17">
        <v>6</v>
      </c>
      <c r="L685" s="36">
        <f t="shared" si="218"/>
        <v>9.8360655737704916E-2</v>
      </c>
      <c r="M685" s="17">
        <v>703</v>
      </c>
      <c r="N685" s="36">
        <f t="shared" si="208"/>
        <v>0.91180285343709466</v>
      </c>
      <c r="O685" s="17">
        <v>53</v>
      </c>
      <c r="P685" s="36">
        <f t="shared" si="219"/>
        <v>0.86885245901639341</v>
      </c>
      <c r="Q685" s="17">
        <v>8</v>
      </c>
      <c r="R685" s="36">
        <f t="shared" si="209"/>
        <v>1.0376134889753566E-2</v>
      </c>
      <c r="S685" s="17">
        <v>0</v>
      </c>
      <c r="T685" s="36">
        <f t="shared" si="220"/>
        <v>0</v>
      </c>
      <c r="U685" s="17">
        <v>24</v>
      </c>
      <c r="V685" s="36">
        <f t="shared" si="210"/>
        <v>3.1128404669260701E-2</v>
      </c>
      <c r="W685" s="17">
        <v>3</v>
      </c>
      <c r="X685" s="36">
        <f t="shared" si="221"/>
        <v>4.9180327868852458E-2</v>
      </c>
      <c r="Y685" s="17">
        <v>563</v>
      </c>
      <c r="Z685" s="36">
        <f t="shared" si="211"/>
        <v>0.73022049286640722</v>
      </c>
      <c r="AA685" s="17">
        <v>36</v>
      </c>
      <c r="AB685" s="36">
        <f t="shared" si="222"/>
        <v>0.5901639344262295</v>
      </c>
      <c r="AC685" s="17">
        <v>119</v>
      </c>
      <c r="AD685" s="36">
        <f t="shared" si="212"/>
        <v>0.15434500648508431</v>
      </c>
      <c r="AE685" s="17">
        <v>17</v>
      </c>
      <c r="AF685" s="36">
        <f t="shared" si="223"/>
        <v>0.27868852459016391</v>
      </c>
      <c r="AG685" s="17">
        <v>51</v>
      </c>
      <c r="AH685" s="36">
        <f t="shared" si="213"/>
        <v>6.6147859922178989E-2</v>
      </c>
      <c r="AI685" s="17">
        <v>5</v>
      </c>
      <c r="AJ685" s="36">
        <f t="shared" si="224"/>
        <v>8.1967213114754092E-2</v>
      </c>
      <c r="AK685" s="17">
        <v>6</v>
      </c>
      <c r="AL685" s="36">
        <f t="shared" si="214"/>
        <v>7.7821011673151752E-3</v>
      </c>
      <c r="AM685" s="17">
        <v>0</v>
      </c>
      <c r="AN685" s="36">
        <f t="shared" si="225"/>
        <v>0</v>
      </c>
      <c r="AO685" s="17">
        <v>771</v>
      </c>
      <c r="AP685" s="17">
        <v>61</v>
      </c>
    </row>
    <row r="686" spans="1:42" ht="15.75" customHeight="1" x14ac:dyDescent="0.25">
      <c r="A686" s="37">
        <v>2020</v>
      </c>
      <c r="B686" s="35">
        <v>172085</v>
      </c>
      <c r="C686" s="34" t="s">
        <v>146</v>
      </c>
      <c r="D686" s="34" t="s">
        <v>133</v>
      </c>
      <c r="E686" s="17">
        <v>0</v>
      </c>
      <c r="F686" s="36">
        <f t="shared" si="215"/>
        <v>0</v>
      </c>
      <c r="G686" s="17">
        <v>0</v>
      </c>
      <c r="H686" s="36">
        <f t="shared" si="216"/>
        <v>0</v>
      </c>
      <c r="I686" s="17">
        <v>6</v>
      </c>
      <c r="J686" s="36">
        <f t="shared" si="217"/>
        <v>3.896103896103896E-2</v>
      </c>
      <c r="K686" s="17">
        <v>1</v>
      </c>
      <c r="L686" s="36">
        <f t="shared" si="218"/>
        <v>2.3255813953488372E-2</v>
      </c>
      <c r="M686" s="17">
        <v>148</v>
      </c>
      <c r="N686" s="36">
        <f t="shared" si="208"/>
        <v>0.96103896103896103</v>
      </c>
      <c r="O686" s="17">
        <v>42</v>
      </c>
      <c r="P686" s="36">
        <f t="shared" si="219"/>
        <v>0.97674418604651159</v>
      </c>
      <c r="Q686" s="17">
        <v>5</v>
      </c>
      <c r="R686" s="36">
        <f t="shared" si="209"/>
        <v>3.2467532467532464E-2</v>
      </c>
      <c r="S686" s="17">
        <v>0</v>
      </c>
      <c r="T686" s="36">
        <f t="shared" si="220"/>
        <v>0</v>
      </c>
      <c r="U686" s="17">
        <v>7</v>
      </c>
      <c r="V686" s="36">
        <f t="shared" si="210"/>
        <v>4.5454545454545456E-2</v>
      </c>
      <c r="W686" s="17">
        <v>4</v>
      </c>
      <c r="X686" s="36">
        <f t="shared" si="221"/>
        <v>9.3023255813953487E-2</v>
      </c>
      <c r="Y686" s="17">
        <v>111</v>
      </c>
      <c r="Z686" s="36">
        <f t="shared" si="211"/>
        <v>0.72077922077922074</v>
      </c>
      <c r="AA686" s="17">
        <v>30</v>
      </c>
      <c r="AB686" s="36">
        <f t="shared" si="222"/>
        <v>0.69767441860465118</v>
      </c>
      <c r="AC686" s="17">
        <v>19</v>
      </c>
      <c r="AD686" s="36">
        <f t="shared" si="212"/>
        <v>0.12337662337662338</v>
      </c>
      <c r="AE686" s="17">
        <v>4</v>
      </c>
      <c r="AF686" s="36">
        <f t="shared" si="223"/>
        <v>9.3023255813953487E-2</v>
      </c>
      <c r="AG686" s="17">
        <v>9</v>
      </c>
      <c r="AH686" s="36">
        <f t="shared" si="213"/>
        <v>5.844155844155844E-2</v>
      </c>
      <c r="AI686" s="17">
        <v>3</v>
      </c>
      <c r="AJ686" s="36">
        <f t="shared" si="224"/>
        <v>6.9767441860465115E-2</v>
      </c>
      <c r="AK686" s="17">
        <v>3</v>
      </c>
      <c r="AL686" s="36">
        <f t="shared" si="214"/>
        <v>1.948051948051948E-2</v>
      </c>
      <c r="AM686" s="17">
        <v>2</v>
      </c>
      <c r="AN686" s="36">
        <f t="shared" si="225"/>
        <v>4.6511627906976744E-2</v>
      </c>
      <c r="AO686" s="17">
        <v>154</v>
      </c>
      <c r="AP686" s="17">
        <v>43</v>
      </c>
    </row>
    <row r="687" spans="1:42" ht="15.75" customHeight="1" x14ac:dyDescent="0.25">
      <c r="A687" s="37">
        <v>2020</v>
      </c>
      <c r="B687" s="35">
        <v>170825</v>
      </c>
      <c r="C687" s="34" t="s">
        <v>148</v>
      </c>
      <c r="D687" s="34" t="s">
        <v>134</v>
      </c>
      <c r="E687" s="17">
        <v>6</v>
      </c>
      <c r="F687" s="36">
        <f t="shared" si="215"/>
        <v>6.1224489795918366E-2</v>
      </c>
      <c r="G687" s="17">
        <v>6</v>
      </c>
      <c r="H687" s="36">
        <f t="shared" si="216"/>
        <v>8.8235294117647065E-2</v>
      </c>
      <c r="I687" s="17">
        <v>5</v>
      </c>
      <c r="J687" s="36">
        <f t="shared" si="217"/>
        <v>5.1020408163265307E-2</v>
      </c>
      <c r="K687" s="17">
        <v>4</v>
      </c>
      <c r="L687" s="36">
        <f t="shared" si="218"/>
        <v>5.8823529411764705E-2</v>
      </c>
      <c r="M687" s="17">
        <v>87</v>
      </c>
      <c r="N687" s="36">
        <f t="shared" si="208"/>
        <v>0.88775510204081631</v>
      </c>
      <c r="O687" s="17">
        <v>58</v>
      </c>
      <c r="P687" s="36">
        <f t="shared" si="219"/>
        <v>0.8529411764705882</v>
      </c>
      <c r="Q687" s="17">
        <v>0</v>
      </c>
      <c r="R687" s="36">
        <f t="shared" si="209"/>
        <v>0</v>
      </c>
      <c r="S687" s="17">
        <v>0</v>
      </c>
      <c r="T687" s="36">
        <f t="shared" si="220"/>
        <v>0</v>
      </c>
      <c r="U687" s="17">
        <v>5</v>
      </c>
      <c r="V687" s="36">
        <f t="shared" si="210"/>
        <v>5.1020408163265307E-2</v>
      </c>
      <c r="W687" s="17">
        <v>4</v>
      </c>
      <c r="X687" s="36">
        <f t="shared" si="221"/>
        <v>5.8823529411764705E-2</v>
      </c>
      <c r="Y687" s="17">
        <v>62</v>
      </c>
      <c r="Z687" s="36">
        <f t="shared" si="211"/>
        <v>0.63265306122448983</v>
      </c>
      <c r="AA687" s="17">
        <v>44</v>
      </c>
      <c r="AB687" s="36">
        <f t="shared" si="222"/>
        <v>0.6470588235294118</v>
      </c>
      <c r="AC687" s="17">
        <v>21</v>
      </c>
      <c r="AD687" s="36">
        <f t="shared" si="212"/>
        <v>0.21428571428571427</v>
      </c>
      <c r="AE687" s="17">
        <v>14</v>
      </c>
      <c r="AF687" s="36">
        <f t="shared" si="223"/>
        <v>0.20588235294117646</v>
      </c>
      <c r="AG687" s="17">
        <v>5</v>
      </c>
      <c r="AH687" s="36">
        <f t="shared" si="213"/>
        <v>5.1020408163265307E-2</v>
      </c>
      <c r="AI687" s="17">
        <v>2</v>
      </c>
      <c r="AJ687" s="36">
        <f t="shared" si="224"/>
        <v>2.9411764705882353E-2</v>
      </c>
      <c r="AK687" s="17">
        <v>5</v>
      </c>
      <c r="AL687" s="36">
        <f t="shared" si="214"/>
        <v>5.1020408163265307E-2</v>
      </c>
      <c r="AM687" s="17">
        <v>4</v>
      </c>
      <c r="AN687" s="36">
        <f t="shared" si="225"/>
        <v>5.8823529411764705E-2</v>
      </c>
      <c r="AO687" s="17">
        <v>98</v>
      </c>
      <c r="AP687" s="17">
        <v>68</v>
      </c>
    </row>
    <row r="688" spans="1:42" ht="15.75" customHeight="1" x14ac:dyDescent="0.25">
      <c r="A688" s="37">
        <v>2020</v>
      </c>
      <c r="B688" s="35">
        <v>172090</v>
      </c>
      <c r="C688" s="34" t="s">
        <v>147</v>
      </c>
      <c r="D688" s="34" t="s">
        <v>135</v>
      </c>
      <c r="E688" s="17">
        <v>1</v>
      </c>
      <c r="F688" s="36">
        <f t="shared" si="215"/>
        <v>3.3333333333333333E-2</v>
      </c>
      <c r="G688" s="17">
        <v>1</v>
      </c>
      <c r="H688" s="36">
        <f t="shared" si="216"/>
        <v>9.0909090909090912E-2</v>
      </c>
      <c r="I688" s="17">
        <v>3</v>
      </c>
      <c r="J688" s="36">
        <f t="shared" si="217"/>
        <v>0.1</v>
      </c>
      <c r="K688" s="17">
        <v>2</v>
      </c>
      <c r="L688" s="36">
        <f t="shared" si="218"/>
        <v>0.18181818181818182</v>
      </c>
      <c r="M688" s="17">
        <v>26</v>
      </c>
      <c r="N688" s="36">
        <f t="shared" si="208"/>
        <v>0.8666666666666667</v>
      </c>
      <c r="O688" s="17">
        <v>8</v>
      </c>
      <c r="P688" s="36">
        <f t="shared" si="219"/>
        <v>0.72727272727272729</v>
      </c>
      <c r="Q688" s="17">
        <v>0</v>
      </c>
      <c r="R688" s="36">
        <f t="shared" si="209"/>
        <v>0</v>
      </c>
      <c r="S688" s="17">
        <v>0</v>
      </c>
      <c r="T688" s="36">
        <f t="shared" si="220"/>
        <v>0</v>
      </c>
      <c r="U688" s="17">
        <v>0</v>
      </c>
      <c r="V688" s="36">
        <f t="shared" si="210"/>
        <v>0</v>
      </c>
      <c r="W688" s="17">
        <v>0</v>
      </c>
      <c r="X688" s="36">
        <f t="shared" si="221"/>
        <v>0</v>
      </c>
      <c r="Y688" s="17">
        <v>18</v>
      </c>
      <c r="Z688" s="36">
        <f t="shared" si="211"/>
        <v>0.6</v>
      </c>
      <c r="AA688" s="17">
        <v>8</v>
      </c>
      <c r="AB688" s="36">
        <f t="shared" si="222"/>
        <v>0.72727272727272729</v>
      </c>
      <c r="AC688" s="17">
        <v>6</v>
      </c>
      <c r="AD688" s="36">
        <f t="shared" si="212"/>
        <v>0.2</v>
      </c>
      <c r="AE688" s="17">
        <v>1</v>
      </c>
      <c r="AF688" s="36">
        <f t="shared" si="223"/>
        <v>9.0909090909090912E-2</v>
      </c>
      <c r="AG688" s="17">
        <v>3</v>
      </c>
      <c r="AH688" s="36">
        <f t="shared" si="213"/>
        <v>0.1</v>
      </c>
      <c r="AI688" s="17">
        <v>1</v>
      </c>
      <c r="AJ688" s="36">
        <f t="shared" si="224"/>
        <v>9.0909090909090912E-2</v>
      </c>
      <c r="AK688" s="17">
        <v>3</v>
      </c>
      <c r="AL688" s="36">
        <f t="shared" si="214"/>
        <v>0.1</v>
      </c>
      <c r="AM688" s="17">
        <v>1</v>
      </c>
      <c r="AN688" s="36">
        <f t="shared" si="225"/>
        <v>9.0909090909090912E-2</v>
      </c>
      <c r="AO688" s="17">
        <v>30</v>
      </c>
      <c r="AP688" s="17">
        <v>11</v>
      </c>
    </row>
    <row r="689" spans="1:42" ht="15.75" customHeight="1" x14ac:dyDescent="0.25">
      <c r="A689" s="37">
        <v>2020</v>
      </c>
      <c r="B689" s="35">
        <v>172093</v>
      </c>
      <c r="C689" s="34" t="s">
        <v>147</v>
      </c>
      <c r="D689" s="34" t="s">
        <v>136</v>
      </c>
      <c r="E689" s="17">
        <v>0</v>
      </c>
      <c r="F689" s="36">
        <f t="shared" si="215"/>
        <v>0</v>
      </c>
      <c r="G689" s="17">
        <v>0</v>
      </c>
      <c r="H689" s="36">
        <f t="shared" si="216"/>
        <v>0</v>
      </c>
      <c r="I689" s="17">
        <v>4</v>
      </c>
      <c r="J689" s="36">
        <f t="shared" si="217"/>
        <v>3.3898305084745763E-2</v>
      </c>
      <c r="K689" s="17">
        <v>1</v>
      </c>
      <c r="L689" s="36">
        <f t="shared" si="218"/>
        <v>1.3333333333333334E-2</v>
      </c>
      <c r="M689" s="17">
        <v>114</v>
      </c>
      <c r="N689" s="36">
        <f t="shared" si="208"/>
        <v>0.96610169491525422</v>
      </c>
      <c r="O689" s="17">
        <v>74</v>
      </c>
      <c r="P689" s="36">
        <f t="shared" si="219"/>
        <v>0.98666666666666669</v>
      </c>
      <c r="Q689" s="17">
        <v>0</v>
      </c>
      <c r="R689" s="36">
        <f t="shared" si="209"/>
        <v>0</v>
      </c>
      <c r="S689" s="17">
        <v>0</v>
      </c>
      <c r="T689" s="36">
        <f t="shared" si="220"/>
        <v>0</v>
      </c>
      <c r="U689" s="17">
        <v>3</v>
      </c>
      <c r="V689" s="36">
        <f t="shared" si="210"/>
        <v>2.5423728813559324E-2</v>
      </c>
      <c r="W689" s="17">
        <v>1</v>
      </c>
      <c r="X689" s="36">
        <f t="shared" si="221"/>
        <v>1.3333333333333334E-2</v>
      </c>
      <c r="Y689" s="17">
        <v>76</v>
      </c>
      <c r="Z689" s="36">
        <f t="shared" si="211"/>
        <v>0.64406779661016944</v>
      </c>
      <c r="AA689" s="17">
        <v>50</v>
      </c>
      <c r="AB689" s="36">
        <f t="shared" si="222"/>
        <v>0.66666666666666663</v>
      </c>
      <c r="AC689" s="17">
        <v>23</v>
      </c>
      <c r="AD689" s="36">
        <f t="shared" si="212"/>
        <v>0.19491525423728814</v>
      </c>
      <c r="AE689" s="17">
        <v>10</v>
      </c>
      <c r="AF689" s="36">
        <f t="shared" si="223"/>
        <v>0.13333333333333333</v>
      </c>
      <c r="AG689" s="17">
        <v>16</v>
      </c>
      <c r="AH689" s="36">
        <f t="shared" si="213"/>
        <v>0.13559322033898305</v>
      </c>
      <c r="AI689" s="17">
        <v>14</v>
      </c>
      <c r="AJ689" s="36">
        <f t="shared" si="224"/>
        <v>0.18666666666666668</v>
      </c>
      <c r="AK689" s="17">
        <v>0</v>
      </c>
      <c r="AL689" s="36">
        <f t="shared" si="214"/>
        <v>0</v>
      </c>
      <c r="AM689" s="17">
        <v>0</v>
      </c>
      <c r="AN689" s="36">
        <f t="shared" si="225"/>
        <v>0</v>
      </c>
      <c r="AO689" s="17">
        <v>118</v>
      </c>
      <c r="AP689" s="17">
        <v>75</v>
      </c>
    </row>
    <row r="690" spans="1:42" ht="15.75" customHeight="1" x14ac:dyDescent="0.25">
      <c r="A690" s="37">
        <v>2020</v>
      </c>
      <c r="B690" s="35">
        <v>172097</v>
      </c>
      <c r="C690" s="34" t="s">
        <v>146</v>
      </c>
      <c r="D690" s="34" t="s">
        <v>137</v>
      </c>
      <c r="E690" s="17">
        <v>1</v>
      </c>
      <c r="F690" s="36">
        <f t="shared" si="215"/>
        <v>2.6315789473684209E-2</v>
      </c>
      <c r="G690" s="17">
        <v>1</v>
      </c>
      <c r="H690" s="36">
        <f t="shared" si="216"/>
        <v>5.8823529411764705E-2</v>
      </c>
      <c r="I690" s="17">
        <v>2</v>
      </c>
      <c r="J690" s="36">
        <f t="shared" si="217"/>
        <v>5.2631578947368418E-2</v>
      </c>
      <c r="K690" s="17">
        <v>0</v>
      </c>
      <c r="L690" s="36">
        <f t="shared" si="218"/>
        <v>0</v>
      </c>
      <c r="M690" s="17">
        <v>35</v>
      </c>
      <c r="N690" s="36">
        <f t="shared" si="208"/>
        <v>0.92105263157894735</v>
      </c>
      <c r="O690" s="17">
        <v>16</v>
      </c>
      <c r="P690" s="36">
        <f t="shared" si="219"/>
        <v>0.94117647058823528</v>
      </c>
      <c r="Q690" s="17">
        <v>0</v>
      </c>
      <c r="R690" s="36">
        <f t="shared" si="209"/>
        <v>0</v>
      </c>
      <c r="S690" s="17">
        <v>0</v>
      </c>
      <c r="T690" s="36">
        <f t="shared" si="220"/>
        <v>0</v>
      </c>
      <c r="U690" s="17">
        <v>0</v>
      </c>
      <c r="V690" s="36">
        <f t="shared" si="210"/>
        <v>0</v>
      </c>
      <c r="W690" s="17">
        <v>0</v>
      </c>
      <c r="X690" s="36">
        <f t="shared" si="221"/>
        <v>0</v>
      </c>
      <c r="Y690" s="17">
        <v>24</v>
      </c>
      <c r="Z690" s="36">
        <f t="shared" si="211"/>
        <v>0.63157894736842102</v>
      </c>
      <c r="AA690" s="17">
        <v>13</v>
      </c>
      <c r="AB690" s="36">
        <f t="shared" si="222"/>
        <v>0.76470588235294112</v>
      </c>
      <c r="AC690" s="17">
        <v>9</v>
      </c>
      <c r="AD690" s="36">
        <f t="shared" si="212"/>
        <v>0.23684210526315788</v>
      </c>
      <c r="AE690" s="17">
        <v>2</v>
      </c>
      <c r="AF690" s="36">
        <f t="shared" si="223"/>
        <v>0.11764705882352941</v>
      </c>
      <c r="AG690" s="17">
        <v>5</v>
      </c>
      <c r="AH690" s="36">
        <f t="shared" si="213"/>
        <v>0.13157894736842105</v>
      </c>
      <c r="AI690" s="17">
        <v>2</v>
      </c>
      <c r="AJ690" s="36">
        <f t="shared" si="224"/>
        <v>0.11764705882352941</v>
      </c>
      <c r="AK690" s="17">
        <v>0</v>
      </c>
      <c r="AL690" s="36">
        <f t="shared" si="214"/>
        <v>0</v>
      </c>
      <c r="AM690" s="17">
        <v>0</v>
      </c>
      <c r="AN690" s="36">
        <f t="shared" si="225"/>
        <v>0</v>
      </c>
      <c r="AO690" s="17">
        <v>38</v>
      </c>
      <c r="AP690" s="17">
        <v>17</v>
      </c>
    </row>
    <row r="691" spans="1:42" ht="15.75" customHeight="1" x14ac:dyDescent="0.25">
      <c r="A691" s="37">
        <v>2020</v>
      </c>
      <c r="B691" s="35">
        <v>172110</v>
      </c>
      <c r="C691" s="34" t="s">
        <v>148</v>
      </c>
      <c r="D691" s="34" t="s">
        <v>138</v>
      </c>
      <c r="E691" s="17">
        <v>0</v>
      </c>
      <c r="F691" s="36">
        <f t="shared" si="215"/>
        <v>0</v>
      </c>
      <c r="G691" s="17">
        <v>0</v>
      </c>
      <c r="H691" s="36">
        <f t="shared" si="216"/>
        <v>0</v>
      </c>
      <c r="I691" s="17">
        <v>3</v>
      </c>
      <c r="J691" s="36">
        <f t="shared" si="217"/>
        <v>1.8072289156626505E-2</v>
      </c>
      <c r="K691" s="17">
        <v>0</v>
      </c>
      <c r="L691" s="36">
        <f t="shared" si="218"/>
        <v>0</v>
      </c>
      <c r="M691" s="17">
        <v>163</v>
      </c>
      <c r="N691" s="36">
        <f t="shared" si="208"/>
        <v>0.98192771084337349</v>
      </c>
      <c r="O691" s="17">
        <v>2</v>
      </c>
      <c r="P691" s="36">
        <f t="shared" si="219"/>
        <v>1</v>
      </c>
      <c r="Q691" s="17">
        <v>1</v>
      </c>
      <c r="R691" s="36">
        <f t="shared" si="209"/>
        <v>6.024096385542169E-3</v>
      </c>
      <c r="S691" s="17">
        <v>0</v>
      </c>
      <c r="T691" s="36">
        <f t="shared" si="220"/>
        <v>0</v>
      </c>
      <c r="U691" s="17">
        <v>4</v>
      </c>
      <c r="V691" s="36">
        <f t="shared" si="210"/>
        <v>2.4096385542168676E-2</v>
      </c>
      <c r="W691" s="17">
        <v>0</v>
      </c>
      <c r="X691" s="36">
        <f t="shared" si="221"/>
        <v>0</v>
      </c>
      <c r="Y691" s="17">
        <v>115</v>
      </c>
      <c r="Z691" s="36">
        <f t="shared" si="211"/>
        <v>0.69277108433734935</v>
      </c>
      <c r="AA691" s="17">
        <v>2</v>
      </c>
      <c r="AB691" s="36">
        <f t="shared" si="222"/>
        <v>1</v>
      </c>
      <c r="AC691" s="17">
        <v>31</v>
      </c>
      <c r="AD691" s="36">
        <f t="shared" si="212"/>
        <v>0.18674698795180722</v>
      </c>
      <c r="AE691" s="17">
        <v>0</v>
      </c>
      <c r="AF691" s="36">
        <f t="shared" si="223"/>
        <v>0</v>
      </c>
      <c r="AG691" s="17">
        <v>13</v>
      </c>
      <c r="AH691" s="36">
        <f t="shared" si="213"/>
        <v>7.8313253012048195E-2</v>
      </c>
      <c r="AI691" s="17">
        <v>0</v>
      </c>
      <c r="AJ691" s="36">
        <f t="shared" si="224"/>
        <v>0</v>
      </c>
      <c r="AK691" s="17">
        <v>2</v>
      </c>
      <c r="AL691" s="36">
        <f t="shared" si="214"/>
        <v>1.2048192771084338E-2</v>
      </c>
      <c r="AM691" s="17">
        <v>0</v>
      </c>
      <c r="AN691" s="36">
        <f t="shared" si="225"/>
        <v>0</v>
      </c>
      <c r="AO691" s="17">
        <v>166</v>
      </c>
      <c r="AP691" s="17">
        <v>2</v>
      </c>
    </row>
    <row r="692" spans="1:42" ht="15.75" customHeight="1" x14ac:dyDescent="0.25">
      <c r="A692" s="37">
        <v>2020</v>
      </c>
      <c r="B692" s="35">
        <v>172120</v>
      </c>
      <c r="C692" s="34" t="s">
        <v>145</v>
      </c>
      <c r="D692" s="34" t="s">
        <v>139</v>
      </c>
      <c r="E692" s="17">
        <v>2</v>
      </c>
      <c r="F692" s="36">
        <f t="shared" si="215"/>
        <v>9.0909090909090905E-3</v>
      </c>
      <c r="G692" s="17">
        <v>0</v>
      </c>
      <c r="H692" s="36">
        <f t="shared" si="216"/>
        <v>0</v>
      </c>
      <c r="I692" s="17">
        <v>18</v>
      </c>
      <c r="J692" s="36">
        <f t="shared" si="217"/>
        <v>8.1818181818181818E-2</v>
      </c>
      <c r="K692" s="17">
        <v>5</v>
      </c>
      <c r="L692" s="36">
        <f t="shared" si="218"/>
        <v>0.14705882352941177</v>
      </c>
      <c r="M692" s="17">
        <v>200</v>
      </c>
      <c r="N692" s="36">
        <f t="shared" si="208"/>
        <v>0.90909090909090906</v>
      </c>
      <c r="O692" s="17">
        <v>29</v>
      </c>
      <c r="P692" s="36">
        <f t="shared" si="219"/>
        <v>0.8529411764705882</v>
      </c>
      <c r="Q692" s="17">
        <v>5</v>
      </c>
      <c r="R692" s="36">
        <f t="shared" si="209"/>
        <v>2.2727272727272728E-2</v>
      </c>
      <c r="S692" s="17">
        <v>0</v>
      </c>
      <c r="T692" s="36">
        <f t="shared" si="220"/>
        <v>0</v>
      </c>
      <c r="U692" s="17">
        <v>4</v>
      </c>
      <c r="V692" s="36">
        <f t="shared" si="210"/>
        <v>1.8181818181818181E-2</v>
      </c>
      <c r="W692" s="17">
        <v>1</v>
      </c>
      <c r="X692" s="36">
        <f t="shared" si="221"/>
        <v>2.9411764705882353E-2</v>
      </c>
      <c r="Y692" s="17">
        <v>141</v>
      </c>
      <c r="Z692" s="36">
        <f t="shared" si="211"/>
        <v>0.64090909090909087</v>
      </c>
      <c r="AA692" s="17">
        <v>21</v>
      </c>
      <c r="AB692" s="36">
        <f t="shared" si="222"/>
        <v>0.61764705882352944</v>
      </c>
      <c r="AC692" s="17">
        <v>46</v>
      </c>
      <c r="AD692" s="36">
        <f t="shared" si="212"/>
        <v>0.20909090909090908</v>
      </c>
      <c r="AE692" s="17">
        <v>9</v>
      </c>
      <c r="AF692" s="36">
        <f t="shared" si="223"/>
        <v>0.26470588235294118</v>
      </c>
      <c r="AG692" s="17">
        <v>22</v>
      </c>
      <c r="AH692" s="36">
        <f t="shared" si="213"/>
        <v>0.1</v>
      </c>
      <c r="AI692" s="17">
        <v>3</v>
      </c>
      <c r="AJ692" s="36">
        <f t="shared" si="224"/>
        <v>8.8235294117647065E-2</v>
      </c>
      <c r="AK692" s="17">
        <v>2</v>
      </c>
      <c r="AL692" s="36">
        <f t="shared" si="214"/>
        <v>9.0909090909090905E-3</v>
      </c>
      <c r="AM692" s="17">
        <v>0</v>
      </c>
      <c r="AN692" s="36">
        <f t="shared" si="225"/>
        <v>0</v>
      </c>
      <c r="AO692" s="17">
        <v>220</v>
      </c>
      <c r="AP692" s="17">
        <v>34</v>
      </c>
    </row>
    <row r="693" spans="1:42" ht="15.75" customHeight="1" x14ac:dyDescent="0.25">
      <c r="A693" s="37">
        <v>2020</v>
      </c>
      <c r="B693" s="35">
        <v>172125</v>
      </c>
      <c r="C693" s="34" t="s">
        <v>150</v>
      </c>
      <c r="D693" s="34" t="s">
        <v>140</v>
      </c>
      <c r="E693" s="17">
        <v>1</v>
      </c>
      <c r="F693" s="36">
        <f t="shared" si="215"/>
        <v>9.3457943925233638E-3</v>
      </c>
      <c r="G693" s="17">
        <v>0</v>
      </c>
      <c r="H693" s="36">
        <f t="shared" si="216"/>
        <v>0</v>
      </c>
      <c r="I693" s="17">
        <v>5</v>
      </c>
      <c r="J693" s="36">
        <f t="shared" si="217"/>
        <v>4.6728971962616821E-2</v>
      </c>
      <c r="K693" s="17">
        <v>0</v>
      </c>
      <c r="L693" s="36">
        <f t="shared" si="218"/>
        <v>0</v>
      </c>
      <c r="M693" s="17">
        <v>101</v>
      </c>
      <c r="N693" s="36">
        <f t="shared" si="208"/>
        <v>0.94392523364485981</v>
      </c>
      <c r="O693" s="17">
        <v>7</v>
      </c>
      <c r="P693" s="36">
        <f t="shared" si="219"/>
        <v>1</v>
      </c>
      <c r="Q693" s="17">
        <v>0</v>
      </c>
      <c r="R693" s="36">
        <f t="shared" si="209"/>
        <v>0</v>
      </c>
      <c r="S693" s="17">
        <v>0</v>
      </c>
      <c r="T693" s="36">
        <f t="shared" si="220"/>
        <v>0</v>
      </c>
      <c r="U693" s="17">
        <v>1</v>
      </c>
      <c r="V693" s="36">
        <f t="shared" si="210"/>
        <v>9.3457943925233638E-3</v>
      </c>
      <c r="W693" s="17">
        <v>0</v>
      </c>
      <c r="X693" s="36">
        <f t="shared" si="221"/>
        <v>0</v>
      </c>
      <c r="Y693" s="17">
        <v>85</v>
      </c>
      <c r="Z693" s="36">
        <f t="shared" si="211"/>
        <v>0.79439252336448596</v>
      </c>
      <c r="AA693" s="17">
        <v>5</v>
      </c>
      <c r="AB693" s="36">
        <f t="shared" si="222"/>
        <v>0.7142857142857143</v>
      </c>
      <c r="AC693" s="17">
        <v>15</v>
      </c>
      <c r="AD693" s="36">
        <f t="shared" si="212"/>
        <v>0.14018691588785046</v>
      </c>
      <c r="AE693" s="17">
        <v>2</v>
      </c>
      <c r="AF693" s="36">
        <f t="shared" si="223"/>
        <v>0.2857142857142857</v>
      </c>
      <c r="AG693" s="17">
        <v>6</v>
      </c>
      <c r="AH693" s="36">
        <f t="shared" si="213"/>
        <v>5.6074766355140186E-2</v>
      </c>
      <c r="AI693" s="17">
        <v>0</v>
      </c>
      <c r="AJ693" s="36">
        <f t="shared" si="224"/>
        <v>0</v>
      </c>
      <c r="AK693" s="17">
        <v>0</v>
      </c>
      <c r="AL693" s="36">
        <f t="shared" si="214"/>
        <v>0</v>
      </c>
      <c r="AM693" s="17">
        <v>0</v>
      </c>
      <c r="AN693" s="36">
        <f t="shared" si="225"/>
        <v>0</v>
      </c>
      <c r="AO693" s="17">
        <v>107</v>
      </c>
      <c r="AP693" s="17">
        <v>7</v>
      </c>
    </row>
    <row r="694" spans="1:42" ht="15.75" customHeight="1" x14ac:dyDescent="0.25">
      <c r="A694" s="37">
        <v>2020</v>
      </c>
      <c r="B694" s="35">
        <v>172130</v>
      </c>
      <c r="C694" s="34" t="s">
        <v>150</v>
      </c>
      <c r="D694" s="34" t="s">
        <v>141</v>
      </c>
      <c r="E694" s="17">
        <v>0</v>
      </c>
      <c r="F694" s="36">
        <f t="shared" si="215"/>
        <v>0</v>
      </c>
      <c r="G694" s="17">
        <v>0</v>
      </c>
      <c r="H694" s="36">
        <f t="shared" si="216"/>
        <v>0</v>
      </c>
      <c r="I694" s="17">
        <v>2</v>
      </c>
      <c r="J694" s="36">
        <f t="shared" si="217"/>
        <v>9.5238095238095233E-2</v>
      </c>
      <c r="K694" s="17">
        <v>2</v>
      </c>
      <c r="L694" s="36">
        <f t="shared" si="218"/>
        <v>0.1111111111111111</v>
      </c>
      <c r="M694" s="17">
        <v>19</v>
      </c>
      <c r="N694" s="36">
        <f t="shared" si="208"/>
        <v>0.90476190476190477</v>
      </c>
      <c r="O694" s="17">
        <v>16</v>
      </c>
      <c r="P694" s="36">
        <f t="shared" si="219"/>
        <v>0.88888888888888884</v>
      </c>
      <c r="Q694" s="17">
        <v>0</v>
      </c>
      <c r="R694" s="36">
        <f t="shared" si="209"/>
        <v>0</v>
      </c>
      <c r="S694" s="17">
        <v>0</v>
      </c>
      <c r="T694" s="36">
        <f t="shared" si="220"/>
        <v>0</v>
      </c>
      <c r="U694" s="17">
        <v>1</v>
      </c>
      <c r="V694" s="36">
        <f t="shared" si="210"/>
        <v>4.7619047619047616E-2</v>
      </c>
      <c r="W694" s="17">
        <v>1</v>
      </c>
      <c r="X694" s="36">
        <f t="shared" si="221"/>
        <v>5.5555555555555552E-2</v>
      </c>
      <c r="Y694" s="17">
        <v>14</v>
      </c>
      <c r="Z694" s="36">
        <f t="shared" si="211"/>
        <v>0.66666666666666663</v>
      </c>
      <c r="AA694" s="17">
        <v>13</v>
      </c>
      <c r="AB694" s="36">
        <f t="shared" si="222"/>
        <v>0.72222222222222221</v>
      </c>
      <c r="AC694" s="17">
        <v>4</v>
      </c>
      <c r="AD694" s="36">
        <f t="shared" si="212"/>
        <v>0.19047619047619047</v>
      </c>
      <c r="AE694" s="17">
        <v>3</v>
      </c>
      <c r="AF694" s="36">
        <f t="shared" si="223"/>
        <v>0.16666666666666666</v>
      </c>
      <c r="AG694" s="17">
        <v>2</v>
      </c>
      <c r="AH694" s="36">
        <f t="shared" si="213"/>
        <v>9.5238095238095233E-2</v>
      </c>
      <c r="AI694" s="17">
        <v>1</v>
      </c>
      <c r="AJ694" s="36">
        <f t="shared" si="224"/>
        <v>5.5555555555555552E-2</v>
      </c>
      <c r="AK694" s="17">
        <v>0</v>
      </c>
      <c r="AL694" s="36">
        <f t="shared" si="214"/>
        <v>0</v>
      </c>
      <c r="AM694" s="17">
        <v>0</v>
      </c>
      <c r="AN694" s="36">
        <f t="shared" si="225"/>
        <v>0</v>
      </c>
      <c r="AO694" s="17">
        <v>21</v>
      </c>
      <c r="AP694" s="17">
        <v>18</v>
      </c>
    </row>
    <row r="695" spans="1:42" ht="15.75" customHeight="1" x14ac:dyDescent="0.25">
      <c r="A695" s="37">
        <v>2020</v>
      </c>
      <c r="B695" s="35">
        <v>172208</v>
      </c>
      <c r="C695" s="34" t="s">
        <v>149</v>
      </c>
      <c r="D695" s="34" t="s">
        <v>142</v>
      </c>
      <c r="E695" s="17">
        <v>10</v>
      </c>
      <c r="F695" s="36">
        <f t="shared" si="215"/>
        <v>0.10309278350515463</v>
      </c>
      <c r="G695" s="17">
        <v>2</v>
      </c>
      <c r="H695" s="36">
        <f t="shared" si="216"/>
        <v>8.6956521739130432E-2</v>
      </c>
      <c r="I695" s="17">
        <v>5</v>
      </c>
      <c r="J695" s="36">
        <f t="shared" si="217"/>
        <v>5.1546391752577317E-2</v>
      </c>
      <c r="K695" s="17">
        <v>1</v>
      </c>
      <c r="L695" s="36">
        <f t="shared" si="218"/>
        <v>4.3478260869565216E-2</v>
      </c>
      <c r="M695" s="17">
        <v>82</v>
      </c>
      <c r="N695" s="36">
        <f t="shared" ref="N695:N726" si="226">IFERROR(M695/$AO695,0)</f>
        <v>0.84536082474226804</v>
      </c>
      <c r="O695" s="17">
        <v>20</v>
      </c>
      <c r="P695" s="36">
        <f t="shared" si="219"/>
        <v>0.86956521739130432</v>
      </c>
      <c r="Q695" s="17">
        <v>0</v>
      </c>
      <c r="R695" s="36">
        <f t="shared" ref="R695:R726" si="227">IFERROR(Q695/$AO695,0)</f>
        <v>0</v>
      </c>
      <c r="S695" s="17">
        <v>0</v>
      </c>
      <c r="T695" s="36">
        <f t="shared" si="220"/>
        <v>0</v>
      </c>
      <c r="U695" s="17">
        <v>1</v>
      </c>
      <c r="V695" s="36">
        <f t="shared" ref="V695:V726" si="228">IFERROR(U695/$AO695,0)</f>
        <v>1.0309278350515464E-2</v>
      </c>
      <c r="W695" s="17">
        <v>0</v>
      </c>
      <c r="X695" s="36">
        <f t="shared" si="221"/>
        <v>0</v>
      </c>
      <c r="Y695" s="17">
        <v>63</v>
      </c>
      <c r="Z695" s="36">
        <f t="shared" ref="Z695:Z726" si="229">IFERROR(Y695/$AO695,0)</f>
        <v>0.64948453608247425</v>
      </c>
      <c r="AA695" s="17">
        <v>15</v>
      </c>
      <c r="AB695" s="36">
        <f t="shared" si="222"/>
        <v>0.65217391304347827</v>
      </c>
      <c r="AC695" s="17">
        <v>20</v>
      </c>
      <c r="AD695" s="36">
        <f t="shared" ref="AD695:AD726" si="230">IFERROR(AC695/$AO695,0)</f>
        <v>0.20618556701030927</v>
      </c>
      <c r="AE695" s="17">
        <v>6</v>
      </c>
      <c r="AF695" s="36">
        <f t="shared" si="223"/>
        <v>0.2608695652173913</v>
      </c>
      <c r="AG695" s="17">
        <v>10</v>
      </c>
      <c r="AH695" s="36">
        <f t="shared" ref="AH695:AH726" si="231">IFERROR(AG695/$AO695,0)</f>
        <v>0.10309278350515463</v>
      </c>
      <c r="AI695" s="17">
        <v>1</v>
      </c>
      <c r="AJ695" s="36">
        <f t="shared" si="224"/>
        <v>4.3478260869565216E-2</v>
      </c>
      <c r="AK695" s="17">
        <v>3</v>
      </c>
      <c r="AL695" s="36">
        <f t="shared" ref="AL695:AL726" si="232">IFERROR(AK695/$AO695,0)</f>
        <v>3.0927835051546393E-2</v>
      </c>
      <c r="AM695" s="17">
        <v>1</v>
      </c>
      <c r="AN695" s="36">
        <f t="shared" si="225"/>
        <v>4.3478260869565216E-2</v>
      </c>
      <c r="AO695" s="17">
        <v>97</v>
      </c>
      <c r="AP695" s="17">
        <v>23</v>
      </c>
    </row>
    <row r="696" spans="1:42" ht="15.75" customHeight="1" x14ac:dyDescent="0.25">
      <c r="A696" s="37">
        <v>2020</v>
      </c>
      <c r="B696" s="35">
        <v>172210</v>
      </c>
      <c r="C696" s="34" t="s">
        <v>149</v>
      </c>
      <c r="D696" s="34" t="s">
        <v>143</v>
      </c>
      <c r="E696" s="17">
        <v>3</v>
      </c>
      <c r="F696" s="36">
        <f t="shared" si="215"/>
        <v>1.0600706713780919E-2</v>
      </c>
      <c r="G696" s="17">
        <v>2</v>
      </c>
      <c r="H696" s="36">
        <f t="shared" si="216"/>
        <v>8.130081300813009E-3</v>
      </c>
      <c r="I696" s="17">
        <v>16</v>
      </c>
      <c r="J696" s="36">
        <f t="shared" si="217"/>
        <v>5.6537102473498232E-2</v>
      </c>
      <c r="K696" s="17">
        <v>11</v>
      </c>
      <c r="L696" s="36">
        <f t="shared" si="218"/>
        <v>4.4715447154471545E-2</v>
      </c>
      <c r="M696" s="17">
        <v>264</v>
      </c>
      <c r="N696" s="36">
        <f t="shared" si="226"/>
        <v>0.93286219081272082</v>
      </c>
      <c r="O696" s="17">
        <v>233</v>
      </c>
      <c r="P696" s="36">
        <f t="shared" si="219"/>
        <v>0.94715447154471544</v>
      </c>
      <c r="Q696" s="17">
        <v>0</v>
      </c>
      <c r="R696" s="36">
        <f t="shared" si="227"/>
        <v>0</v>
      </c>
      <c r="S696" s="17">
        <v>0</v>
      </c>
      <c r="T696" s="36">
        <f t="shared" si="220"/>
        <v>0</v>
      </c>
      <c r="U696" s="17">
        <v>12</v>
      </c>
      <c r="V696" s="36">
        <f t="shared" si="228"/>
        <v>4.2402826855123678E-2</v>
      </c>
      <c r="W696" s="17">
        <v>10</v>
      </c>
      <c r="X696" s="36">
        <f t="shared" si="221"/>
        <v>4.065040650406504E-2</v>
      </c>
      <c r="Y696" s="17">
        <v>206</v>
      </c>
      <c r="Z696" s="36">
        <f t="shared" si="229"/>
        <v>0.72791519434628971</v>
      </c>
      <c r="AA696" s="17">
        <v>181</v>
      </c>
      <c r="AB696" s="36">
        <f t="shared" si="222"/>
        <v>0.73577235772357719</v>
      </c>
      <c r="AC696" s="17">
        <v>41</v>
      </c>
      <c r="AD696" s="36">
        <f t="shared" si="230"/>
        <v>0.14487632508833923</v>
      </c>
      <c r="AE696" s="17">
        <v>34</v>
      </c>
      <c r="AF696" s="36">
        <f t="shared" si="223"/>
        <v>0.13821138211382114</v>
      </c>
      <c r="AG696" s="17">
        <v>20</v>
      </c>
      <c r="AH696" s="36">
        <f t="shared" si="231"/>
        <v>7.0671378091872794E-2</v>
      </c>
      <c r="AI696" s="17">
        <v>19</v>
      </c>
      <c r="AJ696" s="36">
        <f t="shared" si="224"/>
        <v>7.7235772357723581E-2</v>
      </c>
      <c r="AK696" s="17">
        <v>4</v>
      </c>
      <c r="AL696" s="36">
        <f t="shared" si="232"/>
        <v>1.4134275618374558E-2</v>
      </c>
      <c r="AM696" s="17">
        <v>2</v>
      </c>
      <c r="AN696" s="36">
        <f t="shared" si="225"/>
        <v>8.130081300813009E-3</v>
      </c>
      <c r="AO696" s="17">
        <v>283</v>
      </c>
      <c r="AP696" s="17">
        <v>246</v>
      </c>
    </row>
    <row r="697" spans="1:42" ht="15.75" customHeight="1" x14ac:dyDescent="0.25">
      <c r="A697" s="37">
        <v>2019</v>
      </c>
      <c r="B697" s="35">
        <v>170025</v>
      </c>
      <c r="C697" s="34" t="s">
        <v>144</v>
      </c>
      <c r="D697" s="34" t="s">
        <v>5</v>
      </c>
      <c r="E697" s="17">
        <v>1</v>
      </c>
      <c r="F697" s="36">
        <f t="shared" si="215"/>
        <v>5.6497175141242938E-3</v>
      </c>
      <c r="G697" s="17">
        <v>2</v>
      </c>
      <c r="H697" s="36">
        <f t="shared" si="216"/>
        <v>2.3809523809523808E-2</v>
      </c>
      <c r="I697" s="17">
        <v>8</v>
      </c>
      <c r="J697" s="36">
        <f t="shared" si="217"/>
        <v>4.519774011299435E-2</v>
      </c>
      <c r="K697" s="17">
        <v>3</v>
      </c>
      <c r="L697" s="36">
        <f t="shared" si="218"/>
        <v>3.5714285714285712E-2</v>
      </c>
      <c r="M697" s="17">
        <v>168</v>
      </c>
      <c r="N697" s="36">
        <f t="shared" si="226"/>
        <v>0.94915254237288138</v>
      </c>
      <c r="O697" s="17">
        <v>79</v>
      </c>
      <c r="P697" s="36">
        <f t="shared" si="219"/>
        <v>0.94047619047619047</v>
      </c>
      <c r="Q697" s="17">
        <v>2</v>
      </c>
      <c r="R697" s="36">
        <f t="shared" si="227"/>
        <v>1.1299435028248588E-2</v>
      </c>
      <c r="S697" s="17">
        <v>0</v>
      </c>
      <c r="T697" s="36">
        <f t="shared" si="220"/>
        <v>0</v>
      </c>
      <c r="U697" s="17">
        <v>3</v>
      </c>
      <c r="V697" s="36">
        <f t="shared" si="228"/>
        <v>1.6949152542372881E-2</v>
      </c>
      <c r="W697" s="17">
        <v>1</v>
      </c>
      <c r="X697" s="36">
        <f t="shared" si="221"/>
        <v>1.1904761904761904E-2</v>
      </c>
      <c r="Y697" s="17">
        <v>122</v>
      </c>
      <c r="Z697" s="36">
        <f t="shared" si="229"/>
        <v>0.68926553672316382</v>
      </c>
      <c r="AA697" s="17">
        <v>59</v>
      </c>
      <c r="AB697" s="36">
        <f t="shared" si="222"/>
        <v>0.70238095238095233</v>
      </c>
      <c r="AC697" s="17">
        <v>31</v>
      </c>
      <c r="AD697" s="36">
        <f t="shared" si="230"/>
        <v>0.1751412429378531</v>
      </c>
      <c r="AE697" s="17">
        <v>13</v>
      </c>
      <c r="AF697" s="36">
        <f t="shared" si="223"/>
        <v>0.15476190476190477</v>
      </c>
      <c r="AG697" s="17">
        <v>17</v>
      </c>
      <c r="AH697" s="36">
        <f t="shared" si="231"/>
        <v>9.6045197740112997E-2</v>
      </c>
      <c r="AI697" s="17">
        <v>9</v>
      </c>
      <c r="AJ697" s="36">
        <f t="shared" si="224"/>
        <v>0.10714285714285714</v>
      </c>
      <c r="AK697" s="17">
        <v>2</v>
      </c>
      <c r="AL697" s="36">
        <f t="shared" si="232"/>
        <v>1.1299435028248588E-2</v>
      </c>
      <c r="AM697" s="17">
        <v>2</v>
      </c>
      <c r="AN697" s="36">
        <f t="shared" si="225"/>
        <v>2.3809523809523808E-2</v>
      </c>
      <c r="AO697" s="17">
        <v>177</v>
      </c>
      <c r="AP697" s="17">
        <v>84</v>
      </c>
    </row>
    <row r="698" spans="1:42" ht="15.75" customHeight="1" x14ac:dyDescent="0.25">
      <c r="A698" s="37">
        <v>2019</v>
      </c>
      <c r="B698" s="35">
        <v>170030</v>
      </c>
      <c r="C698" s="34" t="s">
        <v>145</v>
      </c>
      <c r="D698" s="34" t="s">
        <v>6</v>
      </c>
      <c r="E698" s="17">
        <v>20</v>
      </c>
      <c r="F698" s="36">
        <f t="shared" si="215"/>
        <v>4.6082949308755762E-2</v>
      </c>
      <c r="G698" s="17">
        <v>3</v>
      </c>
      <c r="H698" s="36">
        <f t="shared" si="216"/>
        <v>1.3215859030837005E-2</v>
      </c>
      <c r="I698" s="17">
        <v>31</v>
      </c>
      <c r="J698" s="36">
        <f t="shared" si="217"/>
        <v>7.1428571428571425E-2</v>
      </c>
      <c r="K698" s="17">
        <v>12</v>
      </c>
      <c r="L698" s="36">
        <f t="shared" si="218"/>
        <v>5.2863436123348019E-2</v>
      </c>
      <c r="M698" s="17">
        <v>383</v>
      </c>
      <c r="N698" s="36">
        <f t="shared" si="226"/>
        <v>0.88248847926267282</v>
      </c>
      <c r="O698" s="17">
        <v>212</v>
      </c>
      <c r="P698" s="36">
        <f t="shared" si="219"/>
        <v>0.93392070484581502</v>
      </c>
      <c r="Q698" s="17">
        <v>4</v>
      </c>
      <c r="R698" s="36">
        <f t="shared" si="227"/>
        <v>9.2165898617511521E-3</v>
      </c>
      <c r="S698" s="17">
        <v>4</v>
      </c>
      <c r="T698" s="36">
        <f t="shared" si="220"/>
        <v>1.7621145374449341E-2</v>
      </c>
      <c r="U698" s="17">
        <v>20</v>
      </c>
      <c r="V698" s="36">
        <f t="shared" si="228"/>
        <v>4.6082949308755762E-2</v>
      </c>
      <c r="W698" s="17">
        <v>11</v>
      </c>
      <c r="X698" s="36">
        <f t="shared" si="221"/>
        <v>4.8458149779735685E-2</v>
      </c>
      <c r="Y698" s="17">
        <v>324</v>
      </c>
      <c r="Z698" s="36">
        <f t="shared" si="229"/>
        <v>0.74654377880184331</v>
      </c>
      <c r="AA698" s="17">
        <v>166</v>
      </c>
      <c r="AB698" s="36">
        <f t="shared" si="222"/>
        <v>0.7312775330396476</v>
      </c>
      <c r="AC698" s="17">
        <v>58</v>
      </c>
      <c r="AD698" s="36">
        <f t="shared" si="230"/>
        <v>0.13364055299539171</v>
      </c>
      <c r="AE698" s="17">
        <v>31</v>
      </c>
      <c r="AF698" s="36">
        <f t="shared" si="223"/>
        <v>0.13656387665198239</v>
      </c>
      <c r="AG698" s="17">
        <v>23</v>
      </c>
      <c r="AH698" s="36">
        <f t="shared" si="231"/>
        <v>5.2995391705069124E-2</v>
      </c>
      <c r="AI698" s="17">
        <v>12</v>
      </c>
      <c r="AJ698" s="36">
        <f t="shared" si="224"/>
        <v>5.2863436123348019E-2</v>
      </c>
      <c r="AK698" s="17">
        <v>5</v>
      </c>
      <c r="AL698" s="36">
        <f t="shared" si="232"/>
        <v>1.1520737327188941E-2</v>
      </c>
      <c r="AM698" s="17">
        <v>3</v>
      </c>
      <c r="AN698" s="36">
        <f t="shared" si="225"/>
        <v>1.3215859030837005E-2</v>
      </c>
      <c r="AO698" s="17">
        <v>434</v>
      </c>
      <c r="AP698" s="17">
        <v>227</v>
      </c>
    </row>
    <row r="699" spans="1:42" ht="15.75" customHeight="1" x14ac:dyDescent="0.25">
      <c r="A699" s="37">
        <v>2019</v>
      </c>
      <c r="B699" s="35">
        <v>170035</v>
      </c>
      <c r="C699" s="34" t="s">
        <v>146</v>
      </c>
      <c r="D699" s="34" t="s">
        <v>7</v>
      </c>
      <c r="E699" s="17">
        <v>5</v>
      </c>
      <c r="F699" s="36">
        <f t="shared" si="215"/>
        <v>1.7182130584192441E-2</v>
      </c>
      <c r="G699" s="17">
        <v>1</v>
      </c>
      <c r="H699" s="36">
        <f t="shared" si="216"/>
        <v>5.9171597633136093E-3</v>
      </c>
      <c r="I699" s="17">
        <v>7</v>
      </c>
      <c r="J699" s="36">
        <f t="shared" si="217"/>
        <v>2.4054982817869417E-2</v>
      </c>
      <c r="K699" s="17">
        <v>5</v>
      </c>
      <c r="L699" s="36">
        <f t="shared" si="218"/>
        <v>2.9585798816568046E-2</v>
      </c>
      <c r="M699" s="17">
        <v>279</v>
      </c>
      <c r="N699" s="36">
        <f t="shared" si="226"/>
        <v>0.95876288659793818</v>
      </c>
      <c r="O699" s="17">
        <v>163</v>
      </c>
      <c r="P699" s="36">
        <f t="shared" si="219"/>
        <v>0.96449704142011838</v>
      </c>
      <c r="Q699" s="17">
        <v>2</v>
      </c>
      <c r="R699" s="36">
        <f t="shared" si="227"/>
        <v>6.8728522336769758E-3</v>
      </c>
      <c r="S699" s="17">
        <v>1</v>
      </c>
      <c r="T699" s="36">
        <f t="shared" si="220"/>
        <v>5.9171597633136093E-3</v>
      </c>
      <c r="U699" s="17">
        <v>8</v>
      </c>
      <c r="V699" s="36">
        <f t="shared" si="228"/>
        <v>2.7491408934707903E-2</v>
      </c>
      <c r="W699" s="17">
        <v>5</v>
      </c>
      <c r="X699" s="36">
        <f t="shared" si="221"/>
        <v>2.9585798816568046E-2</v>
      </c>
      <c r="Y699" s="17">
        <v>219</v>
      </c>
      <c r="Z699" s="36">
        <f t="shared" si="229"/>
        <v>0.75257731958762886</v>
      </c>
      <c r="AA699" s="17">
        <v>131</v>
      </c>
      <c r="AB699" s="36">
        <f t="shared" si="222"/>
        <v>0.7751479289940828</v>
      </c>
      <c r="AC699" s="17">
        <v>41</v>
      </c>
      <c r="AD699" s="36">
        <f t="shared" si="230"/>
        <v>0.14089347079037801</v>
      </c>
      <c r="AE699" s="17">
        <v>21</v>
      </c>
      <c r="AF699" s="36">
        <f t="shared" si="223"/>
        <v>0.1242603550295858</v>
      </c>
      <c r="AG699" s="17">
        <v>15</v>
      </c>
      <c r="AH699" s="36">
        <f t="shared" si="231"/>
        <v>5.1546391752577317E-2</v>
      </c>
      <c r="AI699" s="17">
        <v>8</v>
      </c>
      <c r="AJ699" s="36">
        <f t="shared" si="224"/>
        <v>4.7337278106508875E-2</v>
      </c>
      <c r="AK699" s="17">
        <v>6</v>
      </c>
      <c r="AL699" s="36">
        <f t="shared" si="232"/>
        <v>2.0618556701030927E-2</v>
      </c>
      <c r="AM699" s="17">
        <v>3</v>
      </c>
      <c r="AN699" s="36">
        <f t="shared" si="225"/>
        <v>1.7751479289940829E-2</v>
      </c>
      <c r="AO699" s="17">
        <v>291</v>
      </c>
      <c r="AP699" s="17">
        <v>169</v>
      </c>
    </row>
    <row r="700" spans="1:42" ht="15.75" customHeight="1" x14ac:dyDescent="0.25">
      <c r="A700" s="37">
        <v>2019</v>
      </c>
      <c r="B700" s="35">
        <v>170040</v>
      </c>
      <c r="C700" s="34" t="s">
        <v>147</v>
      </c>
      <c r="D700" s="34" t="s">
        <v>8</v>
      </c>
      <c r="E700" s="17">
        <v>9</v>
      </c>
      <c r="F700" s="36">
        <f t="shared" si="215"/>
        <v>2.1077283372365339E-2</v>
      </c>
      <c r="G700" s="17">
        <v>7</v>
      </c>
      <c r="H700" s="36">
        <f t="shared" si="216"/>
        <v>2.2950819672131147E-2</v>
      </c>
      <c r="I700" s="17">
        <v>23</v>
      </c>
      <c r="J700" s="36">
        <f t="shared" si="217"/>
        <v>5.3864168618266976E-2</v>
      </c>
      <c r="K700" s="17">
        <v>19</v>
      </c>
      <c r="L700" s="36">
        <f t="shared" si="218"/>
        <v>6.2295081967213117E-2</v>
      </c>
      <c r="M700" s="17">
        <v>395</v>
      </c>
      <c r="N700" s="36">
        <f t="shared" si="226"/>
        <v>0.92505854800936771</v>
      </c>
      <c r="O700" s="17">
        <v>279</v>
      </c>
      <c r="P700" s="36">
        <f t="shared" si="219"/>
        <v>0.91475409836065569</v>
      </c>
      <c r="Q700" s="17">
        <v>5</v>
      </c>
      <c r="R700" s="36">
        <f t="shared" si="227"/>
        <v>1.1709601873536301E-2</v>
      </c>
      <c r="S700" s="17">
        <v>3</v>
      </c>
      <c r="T700" s="36">
        <f t="shared" si="220"/>
        <v>9.8360655737704927E-3</v>
      </c>
      <c r="U700" s="17">
        <v>11</v>
      </c>
      <c r="V700" s="36">
        <f t="shared" si="228"/>
        <v>2.576112412177986E-2</v>
      </c>
      <c r="W700" s="17">
        <v>4</v>
      </c>
      <c r="X700" s="36">
        <f t="shared" si="221"/>
        <v>1.3114754098360656E-2</v>
      </c>
      <c r="Y700" s="17">
        <v>308</v>
      </c>
      <c r="Z700" s="36">
        <f t="shared" si="229"/>
        <v>0.72131147540983609</v>
      </c>
      <c r="AA700" s="17">
        <v>223</v>
      </c>
      <c r="AB700" s="36">
        <f t="shared" si="222"/>
        <v>0.73114754098360657</v>
      </c>
      <c r="AC700" s="17">
        <v>71</v>
      </c>
      <c r="AD700" s="36">
        <f t="shared" si="230"/>
        <v>0.16627634660421545</v>
      </c>
      <c r="AE700" s="17">
        <v>48</v>
      </c>
      <c r="AF700" s="36">
        <f t="shared" si="223"/>
        <v>0.15737704918032788</v>
      </c>
      <c r="AG700" s="17">
        <v>23</v>
      </c>
      <c r="AH700" s="36">
        <f t="shared" si="231"/>
        <v>5.3864168618266976E-2</v>
      </c>
      <c r="AI700" s="17">
        <v>19</v>
      </c>
      <c r="AJ700" s="36">
        <f t="shared" si="224"/>
        <v>6.2295081967213117E-2</v>
      </c>
      <c r="AK700" s="17">
        <v>9</v>
      </c>
      <c r="AL700" s="36">
        <f t="shared" si="232"/>
        <v>2.1077283372365339E-2</v>
      </c>
      <c r="AM700" s="17">
        <v>8</v>
      </c>
      <c r="AN700" s="36">
        <f t="shared" si="225"/>
        <v>2.6229508196721311E-2</v>
      </c>
      <c r="AO700" s="17">
        <v>427</v>
      </c>
      <c r="AP700" s="17">
        <v>305</v>
      </c>
    </row>
    <row r="701" spans="1:42" ht="15.75" customHeight="1" x14ac:dyDescent="0.25">
      <c r="A701" s="37">
        <v>2019</v>
      </c>
      <c r="B701" s="35">
        <v>170070</v>
      </c>
      <c r="C701" s="34" t="s">
        <v>146</v>
      </c>
      <c r="D701" s="34" t="s">
        <v>9</v>
      </c>
      <c r="E701" s="17">
        <v>1</v>
      </c>
      <c r="F701" s="36">
        <f t="shared" si="215"/>
        <v>3.7593984962406013E-3</v>
      </c>
      <c r="G701" s="17">
        <v>1</v>
      </c>
      <c r="H701" s="36">
        <f t="shared" si="216"/>
        <v>9.8039215686274508E-3</v>
      </c>
      <c r="I701" s="17">
        <v>9</v>
      </c>
      <c r="J701" s="36">
        <f t="shared" si="217"/>
        <v>3.3834586466165412E-2</v>
      </c>
      <c r="K701" s="17">
        <v>3</v>
      </c>
      <c r="L701" s="36">
        <f t="shared" si="218"/>
        <v>2.9411764705882353E-2</v>
      </c>
      <c r="M701" s="17">
        <v>256</v>
      </c>
      <c r="N701" s="36">
        <f t="shared" si="226"/>
        <v>0.96240601503759393</v>
      </c>
      <c r="O701" s="17">
        <v>98</v>
      </c>
      <c r="P701" s="36">
        <f t="shared" si="219"/>
        <v>0.96078431372549022</v>
      </c>
      <c r="Q701" s="17">
        <v>1</v>
      </c>
      <c r="R701" s="36">
        <f t="shared" si="227"/>
        <v>3.7593984962406013E-3</v>
      </c>
      <c r="S701" s="17">
        <v>1</v>
      </c>
      <c r="T701" s="36">
        <f t="shared" si="220"/>
        <v>9.8039215686274508E-3</v>
      </c>
      <c r="U701" s="17">
        <v>7</v>
      </c>
      <c r="V701" s="36">
        <f t="shared" si="228"/>
        <v>2.6315789473684209E-2</v>
      </c>
      <c r="W701" s="17">
        <v>2</v>
      </c>
      <c r="X701" s="36">
        <f t="shared" si="221"/>
        <v>1.9607843137254902E-2</v>
      </c>
      <c r="Y701" s="17">
        <v>166</v>
      </c>
      <c r="Z701" s="36">
        <f t="shared" si="229"/>
        <v>0.62406015037593987</v>
      </c>
      <c r="AA701" s="17">
        <v>68</v>
      </c>
      <c r="AB701" s="36">
        <f t="shared" si="222"/>
        <v>0.66666666666666663</v>
      </c>
      <c r="AC701" s="17">
        <v>55</v>
      </c>
      <c r="AD701" s="36">
        <f t="shared" si="230"/>
        <v>0.20676691729323307</v>
      </c>
      <c r="AE701" s="17">
        <v>21</v>
      </c>
      <c r="AF701" s="36">
        <f t="shared" si="223"/>
        <v>0.20588235294117646</v>
      </c>
      <c r="AG701" s="17">
        <v>32</v>
      </c>
      <c r="AH701" s="36">
        <f t="shared" si="231"/>
        <v>0.12030075187969924</v>
      </c>
      <c r="AI701" s="17">
        <v>9</v>
      </c>
      <c r="AJ701" s="36">
        <f t="shared" si="224"/>
        <v>8.8235294117647065E-2</v>
      </c>
      <c r="AK701" s="17">
        <v>5</v>
      </c>
      <c r="AL701" s="36">
        <f t="shared" si="232"/>
        <v>1.8796992481203006E-2</v>
      </c>
      <c r="AM701" s="17">
        <v>1</v>
      </c>
      <c r="AN701" s="36">
        <f t="shared" si="225"/>
        <v>9.8039215686274508E-3</v>
      </c>
      <c r="AO701" s="17">
        <v>266</v>
      </c>
      <c r="AP701" s="17">
        <v>102</v>
      </c>
    </row>
    <row r="702" spans="1:42" ht="15.75" customHeight="1" x14ac:dyDescent="0.25">
      <c r="A702" s="37">
        <v>2019</v>
      </c>
      <c r="B702" s="35">
        <v>170100</v>
      </c>
      <c r="C702" s="34" t="s">
        <v>145</v>
      </c>
      <c r="D702" s="34" t="s">
        <v>10</v>
      </c>
      <c r="E702" s="17">
        <v>25</v>
      </c>
      <c r="F702" s="36">
        <f t="shared" si="215"/>
        <v>2.54841997961264E-2</v>
      </c>
      <c r="G702" s="17">
        <v>19</v>
      </c>
      <c r="H702" s="36">
        <f t="shared" si="216"/>
        <v>3.3043478260869563E-2</v>
      </c>
      <c r="I702" s="17">
        <v>89</v>
      </c>
      <c r="J702" s="36">
        <f t="shared" si="217"/>
        <v>9.0723751274209993E-2</v>
      </c>
      <c r="K702" s="17">
        <v>48</v>
      </c>
      <c r="L702" s="36">
        <f t="shared" si="218"/>
        <v>8.3478260869565224E-2</v>
      </c>
      <c r="M702" s="17">
        <v>867</v>
      </c>
      <c r="N702" s="36">
        <f t="shared" si="226"/>
        <v>0.88379204892966357</v>
      </c>
      <c r="O702" s="17">
        <v>508</v>
      </c>
      <c r="P702" s="36">
        <f t="shared" si="219"/>
        <v>0.88347826086956527</v>
      </c>
      <c r="Q702" s="17">
        <v>11</v>
      </c>
      <c r="R702" s="36">
        <f t="shared" si="227"/>
        <v>1.1213047910295617E-2</v>
      </c>
      <c r="S702" s="17">
        <v>10</v>
      </c>
      <c r="T702" s="36">
        <f t="shared" si="220"/>
        <v>1.7391304347826087E-2</v>
      </c>
      <c r="U702" s="17">
        <v>31</v>
      </c>
      <c r="V702" s="36">
        <f t="shared" si="228"/>
        <v>3.1600407747196739E-2</v>
      </c>
      <c r="W702" s="17">
        <v>15</v>
      </c>
      <c r="X702" s="36">
        <f t="shared" si="221"/>
        <v>2.6086956521739129E-2</v>
      </c>
      <c r="Y702" s="17">
        <v>712</v>
      </c>
      <c r="Z702" s="36">
        <f t="shared" si="229"/>
        <v>0.72579001019367995</v>
      </c>
      <c r="AA702" s="17">
        <v>426</v>
      </c>
      <c r="AB702" s="36">
        <f t="shared" si="222"/>
        <v>0.74086956521739133</v>
      </c>
      <c r="AC702" s="17">
        <v>158</v>
      </c>
      <c r="AD702" s="36">
        <f t="shared" si="230"/>
        <v>0.16106014271151886</v>
      </c>
      <c r="AE702" s="17">
        <v>93</v>
      </c>
      <c r="AF702" s="36">
        <f t="shared" si="223"/>
        <v>0.16173913043478261</v>
      </c>
      <c r="AG702" s="17">
        <v>59</v>
      </c>
      <c r="AH702" s="36">
        <f t="shared" si="231"/>
        <v>6.0142711518858305E-2</v>
      </c>
      <c r="AI702" s="17">
        <v>25</v>
      </c>
      <c r="AJ702" s="36">
        <f t="shared" si="224"/>
        <v>4.3478260869565216E-2</v>
      </c>
      <c r="AK702" s="17">
        <v>10</v>
      </c>
      <c r="AL702" s="36">
        <f t="shared" si="232"/>
        <v>1.0193679918450561E-2</v>
      </c>
      <c r="AM702" s="17">
        <v>6</v>
      </c>
      <c r="AN702" s="36">
        <f t="shared" si="225"/>
        <v>1.0434782608695653E-2</v>
      </c>
      <c r="AO702" s="17">
        <v>981</v>
      </c>
      <c r="AP702" s="17">
        <v>575</v>
      </c>
    </row>
    <row r="703" spans="1:42" ht="15.75" customHeight="1" x14ac:dyDescent="0.25">
      <c r="A703" s="37">
        <v>2019</v>
      </c>
      <c r="B703" s="35">
        <v>170105</v>
      </c>
      <c r="C703" s="34" t="s">
        <v>145</v>
      </c>
      <c r="D703" s="34" t="s">
        <v>11</v>
      </c>
      <c r="E703" s="17">
        <v>5</v>
      </c>
      <c r="F703" s="36">
        <f t="shared" si="215"/>
        <v>2.3474178403755867E-2</v>
      </c>
      <c r="G703" s="17">
        <v>3</v>
      </c>
      <c r="H703" s="36">
        <f t="shared" si="216"/>
        <v>2.9411764705882353E-2</v>
      </c>
      <c r="I703" s="17">
        <v>18</v>
      </c>
      <c r="J703" s="36">
        <f t="shared" si="217"/>
        <v>8.4507042253521125E-2</v>
      </c>
      <c r="K703" s="17">
        <v>7</v>
      </c>
      <c r="L703" s="36">
        <f t="shared" si="218"/>
        <v>6.8627450980392163E-2</v>
      </c>
      <c r="M703" s="17">
        <v>190</v>
      </c>
      <c r="N703" s="36">
        <f t="shared" si="226"/>
        <v>0.892018779342723</v>
      </c>
      <c r="O703" s="17">
        <v>92</v>
      </c>
      <c r="P703" s="36">
        <f t="shared" si="219"/>
        <v>0.90196078431372551</v>
      </c>
      <c r="Q703" s="17">
        <v>4</v>
      </c>
      <c r="R703" s="36">
        <f t="shared" si="227"/>
        <v>1.8779342723004695E-2</v>
      </c>
      <c r="S703" s="17">
        <v>0</v>
      </c>
      <c r="T703" s="36">
        <f t="shared" si="220"/>
        <v>0</v>
      </c>
      <c r="U703" s="17">
        <v>7</v>
      </c>
      <c r="V703" s="36">
        <f t="shared" si="228"/>
        <v>3.2863849765258218E-2</v>
      </c>
      <c r="W703" s="17">
        <v>0</v>
      </c>
      <c r="X703" s="36">
        <f t="shared" si="221"/>
        <v>0</v>
      </c>
      <c r="Y703" s="17">
        <v>159</v>
      </c>
      <c r="Z703" s="36">
        <f t="shared" si="229"/>
        <v>0.74647887323943662</v>
      </c>
      <c r="AA703" s="17">
        <v>80</v>
      </c>
      <c r="AB703" s="36">
        <f t="shared" si="222"/>
        <v>0.78431372549019607</v>
      </c>
      <c r="AC703" s="17">
        <v>29</v>
      </c>
      <c r="AD703" s="36">
        <f t="shared" si="230"/>
        <v>0.13615023474178403</v>
      </c>
      <c r="AE703" s="17">
        <v>19</v>
      </c>
      <c r="AF703" s="36">
        <f t="shared" si="223"/>
        <v>0.18627450980392157</v>
      </c>
      <c r="AG703" s="17">
        <v>14</v>
      </c>
      <c r="AH703" s="36">
        <f t="shared" si="231"/>
        <v>6.5727699530516437E-2</v>
      </c>
      <c r="AI703" s="17">
        <v>3</v>
      </c>
      <c r="AJ703" s="36">
        <f t="shared" si="224"/>
        <v>2.9411764705882353E-2</v>
      </c>
      <c r="AK703" s="17">
        <v>0</v>
      </c>
      <c r="AL703" s="36">
        <f t="shared" si="232"/>
        <v>0</v>
      </c>
      <c r="AM703" s="17">
        <v>0</v>
      </c>
      <c r="AN703" s="36">
        <f t="shared" si="225"/>
        <v>0</v>
      </c>
      <c r="AO703" s="17">
        <v>213</v>
      </c>
      <c r="AP703" s="17">
        <v>102</v>
      </c>
    </row>
    <row r="704" spans="1:42" ht="15.75" customHeight="1" x14ac:dyDescent="0.25">
      <c r="A704" s="37">
        <v>2019</v>
      </c>
      <c r="B704" s="35">
        <v>170110</v>
      </c>
      <c r="C704" s="34" t="s">
        <v>148</v>
      </c>
      <c r="D704" s="34" t="s">
        <v>12</v>
      </c>
      <c r="E704" s="17">
        <v>16</v>
      </c>
      <c r="F704" s="36">
        <f t="shared" si="215"/>
        <v>2.7972027972027972E-2</v>
      </c>
      <c r="G704" s="17">
        <v>2</v>
      </c>
      <c r="H704" s="36">
        <f t="shared" si="216"/>
        <v>1.2658227848101266E-2</v>
      </c>
      <c r="I704" s="17">
        <v>43</v>
      </c>
      <c r="J704" s="36">
        <f t="shared" si="217"/>
        <v>7.5174825174825169E-2</v>
      </c>
      <c r="K704" s="17">
        <v>10</v>
      </c>
      <c r="L704" s="36">
        <f t="shared" si="218"/>
        <v>6.3291139240506333E-2</v>
      </c>
      <c r="M704" s="17">
        <v>513</v>
      </c>
      <c r="N704" s="36">
        <f t="shared" si="226"/>
        <v>0.89685314685314688</v>
      </c>
      <c r="O704" s="17">
        <v>146</v>
      </c>
      <c r="P704" s="36">
        <f t="shared" si="219"/>
        <v>0.92405063291139244</v>
      </c>
      <c r="Q704" s="17">
        <v>8</v>
      </c>
      <c r="R704" s="36">
        <f t="shared" si="227"/>
        <v>1.3986013986013986E-2</v>
      </c>
      <c r="S704" s="17">
        <v>1</v>
      </c>
      <c r="T704" s="36">
        <f t="shared" si="220"/>
        <v>6.3291139240506328E-3</v>
      </c>
      <c r="U704" s="17">
        <v>25</v>
      </c>
      <c r="V704" s="36">
        <f t="shared" si="228"/>
        <v>4.3706293706293704E-2</v>
      </c>
      <c r="W704" s="17">
        <v>4</v>
      </c>
      <c r="X704" s="36">
        <f t="shared" si="221"/>
        <v>2.5316455696202531E-2</v>
      </c>
      <c r="Y704" s="17">
        <v>396</v>
      </c>
      <c r="Z704" s="36">
        <f t="shared" si="229"/>
        <v>0.69230769230769229</v>
      </c>
      <c r="AA704" s="17">
        <v>112</v>
      </c>
      <c r="AB704" s="36">
        <f t="shared" si="222"/>
        <v>0.70886075949367089</v>
      </c>
      <c r="AC704" s="17">
        <v>99</v>
      </c>
      <c r="AD704" s="36">
        <f t="shared" si="230"/>
        <v>0.17307692307692307</v>
      </c>
      <c r="AE704" s="17">
        <v>28</v>
      </c>
      <c r="AF704" s="36">
        <f t="shared" si="223"/>
        <v>0.17721518987341772</v>
      </c>
      <c r="AG704" s="17">
        <v>34</v>
      </c>
      <c r="AH704" s="36">
        <f t="shared" si="231"/>
        <v>5.944055944055944E-2</v>
      </c>
      <c r="AI704" s="17">
        <v>8</v>
      </c>
      <c r="AJ704" s="36">
        <f t="shared" si="224"/>
        <v>5.0632911392405063E-2</v>
      </c>
      <c r="AK704" s="17">
        <v>10</v>
      </c>
      <c r="AL704" s="36">
        <f t="shared" si="232"/>
        <v>1.7482517482517484E-2</v>
      </c>
      <c r="AM704" s="17">
        <v>5</v>
      </c>
      <c r="AN704" s="36">
        <f t="shared" si="225"/>
        <v>3.1645569620253167E-2</v>
      </c>
      <c r="AO704" s="17">
        <v>572</v>
      </c>
      <c r="AP704" s="17">
        <v>158</v>
      </c>
    </row>
    <row r="705" spans="1:42" ht="15.75" customHeight="1" x14ac:dyDescent="0.25">
      <c r="A705" s="37">
        <v>2019</v>
      </c>
      <c r="B705" s="35">
        <v>170130</v>
      </c>
      <c r="C705" s="34" t="s">
        <v>149</v>
      </c>
      <c r="D705" s="34" t="s">
        <v>13</v>
      </c>
      <c r="E705" s="17">
        <v>10</v>
      </c>
      <c r="F705" s="36">
        <f t="shared" si="215"/>
        <v>1.5432098765432098E-2</v>
      </c>
      <c r="G705" s="17">
        <v>5</v>
      </c>
      <c r="H705" s="36">
        <f t="shared" si="216"/>
        <v>2.3923444976076555E-2</v>
      </c>
      <c r="I705" s="17">
        <v>33</v>
      </c>
      <c r="J705" s="36">
        <f t="shared" si="217"/>
        <v>5.0925925925925923E-2</v>
      </c>
      <c r="K705" s="17">
        <v>11</v>
      </c>
      <c r="L705" s="36">
        <f t="shared" si="218"/>
        <v>5.2631578947368418E-2</v>
      </c>
      <c r="M705" s="17">
        <v>605</v>
      </c>
      <c r="N705" s="36">
        <f t="shared" si="226"/>
        <v>0.93364197530864201</v>
      </c>
      <c r="O705" s="17">
        <v>193</v>
      </c>
      <c r="P705" s="36">
        <f t="shared" si="219"/>
        <v>0.92344497607655507</v>
      </c>
      <c r="Q705" s="17">
        <v>7</v>
      </c>
      <c r="R705" s="36">
        <f t="shared" si="227"/>
        <v>1.0802469135802469E-2</v>
      </c>
      <c r="S705" s="17">
        <v>3</v>
      </c>
      <c r="T705" s="36">
        <f t="shared" si="220"/>
        <v>1.4354066985645933E-2</v>
      </c>
      <c r="U705" s="17">
        <v>22</v>
      </c>
      <c r="V705" s="36">
        <f t="shared" si="228"/>
        <v>3.3950617283950615E-2</v>
      </c>
      <c r="W705" s="17">
        <v>14</v>
      </c>
      <c r="X705" s="36">
        <f t="shared" si="221"/>
        <v>6.6985645933014357E-2</v>
      </c>
      <c r="Y705" s="17">
        <v>476</v>
      </c>
      <c r="Z705" s="36">
        <f t="shared" si="229"/>
        <v>0.73456790123456794</v>
      </c>
      <c r="AA705" s="17">
        <v>155</v>
      </c>
      <c r="AB705" s="36">
        <f t="shared" si="222"/>
        <v>0.74162679425837319</v>
      </c>
      <c r="AC705" s="17">
        <v>91</v>
      </c>
      <c r="AD705" s="36">
        <f t="shared" si="230"/>
        <v>0.14043209876543211</v>
      </c>
      <c r="AE705" s="17">
        <v>24</v>
      </c>
      <c r="AF705" s="36">
        <f t="shared" si="223"/>
        <v>0.11483253588516747</v>
      </c>
      <c r="AG705" s="17">
        <v>45</v>
      </c>
      <c r="AH705" s="36">
        <f t="shared" si="231"/>
        <v>6.9444444444444448E-2</v>
      </c>
      <c r="AI705" s="17">
        <v>9</v>
      </c>
      <c r="AJ705" s="36">
        <f t="shared" si="224"/>
        <v>4.3062200956937802E-2</v>
      </c>
      <c r="AK705" s="17">
        <v>7</v>
      </c>
      <c r="AL705" s="36">
        <f t="shared" si="232"/>
        <v>1.0802469135802469E-2</v>
      </c>
      <c r="AM705" s="17">
        <v>4</v>
      </c>
      <c r="AN705" s="36">
        <f t="shared" si="225"/>
        <v>1.9138755980861243E-2</v>
      </c>
      <c r="AO705" s="17">
        <v>648</v>
      </c>
      <c r="AP705" s="17">
        <v>209</v>
      </c>
    </row>
    <row r="706" spans="1:42" ht="15.75" customHeight="1" x14ac:dyDescent="0.25">
      <c r="A706" s="37">
        <v>2019</v>
      </c>
      <c r="B706" s="35">
        <v>170190</v>
      </c>
      <c r="C706" s="34" t="s">
        <v>144</v>
      </c>
      <c r="D706" s="34" t="s">
        <v>14</v>
      </c>
      <c r="E706" s="17">
        <v>5</v>
      </c>
      <c r="F706" s="36">
        <f t="shared" ref="F706:F769" si="233">IFERROR(E706/$AO706,0)</f>
        <v>1.1655011655011656E-2</v>
      </c>
      <c r="G706" s="17">
        <v>3</v>
      </c>
      <c r="H706" s="36">
        <f t="shared" ref="H706:H769" si="234">IFERROR(G706/$AP706,0)</f>
        <v>1.4778325123152709E-2</v>
      </c>
      <c r="I706" s="17">
        <v>18</v>
      </c>
      <c r="J706" s="36">
        <f t="shared" ref="J706:J769" si="235">IFERROR(I706/$AO706,0)</f>
        <v>4.195804195804196E-2</v>
      </c>
      <c r="K706" s="17">
        <v>10</v>
      </c>
      <c r="L706" s="36">
        <f t="shared" ref="L706:L769" si="236">IFERROR(K706/$AP706,0)</f>
        <v>4.9261083743842367E-2</v>
      </c>
      <c r="M706" s="17">
        <v>406</v>
      </c>
      <c r="N706" s="36">
        <f t="shared" si="226"/>
        <v>0.94638694638694643</v>
      </c>
      <c r="O706" s="17">
        <v>190</v>
      </c>
      <c r="P706" s="36">
        <f t="shared" ref="P706:P769" si="237">IFERROR(O706/$AP706,0)</f>
        <v>0.93596059113300489</v>
      </c>
      <c r="Q706" s="17">
        <v>2</v>
      </c>
      <c r="R706" s="36">
        <f t="shared" si="227"/>
        <v>4.662004662004662E-3</v>
      </c>
      <c r="S706" s="17">
        <v>2</v>
      </c>
      <c r="T706" s="36">
        <f t="shared" ref="T706:T769" si="238">IFERROR(S706/$AP706,0)</f>
        <v>9.852216748768473E-3</v>
      </c>
      <c r="U706" s="17">
        <v>14</v>
      </c>
      <c r="V706" s="36">
        <f t="shared" si="228"/>
        <v>3.2634032634032632E-2</v>
      </c>
      <c r="W706" s="17">
        <v>6</v>
      </c>
      <c r="X706" s="36">
        <f t="shared" ref="X706:X769" si="239">IFERROR(W706/$AP706,0)</f>
        <v>2.9556650246305417E-2</v>
      </c>
      <c r="Y706" s="17">
        <v>319</v>
      </c>
      <c r="Z706" s="36">
        <f t="shared" si="229"/>
        <v>0.74358974358974361</v>
      </c>
      <c r="AA706" s="17">
        <v>154</v>
      </c>
      <c r="AB706" s="36">
        <f t="shared" ref="AB706:AB769" si="240">IFERROR(AA706/$AP706,0)</f>
        <v>0.75862068965517238</v>
      </c>
      <c r="AC706" s="17">
        <v>66</v>
      </c>
      <c r="AD706" s="36">
        <f t="shared" si="230"/>
        <v>0.15384615384615385</v>
      </c>
      <c r="AE706" s="17">
        <v>30</v>
      </c>
      <c r="AF706" s="36">
        <f t="shared" ref="AF706:AF769" si="241">IFERROR(AE706/$AP706,0)</f>
        <v>0.14778325123152711</v>
      </c>
      <c r="AG706" s="17">
        <v>26</v>
      </c>
      <c r="AH706" s="36">
        <f t="shared" si="231"/>
        <v>6.0606060606060608E-2</v>
      </c>
      <c r="AI706" s="17">
        <v>10</v>
      </c>
      <c r="AJ706" s="36">
        <f t="shared" ref="AJ706:AJ769" si="242">IFERROR(AI706/$AP706,0)</f>
        <v>4.9261083743842367E-2</v>
      </c>
      <c r="AK706" s="17">
        <v>2</v>
      </c>
      <c r="AL706" s="36">
        <f t="shared" si="232"/>
        <v>4.662004662004662E-3</v>
      </c>
      <c r="AM706" s="17">
        <v>1</v>
      </c>
      <c r="AN706" s="36">
        <f t="shared" ref="AN706:AN769" si="243">IFERROR(AM706/$AP706,0)</f>
        <v>4.9261083743842365E-3</v>
      </c>
      <c r="AO706" s="17">
        <v>429</v>
      </c>
      <c r="AP706" s="17">
        <v>203</v>
      </c>
    </row>
    <row r="707" spans="1:42" ht="15.75" customHeight="1" x14ac:dyDescent="0.25">
      <c r="A707" s="37">
        <v>2019</v>
      </c>
      <c r="B707" s="35">
        <v>170200</v>
      </c>
      <c r="C707" s="34" t="s">
        <v>146</v>
      </c>
      <c r="D707" s="34" t="s">
        <v>15</v>
      </c>
      <c r="E707" s="17">
        <v>5</v>
      </c>
      <c r="F707" s="36">
        <f t="shared" si="233"/>
        <v>8.9605734767025085E-3</v>
      </c>
      <c r="G707" s="17">
        <v>1</v>
      </c>
      <c r="H707" s="36">
        <f t="shared" si="234"/>
        <v>6.7567567567567571E-3</v>
      </c>
      <c r="I707" s="17">
        <v>29</v>
      </c>
      <c r="J707" s="36">
        <f t="shared" si="235"/>
        <v>5.197132616487455E-2</v>
      </c>
      <c r="K707" s="17">
        <v>6</v>
      </c>
      <c r="L707" s="36">
        <f t="shared" si="236"/>
        <v>4.0540540540540543E-2</v>
      </c>
      <c r="M707" s="17">
        <v>524</v>
      </c>
      <c r="N707" s="36">
        <f t="shared" si="226"/>
        <v>0.93906810035842292</v>
      </c>
      <c r="O707" s="17">
        <v>141</v>
      </c>
      <c r="P707" s="36">
        <f t="shared" si="237"/>
        <v>0.95270270270270274</v>
      </c>
      <c r="Q707" s="17">
        <v>7</v>
      </c>
      <c r="R707" s="36">
        <f t="shared" si="227"/>
        <v>1.2544802867383513E-2</v>
      </c>
      <c r="S707" s="17">
        <v>3</v>
      </c>
      <c r="T707" s="36">
        <f t="shared" si="238"/>
        <v>2.0270270270270271E-2</v>
      </c>
      <c r="U707" s="17">
        <v>16</v>
      </c>
      <c r="V707" s="36">
        <f t="shared" si="228"/>
        <v>2.8673835125448029E-2</v>
      </c>
      <c r="W707" s="17">
        <v>8</v>
      </c>
      <c r="X707" s="36">
        <f t="shared" si="239"/>
        <v>5.4054054054054057E-2</v>
      </c>
      <c r="Y707" s="17">
        <v>365</v>
      </c>
      <c r="Z707" s="36">
        <f t="shared" si="229"/>
        <v>0.65412186379928317</v>
      </c>
      <c r="AA707" s="17">
        <v>97</v>
      </c>
      <c r="AB707" s="36">
        <f t="shared" si="240"/>
        <v>0.65540540540540537</v>
      </c>
      <c r="AC707" s="17">
        <v>96</v>
      </c>
      <c r="AD707" s="36">
        <f t="shared" si="230"/>
        <v>0.17204301075268819</v>
      </c>
      <c r="AE707" s="17">
        <v>28</v>
      </c>
      <c r="AF707" s="36">
        <f t="shared" si="241"/>
        <v>0.1891891891891892</v>
      </c>
      <c r="AG707" s="17">
        <v>54</v>
      </c>
      <c r="AH707" s="36">
        <f t="shared" si="231"/>
        <v>9.6774193548387094E-2</v>
      </c>
      <c r="AI707" s="17">
        <v>10</v>
      </c>
      <c r="AJ707" s="36">
        <f t="shared" si="242"/>
        <v>6.7567567567567571E-2</v>
      </c>
      <c r="AK707" s="17">
        <v>20</v>
      </c>
      <c r="AL707" s="36">
        <f t="shared" si="232"/>
        <v>3.5842293906810034E-2</v>
      </c>
      <c r="AM707" s="17">
        <v>2</v>
      </c>
      <c r="AN707" s="36">
        <f t="shared" si="243"/>
        <v>1.3513513513513514E-2</v>
      </c>
      <c r="AO707" s="17">
        <v>558</v>
      </c>
      <c r="AP707" s="17">
        <v>148</v>
      </c>
    </row>
    <row r="708" spans="1:42" ht="15.75" customHeight="1" x14ac:dyDescent="0.25">
      <c r="A708" s="37">
        <v>2019</v>
      </c>
      <c r="B708" s="35">
        <v>170210</v>
      </c>
      <c r="C708" s="34" t="s">
        <v>149</v>
      </c>
      <c r="D708" s="34" t="s">
        <v>16</v>
      </c>
      <c r="E708" s="17">
        <v>52</v>
      </c>
      <c r="F708" s="36">
        <f t="shared" si="233"/>
        <v>1.1381046180783541E-2</v>
      </c>
      <c r="G708" s="17">
        <v>25</v>
      </c>
      <c r="H708" s="36">
        <f t="shared" si="234"/>
        <v>1.0588733587462939E-2</v>
      </c>
      <c r="I708" s="17">
        <v>171</v>
      </c>
      <c r="J708" s="36">
        <f t="shared" si="235"/>
        <v>3.7426132632961261E-2</v>
      </c>
      <c r="K708" s="17">
        <v>55</v>
      </c>
      <c r="L708" s="36">
        <f t="shared" si="236"/>
        <v>2.3295213892418468E-2</v>
      </c>
      <c r="M708" s="16">
        <v>4346</v>
      </c>
      <c r="N708" s="36">
        <f t="shared" si="226"/>
        <v>0.95119282118625514</v>
      </c>
      <c r="O708" s="16">
        <v>2281</v>
      </c>
      <c r="P708" s="36">
        <f t="shared" si="237"/>
        <v>0.96611605252011856</v>
      </c>
      <c r="Q708" s="17">
        <v>56</v>
      </c>
      <c r="R708" s="36">
        <f t="shared" si="227"/>
        <v>1.2256511271613044E-2</v>
      </c>
      <c r="S708" s="17">
        <v>23</v>
      </c>
      <c r="T708" s="36">
        <f t="shared" si="238"/>
        <v>9.741634900465904E-3</v>
      </c>
      <c r="U708" s="17">
        <v>163</v>
      </c>
      <c r="V708" s="36">
        <f t="shared" si="228"/>
        <v>3.5675202451302256E-2</v>
      </c>
      <c r="W708" s="17">
        <v>54</v>
      </c>
      <c r="X708" s="36">
        <f t="shared" si="239"/>
        <v>2.2871664548919948E-2</v>
      </c>
      <c r="Y708" s="16">
        <v>3368</v>
      </c>
      <c r="Z708" s="36">
        <f t="shared" si="229"/>
        <v>0.73714160647844162</v>
      </c>
      <c r="AA708" s="16">
        <v>1883</v>
      </c>
      <c r="AB708" s="36">
        <f t="shared" si="240"/>
        <v>0.79754341380770855</v>
      </c>
      <c r="AC708" s="17">
        <v>687</v>
      </c>
      <c r="AD708" s="36">
        <f t="shared" si="230"/>
        <v>0.15036112934996718</v>
      </c>
      <c r="AE708" s="17">
        <v>318</v>
      </c>
      <c r="AF708" s="36">
        <f t="shared" si="241"/>
        <v>0.13468869123252858</v>
      </c>
      <c r="AG708" s="17">
        <v>244</v>
      </c>
      <c r="AH708" s="36">
        <f t="shared" si="231"/>
        <v>5.3403370540599696E-2</v>
      </c>
      <c r="AI708" s="17">
        <v>71</v>
      </c>
      <c r="AJ708" s="36">
        <f t="shared" si="242"/>
        <v>3.0072003388394747E-2</v>
      </c>
      <c r="AK708" s="17">
        <v>51</v>
      </c>
      <c r="AL708" s="36">
        <f t="shared" si="232"/>
        <v>1.1162179908076166E-2</v>
      </c>
      <c r="AM708" s="17">
        <v>12</v>
      </c>
      <c r="AN708" s="36">
        <f t="shared" si="243"/>
        <v>5.0825921219822112E-3</v>
      </c>
      <c r="AO708" s="16">
        <v>4569</v>
      </c>
      <c r="AP708" s="16">
        <v>2361</v>
      </c>
    </row>
    <row r="709" spans="1:42" ht="15.75" customHeight="1" x14ac:dyDescent="0.25">
      <c r="A709" s="37">
        <v>2019</v>
      </c>
      <c r="B709" s="35">
        <v>170215</v>
      </c>
      <c r="C709" s="34" t="s">
        <v>149</v>
      </c>
      <c r="D709" s="34" t="s">
        <v>17</v>
      </c>
      <c r="E709" s="17">
        <v>12</v>
      </c>
      <c r="F709" s="36">
        <f t="shared" si="233"/>
        <v>1.7045454545454544E-2</v>
      </c>
      <c r="G709" s="17">
        <v>5</v>
      </c>
      <c r="H709" s="36">
        <f t="shared" si="234"/>
        <v>1.8450184501845018E-2</v>
      </c>
      <c r="I709" s="17">
        <v>47</v>
      </c>
      <c r="J709" s="36">
        <f t="shared" si="235"/>
        <v>6.6761363636363633E-2</v>
      </c>
      <c r="K709" s="17">
        <v>14</v>
      </c>
      <c r="L709" s="36">
        <f t="shared" si="236"/>
        <v>5.1660516605166053E-2</v>
      </c>
      <c r="M709" s="17">
        <v>645</v>
      </c>
      <c r="N709" s="36">
        <f t="shared" si="226"/>
        <v>0.91619318181818177</v>
      </c>
      <c r="O709" s="17">
        <v>252</v>
      </c>
      <c r="P709" s="36">
        <f t="shared" si="237"/>
        <v>0.92988929889298888</v>
      </c>
      <c r="Q709" s="17">
        <v>5</v>
      </c>
      <c r="R709" s="36">
        <f t="shared" si="227"/>
        <v>7.102272727272727E-3</v>
      </c>
      <c r="S709" s="17">
        <v>4</v>
      </c>
      <c r="T709" s="36">
        <f t="shared" si="238"/>
        <v>1.4760147601476014E-2</v>
      </c>
      <c r="U709" s="17">
        <v>28</v>
      </c>
      <c r="V709" s="36">
        <f t="shared" si="228"/>
        <v>3.9772727272727272E-2</v>
      </c>
      <c r="W709" s="17">
        <v>7</v>
      </c>
      <c r="X709" s="36">
        <f t="shared" si="239"/>
        <v>2.5830258302583026E-2</v>
      </c>
      <c r="Y709" s="17">
        <v>527</v>
      </c>
      <c r="Z709" s="36">
        <f t="shared" si="229"/>
        <v>0.74857954545454541</v>
      </c>
      <c r="AA709" s="17">
        <v>206</v>
      </c>
      <c r="AB709" s="36">
        <f t="shared" si="240"/>
        <v>0.76014760147601479</v>
      </c>
      <c r="AC709" s="17">
        <v>90</v>
      </c>
      <c r="AD709" s="36">
        <f t="shared" si="230"/>
        <v>0.12784090909090909</v>
      </c>
      <c r="AE709" s="17">
        <v>37</v>
      </c>
      <c r="AF709" s="36">
        <f t="shared" si="241"/>
        <v>0.13653136531365315</v>
      </c>
      <c r="AG709" s="17">
        <v>46</v>
      </c>
      <c r="AH709" s="36">
        <f t="shared" si="231"/>
        <v>6.5340909090909088E-2</v>
      </c>
      <c r="AI709" s="17">
        <v>16</v>
      </c>
      <c r="AJ709" s="36">
        <f t="shared" si="242"/>
        <v>5.9040590405904057E-2</v>
      </c>
      <c r="AK709" s="17">
        <v>8</v>
      </c>
      <c r="AL709" s="36">
        <f t="shared" si="232"/>
        <v>1.1363636363636364E-2</v>
      </c>
      <c r="AM709" s="17">
        <v>1</v>
      </c>
      <c r="AN709" s="36">
        <f t="shared" si="243"/>
        <v>3.6900369003690036E-3</v>
      </c>
      <c r="AO709" s="17">
        <v>704</v>
      </c>
      <c r="AP709" s="17">
        <v>271</v>
      </c>
    </row>
    <row r="710" spans="1:42" ht="15.75" customHeight="1" x14ac:dyDescent="0.25">
      <c r="A710" s="37">
        <v>2019</v>
      </c>
      <c r="B710" s="35">
        <v>170220</v>
      </c>
      <c r="C710" s="34" t="s">
        <v>145</v>
      </c>
      <c r="D710" s="34" t="s">
        <v>18</v>
      </c>
      <c r="E710" s="17">
        <v>50</v>
      </c>
      <c r="F710" s="36">
        <f t="shared" si="233"/>
        <v>2.0542317173377157E-2</v>
      </c>
      <c r="G710" s="17">
        <v>23</v>
      </c>
      <c r="H710" s="36">
        <f t="shared" si="234"/>
        <v>1.8898931799506986E-2</v>
      </c>
      <c r="I710" s="17">
        <v>184</v>
      </c>
      <c r="J710" s="36">
        <f t="shared" si="235"/>
        <v>7.5595727198027943E-2</v>
      </c>
      <c r="K710" s="17">
        <v>91</v>
      </c>
      <c r="L710" s="36">
        <f t="shared" si="236"/>
        <v>7.4774034511092852E-2</v>
      </c>
      <c r="M710" s="16">
        <v>2200</v>
      </c>
      <c r="N710" s="36">
        <f t="shared" si="226"/>
        <v>0.90386195562859495</v>
      </c>
      <c r="O710" s="16">
        <v>1103</v>
      </c>
      <c r="P710" s="36">
        <f t="shared" si="237"/>
        <v>0.90632703368940015</v>
      </c>
      <c r="Q710" s="17">
        <v>28</v>
      </c>
      <c r="R710" s="36">
        <f t="shared" si="227"/>
        <v>1.1503697617091208E-2</v>
      </c>
      <c r="S710" s="17">
        <v>14</v>
      </c>
      <c r="T710" s="36">
        <f t="shared" si="238"/>
        <v>1.1503697617091208E-2</v>
      </c>
      <c r="U710" s="17">
        <v>130</v>
      </c>
      <c r="V710" s="36">
        <f t="shared" si="228"/>
        <v>5.341002465078061E-2</v>
      </c>
      <c r="W710" s="17">
        <v>69</v>
      </c>
      <c r="X710" s="36">
        <f t="shared" si="239"/>
        <v>5.6696795398520954E-2</v>
      </c>
      <c r="Y710" s="16">
        <v>1798</v>
      </c>
      <c r="Z710" s="36">
        <f t="shared" si="229"/>
        <v>0.73870172555464253</v>
      </c>
      <c r="AA710" s="17">
        <v>912</v>
      </c>
      <c r="AB710" s="36">
        <f t="shared" si="240"/>
        <v>0.74938373048479867</v>
      </c>
      <c r="AC710" s="17">
        <v>343</v>
      </c>
      <c r="AD710" s="36">
        <f t="shared" si="230"/>
        <v>0.1409202958093673</v>
      </c>
      <c r="AE710" s="17">
        <v>162</v>
      </c>
      <c r="AF710" s="36">
        <f t="shared" si="241"/>
        <v>0.13311421528348397</v>
      </c>
      <c r="AG710" s="17">
        <v>114</v>
      </c>
      <c r="AH710" s="36">
        <f t="shared" si="231"/>
        <v>4.6836483155299917E-2</v>
      </c>
      <c r="AI710" s="17">
        <v>50</v>
      </c>
      <c r="AJ710" s="36">
        <f t="shared" si="242"/>
        <v>4.1084634346754315E-2</v>
      </c>
      <c r="AK710" s="17">
        <v>21</v>
      </c>
      <c r="AL710" s="36">
        <f t="shared" si="232"/>
        <v>8.6277732128184053E-3</v>
      </c>
      <c r="AM710" s="17">
        <v>10</v>
      </c>
      <c r="AN710" s="36">
        <f t="shared" si="243"/>
        <v>8.2169268693508633E-3</v>
      </c>
      <c r="AO710" s="16">
        <v>2434</v>
      </c>
      <c r="AP710" s="16">
        <v>1217</v>
      </c>
    </row>
    <row r="711" spans="1:42" ht="15.75" customHeight="1" x14ac:dyDescent="0.25">
      <c r="A711" s="37">
        <v>2019</v>
      </c>
      <c r="B711" s="35">
        <v>170230</v>
      </c>
      <c r="C711" s="34" t="s">
        <v>150</v>
      </c>
      <c r="D711" s="34" t="s">
        <v>19</v>
      </c>
      <c r="E711" s="17">
        <v>4</v>
      </c>
      <c r="F711" s="36">
        <f t="shared" si="233"/>
        <v>1.3698630136986301E-2</v>
      </c>
      <c r="G711" s="17">
        <v>2</v>
      </c>
      <c r="H711" s="36">
        <f t="shared" si="234"/>
        <v>1.8518518518518517E-2</v>
      </c>
      <c r="I711" s="17">
        <v>23</v>
      </c>
      <c r="J711" s="36">
        <f t="shared" si="235"/>
        <v>7.8767123287671229E-2</v>
      </c>
      <c r="K711" s="17">
        <v>7</v>
      </c>
      <c r="L711" s="36">
        <f t="shared" si="236"/>
        <v>6.4814814814814811E-2</v>
      </c>
      <c r="M711" s="17">
        <v>265</v>
      </c>
      <c r="N711" s="36">
        <f t="shared" si="226"/>
        <v>0.90753424657534243</v>
      </c>
      <c r="O711" s="17">
        <v>99</v>
      </c>
      <c r="P711" s="36">
        <f t="shared" si="237"/>
        <v>0.91666666666666663</v>
      </c>
      <c r="Q711" s="17">
        <v>1</v>
      </c>
      <c r="R711" s="36">
        <f t="shared" si="227"/>
        <v>3.4246575342465752E-3</v>
      </c>
      <c r="S711" s="17">
        <v>0</v>
      </c>
      <c r="T711" s="36">
        <f t="shared" si="238"/>
        <v>0</v>
      </c>
      <c r="U711" s="17">
        <v>8</v>
      </c>
      <c r="V711" s="36">
        <f t="shared" si="228"/>
        <v>2.7397260273972601E-2</v>
      </c>
      <c r="W711" s="17">
        <v>2</v>
      </c>
      <c r="X711" s="36">
        <f t="shared" si="239"/>
        <v>1.8518518518518517E-2</v>
      </c>
      <c r="Y711" s="17">
        <v>204</v>
      </c>
      <c r="Z711" s="36">
        <f t="shared" si="229"/>
        <v>0.69863013698630139</v>
      </c>
      <c r="AA711" s="17">
        <v>82</v>
      </c>
      <c r="AB711" s="36">
        <f t="shared" si="240"/>
        <v>0.7592592592592593</v>
      </c>
      <c r="AC711" s="17">
        <v>47</v>
      </c>
      <c r="AD711" s="36">
        <f t="shared" si="230"/>
        <v>0.16095890410958905</v>
      </c>
      <c r="AE711" s="17">
        <v>12</v>
      </c>
      <c r="AF711" s="36">
        <f t="shared" si="241"/>
        <v>0.1111111111111111</v>
      </c>
      <c r="AG711" s="17">
        <v>24</v>
      </c>
      <c r="AH711" s="36">
        <f t="shared" si="231"/>
        <v>8.2191780821917804E-2</v>
      </c>
      <c r="AI711" s="17">
        <v>7</v>
      </c>
      <c r="AJ711" s="36">
        <f t="shared" si="242"/>
        <v>6.4814814814814811E-2</v>
      </c>
      <c r="AK711" s="17">
        <v>8</v>
      </c>
      <c r="AL711" s="36">
        <f t="shared" si="232"/>
        <v>2.7397260273972601E-2</v>
      </c>
      <c r="AM711" s="17">
        <v>5</v>
      </c>
      <c r="AN711" s="36">
        <f t="shared" si="243"/>
        <v>4.6296296296296294E-2</v>
      </c>
      <c r="AO711" s="17">
        <v>292</v>
      </c>
      <c r="AP711" s="17">
        <v>108</v>
      </c>
    </row>
    <row r="712" spans="1:42" ht="15.75" customHeight="1" x14ac:dyDescent="0.25">
      <c r="A712" s="37">
        <v>2019</v>
      </c>
      <c r="B712" s="35">
        <v>170240</v>
      </c>
      <c r="C712" s="34" t="s">
        <v>147</v>
      </c>
      <c r="D712" s="34" t="s">
        <v>20</v>
      </c>
      <c r="E712" s="17">
        <v>12</v>
      </c>
      <c r="F712" s="36">
        <f t="shared" si="233"/>
        <v>2.0338983050847456E-2</v>
      </c>
      <c r="G712" s="17">
        <v>13</v>
      </c>
      <c r="H712" s="36">
        <f t="shared" si="234"/>
        <v>3.140096618357488E-2</v>
      </c>
      <c r="I712" s="17">
        <v>17</v>
      </c>
      <c r="J712" s="36">
        <f t="shared" si="235"/>
        <v>2.8813559322033899E-2</v>
      </c>
      <c r="K712" s="17">
        <v>12</v>
      </c>
      <c r="L712" s="36">
        <f t="shared" si="236"/>
        <v>2.8985507246376812E-2</v>
      </c>
      <c r="M712" s="17">
        <v>561</v>
      </c>
      <c r="N712" s="36">
        <f t="shared" si="226"/>
        <v>0.95084745762711864</v>
      </c>
      <c r="O712" s="17">
        <v>389</v>
      </c>
      <c r="P712" s="36">
        <f t="shared" si="237"/>
        <v>0.93961352657004826</v>
      </c>
      <c r="Q712" s="17">
        <v>0</v>
      </c>
      <c r="R712" s="36">
        <f t="shared" si="227"/>
        <v>0</v>
      </c>
      <c r="S712" s="17">
        <v>0</v>
      </c>
      <c r="T712" s="36">
        <f t="shared" si="238"/>
        <v>0</v>
      </c>
      <c r="U712" s="17">
        <v>25</v>
      </c>
      <c r="V712" s="36">
        <f t="shared" si="228"/>
        <v>4.2372881355932202E-2</v>
      </c>
      <c r="W712" s="17">
        <v>16</v>
      </c>
      <c r="X712" s="36">
        <f t="shared" si="239"/>
        <v>3.864734299516908E-2</v>
      </c>
      <c r="Y712" s="17">
        <v>431</v>
      </c>
      <c r="Z712" s="36">
        <f t="shared" si="229"/>
        <v>0.73050847457627122</v>
      </c>
      <c r="AA712" s="17">
        <v>306</v>
      </c>
      <c r="AB712" s="36">
        <f t="shared" si="240"/>
        <v>0.73913043478260865</v>
      </c>
      <c r="AC712" s="17">
        <v>98</v>
      </c>
      <c r="AD712" s="36">
        <f t="shared" si="230"/>
        <v>0.16610169491525423</v>
      </c>
      <c r="AE712" s="17">
        <v>69</v>
      </c>
      <c r="AF712" s="36">
        <f t="shared" si="241"/>
        <v>0.16666666666666666</v>
      </c>
      <c r="AG712" s="17">
        <v>33</v>
      </c>
      <c r="AH712" s="36">
        <f t="shared" si="231"/>
        <v>5.5932203389830508E-2</v>
      </c>
      <c r="AI712" s="17">
        <v>20</v>
      </c>
      <c r="AJ712" s="36">
        <f t="shared" si="242"/>
        <v>4.8309178743961352E-2</v>
      </c>
      <c r="AK712" s="17">
        <v>3</v>
      </c>
      <c r="AL712" s="36">
        <f t="shared" si="232"/>
        <v>5.084745762711864E-3</v>
      </c>
      <c r="AM712" s="17">
        <v>3</v>
      </c>
      <c r="AN712" s="36">
        <f t="shared" si="243"/>
        <v>7.246376811594203E-3</v>
      </c>
      <c r="AO712" s="17">
        <v>590</v>
      </c>
      <c r="AP712" s="17">
        <v>414</v>
      </c>
    </row>
    <row r="713" spans="1:42" ht="15.75" customHeight="1" x14ac:dyDescent="0.25">
      <c r="A713" s="37">
        <v>2019</v>
      </c>
      <c r="B713" s="35">
        <v>170255</v>
      </c>
      <c r="C713" s="34" t="s">
        <v>145</v>
      </c>
      <c r="D713" s="34" t="s">
        <v>21</v>
      </c>
      <c r="E713" s="17">
        <v>11</v>
      </c>
      <c r="F713" s="36">
        <f t="shared" si="233"/>
        <v>7.9422382671480145E-3</v>
      </c>
      <c r="G713" s="17">
        <v>5</v>
      </c>
      <c r="H713" s="36">
        <f t="shared" si="234"/>
        <v>8.9445438282647581E-3</v>
      </c>
      <c r="I713" s="17">
        <v>88</v>
      </c>
      <c r="J713" s="36">
        <f t="shared" si="235"/>
        <v>6.3537906137184116E-2</v>
      </c>
      <c r="K713" s="17">
        <v>38</v>
      </c>
      <c r="L713" s="36">
        <f t="shared" si="236"/>
        <v>6.7978533094812166E-2</v>
      </c>
      <c r="M713" s="16">
        <v>1286</v>
      </c>
      <c r="N713" s="36">
        <f t="shared" si="226"/>
        <v>0.92851985559566785</v>
      </c>
      <c r="O713" s="17">
        <v>516</v>
      </c>
      <c r="P713" s="36">
        <f t="shared" si="237"/>
        <v>0.92307692307692313</v>
      </c>
      <c r="Q713" s="17">
        <v>24</v>
      </c>
      <c r="R713" s="36">
        <f t="shared" si="227"/>
        <v>1.7328519855595668E-2</v>
      </c>
      <c r="S713" s="17">
        <v>14</v>
      </c>
      <c r="T713" s="36">
        <f t="shared" si="238"/>
        <v>2.5044722719141325E-2</v>
      </c>
      <c r="U713" s="17">
        <v>61</v>
      </c>
      <c r="V713" s="36">
        <f t="shared" si="228"/>
        <v>4.4043321299638991E-2</v>
      </c>
      <c r="W713" s="17">
        <v>25</v>
      </c>
      <c r="X713" s="36">
        <f t="shared" si="239"/>
        <v>4.4722719141323794E-2</v>
      </c>
      <c r="Y713" s="16">
        <v>1048</v>
      </c>
      <c r="Z713" s="36">
        <f t="shared" si="229"/>
        <v>0.75667870036101081</v>
      </c>
      <c r="AA713" s="17">
        <v>425</v>
      </c>
      <c r="AB713" s="36">
        <f t="shared" si="240"/>
        <v>0.76028622540250446</v>
      </c>
      <c r="AC713" s="17">
        <v>162</v>
      </c>
      <c r="AD713" s="36">
        <f t="shared" si="230"/>
        <v>0.11696750902527075</v>
      </c>
      <c r="AE713" s="17">
        <v>61</v>
      </c>
      <c r="AF713" s="36">
        <f t="shared" si="241"/>
        <v>0.10912343470483005</v>
      </c>
      <c r="AG713" s="17">
        <v>78</v>
      </c>
      <c r="AH713" s="36">
        <f t="shared" si="231"/>
        <v>5.6317689530685923E-2</v>
      </c>
      <c r="AI713" s="17">
        <v>28</v>
      </c>
      <c r="AJ713" s="36">
        <f t="shared" si="242"/>
        <v>5.008944543828265E-2</v>
      </c>
      <c r="AK713" s="17">
        <v>12</v>
      </c>
      <c r="AL713" s="36">
        <f t="shared" si="232"/>
        <v>8.6642599277978339E-3</v>
      </c>
      <c r="AM713" s="17">
        <v>6</v>
      </c>
      <c r="AN713" s="36">
        <f t="shared" si="243"/>
        <v>1.0733452593917709E-2</v>
      </c>
      <c r="AO713" s="16">
        <v>1385</v>
      </c>
      <c r="AP713" s="17">
        <v>559</v>
      </c>
    </row>
    <row r="714" spans="1:42" ht="15.75" customHeight="1" x14ac:dyDescent="0.25">
      <c r="A714" s="37">
        <v>2019</v>
      </c>
      <c r="B714" s="35">
        <v>170270</v>
      </c>
      <c r="C714" s="34" t="s">
        <v>147</v>
      </c>
      <c r="D714" s="34" t="s">
        <v>22</v>
      </c>
      <c r="E714" s="17">
        <v>3</v>
      </c>
      <c r="F714" s="36">
        <f t="shared" si="233"/>
        <v>1.3452914798206279E-2</v>
      </c>
      <c r="G714" s="17">
        <v>3</v>
      </c>
      <c r="H714" s="36">
        <f t="shared" si="234"/>
        <v>1.8987341772151899E-2</v>
      </c>
      <c r="I714" s="17">
        <v>5</v>
      </c>
      <c r="J714" s="36">
        <f t="shared" si="235"/>
        <v>2.2421524663677129E-2</v>
      </c>
      <c r="K714" s="17">
        <v>2</v>
      </c>
      <c r="L714" s="36">
        <f t="shared" si="236"/>
        <v>1.2658227848101266E-2</v>
      </c>
      <c r="M714" s="17">
        <v>215</v>
      </c>
      <c r="N714" s="36">
        <f t="shared" si="226"/>
        <v>0.9641255605381166</v>
      </c>
      <c r="O714" s="17">
        <v>153</v>
      </c>
      <c r="P714" s="36">
        <f t="shared" si="237"/>
        <v>0.96835443037974689</v>
      </c>
      <c r="Q714" s="17">
        <v>2</v>
      </c>
      <c r="R714" s="36">
        <f t="shared" si="227"/>
        <v>8.9686098654708519E-3</v>
      </c>
      <c r="S714" s="17">
        <v>2</v>
      </c>
      <c r="T714" s="36">
        <f t="shared" si="238"/>
        <v>1.2658227848101266E-2</v>
      </c>
      <c r="U714" s="17">
        <v>13</v>
      </c>
      <c r="V714" s="36">
        <f t="shared" si="228"/>
        <v>5.829596412556054E-2</v>
      </c>
      <c r="W714" s="17">
        <v>9</v>
      </c>
      <c r="X714" s="36">
        <f t="shared" si="239"/>
        <v>5.6962025316455694E-2</v>
      </c>
      <c r="Y714" s="17">
        <v>167</v>
      </c>
      <c r="Z714" s="36">
        <f t="shared" si="229"/>
        <v>0.7488789237668162</v>
      </c>
      <c r="AA714" s="17">
        <v>116</v>
      </c>
      <c r="AB714" s="36">
        <f t="shared" si="240"/>
        <v>0.73417721518987344</v>
      </c>
      <c r="AC714" s="17">
        <v>26</v>
      </c>
      <c r="AD714" s="36">
        <f t="shared" si="230"/>
        <v>0.11659192825112108</v>
      </c>
      <c r="AE714" s="17">
        <v>22</v>
      </c>
      <c r="AF714" s="36">
        <f t="shared" si="241"/>
        <v>0.13924050632911392</v>
      </c>
      <c r="AG714" s="17">
        <v>13</v>
      </c>
      <c r="AH714" s="36">
        <f t="shared" si="231"/>
        <v>5.829596412556054E-2</v>
      </c>
      <c r="AI714" s="17">
        <v>8</v>
      </c>
      <c r="AJ714" s="36">
        <f t="shared" si="242"/>
        <v>5.0632911392405063E-2</v>
      </c>
      <c r="AK714" s="17">
        <v>2</v>
      </c>
      <c r="AL714" s="36">
        <f t="shared" si="232"/>
        <v>8.9686098654708519E-3</v>
      </c>
      <c r="AM714" s="17">
        <v>1</v>
      </c>
      <c r="AN714" s="36">
        <f t="shared" si="243"/>
        <v>6.3291139240506328E-3</v>
      </c>
      <c r="AO714" s="17">
        <v>223</v>
      </c>
      <c r="AP714" s="17">
        <v>158</v>
      </c>
    </row>
    <row r="715" spans="1:42" ht="15.75" customHeight="1" x14ac:dyDescent="0.25">
      <c r="A715" s="37">
        <v>2019</v>
      </c>
      <c r="B715" s="35">
        <v>170290</v>
      </c>
      <c r="C715" s="34" t="s">
        <v>145</v>
      </c>
      <c r="D715" s="34" t="s">
        <v>23</v>
      </c>
      <c r="E715" s="17">
        <v>14</v>
      </c>
      <c r="F715" s="36">
        <f t="shared" si="233"/>
        <v>1.891891891891892E-2</v>
      </c>
      <c r="G715" s="17">
        <v>13</v>
      </c>
      <c r="H715" s="36">
        <f t="shared" si="234"/>
        <v>2.037617554858934E-2</v>
      </c>
      <c r="I715" s="17">
        <v>75</v>
      </c>
      <c r="J715" s="36">
        <f t="shared" si="235"/>
        <v>0.10135135135135136</v>
      </c>
      <c r="K715" s="17">
        <v>61</v>
      </c>
      <c r="L715" s="36">
        <f t="shared" si="236"/>
        <v>9.561128526645768E-2</v>
      </c>
      <c r="M715" s="17">
        <v>651</v>
      </c>
      <c r="N715" s="36">
        <f t="shared" si="226"/>
        <v>0.87972972972972974</v>
      </c>
      <c r="O715" s="17">
        <v>564</v>
      </c>
      <c r="P715" s="36">
        <f t="shared" si="237"/>
        <v>0.88401253918495293</v>
      </c>
      <c r="Q715" s="17">
        <v>4</v>
      </c>
      <c r="R715" s="36">
        <f t="shared" si="227"/>
        <v>5.4054054054054057E-3</v>
      </c>
      <c r="S715" s="17">
        <v>5</v>
      </c>
      <c r="T715" s="36">
        <f t="shared" si="238"/>
        <v>7.8369905956112845E-3</v>
      </c>
      <c r="U715" s="17">
        <v>30</v>
      </c>
      <c r="V715" s="36">
        <f t="shared" si="228"/>
        <v>4.0540540540540543E-2</v>
      </c>
      <c r="W715" s="17">
        <v>21</v>
      </c>
      <c r="X715" s="36">
        <f t="shared" si="239"/>
        <v>3.2915360501567396E-2</v>
      </c>
      <c r="Y715" s="17">
        <v>563</v>
      </c>
      <c r="Z715" s="36">
        <f t="shared" si="229"/>
        <v>0.76081081081081081</v>
      </c>
      <c r="AA715" s="17">
        <v>486</v>
      </c>
      <c r="AB715" s="36">
        <f t="shared" si="240"/>
        <v>0.76175548589341691</v>
      </c>
      <c r="AC715" s="17">
        <v>107</v>
      </c>
      <c r="AD715" s="36">
        <f t="shared" si="230"/>
        <v>0.14459459459459459</v>
      </c>
      <c r="AE715" s="17">
        <v>93</v>
      </c>
      <c r="AF715" s="36">
        <f t="shared" si="241"/>
        <v>0.14576802507836992</v>
      </c>
      <c r="AG715" s="17">
        <v>31</v>
      </c>
      <c r="AH715" s="36">
        <f t="shared" si="231"/>
        <v>4.1891891891891894E-2</v>
      </c>
      <c r="AI715" s="17">
        <v>28</v>
      </c>
      <c r="AJ715" s="36">
        <f t="shared" si="242"/>
        <v>4.3887147335423198E-2</v>
      </c>
      <c r="AK715" s="17">
        <v>5</v>
      </c>
      <c r="AL715" s="36">
        <f t="shared" si="232"/>
        <v>6.7567567567567571E-3</v>
      </c>
      <c r="AM715" s="17">
        <v>5</v>
      </c>
      <c r="AN715" s="36">
        <f t="shared" si="243"/>
        <v>7.8369905956112845E-3</v>
      </c>
      <c r="AO715" s="17">
        <v>740</v>
      </c>
      <c r="AP715" s="17">
        <v>638</v>
      </c>
    </row>
    <row r="716" spans="1:42" ht="15.75" customHeight="1" x14ac:dyDescent="0.25">
      <c r="A716" s="37">
        <v>2019</v>
      </c>
      <c r="B716" s="35">
        <v>170300</v>
      </c>
      <c r="C716" s="34" t="s">
        <v>149</v>
      </c>
      <c r="D716" s="34" t="s">
        <v>24</v>
      </c>
      <c r="E716" s="17">
        <v>11</v>
      </c>
      <c r="F716" s="36">
        <f t="shared" si="233"/>
        <v>2.2267206477732792E-2</v>
      </c>
      <c r="G716" s="17">
        <v>9</v>
      </c>
      <c r="H716" s="36">
        <f t="shared" si="234"/>
        <v>2.3936170212765957E-2</v>
      </c>
      <c r="I716" s="17">
        <v>43</v>
      </c>
      <c r="J716" s="36">
        <f t="shared" si="235"/>
        <v>8.7044534412955468E-2</v>
      </c>
      <c r="K716" s="17">
        <v>32</v>
      </c>
      <c r="L716" s="36">
        <f t="shared" si="236"/>
        <v>8.5106382978723402E-2</v>
      </c>
      <c r="M716" s="17">
        <v>440</v>
      </c>
      <c r="N716" s="36">
        <f t="shared" si="226"/>
        <v>0.89068825910931171</v>
      </c>
      <c r="O716" s="17">
        <v>335</v>
      </c>
      <c r="P716" s="36">
        <f t="shared" si="237"/>
        <v>0.89095744680851063</v>
      </c>
      <c r="Q716" s="17">
        <v>5</v>
      </c>
      <c r="R716" s="36">
        <f t="shared" si="227"/>
        <v>1.0121457489878543E-2</v>
      </c>
      <c r="S716" s="17">
        <v>5</v>
      </c>
      <c r="T716" s="36">
        <f t="shared" si="238"/>
        <v>1.3297872340425532E-2</v>
      </c>
      <c r="U716" s="17">
        <v>11</v>
      </c>
      <c r="V716" s="36">
        <f t="shared" si="228"/>
        <v>2.2267206477732792E-2</v>
      </c>
      <c r="W716" s="17">
        <v>7</v>
      </c>
      <c r="X716" s="36">
        <f t="shared" si="239"/>
        <v>1.8617021276595744E-2</v>
      </c>
      <c r="Y716" s="17">
        <v>352</v>
      </c>
      <c r="Z716" s="36">
        <f t="shared" si="229"/>
        <v>0.71255060728744934</v>
      </c>
      <c r="AA716" s="17">
        <v>262</v>
      </c>
      <c r="AB716" s="36">
        <f t="shared" si="240"/>
        <v>0.69680851063829785</v>
      </c>
      <c r="AC716" s="17">
        <v>80</v>
      </c>
      <c r="AD716" s="36">
        <f t="shared" si="230"/>
        <v>0.16194331983805668</v>
      </c>
      <c r="AE716" s="17">
        <v>63</v>
      </c>
      <c r="AF716" s="36">
        <f t="shared" si="241"/>
        <v>0.16755319148936171</v>
      </c>
      <c r="AG716" s="17">
        <v>39</v>
      </c>
      <c r="AH716" s="36">
        <f t="shared" si="231"/>
        <v>7.8947368421052627E-2</v>
      </c>
      <c r="AI716" s="17">
        <v>32</v>
      </c>
      <c r="AJ716" s="36">
        <f t="shared" si="242"/>
        <v>8.5106382978723402E-2</v>
      </c>
      <c r="AK716" s="17">
        <v>7</v>
      </c>
      <c r="AL716" s="36">
        <f t="shared" si="232"/>
        <v>1.417004048582996E-2</v>
      </c>
      <c r="AM716" s="17">
        <v>7</v>
      </c>
      <c r="AN716" s="36">
        <f t="shared" si="243"/>
        <v>1.8617021276595744E-2</v>
      </c>
      <c r="AO716" s="17">
        <v>494</v>
      </c>
      <c r="AP716" s="17">
        <v>376</v>
      </c>
    </row>
    <row r="717" spans="1:42" ht="15.75" customHeight="1" x14ac:dyDescent="0.25">
      <c r="A717" s="37">
        <v>2019</v>
      </c>
      <c r="B717" s="35">
        <v>170305</v>
      </c>
      <c r="C717" s="34" t="s">
        <v>150</v>
      </c>
      <c r="D717" s="34" t="s">
        <v>25</v>
      </c>
      <c r="E717" s="17">
        <v>3</v>
      </c>
      <c r="F717" s="36">
        <f t="shared" si="233"/>
        <v>1.1406844106463879E-2</v>
      </c>
      <c r="G717" s="17">
        <v>1</v>
      </c>
      <c r="H717" s="36">
        <f t="shared" si="234"/>
        <v>8.4745762711864406E-3</v>
      </c>
      <c r="I717" s="17">
        <v>17</v>
      </c>
      <c r="J717" s="36">
        <f t="shared" si="235"/>
        <v>6.4638783269961975E-2</v>
      </c>
      <c r="K717" s="17">
        <v>6</v>
      </c>
      <c r="L717" s="36">
        <f t="shared" si="236"/>
        <v>5.0847457627118647E-2</v>
      </c>
      <c r="M717" s="17">
        <v>243</v>
      </c>
      <c r="N717" s="36">
        <f t="shared" si="226"/>
        <v>0.92395437262357416</v>
      </c>
      <c r="O717" s="17">
        <v>111</v>
      </c>
      <c r="P717" s="36">
        <f t="shared" si="237"/>
        <v>0.94067796610169496</v>
      </c>
      <c r="Q717" s="17">
        <v>0</v>
      </c>
      <c r="R717" s="36">
        <f t="shared" si="227"/>
        <v>0</v>
      </c>
      <c r="S717" s="17">
        <v>0</v>
      </c>
      <c r="T717" s="36">
        <f t="shared" si="238"/>
        <v>0</v>
      </c>
      <c r="U717" s="17">
        <v>7</v>
      </c>
      <c r="V717" s="36">
        <f t="shared" si="228"/>
        <v>2.6615969581749048E-2</v>
      </c>
      <c r="W717" s="17">
        <v>3</v>
      </c>
      <c r="X717" s="36">
        <f t="shared" si="239"/>
        <v>2.5423728813559324E-2</v>
      </c>
      <c r="Y717" s="17">
        <v>177</v>
      </c>
      <c r="Z717" s="36">
        <f t="shared" si="229"/>
        <v>0.6730038022813688</v>
      </c>
      <c r="AA717" s="17">
        <v>80</v>
      </c>
      <c r="AB717" s="36">
        <f t="shared" si="240"/>
        <v>0.67796610169491522</v>
      </c>
      <c r="AC717" s="17">
        <v>52</v>
      </c>
      <c r="AD717" s="36">
        <f t="shared" si="230"/>
        <v>0.19771863117870722</v>
      </c>
      <c r="AE717" s="17">
        <v>25</v>
      </c>
      <c r="AF717" s="36">
        <f t="shared" si="241"/>
        <v>0.21186440677966101</v>
      </c>
      <c r="AG717" s="17">
        <v>25</v>
      </c>
      <c r="AH717" s="36">
        <f t="shared" si="231"/>
        <v>9.5057034220532313E-2</v>
      </c>
      <c r="AI717" s="17">
        <v>9</v>
      </c>
      <c r="AJ717" s="36">
        <f t="shared" si="242"/>
        <v>7.6271186440677971E-2</v>
      </c>
      <c r="AK717" s="17">
        <v>2</v>
      </c>
      <c r="AL717" s="36">
        <f t="shared" si="232"/>
        <v>7.6045627376425855E-3</v>
      </c>
      <c r="AM717" s="17">
        <v>1</v>
      </c>
      <c r="AN717" s="36">
        <f t="shared" si="243"/>
        <v>8.4745762711864406E-3</v>
      </c>
      <c r="AO717" s="17">
        <v>263</v>
      </c>
      <c r="AP717" s="17">
        <v>118</v>
      </c>
    </row>
    <row r="718" spans="1:42" ht="15.75" customHeight="1" x14ac:dyDescent="0.25">
      <c r="A718" s="37">
        <v>2019</v>
      </c>
      <c r="B718" s="35">
        <v>170307</v>
      </c>
      <c r="C718" s="34" t="s">
        <v>149</v>
      </c>
      <c r="D718" s="34" t="s">
        <v>26</v>
      </c>
      <c r="E718" s="17">
        <v>10</v>
      </c>
      <c r="F718" s="36">
        <f t="shared" si="233"/>
        <v>3.0395136778115502E-2</v>
      </c>
      <c r="G718" s="17">
        <v>6</v>
      </c>
      <c r="H718" s="36">
        <f t="shared" si="234"/>
        <v>3.2258064516129031E-2</v>
      </c>
      <c r="I718" s="17">
        <v>40</v>
      </c>
      <c r="J718" s="36">
        <f t="shared" si="235"/>
        <v>0.12158054711246201</v>
      </c>
      <c r="K718" s="17">
        <v>27</v>
      </c>
      <c r="L718" s="36">
        <f t="shared" si="236"/>
        <v>0.14516129032258066</v>
      </c>
      <c r="M718" s="17">
        <v>279</v>
      </c>
      <c r="N718" s="36">
        <f t="shared" si="226"/>
        <v>0.84802431610942253</v>
      </c>
      <c r="O718" s="17">
        <v>153</v>
      </c>
      <c r="P718" s="36">
        <f t="shared" si="237"/>
        <v>0.82258064516129037</v>
      </c>
      <c r="Q718" s="17">
        <v>4</v>
      </c>
      <c r="R718" s="36">
        <f t="shared" si="227"/>
        <v>1.2158054711246201E-2</v>
      </c>
      <c r="S718" s="17">
        <v>2</v>
      </c>
      <c r="T718" s="36">
        <f t="shared" si="238"/>
        <v>1.0752688172043012E-2</v>
      </c>
      <c r="U718" s="17">
        <v>11</v>
      </c>
      <c r="V718" s="36">
        <f t="shared" si="228"/>
        <v>3.3434650455927049E-2</v>
      </c>
      <c r="W718" s="17">
        <v>3</v>
      </c>
      <c r="X718" s="36">
        <f t="shared" si="239"/>
        <v>1.6129032258064516E-2</v>
      </c>
      <c r="Y718" s="17">
        <v>238</v>
      </c>
      <c r="Z718" s="36">
        <f t="shared" si="229"/>
        <v>0.72340425531914898</v>
      </c>
      <c r="AA718" s="17">
        <v>134</v>
      </c>
      <c r="AB718" s="36">
        <f t="shared" si="240"/>
        <v>0.72043010752688175</v>
      </c>
      <c r="AC718" s="17">
        <v>49</v>
      </c>
      <c r="AD718" s="36">
        <f t="shared" si="230"/>
        <v>0.14893617021276595</v>
      </c>
      <c r="AE718" s="17">
        <v>28</v>
      </c>
      <c r="AF718" s="36">
        <f t="shared" si="241"/>
        <v>0.15053763440860216</v>
      </c>
      <c r="AG718" s="17">
        <v>23</v>
      </c>
      <c r="AH718" s="36">
        <f t="shared" si="231"/>
        <v>6.9908814589665649E-2</v>
      </c>
      <c r="AI718" s="17">
        <v>16</v>
      </c>
      <c r="AJ718" s="36">
        <f t="shared" si="242"/>
        <v>8.6021505376344093E-2</v>
      </c>
      <c r="AK718" s="17">
        <v>4</v>
      </c>
      <c r="AL718" s="36">
        <f t="shared" si="232"/>
        <v>1.2158054711246201E-2</v>
      </c>
      <c r="AM718" s="17">
        <v>3</v>
      </c>
      <c r="AN718" s="36">
        <f t="shared" si="243"/>
        <v>1.6129032258064516E-2</v>
      </c>
      <c r="AO718" s="17">
        <v>329</v>
      </c>
      <c r="AP718" s="17">
        <v>186</v>
      </c>
    </row>
    <row r="719" spans="1:42" ht="15.75" customHeight="1" x14ac:dyDescent="0.25">
      <c r="A719" s="37">
        <v>2019</v>
      </c>
      <c r="B719" s="35">
        <v>170310</v>
      </c>
      <c r="C719" s="34" t="s">
        <v>144</v>
      </c>
      <c r="D719" s="34" t="s">
        <v>27</v>
      </c>
      <c r="E719" s="17">
        <v>6</v>
      </c>
      <c r="F719" s="36">
        <f t="shared" si="233"/>
        <v>3.1578947368421054E-2</v>
      </c>
      <c r="G719" s="17">
        <v>1</v>
      </c>
      <c r="H719" s="36">
        <f t="shared" si="234"/>
        <v>5.8823529411764705E-2</v>
      </c>
      <c r="I719" s="17">
        <v>10</v>
      </c>
      <c r="J719" s="36">
        <f t="shared" si="235"/>
        <v>5.2631578947368418E-2</v>
      </c>
      <c r="K719" s="17">
        <v>0</v>
      </c>
      <c r="L719" s="36">
        <f t="shared" si="236"/>
        <v>0</v>
      </c>
      <c r="M719" s="17">
        <v>174</v>
      </c>
      <c r="N719" s="36">
        <f t="shared" si="226"/>
        <v>0.91578947368421049</v>
      </c>
      <c r="O719" s="17">
        <v>16</v>
      </c>
      <c r="P719" s="36">
        <f t="shared" si="237"/>
        <v>0.94117647058823528</v>
      </c>
      <c r="Q719" s="17">
        <v>1</v>
      </c>
      <c r="R719" s="36">
        <f t="shared" si="227"/>
        <v>5.263157894736842E-3</v>
      </c>
      <c r="S719" s="17">
        <v>0</v>
      </c>
      <c r="T719" s="36">
        <f t="shared" si="238"/>
        <v>0</v>
      </c>
      <c r="U719" s="17">
        <v>2</v>
      </c>
      <c r="V719" s="36">
        <f t="shared" si="228"/>
        <v>1.0526315789473684E-2</v>
      </c>
      <c r="W719" s="17">
        <v>1</v>
      </c>
      <c r="X719" s="36">
        <f t="shared" si="239"/>
        <v>5.8823529411764705E-2</v>
      </c>
      <c r="Y719" s="17">
        <v>133</v>
      </c>
      <c r="Z719" s="36">
        <f t="shared" si="229"/>
        <v>0.7</v>
      </c>
      <c r="AA719" s="17">
        <v>9</v>
      </c>
      <c r="AB719" s="36">
        <f t="shared" si="240"/>
        <v>0.52941176470588236</v>
      </c>
      <c r="AC719" s="17">
        <v>38</v>
      </c>
      <c r="AD719" s="36">
        <f t="shared" si="230"/>
        <v>0.2</v>
      </c>
      <c r="AE719" s="17">
        <v>4</v>
      </c>
      <c r="AF719" s="36">
        <f t="shared" si="241"/>
        <v>0.23529411764705882</v>
      </c>
      <c r="AG719" s="17">
        <v>16</v>
      </c>
      <c r="AH719" s="36">
        <f t="shared" si="231"/>
        <v>8.4210526315789472E-2</v>
      </c>
      <c r="AI719" s="17">
        <v>3</v>
      </c>
      <c r="AJ719" s="36">
        <f t="shared" si="242"/>
        <v>0.17647058823529413</v>
      </c>
      <c r="AK719" s="17">
        <v>0</v>
      </c>
      <c r="AL719" s="36">
        <f t="shared" si="232"/>
        <v>0</v>
      </c>
      <c r="AM719" s="17">
        <v>0</v>
      </c>
      <c r="AN719" s="36">
        <f t="shared" si="243"/>
        <v>0</v>
      </c>
      <c r="AO719" s="17">
        <v>190</v>
      </c>
      <c r="AP719" s="17">
        <v>17</v>
      </c>
    </row>
    <row r="720" spans="1:42" ht="15.75" customHeight="1" x14ac:dyDescent="0.25">
      <c r="A720" s="37">
        <v>2019</v>
      </c>
      <c r="B720" s="35">
        <v>170320</v>
      </c>
      <c r="C720" s="34" t="s">
        <v>150</v>
      </c>
      <c r="D720" s="34" t="s">
        <v>28</v>
      </c>
      <c r="E720" s="17">
        <v>2</v>
      </c>
      <c r="F720" s="36">
        <f t="shared" si="233"/>
        <v>6.7567567567567571E-3</v>
      </c>
      <c r="G720" s="17">
        <v>2</v>
      </c>
      <c r="H720" s="36">
        <f t="shared" si="234"/>
        <v>1.3605442176870748E-2</v>
      </c>
      <c r="I720" s="17">
        <v>10</v>
      </c>
      <c r="J720" s="36">
        <f t="shared" si="235"/>
        <v>3.3783783783783786E-2</v>
      </c>
      <c r="K720" s="17">
        <v>7</v>
      </c>
      <c r="L720" s="36">
        <f t="shared" si="236"/>
        <v>4.7619047619047616E-2</v>
      </c>
      <c r="M720" s="17">
        <v>284</v>
      </c>
      <c r="N720" s="36">
        <f t="shared" si="226"/>
        <v>0.95945945945945943</v>
      </c>
      <c r="O720" s="17">
        <v>138</v>
      </c>
      <c r="P720" s="36">
        <f t="shared" si="237"/>
        <v>0.93877551020408168</v>
      </c>
      <c r="Q720" s="17">
        <v>5</v>
      </c>
      <c r="R720" s="36">
        <f t="shared" si="227"/>
        <v>1.6891891891891893E-2</v>
      </c>
      <c r="S720" s="17">
        <v>3</v>
      </c>
      <c r="T720" s="36">
        <f t="shared" si="238"/>
        <v>2.0408163265306121E-2</v>
      </c>
      <c r="U720" s="17">
        <v>7</v>
      </c>
      <c r="V720" s="36">
        <f t="shared" si="228"/>
        <v>2.364864864864865E-2</v>
      </c>
      <c r="W720" s="17">
        <v>4</v>
      </c>
      <c r="X720" s="36">
        <f t="shared" si="239"/>
        <v>2.7210884353741496E-2</v>
      </c>
      <c r="Y720" s="17">
        <v>207</v>
      </c>
      <c r="Z720" s="36">
        <f t="shared" si="229"/>
        <v>0.69932432432432434</v>
      </c>
      <c r="AA720" s="17">
        <v>103</v>
      </c>
      <c r="AB720" s="36">
        <f t="shared" si="240"/>
        <v>0.70068027210884354</v>
      </c>
      <c r="AC720" s="17">
        <v>52</v>
      </c>
      <c r="AD720" s="36">
        <f t="shared" si="230"/>
        <v>0.17567567567567569</v>
      </c>
      <c r="AE720" s="17">
        <v>28</v>
      </c>
      <c r="AF720" s="36">
        <f t="shared" si="241"/>
        <v>0.19047619047619047</v>
      </c>
      <c r="AG720" s="17">
        <v>19</v>
      </c>
      <c r="AH720" s="36">
        <f t="shared" si="231"/>
        <v>6.4189189189189186E-2</v>
      </c>
      <c r="AI720" s="17">
        <v>7</v>
      </c>
      <c r="AJ720" s="36">
        <f t="shared" si="242"/>
        <v>4.7619047619047616E-2</v>
      </c>
      <c r="AK720" s="17">
        <v>6</v>
      </c>
      <c r="AL720" s="36">
        <f t="shared" si="232"/>
        <v>2.0270270270270271E-2</v>
      </c>
      <c r="AM720" s="17">
        <v>2</v>
      </c>
      <c r="AN720" s="36">
        <f t="shared" si="243"/>
        <v>1.3605442176870748E-2</v>
      </c>
      <c r="AO720" s="17">
        <v>296</v>
      </c>
      <c r="AP720" s="17">
        <v>147</v>
      </c>
    </row>
    <row r="721" spans="1:42" ht="15.75" customHeight="1" x14ac:dyDescent="0.25">
      <c r="A721" s="37">
        <v>2019</v>
      </c>
      <c r="B721" s="35">
        <v>170330</v>
      </c>
      <c r="C721" s="34" t="s">
        <v>150</v>
      </c>
      <c r="D721" s="34" t="s">
        <v>29</v>
      </c>
      <c r="E721" s="17">
        <v>4</v>
      </c>
      <c r="F721" s="36">
        <f t="shared" si="233"/>
        <v>1.3157894736842105E-2</v>
      </c>
      <c r="G721" s="17">
        <v>4</v>
      </c>
      <c r="H721" s="36">
        <f t="shared" si="234"/>
        <v>1.8957345971563982E-2</v>
      </c>
      <c r="I721" s="17">
        <v>23</v>
      </c>
      <c r="J721" s="36">
        <f t="shared" si="235"/>
        <v>7.5657894736842105E-2</v>
      </c>
      <c r="K721" s="17">
        <v>12</v>
      </c>
      <c r="L721" s="36">
        <f t="shared" si="236"/>
        <v>5.6872037914691941E-2</v>
      </c>
      <c r="M721" s="17">
        <v>277</v>
      </c>
      <c r="N721" s="36">
        <f t="shared" si="226"/>
        <v>0.91118421052631582</v>
      </c>
      <c r="O721" s="17">
        <v>195</v>
      </c>
      <c r="P721" s="36">
        <f t="shared" si="237"/>
        <v>0.92417061611374407</v>
      </c>
      <c r="Q721" s="17">
        <v>2</v>
      </c>
      <c r="R721" s="36">
        <f t="shared" si="227"/>
        <v>6.5789473684210523E-3</v>
      </c>
      <c r="S721" s="17">
        <v>2</v>
      </c>
      <c r="T721" s="36">
        <f t="shared" si="238"/>
        <v>9.4786729857819912E-3</v>
      </c>
      <c r="U721" s="17">
        <v>10</v>
      </c>
      <c r="V721" s="36">
        <f t="shared" si="228"/>
        <v>3.2894736842105261E-2</v>
      </c>
      <c r="W721" s="17">
        <v>9</v>
      </c>
      <c r="X721" s="36">
        <f t="shared" si="239"/>
        <v>4.2654028436018961E-2</v>
      </c>
      <c r="Y721" s="17">
        <v>215</v>
      </c>
      <c r="Z721" s="36">
        <f t="shared" si="229"/>
        <v>0.70723684210526316</v>
      </c>
      <c r="AA721" s="17">
        <v>155</v>
      </c>
      <c r="AB721" s="36">
        <f t="shared" si="240"/>
        <v>0.7345971563981043</v>
      </c>
      <c r="AC721" s="17">
        <v>54</v>
      </c>
      <c r="AD721" s="36">
        <f t="shared" si="230"/>
        <v>0.17763157894736842</v>
      </c>
      <c r="AE721" s="17">
        <v>33</v>
      </c>
      <c r="AF721" s="36">
        <f t="shared" si="241"/>
        <v>0.15639810426540285</v>
      </c>
      <c r="AG721" s="17">
        <v>21</v>
      </c>
      <c r="AH721" s="36">
        <f t="shared" si="231"/>
        <v>6.9078947368421059E-2</v>
      </c>
      <c r="AI721" s="17">
        <v>11</v>
      </c>
      <c r="AJ721" s="36">
        <f t="shared" si="242"/>
        <v>5.2132701421800945E-2</v>
      </c>
      <c r="AK721" s="17">
        <v>2</v>
      </c>
      <c r="AL721" s="36">
        <f t="shared" si="232"/>
        <v>6.5789473684210523E-3</v>
      </c>
      <c r="AM721" s="17">
        <v>1</v>
      </c>
      <c r="AN721" s="36">
        <f t="shared" si="243"/>
        <v>4.7393364928909956E-3</v>
      </c>
      <c r="AO721" s="17">
        <v>304</v>
      </c>
      <c r="AP721" s="17">
        <v>211</v>
      </c>
    </row>
    <row r="722" spans="1:42" ht="15.75" customHeight="1" x14ac:dyDescent="0.25">
      <c r="A722" s="37">
        <v>2019</v>
      </c>
      <c r="B722" s="35">
        <v>170360</v>
      </c>
      <c r="C722" s="34" t="s">
        <v>150</v>
      </c>
      <c r="D722" s="34" t="s">
        <v>30</v>
      </c>
      <c r="E722" s="17">
        <v>0</v>
      </c>
      <c r="F722" s="36">
        <f t="shared" si="233"/>
        <v>0</v>
      </c>
      <c r="G722" s="17">
        <v>0</v>
      </c>
      <c r="H722" s="36">
        <f t="shared" si="234"/>
        <v>0</v>
      </c>
      <c r="I722" s="17">
        <v>5</v>
      </c>
      <c r="J722" s="36">
        <f t="shared" si="235"/>
        <v>3.2051282051282048E-2</v>
      </c>
      <c r="K722" s="17">
        <v>3</v>
      </c>
      <c r="L722" s="36">
        <f t="shared" si="236"/>
        <v>3.896103896103896E-2</v>
      </c>
      <c r="M722" s="17">
        <v>151</v>
      </c>
      <c r="N722" s="36">
        <f t="shared" si="226"/>
        <v>0.96794871794871795</v>
      </c>
      <c r="O722" s="17">
        <v>74</v>
      </c>
      <c r="P722" s="36">
        <f t="shared" si="237"/>
        <v>0.96103896103896103</v>
      </c>
      <c r="Q722" s="17">
        <v>1</v>
      </c>
      <c r="R722" s="36">
        <f t="shared" si="227"/>
        <v>6.41025641025641E-3</v>
      </c>
      <c r="S722" s="17">
        <v>0</v>
      </c>
      <c r="T722" s="36">
        <f t="shared" si="238"/>
        <v>0</v>
      </c>
      <c r="U722" s="17">
        <v>3</v>
      </c>
      <c r="V722" s="36">
        <f t="shared" si="228"/>
        <v>1.9230769230769232E-2</v>
      </c>
      <c r="W722" s="17">
        <v>3</v>
      </c>
      <c r="X722" s="36">
        <f t="shared" si="239"/>
        <v>3.896103896103896E-2</v>
      </c>
      <c r="Y722" s="17">
        <v>111</v>
      </c>
      <c r="Z722" s="36">
        <f t="shared" si="229"/>
        <v>0.71153846153846156</v>
      </c>
      <c r="AA722" s="17">
        <v>57</v>
      </c>
      <c r="AB722" s="36">
        <f t="shared" si="240"/>
        <v>0.74025974025974028</v>
      </c>
      <c r="AC722" s="17">
        <v>24</v>
      </c>
      <c r="AD722" s="36">
        <f t="shared" si="230"/>
        <v>0.15384615384615385</v>
      </c>
      <c r="AE722" s="17">
        <v>11</v>
      </c>
      <c r="AF722" s="36">
        <f t="shared" si="241"/>
        <v>0.14285714285714285</v>
      </c>
      <c r="AG722" s="17">
        <v>15</v>
      </c>
      <c r="AH722" s="36">
        <f t="shared" si="231"/>
        <v>9.6153846153846159E-2</v>
      </c>
      <c r="AI722" s="17">
        <v>6</v>
      </c>
      <c r="AJ722" s="36">
        <f t="shared" si="242"/>
        <v>7.792207792207792E-2</v>
      </c>
      <c r="AK722" s="17">
        <v>2</v>
      </c>
      <c r="AL722" s="36">
        <f t="shared" si="232"/>
        <v>1.282051282051282E-2</v>
      </c>
      <c r="AM722" s="17">
        <v>0</v>
      </c>
      <c r="AN722" s="36">
        <f t="shared" si="243"/>
        <v>0</v>
      </c>
      <c r="AO722" s="17">
        <v>156</v>
      </c>
      <c r="AP722" s="17">
        <v>77</v>
      </c>
    </row>
    <row r="723" spans="1:42" ht="15.75" customHeight="1" x14ac:dyDescent="0.25">
      <c r="A723" s="37">
        <v>2019</v>
      </c>
      <c r="B723" s="35">
        <v>170370</v>
      </c>
      <c r="C723" s="34" t="s">
        <v>151</v>
      </c>
      <c r="D723" s="34" t="s">
        <v>31</v>
      </c>
      <c r="E723" s="17">
        <v>6</v>
      </c>
      <c r="F723" s="36">
        <f t="shared" si="233"/>
        <v>1.9867549668874173E-2</v>
      </c>
      <c r="G723" s="17">
        <v>4</v>
      </c>
      <c r="H723" s="36">
        <f t="shared" si="234"/>
        <v>2.4844720496894408E-2</v>
      </c>
      <c r="I723" s="17">
        <v>12</v>
      </c>
      <c r="J723" s="36">
        <f t="shared" si="235"/>
        <v>3.9735099337748346E-2</v>
      </c>
      <c r="K723" s="17">
        <v>8</v>
      </c>
      <c r="L723" s="36">
        <f t="shared" si="236"/>
        <v>4.9689440993788817E-2</v>
      </c>
      <c r="M723" s="17">
        <v>284</v>
      </c>
      <c r="N723" s="36">
        <f t="shared" si="226"/>
        <v>0.94039735099337751</v>
      </c>
      <c r="O723" s="17">
        <v>149</v>
      </c>
      <c r="P723" s="36">
        <f t="shared" si="237"/>
        <v>0.92546583850931674</v>
      </c>
      <c r="Q723" s="17">
        <v>4</v>
      </c>
      <c r="R723" s="36">
        <f t="shared" si="227"/>
        <v>1.3245033112582781E-2</v>
      </c>
      <c r="S723" s="17">
        <v>2</v>
      </c>
      <c r="T723" s="36">
        <f t="shared" si="238"/>
        <v>1.2422360248447204E-2</v>
      </c>
      <c r="U723" s="17">
        <v>19</v>
      </c>
      <c r="V723" s="36">
        <f t="shared" si="228"/>
        <v>6.2913907284768214E-2</v>
      </c>
      <c r="W723" s="17">
        <v>10</v>
      </c>
      <c r="X723" s="36">
        <f t="shared" si="239"/>
        <v>6.2111801242236024E-2</v>
      </c>
      <c r="Y723" s="17">
        <v>222</v>
      </c>
      <c r="Z723" s="36">
        <f t="shared" si="229"/>
        <v>0.73509933774834435</v>
      </c>
      <c r="AA723" s="17">
        <v>122</v>
      </c>
      <c r="AB723" s="36">
        <f t="shared" si="240"/>
        <v>0.75776397515527949</v>
      </c>
      <c r="AC723" s="17">
        <v>36</v>
      </c>
      <c r="AD723" s="36">
        <f t="shared" si="230"/>
        <v>0.11920529801324503</v>
      </c>
      <c r="AE723" s="17">
        <v>20</v>
      </c>
      <c r="AF723" s="36">
        <f t="shared" si="241"/>
        <v>0.12422360248447205</v>
      </c>
      <c r="AG723" s="17">
        <v>18</v>
      </c>
      <c r="AH723" s="36">
        <f t="shared" si="231"/>
        <v>5.9602649006622516E-2</v>
      </c>
      <c r="AI723" s="17">
        <v>7</v>
      </c>
      <c r="AJ723" s="36">
        <f t="shared" si="242"/>
        <v>4.3478260869565216E-2</v>
      </c>
      <c r="AK723" s="17">
        <v>3</v>
      </c>
      <c r="AL723" s="36">
        <f t="shared" si="232"/>
        <v>9.9337748344370865E-3</v>
      </c>
      <c r="AM723" s="17">
        <v>0</v>
      </c>
      <c r="AN723" s="36">
        <f t="shared" si="243"/>
        <v>0</v>
      </c>
      <c r="AO723" s="17">
        <v>302</v>
      </c>
      <c r="AP723" s="17">
        <v>161</v>
      </c>
    </row>
    <row r="724" spans="1:42" ht="15.75" customHeight="1" x14ac:dyDescent="0.25">
      <c r="A724" s="37">
        <v>2019</v>
      </c>
      <c r="B724" s="35">
        <v>170380</v>
      </c>
      <c r="C724" s="34" t="s">
        <v>145</v>
      </c>
      <c r="D724" s="34" t="s">
        <v>32</v>
      </c>
      <c r="E724" s="17">
        <v>12</v>
      </c>
      <c r="F724" s="36">
        <f t="shared" si="233"/>
        <v>1.8604651162790697E-2</v>
      </c>
      <c r="G724" s="17">
        <v>5</v>
      </c>
      <c r="H724" s="36">
        <f t="shared" si="234"/>
        <v>1.8382352941176471E-2</v>
      </c>
      <c r="I724" s="17">
        <v>43</v>
      </c>
      <c r="J724" s="36">
        <f t="shared" si="235"/>
        <v>6.6666666666666666E-2</v>
      </c>
      <c r="K724" s="17">
        <v>15</v>
      </c>
      <c r="L724" s="36">
        <f t="shared" si="236"/>
        <v>5.514705882352941E-2</v>
      </c>
      <c r="M724" s="17">
        <v>590</v>
      </c>
      <c r="N724" s="36">
        <f t="shared" si="226"/>
        <v>0.9147286821705426</v>
      </c>
      <c r="O724" s="17">
        <v>252</v>
      </c>
      <c r="P724" s="36">
        <f t="shared" si="237"/>
        <v>0.92647058823529416</v>
      </c>
      <c r="Q724" s="17">
        <v>5</v>
      </c>
      <c r="R724" s="36">
        <f t="shared" si="227"/>
        <v>7.7519379844961239E-3</v>
      </c>
      <c r="S724" s="17">
        <v>0</v>
      </c>
      <c r="T724" s="36">
        <f t="shared" si="238"/>
        <v>0</v>
      </c>
      <c r="U724" s="17">
        <v>23</v>
      </c>
      <c r="V724" s="36">
        <f t="shared" si="228"/>
        <v>3.565891472868217E-2</v>
      </c>
      <c r="W724" s="17">
        <v>7</v>
      </c>
      <c r="X724" s="36">
        <f t="shared" si="239"/>
        <v>2.5735294117647058E-2</v>
      </c>
      <c r="Y724" s="17">
        <v>485</v>
      </c>
      <c r="Z724" s="36">
        <f t="shared" si="229"/>
        <v>0.75193798449612403</v>
      </c>
      <c r="AA724" s="17">
        <v>201</v>
      </c>
      <c r="AB724" s="36">
        <f t="shared" si="240"/>
        <v>0.73897058823529416</v>
      </c>
      <c r="AC724" s="17">
        <v>97</v>
      </c>
      <c r="AD724" s="36">
        <f t="shared" si="230"/>
        <v>0.15038759689922482</v>
      </c>
      <c r="AE724" s="17">
        <v>47</v>
      </c>
      <c r="AF724" s="36">
        <f t="shared" si="241"/>
        <v>0.17279411764705882</v>
      </c>
      <c r="AG724" s="17">
        <v>32</v>
      </c>
      <c r="AH724" s="36">
        <f t="shared" si="231"/>
        <v>4.9612403100775193E-2</v>
      </c>
      <c r="AI724" s="17">
        <v>16</v>
      </c>
      <c r="AJ724" s="36">
        <f t="shared" si="242"/>
        <v>5.8823529411764705E-2</v>
      </c>
      <c r="AK724" s="17">
        <v>3</v>
      </c>
      <c r="AL724" s="36">
        <f t="shared" si="232"/>
        <v>4.6511627906976744E-3</v>
      </c>
      <c r="AM724" s="17">
        <v>1</v>
      </c>
      <c r="AN724" s="36">
        <f t="shared" si="243"/>
        <v>3.6764705882352941E-3</v>
      </c>
      <c r="AO724" s="17">
        <v>645</v>
      </c>
      <c r="AP724" s="17">
        <v>272</v>
      </c>
    </row>
    <row r="725" spans="1:42" ht="15.75" customHeight="1" x14ac:dyDescent="0.25">
      <c r="A725" s="37">
        <v>2019</v>
      </c>
      <c r="B725" s="35">
        <v>170382</v>
      </c>
      <c r="C725" s="34" t="s">
        <v>145</v>
      </c>
      <c r="D725" s="34" t="s">
        <v>33</v>
      </c>
      <c r="E725" s="17">
        <v>7</v>
      </c>
      <c r="F725" s="36">
        <f t="shared" si="233"/>
        <v>3.0434782608695653E-2</v>
      </c>
      <c r="G725" s="17">
        <v>0</v>
      </c>
      <c r="H725" s="36">
        <f t="shared" si="234"/>
        <v>0</v>
      </c>
      <c r="I725" s="17">
        <v>15</v>
      </c>
      <c r="J725" s="36">
        <f t="shared" si="235"/>
        <v>6.5217391304347824E-2</v>
      </c>
      <c r="K725" s="17">
        <v>2</v>
      </c>
      <c r="L725" s="36">
        <f t="shared" si="236"/>
        <v>1.7857142857142856E-2</v>
      </c>
      <c r="M725" s="17">
        <v>208</v>
      </c>
      <c r="N725" s="36">
        <f t="shared" si="226"/>
        <v>0.90434782608695652</v>
      </c>
      <c r="O725" s="17">
        <v>110</v>
      </c>
      <c r="P725" s="36">
        <f t="shared" si="237"/>
        <v>0.9821428571428571</v>
      </c>
      <c r="Q725" s="17">
        <v>2</v>
      </c>
      <c r="R725" s="36">
        <f t="shared" si="227"/>
        <v>8.6956521739130436E-3</v>
      </c>
      <c r="S725" s="17">
        <v>1</v>
      </c>
      <c r="T725" s="36">
        <f t="shared" si="238"/>
        <v>8.9285714285714281E-3</v>
      </c>
      <c r="U725" s="17">
        <v>9</v>
      </c>
      <c r="V725" s="36">
        <f t="shared" si="228"/>
        <v>3.9130434782608699E-2</v>
      </c>
      <c r="W725" s="17">
        <v>6</v>
      </c>
      <c r="X725" s="36">
        <f t="shared" si="239"/>
        <v>5.3571428571428568E-2</v>
      </c>
      <c r="Y725" s="17">
        <v>174</v>
      </c>
      <c r="Z725" s="36">
        <f t="shared" si="229"/>
        <v>0.75652173913043474</v>
      </c>
      <c r="AA725" s="17">
        <v>87</v>
      </c>
      <c r="AB725" s="36">
        <f t="shared" si="240"/>
        <v>0.7767857142857143</v>
      </c>
      <c r="AC725" s="17">
        <v>32</v>
      </c>
      <c r="AD725" s="36">
        <f t="shared" si="230"/>
        <v>0.1391304347826087</v>
      </c>
      <c r="AE725" s="17">
        <v>13</v>
      </c>
      <c r="AF725" s="36">
        <f t="shared" si="241"/>
        <v>0.11607142857142858</v>
      </c>
      <c r="AG725" s="17">
        <v>13</v>
      </c>
      <c r="AH725" s="36">
        <f t="shared" si="231"/>
        <v>5.6521739130434782E-2</v>
      </c>
      <c r="AI725" s="17">
        <v>5</v>
      </c>
      <c r="AJ725" s="36">
        <f t="shared" si="242"/>
        <v>4.4642857142857144E-2</v>
      </c>
      <c r="AK725" s="17">
        <v>0</v>
      </c>
      <c r="AL725" s="36">
        <f t="shared" si="232"/>
        <v>0</v>
      </c>
      <c r="AM725" s="17">
        <v>0</v>
      </c>
      <c r="AN725" s="36">
        <f t="shared" si="243"/>
        <v>0</v>
      </c>
      <c r="AO725" s="17">
        <v>230</v>
      </c>
      <c r="AP725" s="17">
        <v>112</v>
      </c>
    </row>
    <row r="726" spans="1:42" ht="15.75" customHeight="1" x14ac:dyDescent="0.25">
      <c r="A726" s="37">
        <v>2019</v>
      </c>
      <c r="B726" s="35">
        <v>170384</v>
      </c>
      <c r="C726" s="34" t="s">
        <v>149</v>
      </c>
      <c r="D726" s="34" t="s">
        <v>34</v>
      </c>
      <c r="E726" s="17">
        <v>18</v>
      </c>
      <c r="F726" s="36">
        <f t="shared" si="233"/>
        <v>2.4523160762942781E-2</v>
      </c>
      <c r="G726" s="17">
        <v>12</v>
      </c>
      <c r="H726" s="36">
        <f t="shared" si="234"/>
        <v>2.9055690072639227E-2</v>
      </c>
      <c r="I726" s="17">
        <v>71</v>
      </c>
      <c r="J726" s="36">
        <f t="shared" si="235"/>
        <v>9.6730245231607628E-2</v>
      </c>
      <c r="K726" s="17">
        <v>36</v>
      </c>
      <c r="L726" s="36">
        <f t="shared" si="236"/>
        <v>8.7167070217917669E-2</v>
      </c>
      <c r="M726" s="17">
        <v>645</v>
      </c>
      <c r="N726" s="36">
        <f t="shared" si="226"/>
        <v>0.87874659400544963</v>
      </c>
      <c r="O726" s="17">
        <v>365</v>
      </c>
      <c r="P726" s="36">
        <f t="shared" si="237"/>
        <v>0.88377723970944311</v>
      </c>
      <c r="Q726" s="17">
        <v>6</v>
      </c>
      <c r="R726" s="36">
        <f t="shared" si="227"/>
        <v>8.1743869209809257E-3</v>
      </c>
      <c r="S726" s="17">
        <v>6</v>
      </c>
      <c r="T726" s="36">
        <f t="shared" si="238"/>
        <v>1.4527845036319613E-2</v>
      </c>
      <c r="U726" s="17">
        <v>35</v>
      </c>
      <c r="V726" s="36">
        <f t="shared" si="228"/>
        <v>4.7683923705722074E-2</v>
      </c>
      <c r="W726" s="17">
        <v>23</v>
      </c>
      <c r="X726" s="36">
        <f t="shared" si="239"/>
        <v>5.569007263922518E-2</v>
      </c>
      <c r="Y726" s="17">
        <v>543</v>
      </c>
      <c r="Z726" s="36">
        <f t="shared" si="229"/>
        <v>0.73978201634877383</v>
      </c>
      <c r="AA726" s="17">
        <v>313</v>
      </c>
      <c r="AB726" s="36">
        <f t="shared" si="240"/>
        <v>0.75786924939467315</v>
      </c>
      <c r="AC726" s="17">
        <v>102</v>
      </c>
      <c r="AD726" s="36">
        <f t="shared" si="230"/>
        <v>0.13896457765667575</v>
      </c>
      <c r="AE726" s="17">
        <v>54</v>
      </c>
      <c r="AF726" s="36">
        <f t="shared" si="241"/>
        <v>0.13075060532687652</v>
      </c>
      <c r="AG726" s="17">
        <v>41</v>
      </c>
      <c r="AH726" s="36">
        <f t="shared" si="231"/>
        <v>5.5858310626702996E-2</v>
      </c>
      <c r="AI726" s="17">
        <v>15</v>
      </c>
      <c r="AJ726" s="36">
        <f t="shared" si="242"/>
        <v>3.6319612590799029E-2</v>
      </c>
      <c r="AK726" s="17">
        <v>7</v>
      </c>
      <c r="AL726" s="36">
        <f t="shared" si="232"/>
        <v>9.5367847411444145E-3</v>
      </c>
      <c r="AM726" s="17">
        <v>2</v>
      </c>
      <c r="AN726" s="36">
        <f t="shared" si="243"/>
        <v>4.8426150121065378E-3</v>
      </c>
      <c r="AO726" s="17">
        <v>734</v>
      </c>
      <c r="AP726" s="17">
        <v>413</v>
      </c>
    </row>
    <row r="727" spans="1:42" ht="15.75" customHeight="1" x14ac:dyDescent="0.25">
      <c r="A727" s="37">
        <v>2019</v>
      </c>
      <c r="B727" s="35">
        <v>170386</v>
      </c>
      <c r="C727" s="34" t="s">
        <v>146</v>
      </c>
      <c r="D727" s="34" t="s">
        <v>35</v>
      </c>
      <c r="E727" s="17">
        <v>2</v>
      </c>
      <c r="F727" s="36">
        <f t="shared" si="233"/>
        <v>7.7519379844961239E-3</v>
      </c>
      <c r="G727" s="17">
        <v>1</v>
      </c>
      <c r="H727" s="36">
        <f t="shared" si="234"/>
        <v>1.020408163265306E-2</v>
      </c>
      <c r="I727" s="17">
        <v>16</v>
      </c>
      <c r="J727" s="36">
        <f t="shared" si="235"/>
        <v>6.2015503875968991E-2</v>
      </c>
      <c r="K727" s="17">
        <v>9</v>
      </c>
      <c r="L727" s="36">
        <f t="shared" si="236"/>
        <v>9.1836734693877556E-2</v>
      </c>
      <c r="M727" s="17">
        <v>240</v>
      </c>
      <c r="N727" s="36">
        <f t="shared" ref="N727:N755" si="244">IFERROR(M727/$AO727,0)</f>
        <v>0.93023255813953487</v>
      </c>
      <c r="O727" s="17">
        <v>88</v>
      </c>
      <c r="P727" s="36">
        <f t="shared" si="237"/>
        <v>0.89795918367346939</v>
      </c>
      <c r="Q727" s="17">
        <v>3</v>
      </c>
      <c r="R727" s="36">
        <f t="shared" ref="R727:R755" si="245">IFERROR(Q727/$AO727,0)</f>
        <v>1.1627906976744186E-2</v>
      </c>
      <c r="S727" s="17">
        <v>3</v>
      </c>
      <c r="T727" s="36">
        <f t="shared" si="238"/>
        <v>3.0612244897959183E-2</v>
      </c>
      <c r="U727" s="17">
        <v>21</v>
      </c>
      <c r="V727" s="36">
        <f t="shared" ref="V727:V755" si="246">IFERROR(U727/$AO727,0)</f>
        <v>8.1395348837209308E-2</v>
      </c>
      <c r="W727" s="17">
        <v>5</v>
      </c>
      <c r="X727" s="36">
        <f t="shared" si="239"/>
        <v>5.1020408163265307E-2</v>
      </c>
      <c r="Y727" s="17">
        <v>160</v>
      </c>
      <c r="Z727" s="36">
        <f t="shared" ref="Z727:Z755" si="247">IFERROR(Y727/$AO727,0)</f>
        <v>0.62015503875968991</v>
      </c>
      <c r="AA727" s="17">
        <v>65</v>
      </c>
      <c r="AB727" s="36">
        <f t="shared" si="240"/>
        <v>0.66326530612244894</v>
      </c>
      <c r="AC727" s="17">
        <v>53</v>
      </c>
      <c r="AD727" s="36">
        <f t="shared" ref="AD727:AD755" si="248">IFERROR(AC727/$AO727,0)</f>
        <v>0.20542635658914729</v>
      </c>
      <c r="AE727" s="17">
        <v>20</v>
      </c>
      <c r="AF727" s="36">
        <f t="shared" si="241"/>
        <v>0.20408163265306123</v>
      </c>
      <c r="AG727" s="17">
        <v>17</v>
      </c>
      <c r="AH727" s="36">
        <f t="shared" ref="AH727:AH755" si="249">IFERROR(AG727/$AO727,0)</f>
        <v>6.589147286821706E-2</v>
      </c>
      <c r="AI727" s="17">
        <v>5</v>
      </c>
      <c r="AJ727" s="36">
        <f t="shared" si="242"/>
        <v>5.1020408163265307E-2</v>
      </c>
      <c r="AK727" s="17">
        <v>4</v>
      </c>
      <c r="AL727" s="36">
        <f t="shared" ref="AL727:AL755" si="250">IFERROR(AK727/$AO727,0)</f>
        <v>1.5503875968992248E-2</v>
      </c>
      <c r="AM727" s="17">
        <v>0</v>
      </c>
      <c r="AN727" s="36">
        <f t="shared" si="243"/>
        <v>0</v>
      </c>
      <c r="AO727" s="17">
        <v>258</v>
      </c>
      <c r="AP727" s="17">
        <v>98</v>
      </c>
    </row>
    <row r="728" spans="1:42" ht="15.75" customHeight="1" x14ac:dyDescent="0.25">
      <c r="A728" s="37">
        <v>2019</v>
      </c>
      <c r="B728" s="35">
        <v>170388</v>
      </c>
      <c r="C728" s="34" t="s">
        <v>149</v>
      </c>
      <c r="D728" s="34" t="s">
        <v>36</v>
      </c>
      <c r="E728" s="17">
        <v>1</v>
      </c>
      <c r="F728" s="36">
        <f t="shared" si="233"/>
        <v>5.1020408163265302E-3</v>
      </c>
      <c r="G728" s="17">
        <v>1</v>
      </c>
      <c r="H728" s="36">
        <f t="shared" si="234"/>
        <v>1.3888888888888888E-2</v>
      </c>
      <c r="I728" s="17">
        <v>8</v>
      </c>
      <c r="J728" s="36">
        <f t="shared" si="235"/>
        <v>4.0816326530612242E-2</v>
      </c>
      <c r="K728" s="17">
        <v>3</v>
      </c>
      <c r="L728" s="36">
        <f t="shared" si="236"/>
        <v>4.1666666666666664E-2</v>
      </c>
      <c r="M728" s="17">
        <v>187</v>
      </c>
      <c r="N728" s="36">
        <f t="shared" si="244"/>
        <v>0.95408163265306123</v>
      </c>
      <c r="O728" s="17">
        <v>68</v>
      </c>
      <c r="P728" s="36">
        <f t="shared" si="237"/>
        <v>0.94444444444444442</v>
      </c>
      <c r="Q728" s="17">
        <v>4</v>
      </c>
      <c r="R728" s="36">
        <f t="shared" si="245"/>
        <v>2.0408163265306121E-2</v>
      </c>
      <c r="S728" s="17">
        <v>3</v>
      </c>
      <c r="T728" s="36">
        <f t="shared" si="238"/>
        <v>4.1666666666666664E-2</v>
      </c>
      <c r="U728" s="17">
        <v>11</v>
      </c>
      <c r="V728" s="36">
        <f t="shared" si="246"/>
        <v>5.6122448979591837E-2</v>
      </c>
      <c r="W728" s="17">
        <v>2</v>
      </c>
      <c r="X728" s="36">
        <f t="shared" si="239"/>
        <v>2.7777777777777776E-2</v>
      </c>
      <c r="Y728" s="17">
        <v>141</v>
      </c>
      <c r="Z728" s="36">
        <f t="shared" si="247"/>
        <v>0.71938775510204078</v>
      </c>
      <c r="AA728" s="17">
        <v>55</v>
      </c>
      <c r="AB728" s="36">
        <f t="shared" si="240"/>
        <v>0.76388888888888884</v>
      </c>
      <c r="AC728" s="17">
        <v>28</v>
      </c>
      <c r="AD728" s="36">
        <f t="shared" si="248"/>
        <v>0.14285714285714285</v>
      </c>
      <c r="AE728" s="17">
        <v>10</v>
      </c>
      <c r="AF728" s="36">
        <f t="shared" si="241"/>
        <v>0.1388888888888889</v>
      </c>
      <c r="AG728" s="17">
        <v>8</v>
      </c>
      <c r="AH728" s="36">
        <f t="shared" si="249"/>
        <v>4.0816326530612242E-2</v>
      </c>
      <c r="AI728" s="17">
        <v>2</v>
      </c>
      <c r="AJ728" s="36">
        <f t="shared" si="242"/>
        <v>2.7777777777777776E-2</v>
      </c>
      <c r="AK728" s="17">
        <v>4</v>
      </c>
      <c r="AL728" s="36">
        <f t="shared" si="250"/>
        <v>2.0408163265306121E-2</v>
      </c>
      <c r="AM728" s="17">
        <v>0</v>
      </c>
      <c r="AN728" s="36">
        <f t="shared" si="243"/>
        <v>0</v>
      </c>
      <c r="AO728" s="17">
        <v>196</v>
      </c>
      <c r="AP728" s="17">
        <v>72</v>
      </c>
    </row>
    <row r="729" spans="1:42" ht="15.75" customHeight="1" x14ac:dyDescent="0.25">
      <c r="A729" s="37">
        <v>2019</v>
      </c>
      <c r="B729" s="35">
        <v>170389</v>
      </c>
      <c r="C729" s="34" t="s">
        <v>145</v>
      </c>
      <c r="D729" s="34" t="s">
        <v>37</v>
      </c>
      <c r="E729" s="17">
        <v>13</v>
      </c>
      <c r="F729" s="36">
        <f t="shared" si="233"/>
        <v>2.6694045174537988E-2</v>
      </c>
      <c r="G729" s="17">
        <v>8</v>
      </c>
      <c r="H729" s="36">
        <f t="shared" si="234"/>
        <v>0.04</v>
      </c>
      <c r="I729" s="17">
        <v>54</v>
      </c>
      <c r="J729" s="36">
        <f t="shared" si="235"/>
        <v>0.11088295687885011</v>
      </c>
      <c r="K729" s="17">
        <v>22</v>
      </c>
      <c r="L729" s="36">
        <f t="shared" si="236"/>
        <v>0.11</v>
      </c>
      <c r="M729" s="17">
        <v>420</v>
      </c>
      <c r="N729" s="36">
        <f t="shared" si="244"/>
        <v>0.86242299794661192</v>
      </c>
      <c r="O729" s="17">
        <v>170</v>
      </c>
      <c r="P729" s="36">
        <f t="shared" si="237"/>
        <v>0.85</v>
      </c>
      <c r="Q729" s="17">
        <v>3</v>
      </c>
      <c r="R729" s="36">
        <f t="shared" si="245"/>
        <v>6.1601642710472282E-3</v>
      </c>
      <c r="S729" s="17">
        <v>0</v>
      </c>
      <c r="T729" s="36">
        <f t="shared" si="238"/>
        <v>0</v>
      </c>
      <c r="U729" s="17">
        <v>24</v>
      </c>
      <c r="V729" s="36">
        <f t="shared" si="246"/>
        <v>4.9281314168377825E-2</v>
      </c>
      <c r="W729" s="17">
        <v>9</v>
      </c>
      <c r="X729" s="36">
        <f t="shared" si="239"/>
        <v>4.4999999999999998E-2</v>
      </c>
      <c r="Y729" s="17">
        <v>368</v>
      </c>
      <c r="Z729" s="36">
        <f t="shared" si="247"/>
        <v>0.75564681724845995</v>
      </c>
      <c r="AA729" s="17">
        <v>154</v>
      </c>
      <c r="AB729" s="36">
        <f t="shared" si="240"/>
        <v>0.77</v>
      </c>
      <c r="AC729" s="17">
        <v>61</v>
      </c>
      <c r="AD729" s="36">
        <f t="shared" si="248"/>
        <v>0.12525667351129363</v>
      </c>
      <c r="AE729" s="17">
        <v>26</v>
      </c>
      <c r="AF729" s="36">
        <f t="shared" si="241"/>
        <v>0.13</v>
      </c>
      <c r="AG729" s="17">
        <v>25</v>
      </c>
      <c r="AH729" s="36">
        <f t="shared" si="249"/>
        <v>5.1334702258726897E-2</v>
      </c>
      <c r="AI729" s="17">
        <v>9</v>
      </c>
      <c r="AJ729" s="36">
        <f t="shared" si="242"/>
        <v>4.4999999999999998E-2</v>
      </c>
      <c r="AK729" s="17">
        <v>6</v>
      </c>
      <c r="AL729" s="36">
        <f t="shared" si="250"/>
        <v>1.2320328542094456E-2</v>
      </c>
      <c r="AM729" s="17">
        <v>2</v>
      </c>
      <c r="AN729" s="36">
        <f t="shared" si="243"/>
        <v>0.01</v>
      </c>
      <c r="AO729" s="17">
        <v>487</v>
      </c>
      <c r="AP729" s="17">
        <v>200</v>
      </c>
    </row>
    <row r="730" spans="1:42" ht="15.75" customHeight="1" x14ac:dyDescent="0.25">
      <c r="A730" s="37">
        <v>2019</v>
      </c>
      <c r="B730" s="35">
        <v>170390</v>
      </c>
      <c r="C730" s="34" t="s">
        <v>144</v>
      </c>
      <c r="D730" s="34" t="s">
        <v>38</v>
      </c>
      <c r="E730" s="17">
        <v>17</v>
      </c>
      <c r="F730" s="36">
        <f t="shared" si="233"/>
        <v>3.6717062634989202E-2</v>
      </c>
      <c r="G730" s="17">
        <v>14</v>
      </c>
      <c r="H730" s="36">
        <f t="shared" si="234"/>
        <v>4.3076923076923075E-2</v>
      </c>
      <c r="I730" s="17">
        <v>24</v>
      </c>
      <c r="J730" s="36">
        <f t="shared" si="235"/>
        <v>5.183585313174946E-2</v>
      </c>
      <c r="K730" s="17">
        <v>16</v>
      </c>
      <c r="L730" s="36">
        <f t="shared" si="236"/>
        <v>4.9230769230769231E-2</v>
      </c>
      <c r="M730" s="17">
        <v>422</v>
      </c>
      <c r="N730" s="36">
        <f t="shared" si="244"/>
        <v>0.91144708423326137</v>
      </c>
      <c r="O730" s="17">
        <v>295</v>
      </c>
      <c r="P730" s="36">
        <f t="shared" si="237"/>
        <v>0.90769230769230769</v>
      </c>
      <c r="Q730" s="17">
        <v>7</v>
      </c>
      <c r="R730" s="36">
        <f t="shared" si="245"/>
        <v>1.511879049676026E-2</v>
      </c>
      <c r="S730" s="17">
        <v>3</v>
      </c>
      <c r="T730" s="36">
        <f t="shared" si="238"/>
        <v>9.2307692307692316E-3</v>
      </c>
      <c r="U730" s="17">
        <v>12</v>
      </c>
      <c r="V730" s="36">
        <f t="shared" si="246"/>
        <v>2.591792656587473E-2</v>
      </c>
      <c r="W730" s="17">
        <v>6</v>
      </c>
      <c r="X730" s="36">
        <f t="shared" si="239"/>
        <v>1.8461538461538463E-2</v>
      </c>
      <c r="Y730" s="17">
        <v>336</v>
      </c>
      <c r="Z730" s="36">
        <f t="shared" si="247"/>
        <v>0.72570194384449249</v>
      </c>
      <c r="AA730" s="17">
        <v>240</v>
      </c>
      <c r="AB730" s="36">
        <f t="shared" si="240"/>
        <v>0.7384615384615385</v>
      </c>
      <c r="AC730" s="17">
        <v>68</v>
      </c>
      <c r="AD730" s="36">
        <f t="shared" si="248"/>
        <v>0.14686825053995681</v>
      </c>
      <c r="AE730" s="17">
        <v>55</v>
      </c>
      <c r="AF730" s="36">
        <f t="shared" si="241"/>
        <v>0.16923076923076924</v>
      </c>
      <c r="AG730" s="17">
        <v>34</v>
      </c>
      <c r="AH730" s="36">
        <f t="shared" si="249"/>
        <v>7.3434125269978404E-2</v>
      </c>
      <c r="AI730" s="17">
        <v>17</v>
      </c>
      <c r="AJ730" s="36">
        <f t="shared" si="242"/>
        <v>5.2307692307692305E-2</v>
      </c>
      <c r="AK730" s="17">
        <v>6</v>
      </c>
      <c r="AL730" s="36">
        <f t="shared" si="250"/>
        <v>1.2958963282937365E-2</v>
      </c>
      <c r="AM730" s="17">
        <v>4</v>
      </c>
      <c r="AN730" s="36">
        <f t="shared" si="243"/>
        <v>1.2307692307692308E-2</v>
      </c>
      <c r="AO730" s="17">
        <v>463</v>
      </c>
      <c r="AP730" s="17">
        <v>325</v>
      </c>
    </row>
    <row r="731" spans="1:42" ht="15.75" customHeight="1" x14ac:dyDescent="0.25">
      <c r="A731" s="37">
        <v>2019</v>
      </c>
      <c r="B731" s="35">
        <v>170410</v>
      </c>
      <c r="C731" s="34" t="s">
        <v>150</v>
      </c>
      <c r="D731" s="34" t="s">
        <v>39</v>
      </c>
      <c r="E731" s="17">
        <v>1</v>
      </c>
      <c r="F731" s="36">
        <f t="shared" si="233"/>
        <v>5.7142857142857143E-3</v>
      </c>
      <c r="G731" s="17">
        <v>1</v>
      </c>
      <c r="H731" s="36">
        <f t="shared" si="234"/>
        <v>9.5238095238095247E-3</v>
      </c>
      <c r="I731" s="17">
        <v>14</v>
      </c>
      <c r="J731" s="36">
        <f t="shared" si="235"/>
        <v>0.08</v>
      </c>
      <c r="K731" s="17">
        <v>9</v>
      </c>
      <c r="L731" s="36">
        <f t="shared" si="236"/>
        <v>8.5714285714285715E-2</v>
      </c>
      <c r="M731" s="17">
        <v>160</v>
      </c>
      <c r="N731" s="36">
        <f t="shared" si="244"/>
        <v>0.91428571428571426</v>
      </c>
      <c r="O731" s="17">
        <v>95</v>
      </c>
      <c r="P731" s="36">
        <f t="shared" si="237"/>
        <v>0.90476190476190477</v>
      </c>
      <c r="Q731" s="17">
        <v>1</v>
      </c>
      <c r="R731" s="36">
        <f t="shared" si="245"/>
        <v>5.7142857142857143E-3</v>
      </c>
      <c r="S731" s="17">
        <v>1</v>
      </c>
      <c r="T731" s="36">
        <f t="shared" si="238"/>
        <v>9.5238095238095247E-3</v>
      </c>
      <c r="U731" s="17">
        <v>3</v>
      </c>
      <c r="V731" s="36">
        <f t="shared" si="246"/>
        <v>1.7142857142857144E-2</v>
      </c>
      <c r="W731" s="17">
        <v>2</v>
      </c>
      <c r="X731" s="36">
        <f t="shared" si="239"/>
        <v>1.9047619047619049E-2</v>
      </c>
      <c r="Y731" s="17">
        <v>140</v>
      </c>
      <c r="Z731" s="36">
        <f t="shared" si="247"/>
        <v>0.8</v>
      </c>
      <c r="AA731" s="17">
        <v>82</v>
      </c>
      <c r="AB731" s="36">
        <f t="shared" si="240"/>
        <v>0.78095238095238095</v>
      </c>
      <c r="AC731" s="17">
        <v>16</v>
      </c>
      <c r="AD731" s="36">
        <f t="shared" si="248"/>
        <v>9.1428571428571428E-2</v>
      </c>
      <c r="AE731" s="17">
        <v>12</v>
      </c>
      <c r="AF731" s="36">
        <f t="shared" si="241"/>
        <v>0.11428571428571428</v>
      </c>
      <c r="AG731" s="17">
        <v>12</v>
      </c>
      <c r="AH731" s="36">
        <f t="shared" si="249"/>
        <v>6.8571428571428575E-2</v>
      </c>
      <c r="AI731" s="17">
        <v>6</v>
      </c>
      <c r="AJ731" s="36">
        <f t="shared" si="242"/>
        <v>5.7142857142857141E-2</v>
      </c>
      <c r="AK731" s="17">
        <v>3</v>
      </c>
      <c r="AL731" s="36">
        <f t="shared" si="250"/>
        <v>1.7142857142857144E-2</v>
      </c>
      <c r="AM731" s="17">
        <v>2</v>
      </c>
      <c r="AN731" s="36">
        <f t="shared" si="243"/>
        <v>1.9047619047619049E-2</v>
      </c>
      <c r="AO731" s="17">
        <v>175</v>
      </c>
      <c r="AP731" s="17">
        <v>105</v>
      </c>
    </row>
    <row r="732" spans="1:42" ht="15.75" customHeight="1" x14ac:dyDescent="0.25">
      <c r="A732" s="37">
        <v>2019</v>
      </c>
      <c r="B732" s="35">
        <v>170510</v>
      </c>
      <c r="C732" s="34" t="s">
        <v>151</v>
      </c>
      <c r="D732" s="34" t="s">
        <v>40</v>
      </c>
      <c r="E732" s="17">
        <v>6</v>
      </c>
      <c r="F732" s="36">
        <f t="shared" si="233"/>
        <v>1.9108280254777069E-2</v>
      </c>
      <c r="G732" s="17">
        <v>2</v>
      </c>
      <c r="H732" s="36">
        <f t="shared" si="234"/>
        <v>1.1695906432748537E-2</v>
      </c>
      <c r="I732" s="17">
        <v>13</v>
      </c>
      <c r="J732" s="36">
        <f t="shared" si="235"/>
        <v>4.1401273885350316E-2</v>
      </c>
      <c r="K732" s="17">
        <v>7</v>
      </c>
      <c r="L732" s="36">
        <f t="shared" si="236"/>
        <v>4.0935672514619881E-2</v>
      </c>
      <c r="M732" s="17">
        <v>295</v>
      </c>
      <c r="N732" s="36">
        <f t="shared" si="244"/>
        <v>0.93949044585987262</v>
      </c>
      <c r="O732" s="17">
        <v>162</v>
      </c>
      <c r="P732" s="36">
        <f t="shared" si="237"/>
        <v>0.94736842105263153</v>
      </c>
      <c r="Q732" s="17">
        <v>6</v>
      </c>
      <c r="R732" s="36">
        <f t="shared" si="245"/>
        <v>1.9108280254777069E-2</v>
      </c>
      <c r="S732" s="17">
        <v>3</v>
      </c>
      <c r="T732" s="36">
        <f t="shared" si="238"/>
        <v>1.7543859649122806E-2</v>
      </c>
      <c r="U732" s="17">
        <v>10</v>
      </c>
      <c r="V732" s="36">
        <f t="shared" si="246"/>
        <v>3.1847133757961783E-2</v>
      </c>
      <c r="W732" s="17">
        <v>5</v>
      </c>
      <c r="X732" s="36">
        <f t="shared" si="239"/>
        <v>2.9239766081871343E-2</v>
      </c>
      <c r="Y732" s="17">
        <v>218</v>
      </c>
      <c r="Z732" s="36">
        <f t="shared" si="247"/>
        <v>0.69426751592356684</v>
      </c>
      <c r="AA732" s="17">
        <v>116</v>
      </c>
      <c r="AB732" s="36">
        <f t="shared" si="240"/>
        <v>0.67836257309941517</v>
      </c>
      <c r="AC732" s="17">
        <v>45</v>
      </c>
      <c r="AD732" s="36">
        <f t="shared" si="248"/>
        <v>0.14331210191082802</v>
      </c>
      <c r="AE732" s="17">
        <v>29</v>
      </c>
      <c r="AF732" s="36">
        <f t="shared" si="241"/>
        <v>0.16959064327485379</v>
      </c>
      <c r="AG732" s="17">
        <v>30</v>
      </c>
      <c r="AH732" s="36">
        <f t="shared" si="249"/>
        <v>9.5541401273885357E-2</v>
      </c>
      <c r="AI732" s="17">
        <v>15</v>
      </c>
      <c r="AJ732" s="36">
        <f t="shared" si="242"/>
        <v>8.771929824561403E-2</v>
      </c>
      <c r="AK732" s="17">
        <v>5</v>
      </c>
      <c r="AL732" s="36">
        <f t="shared" si="250"/>
        <v>1.5923566878980892E-2</v>
      </c>
      <c r="AM732" s="17">
        <v>3</v>
      </c>
      <c r="AN732" s="36">
        <f t="shared" si="243"/>
        <v>1.7543859649122806E-2</v>
      </c>
      <c r="AO732" s="17">
        <v>314</v>
      </c>
      <c r="AP732" s="17">
        <v>171</v>
      </c>
    </row>
    <row r="733" spans="1:42" ht="15.75" customHeight="1" x14ac:dyDescent="0.25">
      <c r="A733" s="37">
        <v>2019</v>
      </c>
      <c r="B733" s="35">
        <v>170460</v>
      </c>
      <c r="C733" s="34" t="s">
        <v>144</v>
      </c>
      <c r="D733" s="34" t="s">
        <v>41</v>
      </c>
      <c r="E733" s="17">
        <v>2</v>
      </c>
      <c r="F733" s="36">
        <f t="shared" si="233"/>
        <v>1.0869565217391304E-2</v>
      </c>
      <c r="G733" s="17">
        <v>1</v>
      </c>
      <c r="H733" s="36">
        <f t="shared" si="234"/>
        <v>0.02</v>
      </c>
      <c r="I733" s="17">
        <v>9</v>
      </c>
      <c r="J733" s="36">
        <f t="shared" si="235"/>
        <v>4.8913043478260872E-2</v>
      </c>
      <c r="K733" s="17">
        <v>2</v>
      </c>
      <c r="L733" s="36">
        <f t="shared" si="236"/>
        <v>0.04</v>
      </c>
      <c r="M733" s="17">
        <v>173</v>
      </c>
      <c r="N733" s="36">
        <f t="shared" si="244"/>
        <v>0.94021739130434778</v>
      </c>
      <c r="O733" s="17">
        <v>47</v>
      </c>
      <c r="P733" s="36">
        <f t="shared" si="237"/>
        <v>0.94</v>
      </c>
      <c r="Q733" s="17">
        <v>3</v>
      </c>
      <c r="R733" s="36">
        <f t="shared" si="245"/>
        <v>1.6304347826086956E-2</v>
      </c>
      <c r="S733" s="17">
        <v>0</v>
      </c>
      <c r="T733" s="36">
        <f t="shared" si="238"/>
        <v>0</v>
      </c>
      <c r="U733" s="17">
        <v>8</v>
      </c>
      <c r="V733" s="36">
        <f t="shared" si="246"/>
        <v>4.3478260869565216E-2</v>
      </c>
      <c r="W733" s="17">
        <v>3</v>
      </c>
      <c r="X733" s="36">
        <f t="shared" si="239"/>
        <v>0.06</v>
      </c>
      <c r="Y733" s="17">
        <v>121</v>
      </c>
      <c r="Z733" s="36">
        <f t="shared" si="247"/>
        <v>0.65760869565217395</v>
      </c>
      <c r="AA733" s="17">
        <v>27</v>
      </c>
      <c r="AB733" s="36">
        <f t="shared" si="240"/>
        <v>0.54</v>
      </c>
      <c r="AC733" s="17">
        <v>39</v>
      </c>
      <c r="AD733" s="36">
        <f t="shared" si="248"/>
        <v>0.21195652173913043</v>
      </c>
      <c r="AE733" s="17">
        <v>17</v>
      </c>
      <c r="AF733" s="36">
        <f t="shared" si="241"/>
        <v>0.34</v>
      </c>
      <c r="AG733" s="17">
        <v>10</v>
      </c>
      <c r="AH733" s="36">
        <f t="shared" si="249"/>
        <v>5.434782608695652E-2</v>
      </c>
      <c r="AI733" s="17">
        <v>3</v>
      </c>
      <c r="AJ733" s="36">
        <f t="shared" si="242"/>
        <v>0.06</v>
      </c>
      <c r="AK733" s="17">
        <v>3</v>
      </c>
      <c r="AL733" s="36">
        <f t="shared" si="250"/>
        <v>1.6304347826086956E-2</v>
      </c>
      <c r="AM733" s="17">
        <v>0</v>
      </c>
      <c r="AN733" s="36">
        <f t="shared" si="243"/>
        <v>0</v>
      </c>
      <c r="AO733" s="17">
        <v>184</v>
      </c>
      <c r="AP733" s="17">
        <v>50</v>
      </c>
    </row>
    <row r="734" spans="1:42" ht="15.75" customHeight="1" x14ac:dyDescent="0.25">
      <c r="A734" s="37">
        <v>2019</v>
      </c>
      <c r="B734" s="35">
        <v>170550</v>
      </c>
      <c r="C734" s="34" t="s">
        <v>150</v>
      </c>
      <c r="D734" s="34" t="s">
        <v>42</v>
      </c>
      <c r="E734" s="17">
        <v>25</v>
      </c>
      <c r="F734" s="36">
        <f t="shared" si="233"/>
        <v>1.3528138528138528E-2</v>
      </c>
      <c r="G734" s="17">
        <v>13</v>
      </c>
      <c r="H734" s="36">
        <f t="shared" si="234"/>
        <v>1.9374068554396422E-2</v>
      </c>
      <c r="I734" s="17">
        <v>78</v>
      </c>
      <c r="J734" s="36">
        <f t="shared" si="235"/>
        <v>4.2207792207792208E-2</v>
      </c>
      <c r="K734" s="17">
        <v>34</v>
      </c>
      <c r="L734" s="36">
        <f t="shared" si="236"/>
        <v>5.0670640834575259E-2</v>
      </c>
      <c r="M734" s="16">
        <v>1745</v>
      </c>
      <c r="N734" s="36">
        <f t="shared" si="244"/>
        <v>0.94426406926406925</v>
      </c>
      <c r="O734" s="17">
        <v>624</v>
      </c>
      <c r="P734" s="36">
        <f t="shared" si="237"/>
        <v>0.92995529061102833</v>
      </c>
      <c r="Q734" s="17">
        <v>19</v>
      </c>
      <c r="R734" s="36">
        <f t="shared" si="245"/>
        <v>1.0281385281385282E-2</v>
      </c>
      <c r="S734" s="17">
        <v>5</v>
      </c>
      <c r="T734" s="36">
        <f t="shared" si="238"/>
        <v>7.4515648286140089E-3</v>
      </c>
      <c r="U734" s="17">
        <v>73</v>
      </c>
      <c r="V734" s="36">
        <f t="shared" si="246"/>
        <v>3.9502164502164504E-2</v>
      </c>
      <c r="W734" s="17">
        <v>27</v>
      </c>
      <c r="X734" s="36">
        <f t="shared" si="239"/>
        <v>4.0238450074515646E-2</v>
      </c>
      <c r="Y734" s="16">
        <v>1245</v>
      </c>
      <c r="Z734" s="36">
        <f t="shared" si="247"/>
        <v>0.67370129870129869</v>
      </c>
      <c r="AA734" s="17">
        <v>474</v>
      </c>
      <c r="AB734" s="36">
        <f t="shared" si="240"/>
        <v>0.70640834575260802</v>
      </c>
      <c r="AC734" s="17">
        <v>328</v>
      </c>
      <c r="AD734" s="36">
        <f t="shared" si="248"/>
        <v>0.1774891774891775</v>
      </c>
      <c r="AE734" s="17">
        <v>110</v>
      </c>
      <c r="AF734" s="36">
        <f t="shared" si="241"/>
        <v>0.16393442622950818</v>
      </c>
      <c r="AG734" s="17">
        <v>150</v>
      </c>
      <c r="AH734" s="36">
        <f t="shared" si="249"/>
        <v>8.1168831168831168E-2</v>
      </c>
      <c r="AI734" s="17">
        <v>46</v>
      </c>
      <c r="AJ734" s="36">
        <f t="shared" si="242"/>
        <v>6.8554396423248884E-2</v>
      </c>
      <c r="AK734" s="17">
        <v>33</v>
      </c>
      <c r="AL734" s="36">
        <f t="shared" si="250"/>
        <v>1.7857142857142856E-2</v>
      </c>
      <c r="AM734" s="17">
        <v>9</v>
      </c>
      <c r="AN734" s="36">
        <f t="shared" si="243"/>
        <v>1.3412816691505217E-2</v>
      </c>
      <c r="AO734" s="16">
        <v>1848</v>
      </c>
      <c r="AP734" s="17">
        <v>671</v>
      </c>
    </row>
    <row r="735" spans="1:42" ht="15.75" customHeight="1" x14ac:dyDescent="0.25">
      <c r="A735" s="37">
        <v>2019</v>
      </c>
      <c r="B735" s="35">
        <v>171670</v>
      </c>
      <c r="C735" s="34" t="s">
        <v>150</v>
      </c>
      <c r="D735" s="34" t="s">
        <v>43</v>
      </c>
      <c r="E735" s="17">
        <v>7</v>
      </c>
      <c r="F735" s="36">
        <f t="shared" si="233"/>
        <v>1.6203703703703703E-2</v>
      </c>
      <c r="G735" s="17">
        <v>5</v>
      </c>
      <c r="H735" s="36">
        <f t="shared" si="234"/>
        <v>2.1551724137931036E-2</v>
      </c>
      <c r="I735" s="17">
        <v>21</v>
      </c>
      <c r="J735" s="36">
        <f t="shared" si="235"/>
        <v>4.8611111111111112E-2</v>
      </c>
      <c r="K735" s="17">
        <v>15</v>
      </c>
      <c r="L735" s="36">
        <f t="shared" si="236"/>
        <v>6.4655172413793108E-2</v>
      </c>
      <c r="M735" s="17">
        <v>404</v>
      </c>
      <c r="N735" s="36">
        <f t="shared" si="244"/>
        <v>0.93518518518518523</v>
      </c>
      <c r="O735" s="17">
        <v>212</v>
      </c>
      <c r="P735" s="36">
        <f t="shared" si="237"/>
        <v>0.91379310344827591</v>
      </c>
      <c r="Q735" s="17">
        <v>4</v>
      </c>
      <c r="R735" s="36">
        <f t="shared" si="245"/>
        <v>9.2592592592592587E-3</v>
      </c>
      <c r="S735" s="17">
        <v>3</v>
      </c>
      <c r="T735" s="36">
        <f t="shared" si="238"/>
        <v>1.2931034482758621E-2</v>
      </c>
      <c r="U735" s="17">
        <v>14</v>
      </c>
      <c r="V735" s="36">
        <f t="shared" si="246"/>
        <v>3.2407407407407406E-2</v>
      </c>
      <c r="W735" s="17">
        <v>6</v>
      </c>
      <c r="X735" s="36">
        <f t="shared" si="239"/>
        <v>2.5862068965517241E-2</v>
      </c>
      <c r="Y735" s="17">
        <v>300</v>
      </c>
      <c r="Z735" s="36">
        <f t="shared" si="247"/>
        <v>0.69444444444444442</v>
      </c>
      <c r="AA735" s="17">
        <v>168</v>
      </c>
      <c r="AB735" s="36">
        <f t="shared" si="240"/>
        <v>0.72413793103448276</v>
      </c>
      <c r="AC735" s="17">
        <v>73</v>
      </c>
      <c r="AD735" s="36">
        <f t="shared" si="248"/>
        <v>0.16898148148148148</v>
      </c>
      <c r="AE735" s="17">
        <v>34</v>
      </c>
      <c r="AF735" s="36">
        <f t="shared" si="241"/>
        <v>0.14655172413793102</v>
      </c>
      <c r="AG735" s="17">
        <v>34</v>
      </c>
      <c r="AH735" s="36">
        <f t="shared" si="249"/>
        <v>7.8703703703703706E-2</v>
      </c>
      <c r="AI735" s="17">
        <v>17</v>
      </c>
      <c r="AJ735" s="36">
        <f t="shared" si="242"/>
        <v>7.3275862068965511E-2</v>
      </c>
      <c r="AK735" s="17">
        <v>7</v>
      </c>
      <c r="AL735" s="36">
        <f t="shared" si="250"/>
        <v>1.6203703703703703E-2</v>
      </c>
      <c r="AM735" s="17">
        <v>4</v>
      </c>
      <c r="AN735" s="36">
        <f t="shared" si="243"/>
        <v>1.7241379310344827E-2</v>
      </c>
      <c r="AO735" s="17">
        <v>432</v>
      </c>
      <c r="AP735" s="17">
        <v>232</v>
      </c>
    </row>
    <row r="736" spans="1:42" ht="15.75" customHeight="1" x14ac:dyDescent="0.25">
      <c r="A736" s="37">
        <v>2019</v>
      </c>
      <c r="B736" s="35">
        <v>170555</v>
      </c>
      <c r="C736" s="34" t="s">
        <v>147</v>
      </c>
      <c r="D736" s="34" t="s">
        <v>44</v>
      </c>
      <c r="E736" s="17">
        <v>13</v>
      </c>
      <c r="F736" s="36">
        <f t="shared" si="233"/>
        <v>3.2178217821782179E-2</v>
      </c>
      <c r="G736" s="17">
        <v>11</v>
      </c>
      <c r="H736" s="36">
        <f t="shared" si="234"/>
        <v>4.7413793103448273E-2</v>
      </c>
      <c r="I736" s="17">
        <v>25</v>
      </c>
      <c r="J736" s="36">
        <f t="shared" si="235"/>
        <v>6.1881188118811881E-2</v>
      </c>
      <c r="K736" s="17">
        <v>14</v>
      </c>
      <c r="L736" s="36">
        <f t="shared" si="236"/>
        <v>6.0344827586206899E-2</v>
      </c>
      <c r="M736" s="17">
        <v>366</v>
      </c>
      <c r="N736" s="36">
        <f t="shared" si="244"/>
        <v>0.90594059405940597</v>
      </c>
      <c r="O736" s="17">
        <v>207</v>
      </c>
      <c r="P736" s="36">
        <f t="shared" si="237"/>
        <v>0.89224137931034486</v>
      </c>
      <c r="Q736" s="17">
        <v>5</v>
      </c>
      <c r="R736" s="36">
        <f t="shared" si="245"/>
        <v>1.2376237623762377E-2</v>
      </c>
      <c r="S736" s="17">
        <v>2</v>
      </c>
      <c r="T736" s="36">
        <f t="shared" si="238"/>
        <v>8.6206896551724137E-3</v>
      </c>
      <c r="U736" s="17">
        <v>15</v>
      </c>
      <c r="V736" s="36">
        <f t="shared" si="246"/>
        <v>3.7128712871287127E-2</v>
      </c>
      <c r="W736" s="17">
        <v>8</v>
      </c>
      <c r="X736" s="36">
        <f t="shared" si="239"/>
        <v>3.4482758620689655E-2</v>
      </c>
      <c r="Y736" s="17">
        <v>300</v>
      </c>
      <c r="Z736" s="36">
        <f t="shared" si="247"/>
        <v>0.74257425742574257</v>
      </c>
      <c r="AA736" s="17">
        <v>178</v>
      </c>
      <c r="AB736" s="36">
        <f t="shared" si="240"/>
        <v>0.76724137931034486</v>
      </c>
      <c r="AC736" s="17">
        <v>64</v>
      </c>
      <c r="AD736" s="36">
        <f t="shared" si="248"/>
        <v>0.15841584158415842</v>
      </c>
      <c r="AE736" s="17">
        <v>34</v>
      </c>
      <c r="AF736" s="36">
        <f t="shared" si="241"/>
        <v>0.14655172413793102</v>
      </c>
      <c r="AG736" s="17">
        <v>16</v>
      </c>
      <c r="AH736" s="36">
        <f t="shared" si="249"/>
        <v>3.9603960396039604E-2</v>
      </c>
      <c r="AI736" s="17">
        <v>9</v>
      </c>
      <c r="AJ736" s="36">
        <f t="shared" si="242"/>
        <v>3.8793103448275863E-2</v>
      </c>
      <c r="AK736" s="17">
        <v>4</v>
      </c>
      <c r="AL736" s="36">
        <f t="shared" si="250"/>
        <v>9.9009900990099011E-3</v>
      </c>
      <c r="AM736" s="17">
        <v>1</v>
      </c>
      <c r="AN736" s="36">
        <f t="shared" si="243"/>
        <v>4.3103448275862068E-3</v>
      </c>
      <c r="AO736" s="17">
        <v>404</v>
      </c>
      <c r="AP736" s="17">
        <v>232</v>
      </c>
    </row>
    <row r="737" spans="1:42" ht="15.75" customHeight="1" x14ac:dyDescent="0.25">
      <c r="A737" s="37">
        <v>2019</v>
      </c>
      <c r="B737" s="35">
        <v>170560</v>
      </c>
      <c r="C737" s="34" t="s">
        <v>147</v>
      </c>
      <c r="D737" s="34" t="s">
        <v>45</v>
      </c>
      <c r="E737" s="17">
        <v>3</v>
      </c>
      <c r="F737" s="36">
        <f t="shared" si="233"/>
        <v>5.1020408163265302E-3</v>
      </c>
      <c r="G737" s="17">
        <v>2</v>
      </c>
      <c r="H737" s="36">
        <f t="shared" si="234"/>
        <v>6.8728522336769758E-3</v>
      </c>
      <c r="I737" s="17">
        <v>16</v>
      </c>
      <c r="J737" s="36">
        <f t="shared" si="235"/>
        <v>2.7210884353741496E-2</v>
      </c>
      <c r="K737" s="17">
        <v>7</v>
      </c>
      <c r="L737" s="36">
        <f t="shared" si="236"/>
        <v>2.4054982817869417E-2</v>
      </c>
      <c r="M737" s="17">
        <v>569</v>
      </c>
      <c r="N737" s="36">
        <f t="shared" si="244"/>
        <v>0.96768707482993199</v>
      </c>
      <c r="O737" s="17">
        <v>282</v>
      </c>
      <c r="P737" s="36">
        <f t="shared" si="237"/>
        <v>0.96907216494845361</v>
      </c>
      <c r="Q737" s="17">
        <v>6</v>
      </c>
      <c r="R737" s="36">
        <f t="shared" si="245"/>
        <v>1.020408163265306E-2</v>
      </c>
      <c r="S737" s="17">
        <v>4</v>
      </c>
      <c r="T737" s="36">
        <f t="shared" si="238"/>
        <v>1.3745704467353952E-2</v>
      </c>
      <c r="U737" s="17">
        <v>34</v>
      </c>
      <c r="V737" s="36">
        <f t="shared" si="246"/>
        <v>5.7823129251700682E-2</v>
      </c>
      <c r="W737" s="17">
        <v>16</v>
      </c>
      <c r="X737" s="36">
        <f t="shared" si="239"/>
        <v>5.4982817869415807E-2</v>
      </c>
      <c r="Y737" s="17">
        <v>435</v>
      </c>
      <c r="Z737" s="36">
        <f t="shared" si="247"/>
        <v>0.73979591836734693</v>
      </c>
      <c r="AA737" s="17">
        <v>213</v>
      </c>
      <c r="AB737" s="36">
        <f t="shared" si="240"/>
        <v>0.73195876288659789</v>
      </c>
      <c r="AC737" s="17">
        <v>74</v>
      </c>
      <c r="AD737" s="36">
        <f t="shared" si="248"/>
        <v>0.12585034013605442</v>
      </c>
      <c r="AE737" s="17">
        <v>42</v>
      </c>
      <c r="AF737" s="36">
        <f t="shared" si="241"/>
        <v>0.14432989690721648</v>
      </c>
      <c r="AG737" s="17">
        <v>32</v>
      </c>
      <c r="AH737" s="36">
        <f t="shared" si="249"/>
        <v>5.4421768707482991E-2</v>
      </c>
      <c r="AI737" s="17">
        <v>15</v>
      </c>
      <c r="AJ737" s="36">
        <f t="shared" si="242"/>
        <v>5.1546391752577317E-2</v>
      </c>
      <c r="AK737" s="17">
        <v>7</v>
      </c>
      <c r="AL737" s="36">
        <f t="shared" si="250"/>
        <v>1.1904761904761904E-2</v>
      </c>
      <c r="AM737" s="17">
        <v>1</v>
      </c>
      <c r="AN737" s="36">
        <f t="shared" si="243"/>
        <v>3.4364261168384879E-3</v>
      </c>
      <c r="AO737" s="17">
        <v>588</v>
      </c>
      <c r="AP737" s="17">
        <v>291</v>
      </c>
    </row>
    <row r="738" spans="1:42" ht="15.75" customHeight="1" x14ac:dyDescent="0.25">
      <c r="A738" s="37">
        <v>2019</v>
      </c>
      <c r="B738" s="35">
        <v>170600</v>
      </c>
      <c r="C738" s="34" t="s">
        <v>150</v>
      </c>
      <c r="D738" s="34" t="s">
        <v>46</v>
      </c>
      <c r="E738" s="17">
        <v>17</v>
      </c>
      <c r="F738" s="36">
        <f t="shared" si="233"/>
        <v>2.8145695364238412E-2</v>
      </c>
      <c r="G738" s="17">
        <v>9</v>
      </c>
      <c r="H738" s="36">
        <f t="shared" si="234"/>
        <v>4.4117647058823532E-2</v>
      </c>
      <c r="I738" s="17">
        <v>23</v>
      </c>
      <c r="J738" s="36">
        <f t="shared" si="235"/>
        <v>3.8079470198675497E-2</v>
      </c>
      <c r="K738" s="17">
        <v>5</v>
      </c>
      <c r="L738" s="36">
        <f t="shared" si="236"/>
        <v>2.4509803921568627E-2</v>
      </c>
      <c r="M738" s="17">
        <v>564</v>
      </c>
      <c r="N738" s="36">
        <f t="shared" si="244"/>
        <v>0.93377483443708609</v>
      </c>
      <c r="O738" s="17">
        <v>190</v>
      </c>
      <c r="P738" s="36">
        <f t="shared" si="237"/>
        <v>0.93137254901960786</v>
      </c>
      <c r="Q738" s="17">
        <v>16</v>
      </c>
      <c r="R738" s="36">
        <f t="shared" si="245"/>
        <v>2.6490066225165563E-2</v>
      </c>
      <c r="S738" s="17">
        <v>6</v>
      </c>
      <c r="T738" s="36">
        <f t="shared" si="238"/>
        <v>2.9411764705882353E-2</v>
      </c>
      <c r="U738" s="17">
        <v>24</v>
      </c>
      <c r="V738" s="36">
        <f t="shared" si="246"/>
        <v>3.9735099337748346E-2</v>
      </c>
      <c r="W738" s="17">
        <v>4</v>
      </c>
      <c r="X738" s="36">
        <f t="shared" si="239"/>
        <v>1.9607843137254902E-2</v>
      </c>
      <c r="Y738" s="17">
        <v>439</v>
      </c>
      <c r="Z738" s="36">
        <f t="shared" si="247"/>
        <v>0.72682119205298013</v>
      </c>
      <c r="AA738" s="17">
        <v>145</v>
      </c>
      <c r="AB738" s="36">
        <f t="shared" si="240"/>
        <v>0.71078431372549022</v>
      </c>
      <c r="AC738" s="17">
        <v>78</v>
      </c>
      <c r="AD738" s="36">
        <f t="shared" si="248"/>
        <v>0.12913907284768211</v>
      </c>
      <c r="AE738" s="17">
        <v>38</v>
      </c>
      <c r="AF738" s="36">
        <f t="shared" si="241"/>
        <v>0.18627450980392157</v>
      </c>
      <c r="AG738" s="17">
        <v>42</v>
      </c>
      <c r="AH738" s="36">
        <f t="shared" si="249"/>
        <v>6.9536423841059597E-2</v>
      </c>
      <c r="AI738" s="17">
        <v>9</v>
      </c>
      <c r="AJ738" s="36">
        <f t="shared" si="242"/>
        <v>4.4117647058823532E-2</v>
      </c>
      <c r="AK738" s="17">
        <v>5</v>
      </c>
      <c r="AL738" s="36">
        <f t="shared" si="250"/>
        <v>8.2781456953642391E-3</v>
      </c>
      <c r="AM738" s="17">
        <v>2</v>
      </c>
      <c r="AN738" s="36">
        <f t="shared" si="243"/>
        <v>9.8039215686274508E-3</v>
      </c>
      <c r="AO738" s="17">
        <v>604</v>
      </c>
      <c r="AP738" s="17">
        <v>204</v>
      </c>
    </row>
    <row r="739" spans="1:42" ht="15.75" customHeight="1" x14ac:dyDescent="0.25">
      <c r="A739" s="37">
        <v>2019</v>
      </c>
      <c r="B739" s="35">
        <v>170610</v>
      </c>
      <c r="C739" s="34" t="s">
        <v>144</v>
      </c>
      <c r="D739" s="34" t="s">
        <v>47</v>
      </c>
      <c r="E739" s="17">
        <v>6</v>
      </c>
      <c r="F739" s="36">
        <f t="shared" si="233"/>
        <v>1.5113350125944584E-2</v>
      </c>
      <c r="G739" s="17">
        <v>6</v>
      </c>
      <c r="H739" s="36">
        <f t="shared" si="234"/>
        <v>2.3904382470119521E-2</v>
      </c>
      <c r="I739" s="17">
        <v>15</v>
      </c>
      <c r="J739" s="36">
        <f t="shared" si="235"/>
        <v>3.7783375314861464E-2</v>
      </c>
      <c r="K739" s="17">
        <v>10</v>
      </c>
      <c r="L739" s="36">
        <f t="shared" si="236"/>
        <v>3.9840637450199202E-2</v>
      </c>
      <c r="M739" s="17">
        <v>376</v>
      </c>
      <c r="N739" s="36">
        <f t="shared" si="244"/>
        <v>0.94710327455919396</v>
      </c>
      <c r="O739" s="17">
        <v>235</v>
      </c>
      <c r="P739" s="36">
        <f t="shared" si="237"/>
        <v>0.93625498007968122</v>
      </c>
      <c r="Q739" s="17">
        <v>4</v>
      </c>
      <c r="R739" s="36">
        <f t="shared" si="245"/>
        <v>1.0075566750629723E-2</v>
      </c>
      <c r="S739" s="17">
        <v>1</v>
      </c>
      <c r="T739" s="36">
        <f t="shared" si="238"/>
        <v>3.9840637450199202E-3</v>
      </c>
      <c r="U739" s="17">
        <v>17</v>
      </c>
      <c r="V739" s="36">
        <f t="shared" si="246"/>
        <v>4.2821158690176324E-2</v>
      </c>
      <c r="W739" s="17">
        <v>14</v>
      </c>
      <c r="X739" s="36">
        <f t="shared" si="239"/>
        <v>5.5776892430278883E-2</v>
      </c>
      <c r="Y739" s="17">
        <v>267</v>
      </c>
      <c r="Z739" s="36">
        <f t="shared" si="247"/>
        <v>0.67254408060453397</v>
      </c>
      <c r="AA739" s="17">
        <v>167</v>
      </c>
      <c r="AB739" s="36">
        <f t="shared" si="240"/>
        <v>0.66533864541832666</v>
      </c>
      <c r="AC739" s="17">
        <v>79</v>
      </c>
      <c r="AD739" s="36">
        <f t="shared" si="248"/>
        <v>0.19899244332493704</v>
      </c>
      <c r="AE739" s="17">
        <v>51</v>
      </c>
      <c r="AF739" s="36">
        <f t="shared" si="241"/>
        <v>0.20318725099601595</v>
      </c>
      <c r="AG739" s="17">
        <v>26</v>
      </c>
      <c r="AH739" s="36">
        <f t="shared" si="249"/>
        <v>6.5491183879093195E-2</v>
      </c>
      <c r="AI739" s="17">
        <v>14</v>
      </c>
      <c r="AJ739" s="36">
        <f t="shared" si="242"/>
        <v>5.5776892430278883E-2</v>
      </c>
      <c r="AK739" s="17">
        <v>4</v>
      </c>
      <c r="AL739" s="36">
        <f t="shared" si="250"/>
        <v>1.0075566750629723E-2</v>
      </c>
      <c r="AM739" s="17">
        <v>4</v>
      </c>
      <c r="AN739" s="36">
        <f t="shared" si="243"/>
        <v>1.5936254980079681E-2</v>
      </c>
      <c r="AO739" s="17">
        <v>397</v>
      </c>
      <c r="AP739" s="17">
        <v>251</v>
      </c>
    </row>
    <row r="740" spans="1:42" ht="15.75" customHeight="1" x14ac:dyDescent="0.25">
      <c r="A740" s="37">
        <v>2019</v>
      </c>
      <c r="B740" s="35">
        <v>170625</v>
      </c>
      <c r="C740" s="34" t="s">
        <v>146</v>
      </c>
      <c r="D740" s="34" t="s">
        <v>48</v>
      </c>
      <c r="E740" s="17">
        <v>2</v>
      </c>
      <c r="F740" s="36">
        <f t="shared" si="233"/>
        <v>2.0618556701030927E-2</v>
      </c>
      <c r="G740" s="17">
        <v>1</v>
      </c>
      <c r="H740" s="36">
        <f t="shared" si="234"/>
        <v>4.7619047619047616E-2</v>
      </c>
      <c r="I740" s="17">
        <v>7</v>
      </c>
      <c r="J740" s="36">
        <f t="shared" si="235"/>
        <v>7.2164948453608241E-2</v>
      </c>
      <c r="K740" s="17">
        <v>2</v>
      </c>
      <c r="L740" s="36">
        <f t="shared" si="236"/>
        <v>9.5238095238095233E-2</v>
      </c>
      <c r="M740" s="17">
        <v>88</v>
      </c>
      <c r="N740" s="36">
        <f t="shared" si="244"/>
        <v>0.90721649484536082</v>
      </c>
      <c r="O740" s="17">
        <v>18</v>
      </c>
      <c r="P740" s="36">
        <f t="shared" si="237"/>
        <v>0.8571428571428571</v>
      </c>
      <c r="Q740" s="17">
        <v>1</v>
      </c>
      <c r="R740" s="36">
        <f t="shared" si="245"/>
        <v>1.0309278350515464E-2</v>
      </c>
      <c r="S740" s="17">
        <v>0</v>
      </c>
      <c r="T740" s="36">
        <f t="shared" si="238"/>
        <v>0</v>
      </c>
      <c r="U740" s="17">
        <v>2</v>
      </c>
      <c r="V740" s="36">
        <f t="shared" si="246"/>
        <v>2.0618556701030927E-2</v>
      </c>
      <c r="W740" s="17">
        <v>0</v>
      </c>
      <c r="X740" s="36">
        <f t="shared" si="239"/>
        <v>0</v>
      </c>
      <c r="Y740" s="17">
        <v>66</v>
      </c>
      <c r="Z740" s="36">
        <f t="shared" si="247"/>
        <v>0.68041237113402064</v>
      </c>
      <c r="AA740" s="17">
        <v>12</v>
      </c>
      <c r="AB740" s="36">
        <f t="shared" si="240"/>
        <v>0.5714285714285714</v>
      </c>
      <c r="AC740" s="17">
        <v>17</v>
      </c>
      <c r="AD740" s="36">
        <f t="shared" si="248"/>
        <v>0.17525773195876287</v>
      </c>
      <c r="AE740" s="17">
        <v>7</v>
      </c>
      <c r="AF740" s="36">
        <f t="shared" si="241"/>
        <v>0.33333333333333331</v>
      </c>
      <c r="AG740" s="17">
        <v>8</v>
      </c>
      <c r="AH740" s="36">
        <f t="shared" si="249"/>
        <v>8.247422680412371E-2</v>
      </c>
      <c r="AI740" s="17">
        <v>2</v>
      </c>
      <c r="AJ740" s="36">
        <f t="shared" si="242"/>
        <v>9.5238095238095233E-2</v>
      </c>
      <c r="AK740" s="17">
        <v>3</v>
      </c>
      <c r="AL740" s="36">
        <f t="shared" si="250"/>
        <v>3.0927835051546393E-2</v>
      </c>
      <c r="AM740" s="17">
        <v>0</v>
      </c>
      <c r="AN740" s="36">
        <f t="shared" si="243"/>
        <v>0</v>
      </c>
      <c r="AO740" s="17">
        <v>97</v>
      </c>
      <c r="AP740" s="17">
        <v>21</v>
      </c>
    </row>
    <row r="741" spans="1:42" ht="15.75" customHeight="1" x14ac:dyDescent="0.25">
      <c r="A741" s="37">
        <v>2019</v>
      </c>
      <c r="B741" s="35">
        <v>170650</v>
      </c>
      <c r="C741" s="34" t="s">
        <v>149</v>
      </c>
      <c r="D741" s="34" t="s">
        <v>49</v>
      </c>
      <c r="E741" s="17">
        <v>14</v>
      </c>
      <c r="F741" s="36">
        <f t="shared" si="233"/>
        <v>5.3030303030303032E-2</v>
      </c>
      <c r="G741" s="17">
        <v>15</v>
      </c>
      <c r="H741" s="36">
        <f t="shared" si="234"/>
        <v>5.8823529411764705E-2</v>
      </c>
      <c r="I741" s="17">
        <v>27</v>
      </c>
      <c r="J741" s="36">
        <f t="shared" si="235"/>
        <v>0.10227272727272728</v>
      </c>
      <c r="K741" s="17">
        <v>26</v>
      </c>
      <c r="L741" s="36">
        <f t="shared" si="236"/>
        <v>0.10196078431372549</v>
      </c>
      <c r="M741" s="17">
        <v>223</v>
      </c>
      <c r="N741" s="36">
        <f t="shared" si="244"/>
        <v>0.84469696969696972</v>
      </c>
      <c r="O741" s="17">
        <v>214</v>
      </c>
      <c r="P741" s="36">
        <f t="shared" si="237"/>
        <v>0.83921568627450982</v>
      </c>
      <c r="Q741" s="17">
        <v>3</v>
      </c>
      <c r="R741" s="36">
        <f t="shared" si="245"/>
        <v>1.1363636363636364E-2</v>
      </c>
      <c r="S741" s="17">
        <v>3</v>
      </c>
      <c r="T741" s="36">
        <f t="shared" si="238"/>
        <v>1.1764705882352941E-2</v>
      </c>
      <c r="U741" s="17">
        <v>6</v>
      </c>
      <c r="V741" s="36">
        <f t="shared" si="246"/>
        <v>2.2727272727272728E-2</v>
      </c>
      <c r="W741" s="17">
        <v>4</v>
      </c>
      <c r="X741" s="36">
        <f t="shared" si="239"/>
        <v>1.5686274509803921E-2</v>
      </c>
      <c r="Y741" s="17">
        <v>195</v>
      </c>
      <c r="Z741" s="36">
        <f t="shared" si="247"/>
        <v>0.73863636363636365</v>
      </c>
      <c r="AA741" s="17">
        <v>190</v>
      </c>
      <c r="AB741" s="36">
        <f t="shared" si="240"/>
        <v>0.74509803921568629</v>
      </c>
      <c r="AC741" s="17">
        <v>48</v>
      </c>
      <c r="AD741" s="36">
        <f t="shared" si="248"/>
        <v>0.18181818181818182</v>
      </c>
      <c r="AE741" s="17">
        <v>48</v>
      </c>
      <c r="AF741" s="36">
        <f t="shared" si="241"/>
        <v>0.18823529411764706</v>
      </c>
      <c r="AG741" s="17">
        <v>11</v>
      </c>
      <c r="AH741" s="36">
        <f t="shared" si="249"/>
        <v>4.1666666666666664E-2</v>
      </c>
      <c r="AI741" s="17">
        <v>10</v>
      </c>
      <c r="AJ741" s="36">
        <f t="shared" si="242"/>
        <v>3.9215686274509803E-2</v>
      </c>
      <c r="AK741" s="17">
        <v>1</v>
      </c>
      <c r="AL741" s="36">
        <f t="shared" si="250"/>
        <v>3.787878787878788E-3</v>
      </c>
      <c r="AM741" s="17">
        <v>0</v>
      </c>
      <c r="AN741" s="36">
        <f t="shared" si="243"/>
        <v>0</v>
      </c>
      <c r="AO741" s="17">
        <v>264</v>
      </c>
      <c r="AP741" s="17">
        <v>255</v>
      </c>
    </row>
    <row r="742" spans="1:42" ht="15.75" customHeight="1" x14ac:dyDescent="0.25">
      <c r="A742" s="37">
        <v>2019</v>
      </c>
      <c r="B742" s="35">
        <v>170700</v>
      </c>
      <c r="C742" s="34" t="s">
        <v>147</v>
      </c>
      <c r="D742" s="34" t="s">
        <v>50</v>
      </c>
      <c r="E742" s="17">
        <v>9</v>
      </c>
      <c r="F742" s="36">
        <f t="shared" si="233"/>
        <v>9.0817356205852677E-3</v>
      </c>
      <c r="G742" s="17">
        <v>6</v>
      </c>
      <c r="H742" s="36">
        <f t="shared" si="234"/>
        <v>1.1428571428571429E-2</v>
      </c>
      <c r="I742" s="17">
        <v>57</v>
      </c>
      <c r="J742" s="36">
        <f t="shared" si="235"/>
        <v>5.7517658930373361E-2</v>
      </c>
      <c r="K742" s="17">
        <v>30</v>
      </c>
      <c r="L742" s="36">
        <f t="shared" si="236"/>
        <v>5.7142857142857141E-2</v>
      </c>
      <c r="M742" s="17">
        <v>925</v>
      </c>
      <c r="N742" s="36">
        <f t="shared" si="244"/>
        <v>0.93340060544904135</v>
      </c>
      <c r="O742" s="17">
        <v>489</v>
      </c>
      <c r="P742" s="36">
        <f t="shared" si="237"/>
        <v>0.93142857142857138</v>
      </c>
      <c r="Q742" s="17">
        <v>6</v>
      </c>
      <c r="R742" s="36">
        <f t="shared" si="245"/>
        <v>6.0544904137235112E-3</v>
      </c>
      <c r="S742" s="17">
        <v>3</v>
      </c>
      <c r="T742" s="36">
        <f t="shared" si="238"/>
        <v>5.7142857142857143E-3</v>
      </c>
      <c r="U742" s="17">
        <v>28</v>
      </c>
      <c r="V742" s="36">
        <f t="shared" si="246"/>
        <v>2.8254288597376387E-2</v>
      </c>
      <c r="W742" s="17">
        <v>16</v>
      </c>
      <c r="X742" s="36">
        <f t="shared" si="239"/>
        <v>3.0476190476190476E-2</v>
      </c>
      <c r="Y742" s="17">
        <v>730</v>
      </c>
      <c r="Z742" s="36">
        <f t="shared" si="247"/>
        <v>0.73662966700302723</v>
      </c>
      <c r="AA742" s="17">
        <v>394</v>
      </c>
      <c r="AB742" s="36">
        <f t="shared" si="240"/>
        <v>0.75047619047619052</v>
      </c>
      <c r="AC742" s="17">
        <v>145</v>
      </c>
      <c r="AD742" s="36">
        <f t="shared" si="248"/>
        <v>0.14631685166498487</v>
      </c>
      <c r="AE742" s="17">
        <v>74</v>
      </c>
      <c r="AF742" s="36">
        <f t="shared" si="241"/>
        <v>0.14095238095238094</v>
      </c>
      <c r="AG742" s="17">
        <v>61</v>
      </c>
      <c r="AH742" s="36">
        <f t="shared" si="249"/>
        <v>6.1553985872855703E-2</v>
      </c>
      <c r="AI742" s="17">
        <v>30</v>
      </c>
      <c r="AJ742" s="36">
        <f t="shared" si="242"/>
        <v>5.7142857142857141E-2</v>
      </c>
      <c r="AK742" s="17">
        <v>21</v>
      </c>
      <c r="AL742" s="36">
        <f t="shared" si="250"/>
        <v>2.119071644803229E-2</v>
      </c>
      <c r="AM742" s="17">
        <v>8</v>
      </c>
      <c r="AN742" s="36">
        <f t="shared" si="243"/>
        <v>1.5238095238095238E-2</v>
      </c>
      <c r="AO742" s="17">
        <v>991</v>
      </c>
      <c r="AP742" s="17">
        <v>525</v>
      </c>
    </row>
    <row r="743" spans="1:42" ht="15.75" customHeight="1" x14ac:dyDescent="0.25">
      <c r="A743" s="37">
        <v>2019</v>
      </c>
      <c r="B743" s="35">
        <v>170710</v>
      </c>
      <c r="C743" s="34" t="s">
        <v>144</v>
      </c>
      <c r="D743" s="34" t="s">
        <v>51</v>
      </c>
      <c r="E743" s="17">
        <v>4</v>
      </c>
      <c r="F743" s="36">
        <f t="shared" si="233"/>
        <v>9.0497737556561094E-3</v>
      </c>
      <c r="G743" s="17">
        <v>1</v>
      </c>
      <c r="H743" s="36">
        <f t="shared" si="234"/>
        <v>1.1904761904761904E-2</v>
      </c>
      <c r="I743" s="17">
        <v>17</v>
      </c>
      <c r="J743" s="36">
        <f t="shared" si="235"/>
        <v>3.8461538461538464E-2</v>
      </c>
      <c r="K743" s="17">
        <v>6</v>
      </c>
      <c r="L743" s="36">
        <f t="shared" si="236"/>
        <v>7.1428571428571425E-2</v>
      </c>
      <c r="M743" s="17">
        <v>421</v>
      </c>
      <c r="N743" s="36">
        <f t="shared" si="244"/>
        <v>0.95248868778280538</v>
      </c>
      <c r="O743" s="17">
        <v>77</v>
      </c>
      <c r="P743" s="36">
        <f t="shared" si="237"/>
        <v>0.91666666666666663</v>
      </c>
      <c r="Q743" s="17">
        <v>3</v>
      </c>
      <c r="R743" s="36">
        <f t="shared" si="245"/>
        <v>6.7873303167420816E-3</v>
      </c>
      <c r="S743" s="17">
        <v>1</v>
      </c>
      <c r="T743" s="36">
        <f t="shared" si="238"/>
        <v>1.1904761904761904E-2</v>
      </c>
      <c r="U743" s="17">
        <v>26</v>
      </c>
      <c r="V743" s="36">
        <f t="shared" si="246"/>
        <v>5.8823529411764705E-2</v>
      </c>
      <c r="W743" s="17">
        <v>2</v>
      </c>
      <c r="X743" s="36">
        <f t="shared" si="239"/>
        <v>2.3809523809523808E-2</v>
      </c>
      <c r="Y743" s="17">
        <v>279</v>
      </c>
      <c r="Z743" s="36">
        <f t="shared" si="247"/>
        <v>0.63122171945701355</v>
      </c>
      <c r="AA743" s="17">
        <v>64</v>
      </c>
      <c r="AB743" s="36">
        <f t="shared" si="240"/>
        <v>0.76190476190476186</v>
      </c>
      <c r="AC743" s="17">
        <v>87</v>
      </c>
      <c r="AD743" s="36">
        <f t="shared" si="248"/>
        <v>0.19683257918552036</v>
      </c>
      <c r="AE743" s="17">
        <v>15</v>
      </c>
      <c r="AF743" s="36">
        <f t="shared" si="241"/>
        <v>0.17857142857142858</v>
      </c>
      <c r="AG743" s="17">
        <v>43</v>
      </c>
      <c r="AH743" s="36">
        <f t="shared" si="249"/>
        <v>9.7285067873303169E-2</v>
      </c>
      <c r="AI743" s="17">
        <v>2</v>
      </c>
      <c r="AJ743" s="36">
        <f t="shared" si="242"/>
        <v>2.3809523809523808E-2</v>
      </c>
      <c r="AK743" s="17">
        <v>4</v>
      </c>
      <c r="AL743" s="36">
        <f t="shared" si="250"/>
        <v>9.0497737556561094E-3</v>
      </c>
      <c r="AM743" s="17">
        <v>0</v>
      </c>
      <c r="AN743" s="36">
        <f t="shared" si="243"/>
        <v>0</v>
      </c>
      <c r="AO743" s="17">
        <v>442</v>
      </c>
      <c r="AP743" s="17">
        <v>84</v>
      </c>
    </row>
    <row r="744" spans="1:42" ht="15.75" customHeight="1" x14ac:dyDescent="0.25">
      <c r="A744" s="37">
        <v>2019</v>
      </c>
      <c r="B744" s="35">
        <v>170720</v>
      </c>
      <c r="C744" s="34" t="s">
        <v>144</v>
      </c>
      <c r="D744" s="34" t="s">
        <v>52</v>
      </c>
      <c r="E744" s="17">
        <v>9</v>
      </c>
      <c r="F744" s="36">
        <f t="shared" si="233"/>
        <v>2.2167487684729065E-2</v>
      </c>
      <c r="G744" s="17">
        <v>5</v>
      </c>
      <c r="H744" s="36">
        <f t="shared" si="234"/>
        <v>2.1459227467811159E-2</v>
      </c>
      <c r="I744" s="17">
        <v>21</v>
      </c>
      <c r="J744" s="36">
        <f t="shared" si="235"/>
        <v>5.1724137931034482E-2</v>
      </c>
      <c r="K744" s="17">
        <v>10</v>
      </c>
      <c r="L744" s="36">
        <f t="shared" si="236"/>
        <v>4.2918454935622317E-2</v>
      </c>
      <c r="M744" s="17">
        <v>376</v>
      </c>
      <c r="N744" s="36">
        <f t="shared" si="244"/>
        <v>0.92610837438423643</v>
      </c>
      <c r="O744" s="17">
        <v>218</v>
      </c>
      <c r="P744" s="36">
        <f t="shared" si="237"/>
        <v>0.93562231759656656</v>
      </c>
      <c r="Q744" s="17">
        <v>6</v>
      </c>
      <c r="R744" s="36">
        <f t="shared" si="245"/>
        <v>1.4778325123152709E-2</v>
      </c>
      <c r="S744" s="17">
        <v>3</v>
      </c>
      <c r="T744" s="36">
        <f t="shared" si="238"/>
        <v>1.2875536480686695E-2</v>
      </c>
      <c r="U744" s="17">
        <v>13</v>
      </c>
      <c r="V744" s="36">
        <f t="shared" si="246"/>
        <v>3.2019704433497539E-2</v>
      </c>
      <c r="W744" s="17">
        <v>6</v>
      </c>
      <c r="X744" s="36">
        <f t="shared" si="239"/>
        <v>2.575107296137339E-2</v>
      </c>
      <c r="Y744" s="17">
        <v>269</v>
      </c>
      <c r="Z744" s="36">
        <f t="shared" si="247"/>
        <v>0.66256157635467983</v>
      </c>
      <c r="AA744" s="17">
        <v>161</v>
      </c>
      <c r="AB744" s="36">
        <f t="shared" si="240"/>
        <v>0.69098712446351929</v>
      </c>
      <c r="AC744" s="17">
        <v>71</v>
      </c>
      <c r="AD744" s="36">
        <f t="shared" si="248"/>
        <v>0.1748768472906404</v>
      </c>
      <c r="AE744" s="17">
        <v>39</v>
      </c>
      <c r="AF744" s="36">
        <f t="shared" si="241"/>
        <v>0.16738197424892703</v>
      </c>
      <c r="AG744" s="17">
        <v>39</v>
      </c>
      <c r="AH744" s="36">
        <f t="shared" si="249"/>
        <v>9.6059113300492605E-2</v>
      </c>
      <c r="AI744" s="17">
        <v>19</v>
      </c>
      <c r="AJ744" s="36">
        <f t="shared" si="242"/>
        <v>8.15450643776824E-2</v>
      </c>
      <c r="AK744" s="17">
        <v>8</v>
      </c>
      <c r="AL744" s="36">
        <f t="shared" si="250"/>
        <v>1.9704433497536946E-2</v>
      </c>
      <c r="AM744" s="17">
        <v>5</v>
      </c>
      <c r="AN744" s="36">
        <f t="shared" si="243"/>
        <v>2.1459227467811159E-2</v>
      </c>
      <c r="AO744" s="17">
        <v>406</v>
      </c>
      <c r="AP744" s="17">
        <v>233</v>
      </c>
    </row>
    <row r="745" spans="1:42" ht="15.75" customHeight="1" x14ac:dyDescent="0.25">
      <c r="A745" s="37">
        <v>2019</v>
      </c>
      <c r="B745" s="35">
        <v>170730</v>
      </c>
      <c r="C745" s="34" t="s">
        <v>146</v>
      </c>
      <c r="D745" s="34" t="s">
        <v>53</v>
      </c>
      <c r="E745" s="17">
        <v>15</v>
      </c>
      <c r="F745" s="36">
        <f t="shared" si="233"/>
        <v>4.746835443037975E-2</v>
      </c>
      <c r="G745" s="17">
        <v>9</v>
      </c>
      <c r="H745" s="36">
        <f t="shared" si="234"/>
        <v>5.3892215568862277E-2</v>
      </c>
      <c r="I745" s="17">
        <v>26</v>
      </c>
      <c r="J745" s="36">
        <f t="shared" si="235"/>
        <v>8.2278481012658222E-2</v>
      </c>
      <c r="K745" s="17">
        <v>18</v>
      </c>
      <c r="L745" s="36">
        <f t="shared" si="236"/>
        <v>0.10778443113772455</v>
      </c>
      <c r="M745" s="17">
        <v>275</v>
      </c>
      <c r="N745" s="36">
        <f t="shared" si="244"/>
        <v>0.870253164556962</v>
      </c>
      <c r="O745" s="17">
        <v>140</v>
      </c>
      <c r="P745" s="36">
        <f t="shared" si="237"/>
        <v>0.83832335329341312</v>
      </c>
      <c r="Q745" s="17">
        <v>2</v>
      </c>
      <c r="R745" s="36">
        <f t="shared" si="245"/>
        <v>6.3291139240506328E-3</v>
      </c>
      <c r="S745" s="17">
        <v>1</v>
      </c>
      <c r="T745" s="36">
        <f t="shared" si="238"/>
        <v>5.9880239520958087E-3</v>
      </c>
      <c r="U745" s="17">
        <v>7</v>
      </c>
      <c r="V745" s="36">
        <f t="shared" si="246"/>
        <v>2.2151898734177215E-2</v>
      </c>
      <c r="W745" s="17">
        <v>4</v>
      </c>
      <c r="X745" s="36">
        <f t="shared" si="239"/>
        <v>2.3952095808383235E-2</v>
      </c>
      <c r="Y745" s="17">
        <v>228</v>
      </c>
      <c r="Z745" s="36">
        <f t="shared" si="247"/>
        <v>0.72151898734177211</v>
      </c>
      <c r="AA745" s="17">
        <v>124</v>
      </c>
      <c r="AB745" s="36">
        <f t="shared" si="240"/>
        <v>0.74251497005988021</v>
      </c>
      <c r="AC745" s="17">
        <v>50</v>
      </c>
      <c r="AD745" s="36">
        <f t="shared" si="248"/>
        <v>0.15822784810126583</v>
      </c>
      <c r="AE745" s="17">
        <v>24</v>
      </c>
      <c r="AF745" s="36">
        <f t="shared" si="241"/>
        <v>0.1437125748502994</v>
      </c>
      <c r="AG745" s="17">
        <v>23</v>
      </c>
      <c r="AH745" s="36">
        <f t="shared" si="249"/>
        <v>7.2784810126582278E-2</v>
      </c>
      <c r="AI745" s="17">
        <v>13</v>
      </c>
      <c r="AJ745" s="36">
        <f t="shared" si="242"/>
        <v>7.7844311377245512E-2</v>
      </c>
      <c r="AK745" s="17">
        <v>6</v>
      </c>
      <c r="AL745" s="36">
        <f t="shared" si="250"/>
        <v>1.8987341772151899E-2</v>
      </c>
      <c r="AM745" s="17">
        <v>1</v>
      </c>
      <c r="AN745" s="36">
        <f t="shared" si="243"/>
        <v>5.9880239520958087E-3</v>
      </c>
      <c r="AO745" s="17">
        <v>316</v>
      </c>
      <c r="AP745" s="17">
        <v>167</v>
      </c>
    </row>
    <row r="746" spans="1:42" ht="15.75" customHeight="1" x14ac:dyDescent="0.25">
      <c r="A746" s="37">
        <v>2019</v>
      </c>
      <c r="B746" s="35">
        <v>170740</v>
      </c>
      <c r="C746" s="34" t="s">
        <v>145</v>
      </c>
      <c r="D746" s="34" t="s">
        <v>54</v>
      </c>
      <c r="E746" s="17">
        <v>24</v>
      </c>
      <c r="F746" s="36">
        <f t="shared" si="233"/>
        <v>3.3898305084745763E-2</v>
      </c>
      <c r="G746" s="17">
        <v>20</v>
      </c>
      <c r="H746" s="36">
        <f t="shared" si="234"/>
        <v>3.3613445378151259E-2</v>
      </c>
      <c r="I746" s="17">
        <v>59</v>
      </c>
      <c r="J746" s="36">
        <f t="shared" si="235"/>
        <v>8.3333333333333329E-2</v>
      </c>
      <c r="K746" s="17">
        <v>50</v>
      </c>
      <c r="L746" s="36">
        <f t="shared" si="236"/>
        <v>8.4033613445378158E-2</v>
      </c>
      <c r="M746" s="17">
        <v>625</v>
      </c>
      <c r="N746" s="36">
        <f t="shared" si="244"/>
        <v>0.88276836158192096</v>
      </c>
      <c r="O746" s="17">
        <v>525</v>
      </c>
      <c r="P746" s="36">
        <f t="shared" si="237"/>
        <v>0.88235294117647056</v>
      </c>
      <c r="Q746" s="17">
        <v>12</v>
      </c>
      <c r="R746" s="36">
        <f t="shared" si="245"/>
        <v>1.6949152542372881E-2</v>
      </c>
      <c r="S746" s="17">
        <v>8</v>
      </c>
      <c r="T746" s="36">
        <f t="shared" si="238"/>
        <v>1.3445378151260505E-2</v>
      </c>
      <c r="U746" s="17">
        <v>37</v>
      </c>
      <c r="V746" s="36">
        <f t="shared" si="246"/>
        <v>5.2259887005649715E-2</v>
      </c>
      <c r="W746" s="17">
        <v>29</v>
      </c>
      <c r="X746" s="36">
        <f t="shared" si="239"/>
        <v>4.8739495798319328E-2</v>
      </c>
      <c r="Y746" s="17">
        <v>515</v>
      </c>
      <c r="Z746" s="36">
        <f t="shared" si="247"/>
        <v>0.72740112994350281</v>
      </c>
      <c r="AA746" s="17">
        <v>434</v>
      </c>
      <c r="AB746" s="36">
        <f t="shared" si="240"/>
        <v>0.72941176470588232</v>
      </c>
      <c r="AC746" s="17">
        <v>115</v>
      </c>
      <c r="AD746" s="36">
        <f t="shared" si="248"/>
        <v>0.16242937853107345</v>
      </c>
      <c r="AE746" s="17">
        <v>98</v>
      </c>
      <c r="AF746" s="36">
        <f t="shared" si="241"/>
        <v>0.16470588235294117</v>
      </c>
      <c r="AG746" s="17">
        <v>25</v>
      </c>
      <c r="AH746" s="36">
        <f t="shared" si="249"/>
        <v>3.5310734463276837E-2</v>
      </c>
      <c r="AI746" s="17">
        <v>21</v>
      </c>
      <c r="AJ746" s="36">
        <f t="shared" si="242"/>
        <v>3.5294117647058823E-2</v>
      </c>
      <c r="AK746" s="17">
        <v>4</v>
      </c>
      <c r="AL746" s="36">
        <f t="shared" si="250"/>
        <v>5.6497175141242938E-3</v>
      </c>
      <c r="AM746" s="17">
        <v>5</v>
      </c>
      <c r="AN746" s="36">
        <f t="shared" si="243"/>
        <v>8.4033613445378148E-3</v>
      </c>
      <c r="AO746" s="17">
        <v>708</v>
      </c>
      <c r="AP746" s="17">
        <v>595</v>
      </c>
    </row>
    <row r="747" spans="1:42" ht="15.75" customHeight="1" x14ac:dyDescent="0.25">
      <c r="A747" s="37">
        <v>2019</v>
      </c>
      <c r="B747" s="35">
        <v>170755</v>
      </c>
      <c r="C747" s="34" t="s">
        <v>151</v>
      </c>
      <c r="D747" s="34" t="s">
        <v>55</v>
      </c>
      <c r="E747" s="17">
        <v>2</v>
      </c>
      <c r="F747" s="36">
        <f t="shared" si="233"/>
        <v>1.0471204188481676E-2</v>
      </c>
      <c r="G747" s="17">
        <v>1</v>
      </c>
      <c r="H747" s="36">
        <f t="shared" si="234"/>
        <v>1.098901098901099E-2</v>
      </c>
      <c r="I747" s="17">
        <v>4</v>
      </c>
      <c r="J747" s="36">
        <f t="shared" si="235"/>
        <v>2.0942408376963352E-2</v>
      </c>
      <c r="K747" s="17">
        <v>3</v>
      </c>
      <c r="L747" s="36">
        <f t="shared" si="236"/>
        <v>3.2967032967032968E-2</v>
      </c>
      <c r="M747" s="17">
        <v>185</v>
      </c>
      <c r="N747" s="36">
        <f t="shared" si="244"/>
        <v>0.96858638743455494</v>
      </c>
      <c r="O747" s="17">
        <v>87</v>
      </c>
      <c r="P747" s="36">
        <f t="shared" si="237"/>
        <v>0.95604395604395609</v>
      </c>
      <c r="Q747" s="17">
        <v>2</v>
      </c>
      <c r="R747" s="36">
        <f t="shared" si="245"/>
        <v>1.0471204188481676E-2</v>
      </c>
      <c r="S747" s="17">
        <v>1</v>
      </c>
      <c r="T747" s="36">
        <f t="shared" si="238"/>
        <v>1.098901098901099E-2</v>
      </c>
      <c r="U747" s="17">
        <v>4</v>
      </c>
      <c r="V747" s="36">
        <f t="shared" si="246"/>
        <v>2.0942408376963352E-2</v>
      </c>
      <c r="W747" s="17">
        <v>2</v>
      </c>
      <c r="X747" s="36">
        <f t="shared" si="239"/>
        <v>2.197802197802198E-2</v>
      </c>
      <c r="Y747" s="17">
        <v>132</v>
      </c>
      <c r="Z747" s="36">
        <f t="shared" si="247"/>
        <v>0.69109947643979053</v>
      </c>
      <c r="AA747" s="17">
        <v>57</v>
      </c>
      <c r="AB747" s="36">
        <f t="shared" si="240"/>
        <v>0.62637362637362637</v>
      </c>
      <c r="AC747" s="17">
        <v>35</v>
      </c>
      <c r="AD747" s="36">
        <f t="shared" si="248"/>
        <v>0.18324607329842932</v>
      </c>
      <c r="AE747" s="17">
        <v>23</v>
      </c>
      <c r="AF747" s="36">
        <f t="shared" si="241"/>
        <v>0.25274725274725274</v>
      </c>
      <c r="AG747" s="17">
        <v>16</v>
      </c>
      <c r="AH747" s="36">
        <f t="shared" si="249"/>
        <v>8.3769633507853408E-2</v>
      </c>
      <c r="AI747" s="17">
        <v>7</v>
      </c>
      <c r="AJ747" s="36">
        <f t="shared" si="242"/>
        <v>7.6923076923076927E-2</v>
      </c>
      <c r="AK747" s="17">
        <v>2</v>
      </c>
      <c r="AL747" s="36">
        <f t="shared" si="250"/>
        <v>1.0471204188481676E-2</v>
      </c>
      <c r="AM747" s="17">
        <v>1</v>
      </c>
      <c r="AN747" s="36">
        <f t="shared" si="243"/>
        <v>1.098901098901099E-2</v>
      </c>
      <c r="AO747" s="17">
        <v>191</v>
      </c>
      <c r="AP747" s="17">
        <v>91</v>
      </c>
    </row>
    <row r="748" spans="1:42" ht="15.75" customHeight="1" x14ac:dyDescent="0.25">
      <c r="A748" s="37">
        <v>2019</v>
      </c>
      <c r="B748" s="35">
        <v>170765</v>
      </c>
      <c r="C748" s="34" t="s">
        <v>146</v>
      </c>
      <c r="D748" s="34" t="s">
        <v>56</v>
      </c>
      <c r="E748" s="17">
        <v>4</v>
      </c>
      <c r="F748" s="36">
        <f t="shared" si="233"/>
        <v>1.8099547511312219E-2</v>
      </c>
      <c r="G748" s="17">
        <v>4</v>
      </c>
      <c r="H748" s="36">
        <f t="shared" si="234"/>
        <v>2.1164021164021163E-2</v>
      </c>
      <c r="I748" s="17">
        <v>18</v>
      </c>
      <c r="J748" s="36">
        <f t="shared" si="235"/>
        <v>8.1447963800904979E-2</v>
      </c>
      <c r="K748" s="17">
        <v>16</v>
      </c>
      <c r="L748" s="36">
        <f t="shared" si="236"/>
        <v>8.4656084656084651E-2</v>
      </c>
      <c r="M748" s="17">
        <v>199</v>
      </c>
      <c r="N748" s="36">
        <f t="shared" si="244"/>
        <v>0.90045248868778283</v>
      </c>
      <c r="O748" s="17">
        <v>169</v>
      </c>
      <c r="P748" s="36">
        <f t="shared" si="237"/>
        <v>0.89417989417989419</v>
      </c>
      <c r="Q748" s="17">
        <v>2</v>
      </c>
      <c r="R748" s="36">
        <f t="shared" si="245"/>
        <v>9.0497737556561094E-3</v>
      </c>
      <c r="S748" s="17">
        <v>1</v>
      </c>
      <c r="T748" s="36">
        <f t="shared" si="238"/>
        <v>5.2910052910052907E-3</v>
      </c>
      <c r="U748" s="17">
        <v>8</v>
      </c>
      <c r="V748" s="36">
        <f t="shared" si="246"/>
        <v>3.6199095022624438E-2</v>
      </c>
      <c r="W748" s="17">
        <v>8</v>
      </c>
      <c r="X748" s="36">
        <f t="shared" si="239"/>
        <v>4.2328042328042326E-2</v>
      </c>
      <c r="Y748" s="17">
        <v>157</v>
      </c>
      <c r="Z748" s="36">
        <f t="shared" si="247"/>
        <v>0.71040723981900455</v>
      </c>
      <c r="AA748" s="17">
        <v>136</v>
      </c>
      <c r="AB748" s="36">
        <f t="shared" si="240"/>
        <v>0.71957671957671954</v>
      </c>
      <c r="AC748" s="17">
        <v>35</v>
      </c>
      <c r="AD748" s="36">
        <f t="shared" si="248"/>
        <v>0.15837104072398189</v>
      </c>
      <c r="AE748" s="17">
        <v>29</v>
      </c>
      <c r="AF748" s="36">
        <f t="shared" si="241"/>
        <v>0.15343915343915343</v>
      </c>
      <c r="AG748" s="17">
        <v>14</v>
      </c>
      <c r="AH748" s="36">
        <f t="shared" si="249"/>
        <v>6.3348416289592757E-2</v>
      </c>
      <c r="AI748" s="17">
        <v>11</v>
      </c>
      <c r="AJ748" s="36">
        <f t="shared" si="242"/>
        <v>5.8201058201058198E-2</v>
      </c>
      <c r="AK748" s="17">
        <v>5</v>
      </c>
      <c r="AL748" s="36">
        <f t="shared" si="250"/>
        <v>2.2624434389140271E-2</v>
      </c>
      <c r="AM748" s="17">
        <v>4</v>
      </c>
      <c r="AN748" s="36">
        <f t="shared" si="243"/>
        <v>2.1164021164021163E-2</v>
      </c>
      <c r="AO748" s="17">
        <v>221</v>
      </c>
      <c r="AP748" s="17">
        <v>189</v>
      </c>
    </row>
    <row r="749" spans="1:42" ht="15.75" customHeight="1" x14ac:dyDescent="0.25">
      <c r="A749" s="37">
        <v>2019</v>
      </c>
      <c r="B749" s="35">
        <v>170770</v>
      </c>
      <c r="C749" s="34" t="s">
        <v>149</v>
      </c>
      <c r="D749" s="34" t="s">
        <v>57</v>
      </c>
      <c r="E749" s="17">
        <v>12</v>
      </c>
      <c r="F749" s="36">
        <f t="shared" si="233"/>
        <v>1.7699115044247787E-2</v>
      </c>
      <c r="G749" s="17">
        <v>6</v>
      </c>
      <c r="H749" s="36">
        <f t="shared" si="234"/>
        <v>1.4778325123152709E-2</v>
      </c>
      <c r="I749" s="17">
        <v>65</v>
      </c>
      <c r="J749" s="36">
        <f t="shared" si="235"/>
        <v>9.5870206489675522E-2</v>
      </c>
      <c r="K749" s="17">
        <v>36</v>
      </c>
      <c r="L749" s="36">
        <f t="shared" si="236"/>
        <v>8.8669950738916259E-2</v>
      </c>
      <c r="M749" s="17">
        <v>601</v>
      </c>
      <c r="N749" s="36">
        <f t="shared" si="244"/>
        <v>0.8864306784660767</v>
      </c>
      <c r="O749" s="17">
        <v>364</v>
      </c>
      <c r="P749" s="36">
        <f t="shared" si="237"/>
        <v>0.89655172413793105</v>
      </c>
      <c r="Q749" s="17">
        <v>6</v>
      </c>
      <c r="R749" s="36">
        <f t="shared" si="245"/>
        <v>8.8495575221238937E-3</v>
      </c>
      <c r="S749" s="17">
        <v>3</v>
      </c>
      <c r="T749" s="36">
        <f t="shared" si="238"/>
        <v>7.3891625615763543E-3</v>
      </c>
      <c r="U749" s="17">
        <v>23</v>
      </c>
      <c r="V749" s="36">
        <f t="shared" si="246"/>
        <v>3.3923303834808259E-2</v>
      </c>
      <c r="W749" s="17">
        <v>12</v>
      </c>
      <c r="X749" s="36">
        <f t="shared" si="239"/>
        <v>2.9556650246305417E-2</v>
      </c>
      <c r="Y749" s="17">
        <v>487</v>
      </c>
      <c r="Z749" s="36">
        <f t="shared" si="247"/>
        <v>0.71828908554572268</v>
      </c>
      <c r="AA749" s="17">
        <v>292</v>
      </c>
      <c r="AB749" s="36">
        <f t="shared" si="240"/>
        <v>0.71921182266009853</v>
      </c>
      <c r="AC749" s="17">
        <v>109</v>
      </c>
      <c r="AD749" s="36">
        <f t="shared" si="248"/>
        <v>0.16076696165191739</v>
      </c>
      <c r="AE749" s="17">
        <v>70</v>
      </c>
      <c r="AF749" s="36">
        <f t="shared" si="241"/>
        <v>0.17241379310344829</v>
      </c>
      <c r="AG749" s="17">
        <v>42</v>
      </c>
      <c r="AH749" s="36">
        <f t="shared" si="249"/>
        <v>6.1946902654867256E-2</v>
      </c>
      <c r="AI749" s="17">
        <v>24</v>
      </c>
      <c r="AJ749" s="36">
        <f t="shared" si="242"/>
        <v>5.9113300492610835E-2</v>
      </c>
      <c r="AK749" s="17">
        <v>11</v>
      </c>
      <c r="AL749" s="36">
        <f t="shared" si="250"/>
        <v>1.6224188790560472E-2</v>
      </c>
      <c r="AM749" s="17">
        <v>5</v>
      </c>
      <c r="AN749" s="36">
        <f t="shared" si="243"/>
        <v>1.2315270935960592E-2</v>
      </c>
      <c r="AO749" s="17">
        <v>678</v>
      </c>
      <c r="AP749" s="17">
        <v>406</v>
      </c>
    </row>
    <row r="750" spans="1:42" ht="15.75" customHeight="1" x14ac:dyDescent="0.25">
      <c r="A750" s="37">
        <v>2019</v>
      </c>
      <c r="B750" s="35">
        <v>170820</v>
      </c>
      <c r="C750" s="34" t="s">
        <v>146</v>
      </c>
      <c r="D750" s="34" t="s">
        <v>58</v>
      </c>
      <c r="E750" s="17">
        <v>14</v>
      </c>
      <c r="F750" s="36">
        <f t="shared" si="233"/>
        <v>2.3890784982935155E-2</v>
      </c>
      <c r="G750" s="17">
        <v>12</v>
      </c>
      <c r="H750" s="36">
        <f t="shared" si="234"/>
        <v>2.34375E-2</v>
      </c>
      <c r="I750" s="17">
        <v>23</v>
      </c>
      <c r="J750" s="36">
        <f t="shared" si="235"/>
        <v>3.9249146757679182E-2</v>
      </c>
      <c r="K750" s="17">
        <v>23</v>
      </c>
      <c r="L750" s="36">
        <f t="shared" si="236"/>
        <v>4.4921875E-2</v>
      </c>
      <c r="M750" s="17">
        <v>549</v>
      </c>
      <c r="N750" s="36">
        <f t="shared" si="244"/>
        <v>0.93686006825938561</v>
      </c>
      <c r="O750" s="17">
        <v>477</v>
      </c>
      <c r="P750" s="36">
        <f t="shared" si="237"/>
        <v>0.931640625</v>
      </c>
      <c r="Q750" s="17">
        <v>7</v>
      </c>
      <c r="R750" s="36">
        <f t="shared" si="245"/>
        <v>1.1945392491467578E-2</v>
      </c>
      <c r="S750" s="17">
        <v>7</v>
      </c>
      <c r="T750" s="36">
        <f t="shared" si="238"/>
        <v>1.3671875E-2</v>
      </c>
      <c r="U750" s="17">
        <v>23</v>
      </c>
      <c r="V750" s="36">
        <f t="shared" si="246"/>
        <v>3.9249146757679182E-2</v>
      </c>
      <c r="W750" s="17">
        <v>19</v>
      </c>
      <c r="X750" s="36">
        <f t="shared" si="239"/>
        <v>3.7109375E-2</v>
      </c>
      <c r="Y750" s="17">
        <v>417</v>
      </c>
      <c r="Z750" s="36">
        <f t="shared" si="247"/>
        <v>0.71160409556313997</v>
      </c>
      <c r="AA750" s="17">
        <v>362</v>
      </c>
      <c r="AB750" s="36">
        <f t="shared" si="240"/>
        <v>0.70703125</v>
      </c>
      <c r="AC750" s="17">
        <v>98</v>
      </c>
      <c r="AD750" s="36">
        <f t="shared" si="248"/>
        <v>0.16723549488054607</v>
      </c>
      <c r="AE750" s="17">
        <v>89</v>
      </c>
      <c r="AF750" s="36">
        <f t="shared" si="241"/>
        <v>0.173828125</v>
      </c>
      <c r="AG750" s="17">
        <v>33</v>
      </c>
      <c r="AH750" s="36">
        <f t="shared" si="249"/>
        <v>5.6313993174061432E-2</v>
      </c>
      <c r="AI750" s="17">
        <v>28</v>
      </c>
      <c r="AJ750" s="36">
        <f t="shared" si="242"/>
        <v>5.46875E-2</v>
      </c>
      <c r="AK750" s="17">
        <v>8</v>
      </c>
      <c r="AL750" s="36">
        <f t="shared" si="250"/>
        <v>1.3651877133105802E-2</v>
      </c>
      <c r="AM750" s="17">
        <v>7</v>
      </c>
      <c r="AN750" s="36">
        <f t="shared" si="243"/>
        <v>1.3671875E-2</v>
      </c>
      <c r="AO750" s="17">
        <v>586</v>
      </c>
      <c r="AP750" s="17">
        <v>512</v>
      </c>
    </row>
    <row r="751" spans="1:42" ht="15.75" customHeight="1" x14ac:dyDescent="0.25">
      <c r="A751" s="37">
        <v>2019</v>
      </c>
      <c r="B751" s="35">
        <v>170830</v>
      </c>
      <c r="C751" s="34" t="s">
        <v>150</v>
      </c>
      <c r="D751" s="34" t="s">
        <v>59</v>
      </c>
      <c r="E751" s="17">
        <v>5</v>
      </c>
      <c r="F751" s="36">
        <f t="shared" si="233"/>
        <v>2.4509803921568627E-2</v>
      </c>
      <c r="G751" s="17">
        <v>4</v>
      </c>
      <c r="H751" s="36">
        <f t="shared" si="234"/>
        <v>3.3613445378151259E-2</v>
      </c>
      <c r="I751" s="17">
        <v>11</v>
      </c>
      <c r="J751" s="36">
        <f t="shared" si="235"/>
        <v>5.3921568627450983E-2</v>
      </c>
      <c r="K751" s="17">
        <v>5</v>
      </c>
      <c r="L751" s="36">
        <f t="shared" si="236"/>
        <v>4.2016806722689079E-2</v>
      </c>
      <c r="M751" s="17">
        <v>188</v>
      </c>
      <c r="N751" s="36">
        <f t="shared" si="244"/>
        <v>0.92156862745098034</v>
      </c>
      <c r="O751" s="17">
        <v>110</v>
      </c>
      <c r="P751" s="36">
        <f t="shared" si="237"/>
        <v>0.92436974789915971</v>
      </c>
      <c r="Q751" s="17">
        <v>2</v>
      </c>
      <c r="R751" s="36">
        <f t="shared" si="245"/>
        <v>9.8039215686274508E-3</v>
      </c>
      <c r="S751" s="17">
        <v>1</v>
      </c>
      <c r="T751" s="36">
        <f t="shared" si="238"/>
        <v>8.4033613445378148E-3</v>
      </c>
      <c r="U751" s="17">
        <v>7</v>
      </c>
      <c r="V751" s="36">
        <f t="shared" si="246"/>
        <v>3.4313725490196081E-2</v>
      </c>
      <c r="W751" s="17">
        <v>5</v>
      </c>
      <c r="X751" s="36">
        <f t="shared" si="239"/>
        <v>4.2016806722689079E-2</v>
      </c>
      <c r="Y751" s="17">
        <v>141</v>
      </c>
      <c r="Z751" s="36">
        <f t="shared" si="247"/>
        <v>0.69117647058823528</v>
      </c>
      <c r="AA751" s="17">
        <v>82</v>
      </c>
      <c r="AB751" s="36">
        <f t="shared" si="240"/>
        <v>0.68907563025210083</v>
      </c>
      <c r="AC751" s="17">
        <v>42</v>
      </c>
      <c r="AD751" s="36">
        <f t="shared" si="248"/>
        <v>0.20588235294117646</v>
      </c>
      <c r="AE751" s="17">
        <v>26</v>
      </c>
      <c r="AF751" s="36">
        <f t="shared" si="241"/>
        <v>0.21848739495798319</v>
      </c>
      <c r="AG751" s="17">
        <v>11</v>
      </c>
      <c r="AH751" s="36">
        <f t="shared" si="249"/>
        <v>5.3921568627450983E-2</v>
      </c>
      <c r="AI751" s="17">
        <v>4</v>
      </c>
      <c r="AJ751" s="36">
        <f t="shared" si="242"/>
        <v>3.3613445378151259E-2</v>
      </c>
      <c r="AK751" s="17">
        <v>1</v>
      </c>
      <c r="AL751" s="36">
        <f t="shared" si="250"/>
        <v>4.9019607843137254E-3</v>
      </c>
      <c r="AM751" s="17">
        <v>1</v>
      </c>
      <c r="AN751" s="36">
        <f t="shared" si="243"/>
        <v>8.4033613445378148E-3</v>
      </c>
      <c r="AO751" s="17">
        <v>204</v>
      </c>
      <c r="AP751" s="17">
        <v>119</v>
      </c>
    </row>
    <row r="752" spans="1:42" ht="15.75" customHeight="1" x14ac:dyDescent="0.25">
      <c r="A752" s="37">
        <v>2019</v>
      </c>
      <c r="B752" s="35">
        <v>170900</v>
      </c>
      <c r="C752" s="34" t="s">
        <v>149</v>
      </c>
      <c r="D752" s="34" t="s">
        <v>60</v>
      </c>
      <c r="E752" s="17">
        <v>24</v>
      </c>
      <c r="F752" s="36">
        <f t="shared" si="233"/>
        <v>3.2967032967032968E-2</v>
      </c>
      <c r="G752" s="17">
        <v>18</v>
      </c>
      <c r="H752" s="36">
        <f t="shared" si="234"/>
        <v>3.3582089552238806E-2</v>
      </c>
      <c r="I752" s="17">
        <v>59</v>
      </c>
      <c r="J752" s="36">
        <f t="shared" si="235"/>
        <v>8.1043956043956047E-2</v>
      </c>
      <c r="K752" s="17">
        <v>37</v>
      </c>
      <c r="L752" s="36">
        <f t="shared" si="236"/>
        <v>6.9029850746268662E-2</v>
      </c>
      <c r="M752" s="17">
        <v>645</v>
      </c>
      <c r="N752" s="36">
        <f t="shared" si="244"/>
        <v>0.88598901098901095</v>
      </c>
      <c r="O752" s="17">
        <v>481</v>
      </c>
      <c r="P752" s="36">
        <f t="shared" si="237"/>
        <v>0.89738805970149249</v>
      </c>
      <c r="Q752" s="17">
        <v>13</v>
      </c>
      <c r="R752" s="36">
        <f t="shared" si="245"/>
        <v>1.7857142857142856E-2</v>
      </c>
      <c r="S752" s="17">
        <v>12</v>
      </c>
      <c r="T752" s="36">
        <f t="shared" si="238"/>
        <v>2.2388059701492536E-2</v>
      </c>
      <c r="U752" s="17">
        <v>15</v>
      </c>
      <c r="V752" s="36">
        <f t="shared" si="246"/>
        <v>2.0604395604395604E-2</v>
      </c>
      <c r="W752" s="17">
        <v>11</v>
      </c>
      <c r="X752" s="36">
        <f t="shared" si="239"/>
        <v>2.0522388059701493E-2</v>
      </c>
      <c r="Y752" s="17">
        <v>534</v>
      </c>
      <c r="Z752" s="36">
        <f t="shared" si="247"/>
        <v>0.73351648351648346</v>
      </c>
      <c r="AA752" s="17">
        <v>401</v>
      </c>
      <c r="AB752" s="36">
        <f t="shared" si="240"/>
        <v>0.74813432835820892</v>
      </c>
      <c r="AC752" s="17">
        <v>111</v>
      </c>
      <c r="AD752" s="36">
        <f t="shared" si="248"/>
        <v>0.15247252747252749</v>
      </c>
      <c r="AE752" s="17">
        <v>79</v>
      </c>
      <c r="AF752" s="36">
        <f t="shared" si="241"/>
        <v>0.14738805970149255</v>
      </c>
      <c r="AG752" s="17">
        <v>48</v>
      </c>
      <c r="AH752" s="36">
        <f t="shared" si="249"/>
        <v>6.5934065934065936E-2</v>
      </c>
      <c r="AI752" s="17">
        <v>26</v>
      </c>
      <c r="AJ752" s="36">
        <f t="shared" si="242"/>
        <v>4.8507462686567165E-2</v>
      </c>
      <c r="AK752" s="17">
        <v>7</v>
      </c>
      <c r="AL752" s="36">
        <f t="shared" si="250"/>
        <v>9.6153846153846159E-3</v>
      </c>
      <c r="AM752" s="17">
        <v>7</v>
      </c>
      <c r="AN752" s="36">
        <f t="shared" si="243"/>
        <v>1.3059701492537313E-2</v>
      </c>
      <c r="AO752" s="17">
        <v>728</v>
      </c>
      <c r="AP752" s="17">
        <v>536</v>
      </c>
    </row>
    <row r="753" spans="1:42" ht="15.75" customHeight="1" x14ac:dyDescent="0.25">
      <c r="A753" s="37">
        <v>2019</v>
      </c>
      <c r="B753" s="35">
        <v>170930</v>
      </c>
      <c r="C753" s="34" t="s">
        <v>150</v>
      </c>
      <c r="D753" s="34" t="s">
        <v>61</v>
      </c>
      <c r="E753" s="17">
        <v>14</v>
      </c>
      <c r="F753" s="36">
        <f t="shared" si="233"/>
        <v>1.2477718360071301E-2</v>
      </c>
      <c r="G753" s="17">
        <v>6</v>
      </c>
      <c r="H753" s="36">
        <f t="shared" si="234"/>
        <v>1.5228426395939087E-2</v>
      </c>
      <c r="I753" s="17">
        <v>59</v>
      </c>
      <c r="J753" s="36">
        <f t="shared" si="235"/>
        <v>5.2584670231729053E-2</v>
      </c>
      <c r="K753" s="17">
        <v>23</v>
      </c>
      <c r="L753" s="36">
        <f t="shared" si="236"/>
        <v>5.8375634517766499E-2</v>
      </c>
      <c r="M753" s="16">
        <v>1049</v>
      </c>
      <c r="N753" s="36">
        <f t="shared" si="244"/>
        <v>0.93493761140819964</v>
      </c>
      <c r="O753" s="17">
        <v>365</v>
      </c>
      <c r="P753" s="36">
        <f t="shared" si="237"/>
        <v>0.92639593908629436</v>
      </c>
      <c r="Q753" s="17">
        <v>10</v>
      </c>
      <c r="R753" s="36">
        <f t="shared" si="245"/>
        <v>8.9126559714795012E-3</v>
      </c>
      <c r="S753" s="17">
        <v>2</v>
      </c>
      <c r="T753" s="36">
        <f t="shared" si="238"/>
        <v>5.076142131979695E-3</v>
      </c>
      <c r="U753" s="17">
        <v>25</v>
      </c>
      <c r="V753" s="36">
        <f t="shared" si="246"/>
        <v>2.2281639928698752E-2</v>
      </c>
      <c r="W753" s="17">
        <v>8</v>
      </c>
      <c r="X753" s="36">
        <f t="shared" si="239"/>
        <v>2.030456852791878E-2</v>
      </c>
      <c r="Y753" s="17">
        <v>788</v>
      </c>
      <c r="Z753" s="36">
        <f t="shared" si="247"/>
        <v>0.70231729055258463</v>
      </c>
      <c r="AA753" s="17">
        <v>288</v>
      </c>
      <c r="AB753" s="36">
        <f t="shared" si="240"/>
        <v>0.73096446700507611</v>
      </c>
      <c r="AC753" s="17">
        <v>190</v>
      </c>
      <c r="AD753" s="36">
        <f t="shared" si="248"/>
        <v>0.16934046345811052</v>
      </c>
      <c r="AE753" s="17">
        <v>72</v>
      </c>
      <c r="AF753" s="36">
        <f t="shared" si="241"/>
        <v>0.18274111675126903</v>
      </c>
      <c r="AG753" s="17">
        <v>88</v>
      </c>
      <c r="AH753" s="36">
        <f t="shared" si="249"/>
        <v>7.8431372549019607E-2</v>
      </c>
      <c r="AI753" s="17">
        <v>19</v>
      </c>
      <c r="AJ753" s="36">
        <f t="shared" si="242"/>
        <v>4.8223350253807105E-2</v>
      </c>
      <c r="AK753" s="17">
        <v>21</v>
      </c>
      <c r="AL753" s="36">
        <f t="shared" si="250"/>
        <v>1.871657754010695E-2</v>
      </c>
      <c r="AM753" s="17">
        <v>5</v>
      </c>
      <c r="AN753" s="36">
        <f t="shared" si="243"/>
        <v>1.2690355329949238E-2</v>
      </c>
      <c r="AO753" s="16">
        <v>1122</v>
      </c>
      <c r="AP753" s="17">
        <v>394</v>
      </c>
    </row>
    <row r="754" spans="1:42" ht="15.75" customHeight="1" x14ac:dyDescent="0.25">
      <c r="A754" s="37">
        <v>2019</v>
      </c>
      <c r="B754" s="35">
        <v>170950</v>
      </c>
      <c r="C754" s="34" t="s">
        <v>146</v>
      </c>
      <c r="D754" s="34" t="s">
        <v>62</v>
      </c>
      <c r="E754" s="17">
        <v>32</v>
      </c>
      <c r="F754" s="36">
        <f t="shared" si="233"/>
        <v>1.5865146256817054E-2</v>
      </c>
      <c r="G754" s="17">
        <v>26</v>
      </c>
      <c r="H754" s="36">
        <f t="shared" si="234"/>
        <v>1.5834348355663823E-2</v>
      </c>
      <c r="I754" s="17">
        <v>241</v>
      </c>
      <c r="J754" s="36">
        <f t="shared" si="235"/>
        <v>0.11948438274665345</v>
      </c>
      <c r="K754" s="17">
        <v>219</v>
      </c>
      <c r="L754" s="36">
        <f t="shared" si="236"/>
        <v>0.13337393422655297</v>
      </c>
      <c r="M754" s="16">
        <v>1744</v>
      </c>
      <c r="N754" s="36">
        <f t="shared" si="244"/>
        <v>0.86465047099652947</v>
      </c>
      <c r="O754" s="16">
        <v>1397</v>
      </c>
      <c r="P754" s="36">
        <f t="shared" si="237"/>
        <v>0.85079171741778314</v>
      </c>
      <c r="Q754" s="17">
        <v>12</v>
      </c>
      <c r="R754" s="36">
        <f t="shared" si="245"/>
        <v>5.9494298463063956E-3</v>
      </c>
      <c r="S754" s="17">
        <v>11</v>
      </c>
      <c r="T754" s="36">
        <f t="shared" si="238"/>
        <v>6.6991473812423874E-3</v>
      </c>
      <c r="U754" s="17">
        <v>53</v>
      </c>
      <c r="V754" s="36">
        <f t="shared" si="246"/>
        <v>2.6276648487853247E-2</v>
      </c>
      <c r="W754" s="17">
        <v>35</v>
      </c>
      <c r="X754" s="36">
        <f t="shared" si="239"/>
        <v>2.1315468940316686E-2</v>
      </c>
      <c r="Y754" s="16">
        <v>1618</v>
      </c>
      <c r="Z754" s="36">
        <f t="shared" si="247"/>
        <v>0.80218145761031234</v>
      </c>
      <c r="AA754" s="16">
        <v>1357</v>
      </c>
      <c r="AB754" s="36">
        <f t="shared" si="240"/>
        <v>0.82643118148599271</v>
      </c>
      <c r="AC754" s="17">
        <v>229</v>
      </c>
      <c r="AD754" s="36">
        <f t="shared" si="248"/>
        <v>0.11353495290034706</v>
      </c>
      <c r="AE754" s="17">
        <v>179</v>
      </c>
      <c r="AF754" s="36">
        <f t="shared" si="241"/>
        <v>0.10901339829476249</v>
      </c>
      <c r="AG754" s="17">
        <v>87</v>
      </c>
      <c r="AH754" s="36">
        <f t="shared" si="249"/>
        <v>4.3133366385721371E-2</v>
      </c>
      <c r="AI754" s="17">
        <v>50</v>
      </c>
      <c r="AJ754" s="36">
        <f t="shared" si="242"/>
        <v>3.0450669914738125E-2</v>
      </c>
      <c r="AK754" s="17">
        <v>18</v>
      </c>
      <c r="AL754" s="36">
        <f t="shared" si="250"/>
        <v>8.9241447694595934E-3</v>
      </c>
      <c r="AM754" s="17">
        <v>10</v>
      </c>
      <c r="AN754" s="36">
        <f t="shared" si="243"/>
        <v>6.0901339829476245E-3</v>
      </c>
      <c r="AO754" s="16">
        <v>2017</v>
      </c>
      <c r="AP754" s="16">
        <v>1642</v>
      </c>
    </row>
    <row r="755" spans="1:42" ht="15.75" customHeight="1" x14ac:dyDescent="0.25">
      <c r="A755" s="37">
        <v>2019</v>
      </c>
      <c r="B755" s="35">
        <v>170980</v>
      </c>
      <c r="C755" s="34" t="s">
        <v>151</v>
      </c>
      <c r="D755" s="34" t="s">
        <v>63</v>
      </c>
      <c r="E755" s="17">
        <v>2</v>
      </c>
      <c r="F755" s="36">
        <f t="shared" si="233"/>
        <v>1.1764705882352941E-2</v>
      </c>
      <c r="G755" s="17">
        <v>1</v>
      </c>
      <c r="H755" s="36">
        <f t="shared" si="234"/>
        <v>1.2500000000000001E-2</v>
      </c>
      <c r="I755" s="17">
        <v>3</v>
      </c>
      <c r="J755" s="36">
        <f t="shared" si="235"/>
        <v>1.7647058823529412E-2</v>
      </c>
      <c r="K755" s="17">
        <v>1</v>
      </c>
      <c r="L755" s="36">
        <f t="shared" si="236"/>
        <v>1.2500000000000001E-2</v>
      </c>
      <c r="M755" s="17">
        <v>165</v>
      </c>
      <c r="N755" s="36">
        <f t="shared" si="244"/>
        <v>0.97058823529411764</v>
      </c>
      <c r="O755" s="17">
        <v>78</v>
      </c>
      <c r="P755" s="36">
        <f t="shared" si="237"/>
        <v>0.97499999999999998</v>
      </c>
      <c r="Q755" s="17">
        <v>4</v>
      </c>
      <c r="R755" s="36">
        <f t="shared" si="245"/>
        <v>2.3529411764705882E-2</v>
      </c>
      <c r="S755" s="17">
        <v>2</v>
      </c>
      <c r="T755" s="36">
        <f t="shared" si="238"/>
        <v>2.5000000000000001E-2</v>
      </c>
      <c r="U755" s="17">
        <v>9</v>
      </c>
      <c r="V755" s="36">
        <f t="shared" si="246"/>
        <v>5.2941176470588235E-2</v>
      </c>
      <c r="W755" s="17">
        <v>2</v>
      </c>
      <c r="X755" s="36">
        <f t="shared" si="239"/>
        <v>2.5000000000000001E-2</v>
      </c>
      <c r="Y755" s="17">
        <v>106</v>
      </c>
      <c r="Z755" s="36">
        <f t="shared" si="247"/>
        <v>0.62352941176470589</v>
      </c>
      <c r="AA755" s="17">
        <v>47</v>
      </c>
      <c r="AB755" s="36">
        <f t="shared" si="240"/>
        <v>0.58750000000000002</v>
      </c>
      <c r="AC755" s="17">
        <v>30</v>
      </c>
      <c r="AD755" s="36">
        <f t="shared" si="248"/>
        <v>0.17647058823529413</v>
      </c>
      <c r="AE755" s="17">
        <v>20</v>
      </c>
      <c r="AF755" s="36">
        <f t="shared" si="241"/>
        <v>0.25</v>
      </c>
      <c r="AG755" s="17">
        <v>17</v>
      </c>
      <c r="AH755" s="36">
        <f t="shared" si="249"/>
        <v>0.1</v>
      </c>
      <c r="AI755" s="17">
        <v>7</v>
      </c>
      <c r="AJ755" s="36">
        <f t="shared" si="242"/>
        <v>8.7499999999999994E-2</v>
      </c>
      <c r="AK755" s="17">
        <v>4</v>
      </c>
      <c r="AL755" s="36">
        <f t="shared" si="250"/>
        <v>2.3529411764705882E-2</v>
      </c>
      <c r="AM755" s="17">
        <v>2</v>
      </c>
      <c r="AN755" s="36">
        <f t="shared" si="243"/>
        <v>2.5000000000000001E-2</v>
      </c>
      <c r="AO755" s="17">
        <v>170</v>
      </c>
      <c r="AP755" s="17">
        <v>80</v>
      </c>
    </row>
    <row r="756" spans="1:42" ht="15.75" customHeight="1" x14ac:dyDescent="0.25">
      <c r="A756" s="37">
        <v>2019</v>
      </c>
      <c r="B756" s="35">
        <v>171050</v>
      </c>
      <c r="C756" s="34" t="s">
        <v>150</v>
      </c>
      <c r="D756" s="34" t="s">
        <v>64</v>
      </c>
      <c r="E756" s="17">
        <v>19</v>
      </c>
      <c r="F756" s="36">
        <f t="shared" si="233"/>
        <v>3.7924151696606789E-2</v>
      </c>
      <c r="G756" s="17">
        <v>17</v>
      </c>
      <c r="H756" s="36">
        <f t="shared" si="234"/>
        <v>4.8158640226628892E-2</v>
      </c>
      <c r="I756" s="17">
        <v>37</v>
      </c>
      <c r="J756" s="36">
        <f t="shared" si="235"/>
        <v>7.3852295409181631E-2</v>
      </c>
      <c r="K756" s="17">
        <v>26</v>
      </c>
      <c r="L756" s="36">
        <f t="shared" si="236"/>
        <v>7.3654390934844188E-2</v>
      </c>
      <c r="M756" s="17">
        <v>445</v>
      </c>
      <c r="N756" s="36">
        <f t="shared" ref="N756:N819" si="251">IFERROR(M756/$AO756,0)</f>
        <v>0.88822355289421162</v>
      </c>
      <c r="O756" s="17">
        <v>310</v>
      </c>
      <c r="P756" s="36">
        <f t="shared" si="237"/>
        <v>0.87818696883852687</v>
      </c>
      <c r="Q756" s="17">
        <v>7</v>
      </c>
      <c r="R756" s="36">
        <f t="shared" ref="R756:R819" si="252">IFERROR(Q756/$AO756,0)</f>
        <v>1.3972055888223553E-2</v>
      </c>
      <c r="S756" s="17">
        <v>9</v>
      </c>
      <c r="T756" s="36">
        <f t="shared" si="238"/>
        <v>2.5495750708215296E-2</v>
      </c>
      <c r="U756" s="17">
        <v>16</v>
      </c>
      <c r="V756" s="36">
        <f t="shared" ref="V756:V819" si="253">IFERROR(U756/$AO756,0)</f>
        <v>3.1936127744510975E-2</v>
      </c>
      <c r="W756" s="17">
        <v>11</v>
      </c>
      <c r="X756" s="36">
        <f t="shared" si="239"/>
        <v>3.1161473087818695E-2</v>
      </c>
      <c r="Y756" s="17">
        <v>355</v>
      </c>
      <c r="Z756" s="36">
        <f t="shared" ref="Z756:Z819" si="254">IFERROR(Y756/$AO756,0)</f>
        <v>0.70858283433133729</v>
      </c>
      <c r="AA756" s="17">
        <v>243</v>
      </c>
      <c r="AB756" s="36">
        <f t="shared" si="240"/>
        <v>0.68838526912181308</v>
      </c>
      <c r="AC756" s="17">
        <v>88</v>
      </c>
      <c r="AD756" s="36">
        <f t="shared" ref="AD756:AD819" si="255">IFERROR(AC756/$AO756,0)</f>
        <v>0.17564870259481039</v>
      </c>
      <c r="AE756" s="17">
        <v>67</v>
      </c>
      <c r="AF756" s="36">
        <f t="shared" si="241"/>
        <v>0.18980169971671387</v>
      </c>
      <c r="AG756" s="17">
        <v>29</v>
      </c>
      <c r="AH756" s="36">
        <f t="shared" ref="AH756:AH819" si="256">IFERROR(AG756/$AO756,0)</f>
        <v>5.7884231536926151E-2</v>
      </c>
      <c r="AI756" s="17">
        <v>19</v>
      </c>
      <c r="AJ756" s="36">
        <f t="shared" si="242"/>
        <v>5.3824362606232294E-2</v>
      </c>
      <c r="AK756" s="17">
        <v>6</v>
      </c>
      <c r="AL756" s="36">
        <f t="shared" ref="AL756:AL819" si="257">IFERROR(AK756/$AO756,0)</f>
        <v>1.1976047904191617E-2</v>
      </c>
      <c r="AM756" s="17">
        <v>4</v>
      </c>
      <c r="AN756" s="36">
        <f t="shared" si="243"/>
        <v>1.1331444759206799E-2</v>
      </c>
      <c r="AO756" s="17">
        <v>501</v>
      </c>
      <c r="AP756" s="17">
        <v>353</v>
      </c>
    </row>
    <row r="757" spans="1:42" ht="15.75" customHeight="1" x14ac:dyDescent="0.25">
      <c r="A757" s="37">
        <v>2019</v>
      </c>
      <c r="B757" s="35">
        <v>171070</v>
      </c>
      <c r="C757" s="34" t="s">
        <v>145</v>
      </c>
      <c r="D757" s="34" t="s">
        <v>65</v>
      </c>
      <c r="E757" s="17">
        <v>16</v>
      </c>
      <c r="F757" s="36">
        <f t="shared" si="233"/>
        <v>3.9312039312039311E-2</v>
      </c>
      <c r="G757" s="17">
        <v>14</v>
      </c>
      <c r="H757" s="36">
        <f t="shared" si="234"/>
        <v>4.8275862068965517E-2</v>
      </c>
      <c r="I757" s="17">
        <v>55</v>
      </c>
      <c r="J757" s="36">
        <f t="shared" si="235"/>
        <v>0.13513513513513514</v>
      </c>
      <c r="K757" s="17">
        <v>41</v>
      </c>
      <c r="L757" s="36">
        <f t="shared" si="236"/>
        <v>0.14137931034482759</v>
      </c>
      <c r="M757" s="17">
        <v>336</v>
      </c>
      <c r="N757" s="36">
        <f t="shared" si="251"/>
        <v>0.8255528255528255</v>
      </c>
      <c r="O757" s="17">
        <v>235</v>
      </c>
      <c r="P757" s="36">
        <f t="shared" si="237"/>
        <v>0.81034482758620685</v>
      </c>
      <c r="Q757" s="17">
        <v>5</v>
      </c>
      <c r="R757" s="36">
        <f t="shared" si="252"/>
        <v>1.2285012285012284E-2</v>
      </c>
      <c r="S757" s="17">
        <v>3</v>
      </c>
      <c r="T757" s="36">
        <f t="shared" si="238"/>
        <v>1.0344827586206896E-2</v>
      </c>
      <c r="U757" s="17">
        <v>14</v>
      </c>
      <c r="V757" s="36">
        <f t="shared" si="253"/>
        <v>3.4398034398034398E-2</v>
      </c>
      <c r="W757" s="17">
        <v>8</v>
      </c>
      <c r="X757" s="36">
        <f t="shared" si="239"/>
        <v>2.7586206896551724E-2</v>
      </c>
      <c r="Y757" s="17">
        <v>287</v>
      </c>
      <c r="Z757" s="36">
        <f t="shared" si="254"/>
        <v>0.70515970515970516</v>
      </c>
      <c r="AA757" s="17">
        <v>203</v>
      </c>
      <c r="AB757" s="36">
        <f t="shared" si="240"/>
        <v>0.7</v>
      </c>
      <c r="AC757" s="17">
        <v>60</v>
      </c>
      <c r="AD757" s="36">
        <f t="shared" si="255"/>
        <v>0.14742014742014742</v>
      </c>
      <c r="AE757" s="17">
        <v>45</v>
      </c>
      <c r="AF757" s="36">
        <f t="shared" si="241"/>
        <v>0.15517241379310345</v>
      </c>
      <c r="AG757" s="17">
        <v>34</v>
      </c>
      <c r="AH757" s="36">
        <f t="shared" si="256"/>
        <v>8.3538083538083535E-2</v>
      </c>
      <c r="AI757" s="17">
        <v>25</v>
      </c>
      <c r="AJ757" s="36">
        <f t="shared" si="242"/>
        <v>8.6206896551724144E-2</v>
      </c>
      <c r="AK757" s="17">
        <v>7</v>
      </c>
      <c r="AL757" s="36">
        <f t="shared" si="257"/>
        <v>1.7199017199017199E-2</v>
      </c>
      <c r="AM757" s="17">
        <v>6</v>
      </c>
      <c r="AN757" s="36">
        <f t="shared" si="243"/>
        <v>2.0689655172413793E-2</v>
      </c>
      <c r="AO757" s="17">
        <v>407</v>
      </c>
      <c r="AP757" s="17">
        <v>290</v>
      </c>
    </row>
    <row r="758" spans="1:42" ht="15.75" customHeight="1" x14ac:dyDescent="0.25">
      <c r="A758" s="37">
        <v>2019</v>
      </c>
      <c r="B758" s="35">
        <v>171090</v>
      </c>
      <c r="C758" s="34" t="s">
        <v>150</v>
      </c>
      <c r="D758" s="34" t="s">
        <v>66</v>
      </c>
      <c r="E758" s="17">
        <v>8</v>
      </c>
      <c r="F758" s="36">
        <f t="shared" si="233"/>
        <v>1.4625228519195612E-2</v>
      </c>
      <c r="G758" s="17">
        <v>4</v>
      </c>
      <c r="H758" s="36">
        <f t="shared" si="234"/>
        <v>1.8604651162790697E-2</v>
      </c>
      <c r="I758" s="17">
        <v>37</v>
      </c>
      <c r="J758" s="36">
        <f t="shared" si="235"/>
        <v>6.7641681901279713E-2</v>
      </c>
      <c r="K758" s="17">
        <v>15</v>
      </c>
      <c r="L758" s="36">
        <f t="shared" si="236"/>
        <v>6.9767441860465115E-2</v>
      </c>
      <c r="M758" s="17">
        <v>502</v>
      </c>
      <c r="N758" s="36">
        <f t="shared" si="251"/>
        <v>0.91773308957952471</v>
      </c>
      <c r="O758" s="17">
        <v>196</v>
      </c>
      <c r="P758" s="36">
        <f t="shared" si="237"/>
        <v>0.91162790697674423</v>
      </c>
      <c r="Q758" s="17">
        <v>4</v>
      </c>
      <c r="R758" s="36">
        <f t="shared" si="252"/>
        <v>7.3126142595978062E-3</v>
      </c>
      <c r="S758" s="17">
        <v>2</v>
      </c>
      <c r="T758" s="36">
        <f t="shared" si="238"/>
        <v>9.3023255813953487E-3</v>
      </c>
      <c r="U758" s="17">
        <v>15</v>
      </c>
      <c r="V758" s="36">
        <f t="shared" si="253"/>
        <v>2.7422303473491772E-2</v>
      </c>
      <c r="W758" s="17">
        <v>7</v>
      </c>
      <c r="X758" s="36">
        <f t="shared" si="239"/>
        <v>3.255813953488372E-2</v>
      </c>
      <c r="Y758" s="17">
        <v>383</v>
      </c>
      <c r="Z758" s="36">
        <f t="shared" si="254"/>
        <v>0.70018281535648996</v>
      </c>
      <c r="AA758" s="17">
        <v>144</v>
      </c>
      <c r="AB758" s="36">
        <f t="shared" si="240"/>
        <v>0.66976744186046511</v>
      </c>
      <c r="AC758" s="17">
        <v>95</v>
      </c>
      <c r="AD758" s="36">
        <f t="shared" si="255"/>
        <v>0.17367458866544791</v>
      </c>
      <c r="AE758" s="17">
        <v>39</v>
      </c>
      <c r="AF758" s="36">
        <f t="shared" si="241"/>
        <v>0.18139534883720931</v>
      </c>
      <c r="AG758" s="17">
        <v>41</v>
      </c>
      <c r="AH758" s="36">
        <f t="shared" si="256"/>
        <v>7.4954296160877509E-2</v>
      </c>
      <c r="AI758" s="17">
        <v>17</v>
      </c>
      <c r="AJ758" s="36">
        <f t="shared" si="242"/>
        <v>7.9069767441860464E-2</v>
      </c>
      <c r="AK758" s="17">
        <v>9</v>
      </c>
      <c r="AL758" s="36">
        <f t="shared" si="257"/>
        <v>1.6453382084095063E-2</v>
      </c>
      <c r="AM758" s="17">
        <v>6</v>
      </c>
      <c r="AN758" s="36">
        <f t="shared" si="243"/>
        <v>2.7906976744186046E-2</v>
      </c>
      <c r="AO758" s="17">
        <v>547</v>
      </c>
      <c r="AP758" s="17">
        <v>215</v>
      </c>
    </row>
    <row r="759" spans="1:42" ht="15.75" customHeight="1" x14ac:dyDescent="0.25">
      <c r="A759" s="37">
        <v>2019</v>
      </c>
      <c r="B759" s="35">
        <v>171110</v>
      </c>
      <c r="C759" s="34" t="s">
        <v>150</v>
      </c>
      <c r="D759" s="34" t="s">
        <v>67</v>
      </c>
      <c r="E759" s="17">
        <v>2</v>
      </c>
      <c r="F759" s="36">
        <f t="shared" si="233"/>
        <v>1.0526315789473684E-2</v>
      </c>
      <c r="G759" s="17">
        <v>1</v>
      </c>
      <c r="H759" s="36">
        <f t="shared" si="234"/>
        <v>1.5384615384615385E-2</v>
      </c>
      <c r="I759" s="17">
        <v>10</v>
      </c>
      <c r="J759" s="36">
        <f t="shared" si="235"/>
        <v>5.2631578947368418E-2</v>
      </c>
      <c r="K759" s="17">
        <v>4</v>
      </c>
      <c r="L759" s="36">
        <f t="shared" si="236"/>
        <v>6.1538461538461542E-2</v>
      </c>
      <c r="M759" s="17">
        <v>178</v>
      </c>
      <c r="N759" s="36">
        <f t="shared" si="251"/>
        <v>0.93684210526315792</v>
      </c>
      <c r="O759" s="17">
        <v>60</v>
      </c>
      <c r="P759" s="36">
        <f t="shared" si="237"/>
        <v>0.92307692307692313</v>
      </c>
      <c r="Q759" s="17">
        <v>2</v>
      </c>
      <c r="R759" s="36">
        <f t="shared" si="252"/>
        <v>1.0526315789473684E-2</v>
      </c>
      <c r="S759" s="17">
        <v>1</v>
      </c>
      <c r="T759" s="36">
        <f t="shared" si="238"/>
        <v>1.5384615384615385E-2</v>
      </c>
      <c r="U759" s="17">
        <v>8</v>
      </c>
      <c r="V759" s="36">
        <f t="shared" si="253"/>
        <v>4.2105263157894736E-2</v>
      </c>
      <c r="W759" s="17">
        <v>4</v>
      </c>
      <c r="X759" s="36">
        <f t="shared" si="239"/>
        <v>6.1538461538461542E-2</v>
      </c>
      <c r="Y759" s="17">
        <v>137</v>
      </c>
      <c r="Z759" s="36">
        <f t="shared" si="254"/>
        <v>0.72105263157894739</v>
      </c>
      <c r="AA759" s="17">
        <v>46</v>
      </c>
      <c r="AB759" s="36">
        <f t="shared" si="240"/>
        <v>0.70769230769230773</v>
      </c>
      <c r="AC759" s="17">
        <v>31</v>
      </c>
      <c r="AD759" s="36">
        <f t="shared" si="255"/>
        <v>0.16315789473684211</v>
      </c>
      <c r="AE759" s="17">
        <v>9</v>
      </c>
      <c r="AF759" s="36">
        <f t="shared" si="241"/>
        <v>0.13846153846153847</v>
      </c>
      <c r="AG759" s="17">
        <v>9</v>
      </c>
      <c r="AH759" s="36">
        <f t="shared" si="256"/>
        <v>4.736842105263158E-2</v>
      </c>
      <c r="AI759" s="17">
        <v>3</v>
      </c>
      <c r="AJ759" s="36">
        <f t="shared" si="242"/>
        <v>4.6153846153846156E-2</v>
      </c>
      <c r="AK759" s="17">
        <v>3</v>
      </c>
      <c r="AL759" s="36">
        <f t="shared" si="257"/>
        <v>1.5789473684210527E-2</v>
      </c>
      <c r="AM759" s="17">
        <v>2</v>
      </c>
      <c r="AN759" s="36">
        <f t="shared" si="243"/>
        <v>3.0769230769230771E-2</v>
      </c>
      <c r="AO759" s="17">
        <v>190</v>
      </c>
      <c r="AP759" s="17">
        <v>65</v>
      </c>
    </row>
    <row r="760" spans="1:42" ht="15.75" customHeight="1" x14ac:dyDescent="0.25">
      <c r="A760" s="37">
        <v>2019</v>
      </c>
      <c r="B760" s="35">
        <v>171150</v>
      </c>
      <c r="C760" s="34" t="s">
        <v>146</v>
      </c>
      <c r="D760" s="34" t="s">
        <v>68</v>
      </c>
      <c r="E760" s="17">
        <v>3</v>
      </c>
      <c r="F760" s="36">
        <f t="shared" si="233"/>
        <v>9.0090090090090089E-3</v>
      </c>
      <c r="G760" s="17">
        <v>2</v>
      </c>
      <c r="H760" s="36">
        <f t="shared" si="234"/>
        <v>1.4925373134328358E-2</v>
      </c>
      <c r="I760" s="17">
        <v>12</v>
      </c>
      <c r="J760" s="36">
        <f t="shared" si="235"/>
        <v>3.6036036036036036E-2</v>
      </c>
      <c r="K760" s="17">
        <v>6</v>
      </c>
      <c r="L760" s="36">
        <f t="shared" si="236"/>
        <v>4.4776119402985072E-2</v>
      </c>
      <c r="M760" s="17">
        <v>318</v>
      </c>
      <c r="N760" s="36">
        <f t="shared" si="251"/>
        <v>0.95495495495495497</v>
      </c>
      <c r="O760" s="17">
        <v>126</v>
      </c>
      <c r="P760" s="36">
        <f t="shared" si="237"/>
        <v>0.94029850746268662</v>
      </c>
      <c r="Q760" s="17">
        <v>5</v>
      </c>
      <c r="R760" s="36">
        <f t="shared" si="252"/>
        <v>1.5015015015015015E-2</v>
      </c>
      <c r="S760" s="17">
        <v>1</v>
      </c>
      <c r="T760" s="36">
        <f t="shared" si="238"/>
        <v>7.462686567164179E-3</v>
      </c>
      <c r="U760" s="17">
        <v>19</v>
      </c>
      <c r="V760" s="36">
        <f t="shared" si="253"/>
        <v>5.7057057057057055E-2</v>
      </c>
      <c r="W760" s="17">
        <v>9</v>
      </c>
      <c r="X760" s="36">
        <f t="shared" si="239"/>
        <v>6.7164179104477612E-2</v>
      </c>
      <c r="Y760" s="17">
        <v>233</v>
      </c>
      <c r="Z760" s="36">
        <f t="shared" si="254"/>
        <v>0.6996996996996997</v>
      </c>
      <c r="AA760" s="17">
        <v>95</v>
      </c>
      <c r="AB760" s="36">
        <f t="shared" si="240"/>
        <v>0.70895522388059706</v>
      </c>
      <c r="AC760" s="17">
        <v>47</v>
      </c>
      <c r="AD760" s="36">
        <f t="shared" si="255"/>
        <v>0.14114114114114115</v>
      </c>
      <c r="AE760" s="17">
        <v>21</v>
      </c>
      <c r="AF760" s="36">
        <f t="shared" si="241"/>
        <v>0.15671641791044777</v>
      </c>
      <c r="AG760" s="17">
        <v>26</v>
      </c>
      <c r="AH760" s="36">
        <f t="shared" si="256"/>
        <v>7.8078078078078081E-2</v>
      </c>
      <c r="AI760" s="17">
        <v>8</v>
      </c>
      <c r="AJ760" s="36">
        <f t="shared" si="242"/>
        <v>5.9701492537313432E-2</v>
      </c>
      <c r="AK760" s="17">
        <v>3</v>
      </c>
      <c r="AL760" s="36">
        <f t="shared" si="257"/>
        <v>9.0090090090090089E-3</v>
      </c>
      <c r="AM760" s="17">
        <v>0</v>
      </c>
      <c r="AN760" s="36">
        <f t="shared" si="243"/>
        <v>0</v>
      </c>
      <c r="AO760" s="17">
        <v>333</v>
      </c>
      <c r="AP760" s="17">
        <v>134</v>
      </c>
    </row>
    <row r="761" spans="1:42" ht="15.75" customHeight="1" x14ac:dyDescent="0.25">
      <c r="A761" s="37">
        <v>2019</v>
      </c>
      <c r="B761" s="35">
        <v>171180</v>
      </c>
      <c r="C761" s="34" t="s">
        <v>150</v>
      </c>
      <c r="D761" s="34" t="s">
        <v>69</v>
      </c>
      <c r="E761" s="17">
        <v>0</v>
      </c>
      <c r="F761" s="36">
        <f t="shared" si="233"/>
        <v>0</v>
      </c>
      <c r="G761" s="17">
        <v>0</v>
      </c>
      <c r="H761" s="36">
        <f t="shared" si="234"/>
        <v>0</v>
      </c>
      <c r="I761" s="17">
        <v>4</v>
      </c>
      <c r="J761" s="36">
        <f t="shared" si="235"/>
        <v>2.5974025974025976E-2</v>
      </c>
      <c r="K761" s="17">
        <v>2</v>
      </c>
      <c r="L761" s="36">
        <f t="shared" si="236"/>
        <v>2.4390243902439025E-2</v>
      </c>
      <c r="M761" s="17">
        <v>150</v>
      </c>
      <c r="N761" s="36">
        <f t="shared" si="251"/>
        <v>0.97402597402597402</v>
      </c>
      <c r="O761" s="17">
        <v>80</v>
      </c>
      <c r="P761" s="36">
        <f t="shared" si="237"/>
        <v>0.97560975609756095</v>
      </c>
      <c r="Q761" s="17">
        <v>1</v>
      </c>
      <c r="R761" s="36">
        <f t="shared" si="252"/>
        <v>6.4935064935064939E-3</v>
      </c>
      <c r="S761" s="17">
        <v>1</v>
      </c>
      <c r="T761" s="36">
        <f t="shared" si="238"/>
        <v>1.2195121951219513E-2</v>
      </c>
      <c r="U761" s="17">
        <v>8</v>
      </c>
      <c r="V761" s="36">
        <f t="shared" si="253"/>
        <v>5.1948051948051951E-2</v>
      </c>
      <c r="W761" s="17">
        <v>7</v>
      </c>
      <c r="X761" s="36">
        <f t="shared" si="239"/>
        <v>8.5365853658536592E-2</v>
      </c>
      <c r="Y761" s="17">
        <v>104</v>
      </c>
      <c r="Z761" s="36">
        <f t="shared" si="254"/>
        <v>0.67532467532467533</v>
      </c>
      <c r="AA761" s="17">
        <v>54</v>
      </c>
      <c r="AB761" s="36">
        <f t="shared" si="240"/>
        <v>0.65853658536585369</v>
      </c>
      <c r="AC761" s="17">
        <v>29</v>
      </c>
      <c r="AD761" s="36">
        <f t="shared" si="255"/>
        <v>0.18831168831168832</v>
      </c>
      <c r="AE761" s="17">
        <v>15</v>
      </c>
      <c r="AF761" s="36">
        <f t="shared" si="241"/>
        <v>0.18292682926829268</v>
      </c>
      <c r="AG761" s="17">
        <v>10</v>
      </c>
      <c r="AH761" s="36">
        <f t="shared" si="256"/>
        <v>6.4935064935064929E-2</v>
      </c>
      <c r="AI761" s="17">
        <v>5</v>
      </c>
      <c r="AJ761" s="36">
        <f t="shared" si="242"/>
        <v>6.097560975609756E-2</v>
      </c>
      <c r="AK761" s="17">
        <v>2</v>
      </c>
      <c r="AL761" s="36">
        <f t="shared" si="257"/>
        <v>1.2987012987012988E-2</v>
      </c>
      <c r="AM761" s="17">
        <v>0</v>
      </c>
      <c r="AN761" s="36">
        <f t="shared" si="243"/>
        <v>0</v>
      </c>
      <c r="AO761" s="17">
        <v>154</v>
      </c>
      <c r="AP761" s="17">
        <v>82</v>
      </c>
    </row>
    <row r="762" spans="1:42" ht="15.75" customHeight="1" x14ac:dyDescent="0.25">
      <c r="A762" s="37">
        <v>2019</v>
      </c>
      <c r="B762" s="35">
        <v>171190</v>
      </c>
      <c r="C762" s="34" t="s">
        <v>144</v>
      </c>
      <c r="D762" s="34" t="s">
        <v>70</v>
      </c>
      <c r="E762" s="17">
        <v>20</v>
      </c>
      <c r="F762" s="36">
        <f t="shared" si="233"/>
        <v>3.8022813688212927E-2</v>
      </c>
      <c r="G762" s="17">
        <v>20</v>
      </c>
      <c r="H762" s="36">
        <f t="shared" si="234"/>
        <v>4.4642857142857144E-2</v>
      </c>
      <c r="I762" s="17">
        <v>35</v>
      </c>
      <c r="J762" s="36">
        <f t="shared" si="235"/>
        <v>6.6539923954372623E-2</v>
      </c>
      <c r="K762" s="17">
        <v>31</v>
      </c>
      <c r="L762" s="36">
        <f t="shared" si="236"/>
        <v>6.9196428571428575E-2</v>
      </c>
      <c r="M762" s="17">
        <v>471</v>
      </c>
      <c r="N762" s="36">
        <f t="shared" si="251"/>
        <v>0.8954372623574145</v>
      </c>
      <c r="O762" s="17">
        <v>397</v>
      </c>
      <c r="P762" s="36">
        <f t="shared" si="237"/>
        <v>0.8861607142857143</v>
      </c>
      <c r="Q762" s="17">
        <v>7</v>
      </c>
      <c r="R762" s="36">
        <f t="shared" si="252"/>
        <v>1.3307984790874524E-2</v>
      </c>
      <c r="S762" s="17">
        <v>6</v>
      </c>
      <c r="T762" s="36">
        <f t="shared" si="238"/>
        <v>1.3392857142857142E-2</v>
      </c>
      <c r="U762" s="17">
        <v>9</v>
      </c>
      <c r="V762" s="36">
        <f t="shared" si="253"/>
        <v>1.7110266159695818E-2</v>
      </c>
      <c r="W762" s="17">
        <v>6</v>
      </c>
      <c r="X762" s="36">
        <f t="shared" si="239"/>
        <v>1.3392857142857142E-2</v>
      </c>
      <c r="Y762" s="17">
        <v>337</v>
      </c>
      <c r="Z762" s="36">
        <f t="shared" si="254"/>
        <v>0.64068441064638781</v>
      </c>
      <c r="AA762" s="17">
        <v>288</v>
      </c>
      <c r="AB762" s="36">
        <f t="shared" si="240"/>
        <v>0.6428571428571429</v>
      </c>
      <c r="AC762" s="17">
        <v>121</v>
      </c>
      <c r="AD762" s="36">
        <f t="shared" si="255"/>
        <v>0.23003802281368821</v>
      </c>
      <c r="AE762" s="17">
        <v>105</v>
      </c>
      <c r="AF762" s="36">
        <f t="shared" si="241"/>
        <v>0.234375</v>
      </c>
      <c r="AG762" s="17">
        <v>47</v>
      </c>
      <c r="AH762" s="36">
        <f t="shared" si="256"/>
        <v>8.9353612167300381E-2</v>
      </c>
      <c r="AI762" s="17">
        <v>38</v>
      </c>
      <c r="AJ762" s="36">
        <f t="shared" si="242"/>
        <v>8.4821428571428575E-2</v>
      </c>
      <c r="AK762" s="17">
        <v>5</v>
      </c>
      <c r="AL762" s="36">
        <f t="shared" si="257"/>
        <v>9.5057034220532317E-3</v>
      </c>
      <c r="AM762" s="17">
        <v>5</v>
      </c>
      <c r="AN762" s="36">
        <f t="shared" si="243"/>
        <v>1.1160714285714286E-2</v>
      </c>
      <c r="AO762" s="17">
        <v>526</v>
      </c>
      <c r="AP762" s="17">
        <v>448</v>
      </c>
    </row>
    <row r="763" spans="1:42" ht="15.75" customHeight="1" x14ac:dyDescent="0.25">
      <c r="A763" s="37">
        <v>2019</v>
      </c>
      <c r="B763" s="35">
        <v>171195</v>
      </c>
      <c r="C763" s="34" t="s">
        <v>148</v>
      </c>
      <c r="D763" s="34" t="s">
        <v>71</v>
      </c>
      <c r="E763" s="17">
        <v>11</v>
      </c>
      <c r="F763" s="36">
        <f t="shared" si="233"/>
        <v>2.0872865275142316E-2</v>
      </c>
      <c r="G763" s="17">
        <v>8</v>
      </c>
      <c r="H763" s="36">
        <f t="shared" si="234"/>
        <v>3.3195020746887967E-2</v>
      </c>
      <c r="I763" s="17">
        <v>25</v>
      </c>
      <c r="J763" s="36">
        <f t="shared" si="235"/>
        <v>4.743833017077799E-2</v>
      </c>
      <c r="K763" s="17">
        <v>14</v>
      </c>
      <c r="L763" s="36">
        <f t="shared" si="236"/>
        <v>5.8091286307053944E-2</v>
      </c>
      <c r="M763" s="17">
        <v>491</v>
      </c>
      <c r="N763" s="36">
        <f t="shared" si="251"/>
        <v>0.93168880455407965</v>
      </c>
      <c r="O763" s="17">
        <v>219</v>
      </c>
      <c r="P763" s="36">
        <f t="shared" si="237"/>
        <v>0.90871369294605808</v>
      </c>
      <c r="Q763" s="17">
        <v>5</v>
      </c>
      <c r="R763" s="36">
        <f t="shared" si="252"/>
        <v>9.4876660341555973E-3</v>
      </c>
      <c r="S763" s="17">
        <v>3</v>
      </c>
      <c r="T763" s="36">
        <f t="shared" si="238"/>
        <v>1.2448132780082987E-2</v>
      </c>
      <c r="U763" s="17">
        <v>23</v>
      </c>
      <c r="V763" s="36">
        <f t="shared" si="253"/>
        <v>4.3643263757115747E-2</v>
      </c>
      <c r="W763" s="17">
        <v>5</v>
      </c>
      <c r="X763" s="36">
        <f t="shared" si="239"/>
        <v>2.0746887966804978E-2</v>
      </c>
      <c r="Y763" s="17">
        <v>407</v>
      </c>
      <c r="Z763" s="36">
        <f t="shared" si="254"/>
        <v>0.77229601518026569</v>
      </c>
      <c r="AA763" s="17">
        <v>188</v>
      </c>
      <c r="AB763" s="36">
        <f t="shared" si="240"/>
        <v>0.78008298755186722</v>
      </c>
      <c r="AC763" s="17">
        <v>68</v>
      </c>
      <c r="AD763" s="36">
        <f t="shared" si="255"/>
        <v>0.12903225806451613</v>
      </c>
      <c r="AE763" s="17">
        <v>34</v>
      </c>
      <c r="AF763" s="36">
        <f t="shared" si="241"/>
        <v>0.14107883817427386</v>
      </c>
      <c r="AG763" s="17">
        <v>16</v>
      </c>
      <c r="AH763" s="36">
        <f t="shared" si="256"/>
        <v>3.0360531309297913E-2</v>
      </c>
      <c r="AI763" s="17">
        <v>6</v>
      </c>
      <c r="AJ763" s="36">
        <f t="shared" si="242"/>
        <v>2.4896265560165973E-2</v>
      </c>
      <c r="AK763" s="17">
        <v>8</v>
      </c>
      <c r="AL763" s="36">
        <f t="shared" si="257"/>
        <v>1.5180265654648957E-2</v>
      </c>
      <c r="AM763" s="17">
        <v>5</v>
      </c>
      <c r="AN763" s="36">
        <f t="shared" si="243"/>
        <v>2.0746887966804978E-2</v>
      </c>
      <c r="AO763" s="17">
        <v>527</v>
      </c>
      <c r="AP763" s="17">
        <v>241</v>
      </c>
    </row>
    <row r="764" spans="1:42" ht="15.75" customHeight="1" x14ac:dyDescent="0.25">
      <c r="A764" s="37">
        <v>2019</v>
      </c>
      <c r="B764" s="35">
        <v>171200</v>
      </c>
      <c r="C764" s="34" t="s">
        <v>148</v>
      </c>
      <c r="D764" s="34" t="s">
        <v>72</v>
      </c>
      <c r="E764" s="17">
        <v>7</v>
      </c>
      <c r="F764" s="36">
        <f t="shared" si="233"/>
        <v>8.6419753086419748E-2</v>
      </c>
      <c r="G764" s="17">
        <v>7</v>
      </c>
      <c r="H764" s="36">
        <f t="shared" si="234"/>
        <v>0.10144927536231885</v>
      </c>
      <c r="I764" s="17">
        <v>3</v>
      </c>
      <c r="J764" s="36">
        <f t="shared" si="235"/>
        <v>3.7037037037037035E-2</v>
      </c>
      <c r="K764" s="17">
        <v>2</v>
      </c>
      <c r="L764" s="36">
        <f t="shared" si="236"/>
        <v>2.8985507246376812E-2</v>
      </c>
      <c r="M764" s="17">
        <v>71</v>
      </c>
      <c r="N764" s="36">
        <f t="shared" si="251"/>
        <v>0.87654320987654322</v>
      </c>
      <c r="O764" s="17">
        <v>60</v>
      </c>
      <c r="P764" s="36">
        <f t="shared" si="237"/>
        <v>0.86956521739130432</v>
      </c>
      <c r="Q764" s="17">
        <v>0</v>
      </c>
      <c r="R764" s="36">
        <f t="shared" si="252"/>
        <v>0</v>
      </c>
      <c r="S764" s="17">
        <v>0</v>
      </c>
      <c r="T764" s="36">
        <f t="shared" si="238"/>
        <v>0</v>
      </c>
      <c r="U764" s="17">
        <v>2</v>
      </c>
      <c r="V764" s="36">
        <f t="shared" si="253"/>
        <v>2.4691358024691357E-2</v>
      </c>
      <c r="W764" s="17">
        <v>3</v>
      </c>
      <c r="X764" s="36">
        <f t="shared" si="239"/>
        <v>4.3478260869565216E-2</v>
      </c>
      <c r="Y764" s="17">
        <v>56</v>
      </c>
      <c r="Z764" s="36">
        <f t="shared" si="254"/>
        <v>0.69135802469135799</v>
      </c>
      <c r="AA764" s="17">
        <v>48</v>
      </c>
      <c r="AB764" s="36">
        <f t="shared" si="240"/>
        <v>0.69565217391304346</v>
      </c>
      <c r="AC764" s="17">
        <v>13</v>
      </c>
      <c r="AD764" s="36">
        <f t="shared" si="255"/>
        <v>0.16049382716049382</v>
      </c>
      <c r="AE764" s="17">
        <v>11</v>
      </c>
      <c r="AF764" s="36">
        <f t="shared" si="241"/>
        <v>0.15942028985507245</v>
      </c>
      <c r="AG764" s="17">
        <v>7</v>
      </c>
      <c r="AH764" s="36">
        <f t="shared" si="256"/>
        <v>8.6419753086419748E-2</v>
      </c>
      <c r="AI764" s="17">
        <v>4</v>
      </c>
      <c r="AJ764" s="36">
        <f t="shared" si="242"/>
        <v>5.7971014492753624E-2</v>
      </c>
      <c r="AK764" s="17">
        <v>3</v>
      </c>
      <c r="AL764" s="36">
        <f t="shared" si="257"/>
        <v>3.7037037037037035E-2</v>
      </c>
      <c r="AM764" s="17">
        <v>3</v>
      </c>
      <c r="AN764" s="36">
        <f t="shared" si="243"/>
        <v>4.3478260869565216E-2</v>
      </c>
      <c r="AO764" s="17">
        <v>81</v>
      </c>
      <c r="AP764" s="17">
        <v>69</v>
      </c>
    </row>
    <row r="765" spans="1:42" ht="15.75" customHeight="1" x14ac:dyDescent="0.25">
      <c r="A765" s="37">
        <v>2019</v>
      </c>
      <c r="B765" s="35">
        <v>171215</v>
      </c>
      <c r="C765" s="34" t="s">
        <v>147</v>
      </c>
      <c r="D765" s="34" t="s">
        <v>73</v>
      </c>
      <c r="E765" s="17">
        <v>1</v>
      </c>
      <c r="F765" s="36">
        <f t="shared" si="233"/>
        <v>5.4644808743169399E-3</v>
      </c>
      <c r="G765" s="17">
        <v>0</v>
      </c>
      <c r="H765" s="36">
        <f t="shared" si="234"/>
        <v>0</v>
      </c>
      <c r="I765" s="17">
        <v>4</v>
      </c>
      <c r="J765" s="36">
        <f t="shared" si="235"/>
        <v>2.185792349726776E-2</v>
      </c>
      <c r="K765" s="17">
        <v>2</v>
      </c>
      <c r="L765" s="36">
        <f t="shared" si="236"/>
        <v>2.3529411764705882E-2</v>
      </c>
      <c r="M765" s="17">
        <v>178</v>
      </c>
      <c r="N765" s="36">
        <f t="shared" si="251"/>
        <v>0.97267759562841527</v>
      </c>
      <c r="O765" s="17">
        <v>83</v>
      </c>
      <c r="P765" s="36">
        <f t="shared" si="237"/>
        <v>0.97647058823529409</v>
      </c>
      <c r="Q765" s="17">
        <v>2</v>
      </c>
      <c r="R765" s="36">
        <f t="shared" si="252"/>
        <v>1.092896174863388E-2</v>
      </c>
      <c r="S765" s="17">
        <v>1</v>
      </c>
      <c r="T765" s="36">
        <f t="shared" si="238"/>
        <v>1.1764705882352941E-2</v>
      </c>
      <c r="U765" s="17">
        <v>10</v>
      </c>
      <c r="V765" s="36">
        <f t="shared" si="253"/>
        <v>5.4644808743169397E-2</v>
      </c>
      <c r="W765" s="17">
        <v>5</v>
      </c>
      <c r="X765" s="36">
        <f t="shared" si="239"/>
        <v>5.8823529411764705E-2</v>
      </c>
      <c r="Y765" s="17">
        <v>126</v>
      </c>
      <c r="Z765" s="36">
        <f t="shared" si="254"/>
        <v>0.68852459016393441</v>
      </c>
      <c r="AA765" s="17">
        <v>55</v>
      </c>
      <c r="AB765" s="36">
        <f t="shared" si="240"/>
        <v>0.6470588235294118</v>
      </c>
      <c r="AC765" s="17">
        <v>30</v>
      </c>
      <c r="AD765" s="36">
        <f t="shared" si="255"/>
        <v>0.16393442622950818</v>
      </c>
      <c r="AE765" s="17">
        <v>16</v>
      </c>
      <c r="AF765" s="36">
        <f t="shared" si="241"/>
        <v>0.18823529411764706</v>
      </c>
      <c r="AG765" s="17">
        <v>11</v>
      </c>
      <c r="AH765" s="36">
        <f t="shared" si="256"/>
        <v>6.0109289617486336E-2</v>
      </c>
      <c r="AI765" s="17">
        <v>6</v>
      </c>
      <c r="AJ765" s="36">
        <f t="shared" si="242"/>
        <v>7.0588235294117646E-2</v>
      </c>
      <c r="AK765" s="17">
        <v>4</v>
      </c>
      <c r="AL765" s="36">
        <f t="shared" si="257"/>
        <v>2.185792349726776E-2</v>
      </c>
      <c r="AM765" s="17">
        <v>2</v>
      </c>
      <c r="AN765" s="36">
        <f t="shared" si="243"/>
        <v>2.3529411764705882E-2</v>
      </c>
      <c r="AO765" s="17">
        <v>183</v>
      </c>
      <c r="AP765" s="17">
        <v>85</v>
      </c>
    </row>
    <row r="766" spans="1:42" ht="15.75" customHeight="1" x14ac:dyDescent="0.25">
      <c r="A766" s="37">
        <v>2019</v>
      </c>
      <c r="B766" s="35">
        <v>171240</v>
      </c>
      <c r="C766" s="34" t="s">
        <v>148</v>
      </c>
      <c r="D766" s="34" t="s">
        <v>74</v>
      </c>
      <c r="E766" s="17">
        <v>10</v>
      </c>
      <c r="F766" s="36">
        <f t="shared" si="233"/>
        <v>5.181347150259067E-2</v>
      </c>
      <c r="G766" s="17">
        <v>8</v>
      </c>
      <c r="H766" s="36">
        <f t="shared" si="234"/>
        <v>6.6115702479338845E-2</v>
      </c>
      <c r="I766" s="17">
        <v>22</v>
      </c>
      <c r="J766" s="36">
        <f t="shared" si="235"/>
        <v>0.11398963730569948</v>
      </c>
      <c r="K766" s="17">
        <v>10</v>
      </c>
      <c r="L766" s="36">
        <f t="shared" si="236"/>
        <v>8.2644628099173556E-2</v>
      </c>
      <c r="M766" s="17">
        <v>161</v>
      </c>
      <c r="N766" s="36">
        <f t="shared" si="251"/>
        <v>0.83419689119170981</v>
      </c>
      <c r="O766" s="17">
        <v>103</v>
      </c>
      <c r="P766" s="36">
        <f t="shared" si="237"/>
        <v>0.85123966942148765</v>
      </c>
      <c r="Q766" s="17">
        <v>4</v>
      </c>
      <c r="R766" s="36">
        <f t="shared" si="252"/>
        <v>2.072538860103627E-2</v>
      </c>
      <c r="S766" s="17">
        <v>4</v>
      </c>
      <c r="T766" s="36">
        <f t="shared" si="238"/>
        <v>3.3057851239669422E-2</v>
      </c>
      <c r="U766" s="17">
        <v>5</v>
      </c>
      <c r="V766" s="36">
        <f t="shared" si="253"/>
        <v>2.5906735751295335E-2</v>
      </c>
      <c r="W766" s="17">
        <v>4</v>
      </c>
      <c r="X766" s="36">
        <f t="shared" si="239"/>
        <v>3.3057851239669422E-2</v>
      </c>
      <c r="Y766" s="17">
        <v>146</v>
      </c>
      <c r="Z766" s="36">
        <f t="shared" si="254"/>
        <v>0.75647668393782386</v>
      </c>
      <c r="AA766" s="17">
        <v>90</v>
      </c>
      <c r="AB766" s="36">
        <f t="shared" si="240"/>
        <v>0.74380165289256195</v>
      </c>
      <c r="AC766" s="17">
        <v>24</v>
      </c>
      <c r="AD766" s="36">
        <f t="shared" si="255"/>
        <v>0.12435233160621761</v>
      </c>
      <c r="AE766" s="17">
        <v>14</v>
      </c>
      <c r="AF766" s="36">
        <f t="shared" si="241"/>
        <v>0.11570247933884298</v>
      </c>
      <c r="AG766" s="17">
        <v>11</v>
      </c>
      <c r="AH766" s="36">
        <f t="shared" si="256"/>
        <v>5.6994818652849742E-2</v>
      </c>
      <c r="AI766" s="17">
        <v>7</v>
      </c>
      <c r="AJ766" s="36">
        <f t="shared" si="242"/>
        <v>5.7851239669421489E-2</v>
      </c>
      <c r="AK766" s="17">
        <v>3</v>
      </c>
      <c r="AL766" s="36">
        <f t="shared" si="257"/>
        <v>1.5544041450777202E-2</v>
      </c>
      <c r="AM766" s="17">
        <v>2</v>
      </c>
      <c r="AN766" s="36">
        <f t="shared" si="243"/>
        <v>1.6528925619834711E-2</v>
      </c>
      <c r="AO766" s="17">
        <v>193</v>
      </c>
      <c r="AP766" s="17">
        <v>121</v>
      </c>
    </row>
    <row r="767" spans="1:42" ht="15.75" customHeight="1" x14ac:dyDescent="0.25">
      <c r="A767" s="37">
        <v>2019</v>
      </c>
      <c r="B767" s="35">
        <v>171245</v>
      </c>
      <c r="C767" s="34" t="s">
        <v>145</v>
      </c>
      <c r="D767" s="34" t="s">
        <v>75</v>
      </c>
      <c r="E767" s="17">
        <v>2</v>
      </c>
      <c r="F767" s="36">
        <f t="shared" si="233"/>
        <v>9.7560975609756097E-3</v>
      </c>
      <c r="G767" s="17">
        <v>2</v>
      </c>
      <c r="H767" s="36">
        <f t="shared" si="234"/>
        <v>2.1505376344086023E-2</v>
      </c>
      <c r="I767" s="17">
        <v>14</v>
      </c>
      <c r="J767" s="36">
        <f t="shared" si="235"/>
        <v>6.8292682926829273E-2</v>
      </c>
      <c r="K767" s="17">
        <v>12</v>
      </c>
      <c r="L767" s="36">
        <f t="shared" si="236"/>
        <v>0.12903225806451613</v>
      </c>
      <c r="M767" s="17">
        <v>189</v>
      </c>
      <c r="N767" s="36">
        <f t="shared" si="251"/>
        <v>0.92195121951219516</v>
      </c>
      <c r="O767" s="17">
        <v>79</v>
      </c>
      <c r="P767" s="36">
        <f t="shared" si="237"/>
        <v>0.84946236559139787</v>
      </c>
      <c r="Q767" s="17">
        <v>2</v>
      </c>
      <c r="R767" s="36">
        <f t="shared" si="252"/>
        <v>9.7560975609756097E-3</v>
      </c>
      <c r="S767" s="17">
        <v>1</v>
      </c>
      <c r="T767" s="36">
        <f t="shared" si="238"/>
        <v>1.0752688172043012E-2</v>
      </c>
      <c r="U767" s="17">
        <v>6</v>
      </c>
      <c r="V767" s="36">
        <f t="shared" si="253"/>
        <v>2.9268292682926831E-2</v>
      </c>
      <c r="W767" s="17">
        <v>1</v>
      </c>
      <c r="X767" s="36">
        <f t="shared" si="239"/>
        <v>1.0752688172043012E-2</v>
      </c>
      <c r="Y767" s="17">
        <v>150</v>
      </c>
      <c r="Z767" s="36">
        <f t="shared" si="254"/>
        <v>0.73170731707317072</v>
      </c>
      <c r="AA767" s="17">
        <v>67</v>
      </c>
      <c r="AB767" s="36">
        <f t="shared" si="240"/>
        <v>0.72043010752688175</v>
      </c>
      <c r="AC767" s="17">
        <v>34</v>
      </c>
      <c r="AD767" s="36">
        <f t="shared" si="255"/>
        <v>0.16585365853658537</v>
      </c>
      <c r="AE767" s="17">
        <v>20</v>
      </c>
      <c r="AF767" s="36">
        <f t="shared" si="241"/>
        <v>0.21505376344086022</v>
      </c>
      <c r="AG767" s="17">
        <v>11</v>
      </c>
      <c r="AH767" s="36">
        <f t="shared" si="256"/>
        <v>5.3658536585365853E-2</v>
      </c>
      <c r="AI767" s="17">
        <v>3</v>
      </c>
      <c r="AJ767" s="36">
        <f t="shared" si="242"/>
        <v>3.2258064516129031E-2</v>
      </c>
      <c r="AK767" s="17">
        <v>2</v>
      </c>
      <c r="AL767" s="36">
        <f t="shared" si="257"/>
        <v>9.7560975609756097E-3</v>
      </c>
      <c r="AM767" s="17">
        <v>1</v>
      </c>
      <c r="AN767" s="36">
        <f t="shared" si="243"/>
        <v>1.0752688172043012E-2</v>
      </c>
      <c r="AO767" s="17">
        <v>205</v>
      </c>
      <c r="AP767" s="17">
        <v>93</v>
      </c>
    </row>
    <row r="768" spans="1:42" ht="15.75" customHeight="1" x14ac:dyDescent="0.25">
      <c r="A768" s="37">
        <v>2019</v>
      </c>
      <c r="B768" s="35">
        <v>171250</v>
      </c>
      <c r="C768" s="34" t="s">
        <v>144</v>
      </c>
      <c r="D768" s="34" t="s">
        <v>76</v>
      </c>
      <c r="E768" s="17">
        <v>3</v>
      </c>
      <c r="F768" s="36">
        <f t="shared" si="233"/>
        <v>8.6206896551724137E-3</v>
      </c>
      <c r="G768" s="17">
        <v>3</v>
      </c>
      <c r="H768" s="36">
        <f t="shared" si="234"/>
        <v>0.02</v>
      </c>
      <c r="I768" s="17">
        <v>13</v>
      </c>
      <c r="J768" s="36">
        <f t="shared" si="235"/>
        <v>3.7356321839080463E-2</v>
      </c>
      <c r="K768" s="17">
        <v>7</v>
      </c>
      <c r="L768" s="36">
        <f t="shared" si="236"/>
        <v>4.6666666666666669E-2</v>
      </c>
      <c r="M768" s="17">
        <v>332</v>
      </c>
      <c r="N768" s="36">
        <f t="shared" si="251"/>
        <v>0.95402298850574707</v>
      </c>
      <c r="O768" s="17">
        <v>140</v>
      </c>
      <c r="P768" s="36">
        <f t="shared" si="237"/>
        <v>0.93333333333333335</v>
      </c>
      <c r="Q768" s="17">
        <v>2</v>
      </c>
      <c r="R768" s="36">
        <f t="shared" si="252"/>
        <v>5.7471264367816091E-3</v>
      </c>
      <c r="S768" s="17">
        <v>1</v>
      </c>
      <c r="T768" s="36">
        <f t="shared" si="238"/>
        <v>6.6666666666666671E-3</v>
      </c>
      <c r="U768" s="17">
        <v>9</v>
      </c>
      <c r="V768" s="36">
        <f t="shared" si="253"/>
        <v>2.5862068965517241E-2</v>
      </c>
      <c r="W768" s="17">
        <v>3</v>
      </c>
      <c r="X768" s="36">
        <f t="shared" si="239"/>
        <v>0.02</v>
      </c>
      <c r="Y768" s="17">
        <v>242</v>
      </c>
      <c r="Z768" s="36">
        <f t="shared" si="254"/>
        <v>0.6954022988505747</v>
      </c>
      <c r="AA768" s="17">
        <v>95</v>
      </c>
      <c r="AB768" s="36">
        <f t="shared" si="240"/>
        <v>0.6333333333333333</v>
      </c>
      <c r="AC768" s="17">
        <v>57</v>
      </c>
      <c r="AD768" s="36">
        <f t="shared" si="255"/>
        <v>0.16379310344827586</v>
      </c>
      <c r="AE768" s="17">
        <v>29</v>
      </c>
      <c r="AF768" s="36">
        <f t="shared" si="241"/>
        <v>0.19333333333333333</v>
      </c>
      <c r="AG768" s="17">
        <v>32</v>
      </c>
      <c r="AH768" s="36">
        <f t="shared" si="256"/>
        <v>9.1954022988505746E-2</v>
      </c>
      <c r="AI768" s="17">
        <v>19</v>
      </c>
      <c r="AJ768" s="36">
        <f t="shared" si="242"/>
        <v>0.12666666666666668</v>
      </c>
      <c r="AK768" s="17">
        <v>6</v>
      </c>
      <c r="AL768" s="36">
        <f t="shared" si="257"/>
        <v>1.7241379310344827E-2</v>
      </c>
      <c r="AM768" s="17">
        <v>3</v>
      </c>
      <c r="AN768" s="36">
        <f t="shared" si="243"/>
        <v>0.02</v>
      </c>
      <c r="AO768" s="17">
        <v>348</v>
      </c>
      <c r="AP768" s="17">
        <v>150</v>
      </c>
    </row>
    <row r="769" spans="1:42" ht="15.75" customHeight="1" x14ac:dyDescent="0.25">
      <c r="A769" s="37">
        <v>2019</v>
      </c>
      <c r="B769" s="35">
        <v>171270</v>
      </c>
      <c r="C769" s="34" t="s">
        <v>151</v>
      </c>
      <c r="D769" s="34" t="s">
        <v>77</v>
      </c>
      <c r="E769" s="17">
        <v>14</v>
      </c>
      <c r="F769" s="36">
        <f t="shared" si="233"/>
        <v>5.8091286307053944E-2</v>
      </c>
      <c r="G769" s="17">
        <v>12</v>
      </c>
      <c r="H769" s="36">
        <f t="shared" si="234"/>
        <v>0.1</v>
      </c>
      <c r="I769" s="17">
        <v>12</v>
      </c>
      <c r="J769" s="36">
        <f t="shared" si="235"/>
        <v>4.9792531120331947E-2</v>
      </c>
      <c r="K769" s="17">
        <v>7</v>
      </c>
      <c r="L769" s="36">
        <f t="shared" si="236"/>
        <v>5.8333333333333334E-2</v>
      </c>
      <c r="M769" s="17">
        <v>215</v>
      </c>
      <c r="N769" s="36">
        <f t="shared" si="251"/>
        <v>0.89211618257261416</v>
      </c>
      <c r="O769" s="17">
        <v>101</v>
      </c>
      <c r="P769" s="36">
        <f t="shared" si="237"/>
        <v>0.84166666666666667</v>
      </c>
      <c r="Q769" s="17">
        <v>6</v>
      </c>
      <c r="R769" s="36">
        <f t="shared" si="252"/>
        <v>2.4896265560165973E-2</v>
      </c>
      <c r="S769" s="17">
        <v>4</v>
      </c>
      <c r="T769" s="36">
        <f t="shared" si="238"/>
        <v>3.3333333333333333E-2</v>
      </c>
      <c r="U769" s="17">
        <v>8</v>
      </c>
      <c r="V769" s="36">
        <f t="shared" si="253"/>
        <v>3.3195020746887967E-2</v>
      </c>
      <c r="W769" s="17">
        <v>3</v>
      </c>
      <c r="X769" s="36">
        <f t="shared" si="239"/>
        <v>2.5000000000000001E-2</v>
      </c>
      <c r="Y769" s="17">
        <v>176</v>
      </c>
      <c r="Z769" s="36">
        <f t="shared" si="254"/>
        <v>0.73029045643153523</v>
      </c>
      <c r="AA769" s="17">
        <v>88</v>
      </c>
      <c r="AB769" s="36">
        <f t="shared" si="240"/>
        <v>0.73333333333333328</v>
      </c>
      <c r="AC769" s="17">
        <v>33</v>
      </c>
      <c r="AD769" s="36">
        <f t="shared" si="255"/>
        <v>0.13692946058091288</v>
      </c>
      <c r="AE769" s="17">
        <v>13</v>
      </c>
      <c r="AF769" s="36">
        <f t="shared" si="241"/>
        <v>0.10833333333333334</v>
      </c>
      <c r="AG769" s="17">
        <v>14</v>
      </c>
      <c r="AH769" s="36">
        <f t="shared" si="256"/>
        <v>5.8091286307053944E-2</v>
      </c>
      <c r="AI769" s="17">
        <v>9</v>
      </c>
      <c r="AJ769" s="36">
        <f t="shared" si="242"/>
        <v>7.4999999999999997E-2</v>
      </c>
      <c r="AK769" s="17">
        <v>4</v>
      </c>
      <c r="AL769" s="36">
        <f t="shared" si="257"/>
        <v>1.6597510373443983E-2</v>
      </c>
      <c r="AM769" s="17">
        <v>3</v>
      </c>
      <c r="AN769" s="36">
        <f t="shared" si="243"/>
        <v>2.5000000000000001E-2</v>
      </c>
      <c r="AO769" s="17">
        <v>241</v>
      </c>
      <c r="AP769" s="17">
        <v>120</v>
      </c>
    </row>
    <row r="770" spans="1:42" ht="15.75" customHeight="1" x14ac:dyDescent="0.25">
      <c r="A770" s="37">
        <v>2019</v>
      </c>
      <c r="B770" s="35">
        <v>171280</v>
      </c>
      <c r="C770" s="34" t="s">
        <v>145</v>
      </c>
      <c r="D770" s="34" t="s">
        <v>78</v>
      </c>
      <c r="E770" s="17">
        <v>14</v>
      </c>
      <c r="F770" s="36">
        <f t="shared" ref="F770:F833" si="258">IFERROR(E770/$AO770,0)</f>
        <v>3.482587064676617E-2</v>
      </c>
      <c r="G770" s="17">
        <v>6</v>
      </c>
      <c r="H770" s="36">
        <f t="shared" ref="H770:H833" si="259">IFERROR(G770/$AP770,0)</f>
        <v>3.5502958579881658E-2</v>
      </c>
      <c r="I770" s="17">
        <v>39</v>
      </c>
      <c r="J770" s="36">
        <f t="shared" ref="J770:J833" si="260">IFERROR(I770/$AO770,0)</f>
        <v>9.7014925373134331E-2</v>
      </c>
      <c r="K770" s="17">
        <v>22</v>
      </c>
      <c r="L770" s="36">
        <f t="shared" ref="L770:L833" si="261">IFERROR(K770/$AP770,0)</f>
        <v>0.13017751479289941</v>
      </c>
      <c r="M770" s="17">
        <v>349</v>
      </c>
      <c r="N770" s="36">
        <f t="shared" si="251"/>
        <v>0.86815920398009949</v>
      </c>
      <c r="O770" s="17">
        <v>141</v>
      </c>
      <c r="P770" s="36">
        <f t="shared" ref="P770:P833" si="262">IFERROR(O770/$AP770,0)</f>
        <v>0.83431952662721898</v>
      </c>
      <c r="Q770" s="17">
        <v>6</v>
      </c>
      <c r="R770" s="36">
        <f t="shared" si="252"/>
        <v>1.4925373134328358E-2</v>
      </c>
      <c r="S770" s="17">
        <v>4</v>
      </c>
      <c r="T770" s="36">
        <f t="shared" ref="T770:T833" si="263">IFERROR(S770/$AP770,0)</f>
        <v>2.3668639053254437E-2</v>
      </c>
      <c r="U770" s="17">
        <v>19</v>
      </c>
      <c r="V770" s="36">
        <f t="shared" si="253"/>
        <v>4.7263681592039801E-2</v>
      </c>
      <c r="W770" s="17">
        <v>3</v>
      </c>
      <c r="X770" s="36">
        <f t="shared" ref="X770:X833" si="264">IFERROR(W770/$AP770,0)</f>
        <v>1.7751479289940829E-2</v>
      </c>
      <c r="Y770" s="17">
        <v>302</v>
      </c>
      <c r="Z770" s="36">
        <f t="shared" si="254"/>
        <v>0.75124378109452739</v>
      </c>
      <c r="AA770" s="17">
        <v>127</v>
      </c>
      <c r="AB770" s="36">
        <f t="shared" ref="AB770:AB833" si="265">IFERROR(AA770/$AP770,0)</f>
        <v>0.75147928994082835</v>
      </c>
      <c r="AC770" s="17">
        <v>47</v>
      </c>
      <c r="AD770" s="36">
        <f t="shared" si="255"/>
        <v>0.11691542288557213</v>
      </c>
      <c r="AE770" s="17">
        <v>26</v>
      </c>
      <c r="AF770" s="36">
        <f t="shared" ref="AF770:AF833" si="266">IFERROR(AE770/$AP770,0)</f>
        <v>0.15384615384615385</v>
      </c>
      <c r="AG770" s="17">
        <v>24</v>
      </c>
      <c r="AH770" s="36">
        <f t="shared" si="256"/>
        <v>5.9701492537313432E-2</v>
      </c>
      <c r="AI770" s="17">
        <v>8</v>
      </c>
      <c r="AJ770" s="36">
        <f t="shared" ref="AJ770:AJ833" si="267">IFERROR(AI770/$AP770,0)</f>
        <v>4.7337278106508875E-2</v>
      </c>
      <c r="AK770" s="17">
        <v>4</v>
      </c>
      <c r="AL770" s="36">
        <f t="shared" si="257"/>
        <v>9.9502487562189053E-3</v>
      </c>
      <c r="AM770" s="17">
        <v>1</v>
      </c>
      <c r="AN770" s="36">
        <f t="shared" ref="AN770:AN833" si="268">IFERROR(AM770/$AP770,0)</f>
        <v>5.9171597633136093E-3</v>
      </c>
      <c r="AO770" s="17">
        <v>402</v>
      </c>
      <c r="AP770" s="17">
        <v>169</v>
      </c>
    </row>
    <row r="771" spans="1:42" ht="15.75" customHeight="1" x14ac:dyDescent="0.25">
      <c r="A771" s="37">
        <v>2019</v>
      </c>
      <c r="B771" s="35">
        <v>171320</v>
      </c>
      <c r="C771" s="34" t="s">
        <v>148</v>
      </c>
      <c r="D771" s="34" t="s">
        <v>79</v>
      </c>
      <c r="E771" s="17">
        <v>39</v>
      </c>
      <c r="F771" s="36">
        <f t="shared" si="258"/>
        <v>2.6712328767123289E-2</v>
      </c>
      <c r="G771" s="17">
        <v>9</v>
      </c>
      <c r="H771" s="36">
        <f t="shared" si="259"/>
        <v>1.5679442508710801E-2</v>
      </c>
      <c r="I771" s="17">
        <v>106</v>
      </c>
      <c r="J771" s="36">
        <f t="shared" si="260"/>
        <v>7.260273972602739E-2</v>
      </c>
      <c r="K771" s="17">
        <v>33</v>
      </c>
      <c r="L771" s="36">
        <f t="shared" si="261"/>
        <v>5.7491289198606271E-2</v>
      </c>
      <c r="M771" s="16">
        <v>1315</v>
      </c>
      <c r="N771" s="36">
        <f t="shared" si="251"/>
        <v>0.90068493150684936</v>
      </c>
      <c r="O771" s="17">
        <v>532</v>
      </c>
      <c r="P771" s="36">
        <f t="shared" si="262"/>
        <v>0.92682926829268297</v>
      </c>
      <c r="Q771" s="17">
        <v>19</v>
      </c>
      <c r="R771" s="36">
        <f t="shared" si="252"/>
        <v>1.3013698630136987E-2</v>
      </c>
      <c r="S771" s="17">
        <v>4</v>
      </c>
      <c r="T771" s="36">
        <f t="shared" si="263"/>
        <v>6.9686411149825784E-3</v>
      </c>
      <c r="U771" s="17">
        <v>56</v>
      </c>
      <c r="V771" s="36">
        <f t="shared" si="253"/>
        <v>3.8356164383561646E-2</v>
      </c>
      <c r="W771" s="17">
        <v>16</v>
      </c>
      <c r="X771" s="36">
        <f t="shared" si="264"/>
        <v>2.7874564459930314E-2</v>
      </c>
      <c r="Y771" s="16">
        <v>1091</v>
      </c>
      <c r="Z771" s="36">
        <f t="shared" si="254"/>
        <v>0.74726027397260275</v>
      </c>
      <c r="AA771" s="17">
        <v>445</v>
      </c>
      <c r="AB771" s="36">
        <f t="shared" si="265"/>
        <v>0.77526132404181181</v>
      </c>
      <c r="AC771" s="17">
        <v>218</v>
      </c>
      <c r="AD771" s="36">
        <f t="shared" si="255"/>
        <v>0.14931506849315068</v>
      </c>
      <c r="AE771" s="17">
        <v>84</v>
      </c>
      <c r="AF771" s="36">
        <f t="shared" si="266"/>
        <v>0.14634146341463414</v>
      </c>
      <c r="AG771" s="17">
        <v>62</v>
      </c>
      <c r="AH771" s="36">
        <f t="shared" si="256"/>
        <v>4.2465753424657533E-2</v>
      </c>
      <c r="AI771" s="17">
        <v>22</v>
      </c>
      <c r="AJ771" s="36">
        <f t="shared" si="267"/>
        <v>3.8327526132404179E-2</v>
      </c>
      <c r="AK771" s="17">
        <v>14</v>
      </c>
      <c r="AL771" s="36">
        <f t="shared" si="257"/>
        <v>9.5890410958904115E-3</v>
      </c>
      <c r="AM771" s="17">
        <v>3</v>
      </c>
      <c r="AN771" s="36">
        <f t="shared" si="268"/>
        <v>5.2264808362369342E-3</v>
      </c>
      <c r="AO771" s="16">
        <v>1460</v>
      </c>
      <c r="AP771" s="17">
        <v>574</v>
      </c>
    </row>
    <row r="772" spans="1:42" ht="15.75" customHeight="1" x14ac:dyDescent="0.25">
      <c r="A772" s="37">
        <v>2019</v>
      </c>
      <c r="B772" s="35">
        <v>171330</v>
      </c>
      <c r="C772" s="34" t="s">
        <v>148</v>
      </c>
      <c r="D772" s="34" t="s">
        <v>80</v>
      </c>
      <c r="E772" s="17">
        <v>17</v>
      </c>
      <c r="F772" s="36">
        <f t="shared" si="258"/>
        <v>3.6876355748373099E-2</v>
      </c>
      <c r="G772" s="17">
        <v>12</v>
      </c>
      <c r="H772" s="36">
        <f t="shared" si="259"/>
        <v>3.519061583577713E-2</v>
      </c>
      <c r="I772" s="17">
        <v>20</v>
      </c>
      <c r="J772" s="36">
        <f t="shared" si="260"/>
        <v>4.3383947939262472E-2</v>
      </c>
      <c r="K772" s="17">
        <v>11</v>
      </c>
      <c r="L772" s="36">
        <f t="shared" si="261"/>
        <v>3.2258064516129031E-2</v>
      </c>
      <c r="M772" s="17">
        <v>424</v>
      </c>
      <c r="N772" s="36">
        <f t="shared" si="251"/>
        <v>0.91973969631236441</v>
      </c>
      <c r="O772" s="17">
        <v>318</v>
      </c>
      <c r="P772" s="36">
        <f t="shared" si="262"/>
        <v>0.93255131964809379</v>
      </c>
      <c r="Q772" s="17">
        <v>7</v>
      </c>
      <c r="R772" s="36">
        <f t="shared" si="252"/>
        <v>1.5184381778741865E-2</v>
      </c>
      <c r="S772" s="17">
        <v>6</v>
      </c>
      <c r="T772" s="36">
        <f t="shared" si="263"/>
        <v>1.7595307917888565E-2</v>
      </c>
      <c r="U772" s="17">
        <v>14</v>
      </c>
      <c r="V772" s="36">
        <f t="shared" si="253"/>
        <v>3.0368763557483729E-2</v>
      </c>
      <c r="W772" s="17">
        <v>12</v>
      </c>
      <c r="X772" s="36">
        <f t="shared" si="264"/>
        <v>3.519061583577713E-2</v>
      </c>
      <c r="Y772" s="17">
        <v>311</v>
      </c>
      <c r="Z772" s="36">
        <f t="shared" si="254"/>
        <v>0.67462039045553146</v>
      </c>
      <c r="AA772" s="17">
        <v>236</v>
      </c>
      <c r="AB772" s="36">
        <f t="shared" si="265"/>
        <v>0.6920821114369502</v>
      </c>
      <c r="AC772" s="17">
        <v>87</v>
      </c>
      <c r="AD772" s="36">
        <f t="shared" si="255"/>
        <v>0.18872017353579176</v>
      </c>
      <c r="AE772" s="17">
        <v>57</v>
      </c>
      <c r="AF772" s="36">
        <f t="shared" si="266"/>
        <v>0.16715542521994134</v>
      </c>
      <c r="AG772" s="17">
        <v>36</v>
      </c>
      <c r="AH772" s="36">
        <f t="shared" si="256"/>
        <v>7.8091106290672452E-2</v>
      </c>
      <c r="AI772" s="17">
        <v>26</v>
      </c>
      <c r="AJ772" s="36">
        <f t="shared" si="267"/>
        <v>7.6246334310850442E-2</v>
      </c>
      <c r="AK772" s="17">
        <v>6</v>
      </c>
      <c r="AL772" s="36">
        <f t="shared" si="257"/>
        <v>1.3015184381778741E-2</v>
      </c>
      <c r="AM772" s="17">
        <v>4</v>
      </c>
      <c r="AN772" s="36">
        <f t="shared" si="268"/>
        <v>1.1730205278592375E-2</v>
      </c>
      <c r="AO772" s="17">
        <v>461</v>
      </c>
      <c r="AP772" s="17">
        <v>341</v>
      </c>
    </row>
    <row r="773" spans="1:42" ht="15.75" customHeight="1" x14ac:dyDescent="0.25">
      <c r="A773" s="37">
        <v>2019</v>
      </c>
      <c r="B773" s="35">
        <v>171360</v>
      </c>
      <c r="C773" s="34" t="s">
        <v>151</v>
      </c>
      <c r="D773" s="34" t="s">
        <v>81</v>
      </c>
      <c r="E773" s="17">
        <v>2</v>
      </c>
      <c r="F773" s="36">
        <f t="shared" si="258"/>
        <v>5.3763440860215058E-3</v>
      </c>
      <c r="G773" s="17">
        <v>1</v>
      </c>
      <c r="H773" s="36">
        <f t="shared" si="259"/>
        <v>3.2573289902280132E-3</v>
      </c>
      <c r="I773" s="17">
        <v>17</v>
      </c>
      <c r="J773" s="36">
        <f t="shared" si="260"/>
        <v>4.5698924731182797E-2</v>
      </c>
      <c r="K773" s="17">
        <v>14</v>
      </c>
      <c r="L773" s="36">
        <f t="shared" si="261"/>
        <v>4.5602605863192182E-2</v>
      </c>
      <c r="M773" s="17">
        <v>353</v>
      </c>
      <c r="N773" s="36">
        <f t="shared" si="251"/>
        <v>0.94892473118279574</v>
      </c>
      <c r="O773" s="17">
        <v>292</v>
      </c>
      <c r="P773" s="36">
        <f t="shared" si="262"/>
        <v>0.95114006514657978</v>
      </c>
      <c r="Q773" s="17">
        <v>4</v>
      </c>
      <c r="R773" s="36">
        <f t="shared" si="252"/>
        <v>1.0752688172043012E-2</v>
      </c>
      <c r="S773" s="17">
        <v>4</v>
      </c>
      <c r="T773" s="36">
        <f t="shared" si="263"/>
        <v>1.3029315960912053E-2</v>
      </c>
      <c r="U773" s="17">
        <v>12</v>
      </c>
      <c r="V773" s="36">
        <f t="shared" si="253"/>
        <v>3.2258064516129031E-2</v>
      </c>
      <c r="W773" s="17">
        <v>11</v>
      </c>
      <c r="X773" s="36">
        <f t="shared" si="264"/>
        <v>3.5830618892508145E-2</v>
      </c>
      <c r="Y773" s="17">
        <v>304</v>
      </c>
      <c r="Z773" s="36">
        <f t="shared" si="254"/>
        <v>0.81720430107526887</v>
      </c>
      <c r="AA773" s="17">
        <v>253</v>
      </c>
      <c r="AB773" s="36">
        <f t="shared" si="265"/>
        <v>0.82410423452768733</v>
      </c>
      <c r="AC773" s="17">
        <v>33</v>
      </c>
      <c r="AD773" s="36">
        <f t="shared" si="255"/>
        <v>8.8709677419354843E-2</v>
      </c>
      <c r="AE773" s="17">
        <v>27</v>
      </c>
      <c r="AF773" s="36">
        <f t="shared" si="266"/>
        <v>8.7947882736156349E-2</v>
      </c>
      <c r="AG773" s="17">
        <v>15</v>
      </c>
      <c r="AH773" s="36">
        <f t="shared" si="256"/>
        <v>4.0322580645161289E-2</v>
      </c>
      <c r="AI773" s="17">
        <v>10</v>
      </c>
      <c r="AJ773" s="36">
        <f t="shared" si="267"/>
        <v>3.2573289902280131E-2</v>
      </c>
      <c r="AK773" s="17">
        <v>4</v>
      </c>
      <c r="AL773" s="36">
        <f t="shared" si="257"/>
        <v>1.0752688172043012E-2</v>
      </c>
      <c r="AM773" s="17">
        <v>2</v>
      </c>
      <c r="AN773" s="36">
        <f t="shared" si="268"/>
        <v>6.5146579804560263E-3</v>
      </c>
      <c r="AO773" s="17">
        <v>372</v>
      </c>
      <c r="AP773" s="17">
        <v>307</v>
      </c>
    </row>
    <row r="774" spans="1:42" ht="15.75" customHeight="1" x14ac:dyDescent="0.25">
      <c r="A774" s="37">
        <v>2019</v>
      </c>
      <c r="B774" s="35">
        <v>171370</v>
      </c>
      <c r="C774" s="34" t="s">
        <v>144</v>
      </c>
      <c r="D774" s="34" t="s">
        <v>82</v>
      </c>
      <c r="E774" s="17">
        <v>2</v>
      </c>
      <c r="F774" s="36">
        <f t="shared" si="258"/>
        <v>1.1428571428571429E-2</v>
      </c>
      <c r="G774" s="17">
        <v>0</v>
      </c>
      <c r="H774" s="36">
        <f t="shared" si="259"/>
        <v>0</v>
      </c>
      <c r="I774" s="17">
        <v>12</v>
      </c>
      <c r="J774" s="36">
        <f t="shared" si="260"/>
        <v>6.8571428571428575E-2</v>
      </c>
      <c r="K774" s="17">
        <v>6</v>
      </c>
      <c r="L774" s="36">
        <f t="shared" si="261"/>
        <v>7.5949367088607597E-2</v>
      </c>
      <c r="M774" s="17">
        <v>161</v>
      </c>
      <c r="N774" s="36">
        <f t="shared" si="251"/>
        <v>0.92</v>
      </c>
      <c r="O774" s="17">
        <v>73</v>
      </c>
      <c r="P774" s="36">
        <f t="shared" si="262"/>
        <v>0.92405063291139244</v>
      </c>
      <c r="Q774" s="17">
        <v>5</v>
      </c>
      <c r="R774" s="36">
        <f t="shared" si="252"/>
        <v>2.8571428571428571E-2</v>
      </c>
      <c r="S774" s="17">
        <v>3</v>
      </c>
      <c r="T774" s="36">
        <f t="shared" si="263"/>
        <v>3.7974683544303799E-2</v>
      </c>
      <c r="U774" s="17">
        <v>7</v>
      </c>
      <c r="V774" s="36">
        <f t="shared" si="253"/>
        <v>0.04</v>
      </c>
      <c r="W774" s="17">
        <v>2</v>
      </c>
      <c r="X774" s="36">
        <f t="shared" si="264"/>
        <v>2.5316455696202531E-2</v>
      </c>
      <c r="Y774" s="17">
        <v>122</v>
      </c>
      <c r="Z774" s="36">
        <f t="shared" si="254"/>
        <v>0.69714285714285718</v>
      </c>
      <c r="AA774" s="17">
        <v>55</v>
      </c>
      <c r="AB774" s="36">
        <f t="shared" si="265"/>
        <v>0.69620253164556967</v>
      </c>
      <c r="AC774" s="17">
        <v>26</v>
      </c>
      <c r="AD774" s="36">
        <f t="shared" si="255"/>
        <v>0.14857142857142858</v>
      </c>
      <c r="AE774" s="17">
        <v>16</v>
      </c>
      <c r="AF774" s="36">
        <f t="shared" si="266"/>
        <v>0.20253164556962025</v>
      </c>
      <c r="AG774" s="17">
        <v>14</v>
      </c>
      <c r="AH774" s="36">
        <f t="shared" si="256"/>
        <v>0.08</v>
      </c>
      <c r="AI774" s="17">
        <v>3</v>
      </c>
      <c r="AJ774" s="36">
        <f t="shared" si="267"/>
        <v>3.7974683544303799E-2</v>
      </c>
      <c r="AK774" s="17">
        <v>1</v>
      </c>
      <c r="AL774" s="36">
        <f t="shared" si="257"/>
        <v>5.7142857142857143E-3</v>
      </c>
      <c r="AM774" s="17">
        <v>0</v>
      </c>
      <c r="AN774" s="36">
        <f t="shared" si="268"/>
        <v>0</v>
      </c>
      <c r="AO774" s="17">
        <v>175</v>
      </c>
      <c r="AP774" s="17">
        <v>79</v>
      </c>
    </row>
    <row r="775" spans="1:42" ht="15.75" customHeight="1" x14ac:dyDescent="0.25">
      <c r="A775" s="37">
        <v>2019</v>
      </c>
      <c r="B775" s="35">
        <v>171395</v>
      </c>
      <c r="C775" s="34" t="s">
        <v>149</v>
      </c>
      <c r="D775" s="34" t="s">
        <v>83</v>
      </c>
      <c r="E775" s="17">
        <v>5</v>
      </c>
      <c r="F775" s="36">
        <f t="shared" si="258"/>
        <v>1.7301038062283738E-2</v>
      </c>
      <c r="G775" s="17">
        <v>3</v>
      </c>
      <c r="H775" s="36">
        <f t="shared" si="259"/>
        <v>3.0303030303030304E-2</v>
      </c>
      <c r="I775" s="17">
        <v>16</v>
      </c>
      <c r="J775" s="36">
        <f t="shared" si="260"/>
        <v>5.536332179930796E-2</v>
      </c>
      <c r="K775" s="17">
        <v>5</v>
      </c>
      <c r="L775" s="36">
        <f t="shared" si="261"/>
        <v>5.0505050505050504E-2</v>
      </c>
      <c r="M775" s="17">
        <v>268</v>
      </c>
      <c r="N775" s="36">
        <f t="shared" si="251"/>
        <v>0.9273356401384083</v>
      </c>
      <c r="O775" s="17">
        <v>91</v>
      </c>
      <c r="P775" s="36">
        <f t="shared" si="262"/>
        <v>0.91919191919191923</v>
      </c>
      <c r="Q775" s="17">
        <v>4</v>
      </c>
      <c r="R775" s="36">
        <f t="shared" si="252"/>
        <v>1.384083044982699E-2</v>
      </c>
      <c r="S775" s="17">
        <v>3</v>
      </c>
      <c r="T775" s="36">
        <f t="shared" si="263"/>
        <v>3.0303030303030304E-2</v>
      </c>
      <c r="U775" s="17">
        <v>6</v>
      </c>
      <c r="V775" s="36">
        <f t="shared" si="253"/>
        <v>2.0761245674740483E-2</v>
      </c>
      <c r="W775" s="17">
        <v>3</v>
      </c>
      <c r="X775" s="36">
        <f t="shared" si="264"/>
        <v>3.0303030303030304E-2</v>
      </c>
      <c r="Y775" s="17">
        <v>222</v>
      </c>
      <c r="Z775" s="36">
        <f t="shared" si="254"/>
        <v>0.76816608996539792</v>
      </c>
      <c r="AA775" s="17">
        <v>79</v>
      </c>
      <c r="AB775" s="36">
        <f t="shared" si="265"/>
        <v>0.79797979797979801</v>
      </c>
      <c r="AC775" s="17">
        <v>41</v>
      </c>
      <c r="AD775" s="36">
        <f t="shared" si="255"/>
        <v>0.14186851211072665</v>
      </c>
      <c r="AE775" s="17">
        <v>11</v>
      </c>
      <c r="AF775" s="36">
        <f t="shared" si="266"/>
        <v>0.1111111111111111</v>
      </c>
      <c r="AG775" s="17">
        <v>16</v>
      </c>
      <c r="AH775" s="36">
        <f t="shared" si="256"/>
        <v>5.536332179930796E-2</v>
      </c>
      <c r="AI775" s="17">
        <v>3</v>
      </c>
      <c r="AJ775" s="36">
        <f t="shared" si="267"/>
        <v>3.0303030303030304E-2</v>
      </c>
      <c r="AK775" s="17">
        <v>0</v>
      </c>
      <c r="AL775" s="36">
        <f t="shared" si="257"/>
        <v>0</v>
      </c>
      <c r="AM775" s="17">
        <v>0</v>
      </c>
      <c r="AN775" s="36">
        <f t="shared" si="268"/>
        <v>0</v>
      </c>
      <c r="AO775" s="17">
        <v>289</v>
      </c>
      <c r="AP775" s="17">
        <v>99</v>
      </c>
    </row>
    <row r="776" spans="1:42" ht="15.75" customHeight="1" x14ac:dyDescent="0.25">
      <c r="A776" s="37">
        <v>2019</v>
      </c>
      <c r="B776" s="35">
        <v>171420</v>
      </c>
      <c r="C776" s="34" t="s">
        <v>151</v>
      </c>
      <c r="D776" s="34" t="s">
        <v>84</v>
      </c>
      <c r="E776" s="17">
        <v>8</v>
      </c>
      <c r="F776" s="36">
        <f t="shared" si="258"/>
        <v>1.1644832605531296E-2</v>
      </c>
      <c r="G776" s="17">
        <v>4</v>
      </c>
      <c r="H776" s="36">
        <f t="shared" si="259"/>
        <v>1.2345679012345678E-2</v>
      </c>
      <c r="I776" s="17">
        <v>21</v>
      </c>
      <c r="J776" s="36">
        <f t="shared" si="260"/>
        <v>3.0567685589519649E-2</v>
      </c>
      <c r="K776" s="17">
        <v>13</v>
      </c>
      <c r="L776" s="36">
        <f t="shared" si="261"/>
        <v>4.0123456790123455E-2</v>
      </c>
      <c r="M776" s="17">
        <v>658</v>
      </c>
      <c r="N776" s="36">
        <f t="shared" si="251"/>
        <v>0.9577874818049491</v>
      </c>
      <c r="O776" s="17">
        <v>307</v>
      </c>
      <c r="P776" s="36">
        <f t="shared" si="262"/>
        <v>0.94753086419753085</v>
      </c>
      <c r="Q776" s="17">
        <v>7</v>
      </c>
      <c r="R776" s="36">
        <f t="shared" si="252"/>
        <v>1.0189228529839884E-2</v>
      </c>
      <c r="S776" s="17">
        <v>1</v>
      </c>
      <c r="T776" s="36">
        <f t="shared" si="263"/>
        <v>3.0864197530864196E-3</v>
      </c>
      <c r="U776" s="17">
        <v>22</v>
      </c>
      <c r="V776" s="36">
        <f t="shared" si="253"/>
        <v>3.2023289665211063E-2</v>
      </c>
      <c r="W776" s="17">
        <v>7</v>
      </c>
      <c r="X776" s="36">
        <f t="shared" si="264"/>
        <v>2.1604938271604937E-2</v>
      </c>
      <c r="Y776" s="17">
        <v>471</v>
      </c>
      <c r="Z776" s="36">
        <f t="shared" si="254"/>
        <v>0.68558951965065507</v>
      </c>
      <c r="AA776" s="17">
        <v>220</v>
      </c>
      <c r="AB776" s="36">
        <f t="shared" si="265"/>
        <v>0.67901234567901236</v>
      </c>
      <c r="AC776" s="17">
        <v>118</v>
      </c>
      <c r="AD776" s="36">
        <f t="shared" si="255"/>
        <v>0.1717612809315866</v>
      </c>
      <c r="AE776" s="17">
        <v>61</v>
      </c>
      <c r="AF776" s="36">
        <f t="shared" si="266"/>
        <v>0.18827160493827161</v>
      </c>
      <c r="AG776" s="17">
        <v>57</v>
      </c>
      <c r="AH776" s="36">
        <f t="shared" si="256"/>
        <v>8.296943231441048E-2</v>
      </c>
      <c r="AI776" s="17">
        <v>29</v>
      </c>
      <c r="AJ776" s="36">
        <f t="shared" si="267"/>
        <v>8.9506172839506168E-2</v>
      </c>
      <c r="AK776" s="17">
        <v>12</v>
      </c>
      <c r="AL776" s="36">
        <f t="shared" si="257"/>
        <v>1.7467248908296942E-2</v>
      </c>
      <c r="AM776" s="17">
        <v>6</v>
      </c>
      <c r="AN776" s="36">
        <f t="shared" si="268"/>
        <v>1.8518518518518517E-2</v>
      </c>
      <c r="AO776" s="17">
        <v>687</v>
      </c>
      <c r="AP776" s="17">
        <v>324</v>
      </c>
    </row>
    <row r="777" spans="1:42" ht="15.75" customHeight="1" x14ac:dyDescent="0.25">
      <c r="A777" s="37">
        <v>2019</v>
      </c>
      <c r="B777" s="35">
        <v>171430</v>
      </c>
      <c r="C777" s="34" t="s">
        <v>145</v>
      </c>
      <c r="D777" s="34" t="s">
        <v>85</v>
      </c>
      <c r="E777" s="17">
        <v>5</v>
      </c>
      <c r="F777" s="36">
        <f t="shared" si="258"/>
        <v>1.4970059880239521E-2</v>
      </c>
      <c r="G777" s="17">
        <v>4</v>
      </c>
      <c r="H777" s="36">
        <f t="shared" si="259"/>
        <v>2.1505376344086023E-2</v>
      </c>
      <c r="I777" s="17">
        <v>22</v>
      </c>
      <c r="J777" s="36">
        <f t="shared" si="260"/>
        <v>6.5868263473053898E-2</v>
      </c>
      <c r="K777" s="17">
        <v>9</v>
      </c>
      <c r="L777" s="36">
        <f t="shared" si="261"/>
        <v>4.8387096774193547E-2</v>
      </c>
      <c r="M777" s="17">
        <v>307</v>
      </c>
      <c r="N777" s="36">
        <f t="shared" si="251"/>
        <v>0.91916167664670656</v>
      </c>
      <c r="O777" s="17">
        <v>173</v>
      </c>
      <c r="P777" s="36">
        <f t="shared" si="262"/>
        <v>0.93010752688172038</v>
      </c>
      <c r="Q777" s="17">
        <v>4</v>
      </c>
      <c r="R777" s="36">
        <f t="shared" si="252"/>
        <v>1.1976047904191617E-2</v>
      </c>
      <c r="S777" s="17">
        <v>1</v>
      </c>
      <c r="T777" s="36">
        <f t="shared" si="263"/>
        <v>5.3763440860215058E-3</v>
      </c>
      <c r="U777" s="17">
        <v>20</v>
      </c>
      <c r="V777" s="36">
        <f t="shared" si="253"/>
        <v>5.9880239520958084E-2</v>
      </c>
      <c r="W777" s="17">
        <v>15</v>
      </c>
      <c r="X777" s="36">
        <f t="shared" si="264"/>
        <v>8.0645161290322578E-2</v>
      </c>
      <c r="Y777" s="17">
        <v>253</v>
      </c>
      <c r="Z777" s="36">
        <f t="shared" si="254"/>
        <v>0.75748502994011979</v>
      </c>
      <c r="AA777" s="17">
        <v>139</v>
      </c>
      <c r="AB777" s="36">
        <f t="shared" si="265"/>
        <v>0.74731182795698925</v>
      </c>
      <c r="AC777" s="17">
        <v>41</v>
      </c>
      <c r="AD777" s="36">
        <f t="shared" si="255"/>
        <v>0.12275449101796407</v>
      </c>
      <c r="AE777" s="17">
        <v>22</v>
      </c>
      <c r="AF777" s="36">
        <f t="shared" si="266"/>
        <v>0.11827956989247312</v>
      </c>
      <c r="AG777" s="17">
        <v>15</v>
      </c>
      <c r="AH777" s="36">
        <f t="shared" si="256"/>
        <v>4.4910179640718563E-2</v>
      </c>
      <c r="AI777" s="17">
        <v>8</v>
      </c>
      <c r="AJ777" s="36">
        <f t="shared" si="267"/>
        <v>4.3010752688172046E-2</v>
      </c>
      <c r="AK777" s="17">
        <v>1</v>
      </c>
      <c r="AL777" s="36">
        <f t="shared" si="257"/>
        <v>2.9940119760479044E-3</v>
      </c>
      <c r="AM777" s="17">
        <v>1</v>
      </c>
      <c r="AN777" s="36">
        <f t="shared" si="268"/>
        <v>5.3763440860215058E-3</v>
      </c>
      <c r="AO777" s="17">
        <v>334</v>
      </c>
      <c r="AP777" s="17">
        <v>186</v>
      </c>
    </row>
    <row r="778" spans="1:42" ht="15.75" customHeight="1" x14ac:dyDescent="0.25">
      <c r="A778" s="37">
        <v>2019</v>
      </c>
      <c r="B778" s="35">
        <v>171488</v>
      </c>
      <c r="C778" s="34" t="s">
        <v>149</v>
      </c>
      <c r="D778" s="34" t="s">
        <v>86</v>
      </c>
      <c r="E778" s="17">
        <v>44</v>
      </c>
      <c r="F778" s="36">
        <f t="shared" si="258"/>
        <v>4.4044044044044044E-2</v>
      </c>
      <c r="G778" s="17">
        <v>36</v>
      </c>
      <c r="H778" s="36">
        <f t="shared" si="259"/>
        <v>7.8602620087336247E-2</v>
      </c>
      <c r="I778" s="17">
        <v>79</v>
      </c>
      <c r="J778" s="36">
        <f t="shared" si="260"/>
        <v>7.9079079079079073E-2</v>
      </c>
      <c r="K778" s="17">
        <v>38</v>
      </c>
      <c r="L778" s="36">
        <f t="shared" si="261"/>
        <v>8.296943231441048E-2</v>
      </c>
      <c r="M778" s="17">
        <v>876</v>
      </c>
      <c r="N778" s="36">
        <f t="shared" si="251"/>
        <v>0.87687687687687688</v>
      </c>
      <c r="O778" s="17">
        <v>384</v>
      </c>
      <c r="P778" s="36">
        <f t="shared" si="262"/>
        <v>0.83842794759825323</v>
      </c>
      <c r="Q778" s="17">
        <v>11</v>
      </c>
      <c r="R778" s="36">
        <f t="shared" si="252"/>
        <v>1.1011011011011011E-2</v>
      </c>
      <c r="S778" s="17">
        <v>4</v>
      </c>
      <c r="T778" s="36">
        <f t="shared" si="263"/>
        <v>8.7336244541484712E-3</v>
      </c>
      <c r="U778" s="17">
        <v>46</v>
      </c>
      <c r="V778" s="36">
        <f t="shared" si="253"/>
        <v>4.6046046046046049E-2</v>
      </c>
      <c r="W778" s="17">
        <v>18</v>
      </c>
      <c r="X778" s="36">
        <f t="shared" si="264"/>
        <v>3.9301310043668124E-2</v>
      </c>
      <c r="Y778" s="17">
        <v>686</v>
      </c>
      <c r="Z778" s="36">
        <f t="shared" si="254"/>
        <v>0.68668668668668664</v>
      </c>
      <c r="AA778" s="17">
        <v>302</v>
      </c>
      <c r="AB778" s="36">
        <f t="shared" si="265"/>
        <v>0.65938864628820959</v>
      </c>
      <c r="AC778" s="17">
        <v>184</v>
      </c>
      <c r="AD778" s="36">
        <f t="shared" si="255"/>
        <v>0.1841841841841842</v>
      </c>
      <c r="AE778" s="17">
        <v>97</v>
      </c>
      <c r="AF778" s="36">
        <f t="shared" si="266"/>
        <v>0.21179039301310043</v>
      </c>
      <c r="AG778" s="17">
        <v>61</v>
      </c>
      <c r="AH778" s="36">
        <f t="shared" si="256"/>
        <v>6.1061061061061059E-2</v>
      </c>
      <c r="AI778" s="17">
        <v>27</v>
      </c>
      <c r="AJ778" s="36">
        <f t="shared" si="267"/>
        <v>5.8951965065502182E-2</v>
      </c>
      <c r="AK778" s="17">
        <v>11</v>
      </c>
      <c r="AL778" s="36">
        <f t="shared" si="257"/>
        <v>1.1011011011011011E-2</v>
      </c>
      <c r="AM778" s="17">
        <v>10</v>
      </c>
      <c r="AN778" s="36">
        <f t="shared" si="268"/>
        <v>2.1834061135371178E-2</v>
      </c>
      <c r="AO778" s="17">
        <v>999</v>
      </c>
      <c r="AP778" s="17">
        <v>458</v>
      </c>
    </row>
    <row r="779" spans="1:42" ht="15.75" customHeight="1" x14ac:dyDescent="0.25">
      <c r="A779" s="37">
        <v>2019</v>
      </c>
      <c r="B779" s="35">
        <v>171500</v>
      </c>
      <c r="C779" s="34" t="s">
        <v>144</v>
      </c>
      <c r="D779" s="34" t="s">
        <v>87</v>
      </c>
      <c r="E779" s="17">
        <v>2</v>
      </c>
      <c r="F779" s="36">
        <f t="shared" si="258"/>
        <v>4.3010752688172043E-3</v>
      </c>
      <c r="G779" s="17">
        <v>0</v>
      </c>
      <c r="H779" s="36">
        <f t="shared" si="259"/>
        <v>0</v>
      </c>
      <c r="I779" s="17">
        <v>13</v>
      </c>
      <c r="J779" s="36">
        <f t="shared" si="260"/>
        <v>2.7956989247311829E-2</v>
      </c>
      <c r="K779" s="17">
        <v>3</v>
      </c>
      <c r="L779" s="36">
        <f t="shared" si="261"/>
        <v>2.0689655172413793E-2</v>
      </c>
      <c r="M779" s="17">
        <v>450</v>
      </c>
      <c r="N779" s="36">
        <f t="shared" si="251"/>
        <v>0.967741935483871</v>
      </c>
      <c r="O779" s="17">
        <v>142</v>
      </c>
      <c r="P779" s="36">
        <f t="shared" si="262"/>
        <v>0.97931034482758617</v>
      </c>
      <c r="Q779" s="17">
        <v>5</v>
      </c>
      <c r="R779" s="36">
        <f t="shared" si="252"/>
        <v>1.0752688172043012E-2</v>
      </c>
      <c r="S779" s="17">
        <v>4</v>
      </c>
      <c r="T779" s="36">
        <f t="shared" si="263"/>
        <v>2.7586206896551724E-2</v>
      </c>
      <c r="U779" s="17">
        <v>24</v>
      </c>
      <c r="V779" s="36">
        <f t="shared" si="253"/>
        <v>5.1612903225806452E-2</v>
      </c>
      <c r="W779" s="17">
        <v>5</v>
      </c>
      <c r="X779" s="36">
        <f t="shared" si="264"/>
        <v>3.4482758620689655E-2</v>
      </c>
      <c r="Y779" s="17">
        <v>334</v>
      </c>
      <c r="Z779" s="36">
        <f t="shared" si="254"/>
        <v>0.7182795698924731</v>
      </c>
      <c r="AA779" s="17">
        <v>101</v>
      </c>
      <c r="AB779" s="36">
        <f t="shared" si="265"/>
        <v>0.69655172413793098</v>
      </c>
      <c r="AC779" s="17">
        <v>69</v>
      </c>
      <c r="AD779" s="36">
        <f t="shared" si="255"/>
        <v>0.14838709677419354</v>
      </c>
      <c r="AE779" s="17">
        <v>26</v>
      </c>
      <c r="AF779" s="36">
        <f t="shared" si="266"/>
        <v>0.1793103448275862</v>
      </c>
      <c r="AG779" s="17">
        <v>27</v>
      </c>
      <c r="AH779" s="36">
        <f t="shared" si="256"/>
        <v>5.8064516129032261E-2</v>
      </c>
      <c r="AI779" s="17">
        <v>7</v>
      </c>
      <c r="AJ779" s="36">
        <f t="shared" si="267"/>
        <v>4.8275862068965517E-2</v>
      </c>
      <c r="AK779" s="17">
        <v>6</v>
      </c>
      <c r="AL779" s="36">
        <f t="shared" si="257"/>
        <v>1.2903225806451613E-2</v>
      </c>
      <c r="AM779" s="17">
        <v>2</v>
      </c>
      <c r="AN779" s="36">
        <f t="shared" si="268"/>
        <v>1.3793103448275862E-2</v>
      </c>
      <c r="AO779" s="17">
        <v>465</v>
      </c>
      <c r="AP779" s="17">
        <v>145</v>
      </c>
    </row>
    <row r="780" spans="1:42" ht="15.75" customHeight="1" x14ac:dyDescent="0.25">
      <c r="A780" s="37">
        <v>2019</v>
      </c>
      <c r="B780" s="35">
        <v>171510</v>
      </c>
      <c r="C780" s="34" t="s">
        <v>148</v>
      </c>
      <c r="D780" s="34" t="s">
        <v>88</v>
      </c>
      <c r="E780" s="17">
        <v>5</v>
      </c>
      <c r="F780" s="36">
        <f t="shared" si="258"/>
        <v>2.0491803278688523E-2</v>
      </c>
      <c r="G780" s="17">
        <v>3</v>
      </c>
      <c r="H780" s="36">
        <f t="shared" si="259"/>
        <v>2.8301886792452831E-2</v>
      </c>
      <c r="I780" s="17">
        <v>13</v>
      </c>
      <c r="J780" s="36">
        <f t="shared" si="260"/>
        <v>5.3278688524590161E-2</v>
      </c>
      <c r="K780" s="17">
        <v>6</v>
      </c>
      <c r="L780" s="36">
        <f t="shared" si="261"/>
        <v>5.6603773584905662E-2</v>
      </c>
      <c r="M780" s="17">
        <v>226</v>
      </c>
      <c r="N780" s="36">
        <f t="shared" si="251"/>
        <v>0.92622950819672134</v>
      </c>
      <c r="O780" s="17">
        <v>97</v>
      </c>
      <c r="P780" s="36">
        <f t="shared" si="262"/>
        <v>0.91509433962264153</v>
      </c>
      <c r="Q780" s="17">
        <v>1</v>
      </c>
      <c r="R780" s="36">
        <f t="shared" si="252"/>
        <v>4.0983606557377051E-3</v>
      </c>
      <c r="S780" s="17">
        <v>1</v>
      </c>
      <c r="T780" s="36">
        <f t="shared" si="263"/>
        <v>9.433962264150943E-3</v>
      </c>
      <c r="U780" s="17">
        <v>8</v>
      </c>
      <c r="V780" s="36">
        <f t="shared" si="253"/>
        <v>3.2786885245901641E-2</v>
      </c>
      <c r="W780" s="17">
        <v>1</v>
      </c>
      <c r="X780" s="36">
        <f t="shared" si="264"/>
        <v>9.433962264150943E-3</v>
      </c>
      <c r="Y780" s="17">
        <v>180</v>
      </c>
      <c r="Z780" s="36">
        <f t="shared" si="254"/>
        <v>0.73770491803278693</v>
      </c>
      <c r="AA780" s="17">
        <v>79</v>
      </c>
      <c r="AB780" s="36">
        <f t="shared" si="265"/>
        <v>0.74528301886792447</v>
      </c>
      <c r="AC780" s="17">
        <v>40</v>
      </c>
      <c r="AD780" s="36">
        <f t="shared" si="255"/>
        <v>0.16393442622950818</v>
      </c>
      <c r="AE780" s="17">
        <v>20</v>
      </c>
      <c r="AF780" s="36">
        <f t="shared" si="266"/>
        <v>0.18867924528301888</v>
      </c>
      <c r="AG780" s="17">
        <v>13</v>
      </c>
      <c r="AH780" s="36">
        <f t="shared" si="256"/>
        <v>5.3278688524590161E-2</v>
      </c>
      <c r="AI780" s="17">
        <v>5</v>
      </c>
      <c r="AJ780" s="36">
        <f t="shared" si="267"/>
        <v>4.716981132075472E-2</v>
      </c>
      <c r="AK780" s="17">
        <v>2</v>
      </c>
      <c r="AL780" s="36">
        <f t="shared" si="257"/>
        <v>8.1967213114754103E-3</v>
      </c>
      <c r="AM780" s="17">
        <v>0</v>
      </c>
      <c r="AN780" s="36">
        <f t="shared" si="268"/>
        <v>0</v>
      </c>
      <c r="AO780" s="17">
        <v>244</v>
      </c>
      <c r="AP780" s="17">
        <v>106</v>
      </c>
    </row>
    <row r="781" spans="1:42" ht="15.75" customHeight="1" x14ac:dyDescent="0.25">
      <c r="A781" s="37">
        <v>2019</v>
      </c>
      <c r="B781" s="35">
        <v>171515</v>
      </c>
      <c r="C781" s="34" t="s">
        <v>147</v>
      </c>
      <c r="D781" s="34" t="s">
        <v>89</v>
      </c>
      <c r="E781" s="17">
        <v>3</v>
      </c>
      <c r="F781" s="36">
        <f t="shared" si="258"/>
        <v>1.4999999999999999E-2</v>
      </c>
      <c r="G781" s="17">
        <v>1</v>
      </c>
      <c r="H781" s="36">
        <f t="shared" si="259"/>
        <v>1.5625E-2</v>
      </c>
      <c r="I781" s="17">
        <v>5</v>
      </c>
      <c r="J781" s="36">
        <f t="shared" si="260"/>
        <v>2.5000000000000001E-2</v>
      </c>
      <c r="K781" s="17">
        <v>3</v>
      </c>
      <c r="L781" s="36">
        <f t="shared" si="261"/>
        <v>4.6875E-2</v>
      </c>
      <c r="M781" s="17">
        <v>192</v>
      </c>
      <c r="N781" s="36">
        <f t="shared" si="251"/>
        <v>0.96</v>
      </c>
      <c r="O781" s="17">
        <v>60</v>
      </c>
      <c r="P781" s="36">
        <f t="shared" si="262"/>
        <v>0.9375</v>
      </c>
      <c r="Q781" s="17">
        <v>2</v>
      </c>
      <c r="R781" s="36">
        <f t="shared" si="252"/>
        <v>0.01</v>
      </c>
      <c r="S781" s="17">
        <v>0</v>
      </c>
      <c r="T781" s="36">
        <f t="shared" si="263"/>
        <v>0</v>
      </c>
      <c r="U781" s="17">
        <v>5</v>
      </c>
      <c r="V781" s="36">
        <f t="shared" si="253"/>
        <v>2.5000000000000001E-2</v>
      </c>
      <c r="W781" s="17">
        <v>2</v>
      </c>
      <c r="X781" s="36">
        <f t="shared" si="264"/>
        <v>3.125E-2</v>
      </c>
      <c r="Y781" s="17">
        <v>149</v>
      </c>
      <c r="Z781" s="36">
        <f t="shared" si="254"/>
        <v>0.745</v>
      </c>
      <c r="AA781" s="17">
        <v>43</v>
      </c>
      <c r="AB781" s="36">
        <f t="shared" si="265"/>
        <v>0.671875</v>
      </c>
      <c r="AC781" s="17">
        <v>29</v>
      </c>
      <c r="AD781" s="36">
        <f t="shared" si="255"/>
        <v>0.14499999999999999</v>
      </c>
      <c r="AE781" s="17">
        <v>15</v>
      </c>
      <c r="AF781" s="36">
        <f t="shared" si="266"/>
        <v>0.234375</v>
      </c>
      <c r="AG781" s="17">
        <v>13</v>
      </c>
      <c r="AH781" s="36">
        <f t="shared" si="256"/>
        <v>6.5000000000000002E-2</v>
      </c>
      <c r="AI781" s="17">
        <v>4</v>
      </c>
      <c r="AJ781" s="36">
        <f t="shared" si="267"/>
        <v>6.25E-2</v>
      </c>
      <c r="AK781" s="17">
        <v>2</v>
      </c>
      <c r="AL781" s="36">
        <f t="shared" si="257"/>
        <v>0.01</v>
      </c>
      <c r="AM781" s="17">
        <v>0</v>
      </c>
      <c r="AN781" s="36">
        <f t="shared" si="268"/>
        <v>0</v>
      </c>
      <c r="AO781" s="17">
        <v>200</v>
      </c>
      <c r="AP781" s="17">
        <v>64</v>
      </c>
    </row>
    <row r="782" spans="1:42" ht="15.75" customHeight="1" x14ac:dyDescent="0.25">
      <c r="A782" s="37">
        <v>2019</v>
      </c>
      <c r="B782" s="35">
        <v>171525</v>
      </c>
      <c r="C782" s="34" t="s">
        <v>147</v>
      </c>
      <c r="D782" s="34" t="s">
        <v>90</v>
      </c>
      <c r="E782" s="17">
        <v>2</v>
      </c>
      <c r="F782" s="36">
        <f t="shared" si="258"/>
        <v>1.1695906432748537E-2</v>
      </c>
      <c r="G782" s="17">
        <v>2</v>
      </c>
      <c r="H782" s="36">
        <f t="shared" si="259"/>
        <v>1.7241379310344827E-2</v>
      </c>
      <c r="I782" s="17">
        <v>12</v>
      </c>
      <c r="J782" s="36">
        <f t="shared" si="260"/>
        <v>7.0175438596491224E-2</v>
      </c>
      <c r="K782" s="17">
        <v>12</v>
      </c>
      <c r="L782" s="36">
        <f t="shared" si="261"/>
        <v>0.10344827586206896</v>
      </c>
      <c r="M782" s="17">
        <v>157</v>
      </c>
      <c r="N782" s="36">
        <f t="shared" si="251"/>
        <v>0.91812865497076024</v>
      </c>
      <c r="O782" s="17">
        <v>102</v>
      </c>
      <c r="P782" s="36">
        <f t="shared" si="262"/>
        <v>0.87931034482758619</v>
      </c>
      <c r="Q782" s="17">
        <v>2</v>
      </c>
      <c r="R782" s="36">
        <f t="shared" si="252"/>
        <v>1.1695906432748537E-2</v>
      </c>
      <c r="S782" s="17">
        <v>2</v>
      </c>
      <c r="T782" s="36">
        <f t="shared" si="263"/>
        <v>1.7241379310344827E-2</v>
      </c>
      <c r="U782" s="17">
        <v>7</v>
      </c>
      <c r="V782" s="36">
        <f t="shared" si="253"/>
        <v>4.0935672514619881E-2</v>
      </c>
      <c r="W782" s="17">
        <v>3</v>
      </c>
      <c r="X782" s="36">
        <f t="shared" si="264"/>
        <v>2.5862068965517241E-2</v>
      </c>
      <c r="Y782" s="17">
        <v>135</v>
      </c>
      <c r="Z782" s="36">
        <f t="shared" si="254"/>
        <v>0.78947368421052633</v>
      </c>
      <c r="AA782" s="17">
        <v>92</v>
      </c>
      <c r="AB782" s="36">
        <f t="shared" si="265"/>
        <v>0.7931034482758621</v>
      </c>
      <c r="AC782" s="17">
        <v>17</v>
      </c>
      <c r="AD782" s="36">
        <f t="shared" si="255"/>
        <v>9.9415204678362568E-2</v>
      </c>
      <c r="AE782" s="17">
        <v>12</v>
      </c>
      <c r="AF782" s="36">
        <f t="shared" si="266"/>
        <v>0.10344827586206896</v>
      </c>
      <c r="AG782" s="17">
        <v>9</v>
      </c>
      <c r="AH782" s="36">
        <f t="shared" si="256"/>
        <v>5.2631578947368418E-2</v>
      </c>
      <c r="AI782" s="17">
        <v>6</v>
      </c>
      <c r="AJ782" s="36">
        <f t="shared" si="267"/>
        <v>5.1724137931034482E-2</v>
      </c>
      <c r="AK782" s="17">
        <v>1</v>
      </c>
      <c r="AL782" s="36">
        <f t="shared" si="257"/>
        <v>5.8479532163742687E-3</v>
      </c>
      <c r="AM782" s="17">
        <v>1</v>
      </c>
      <c r="AN782" s="36">
        <f t="shared" si="268"/>
        <v>8.6206896551724137E-3</v>
      </c>
      <c r="AO782" s="17">
        <v>171</v>
      </c>
      <c r="AP782" s="17">
        <v>116</v>
      </c>
    </row>
    <row r="783" spans="1:42" ht="15.75" customHeight="1" x14ac:dyDescent="0.25">
      <c r="A783" s="37">
        <v>2019</v>
      </c>
      <c r="B783" s="35">
        <v>171550</v>
      </c>
      <c r="C783" s="34" t="s">
        <v>151</v>
      </c>
      <c r="D783" s="34" t="s">
        <v>91</v>
      </c>
      <c r="E783" s="17">
        <v>2</v>
      </c>
      <c r="F783" s="36">
        <f t="shared" si="258"/>
        <v>1.2345679012345678E-2</v>
      </c>
      <c r="G783" s="17">
        <v>0</v>
      </c>
      <c r="H783" s="36">
        <f t="shared" si="259"/>
        <v>0</v>
      </c>
      <c r="I783" s="17">
        <v>2</v>
      </c>
      <c r="J783" s="36">
        <f t="shared" si="260"/>
        <v>1.2345679012345678E-2</v>
      </c>
      <c r="K783" s="17">
        <v>0</v>
      </c>
      <c r="L783" s="36">
        <f t="shared" si="261"/>
        <v>0</v>
      </c>
      <c r="M783" s="17">
        <v>158</v>
      </c>
      <c r="N783" s="36">
        <f t="shared" si="251"/>
        <v>0.97530864197530864</v>
      </c>
      <c r="O783" s="17">
        <v>73</v>
      </c>
      <c r="P783" s="36">
        <f t="shared" si="262"/>
        <v>1</v>
      </c>
      <c r="Q783" s="17">
        <v>1</v>
      </c>
      <c r="R783" s="36">
        <f t="shared" si="252"/>
        <v>6.1728395061728392E-3</v>
      </c>
      <c r="S783" s="17">
        <v>1</v>
      </c>
      <c r="T783" s="36">
        <f t="shared" si="263"/>
        <v>1.3698630136986301E-2</v>
      </c>
      <c r="U783" s="17">
        <v>4</v>
      </c>
      <c r="V783" s="36">
        <f t="shared" si="253"/>
        <v>2.4691358024691357E-2</v>
      </c>
      <c r="W783" s="17">
        <v>3</v>
      </c>
      <c r="X783" s="36">
        <f t="shared" si="264"/>
        <v>4.1095890410958902E-2</v>
      </c>
      <c r="Y783" s="17">
        <v>120</v>
      </c>
      <c r="Z783" s="36">
        <f t="shared" si="254"/>
        <v>0.7407407407407407</v>
      </c>
      <c r="AA783" s="17">
        <v>56</v>
      </c>
      <c r="AB783" s="36">
        <f t="shared" si="265"/>
        <v>0.76712328767123283</v>
      </c>
      <c r="AC783" s="17">
        <v>28</v>
      </c>
      <c r="AD783" s="36">
        <f t="shared" si="255"/>
        <v>0.1728395061728395</v>
      </c>
      <c r="AE783" s="17">
        <v>12</v>
      </c>
      <c r="AF783" s="36">
        <f t="shared" si="266"/>
        <v>0.16438356164383561</v>
      </c>
      <c r="AG783" s="17">
        <v>8</v>
      </c>
      <c r="AH783" s="36">
        <f t="shared" si="256"/>
        <v>4.9382716049382713E-2</v>
      </c>
      <c r="AI783" s="17">
        <v>1</v>
      </c>
      <c r="AJ783" s="36">
        <f t="shared" si="267"/>
        <v>1.3698630136986301E-2</v>
      </c>
      <c r="AK783" s="17">
        <v>1</v>
      </c>
      <c r="AL783" s="36">
        <f t="shared" si="257"/>
        <v>6.1728395061728392E-3</v>
      </c>
      <c r="AM783" s="17">
        <v>0</v>
      </c>
      <c r="AN783" s="36">
        <f t="shared" si="268"/>
        <v>0</v>
      </c>
      <c r="AO783" s="17">
        <v>162</v>
      </c>
      <c r="AP783" s="17">
        <v>73</v>
      </c>
    </row>
    <row r="784" spans="1:42" ht="15.75" customHeight="1" x14ac:dyDescent="0.25">
      <c r="A784" s="37">
        <v>2019</v>
      </c>
      <c r="B784" s="35">
        <v>172100</v>
      </c>
      <c r="C784" s="34" t="s">
        <v>148</v>
      </c>
      <c r="D784" s="34" t="s">
        <v>92</v>
      </c>
      <c r="E784" s="17">
        <v>210</v>
      </c>
      <c r="F784" s="36">
        <f t="shared" si="258"/>
        <v>2.2281167108753316E-2</v>
      </c>
      <c r="G784" s="17">
        <v>154</v>
      </c>
      <c r="H784" s="36">
        <f t="shared" si="259"/>
        <v>5.1299133910726186E-2</v>
      </c>
      <c r="I784" s="17">
        <v>407</v>
      </c>
      <c r="J784" s="36">
        <f t="shared" si="260"/>
        <v>4.3183023872679048E-2</v>
      </c>
      <c r="K784" s="17">
        <v>166</v>
      </c>
      <c r="L784" s="36">
        <f t="shared" si="261"/>
        <v>5.5296469020652897E-2</v>
      </c>
      <c r="M784" s="16">
        <v>8808</v>
      </c>
      <c r="N784" s="36">
        <f t="shared" si="251"/>
        <v>0.93453580901856759</v>
      </c>
      <c r="O784" s="16">
        <v>2682</v>
      </c>
      <c r="P784" s="36">
        <f t="shared" si="262"/>
        <v>0.89340439706862096</v>
      </c>
      <c r="Q784" s="17">
        <v>157</v>
      </c>
      <c r="R784" s="36">
        <f t="shared" si="252"/>
        <v>1.6657824933687004E-2</v>
      </c>
      <c r="S784" s="17">
        <v>89</v>
      </c>
      <c r="T784" s="36">
        <f t="shared" si="263"/>
        <v>2.9646902065289808E-2</v>
      </c>
      <c r="U784" s="17">
        <v>408</v>
      </c>
      <c r="V784" s="36">
        <f t="shared" si="253"/>
        <v>4.3289124668435014E-2</v>
      </c>
      <c r="W784" s="17">
        <v>155</v>
      </c>
      <c r="X784" s="36">
        <f t="shared" si="264"/>
        <v>5.1632245169886744E-2</v>
      </c>
      <c r="Y784" s="16">
        <v>6575</v>
      </c>
      <c r="Z784" s="36">
        <f t="shared" si="254"/>
        <v>0.69761273209549068</v>
      </c>
      <c r="AA784" s="16">
        <v>2106</v>
      </c>
      <c r="AB784" s="36">
        <f t="shared" si="265"/>
        <v>0.7015323117921386</v>
      </c>
      <c r="AC784" s="16">
        <v>1539</v>
      </c>
      <c r="AD784" s="36">
        <f t="shared" si="255"/>
        <v>0.16328912466843501</v>
      </c>
      <c r="AE784" s="17">
        <v>472</v>
      </c>
      <c r="AF784" s="36">
        <f t="shared" si="266"/>
        <v>0.15722851432378415</v>
      </c>
      <c r="AG784" s="17">
        <v>609</v>
      </c>
      <c r="AH784" s="36">
        <f t="shared" si="256"/>
        <v>6.4615384615384616E-2</v>
      </c>
      <c r="AI784" s="17">
        <v>132</v>
      </c>
      <c r="AJ784" s="36">
        <f t="shared" si="267"/>
        <v>4.3970686209193872E-2</v>
      </c>
      <c r="AK784" s="17">
        <v>137</v>
      </c>
      <c r="AL784" s="36">
        <f t="shared" si="257"/>
        <v>1.4535809018567639E-2</v>
      </c>
      <c r="AM784" s="17">
        <v>48</v>
      </c>
      <c r="AN784" s="36">
        <f t="shared" si="268"/>
        <v>1.5989340439706862E-2</v>
      </c>
      <c r="AO784" s="16">
        <v>9425</v>
      </c>
      <c r="AP784" s="16">
        <v>3002</v>
      </c>
    </row>
    <row r="785" spans="1:42" ht="15.75" customHeight="1" x14ac:dyDescent="0.25">
      <c r="A785" s="37">
        <v>2019</v>
      </c>
      <c r="B785" s="35">
        <v>171570</v>
      </c>
      <c r="C785" s="34" t="s">
        <v>150</v>
      </c>
      <c r="D785" s="34" t="s">
        <v>93</v>
      </c>
      <c r="E785" s="17">
        <v>14</v>
      </c>
      <c r="F785" s="36">
        <f t="shared" si="258"/>
        <v>2.9661016949152543E-2</v>
      </c>
      <c r="G785" s="17">
        <v>10</v>
      </c>
      <c r="H785" s="36">
        <f t="shared" si="259"/>
        <v>3.5587188612099648E-2</v>
      </c>
      <c r="I785" s="17">
        <v>36</v>
      </c>
      <c r="J785" s="36">
        <f t="shared" si="260"/>
        <v>7.6271186440677971E-2</v>
      </c>
      <c r="K785" s="17">
        <v>28</v>
      </c>
      <c r="L785" s="36">
        <f t="shared" si="261"/>
        <v>9.9644128113879002E-2</v>
      </c>
      <c r="M785" s="17">
        <v>422</v>
      </c>
      <c r="N785" s="36">
        <f t="shared" si="251"/>
        <v>0.89406779661016944</v>
      </c>
      <c r="O785" s="17">
        <v>243</v>
      </c>
      <c r="P785" s="36">
        <f t="shared" si="262"/>
        <v>0.86476868327402134</v>
      </c>
      <c r="Q785" s="17">
        <v>3</v>
      </c>
      <c r="R785" s="36">
        <f t="shared" si="252"/>
        <v>6.3559322033898309E-3</v>
      </c>
      <c r="S785" s="17">
        <v>2</v>
      </c>
      <c r="T785" s="36">
        <f t="shared" si="263"/>
        <v>7.1174377224199285E-3</v>
      </c>
      <c r="U785" s="17">
        <v>22</v>
      </c>
      <c r="V785" s="36">
        <f t="shared" si="253"/>
        <v>4.6610169491525424E-2</v>
      </c>
      <c r="W785" s="17">
        <v>12</v>
      </c>
      <c r="X785" s="36">
        <f t="shared" si="264"/>
        <v>4.2704626334519574E-2</v>
      </c>
      <c r="Y785" s="17">
        <v>362</v>
      </c>
      <c r="Z785" s="36">
        <f t="shared" si="254"/>
        <v>0.76694915254237284</v>
      </c>
      <c r="AA785" s="17">
        <v>219</v>
      </c>
      <c r="AB785" s="36">
        <f t="shared" si="265"/>
        <v>0.77935943060498225</v>
      </c>
      <c r="AC785" s="17">
        <v>64</v>
      </c>
      <c r="AD785" s="36">
        <f t="shared" si="255"/>
        <v>0.13559322033898305</v>
      </c>
      <c r="AE785" s="17">
        <v>33</v>
      </c>
      <c r="AF785" s="36">
        <f t="shared" si="266"/>
        <v>0.11743772241992882</v>
      </c>
      <c r="AG785" s="17">
        <v>16</v>
      </c>
      <c r="AH785" s="36">
        <f t="shared" si="256"/>
        <v>3.3898305084745763E-2</v>
      </c>
      <c r="AI785" s="17">
        <v>13</v>
      </c>
      <c r="AJ785" s="36">
        <f t="shared" si="267"/>
        <v>4.6263345195729534E-2</v>
      </c>
      <c r="AK785" s="17">
        <v>5</v>
      </c>
      <c r="AL785" s="36">
        <f t="shared" si="257"/>
        <v>1.059322033898305E-2</v>
      </c>
      <c r="AM785" s="17">
        <v>2</v>
      </c>
      <c r="AN785" s="36">
        <f t="shared" si="268"/>
        <v>7.1174377224199285E-3</v>
      </c>
      <c r="AO785" s="17">
        <v>472</v>
      </c>
      <c r="AP785" s="17">
        <v>281</v>
      </c>
    </row>
    <row r="786" spans="1:42" ht="15.75" customHeight="1" x14ac:dyDescent="0.25">
      <c r="A786" s="37">
        <v>2019</v>
      </c>
      <c r="B786" s="35">
        <v>171380</v>
      </c>
      <c r="C786" s="34" t="s">
        <v>145</v>
      </c>
      <c r="D786" s="34" t="s">
        <v>94</v>
      </c>
      <c r="E786" s="17">
        <v>7</v>
      </c>
      <c r="F786" s="36">
        <f t="shared" si="258"/>
        <v>2.2653721682847898E-2</v>
      </c>
      <c r="G786" s="17">
        <v>7</v>
      </c>
      <c r="H786" s="36">
        <f t="shared" si="259"/>
        <v>2.9787234042553193E-2</v>
      </c>
      <c r="I786" s="17">
        <v>27</v>
      </c>
      <c r="J786" s="36">
        <f t="shared" si="260"/>
        <v>8.7378640776699032E-2</v>
      </c>
      <c r="K786" s="17">
        <v>16</v>
      </c>
      <c r="L786" s="36">
        <f t="shared" si="261"/>
        <v>6.8085106382978725E-2</v>
      </c>
      <c r="M786" s="17">
        <v>275</v>
      </c>
      <c r="N786" s="36">
        <f t="shared" si="251"/>
        <v>0.88996763754045305</v>
      </c>
      <c r="O786" s="17">
        <v>212</v>
      </c>
      <c r="P786" s="36">
        <f t="shared" si="262"/>
        <v>0.90212765957446805</v>
      </c>
      <c r="Q786" s="17">
        <v>0</v>
      </c>
      <c r="R786" s="36">
        <f t="shared" si="252"/>
        <v>0</v>
      </c>
      <c r="S786" s="17">
        <v>0</v>
      </c>
      <c r="T786" s="36">
        <f t="shared" si="263"/>
        <v>0</v>
      </c>
      <c r="U786" s="17">
        <v>14</v>
      </c>
      <c r="V786" s="36">
        <f t="shared" si="253"/>
        <v>4.5307443365695796E-2</v>
      </c>
      <c r="W786" s="17">
        <v>13</v>
      </c>
      <c r="X786" s="36">
        <f t="shared" si="264"/>
        <v>5.5319148936170209E-2</v>
      </c>
      <c r="Y786" s="17">
        <v>219</v>
      </c>
      <c r="Z786" s="36">
        <f t="shared" si="254"/>
        <v>0.70873786407766992</v>
      </c>
      <c r="AA786" s="17">
        <v>162</v>
      </c>
      <c r="AB786" s="36">
        <f t="shared" si="265"/>
        <v>0.68936170212765957</v>
      </c>
      <c r="AC786" s="17">
        <v>53</v>
      </c>
      <c r="AD786" s="36">
        <f t="shared" si="255"/>
        <v>0.17152103559870549</v>
      </c>
      <c r="AE786" s="17">
        <v>41</v>
      </c>
      <c r="AF786" s="36">
        <f t="shared" si="266"/>
        <v>0.17446808510638298</v>
      </c>
      <c r="AG786" s="17">
        <v>16</v>
      </c>
      <c r="AH786" s="36">
        <f t="shared" si="256"/>
        <v>5.1779935275080909E-2</v>
      </c>
      <c r="AI786" s="17">
        <v>14</v>
      </c>
      <c r="AJ786" s="36">
        <f t="shared" si="267"/>
        <v>5.9574468085106386E-2</v>
      </c>
      <c r="AK786" s="17">
        <v>7</v>
      </c>
      <c r="AL786" s="36">
        <f t="shared" si="257"/>
        <v>2.2653721682847898E-2</v>
      </c>
      <c r="AM786" s="17">
        <v>5</v>
      </c>
      <c r="AN786" s="36">
        <f t="shared" si="268"/>
        <v>2.1276595744680851E-2</v>
      </c>
      <c r="AO786" s="17">
        <v>309</v>
      </c>
      <c r="AP786" s="17">
        <v>235</v>
      </c>
    </row>
    <row r="787" spans="1:42" ht="15.75" customHeight="1" x14ac:dyDescent="0.25">
      <c r="A787" s="37">
        <v>2019</v>
      </c>
      <c r="B787" s="35">
        <v>171575</v>
      </c>
      <c r="C787" s="34" t="s">
        <v>146</v>
      </c>
      <c r="D787" s="34" t="s">
        <v>95</v>
      </c>
      <c r="E787" s="17">
        <v>3</v>
      </c>
      <c r="F787" s="36">
        <f t="shared" si="258"/>
        <v>3.6231884057971015E-3</v>
      </c>
      <c r="G787" s="17">
        <v>1</v>
      </c>
      <c r="H787" s="36">
        <f t="shared" si="259"/>
        <v>1.0101010101010102E-2</v>
      </c>
      <c r="I787" s="17">
        <v>22</v>
      </c>
      <c r="J787" s="36">
        <f t="shared" si="260"/>
        <v>2.6570048309178744E-2</v>
      </c>
      <c r="K787" s="17">
        <v>4</v>
      </c>
      <c r="L787" s="36">
        <f t="shared" si="261"/>
        <v>4.0404040404040407E-2</v>
      </c>
      <c r="M787" s="17">
        <v>803</v>
      </c>
      <c r="N787" s="36">
        <f t="shared" si="251"/>
        <v>0.96980676328502413</v>
      </c>
      <c r="O787" s="17">
        <v>94</v>
      </c>
      <c r="P787" s="36">
        <f t="shared" si="262"/>
        <v>0.9494949494949495</v>
      </c>
      <c r="Q787" s="17">
        <v>1</v>
      </c>
      <c r="R787" s="36">
        <f t="shared" si="252"/>
        <v>1.2077294685990338E-3</v>
      </c>
      <c r="S787" s="17">
        <v>1</v>
      </c>
      <c r="T787" s="36">
        <f t="shared" si="263"/>
        <v>1.0101010101010102E-2</v>
      </c>
      <c r="U787" s="17">
        <v>36</v>
      </c>
      <c r="V787" s="36">
        <f t="shared" si="253"/>
        <v>4.3478260869565216E-2</v>
      </c>
      <c r="W787" s="17">
        <v>4</v>
      </c>
      <c r="X787" s="36">
        <f t="shared" si="264"/>
        <v>4.0404040404040407E-2</v>
      </c>
      <c r="Y787" s="17">
        <v>569</v>
      </c>
      <c r="Z787" s="36">
        <f t="shared" si="254"/>
        <v>0.6871980676328503</v>
      </c>
      <c r="AA787" s="17">
        <v>67</v>
      </c>
      <c r="AB787" s="36">
        <f t="shared" si="265"/>
        <v>0.6767676767676768</v>
      </c>
      <c r="AC787" s="17">
        <v>146</v>
      </c>
      <c r="AD787" s="36">
        <f t="shared" si="255"/>
        <v>0.17632850241545894</v>
      </c>
      <c r="AE787" s="17">
        <v>16</v>
      </c>
      <c r="AF787" s="36">
        <f t="shared" si="266"/>
        <v>0.16161616161616163</v>
      </c>
      <c r="AG787" s="17">
        <v>64</v>
      </c>
      <c r="AH787" s="36">
        <f t="shared" si="256"/>
        <v>7.7294685990338161E-2</v>
      </c>
      <c r="AI787" s="17">
        <v>9</v>
      </c>
      <c r="AJ787" s="36">
        <f t="shared" si="267"/>
        <v>9.0909090909090912E-2</v>
      </c>
      <c r="AK787" s="17">
        <v>12</v>
      </c>
      <c r="AL787" s="36">
        <f t="shared" si="257"/>
        <v>1.4492753623188406E-2</v>
      </c>
      <c r="AM787" s="17">
        <v>2</v>
      </c>
      <c r="AN787" s="36">
        <f t="shared" si="268"/>
        <v>2.0202020202020204E-2</v>
      </c>
      <c r="AO787" s="17">
        <v>828</v>
      </c>
      <c r="AP787" s="17">
        <v>99</v>
      </c>
    </row>
    <row r="788" spans="1:42" ht="15.75" customHeight="1" x14ac:dyDescent="0.25">
      <c r="A788" s="37">
        <v>2019</v>
      </c>
      <c r="B788" s="35">
        <v>171610</v>
      </c>
      <c r="C788" s="34" t="s">
        <v>144</v>
      </c>
      <c r="D788" s="34" t="s">
        <v>96</v>
      </c>
      <c r="E788" s="17">
        <v>4</v>
      </c>
      <c r="F788" s="36">
        <f t="shared" si="258"/>
        <v>6.9444444444444441E-3</v>
      </c>
      <c r="G788" s="17">
        <v>4</v>
      </c>
      <c r="H788" s="36">
        <f t="shared" si="259"/>
        <v>9.5923261390887284E-3</v>
      </c>
      <c r="I788" s="17">
        <v>20</v>
      </c>
      <c r="J788" s="36">
        <f t="shared" si="260"/>
        <v>3.4722222222222224E-2</v>
      </c>
      <c r="K788" s="17">
        <v>17</v>
      </c>
      <c r="L788" s="36">
        <f t="shared" si="261"/>
        <v>4.0767386091127102E-2</v>
      </c>
      <c r="M788" s="17">
        <v>552</v>
      </c>
      <c r="N788" s="36">
        <f t="shared" si="251"/>
        <v>0.95833333333333337</v>
      </c>
      <c r="O788" s="17">
        <v>396</v>
      </c>
      <c r="P788" s="36">
        <f t="shared" si="262"/>
        <v>0.94964028776978415</v>
      </c>
      <c r="Q788" s="17">
        <v>9</v>
      </c>
      <c r="R788" s="36">
        <f t="shared" si="252"/>
        <v>1.5625E-2</v>
      </c>
      <c r="S788" s="17">
        <v>8</v>
      </c>
      <c r="T788" s="36">
        <f t="shared" si="263"/>
        <v>1.9184652278177457E-2</v>
      </c>
      <c r="U788" s="17">
        <v>19</v>
      </c>
      <c r="V788" s="36">
        <f t="shared" si="253"/>
        <v>3.2986111111111112E-2</v>
      </c>
      <c r="W788" s="17">
        <v>17</v>
      </c>
      <c r="X788" s="36">
        <f t="shared" si="264"/>
        <v>4.0767386091127102E-2</v>
      </c>
      <c r="Y788" s="17">
        <v>410</v>
      </c>
      <c r="Z788" s="36">
        <f t="shared" si="254"/>
        <v>0.71180555555555558</v>
      </c>
      <c r="AA788" s="17">
        <v>311</v>
      </c>
      <c r="AB788" s="36">
        <f t="shared" si="265"/>
        <v>0.74580335731414871</v>
      </c>
      <c r="AC788" s="17">
        <v>87</v>
      </c>
      <c r="AD788" s="36">
        <f t="shared" si="255"/>
        <v>0.15104166666666666</v>
      </c>
      <c r="AE788" s="17">
        <v>49</v>
      </c>
      <c r="AF788" s="36">
        <f t="shared" si="266"/>
        <v>0.11750599520383694</v>
      </c>
      <c r="AG788" s="17">
        <v>44</v>
      </c>
      <c r="AH788" s="36">
        <f t="shared" si="256"/>
        <v>7.6388888888888895E-2</v>
      </c>
      <c r="AI788" s="17">
        <v>26</v>
      </c>
      <c r="AJ788" s="36">
        <f t="shared" si="267"/>
        <v>6.235011990407674E-2</v>
      </c>
      <c r="AK788" s="17">
        <v>7</v>
      </c>
      <c r="AL788" s="36">
        <f t="shared" si="257"/>
        <v>1.2152777777777778E-2</v>
      </c>
      <c r="AM788" s="17">
        <v>6</v>
      </c>
      <c r="AN788" s="36">
        <f t="shared" si="268"/>
        <v>1.4388489208633094E-2</v>
      </c>
      <c r="AO788" s="17">
        <v>576</v>
      </c>
      <c r="AP788" s="17">
        <v>417</v>
      </c>
    </row>
    <row r="789" spans="1:42" ht="15.75" customHeight="1" x14ac:dyDescent="0.25">
      <c r="A789" s="37">
        <v>2019</v>
      </c>
      <c r="B789" s="35">
        <v>171620</v>
      </c>
      <c r="C789" s="34" t="s">
        <v>147</v>
      </c>
      <c r="D789" s="34" t="s">
        <v>97</v>
      </c>
      <c r="E789" s="17">
        <v>24</v>
      </c>
      <c r="F789" s="36">
        <f t="shared" si="258"/>
        <v>2.4169184290030211E-2</v>
      </c>
      <c r="G789" s="17">
        <v>17</v>
      </c>
      <c r="H789" s="36">
        <f t="shared" si="259"/>
        <v>2.4817518248175182E-2</v>
      </c>
      <c r="I789" s="17">
        <v>42</v>
      </c>
      <c r="J789" s="36">
        <f t="shared" si="260"/>
        <v>4.2296072507552872E-2</v>
      </c>
      <c r="K789" s="17">
        <v>27</v>
      </c>
      <c r="L789" s="36">
        <f t="shared" si="261"/>
        <v>3.9416058394160583E-2</v>
      </c>
      <c r="M789" s="17">
        <v>927</v>
      </c>
      <c r="N789" s="36">
        <f t="shared" si="251"/>
        <v>0.93353474320241692</v>
      </c>
      <c r="O789" s="17">
        <v>641</v>
      </c>
      <c r="P789" s="36">
        <f t="shared" si="262"/>
        <v>0.93576642335766425</v>
      </c>
      <c r="Q789" s="17">
        <v>20</v>
      </c>
      <c r="R789" s="36">
        <f t="shared" si="252"/>
        <v>2.014098690835851E-2</v>
      </c>
      <c r="S789" s="17">
        <v>13</v>
      </c>
      <c r="T789" s="36">
        <f t="shared" si="263"/>
        <v>1.8978102189781021E-2</v>
      </c>
      <c r="U789" s="17">
        <v>33</v>
      </c>
      <c r="V789" s="36">
        <f t="shared" si="253"/>
        <v>3.3232628398791542E-2</v>
      </c>
      <c r="W789" s="17">
        <v>17</v>
      </c>
      <c r="X789" s="36">
        <f t="shared" si="264"/>
        <v>2.4817518248175182E-2</v>
      </c>
      <c r="Y789" s="17">
        <v>723</v>
      </c>
      <c r="Z789" s="36">
        <f t="shared" si="254"/>
        <v>0.72809667673716016</v>
      </c>
      <c r="AA789" s="17">
        <v>507</v>
      </c>
      <c r="AB789" s="36">
        <f t="shared" si="265"/>
        <v>0.74014598540145982</v>
      </c>
      <c r="AC789" s="17">
        <v>144</v>
      </c>
      <c r="AD789" s="36">
        <f t="shared" si="255"/>
        <v>0.14501510574018128</v>
      </c>
      <c r="AE789" s="17">
        <v>101</v>
      </c>
      <c r="AF789" s="36">
        <f t="shared" si="266"/>
        <v>0.14744525547445256</v>
      </c>
      <c r="AG789" s="17">
        <v>62</v>
      </c>
      <c r="AH789" s="36">
        <f t="shared" si="256"/>
        <v>6.2437059415911378E-2</v>
      </c>
      <c r="AI789" s="17">
        <v>42</v>
      </c>
      <c r="AJ789" s="36">
        <f t="shared" si="267"/>
        <v>6.1313868613138686E-2</v>
      </c>
      <c r="AK789" s="17">
        <v>11</v>
      </c>
      <c r="AL789" s="36">
        <f t="shared" si="257"/>
        <v>1.1077542799597181E-2</v>
      </c>
      <c r="AM789" s="17">
        <v>5</v>
      </c>
      <c r="AN789" s="36">
        <f t="shared" si="268"/>
        <v>7.2992700729927005E-3</v>
      </c>
      <c r="AO789" s="17">
        <v>993</v>
      </c>
      <c r="AP789" s="17">
        <v>685</v>
      </c>
    </row>
    <row r="790" spans="1:42" ht="15.75" customHeight="1" x14ac:dyDescent="0.25">
      <c r="A790" s="37">
        <v>2019</v>
      </c>
      <c r="B790" s="35">
        <v>171630</v>
      </c>
      <c r="C790" s="34" t="s">
        <v>149</v>
      </c>
      <c r="D790" s="34" t="s">
        <v>98</v>
      </c>
      <c r="E790" s="17">
        <v>6</v>
      </c>
      <c r="F790" s="36">
        <f t="shared" si="258"/>
        <v>1.7751479289940829E-2</v>
      </c>
      <c r="G790" s="17">
        <v>4</v>
      </c>
      <c r="H790" s="36">
        <f t="shared" si="259"/>
        <v>2.7027027027027029E-2</v>
      </c>
      <c r="I790" s="17">
        <v>25</v>
      </c>
      <c r="J790" s="36">
        <f t="shared" si="260"/>
        <v>7.3964497041420121E-2</v>
      </c>
      <c r="K790" s="17">
        <v>10</v>
      </c>
      <c r="L790" s="36">
        <f t="shared" si="261"/>
        <v>6.7567567567567571E-2</v>
      </c>
      <c r="M790" s="17">
        <v>307</v>
      </c>
      <c r="N790" s="36">
        <f t="shared" si="251"/>
        <v>0.90828402366863903</v>
      </c>
      <c r="O790" s="17">
        <v>134</v>
      </c>
      <c r="P790" s="36">
        <f t="shared" si="262"/>
        <v>0.90540540540540537</v>
      </c>
      <c r="Q790" s="17">
        <v>2</v>
      </c>
      <c r="R790" s="36">
        <f t="shared" si="252"/>
        <v>5.9171597633136093E-3</v>
      </c>
      <c r="S790" s="17">
        <v>2</v>
      </c>
      <c r="T790" s="36">
        <f t="shared" si="263"/>
        <v>1.3513513513513514E-2</v>
      </c>
      <c r="U790" s="17">
        <v>12</v>
      </c>
      <c r="V790" s="36">
        <f t="shared" si="253"/>
        <v>3.5502958579881658E-2</v>
      </c>
      <c r="W790" s="17">
        <v>7</v>
      </c>
      <c r="X790" s="36">
        <f t="shared" si="264"/>
        <v>4.72972972972973E-2</v>
      </c>
      <c r="Y790" s="17">
        <v>228</v>
      </c>
      <c r="Z790" s="36">
        <f t="shared" si="254"/>
        <v>0.67455621301775148</v>
      </c>
      <c r="AA790" s="17">
        <v>101</v>
      </c>
      <c r="AB790" s="36">
        <f t="shared" si="265"/>
        <v>0.68243243243243246</v>
      </c>
      <c r="AC790" s="17">
        <v>60</v>
      </c>
      <c r="AD790" s="36">
        <f t="shared" si="255"/>
        <v>0.17751479289940827</v>
      </c>
      <c r="AE790" s="17">
        <v>25</v>
      </c>
      <c r="AF790" s="36">
        <f t="shared" si="266"/>
        <v>0.16891891891891891</v>
      </c>
      <c r="AG790" s="17">
        <v>32</v>
      </c>
      <c r="AH790" s="36">
        <f t="shared" si="256"/>
        <v>9.4674556213017749E-2</v>
      </c>
      <c r="AI790" s="17">
        <v>10</v>
      </c>
      <c r="AJ790" s="36">
        <f t="shared" si="267"/>
        <v>6.7567567567567571E-2</v>
      </c>
      <c r="AK790" s="17">
        <v>4</v>
      </c>
      <c r="AL790" s="36">
        <f t="shared" si="257"/>
        <v>1.1834319526627219E-2</v>
      </c>
      <c r="AM790" s="17">
        <v>3</v>
      </c>
      <c r="AN790" s="36">
        <f t="shared" si="268"/>
        <v>2.0270270270270271E-2</v>
      </c>
      <c r="AO790" s="17">
        <v>338</v>
      </c>
      <c r="AP790" s="17">
        <v>148</v>
      </c>
    </row>
    <row r="791" spans="1:42" ht="15.75" customHeight="1" x14ac:dyDescent="0.25">
      <c r="A791" s="37">
        <v>2019</v>
      </c>
      <c r="B791" s="35">
        <v>171650</v>
      </c>
      <c r="C791" s="34" t="s">
        <v>150</v>
      </c>
      <c r="D791" s="34" t="s">
        <v>99</v>
      </c>
      <c r="E791" s="17">
        <v>4</v>
      </c>
      <c r="F791" s="36">
        <f t="shared" si="258"/>
        <v>7.8277886497064575E-3</v>
      </c>
      <c r="G791" s="17">
        <v>4</v>
      </c>
      <c r="H791" s="36">
        <f t="shared" si="259"/>
        <v>1.4134275618374558E-2</v>
      </c>
      <c r="I791" s="17">
        <v>31</v>
      </c>
      <c r="J791" s="36">
        <f t="shared" si="260"/>
        <v>6.0665362035225046E-2</v>
      </c>
      <c r="K791" s="17">
        <v>14</v>
      </c>
      <c r="L791" s="36">
        <f t="shared" si="261"/>
        <v>4.9469964664310952E-2</v>
      </c>
      <c r="M791" s="17">
        <v>476</v>
      </c>
      <c r="N791" s="36">
        <f t="shared" si="251"/>
        <v>0.93150684931506844</v>
      </c>
      <c r="O791" s="17">
        <v>265</v>
      </c>
      <c r="P791" s="36">
        <f t="shared" si="262"/>
        <v>0.93639575971731448</v>
      </c>
      <c r="Q791" s="17">
        <v>4</v>
      </c>
      <c r="R791" s="36">
        <f t="shared" si="252"/>
        <v>7.8277886497064575E-3</v>
      </c>
      <c r="S791" s="17">
        <v>2</v>
      </c>
      <c r="T791" s="36">
        <f t="shared" si="263"/>
        <v>7.0671378091872791E-3</v>
      </c>
      <c r="U791" s="17">
        <v>12</v>
      </c>
      <c r="V791" s="36">
        <f t="shared" si="253"/>
        <v>2.3483365949119372E-2</v>
      </c>
      <c r="W791" s="17">
        <v>3</v>
      </c>
      <c r="X791" s="36">
        <f t="shared" si="264"/>
        <v>1.0600706713780919E-2</v>
      </c>
      <c r="Y791" s="17">
        <v>369</v>
      </c>
      <c r="Z791" s="36">
        <f t="shared" si="254"/>
        <v>0.72211350293542076</v>
      </c>
      <c r="AA791" s="17">
        <v>209</v>
      </c>
      <c r="AB791" s="36">
        <f t="shared" si="265"/>
        <v>0.7385159010600707</v>
      </c>
      <c r="AC791" s="17">
        <v>83</v>
      </c>
      <c r="AD791" s="36">
        <f t="shared" si="255"/>
        <v>0.16242661448140899</v>
      </c>
      <c r="AE791" s="17">
        <v>46</v>
      </c>
      <c r="AF791" s="36">
        <f t="shared" si="266"/>
        <v>0.16254416961130741</v>
      </c>
      <c r="AG791" s="17">
        <v>33</v>
      </c>
      <c r="AH791" s="36">
        <f t="shared" si="256"/>
        <v>6.4579256360078274E-2</v>
      </c>
      <c r="AI791" s="17">
        <v>14</v>
      </c>
      <c r="AJ791" s="36">
        <f t="shared" si="267"/>
        <v>4.9469964664310952E-2</v>
      </c>
      <c r="AK791" s="17">
        <v>10</v>
      </c>
      <c r="AL791" s="36">
        <f t="shared" si="257"/>
        <v>1.9569471624266144E-2</v>
      </c>
      <c r="AM791" s="17">
        <v>9</v>
      </c>
      <c r="AN791" s="36">
        <f t="shared" si="268"/>
        <v>3.1802120141342753E-2</v>
      </c>
      <c r="AO791" s="17">
        <v>511</v>
      </c>
      <c r="AP791" s="17">
        <v>283</v>
      </c>
    </row>
    <row r="792" spans="1:42" ht="15.75" customHeight="1" x14ac:dyDescent="0.25">
      <c r="A792" s="37">
        <v>2019</v>
      </c>
      <c r="B792" s="35">
        <v>171660</v>
      </c>
      <c r="C792" s="34" t="s">
        <v>146</v>
      </c>
      <c r="D792" s="34" t="s">
        <v>100</v>
      </c>
      <c r="E792" s="17">
        <v>8</v>
      </c>
      <c r="F792" s="36">
        <f t="shared" si="258"/>
        <v>1.0376134889753566E-2</v>
      </c>
      <c r="G792" s="17">
        <v>2</v>
      </c>
      <c r="H792" s="36">
        <f t="shared" si="259"/>
        <v>8.9285714285714281E-3</v>
      </c>
      <c r="I792" s="17">
        <v>34</v>
      </c>
      <c r="J792" s="36">
        <f t="shared" si="260"/>
        <v>4.4098573281452662E-2</v>
      </c>
      <c r="K792" s="17">
        <v>10</v>
      </c>
      <c r="L792" s="36">
        <f t="shared" si="261"/>
        <v>4.4642857142857144E-2</v>
      </c>
      <c r="M792" s="17">
        <v>729</v>
      </c>
      <c r="N792" s="36">
        <f t="shared" si="251"/>
        <v>0.94552529182879375</v>
      </c>
      <c r="O792" s="17">
        <v>212</v>
      </c>
      <c r="P792" s="36">
        <f t="shared" si="262"/>
        <v>0.9464285714285714</v>
      </c>
      <c r="Q792" s="17">
        <v>6</v>
      </c>
      <c r="R792" s="36">
        <f t="shared" si="252"/>
        <v>7.7821011673151752E-3</v>
      </c>
      <c r="S792" s="17">
        <v>1</v>
      </c>
      <c r="T792" s="36">
        <f t="shared" si="263"/>
        <v>4.464285714285714E-3</v>
      </c>
      <c r="U792" s="17">
        <v>28</v>
      </c>
      <c r="V792" s="36">
        <f t="shared" si="253"/>
        <v>3.6316472114137487E-2</v>
      </c>
      <c r="W792" s="17">
        <v>5</v>
      </c>
      <c r="X792" s="36">
        <f t="shared" si="264"/>
        <v>2.2321428571428572E-2</v>
      </c>
      <c r="Y792" s="17">
        <v>529</v>
      </c>
      <c r="Z792" s="36">
        <f t="shared" si="254"/>
        <v>0.68612191958495461</v>
      </c>
      <c r="AA792" s="17">
        <v>160</v>
      </c>
      <c r="AB792" s="36">
        <f t="shared" si="265"/>
        <v>0.7142857142857143</v>
      </c>
      <c r="AC792" s="17">
        <v>115</v>
      </c>
      <c r="AD792" s="36">
        <f t="shared" si="255"/>
        <v>0.14915693904020752</v>
      </c>
      <c r="AE792" s="17">
        <v>35</v>
      </c>
      <c r="AF792" s="36">
        <f t="shared" si="266"/>
        <v>0.15625</v>
      </c>
      <c r="AG792" s="17">
        <v>78</v>
      </c>
      <c r="AH792" s="36">
        <f t="shared" si="256"/>
        <v>0.10116731517509728</v>
      </c>
      <c r="AI792" s="17">
        <v>20</v>
      </c>
      <c r="AJ792" s="36">
        <f t="shared" si="267"/>
        <v>8.9285714285714288E-2</v>
      </c>
      <c r="AK792" s="17">
        <v>15</v>
      </c>
      <c r="AL792" s="36">
        <f t="shared" si="257"/>
        <v>1.9455252918287938E-2</v>
      </c>
      <c r="AM792" s="17">
        <v>3</v>
      </c>
      <c r="AN792" s="36">
        <f t="shared" si="268"/>
        <v>1.3392857142857142E-2</v>
      </c>
      <c r="AO792" s="17">
        <v>771</v>
      </c>
      <c r="AP792" s="17">
        <v>224</v>
      </c>
    </row>
    <row r="793" spans="1:42" ht="15.75" customHeight="1" x14ac:dyDescent="0.25">
      <c r="A793" s="37">
        <v>2019</v>
      </c>
      <c r="B793" s="35">
        <v>171665</v>
      </c>
      <c r="C793" s="34" t="s">
        <v>150</v>
      </c>
      <c r="D793" s="34" t="s">
        <v>101</v>
      </c>
      <c r="E793" s="17">
        <v>4</v>
      </c>
      <c r="F793" s="36">
        <f t="shared" si="258"/>
        <v>1.1267605633802818E-2</v>
      </c>
      <c r="G793" s="17">
        <v>4</v>
      </c>
      <c r="H793" s="36">
        <f t="shared" si="259"/>
        <v>1.4760147601476014E-2</v>
      </c>
      <c r="I793" s="17">
        <v>14</v>
      </c>
      <c r="J793" s="36">
        <f t="shared" si="260"/>
        <v>3.9436619718309862E-2</v>
      </c>
      <c r="K793" s="17">
        <v>13</v>
      </c>
      <c r="L793" s="36">
        <f t="shared" si="261"/>
        <v>4.797047970479705E-2</v>
      </c>
      <c r="M793" s="17">
        <v>337</v>
      </c>
      <c r="N793" s="36">
        <f t="shared" si="251"/>
        <v>0.94929577464788728</v>
      </c>
      <c r="O793" s="17">
        <v>254</v>
      </c>
      <c r="P793" s="36">
        <f t="shared" si="262"/>
        <v>0.9372693726937269</v>
      </c>
      <c r="Q793" s="17">
        <v>3</v>
      </c>
      <c r="R793" s="36">
        <f t="shared" si="252"/>
        <v>8.4507042253521118E-3</v>
      </c>
      <c r="S793" s="17">
        <v>2</v>
      </c>
      <c r="T793" s="36">
        <f t="shared" si="263"/>
        <v>7.3800738007380072E-3</v>
      </c>
      <c r="U793" s="17">
        <v>7</v>
      </c>
      <c r="V793" s="36">
        <f t="shared" si="253"/>
        <v>1.9718309859154931E-2</v>
      </c>
      <c r="W793" s="17">
        <v>4</v>
      </c>
      <c r="X793" s="36">
        <f t="shared" si="264"/>
        <v>1.4760147601476014E-2</v>
      </c>
      <c r="Y793" s="17">
        <v>264</v>
      </c>
      <c r="Z793" s="36">
        <f t="shared" si="254"/>
        <v>0.74366197183098592</v>
      </c>
      <c r="AA793" s="17">
        <v>206</v>
      </c>
      <c r="AB793" s="36">
        <f t="shared" si="265"/>
        <v>0.76014760147601479</v>
      </c>
      <c r="AC793" s="17">
        <v>60</v>
      </c>
      <c r="AD793" s="36">
        <f t="shared" si="255"/>
        <v>0.16901408450704225</v>
      </c>
      <c r="AE793" s="17">
        <v>43</v>
      </c>
      <c r="AF793" s="36">
        <f t="shared" si="266"/>
        <v>0.15867158671586715</v>
      </c>
      <c r="AG793" s="17">
        <v>18</v>
      </c>
      <c r="AH793" s="36">
        <f t="shared" si="256"/>
        <v>5.0704225352112678E-2</v>
      </c>
      <c r="AI793" s="17">
        <v>14</v>
      </c>
      <c r="AJ793" s="36">
        <f t="shared" si="267"/>
        <v>5.1660516605166053E-2</v>
      </c>
      <c r="AK793" s="17">
        <v>3</v>
      </c>
      <c r="AL793" s="36">
        <f t="shared" si="257"/>
        <v>8.4507042253521118E-3</v>
      </c>
      <c r="AM793" s="17">
        <v>2</v>
      </c>
      <c r="AN793" s="36">
        <f t="shared" si="268"/>
        <v>7.3800738007380072E-3</v>
      </c>
      <c r="AO793" s="17">
        <v>355</v>
      </c>
      <c r="AP793" s="17">
        <v>271</v>
      </c>
    </row>
    <row r="794" spans="1:42" ht="15.75" customHeight="1" x14ac:dyDescent="0.25">
      <c r="A794" s="37">
        <v>2019</v>
      </c>
      <c r="B794" s="35">
        <v>171700</v>
      </c>
      <c r="C794" s="34" t="s">
        <v>151</v>
      </c>
      <c r="D794" s="34" t="s">
        <v>102</v>
      </c>
      <c r="E794" s="17">
        <v>5</v>
      </c>
      <c r="F794" s="36">
        <f t="shared" si="258"/>
        <v>1.7730496453900711E-2</v>
      </c>
      <c r="G794" s="17">
        <v>5</v>
      </c>
      <c r="H794" s="36">
        <f t="shared" si="259"/>
        <v>4.2372881355932202E-2</v>
      </c>
      <c r="I794" s="17">
        <v>7</v>
      </c>
      <c r="J794" s="36">
        <f t="shared" si="260"/>
        <v>2.4822695035460994E-2</v>
      </c>
      <c r="K794" s="17">
        <v>4</v>
      </c>
      <c r="L794" s="36">
        <f t="shared" si="261"/>
        <v>3.3898305084745763E-2</v>
      </c>
      <c r="M794" s="17">
        <v>270</v>
      </c>
      <c r="N794" s="36">
        <f t="shared" si="251"/>
        <v>0.95744680851063835</v>
      </c>
      <c r="O794" s="17">
        <v>109</v>
      </c>
      <c r="P794" s="36">
        <f t="shared" si="262"/>
        <v>0.92372881355932202</v>
      </c>
      <c r="Q794" s="17">
        <v>1</v>
      </c>
      <c r="R794" s="36">
        <f t="shared" si="252"/>
        <v>3.5460992907801418E-3</v>
      </c>
      <c r="S794" s="17">
        <v>1</v>
      </c>
      <c r="T794" s="36">
        <f t="shared" si="263"/>
        <v>8.4745762711864406E-3</v>
      </c>
      <c r="U794" s="17">
        <v>9</v>
      </c>
      <c r="V794" s="36">
        <f t="shared" si="253"/>
        <v>3.1914893617021274E-2</v>
      </c>
      <c r="W794" s="17">
        <v>4</v>
      </c>
      <c r="X794" s="36">
        <f t="shared" si="264"/>
        <v>3.3898305084745763E-2</v>
      </c>
      <c r="Y794" s="17">
        <v>199</v>
      </c>
      <c r="Z794" s="36">
        <f t="shared" si="254"/>
        <v>0.70567375886524819</v>
      </c>
      <c r="AA794" s="17">
        <v>87</v>
      </c>
      <c r="AB794" s="36">
        <f t="shared" si="265"/>
        <v>0.73728813559322037</v>
      </c>
      <c r="AC794" s="17">
        <v>45</v>
      </c>
      <c r="AD794" s="36">
        <f t="shared" si="255"/>
        <v>0.15957446808510639</v>
      </c>
      <c r="AE794" s="17">
        <v>18</v>
      </c>
      <c r="AF794" s="36">
        <f t="shared" si="266"/>
        <v>0.15254237288135594</v>
      </c>
      <c r="AG794" s="17">
        <v>24</v>
      </c>
      <c r="AH794" s="36">
        <f t="shared" si="256"/>
        <v>8.5106382978723402E-2</v>
      </c>
      <c r="AI794" s="17">
        <v>7</v>
      </c>
      <c r="AJ794" s="36">
        <f t="shared" si="267"/>
        <v>5.9322033898305086E-2</v>
      </c>
      <c r="AK794" s="17">
        <v>4</v>
      </c>
      <c r="AL794" s="36">
        <f t="shared" si="257"/>
        <v>1.4184397163120567E-2</v>
      </c>
      <c r="AM794" s="17">
        <v>1</v>
      </c>
      <c r="AN794" s="36">
        <f t="shared" si="268"/>
        <v>8.4745762711864406E-3</v>
      </c>
      <c r="AO794" s="17">
        <v>282</v>
      </c>
      <c r="AP794" s="17">
        <v>118</v>
      </c>
    </row>
    <row r="795" spans="1:42" ht="15.75" customHeight="1" x14ac:dyDescent="0.25">
      <c r="A795" s="37">
        <v>2019</v>
      </c>
      <c r="B795" s="35">
        <v>171720</v>
      </c>
      <c r="C795" s="34" t="s">
        <v>149</v>
      </c>
      <c r="D795" s="34" t="s">
        <v>103</v>
      </c>
      <c r="E795" s="17">
        <v>2</v>
      </c>
      <c r="F795" s="36">
        <f t="shared" si="258"/>
        <v>4.3478260869565216E-2</v>
      </c>
      <c r="G795" s="17">
        <v>1</v>
      </c>
      <c r="H795" s="36">
        <f t="shared" si="259"/>
        <v>3.5714285714285712E-2</v>
      </c>
      <c r="I795" s="17">
        <v>1</v>
      </c>
      <c r="J795" s="36">
        <f t="shared" si="260"/>
        <v>2.1739130434782608E-2</v>
      </c>
      <c r="K795" s="17">
        <v>1</v>
      </c>
      <c r="L795" s="36">
        <f t="shared" si="261"/>
        <v>3.5714285714285712E-2</v>
      </c>
      <c r="M795" s="17">
        <v>43</v>
      </c>
      <c r="N795" s="36">
        <f t="shared" si="251"/>
        <v>0.93478260869565222</v>
      </c>
      <c r="O795" s="17">
        <v>26</v>
      </c>
      <c r="P795" s="36">
        <f t="shared" si="262"/>
        <v>0.9285714285714286</v>
      </c>
      <c r="Q795" s="17">
        <v>0</v>
      </c>
      <c r="R795" s="36">
        <f t="shared" si="252"/>
        <v>0</v>
      </c>
      <c r="S795" s="17">
        <v>0</v>
      </c>
      <c r="T795" s="36">
        <f t="shared" si="263"/>
        <v>0</v>
      </c>
      <c r="U795" s="17">
        <v>2</v>
      </c>
      <c r="V795" s="36">
        <f t="shared" si="253"/>
        <v>4.3478260869565216E-2</v>
      </c>
      <c r="W795" s="17">
        <v>0</v>
      </c>
      <c r="X795" s="36">
        <f t="shared" si="264"/>
        <v>0</v>
      </c>
      <c r="Y795" s="17">
        <v>29</v>
      </c>
      <c r="Z795" s="36">
        <f t="shared" si="254"/>
        <v>0.63043478260869568</v>
      </c>
      <c r="AA795" s="17">
        <v>20</v>
      </c>
      <c r="AB795" s="36">
        <f t="shared" si="265"/>
        <v>0.7142857142857143</v>
      </c>
      <c r="AC795" s="17">
        <v>9</v>
      </c>
      <c r="AD795" s="36">
        <f t="shared" si="255"/>
        <v>0.19565217391304349</v>
      </c>
      <c r="AE795" s="17">
        <v>5</v>
      </c>
      <c r="AF795" s="36">
        <f t="shared" si="266"/>
        <v>0.17857142857142858</v>
      </c>
      <c r="AG795" s="17">
        <v>6</v>
      </c>
      <c r="AH795" s="36">
        <f t="shared" si="256"/>
        <v>0.13043478260869565</v>
      </c>
      <c r="AI795" s="17">
        <v>3</v>
      </c>
      <c r="AJ795" s="36">
        <f t="shared" si="267"/>
        <v>0.10714285714285714</v>
      </c>
      <c r="AK795" s="17">
        <v>0</v>
      </c>
      <c r="AL795" s="36">
        <f t="shared" si="257"/>
        <v>0</v>
      </c>
      <c r="AM795" s="17">
        <v>0</v>
      </c>
      <c r="AN795" s="36">
        <f t="shared" si="268"/>
        <v>0</v>
      </c>
      <c r="AO795" s="17">
        <v>46</v>
      </c>
      <c r="AP795" s="17">
        <v>28</v>
      </c>
    </row>
    <row r="796" spans="1:42" ht="15.75" customHeight="1" x14ac:dyDescent="0.25">
      <c r="A796" s="37">
        <v>2019</v>
      </c>
      <c r="B796" s="35">
        <v>171750</v>
      </c>
      <c r="C796" s="34" t="s">
        <v>144</v>
      </c>
      <c r="D796" s="34" t="s">
        <v>104</v>
      </c>
      <c r="E796" s="17">
        <v>6</v>
      </c>
      <c r="F796" s="36">
        <f t="shared" si="258"/>
        <v>1.7094017094017096E-2</v>
      </c>
      <c r="G796" s="17">
        <v>1</v>
      </c>
      <c r="H796" s="36">
        <f t="shared" si="259"/>
        <v>9.8039215686274508E-3</v>
      </c>
      <c r="I796" s="17">
        <v>18</v>
      </c>
      <c r="J796" s="36">
        <f t="shared" si="260"/>
        <v>5.128205128205128E-2</v>
      </c>
      <c r="K796" s="17">
        <v>6</v>
      </c>
      <c r="L796" s="36">
        <f t="shared" si="261"/>
        <v>5.8823529411764705E-2</v>
      </c>
      <c r="M796" s="17">
        <v>327</v>
      </c>
      <c r="N796" s="36">
        <f t="shared" si="251"/>
        <v>0.93162393162393164</v>
      </c>
      <c r="O796" s="17">
        <v>95</v>
      </c>
      <c r="P796" s="36">
        <f t="shared" si="262"/>
        <v>0.93137254901960786</v>
      </c>
      <c r="Q796" s="17">
        <v>3</v>
      </c>
      <c r="R796" s="36">
        <f t="shared" si="252"/>
        <v>8.5470085470085479E-3</v>
      </c>
      <c r="S796" s="17">
        <v>0</v>
      </c>
      <c r="T796" s="36">
        <f t="shared" si="263"/>
        <v>0</v>
      </c>
      <c r="U796" s="17">
        <v>9</v>
      </c>
      <c r="V796" s="36">
        <f t="shared" si="253"/>
        <v>2.564102564102564E-2</v>
      </c>
      <c r="W796" s="17">
        <v>4</v>
      </c>
      <c r="X796" s="36">
        <f t="shared" si="264"/>
        <v>3.9215686274509803E-2</v>
      </c>
      <c r="Y796" s="17">
        <v>227</v>
      </c>
      <c r="Z796" s="36">
        <f t="shared" si="254"/>
        <v>0.64672364672364668</v>
      </c>
      <c r="AA796" s="17">
        <v>66</v>
      </c>
      <c r="AB796" s="36">
        <f t="shared" si="265"/>
        <v>0.6470588235294118</v>
      </c>
      <c r="AC796" s="17">
        <v>73</v>
      </c>
      <c r="AD796" s="36">
        <f t="shared" si="255"/>
        <v>0.20797720797720798</v>
      </c>
      <c r="AE796" s="17">
        <v>22</v>
      </c>
      <c r="AF796" s="36">
        <f t="shared" si="266"/>
        <v>0.21568627450980393</v>
      </c>
      <c r="AG796" s="17">
        <v>34</v>
      </c>
      <c r="AH796" s="36">
        <f t="shared" si="256"/>
        <v>9.686609686609686E-2</v>
      </c>
      <c r="AI796" s="17">
        <v>8</v>
      </c>
      <c r="AJ796" s="36">
        <f t="shared" si="267"/>
        <v>7.8431372549019607E-2</v>
      </c>
      <c r="AK796" s="17">
        <v>5</v>
      </c>
      <c r="AL796" s="36">
        <f t="shared" si="257"/>
        <v>1.4245014245014245E-2</v>
      </c>
      <c r="AM796" s="17">
        <v>2</v>
      </c>
      <c r="AN796" s="36">
        <f t="shared" si="268"/>
        <v>1.9607843137254902E-2</v>
      </c>
      <c r="AO796" s="17">
        <v>351</v>
      </c>
      <c r="AP796" s="17">
        <v>102</v>
      </c>
    </row>
    <row r="797" spans="1:42" ht="15.75" customHeight="1" x14ac:dyDescent="0.25">
      <c r="A797" s="37">
        <v>2019</v>
      </c>
      <c r="B797" s="35">
        <v>171780</v>
      </c>
      <c r="C797" s="34" t="s">
        <v>147</v>
      </c>
      <c r="D797" s="34" t="s">
        <v>105</v>
      </c>
      <c r="E797" s="17">
        <v>3</v>
      </c>
      <c r="F797" s="36">
        <f t="shared" si="258"/>
        <v>1.0563380281690141E-2</v>
      </c>
      <c r="G797" s="17">
        <v>3</v>
      </c>
      <c r="H797" s="36">
        <f t="shared" si="259"/>
        <v>1.3761467889908258E-2</v>
      </c>
      <c r="I797" s="17">
        <v>5</v>
      </c>
      <c r="J797" s="36">
        <f t="shared" si="260"/>
        <v>1.7605633802816902E-2</v>
      </c>
      <c r="K797" s="17">
        <v>3</v>
      </c>
      <c r="L797" s="36">
        <f t="shared" si="261"/>
        <v>1.3761467889908258E-2</v>
      </c>
      <c r="M797" s="17">
        <v>276</v>
      </c>
      <c r="N797" s="36">
        <f t="shared" si="251"/>
        <v>0.971830985915493</v>
      </c>
      <c r="O797" s="17">
        <v>212</v>
      </c>
      <c r="P797" s="36">
        <f t="shared" si="262"/>
        <v>0.97247706422018354</v>
      </c>
      <c r="Q797" s="17">
        <v>4</v>
      </c>
      <c r="R797" s="36">
        <f t="shared" si="252"/>
        <v>1.4084507042253521E-2</v>
      </c>
      <c r="S797" s="17">
        <v>1</v>
      </c>
      <c r="T797" s="36">
        <f t="shared" si="263"/>
        <v>4.5871559633027525E-3</v>
      </c>
      <c r="U797" s="17">
        <v>15</v>
      </c>
      <c r="V797" s="36">
        <f t="shared" si="253"/>
        <v>5.2816901408450703E-2</v>
      </c>
      <c r="W797" s="17">
        <v>11</v>
      </c>
      <c r="X797" s="36">
        <f t="shared" si="264"/>
        <v>5.0458715596330278E-2</v>
      </c>
      <c r="Y797" s="17">
        <v>208</v>
      </c>
      <c r="Z797" s="36">
        <f t="shared" si="254"/>
        <v>0.73239436619718312</v>
      </c>
      <c r="AA797" s="17">
        <v>157</v>
      </c>
      <c r="AB797" s="36">
        <f t="shared" si="265"/>
        <v>0.72018348623853212</v>
      </c>
      <c r="AC797" s="17">
        <v>42</v>
      </c>
      <c r="AD797" s="36">
        <f t="shared" si="255"/>
        <v>0.14788732394366197</v>
      </c>
      <c r="AE797" s="17">
        <v>35</v>
      </c>
      <c r="AF797" s="36">
        <f t="shared" si="266"/>
        <v>0.16055045871559634</v>
      </c>
      <c r="AG797" s="17">
        <v>14</v>
      </c>
      <c r="AH797" s="36">
        <f t="shared" si="256"/>
        <v>4.9295774647887321E-2</v>
      </c>
      <c r="AI797" s="17">
        <v>12</v>
      </c>
      <c r="AJ797" s="36">
        <f t="shared" si="267"/>
        <v>5.5045871559633031E-2</v>
      </c>
      <c r="AK797" s="17">
        <v>1</v>
      </c>
      <c r="AL797" s="36">
        <f t="shared" si="257"/>
        <v>3.5211267605633804E-3</v>
      </c>
      <c r="AM797" s="17">
        <v>2</v>
      </c>
      <c r="AN797" s="36">
        <f t="shared" si="268"/>
        <v>9.1743119266055051E-3</v>
      </c>
      <c r="AO797" s="17">
        <v>284</v>
      </c>
      <c r="AP797" s="17">
        <v>218</v>
      </c>
    </row>
    <row r="798" spans="1:42" ht="15.75" customHeight="1" x14ac:dyDescent="0.25">
      <c r="A798" s="37">
        <v>2019</v>
      </c>
      <c r="B798" s="35">
        <v>171790</v>
      </c>
      <c r="C798" s="34" t="s">
        <v>151</v>
      </c>
      <c r="D798" s="34" t="s">
        <v>106</v>
      </c>
      <c r="E798" s="17">
        <v>2</v>
      </c>
      <c r="F798" s="36">
        <f t="shared" si="258"/>
        <v>6.3897763578274758E-3</v>
      </c>
      <c r="G798" s="17">
        <v>2</v>
      </c>
      <c r="H798" s="36">
        <f t="shared" si="259"/>
        <v>6.920415224913495E-3</v>
      </c>
      <c r="I798" s="17">
        <v>16</v>
      </c>
      <c r="J798" s="36">
        <f t="shared" si="260"/>
        <v>5.1118210862619806E-2</v>
      </c>
      <c r="K798" s="17">
        <v>14</v>
      </c>
      <c r="L798" s="36">
        <f t="shared" si="261"/>
        <v>4.8442906574394463E-2</v>
      </c>
      <c r="M798" s="17">
        <v>295</v>
      </c>
      <c r="N798" s="36">
        <f t="shared" si="251"/>
        <v>0.94249201277955275</v>
      </c>
      <c r="O798" s="17">
        <v>273</v>
      </c>
      <c r="P798" s="36">
        <f t="shared" si="262"/>
        <v>0.94463667820069208</v>
      </c>
      <c r="Q798" s="17">
        <v>2</v>
      </c>
      <c r="R798" s="36">
        <f t="shared" si="252"/>
        <v>6.3897763578274758E-3</v>
      </c>
      <c r="S798" s="17">
        <v>1</v>
      </c>
      <c r="T798" s="36">
        <f t="shared" si="263"/>
        <v>3.4602076124567475E-3</v>
      </c>
      <c r="U798" s="17">
        <v>13</v>
      </c>
      <c r="V798" s="36">
        <f t="shared" si="253"/>
        <v>4.1533546325878593E-2</v>
      </c>
      <c r="W798" s="17">
        <v>12</v>
      </c>
      <c r="X798" s="36">
        <f t="shared" si="264"/>
        <v>4.1522491349480967E-2</v>
      </c>
      <c r="Y798" s="17">
        <v>225</v>
      </c>
      <c r="Z798" s="36">
        <f t="shared" si="254"/>
        <v>0.71884984025559107</v>
      </c>
      <c r="AA798" s="17">
        <v>209</v>
      </c>
      <c r="AB798" s="36">
        <f t="shared" si="265"/>
        <v>0.72318339100346019</v>
      </c>
      <c r="AC798" s="17">
        <v>58</v>
      </c>
      <c r="AD798" s="36">
        <f t="shared" si="255"/>
        <v>0.1853035143769968</v>
      </c>
      <c r="AE798" s="17">
        <v>54</v>
      </c>
      <c r="AF798" s="36">
        <f t="shared" si="266"/>
        <v>0.18685121107266436</v>
      </c>
      <c r="AG798" s="17">
        <v>12</v>
      </c>
      <c r="AH798" s="36">
        <f t="shared" si="256"/>
        <v>3.8338658146964855E-2</v>
      </c>
      <c r="AI798" s="17">
        <v>11</v>
      </c>
      <c r="AJ798" s="36">
        <f t="shared" si="267"/>
        <v>3.8062283737024222E-2</v>
      </c>
      <c r="AK798" s="17">
        <v>3</v>
      </c>
      <c r="AL798" s="36">
        <f t="shared" si="257"/>
        <v>9.5846645367412137E-3</v>
      </c>
      <c r="AM798" s="17">
        <v>2</v>
      </c>
      <c r="AN798" s="36">
        <f t="shared" si="268"/>
        <v>6.920415224913495E-3</v>
      </c>
      <c r="AO798" s="17">
        <v>313</v>
      </c>
      <c r="AP798" s="17">
        <v>289</v>
      </c>
    </row>
    <row r="799" spans="1:42" ht="15.75" customHeight="1" x14ac:dyDescent="0.25">
      <c r="A799" s="37">
        <v>2019</v>
      </c>
      <c r="B799" s="35">
        <v>171800</v>
      </c>
      <c r="C799" s="34" t="s">
        <v>147</v>
      </c>
      <c r="D799" s="34" t="s">
        <v>107</v>
      </c>
      <c r="E799" s="17">
        <v>2</v>
      </c>
      <c r="F799" s="36">
        <f t="shared" si="258"/>
        <v>7.6335877862595417E-3</v>
      </c>
      <c r="G799" s="17">
        <v>2</v>
      </c>
      <c r="H799" s="36">
        <f t="shared" si="259"/>
        <v>1.3698630136986301E-2</v>
      </c>
      <c r="I799" s="17">
        <v>12</v>
      </c>
      <c r="J799" s="36">
        <f t="shared" si="260"/>
        <v>4.5801526717557252E-2</v>
      </c>
      <c r="K799" s="17">
        <v>6</v>
      </c>
      <c r="L799" s="36">
        <f t="shared" si="261"/>
        <v>4.1095890410958902E-2</v>
      </c>
      <c r="M799" s="17">
        <v>248</v>
      </c>
      <c r="N799" s="36">
        <f t="shared" si="251"/>
        <v>0.94656488549618323</v>
      </c>
      <c r="O799" s="17">
        <v>138</v>
      </c>
      <c r="P799" s="36">
        <f t="shared" si="262"/>
        <v>0.9452054794520548</v>
      </c>
      <c r="Q799" s="17">
        <v>3</v>
      </c>
      <c r="R799" s="36">
        <f t="shared" si="252"/>
        <v>1.1450381679389313E-2</v>
      </c>
      <c r="S799" s="17">
        <v>3</v>
      </c>
      <c r="T799" s="36">
        <f t="shared" si="263"/>
        <v>2.0547945205479451E-2</v>
      </c>
      <c r="U799" s="17">
        <v>10</v>
      </c>
      <c r="V799" s="36">
        <f t="shared" si="253"/>
        <v>3.8167938931297711E-2</v>
      </c>
      <c r="W799" s="17">
        <v>7</v>
      </c>
      <c r="X799" s="36">
        <f t="shared" si="264"/>
        <v>4.7945205479452052E-2</v>
      </c>
      <c r="Y799" s="17">
        <v>186</v>
      </c>
      <c r="Z799" s="36">
        <f t="shared" si="254"/>
        <v>0.70992366412213737</v>
      </c>
      <c r="AA799" s="17">
        <v>100</v>
      </c>
      <c r="AB799" s="36">
        <f t="shared" si="265"/>
        <v>0.68493150684931503</v>
      </c>
      <c r="AC799" s="17">
        <v>41</v>
      </c>
      <c r="AD799" s="36">
        <f t="shared" si="255"/>
        <v>0.15648854961832062</v>
      </c>
      <c r="AE799" s="17">
        <v>23</v>
      </c>
      <c r="AF799" s="36">
        <f t="shared" si="266"/>
        <v>0.15753424657534246</v>
      </c>
      <c r="AG799" s="17">
        <v>19</v>
      </c>
      <c r="AH799" s="36">
        <f t="shared" si="256"/>
        <v>7.2519083969465645E-2</v>
      </c>
      <c r="AI799" s="17">
        <v>11</v>
      </c>
      <c r="AJ799" s="36">
        <f t="shared" si="267"/>
        <v>7.5342465753424653E-2</v>
      </c>
      <c r="AK799" s="17">
        <v>3</v>
      </c>
      <c r="AL799" s="36">
        <f t="shared" si="257"/>
        <v>1.1450381679389313E-2</v>
      </c>
      <c r="AM799" s="17">
        <v>2</v>
      </c>
      <c r="AN799" s="36">
        <f t="shared" si="268"/>
        <v>1.3698630136986301E-2</v>
      </c>
      <c r="AO799" s="17">
        <v>262</v>
      </c>
      <c r="AP799" s="17">
        <v>146</v>
      </c>
    </row>
    <row r="800" spans="1:42" ht="15.75" customHeight="1" x14ac:dyDescent="0.25">
      <c r="A800" s="37">
        <v>2019</v>
      </c>
      <c r="B800" s="35">
        <v>171820</v>
      </c>
      <c r="C800" s="34" t="s">
        <v>151</v>
      </c>
      <c r="D800" s="34" t="s">
        <v>108</v>
      </c>
      <c r="E800" s="17">
        <v>44</v>
      </c>
      <c r="F800" s="36">
        <f t="shared" si="258"/>
        <v>1.9864559819413093E-2</v>
      </c>
      <c r="G800" s="17">
        <v>33</v>
      </c>
      <c r="H800" s="36">
        <f t="shared" si="259"/>
        <v>2.1498371335504887E-2</v>
      </c>
      <c r="I800" s="17">
        <v>82</v>
      </c>
      <c r="J800" s="36">
        <f t="shared" si="260"/>
        <v>3.7020316027088038E-2</v>
      </c>
      <c r="K800" s="17">
        <v>55</v>
      </c>
      <c r="L800" s="36">
        <f t="shared" si="261"/>
        <v>3.5830618892508145E-2</v>
      </c>
      <c r="M800" s="16">
        <v>2089</v>
      </c>
      <c r="N800" s="36">
        <f t="shared" si="251"/>
        <v>0.94311512415349885</v>
      </c>
      <c r="O800" s="16">
        <v>1447</v>
      </c>
      <c r="P800" s="36">
        <f t="shared" si="262"/>
        <v>0.94267100977198692</v>
      </c>
      <c r="Q800" s="17">
        <v>35</v>
      </c>
      <c r="R800" s="36">
        <f t="shared" si="252"/>
        <v>1.580135440180587E-2</v>
      </c>
      <c r="S800" s="17">
        <v>26</v>
      </c>
      <c r="T800" s="36">
        <f t="shared" si="263"/>
        <v>1.6938110749185668E-2</v>
      </c>
      <c r="U800" s="17">
        <v>91</v>
      </c>
      <c r="V800" s="36">
        <f t="shared" si="253"/>
        <v>4.1083521444695258E-2</v>
      </c>
      <c r="W800" s="17">
        <v>63</v>
      </c>
      <c r="X800" s="36">
        <f t="shared" si="264"/>
        <v>4.1042345276872963E-2</v>
      </c>
      <c r="Y800" s="16">
        <v>1505</v>
      </c>
      <c r="Z800" s="36">
        <f t="shared" si="254"/>
        <v>0.67945823927765236</v>
      </c>
      <c r="AA800" s="16">
        <v>1056</v>
      </c>
      <c r="AB800" s="36">
        <f t="shared" si="265"/>
        <v>0.68794788273615637</v>
      </c>
      <c r="AC800" s="17">
        <v>373</v>
      </c>
      <c r="AD800" s="36">
        <f t="shared" si="255"/>
        <v>0.16839729119638827</v>
      </c>
      <c r="AE800" s="17">
        <v>249</v>
      </c>
      <c r="AF800" s="36">
        <f t="shared" si="266"/>
        <v>0.16221498371335505</v>
      </c>
      <c r="AG800" s="17">
        <v>171</v>
      </c>
      <c r="AH800" s="36">
        <f t="shared" si="256"/>
        <v>7.7200902934537241E-2</v>
      </c>
      <c r="AI800" s="17">
        <v>110</v>
      </c>
      <c r="AJ800" s="36">
        <f t="shared" si="267"/>
        <v>7.1661237785016291E-2</v>
      </c>
      <c r="AK800" s="17">
        <v>40</v>
      </c>
      <c r="AL800" s="36">
        <f t="shared" si="257"/>
        <v>1.8058690744920992E-2</v>
      </c>
      <c r="AM800" s="17">
        <v>31</v>
      </c>
      <c r="AN800" s="36">
        <f t="shared" si="268"/>
        <v>2.0195439739413682E-2</v>
      </c>
      <c r="AO800" s="16">
        <v>2215</v>
      </c>
      <c r="AP800" s="16">
        <v>1535</v>
      </c>
    </row>
    <row r="801" spans="1:42" ht="15.75" customHeight="1" x14ac:dyDescent="0.25">
      <c r="A801" s="37">
        <v>2019</v>
      </c>
      <c r="B801" s="35">
        <v>171830</v>
      </c>
      <c r="C801" s="34" t="s">
        <v>145</v>
      </c>
      <c r="D801" s="34" t="s">
        <v>109</v>
      </c>
      <c r="E801" s="17">
        <v>10</v>
      </c>
      <c r="F801" s="36">
        <f t="shared" si="258"/>
        <v>1.3140604467805518E-2</v>
      </c>
      <c r="G801" s="17">
        <v>4</v>
      </c>
      <c r="H801" s="36">
        <f t="shared" si="259"/>
        <v>1.3377926421404682E-2</v>
      </c>
      <c r="I801" s="17">
        <v>64</v>
      </c>
      <c r="J801" s="36">
        <f t="shared" si="260"/>
        <v>8.4099868593955324E-2</v>
      </c>
      <c r="K801" s="17">
        <v>20</v>
      </c>
      <c r="L801" s="36">
        <f t="shared" si="261"/>
        <v>6.6889632107023408E-2</v>
      </c>
      <c r="M801" s="17">
        <v>687</v>
      </c>
      <c r="N801" s="36">
        <f t="shared" si="251"/>
        <v>0.90275952693823913</v>
      </c>
      <c r="O801" s="17">
        <v>275</v>
      </c>
      <c r="P801" s="36">
        <f t="shared" si="262"/>
        <v>0.91973244147157196</v>
      </c>
      <c r="Q801" s="17">
        <v>8</v>
      </c>
      <c r="R801" s="36">
        <f t="shared" si="252"/>
        <v>1.0512483574244415E-2</v>
      </c>
      <c r="S801" s="17">
        <v>4</v>
      </c>
      <c r="T801" s="36">
        <f t="shared" si="263"/>
        <v>1.3377926421404682E-2</v>
      </c>
      <c r="U801" s="17">
        <v>39</v>
      </c>
      <c r="V801" s="36">
        <f t="shared" si="253"/>
        <v>5.1248357424441525E-2</v>
      </c>
      <c r="W801" s="17">
        <v>18</v>
      </c>
      <c r="X801" s="36">
        <f t="shared" si="264"/>
        <v>6.0200668896321072E-2</v>
      </c>
      <c r="Y801" s="17">
        <v>574</v>
      </c>
      <c r="Z801" s="36">
        <f t="shared" si="254"/>
        <v>0.75427069645203682</v>
      </c>
      <c r="AA801" s="17">
        <v>219</v>
      </c>
      <c r="AB801" s="36">
        <f t="shared" si="265"/>
        <v>0.73244147157190631</v>
      </c>
      <c r="AC801" s="17">
        <v>99</v>
      </c>
      <c r="AD801" s="36">
        <f t="shared" si="255"/>
        <v>0.13009198423127463</v>
      </c>
      <c r="AE801" s="17">
        <v>43</v>
      </c>
      <c r="AF801" s="36">
        <f t="shared" si="266"/>
        <v>0.14381270903010032</v>
      </c>
      <c r="AG801" s="17">
        <v>37</v>
      </c>
      <c r="AH801" s="36">
        <f t="shared" si="256"/>
        <v>4.862023653088042E-2</v>
      </c>
      <c r="AI801" s="17">
        <v>12</v>
      </c>
      <c r="AJ801" s="36">
        <f t="shared" si="267"/>
        <v>4.0133779264214048E-2</v>
      </c>
      <c r="AK801" s="17">
        <v>4</v>
      </c>
      <c r="AL801" s="36">
        <f t="shared" si="257"/>
        <v>5.2562417871222077E-3</v>
      </c>
      <c r="AM801" s="17">
        <v>3</v>
      </c>
      <c r="AN801" s="36">
        <f t="shared" si="268"/>
        <v>1.0033444816053512E-2</v>
      </c>
      <c r="AO801" s="17">
        <v>761</v>
      </c>
      <c r="AP801" s="17">
        <v>299</v>
      </c>
    </row>
    <row r="802" spans="1:42" ht="15.75" customHeight="1" x14ac:dyDescent="0.25">
      <c r="A802" s="37">
        <v>2019</v>
      </c>
      <c r="B802" s="35">
        <v>171840</v>
      </c>
      <c r="C802" s="34" t="s">
        <v>150</v>
      </c>
      <c r="D802" s="34" t="s">
        <v>110</v>
      </c>
      <c r="E802" s="17">
        <v>4</v>
      </c>
      <c r="F802" s="36">
        <f t="shared" si="258"/>
        <v>1.556420233463035E-2</v>
      </c>
      <c r="G802" s="17">
        <v>0</v>
      </c>
      <c r="H802" s="36">
        <f t="shared" si="259"/>
        <v>0</v>
      </c>
      <c r="I802" s="17">
        <v>8</v>
      </c>
      <c r="J802" s="36">
        <f t="shared" si="260"/>
        <v>3.1128404669260701E-2</v>
      </c>
      <c r="K802" s="17">
        <v>4</v>
      </c>
      <c r="L802" s="36">
        <f t="shared" si="261"/>
        <v>3.5714285714285712E-2</v>
      </c>
      <c r="M802" s="17">
        <v>245</v>
      </c>
      <c r="N802" s="36">
        <f t="shared" si="251"/>
        <v>0.953307392996109</v>
      </c>
      <c r="O802" s="17">
        <v>108</v>
      </c>
      <c r="P802" s="36">
        <f t="shared" si="262"/>
        <v>0.9642857142857143</v>
      </c>
      <c r="Q802" s="17">
        <v>4</v>
      </c>
      <c r="R802" s="36">
        <f t="shared" si="252"/>
        <v>1.556420233463035E-2</v>
      </c>
      <c r="S802" s="17">
        <v>2</v>
      </c>
      <c r="T802" s="36">
        <f t="shared" si="263"/>
        <v>1.7857142857142856E-2</v>
      </c>
      <c r="U802" s="17">
        <v>6</v>
      </c>
      <c r="V802" s="36">
        <f t="shared" si="253"/>
        <v>2.3346303501945526E-2</v>
      </c>
      <c r="W802" s="17">
        <v>2</v>
      </c>
      <c r="X802" s="36">
        <f t="shared" si="264"/>
        <v>1.7857142857142856E-2</v>
      </c>
      <c r="Y802" s="17">
        <v>191</v>
      </c>
      <c r="Z802" s="36">
        <f t="shared" si="254"/>
        <v>0.74319066147859925</v>
      </c>
      <c r="AA802" s="17">
        <v>78</v>
      </c>
      <c r="AB802" s="36">
        <f t="shared" si="265"/>
        <v>0.6964285714285714</v>
      </c>
      <c r="AC802" s="17">
        <v>34</v>
      </c>
      <c r="AD802" s="36">
        <f t="shared" si="255"/>
        <v>0.13229571984435798</v>
      </c>
      <c r="AE802" s="17">
        <v>20</v>
      </c>
      <c r="AF802" s="36">
        <f t="shared" si="266"/>
        <v>0.17857142857142858</v>
      </c>
      <c r="AG802" s="17">
        <v>20</v>
      </c>
      <c r="AH802" s="36">
        <f t="shared" si="256"/>
        <v>7.7821011673151752E-2</v>
      </c>
      <c r="AI802" s="17">
        <v>10</v>
      </c>
      <c r="AJ802" s="36">
        <f t="shared" si="267"/>
        <v>8.9285714285714288E-2</v>
      </c>
      <c r="AK802" s="17">
        <v>2</v>
      </c>
      <c r="AL802" s="36">
        <f t="shared" si="257"/>
        <v>7.7821011673151752E-3</v>
      </c>
      <c r="AM802" s="17">
        <v>0</v>
      </c>
      <c r="AN802" s="36">
        <f t="shared" si="268"/>
        <v>0</v>
      </c>
      <c r="AO802" s="17">
        <v>257</v>
      </c>
      <c r="AP802" s="17">
        <v>112</v>
      </c>
    </row>
    <row r="803" spans="1:42" ht="15.75" customHeight="1" x14ac:dyDescent="0.25">
      <c r="A803" s="37">
        <v>2019</v>
      </c>
      <c r="B803" s="35">
        <v>171845</v>
      </c>
      <c r="C803" s="34" t="s">
        <v>144</v>
      </c>
      <c r="D803" s="34" t="s">
        <v>111</v>
      </c>
      <c r="E803" s="17">
        <v>2</v>
      </c>
      <c r="F803" s="36">
        <f t="shared" si="258"/>
        <v>8.771929824561403E-3</v>
      </c>
      <c r="G803" s="17">
        <v>1</v>
      </c>
      <c r="H803" s="36">
        <f t="shared" si="259"/>
        <v>1.098901098901099E-2</v>
      </c>
      <c r="I803" s="17">
        <v>8</v>
      </c>
      <c r="J803" s="36">
        <f t="shared" si="260"/>
        <v>3.5087719298245612E-2</v>
      </c>
      <c r="K803" s="17">
        <v>2</v>
      </c>
      <c r="L803" s="36">
        <f t="shared" si="261"/>
        <v>2.197802197802198E-2</v>
      </c>
      <c r="M803" s="17">
        <v>218</v>
      </c>
      <c r="N803" s="36">
        <f t="shared" si="251"/>
        <v>0.95614035087719296</v>
      </c>
      <c r="O803" s="17">
        <v>88</v>
      </c>
      <c r="P803" s="36">
        <f t="shared" si="262"/>
        <v>0.96703296703296704</v>
      </c>
      <c r="Q803" s="17">
        <v>0</v>
      </c>
      <c r="R803" s="36">
        <f t="shared" si="252"/>
        <v>0</v>
      </c>
      <c r="S803" s="17">
        <v>0</v>
      </c>
      <c r="T803" s="36">
        <f t="shared" si="263"/>
        <v>0</v>
      </c>
      <c r="U803" s="17">
        <v>11</v>
      </c>
      <c r="V803" s="36">
        <f t="shared" si="253"/>
        <v>4.8245614035087717E-2</v>
      </c>
      <c r="W803" s="17">
        <v>2</v>
      </c>
      <c r="X803" s="36">
        <f t="shared" si="264"/>
        <v>2.197802197802198E-2</v>
      </c>
      <c r="Y803" s="17">
        <v>153</v>
      </c>
      <c r="Z803" s="36">
        <f t="shared" si="254"/>
        <v>0.67105263157894735</v>
      </c>
      <c r="AA803" s="17">
        <v>65</v>
      </c>
      <c r="AB803" s="36">
        <f t="shared" si="265"/>
        <v>0.7142857142857143</v>
      </c>
      <c r="AC803" s="17">
        <v>43</v>
      </c>
      <c r="AD803" s="36">
        <f t="shared" si="255"/>
        <v>0.18859649122807018</v>
      </c>
      <c r="AE803" s="17">
        <v>16</v>
      </c>
      <c r="AF803" s="36">
        <f t="shared" si="266"/>
        <v>0.17582417582417584</v>
      </c>
      <c r="AG803" s="17">
        <v>20</v>
      </c>
      <c r="AH803" s="36">
        <f t="shared" si="256"/>
        <v>8.771929824561403E-2</v>
      </c>
      <c r="AI803" s="17">
        <v>8</v>
      </c>
      <c r="AJ803" s="36">
        <f t="shared" si="267"/>
        <v>8.7912087912087919E-2</v>
      </c>
      <c r="AK803" s="17">
        <v>1</v>
      </c>
      <c r="AL803" s="36">
        <f t="shared" si="257"/>
        <v>4.3859649122807015E-3</v>
      </c>
      <c r="AM803" s="17">
        <v>0</v>
      </c>
      <c r="AN803" s="36">
        <f t="shared" si="268"/>
        <v>0</v>
      </c>
      <c r="AO803" s="17">
        <v>228</v>
      </c>
      <c r="AP803" s="17">
        <v>91</v>
      </c>
    </row>
    <row r="804" spans="1:42" ht="15.75" customHeight="1" x14ac:dyDescent="0.25">
      <c r="A804" s="37">
        <v>2019</v>
      </c>
      <c r="B804" s="35">
        <v>171850</v>
      </c>
      <c r="C804" s="34" t="s">
        <v>150</v>
      </c>
      <c r="D804" s="34" t="s">
        <v>112</v>
      </c>
      <c r="E804" s="17">
        <v>24</v>
      </c>
      <c r="F804" s="36">
        <f t="shared" si="258"/>
        <v>5.7279236276849645E-2</v>
      </c>
      <c r="G804" s="17">
        <v>10</v>
      </c>
      <c r="H804" s="36">
        <f t="shared" si="259"/>
        <v>4.8543689320388349E-2</v>
      </c>
      <c r="I804" s="17">
        <v>33</v>
      </c>
      <c r="J804" s="36">
        <f t="shared" si="260"/>
        <v>7.8758949880668255E-2</v>
      </c>
      <c r="K804" s="17">
        <v>15</v>
      </c>
      <c r="L804" s="36">
        <f t="shared" si="261"/>
        <v>7.281553398058252E-2</v>
      </c>
      <c r="M804" s="17">
        <v>362</v>
      </c>
      <c r="N804" s="36">
        <f t="shared" si="251"/>
        <v>0.86396181384248205</v>
      </c>
      <c r="O804" s="17">
        <v>181</v>
      </c>
      <c r="P804" s="36">
        <f t="shared" si="262"/>
        <v>0.87864077669902918</v>
      </c>
      <c r="Q804" s="17">
        <v>17</v>
      </c>
      <c r="R804" s="36">
        <f t="shared" si="252"/>
        <v>4.0572792362768499E-2</v>
      </c>
      <c r="S804" s="17">
        <v>9</v>
      </c>
      <c r="T804" s="36">
        <f t="shared" si="263"/>
        <v>4.3689320388349516E-2</v>
      </c>
      <c r="U804" s="17">
        <v>15</v>
      </c>
      <c r="V804" s="36">
        <f t="shared" si="253"/>
        <v>3.5799522673031027E-2</v>
      </c>
      <c r="W804" s="17">
        <v>8</v>
      </c>
      <c r="X804" s="36">
        <f t="shared" si="264"/>
        <v>3.8834951456310676E-2</v>
      </c>
      <c r="Y804" s="17">
        <v>294</v>
      </c>
      <c r="Z804" s="36">
        <f t="shared" si="254"/>
        <v>0.70167064439140814</v>
      </c>
      <c r="AA804" s="17">
        <v>151</v>
      </c>
      <c r="AB804" s="36">
        <f t="shared" si="265"/>
        <v>0.73300970873786409</v>
      </c>
      <c r="AC804" s="17">
        <v>72</v>
      </c>
      <c r="AD804" s="36">
        <f t="shared" si="255"/>
        <v>0.17183770883054891</v>
      </c>
      <c r="AE804" s="17">
        <v>29</v>
      </c>
      <c r="AF804" s="36">
        <f t="shared" si="266"/>
        <v>0.14077669902912621</v>
      </c>
      <c r="AG804" s="17">
        <v>16</v>
      </c>
      <c r="AH804" s="36">
        <f t="shared" si="256"/>
        <v>3.8186157517899763E-2</v>
      </c>
      <c r="AI804" s="17">
        <v>4</v>
      </c>
      <c r="AJ804" s="36">
        <f t="shared" si="267"/>
        <v>1.9417475728155338E-2</v>
      </c>
      <c r="AK804" s="17">
        <v>5</v>
      </c>
      <c r="AL804" s="36">
        <f t="shared" si="257"/>
        <v>1.1933174224343675E-2</v>
      </c>
      <c r="AM804" s="17">
        <v>5</v>
      </c>
      <c r="AN804" s="36">
        <f t="shared" si="268"/>
        <v>2.4271844660194174E-2</v>
      </c>
      <c r="AO804" s="17">
        <v>419</v>
      </c>
      <c r="AP804" s="17">
        <v>206</v>
      </c>
    </row>
    <row r="805" spans="1:42" ht="15.75" customHeight="1" x14ac:dyDescent="0.25">
      <c r="A805" s="37">
        <v>2019</v>
      </c>
      <c r="B805" s="35">
        <v>171855</v>
      </c>
      <c r="C805" s="34" t="s">
        <v>145</v>
      </c>
      <c r="D805" s="34" t="s">
        <v>113</v>
      </c>
      <c r="E805" s="17">
        <v>0</v>
      </c>
      <c r="F805" s="36">
        <f t="shared" si="258"/>
        <v>0</v>
      </c>
      <c r="G805" s="17">
        <v>1</v>
      </c>
      <c r="H805" s="36">
        <f t="shared" si="259"/>
        <v>4.4247787610619468E-3</v>
      </c>
      <c r="I805" s="17">
        <v>21</v>
      </c>
      <c r="J805" s="36">
        <f t="shared" si="260"/>
        <v>6.4814814814814811E-2</v>
      </c>
      <c r="K805" s="17">
        <v>17</v>
      </c>
      <c r="L805" s="36">
        <f t="shared" si="261"/>
        <v>7.5221238938053103E-2</v>
      </c>
      <c r="M805" s="17">
        <v>303</v>
      </c>
      <c r="N805" s="36">
        <f t="shared" si="251"/>
        <v>0.93518518518518523</v>
      </c>
      <c r="O805" s="17">
        <v>208</v>
      </c>
      <c r="P805" s="36">
        <f t="shared" si="262"/>
        <v>0.92035398230088494</v>
      </c>
      <c r="Q805" s="17">
        <v>6</v>
      </c>
      <c r="R805" s="36">
        <f t="shared" si="252"/>
        <v>1.8518518518518517E-2</v>
      </c>
      <c r="S805" s="17">
        <v>3</v>
      </c>
      <c r="T805" s="36">
        <f t="shared" si="263"/>
        <v>1.3274336283185841E-2</v>
      </c>
      <c r="U805" s="17">
        <v>21</v>
      </c>
      <c r="V805" s="36">
        <f t="shared" si="253"/>
        <v>6.4814814814814811E-2</v>
      </c>
      <c r="W805" s="17">
        <v>11</v>
      </c>
      <c r="X805" s="36">
        <f t="shared" si="264"/>
        <v>4.8672566371681415E-2</v>
      </c>
      <c r="Y805" s="17">
        <v>238</v>
      </c>
      <c r="Z805" s="36">
        <f t="shared" si="254"/>
        <v>0.73456790123456794</v>
      </c>
      <c r="AA805" s="17">
        <v>168</v>
      </c>
      <c r="AB805" s="36">
        <f t="shared" si="265"/>
        <v>0.74336283185840712</v>
      </c>
      <c r="AC805" s="17">
        <v>43</v>
      </c>
      <c r="AD805" s="36">
        <f t="shared" si="255"/>
        <v>0.13271604938271606</v>
      </c>
      <c r="AE805" s="17">
        <v>30</v>
      </c>
      <c r="AF805" s="36">
        <f t="shared" si="266"/>
        <v>0.13274336283185842</v>
      </c>
      <c r="AG805" s="17">
        <v>15</v>
      </c>
      <c r="AH805" s="36">
        <f t="shared" si="256"/>
        <v>4.6296296296296294E-2</v>
      </c>
      <c r="AI805" s="17">
        <v>14</v>
      </c>
      <c r="AJ805" s="36">
        <f t="shared" si="267"/>
        <v>6.1946902654867256E-2</v>
      </c>
      <c r="AK805" s="17">
        <v>1</v>
      </c>
      <c r="AL805" s="36">
        <f t="shared" si="257"/>
        <v>3.0864197530864196E-3</v>
      </c>
      <c r="AM805" s="17">
        <v>0</v>
      </c>
      <c r="AN805" s="36">
        <f t="shared" si="268"/>
        <v>0</v>
      </c>
      <c r="AO805" s="17">
        <v>324</v>
      </c>
      <c r="AP805" s="17">
        <v>226</v>
      </c>
    </row>
    <row r="806" spans="1:42" ht="15.75" customHeight="1" x14ac:dyDescent="0.25">
      <c r="A806" s="37">
        <v>2019</v>
      </c>
      <c r="B806" s="35">
        <v>171865</v>
      </c>
      <c r="C806" s="34" t="s">
        <v>147</v>
      </c>
      <c r="D806" s="34" t="s">
        <v>114</v>
      </c>
      <c r="E806" s="17">
        <v>0</v>
      </c>
      <c r="F806" s="36">
        <f t="shared" si="258"/>
        <v>0</v>
      </c>
      <c r="G806" s="17">
        <v>0</v>
      </c>
      <c r="H806" s="36">
        <f t="shared" si="259"/>
        <v>0</v>
      </c>
      <c r="I806" s="17">
        <v>2</v>
      </c>
      <c r="J806" s="36">
        <f t="shared" si="260"/>
        <v>1.6393442622950821E-2</v>
      </c>
      <c r="K806" s="17">
        <v>1</v>
      </c>
      <c r="L806" s="36">
        <f t="shared" si="261"/>
        <v>1.3513513513513514E-2</v>
      </c>
      <c r="M806" s="17">
        <v>120</v>
      </c>
      <c r="N806" s="36">
        <f t="shared" si="251"/>
        <v>0.98360655737704916</v>
      </c>
      <c r="O806" s="17">
        <v>73</v>
      </c>
      <c r="P806" s="36">
        <f t="shared" si="262"/>
        <v>0.98648648648648651</v>
      </c>
      <c r="Q806" s="17">
        <v>0</v>
      </c>
      <c r="R806" s="36">
        <f t="shared" si="252"/>
        <v>0</v>
      </c>
      <c r="S806" s="17">
        <v>0</v>
      </c>
      <c r="T806" s="36">
        <f t="shared" si="263"/>
        <v>0</v>
      </c>
      <c r="U806" s="17">
        <v>1</v>
      </c>
      <c r="V806" s="36">
        <f t="shared" si="253"/>
        <v>8.1967213114754103E-3</v>
      </c>
      <c r="W806" s="17">
        <v>1</v>
      </c>
      <c r="X806" s="36">
        <f t="shared" si="264"/>
        <v>1.3513513513513514E-2</v>
      </c>
      <c r="Y806" s="17">
        <v>100</v>
      </c>
      <c r="Z806" s="36">
        <f t="shared" si="254"/>
        <v>0.81967213114754101</v>
      </c>
      <c r="AA806" s="17">
        <v>60</v>
      </c>
      <c r="AB806" s="36">
        <f t="shared" si="265"/>
        <v>0.81081081081081086</v>
      </c>
      <c r="AC806" s="17">
        <v>15</v>
      </c>
      <c r="AD806" s="36">
        <f t="shared" si="255"/>
        <v>0.12295081967213115</v>
      </c>
      <c r="AE806" s="17">
        <v>9</v>
      </c>
      <c r="AF806" s="36">
        <f t="shared" si="266"/>
        <v>0.12162162162162163</v>
      </c>
      <c r="AG806" s="17">
        <v>4</v>
      </c>
      <c r="AH806" s="36">
        <f t="shared" si="256"/>
        <v>3.2786885245901641E-2</v>
      </c>
      <c r="AI806" s="17">
        <v>3</v>
      </c>
      <c r="AJ806" s="36">
        <f t="shared" si="267"/>
        <v>4.0540540540540543E-2</v>
      </c>
      <c r="AK806" s="17">
        <v>2</v>
      </c>
      <c r="AL806" s="36">
        <f t="shared" si="257"/>
        <v>1.6393442622950821E-2</v>
      </c>
      <c r="AM806" s="17">
        <v>1</v>
      </c>
      <c r="AN806" s="36">
        <f t="shared" si="268"/>
        <v>1.3513513513513514E-2</v>
      </c>
      <c r="AO806" s="17">
        <v>122</v>
      </c>
      <c r="AP806" s="17">
        <v>74</v>
      </c>
    </row>
    <row r="807" spans="1:42" ht="15.75" customHeight="1" x14ac:dyDescent="0.25">
      <c r="A807" s="37">
        <v>2019</v>
      </c>
      <c r="B807" s="35">
        <v>171870</v>
      </c>
      <c r="C807" s="34" t="s">
        <v>148</v>
      </c>
      <c r="D807" s="34" t="s">
        <v>115</v>
      </c>
      <c r="E807" s="17">
        <v>6</v>
      </c>
      <c r="F807" s="36">
        <f t="shared" si="258"/>
        <v>2.7649769585253458E-2</v>
      </c>
      <c r="G807" s="17">
        <v>3</v>
      </c>
      <c r="H807" s="36">
        <f t="shared" si="259"/>
        <v>2.2388059701492536E-2</v>
      </c>
      <c r="I807" s="17">
        <v>15</v>
      </c>
      <c r="J807" s="36">
        <f t="shared" si="260"/>
        <v>6.9124423963133647E-2</v>
      </c>
      <c r="K807" s="17">
        <v>11</v>
      </c>
      <c r="L807" s="36">
        <f t="shared" si="261"/>
        <v>8.2089552238805971E-2</v>
      </c>
      <c r="M807" s="17">
        <v>196</v>
      </c>
      <c r="N807" s="36">
        <f t="shared" si="251"/>
        <v>0.90322580645161288</v>
      </c>
      <c r="O807" s="17">
        <v>120</v>
      </c>
      <c r="P807" s="36">
        <f t="shared" si="262"/>
        <v>0.89552238805970152</v>
      </c>
      <c r="Q807" s="17">
        <v>2</v>
      </c>
      <c r="R807" s="36">
        <f t="shared" si="252"/>
        <v>9.2165898617511521E-3</v>
      </c>
      <c r="S807" s="17">
        <v>1</v>
      </c>
      <c r="T807" s="36">
        <f t="shared" si="263"/>
        <v>7.462686567164179E-3</v>
      </c>
      <c r="U807" s="17">
        <v>9</v>
      </c>
      <c r="V807" s="36">
        <f t="shared" si="253"/>
        <v>4.1474654377880185E-2</v>
      </c>
      <c r="W807" s="17">
        <v>5</v>
      </c>
      <c r="X807" s="36">
        <f t="shared" si="264"/>
        <v>3.7313432835820892E-2</v>
      </c>
      <c r="Y807" s="17">
        <v>158</v>
      </c>
      <c r="Z807" s="36">
        <f t="shared" si="254"/>
        <v>0.72811059907834097</v>
      </c>
      <c r="AA807" s="17">
        <v>96</v>
      </c>
      <c r="AB807" s="36">
        <f t="shared" si="265"/>
        <v>0.71641791044776115</v>
      </c>
      <c r="AC807" s="17">
        <v>28</v>
      </c>
      <c r="AD807" s="36">
        <f t="shared" si="255"/>
        <v>0.12903225806451613</v>
      </c>
      <c r="AE807" s="17">
        <v>17</v>
      </c>
      <c r="AF807" s="36">
        <f t="shared" si="266"/>
        <v>0.12686567164179105</v>
      </c>
      <c r="AG807" s="17">
        <v>18</v>
      </c>
      <c r="AH807" s="36">
        <f t="shared" si="256"/>
        <v>8.294930875576037E-2</v>
      </c>
      <c r="AI807" s="17">
        <v>14</v>
      </c>
      <c r="AJ807" s="36">
        <f t="shared" si="267"/>
        <v>0.1044776119402985</v>
      </c>
      <c r="AK807" s="17">
        <v>2</v>
      </c>
      <c r="AL807" s="36">
        <f t="shared" si="257"/>
        <v>9.2165898617511521E-3</v>
      </c>
      <c r="AM807" s="17">
        <v>1</v>
      </c>
      <c r="AN807" s="36">
        <f t="shared" si="268"/>
        <v>7.462686567164179E-3</v>
      </c>
      <c r="AO807" s="17">
        <v>217</v>
      </c>
      <c r="AP807" s="17">
        <v>134</v>
      </c>
    </row>
    <row r="808" spans="1:42" ht="15.75" customHeight="1" x14ac:dyDescent="0.25">
      <c r="A808" s="37">
        <v>2019</v>
      </c>
      <c r="B808" s="35">
        <v>171875</v>
      </c>
      <c r="C808" s="34" t="s">
        <v>148</v>
      </c>
      <c r="D808" s="34" t="s">
        <v>116</v>
      </c>
      <c r="E808" s="17">
        <v>6</v>
      </c>
      <c r="F808" s="36">
        <f t="shared" si="258"/>
        <v>1.2269938650306749E-2</v>
      </c>
      <c r="G808" s="17">
        <v>3</v>
      </c>
      <c r="H808" s="36">
        <f t="shared" si="259"/>
        <v>9.3749999999999997E-3</v>
      </c>
      <c r="I808" s="17">
        <v>26</v>
      </c>
      <c r="J808" s="36">
        <f t="shared" si="260"/>
        <v>5.3169734151329244E-2</v>
      </c>
      <c r="K808" s="17">
        <v>23</v>
      </c>
      <c r="L808" s="36">
        <f t="shared" si="261"/>
        <v>7.1874999999999994E-2</v>
      </c>
      <c r="M808" s="17">
        <v>457</v>
      </c>
      <c r="N808" s="36">
        <f t="shared" si="251"/>
        <v>0.93456032719836402</v>
      </c>
      <c r="O808" s="17">
        <v>294</v>
      </c>
      <c r="P808" s="36">
        <f t="shared" si="262"/>
        <v>0.91874999999999996</v>
      </c>
      <c r="Q808" s="17">
        <v>4</v>
      </c>
      <c r="R808" s="36">
        <f t="shared" si="252"/>
        <v>8.1799591002044997E-3</v>
      </c>
      <c r="S808" s="17">
        <v>4</v>
      </c>
      <c r="T808" s="36">
        <f t="shared" si="263"/>
        <v>1.2500000000000001E-2</v>
      </c>
      <c r="U808" s="17">
        <v>28</v>
      </c>
      <c r="V808" s="36">
        <f t="shared" si="253"/>
        <v>5.7259713701431493E-2</v>
      </c>
      <c r="W808" s="17">
        <v>25</v>
      </c>
      <c r="X808" s="36">
        <f t="shared" si="264"/>
        <v>7.8125E-2</v>
      </c>
      <c r="Y808" s="17">
        <v>358</v>
      </c>
      <c r="Z808" s="36">
        <f t="shared" si="254"/>
        <v>0.73210633946830261</v>
      </c>
      <c r="AA808" s="17">
        <v>238</v>
      </c>
      <c r="AB808" s="36">
        <f t="shared" si="265"/>
        <v>0.74375000000000002</v>
      </c>
      <c r="AC808" s="17">
        <v>67</v>
      </c>
      <c r="AD808" s="36">
        <f t="shared" si="255"/>
        <v>0.13701431492842536</v>
      </c>
      <c r="AE808" s="17">
        <v>42</v>
      </c>
      <c r="AF808" s="36">
        <f t="shared" si="266"/>
        <v>0.13125000000000001</v>
      </c>
      <c r="AG808" s="17">
        <v>25</v>
      </c>
      <c r="AH808" s="36">
        <f t="shared" si="256"/>
        <v>5.112474437627812E-2</v>
      </c>
      <c r="AI808" s="17">
        <v>9</v>
      </c>
      <c r="AJ808" s="36">
        <f t="shared" si="267"/>
        <v>2.8125000000000001E-2</v>
      </c>
      <c r="AK808" s="17">
        <v>7</v>
      </c>
      <c r="AL808" s="36">
        <f t="shared" si="257"/>
        <v>1.4314928425357873E-2</v>
      </c>
      <c r="AM808" s="17">
        <v>2</v>
      </c>
      <c r="AN808" s="36">
        <f t="shared" si="268"/>
        <v>6.2500000000000003E-3</v>
      </c>
      <c r="AO808" s="17">
        <v>489</v>
      </c>
      <c r="AP808" s="17">
        <v>320</v>
      </c>
    </row>
    <row r="809" spans="1:42" ht="15.75" customHeight="1" x14ac:dyDescent="0.25">
      <c r="A809" s="37">
        <v>2019</v>
      </c>
      <c r="B809" s="35">
        <v>171880</v>
      </c>
      <c r="C809" s="34" t="s">
        <v>145</v>
      </c>
      <c r="D809" s="34" t="s">
        <v>117</v>
      </c>
      <c r="E809" s="17">
        <v>16</v>
      </c>
      <c r="F809" s="36">
        <f t="shared" si="258"/>
        <v>3.2128514056224897E-2</v>
      </c>
      <c r="G809" s="17">
        <v>16</v>
      </c>
      <c r="H809" s="36">
        <f t="shared" si="259"/>
        <v>4.4077134986225897E-2</v>
      </c>
      <c r="I809" s="17">
        <v>39</v>
      </c>
      <c r="J809" s="36">
        <f t="shared" si="260"/>
        <v>7.8313253012048195E-2</v>
      </c>
      <c r="K809" s="17">
        <v>34</v>
      </c>
      <c r="L809" s="36">
        <f t="shared" si="261"/>
        <v>9.366391184573003E-2</v>
      </c>
      <c r="M809" s="17">
        <v>443</v>
      </c>
      <c r="N809" s="36">
        <f t="shared" si="251"/>
        <v>0.88955823293172687</v>
      </c>
      <c r="O809" s="17">
        <v>313</v>
      </c>
      <c r="P809" s="36">
        <f t="shared" si="262"/>
        <v>0.86225895316804413</v>
      </c>
      <c r="Q809" s="17">
        <v>10</v>
      </c>
      <c r="R809" s="36">
        <f t="shared" si="252"/>
        <v>2.0080321285140562E-2</v>
      </c>
      <c r="S809" s="17">
        <v>9</v>
      </c>
      <c r="T809" s="36">
        <f t="shared" si="263"/>
        <v>2.4793388429752067E-2</v>
      </c>
      <c r="U809" s="17">
        <v>26</v>
      </c>
      <c r="V809" s="36">
        <f t="shared" si="253"/>
        <v>5.2208835341365459E-2</v>
      </c>
      <c r="W809" s="17">
        <v>24</v>
      </c>
      <c r="X809" s="36">
        <f t="shared" si="264"/>
        <v>6.6115702479338845E-2</v>
      </c>
      <c r="Y809" s="17">
        <v>356</v>
      </c>
      <c r="Z809" s="36">
        <f t="shared" si="254"/>
        <v>0.71485943775100402</v>
      </c>
      <c r="AA809" s="17">
        <v>257</v>
      </c>
      <c r="AB809" s="36">
        <f t="shared" si="265"/>
        <v>0.70798898071625349</v>
      </c>
      <c r="AC809" s="17">
        <v>83</v>
      </c>
      <c r="AD809" s="36">
        <f t="shared" si="255"/>
        <v>0.16666666666666666</v>
      </c>
      <c r="AE809" s="17">
        <v>58</v>
      </c>
      <c r="AF809" s="36">
        <f t="shared" si="266"/>
        <v>0.15977961432506887</v>
      </c>
      <c r="AG809" s="17">
        <v>19</v>
      </c>
      <c r="AH809" s="36">
        <f t="shared" si="256"/>
        <v>3.8152610441767071E-2</v>
      </c>
      <c r="AI809" s="17">
        <v>11</v>
      </c>
      <c r="AJ809" s="36">
        <f t="shared" si="267"/>
        <v>3.0303030303030304E-2</v>
      </c>
      <c r="AK809" s="17">
        <v>4</v>
      </c>
      <c r="AL809" s="36">
        <f t="shared" si="257"/>
        <v>8.0321285140562242E-3</v>
      </c>
      <c r="AM809" s="17">
        <v>4</v>
      </c>
      <c r="AN809" s="36">
        <f t="shared" si="268"/>
        <v>1.1019283746556474E-2</v>
      </c>
      <c r="AO809" s="17">
        <v>498</v>
      </c>
      <c r="AP809" s="17">
        <v>363</v>
      </c>
    </row>
    <row r="810" spans="1:42" ht="15.75" customHeight="1" x14ac:dyDescent="0.25">
      <c r="A810" s="37">
        <v>2019</v>
      </c>
      <c r="B810" s="35">
        <v>171884</v>
      </c>
      <c r="C810" s="34" t="s">
        <v>146</v>
      </c>
      <c r="D810" s="34" t="s">
        <v>118</v>
      </c>
      <c r="E810" s="17">
        <v>1</v>
      </c>
      <c r="F810" s="36">
        <f t="shared" si="258"/>
        <v>3.3333333333333335E-3</v>
      </c>
      <c r="G810" s="17">
        <v>1</v>
      </c>
      <c r="H810" s="36">
        <f t="shared" si="259"/>
        <v>7.6335877862595417E-3</v>
      </c>
      <c r="I810" s="17">
        <v>9</v>
      </c>
      <c r="J810" s="36">
        <f t="shared" si="260"/>
        <v>0.03</v>
      </c>
      <c r="K810" s="17">
        <v>5</v>
      </c>
      <c r="L810" s="36">
        <f t="shared" si="261"/>
        <v>3.8167938931297711E-2</v>
      </c>
      <c r="M810" s="17">
        <v>290</v>
      </c>
      <c r="N810" s="36">
        <f t="shared" si="251"/>
        <v>0.96666666666666667</v>
      </c>
      <c r="O810" s="17">
        <v>125</v>
      </c>
      <c r="P810" s="36">
        <f t="shared" si="262"/>
        <v>0.95419847328244278</v>
      </c>
      <c r="Q810" s="17">
        <v>2</v>
      </c>
      <c r="R810" s="36">
        <f t="shared" si="252"/>
        <v>6.6666666666666671E-3</v>
      </c>
      <c r="S810" s="17">
        <v>2</v>
      </c>
      <c r="T810" s="36">
        <f t="shared" si="263"/>
        <v>1.5267175572519083E-2</v>
      </c>
      <c r="U810" s="17">
        <v>9</v>
      </c>
      <c r="V810" s="36">
        <f t="shared" si="253"/>
        <v>0.03</v>
      </c>
      <c r="W810" s="17">
        <v>4</v>
      </c>
      <c r="X810" s="36">
        <f t="shared" si="264"/>
        <v>3.0534351145038167E-2</v>
      </c>
      <c r="Y810" s="17">
        <v>211</v>
      </c>
      <c r="Z810" s="36">
        <f t="shared" si="254"/>
        <v>0.70333333333333337</v>
      </c>
      <c r="AA810" s="17">
        <v>90</v>
      </c>
      <c r="AB810" s="36">
        <f t="shared" si="265"/>
        <v>0.68702290076335881</v>
      </c>
      <c r="AC810" s="17">
        <v>50</v>
      </c>
      <c r="AD810" s="36">
        <f t="shared" si="255"/>
        <v>0.16666666666666666</v>
      </c>
      <c r="AE810" s="17">
        <v>22</v>
      </c>
      <c r="AF810" s="36">
        <f t="shared" si="266"/>
        <v>0.16793893129770993</v>
      </c>
      <c r="AG810" s="17">
        <v>21</v>
      </c>
      <c r="AH810" s="36">
        <f t="shared" si="256"/>
        <v>7.0000000000000007E-2</v>
      </c>
      <c r="AI810" s="17">
        <v>8</v>
      </c>
      <c r="AJ810" s="36">
        <f t="shared" si="267"/>
        <v>6.1068702290076333E-2</v>
      </c>
      <c r="AK810" s="17">
        <v>7</v>
      </c>
      <c r="AL810" s="36">
        <f t="shared" si="257"/>
        <v>2.3333333333333334E-2</v>
      </c>
      <c r="AM810" s="17">
        <v>5</v>
      </c>
      <c r="AN810" s="36">
        <f t="shared" si="268"/>
        <v>3.8167938931297711E-2</v>
      </c>
      <c r="AO810" s="17">
        <v>300</v>
      </c>
      <c r="AP810" s="17">
        <v>131</v>
      </c>
    </row>
    <row r="811" spans="1:42" ht="15.75" customHeight="1" x14ac:dyDescent="0.25">
      <c r="A811" s="37">
        <v>2019</v>
      </c>
      <c r="B811" s="35">
        <v>171886</v>
      </c>
      <c r="C811" s="34" t="s">
        <v>149</v>
      </c>
      <c r="D811" s="34" t="s">
        <v>119</v>
      </c>
      <c r="E811" s="17">
        <v>9</v>
      </c>
      <c r="F811" s="36">
        <f t="shared" si="258"/>
        <v>1.8711018711018712E-2</v>
      </c>
      <c r="G811" s="17">
        <v>1</v>
      </c>
      <c r="H811" s="36">
        <f t="shared" si="259"/>
        <v>6.2500000000000003E-3</v>
      </c>
      <c r="I811" s="17">
        <v>23</v>
      </c>
      <c r="J811" s="36">
        <f t="shared" si="260"/>
        <v>4.781704781704782E-2</v>
      </c>
      <c r="K811" s="17">
        <v>11</v>
      </c>
      <c r="L811" s="36">
        <f t="shared" si="261"/>
        <v>6.8750000000000006E-2</v>
      </c>
      <c r="M811" s="17">
        <v>449</v>
      </c>
      <c r="N811" s="36">
        <f t="shared" si="251"/>
        <v>0.93347193347193347</v>
      </c>
      <c r="O811" s="17">
        <v>148</v>
      </c>
      <c r="P811" s="36">
        <f t="shared" si="262"/>
        <v>0.92500000000000004</v>
      </c>
      <c r="Q811" s="17">
        <v>4</v>
      </c>
      <c r="R811" s="36">
        <f t="shared" si="252"/>
        <v>8.3160083160083165E-3</v>
      </c>
      <c r="S811" s="17">
        <v>3</v>
      </c>
      <c r="T811" s="36">
        <f t="shared" si="263"/>
        <v>1.8749999999999999E-2</v>
      </c>
      <c r="U811" s="17">
        <v>17</v>
      </c>
      <c r="V811" s="36">
        <f t="shared" si="253"/>
        <v>3.5343035343035345E-2</v>
      </c>
      <c r="W811" s="17">
        <v>7</v>
      </c>
      <c r="X811" s="36">
        <f t="shared" si="264"/>
        <v>4.3749999999999997E-2</v>
      </c>
      <c r="Y811" s="17">
        <v>336</v>
      </c>
      <c r="Z811" s="36">
        <f t="shared" si="254"/>
        <v>0.69854469854469858</v>
      </c>
      <c r="AA811" s="17">
        <v>115</v>
      </c>
      <c r="AB811" s="36">
        <f t="shared" si="265"/>
        <v>0.71875</v>
      </c>
      <c r="AC811" s="17">
        <v>78</v>
      </c>
      <c r="AD811" s="36">
        <f t="shared" si="255"/>
        <v>0.16216216216216217</v>
      </c>
      <c r="AE811" s="17">
        <v>24</v>
      </c>
      <c r="AF811" s="36">
        <f t="shared" si="266"/>
        <v>0.15</v>
      </c>
      <c r="AG811" s="17">
        <v>41</v>
      </c>
      <c r="AH811" s="36">
        <f t="shared" si="256"/>
        <v>8.5239085239085244E-2</v>
      </c>
      <c r="AI811" s="17">
        <v>10</v>
      </c>
      <c r="AJ811" s="36">
        <f t="shared" si="267"/>
        <v>6.25E-2</v>
      </c>
      <c r="AK811" s="17">
        <v>5</v>
      </c>
      <c r="AL811" s="36">
        <f t="shared" si="257"/>
        <v>1.0395010395010396E-2</v>
      </c>
      <c r="AM811" s="17">
        <v>1</v>
      </c>
      <c r="AN811" s="36">
        <f t="shared" si="268"/>
        <v>6.2500000000000003E-3</v>
      </c>
      <c r="AO811" s="17">
        <v>481</v>
      </c>
      <c r="AP811" s="17">
        <v>160</v>
      </c>
    </row>
    <row r="812" spans="1:42" ht="15.75" customHeight="1" x14ac:dyDescent="0.25">
      <c r="A812" s="37">
        <v>2019</v>
      </c>
      <c r="B812" s="35">
        <v>171888</v>
      </c>
      <c r="C812" s="34" t="s">
        <v>150</v>
      </c>
      <c r="D812" s="34" t="s">
        <v>120</v>
      </c>
      <c r="E812" s="17">
        <v>5</v>
      </c>
      <c r="F812" s="36">
        <f t="shared" si="258"/>
        <v>1.984126984126984E-2</v>
      </c>
      <c r="G812" s="17">
        <v>1</v>
      </c>
      <c r="H812" s="36">
        <f t="shared" si="259"/>
        <v>1.0869565217391304E-2</v>
      </c>
      <c r="I812" s="17">
        <v>16</v>
      </c>
      <c r="J812" s="36">
        <f t="shared" si="260"/>
        <v>6.3492063492063489E-2</v>
      </c>
      <c r="K812" s="17">
        <v>6</v>
      </c>
      <c r="L812" s="36">
        <f t="shared" si="261"/>
        <v>6.5217391304347824E-2</v>
      </c>
      <c r="M812" s="17">
        <v>231</v>
      </c>
      <c r="N812" s="36">
        <f t="shared" si="251"/>
        <v>0.91666666666666663</v>
      </c>
      <c r="O812" s="17">
        <v>85</v>
      </c>
      <c r="P812" s="36">
        <f t="shared" si="262"/>
        <v>0.92391304347826086</v>
      </c>
      <c r="Q812" s="17">
        <v>2</v>
      </c>
      <c r="R812" s="36">
        <f t="shared" si="252"/>
        <v>7.9365079365079361E-3</v>
      </c>
      <c r="S812" s="17">
        <v>0</v>
      </c>
      <c r="T812" s="36">
        <f t="shared" si="263"/>
        <v>0</v>
      </c>
      <c r="U812" s="17">
        <v>7</v>
      </c>
      <c r="V812" s="36">
        <f t="shared" si="253"/>
        <v>2.7777777777777776E-2</v>
      </c>
      <c r="W812" s="17">
        <v>2</v>
      </c>
      <c r="X812" s="36">
        <f t="shared" si="264"/>
        <v>2.1739130434782608E-2</v>
      </c>
      <c r="Y812" s="17">
        <v>188</v>
      </c>
      <c r="Z812" s="36">
        <f t="shared" si="254"/>
        <v>0.74603174603174605</v>
      </c>
      <c r="AA812" s="17">
        <v>67</v>
      </c>
      <c r="AB812" s="36">
        <f t="shared" si="265"/>
        <v>0.72826086956521741</v>
      </c>
      <c r="AC812" s="17">
        <v>42</v>
      </c>
      <c r="AD812" s="36">
        <f t="shared" si="255"/>
        <v>0.16666666666666666</v>
      </c>
      <c r="AE812" s="17">
        <v>18</v>
      </c>
      <c r="AF812" s="36">
        <f t="shared" si="266"/>
        <v>0.19565217391304349</v>
      </c>
      <c r="AG812" s="17">
        <v>11</v>
      </c>
      <c r="AH812" s="36">
        <f t="shared" si="256"/>
        <v>4.3650793650793648E-2</v>
      </c>
      <c r="AI812" s="17">
        <v>4</v>
      </c>
      <c r="AJ812" s="36">
        <f t="shared" si="267"/>
        <v>4.3478260869565216E-2</v>
      </c>
      <c r="AK812" s="17">
        <v>2</v>
      </c>
      <c r="AL812" s="36">
        <f t="shared" si="257"/>
        <v>7.9365079365079361E-3</v>
      </c>
      <c r="AM812" s="17">
        <v>1</v>
      </c>
      <c r="AN812" s="36">
        <f t="shared" si="268"/>
        <v>1.0869565217391304E-2</v>
      </c>
      <c r="AO812" s="17">
        <v>252</v>
      </c>
      <c r="AP812" s="17">
        <v>92</v>
      </c>
    </row>
    <row r="813" spans="1:42" ht="15.75" customHeight="1" x14ac:dyDescent="0.25">
      <c r="A813" s="37">
        <v>2019</v>
      </c>
      <c r="B813" s="35">
        <v>171889</v>
      </c>
      <c r="C813" s="34" t="s">
        <v>146</v>
      </c>
      <c r="D813" s="34" t="s">
        <v>121</v>
      </c>
      <c r="E813" s="17">
        <v>1</v>
      </c>
      <c r="F813" s="36">
        <f t="shared" si="258"/>
        <v>3.5714285714285713E-3</v>
      </c>
      <c r="G813" s="17">
        <v>1</v>
      </c>
      <c r="H813" s="36">
        <f t="shared" si="259"/>
        <v>1.4285714285714285E-2</v>
      </c>
      <c r="I813" s="17">
        <v>10</v>
      </c>
      <c r="J813" s="36">
        <f t="shared" si="260"/>
        <v>3.5714285714285712E-2</v>
      </c>
      <c r="K813" s="17">
        <v>5</v>
      </c>
      <c r="L813" s="36">
        <f t="shared" si="261"/>
        <v>7.1428571428571425E-2</v>
      </c>
      <c r="M813" s="17">
        <v>269</v>
      </c>
      <c r="N813" s="36">
        <f t="shared" si="251"/>
        <v>0.96071428571428574</v>
      </c>
      <c r="O813" s="17">
        <v>64</v>
      </c>
      <c r="P813" s="36">
        <f t="shared" si="262"/>
        <v>0.91428571428571426</v>
      </c>
      <c r="Q813" s="17">
        <v>7</v>
      </c>
      <c r="R813" s="36">
        <f t="shared" si="252"/>
        <v>2.5000000000000001E-2</v>
      </c>
      <c r="S813" s="17">
        <v>1</v>
      </c>
      <c r="T813" s="36">
        <f t="shared" si="263"/>
        <v>1.4285714285714285E-2</v>
      </c>
      <c r="U813" s="17">
        <v>8</v>
      </c>
      <c r="V813" s="36">
        <f t="shared" si="253"/>
        <v>2.8571428571428571E-2</v>
      </c>
      <c r="W813" s="17">
        <v>1</v>
      </c>
      <c r="X813" s="36">
        <f t="shared" si="264"/>
        <v>1.4285714285714285E-2</v>
      </c>
      <c r="Y813" s="17">
        <v>190</v>
      </c>
      <c r="Z813" s="36">
        <f t="shared" si="254"/>
        <v>0.6785714285714286</v>
      </c>
      <c r="AA813" s="17">
        <v>44</v>
      </c>
      <c r="AB813" s="36">
        <f t="shared" si="265"/>
        <v>0.62857142857142856</v>
      </c>
      <c r="AC813" s="17">
        <v>53</v>
      </c>
      <c r="AD813" s="36">
        <f t="shared" si="255"/>
        <v>0.18928571428571428</v>
      </c>
      <c r="AE813" s="17">
        <v>16</v>
      </c>
      <c r="AF813" s="36">
        <f t="shared" si="266"/>
        <v>0.22857142857142856</v>
      </c>
      <c r="AG813" s="17">
        <v>16</v>
      </c>
      <c r="AH813" s="36">
        <f t="shared" si="256"/>
        <v>5.7142857142857141E-2</v>
      </c>
      <c r="AI813" s="17">
        <v>5</v>
      </c>
      <c r="AJ813" s="36">
        <f t="shared" si="267"/>
        <v>7.1428571428571425E-2</v>
      </c>
      <c r="AK813" s="17">
        <v>6</v>
      </c>
      <c r="AL813" s="36">
        <f t="shared" si="257"/>
        <v>2.1428571428571429E-2</v>
      </c>
      <c r="AM813" s="17">
        <v>3</v>
      </c>
      <c r="AN813" s="36">
        <f t="shared" si="268"/>
        <v>4.2857142857142858E-2</v>
      </c>
      <c r="AO813" s="17">
        <v>280</v>
      </c>
      <c r="AP813" s="17">
        <v>70</v>
      </c>
    </row>
    <row r="814" spans="1:42" ht="15.75" customHeight="1" x14ac:dyDescent="0.25">
      <c r="A814" s="37">
        <v>2019</v>
      </c>
      <c r="B814" s="35">
        <v>171890</v>
      </c>
      <c r="C814" s="34" t="s">
        <v>151</v>
      </c>
      <c r="D814" s="34" t="s">
        <v>122</v>
      </c>
      <c r="E814" s="17">
        <v>3</v>
      </c>
      <c r="F814" s="36">
        <f t="shared" si="258"/>
        <v>9.74025974025974E-3</v>
      </c>
      <c r="G814" s="17">
        <v>1</v>
      </c>
      <c r="H814" s="36">
        <f t="shared" si="259"/>
        <v>4.5454545454545452E-3</v>
      </c>
      <c r="I814" s="17">
        <v>5</v>
      </c>
      <c r="J814" s="36">
        <f t="shared" si="260"/>
        <v>1.6233766233766232E-2</v>
      </c>
      <c r="K814" s="17">
        <v>4</v>
      </c>
      <c r="L814" s="36">
        <f t="shared" si="261"/>
        <v>1.8181818181818181E-2</v>
      </c>
      <c r="M814" s="17">
        <v>300</v>
      </c>
      <c r="N814" s="36">
        <f t="shared" si="251"/>
        <v>0.97402597402597402</v>
      </c>
      <c r="O814" s="17">
        <v>215</v>
      </c>
      <c r="P814" s="36">
        <f t="shared" si="262"/>
        <v>0.97727272727272729</v>
      </c>
      <c r="Q814" s="17">
        <v>0</v>
      </c>
      <c r="R814" s="36">
        <f t="shared" si="252"/>
        <v>0</v>
      </c>
      <c r="S814" s="17">
        <v>1</v>
      </c>
      <c r="T814" s="36">
        <f t="shared" si="263"/>
        <v>4.5454545454545452E-3</v>
      </c>
      <c r="U814" s="17">
        <v>16</v>
      </c>
      <c r="V814" s="36">
        <f t="shared" si="253"/>
        <v>5.1948051948051951E-2</v>
      </c>
      <c r="W814" s="17">
        <v>7</v>
      </c>
      <c r="X814" s="36">
        <f t="shared" si="264"/>
        <v>3.1818181818181815E-2</v>
      </c>
      <c r="Y814" s="17">
        <v>223</v>
      </c>
      <c r="Z814" s="36">
        <f t="shared" si="254"/>
        <v>0.72402597402597402</v>
      </c>
      <c r="AA814" s="17">
        <v>167</v>
      </c>
      <c r="AB814" s="36">
        <f t="shared" si="265"/>
        <v>0.75909090909090904</v>
      </c>
      <c r="AC814" s="17">
        <v>46</v>
      </c>
      <c r="AD814" s="36">
        <f t="shared" si="255"/>
        <v>0.14935064935064934</v>
      </c>
      <c r="AE814" s="17">
        <v>30</v>
      </c>
      <c r="AF814" s="36">
        <f t="shared" si="266"/>
        <v>0.13636363636363635</v>
      </c>
      <c r="AG814" s="17">
        <v>20</v>
      </c>
      <c r="AH814" s="36">
        <f t="shared" si="256"/>
        <v>6.4935064935064929E-2</v>
      </c>
      <c r="AI814" s="17">
        <v>14</v>
      </c>
      <c r="AJ814" s="36">
        <f t="shared" si="267"/>
        <v>6.363636363636363E-2</v>
      </c>
      <c r="AK814" s="17">
        <v>3</v>
      </c>
      <c r="AL814" s="36">
        <f t="shared" si="257"/>
        <v>9.74025974025974E-3</v>
      </c>
      <c r="AM814" s="17">
        <v>1</v>
      </c>
      <c r="AN814" s="36">
        <f t="shared" si="268"/>
        <v>4.5454545454545452E-3</v>
      </c>
      <c r="AO814" s="17">
        <v>308</v>
      </c>
      <c r="AP814" s="17">
        <v>220</v>
      </c>
    </row>
    <row r="815" spans="1:42" ht="15.75" customHeight="1" x14ac:dyDescent="0.25">
      <c r="A815" s="37">
        <v>2019</v>
      </c>
      <c r="B815" s="35">
        <v>171900</v>
      </c>
      <c r="C815" s="34" t="s">
        <v>148</v>
      </c>
      <c r="D815" s="34" t="s">
        <v>123</v>
      </c>
      <c r="E815" s="17">
        <v>6</v>
      </c>
      <c r="F815" s="36">
        <f t="shared" si="258"/>
        <v>2.34375E-2</v>
      </c>
      <c r="G815" s="17">
        <v>0</v>
      </c>
      <c r="H815" s="36">
        <f t="shared" si="259"/>
        <v>0</v>
      </c>
      <c r="I815" s="17">
        <v>19</v>
      </c>
      <c r="J815" s="36">
        <f t="shared" si="260"/>
        <v>7.421875E-2</v>
      </c>
      <c r="K815" s="17">
        <v>4</v>
      </c>
      <c r="L815" s="36">
        <f t="shared" si="261"/>
        <v>5.2631578947368418E-2</v>
      </c>
      <c r="M815" s="17">
        <v>231</v>
      </c>
      <c r="N815" s="36">
        <f t="shared" si="251"/>
        <v>0.90234375</v>
      </c>
      <c r="O815" s="17">
        <v>72</v>
      </c>
      <c r="P815" s="36">
        <f t="shared" si="262"/>
        <v>0.94736842105263153</v>
      </c>
      <c r="Q815" s="17">
        <v>3</v>
      </c>
      <c r="R815" s="36">
        <f t="shared" si="252"/>
        <v>1.171875E-2</v>
      </c>
      <c r="S815" s="17">
        <v>2</v>
      </c>
      <c r="T815" s="36">
        <f t="shared" si="263"/>
        <v>2.6315789473684209E-2</v>
      </c>
      <c r="U815" s="17">
        <v>8</v>
      </c>
      <c r="V815" s="36">
        <f t="shared" si="253"/>
        <v>3.125E-2</v>
      </c>
      <c r="W815" s="17">
        <v>1</v>
      </c>
      <c r="X815" s="36">
        <f t="shared" si="264"/>
        <v>1.3157894736842105E-2</v>
      </c>
      <c r="Y815" s="17">
        <v>186</v>
      </c>
      <c r="Z815" s="36">
        <f t="shared" si="254"/>
        <v>0.7265625</v>
      </c>
      <c r="AA815" s="17">
        <v>57</v>
      </c>
      <c r="AB815" s="36">
        <f t="shared" si="265"/>
        <v>0.75</v>
      </c>
      <c r="AC815" s="17">
        <v>47</v>
      </c>
      <c r="AD815" s="36">
        <f t="shared" si="255"/>
        <v>0.18359375</v>
      </c>
      <c r="AE815" s="17">
        <v>13</v>
      </c>
      <c r="AF815" s="36">
        <f t="shared" si="266"/>
        <v>0.17105263157894737</v>
      </c>
      <c r="AG815" s="17">
        <v>10</v>
      </c>
      <c r="AH815" s="36">
        <f t="shared" si="256"/>
        <v>3.90625E-2</v>
      </c>
      <c r="AI815" s="17">
        <v>3</v>
      </c>
      <c r="AJ815" s="36">
        <f t="shared" si="267"/>
        <v>3.9473684210526314E-2</v>
      </c>
      <c r="AK815" s="17">
        <v>2</v>
      </c>
      <c r="AL815" s="36">
        <f t="shared" si="257"/>
        <v>7.8125E-3</v>
      </c>
      <c r="AM815" s="17">
        <v>0</v>
      </c>
      <c r="AN815" s="36">
        <f t="shared" si="268"/>
        <v>0</v>
      </c>
      <c r="AO815" s="17">
        <v>256</v>
      </c>
      <c r="AP815" s="17">
        <v>76</v>
      </c>
    </row>
    <row r="816" spans="1:42" ht="15.75" customHeight="1" x14ac:dyDescent="0.25">
      <c r="A816" s="37">
        <v>2019</v>
      </c>
      <c r="B816" s="35">
        <v>172000</v>
      </c>
      <c r="C816" s="34" t="s">
        <v>145</v>
      </c>
      <c r="D816" s="34" t="s">
        <v>124</v>
      </c>
      <c r="E816" s="17">
        <v>3</v>
      </c>
      <c r="F816" s="36">
        <f t="shared" si="258"/>
        <v>1.7857142857142856E-2</v>
      </c>
      <c r="G816" s="17">
        <v>3</v>
      </c>
      <c r="H816" s="36">
        <f t="shared" si="259"/>
        <v>3.3333333333333333E-2</v>
      </c>
      <c r="I816" s="17">
        <v>28</v>
      </c>
      <c r="J816" s="36">
        <f t="shared" si="260"/>
        <v>0.16666666666666666</v>
      </c>
      <c r="K816" s="17">
        <v>14</v>
      </c>
      <c r="L816" s="36">
        <f t="shared" si="261"/>
        <v>0.15555555555555556</v>
      </c>
      <c r="M816" s="17">
        <v>137</v>
      </c>
      <c r="N816" s="36">
        <f t="shared" si="251"/>
        <v>0.81547619047619047</v>
      </c>
      <c r="O816" s="17">
        <v>73</v>
      </c>
      <c r="P816" s="36">
        <f t="shared" si="262"/>
        <v>0.81111111111111112</v>
      </c>
      <c r="Q816" s="17">
        <v>3</v>
      </c>
      <c r="R816" s="36">
        <f t="shared" si="252"/>
        <v>1.7857142857142856E-2</v>
      </c>
      <c r="S816" s="17">
        <v>1</v>
      </c>
      <c r="T816" s="36">
        <f t="shared" si="263"/>
        <v>1.1111111111111112E-2</v>
      </c>
      <c r="U816" s="17">
        <v>4</v>
      </c>
      <c r="V816" s="36">
        <f t="shared" si="253"/>
        <v>2.3809523809523808E-2</v>
      </c>
      <c r="W816" s="17">
        <v>3</v>
      </c>
      <c r="X816" s="36">
        <f t="shared" si="264"/>
        <v>3.3333333333333333E-2</v>
      </c>
      <c r="Y816" s="17">
        <v>124</v>
      </c>
      <c r="Z816" s="36">
        <f t="shared" si="254"/>
        <v>0.73809523809523814</v>
      </c>
      <c r="AA816" s="17">
        <v>67</v>
      </c>
      <c r="AB816" s="36">
        <f t="shared" si="265"/>
        <v>0.74444444444444446</v>
      </c>
      <c r="AC816" s="17">
        <v>30</v>
      </c>
      <c r="AD816" s="36">
        <f t="shared" si="255"/>
        <v>0.17857142857142858</v>
      </c>
      <c r="AE816" s="17">
        <v>15</v>
      </c>
      <c r="AF816" s="36">
        <f t="shared" si="266"/>
        <v>0.16666666666666666</v>
      </c>
      <c r="AG816" s="17">
        <v>6</v>
      </c>
      <c r="AH816" s="36">
        <f t="shared" si="256"/>
        <v>3.5714285714285712E-2</v>
      </c>
      <c r="AI816" s="17">
        <v>3</v>
      </c>
      <c r="AJ816" s="36">
        <f t="shared" si="267"/>
        <v>3.3333333333333333E-2</v>
      </c>
      <c r="AK816" s="17">
        <v>1</v>
      </c>
      <c r="AL816" s="36">
        <f t="shared" si="257"/>
        <v>5.9523809523809521E-3</v>
      </c>
      <c r="AM816" s="17">
        <v>1</v>
      </c>
      <c r="AN816" s="36">
        <f t="shared" si="268"/>
        <v>1.1111111111111112E-2</v>
      </c>
      <c r="AO816" s="17">
        <v>168</v>
      </c>
      <c r="AP816" s="17">
        <v>90</v>
      </c>
    </row>
    <row r="817" spans="1:42" ht="15.75" customHeight="1" x14ac:dyDescent="0.25">
      <c r="A817" s="37">
        <v>2019</v>
      </c>
      <c r="B817" s="35">
        <v>172010</v>
      </c>
      <c r="C817" s="34" t="s">
        <v>145</v>
      </c>
      <c r="D817" s="34" t="s">
        <v>125</v>
      </c>
      <c r="E817" s="17">
        <v>4</v>
      </c>
      <c r="F817" s="36">
        <f t="shared" si="258"/>
        <v>1.2158054711246201E-2</v>
      </c>
      <c r="G817" s="17">
        <v>4</v>
      </c>
      <c r="H817" s="36">
        <f t="shared" si="259"/>
        <v>1.7937219730941704E-2</v>
      </c>
      <c r="I817" s="17">
        <v>13</v>
      </c>
      <c r="J817" s="36">
        <f t="shared" si="260"/>
        <v>3.9513677811550151E-2</v>
      </c>
      <c r="K817" s="17">
        <v>10</v>
      </c>
      <c r="L817" s="36">
        <f t="shared" si="261"/>
        <v>4.4843049327354258E-2</v>
      </c>
      <c r="M817" s="17">
        <v>312</v>
      </c>
      <c r="N817" s="36">
        <f t="shared" si="251"/>
        <v>0.94832826747720367</v>
      </c>
      <c r="O817" s="17">
        <v>209</v>
      </c>
      <c r="P817" s="36">
        <f t="shared" si="262"/>
        <v>0.93721973094170408</v>
      </c>
      <c r="Q817" s="17">
        <v>3</v>
      </c>
      <c r="R817" s="36">
        <f t="shared" si="252"/>
        <v>9.11854103343465E-3</v>
      </c>
      <c r="S817" s="17">
        <v>2</v>
      </c>
      <c r="T817" s="36">
        <f t="shared" si="263"/>
        <v>8.9686098654708519E-3</v>
      </c>
      <c r="U817" s="17">
        <v>8</v>
      </c>
      <c r="V817" s="36">
        <f t="shared" si="253"/>
        <v>2.4316109422492401E-2</v>
      </c>
      <c r="W817" s="17">
        <v>4</v>
      </c>
      <c r="X817" s="36">
        <f t="shared" si="264"/>
        <v>1.7937219730941704E-2</v>
      </c>
      <c r="Y817" s="17">
        <v>240</v>
      </c>
      <c r="Z817" s="36">
        <f t="shared" si="254"/>
        <v>0.72948328267477203</v>
      </c>
      <c r="AA817" s="17">
        <v>163</v>
      </c>
      <c r="AB817" s="36">
        <f t="shared" si="265"/>
        <v>0.73094170403587444</v>
      </c>
      <c r="AC817" s="17">
        <v>56</v>
      </c>
      <c r="AD817" s="36">
        <f t="shared" si="255"/>
        <v>0.1702127659574468</v>
      </c>
      <c r="AE817" s="17">
        <v>39</v>
      </c>
      <c r="AF817" s="36">
        <f t="shared" si="266"/>
        <v>0.17488789237668162</v>
      </c>
      <c r="AG817" s="17">
        <v>19</v>
      </c>
      <c r="AH817" s="36">
        <f t="shared" si="256"/>
        <v>5.7750759878419454E-2</v>
      </c>
      <c r="AI817" s="17">
        <v>13</v>
      </c>
      <c r="AJ817" s="36">
        <f t="shared" si="267"/>
        <v>5.829596412556054E-2</v>
      </c>
      <c r="AK817" s="17">
        <v>3</v>
      </c>
      <c r="AL817" s="36">
        <f t="shared" si="257"/>
        <v>9.11854103343465E-3</v>
      </c>
      <c r="AM817" s="17">
        <v>2</v>
      </c>
      <c r="AN817" s="36">
        <f t="shared" si="268"/>
        <v>8.9686098654708519E-3</v>
      </c>
      <c r="AO817" s="17">
        <v>329</v>
      </c>
      <c r="AP817" s="17">
        <v>223</v>
      </c>
    </row>
    <row r="818" spans="1:42" ht="15.75" customHeight="1" x14ac:dyDescent="0.25">
      <c r="A818" s="37">
        <v>2019</v>
      </c>
      <c r="B818" s="35">
        <v>172015</v>
      </c>
      <c r="C818" s="34" t="s">
        <v>148</v>
      </c>
      <c r="D818" s="34" t="s">
        <v>126</v>
      </c>
      <c r="E818" s="17">
        <v>1</v>
      </c>
      <c r="F818" s="36">
        <f t="shared" si="258"/>
        <v>5.5248618784530384E-3</v>
      </c>
      <c r="G818" s="17">
        <v>1</v>
      </c>
      <c r="H818" s="36">
        <f t="shared" si="259"/>
        <v>1.0101010101010102E-2</v>
      </c>
      <c r="I818" s="17">
        <v>14</v>
      </c>
      <c r="J818" s="36">
        <f t="shared" si="260"/>
        <v>7.7348066298342538E-2</v>
      </c>
      <c r="K818" s="17">
        <v>8</v>
      </c>
      <c r="L818" s="36">
        <f t="shared" si="261"/>
        <v>8.0808080808080815E-2</v>
      </c>
      <c r="M818" s="17">
        <v>166</v>
      </c>
      <c r="N818" s="36">
        <f t="shared" si="251"/>
        <v>0.91712707182320441</v>
      </c>
      <c r="O818" s="17">
        <v>90</v>
      </c>
      <c r="P818" s="36">
        <f t="shared" si="262"/>
        <v>0.90909090909090906</v>
      </c>
      <c r="Q818" s="17">
        <v>1</v>
      </c>
      <c r="R818" s="36">
        <f t="shared" si="252"/>
        <v>5.5248618784530384E-3</v>
      </c>
      <c r="S818" s="17">
        <v>1</v>
      </c>
      <c r="T818" s="36">
        <f t="shared" si="263"/>
        <v>1.0101010101010102E-2</v>
      </c>
      <c r="U818" s="17">
        <v>7</v>
      </c>
      <c r="V818" s="36">
        <f t="shared" si="253"/>
        <v>3.8674033149171269E-2</v>
      </c>
      <c r="W818" s="17">
        <v>2</v>
      </c>
      <c r="X818" s="36">
        <f t="shared" si="264"/>
        <v>2.0202020202020204E-2</v>
      </c>
      <c r="Y818" s="17">
        <v>137</v>
      </c>
      <c r="Z818" s="36">
        <f t="shared" si="254"/>
        <v>0.75690607734806625</v>
      </c>
      <c r="AA818" s="17">
        <v>72</v>
      </c>
      <c r="AB818" s="36">
        <f t="shared" si="265"/>
        <v>0.72727272727272729</v>
      </c>
      <c r="AC818" s="17">
        <v>28</v>
      </c>
      <c r="AD818" s="36">
        <f t="shared" si="255"/>
        <v>0.15469613259668508</v>
      </c>
      <c r="AE818" s="17">
        <v>19</v>
      </c>
      <c r="AF818" s="36">
        <f t="shared" si="266"/>
        <v>0.19191919191919191</v>
      </c>
      <c r="AG818" s="17">
        <v>8</v>
      </c>
      <c r="AH818" s="36">
        <f t="shared" si="256"/>
        <v>4.4198895027624308E-2</v>
      </c>
      <c r="AI818" s="17">
        <v>5</v>
      </c>
      <c r="AJ818" s="36">
        <f t="shared" si="267"/>
        <v>5.0505050505050504E-2</v>
      </c>
      <c r="AK818" s="17">
        <v>0</v>
      </c>
      <c r="AL818" s="36">
        <f t="shared" si="257"/>
        <v>0</v>
      </c>
      <c r="AM818" s="17">
        <v>0</v>
      </c>
      <c r="AN818" s="36">
        <f t="shared" si="268"/>
        <v>0</v>
      </c>
      <c r="AO818" s="17">
        <v>181</v>
      </c>
      <c r="AP818" s="17">
        <v>99</v>
      </c>
    </row>
    <row r="819" spans="1:42" ht="15.75" customHeight="1" x14ac:dyDescent="0.25">
      <c r="A819" s="37">
        <v>2019</v>
      </c>
      <c r="B819" s="35">
        <v>172020</v>
      </c>
      <c r="C819" s="34" t="s">
        <v>145</v>
      </c>
      <c r="D819" s="34" t="s">
        <v>127</v>
      </c>
      <c r="E819" s="17">
        <v>14</v>
      </c>
      <c r="F819" s="36">
        <f t="shared" si="258"/>
        <v>1.4112903225806451E-2</v>
      </c>
      <c r="G819" s="17">
        <v>9</v>
      </c>
      <c r="H819" s="36">
        <f t="shared" si="259"/>
        <v>1.5306122448979591E-2</v>
      </c>
      <c r="I819" s="17">
        <v>71</v>
      </c>
      <c r="J819" s="36">
        <f t="shared" si="260"/>
        <v>7.1572580645161296E-2</v>
      </c>
      <c r="K819" s="17">
        <v>44</v>
      </c>
      <c r="L819" s="36">
        <f t="shared" si="261"/>
        <v>7.4829931972789115E-2</v>
      </c>
      <c r="M819" s="17">
        <v>907</v>
      </c>
      <c r="N819" s="36">
        <f t="shared" si="251"/>
        <v>0.91431451612903225</v>
      </c>
      <c r="O819" s="17">
        <v>535</v>
      </c>
      <c r="P819" s="36">
        <f t="shared" si="262"/>
        <v>0.90986394557823125</v>
      </c>
      <c r="Q819" s="17">
        <v>13</v>
      </c>
      <c r="R819" s="36">
        <f t="shared" si="252"/>
        <v>1.310483870967742E-2</v>
      </c>
      <c r="S819" s="17">
        <v>9</v>
      </c>
      <c r="T819" s="36">
        <f t="shared" si="263"/>
        <v>1.5306122448979591E-2</v>
      </c>
      <c r="U819" s="17">
        <v>47</v>
      </c>
      <c r="V819" s="36">
        <f t="shared" si="253"/>
        <v>4.7379032258064516E-2</v>
      </c>
      <c r="W819" s="17">
        <v>26</v>
      </c>
      <c r="X819" s="36">
        <f t="shared" si="264"/>
        <v>4.4217687074829932E-2</v>
      </c>
      <c r="Y819" s="17">
        <v>735</v>
      </c>
      <c r="Z819" s="36">
        <f t="shared" si="254"/>
        <v>0.74092741935483875</v>
      </c>
      <c r="AA819" s="17">
        <v>427</v>
      </c>
      <c r="AB819" s="36">
        <f t="shared" si="265"/>
        <v>0.72619047619047616</v>
      </c>
      <c r="AC819" s="17">
        <v>138</v>
      </c>
      <c r="AD819" s="36">
        <f t="shared" si="255"/>
        <v>0.13911290322580644</v>
      </c>
      <c r="AE819" s="17">
        <v>83</v>
      </c>
      <c r="AF819" s="36">
        <f t="shared" si="266"/>
        <v>0.141156462585034</v>
      </c>
      <c r="AG819" s="17">
        <v>54</v>
      </c>
      <c r="AH819" s="36">
        <f t="shared" si="256"/>
        <v>5.4435483870967742E-2</v>
      </c>
      <c r="AI819" s="17">
        <v>40</v>
      </c>
      <c r="AJ819" s="36">
        <f t="shared" si="267"/>
        <v>6.8027210884353748E-2</v>
      </c>
      <c r="AK819" s="17">
        <v>5</v>
      </c>
      <c r="AL819" s="36">
        <f t="shared" si="257"/>
        <v>5.0403225806451612E-3</v>
      </c>
      <c r="AM819" s="17">
        <v>3</v>
      </c>
      <c r="AN819" s="36">
        <f t="shared" si="268"/>
        <v>5.1020408163265302E-3</v>
      </c>
      <c r="AO819" s="17">
        <v>992</v>
      </c>
      <c r="AP819" s="17">
        <v>588</v>
      </c>
    </row>
    <row r="820" spans="1:42" ht="15.75" customHeight="1" x14ac:dyDescent="0.25">
      <c r="A820" s="37">
        <v>2019</v>
      </c>
      <c r="B820" s="35">
        <v>172025</v>
      </c>
      <c r="C820" s="34" t="s">
        <v>146</v>
      </c>
      <c r="D820" s="34" t="s">
        <v>128</v>
      </c>
      <c r="E820" s="17">
        <v>4</v>
      </c>
      <c r="F820" s="36">
        <f t="shared" si="258"/>
        <v>1.532567049808429E-2</v>
      </c>
      <c r="G820" s="17">
        <v>2</v>
      </c>
      <c r="H820" s="36">
        <f t="shared" si="259"/>
        <v>1.4925373134328358E-2</v>
      </c>
      <c r="I820" s="17">
        <v>6</v>
      </c>
      <c r="J820" s="36">
        <f t="shared" si="260"/>
        <v>2.2988505747126436E-2</v>
      </c>
      <c r="K820" s="17">
        <v>3</v>
      </c>
      <c r="L820" s="36">
        <f t="shared" si="261"/>
        <v>2.2388059701492536E-2</v>
      </c>
      <c r="M820" s="17">
        <v>251</v>
      </c>
      <c r="N820" s="36">
        <f t="shared" ref="N820:N851" si="269">IFERROR(M820/$AO820,0)</f>
        <v>0.96168582375478928</v>
      </c>
      <c r="O820" s="17">
        <v>129</v>
      </c>
      <c r="P820" s="36">
        <f t="shared" si="262"/>
        <v>0.96268656716417911</v>
      </c>
      <c r="Q820" s="17">
        <v>3</v>
      </c>
      <c r="R820" s="36">
        <f t="shared" ref="R820:R851" si="270">IFERROR(Q820/$AO820,0)</f>
        <v>1.1494252873563218E-2</v>
      </c>
      <c r="S820" s="17">
        <v>1</v>
      </c>
      <c r="T820" s="36">
        <f t="shared" si="263"/>
        <v>7.462686567164179E-3</v>
      </c>
      <c r="U820" s="17">
        <v>5</v>
      </c>
      <c r="V820" s="36">
        <f t="shared" ref="V820:V851" si="271">IFERROR(U820/$AO820,0)</f>
        <v>1.9157088122605363E-2</v>
      </c>
      <c r="W820" s="17">
        <v>3</v>
      </c>
      <c r="X820" s="36">
        <f t="shared" si="264"/>
        <v>2.2388059701492536E-2</v>
      </c>
      <c r="Y820" s="17">
        <v>171</v>
      </c>
      <c r="Z820" s="36">
        <f t="shared" ref="Z820:Z851" si="272">IFERROR(Y820/$AO820,0)</f>
        <v>0.65517241379310343</v>
      </c>
      <c r="AA820" s="17">
        <v>84</v>
      </c>
      <c r="AB820" s="36">
        <f t="shared" si="265"/>
        <v>0.62686567164179108</v>
      </c>
      <c r="AC820" s="17">
        <v>45</v>
      </c>
      <c r="AD820" s="36">
        <f t="shared" ref="AD820:AD851" si="273">IFERROR(AC820/$AO820,0)</f>
        <v>0.17241379310344829</v>
      </c>
      <c r="AE820" s="17">
        <v>28</v>
      </c>
      <c r="AF820" s="36">
        <f t="shared" si="266"/>
        <v>0.20895522388059701</v>
      </c>
      <c r="AG820" s="17">
        <v>23</v>
      </c>
      <c r="AH820" s="36">
        <f t="shared" ref="AH820:AH851" si="274">IFERROR(AG820/$AO820,0)</f>
        <v>8.8122605363984668E-2</v>
      </c>
      <c r="AI820" s="17">
        <v>10</v>
      </c>
      <c r="AJ820" s="36">
        <f t="shared" si="267"/>
        <v>7.4626865671641784E-2</v>
      </c>
      <c r="AK820" s="17">
        <v>14</v>
      </c>
      <c r="AL820" s="36">
        <f t="shared" ref="AL820:AL851" si="275">IFERROR(AK820/$AO820,0)</f>
        <v>5.3639846743295021E-2</v>
      </c>
      <c r="AM820" s="17">
        <v>8</v>
      </c>
      <c r="AN820" s="36">
        <f t="shared" si="268"/>
        <v>5.9701492537313432E-2</v>
      </c>
      <c r="AO820" s="17">
        <v>261</v>
      </c>
      <c r="AP820" s="17">
        <v>134</v>
      </c>
    </row>
    <row r="821" spans="1:42" ht="15.75" customHeight="1" x14ac:dyDescent="0.25">
      <c r="A821" s="37">
        <v>2019</v>
      </c>
      <c r="B821" s="35">
        <v>172030</v>
      </c>
      <c r="C821" s="34" t="s">
        <v>145</v>
      </c>
      <c r="D821" s="34" t="s">
        <v>129</v>
      </c>
      <c r="E821" s="17">
        <v>9</v>
      </c>
      <c r="F821" s="36">
        <f t="shared" si="258"/>
        <v>1.8987341772151899E-2</v>
      </c>
      <c r="G821" s="17">
        <v>6</v>
      </c>
      <c r="H821" s="36">
        <f t="shared" si="259"/>
        <v>2.0833333333333332E-2</v>
      </c>
      <c r="I821" s="17">
        <v>37</v>
      </c>
      <c r="J821" s="36">
        <f t="shared" si="260"/>
        <v>7.805907172995781E-2</v>
      </c>
      <c r="K821" s="17">
        <v>20</v>
      </c>
      <c r="L821" s="36">
        <f t="shared" si="261"/>
        <v>6.9444444444444448E-2</v>
      </c>
      <c r="M821" s="17">
        <v>428</v>
      </c>
      <c r="N821" s="36">
        <f t="shared" si="269"/>
        <v>0.90295358649789026</v>
      </c>
      <c r="O821" s="17">
        <v>262</v>
      </c>
      <c r="P821" s="36">
        <f t="shared" si="262"/>
        <v>0.90972222222222221</v>
      </c>
      <c r="Q821" s="17">
        <v>9</v>
      </c>
      <c r="R821" s="36">
        <f t="shared" si="270"/>
        <v>1.8987341772151899E-2</v>
      </c>
      <c r="S821" s="17">
        <v>3</v>
      </c>
      <c r="T821" s="36">
        <f t="shared" si="263"/>
        <v>1.0416666666666666E-2</v>
      </c>
      <c r="U821" s="17">
        <v>27</v>
      </c>
      <c r="V821" s="36">
        <f t="shared" si="271"/>
        <v>5.6962025316455694E-2</v>
      </c>
      <c r="W821" s="17">
        <v>16</v>
      </c>
      <c r="X821" s="36">
        <f t="shared" si="264"/>
        <v>5.5555555555555552E-2</v>
      </c>
      <c r="Y821" s="17">
        <v>323</v>
      </c>
      <c r="Z821" s="36">
        <f t="shared" si="272"/>
        <v>0.68143459915611815</v>
      </c>
      <c r="AA821" s="17">
        <v>199</v>
      </c>
      <c r="AB821" s="36">
        <f t="shared" si="265"/>
        <v>0.69097222222222221</v>
      </c>
      <c r="AC821" s="17">
        <v>95</v>
      </c>
      <c r="AD821" s="36">
        <f t="shared" si="273"/>
        <v>0.20042194092827004</v>
      </c>
      <c r="AE821" s="17">
        <v>57</v>
      </c>
      <c r="AF821" s="36">
        <f t="shared" si="266"/>
        <v>0.19791666666666666</v>
      </c>
      <c r="AG821" s="17">
        <v>14</v>
      </c>
      <c r="AH821" s="36">
        <f t="shared" si="274"/>
        <v>2.9535864978902954E-2</v>
      </c>
      <c r="AI821" s="17">
        <v>10</v>
      </c>
      <c r="AJ821" s="36">
        <f t="shared" si="267"/>
        <v>3.4722222222222224E-2</v>
      </c>
      <c r="AK821" s="17">
        <v>6</v>
      </c>
      <c r="AL821" s="36">
        <f t="shared" si="275"/>
        <v>1.2658227848101266E-2</v>
      </c>
      <c r="AM821" s="17">
        <v>3</v>
      </c>
      <c r="AN821" s="36">
        <f t="shared" si="268"/>
        <v>1.0416666666666666E-2</v>
      </c>
      <c r="AO821" s="17">
        <v>474</v>
      </c>
      <c r="AP821" s="17">
        <v>288</v>
      </c>
    </row>
    <row r="822" spans="1:42" ht="15.75" customHeight="1" x14ac:dyDescent="0.25">
      <c r="A822" s="37">
        <v>2019</v>
      </c>
      <c r="B822" s="35">
        <v>172049</v>
      </c>
      <c r="C822" s="34" t="s">
        <v>146</v>
      </c>
      <c r="D822" s="34" t="s">
        <v>130</v>
      </c>
      <c r="E822" s="17">
        <v>8</v>
      </c>
      <c r="F822" s="36">
        <f t="shared" si="258"/>
        <v>1.7660044150110375E-2</v>
      </c>
      <c r="G822" s="17">
        <v>4</v>
      </c>
      <c r="H822" s="36">
        <f t="shared" si="259"/>
        <v>2.0618556701030927E-2</v>
      </c>
      <c r="I822" s="17">
        <v>31</v>
      </c>
      <c r="J822" s="36">
        <f t="shared" si="260"/>
        <v>6.8432671081677707E-2</v>
      </c>
      <c r="K822" s="17">
        <v>10</v>
      </c>
      <c r="L822" s="36">
        <f t="shared" si="261"/>
        <v>5.1546391752577317E-2</v>
      </c>
      <c r="M822" s="17">
        <v>414</v>
      </c>
      <c r="N822" s="36">
        <f t="shared" si="269"/>
        <v>0.91390728476821192</v>
      </c>
      <c r="O822" s="17">
        <v>180</v>
      </c>
      <c r="P822" s="36">
        <f t="shared" si="262"/>
        <v>0.92783505154639179</v>
      </c>
      <c r="Q822" s="17">
        <v>7</v>
      </c>
      <c r="R822" s="36">
        <f t="shared" si="270"/>
        <v>1.5452538631346579E-2</v>
      </c>
      <c r="S822" s="17">
        <v>6</v>
      </c>
      <c r="T822" s="36">
        <f t="shared" si="263"/>
        <v>3.0927835051546393E-2</v>
      </c>
      <c r="U822" s="17">
        <v>25</v>
      </c>
      <c r="V822" s="36">
        <f t="shared" si="271"/>
        <v>5.518763796909492E-2</v>
      </c>
      <c r="W822" s="17">
        <v>14</v>
      </c>
      <c r="X822" s="36">
        <f t="shared" si="264"/>
        <v>7.2164948453608241E-2</v>
      </c>
      <c r="Y822" s="17">
        <v>301</v>
      </c>
      <c r="Z822" s="36">
        <f t="shared" si="272"/>
        <v>0.66445916114790282</v>
      </c>
      <c r="AA822" s="17">
        <v>121</v>
      </c>
      <c r="AB822" s="36">
        <f t="shared" si="265"/>
        <v>0.62371134020618557</v>
      </c>
      <c r="AC822" s="17">
        <v>79</v>
      </c>
      <c r="AD822" s="36">
        <f t="shared" si="273"/>
        <v>0.17439293598233996</v>
      </c>
      <c r="AE822" s="17">
        <v>40</v>
      </c>
      <c r="AF822" s="36">
        <f t="shared" si="266"/>
        <v>0.20618556701030927</v>
      </c>
      <c r="AG822" s="17">
        <v>36</v>
      </c>
      <c r="AH822" s="36">
        <f t="shared" si="274"/>
        <v>7.9470198675496692E-2</v>
      </c>
      <c r="AI822" s="17">
        <v>12</v>
      </c>
      <c r="AJ822" s="36">
        <f t="shared" si="267"/>
        <v>6.1855670103092786E-2</v>
      </c>
      <c r="AK822" s="17">
        <v>5</v>
      </c>
      <c r="AL822" s="36">
        <f t="shared" si="275"/>
        <v>1.1037527593818985E-2</v>
      </c>
      <c r="AM822" s="17">
        <v>1</v>
      </c>
      <c r="AN822" s="36">
        <f t="shared" si="268"/>
        <v>5.1546391752577319E-3</v>
      </c>
      <c r="AO822" s="17">
        <v>453</v>
      </c>
      <c r="AP822" s="17">
        <v>194</v>
      </c>
    </row>
    <row r="823" spans="1:42" ht="15.75" customHeight="1" x14ac:dyDescent="0.25">
      <c r="A823" s="37">
        <v>2019</v>
      </c>
      <c r="B823" s="35">
        <v>172065</v>
      </c>
      <c r="C823" s="34" t="s">
        <v>151</v>
      </c>
      <c r="D823" s="34" t="s">
        <v>131</v>
      </c>
      <c r="E823" s="17">
        <v>8</v>
      </c>
      <c r="F823" s="36">
        <f t="shared" si="258"/>
        <v>1.2698412698412698E-2</v>
      </c>
      <c r="G823" s="17">
        <v>6</v>
      </c>
      <c r="H823" s="36">
        <f t="shared" si="259"/>
        <v>1.8018018018018018E-2</v>
      </c>
      <c r="I823" s="17">
        <v>25</v>
      </c>
      <c r="J823" s="36">
        <f t="shared" si="260"/>
        <v>3.968253968253968E-2</v>
      </c>
      <c r="K823" s="17">
        <v>14</v>
      </c>
      <c r="L823" s="36">
        <f t="shared" si="261"/>
        <v>4.2042042042042045E-2</v>
      </c>
      <c r="M823" s="17">
        <v>597</v>
      </c>
      <c r="N823" s="36">
        <f t="shared" si="269"/>
        <v>0.94761904761904758</v>
      </c>
      <c r="O823" s="17">
        <v>313</v>
      </c>
      <c r="P823" s="36">
        <f t="shared" si="262"/>
        <v>0.93993993993993996</v>
      </c>
      <c r="Q823" s="17">
        <v>7</v>
      </c>
      <c r="R823" s="36">
        <f t="shared" si="270"/>
        <v>1.1111111111111112E-2</v>
      </c>
      <c r="S823" s="17">
        <v>4</v>
      </c>
      <c r="T823" s="36">
        <f t="shared" si="263"/>
        <v>1.2012012012012012E-2</v>
      </c>
      <c r="U823" s="17">
        <v>37</v>
      </c>
      <c r="V823" s="36">
        <f t="shared" si="271"/>
        <v>5.873015873015873E-2</v>
      </c>
      <c r="W823" s="17">
        <v>19</v>
      </c>
      <c r="X823" s="36">
        <f t="shared" si="264"/>
        <v>5.7057057057057055E-2</v>
      </c>
      <c r="Y823" s="17">
        <v>438</v>
      </c>
      <c r="Z823" s="36">
        <f t="shared" si="272"/>
        <v>0.69523809523809521</v>
      </c>
      <c r="AA823" s="17">
        <v>223</v>
      </c>
      <c r="AB823" s="36">
        <f t="shared" si="265"/>
        <v>0.66966966966966968</v>
      </c>
      <c r="AC823" s="17">
        <v>86</v>
      </c>
      <c r="AD823" s="36">
        <f t="shared" si="273"/>
        <v>0.13650793650793649</v>
      </c>
      <c r="AE823" s="17">
        <v>50</v>
      </c>
      <c r="AF823" s="36">
        <f t="shared" si="266"/>
        <v>0.15015015015015015</v>
      </c>
      <c r="AG823" s="17">
        <v>50</v>
      </c>
      <c r="AH823" s="36">
        <f t="shared" si="274"/>
        <v>7.9365079365079361E-2</v>
      </c>
      <c r="AI823" s="17">
        <v>31</v>
      </c>
      <c r="AJ823" s="36">
        <f t="shared" si="267"/>
        <v>9.3093093093093091E-2</v>
      </c>
      <c r="AK823" s="17">
        <v>12</v>
      </c>
      <c r="AL823" s="36">
        <f t="shared" si="275"/>
        <v>1.9047619047619049E-2</v>
      </c>
      <c r="AM823" s="17">
        <v>6</v>
      </c>
      <c r="AN823" s="36">
        <f t="shared" si="268"/>
        <v>1.8018018018018018E-2</v>
      </c>
      <c r="AO823" s="17">
        <v>630</v>
      </c>
      <c r="AP823" s="17">
        <v>333</v>
      </c>
    </row>
    <row r="824" spans="1:42" ht="15.75" customHeight="1" x14ac:dyDescent="0.25">
      <c r="A824" s="37">
        <v>2019</v>
      </c>
      <c r="B824" s="35">
        <v>172080</v>
      </c>
      <c r="C824" s="34" t="s">
        <v>145</v>
      </c>
      <c r="D824" s="34" t="s">
        <v>132</v>
      </c>
      <c r="E824" s="17">
        <v>35</v>
      </c>
      <c r="F824" s="36">
        <f t="shared" si="258"/>
        <v>2.766798418972332E-2</v>
      </c>
      <c r="G824" s="17">
        <v>24</v>
      </c>
      <c r="H824" s="36">
        <f t="shared" si="259"/>
        <v>5.4919908466819219E-2</v>
      </c>
      <c r="I824" s="17">
        <v>105</v>
      </c>
      <c r="J824" s="36">
        <f t="shared" si="260"/>
        <v>8.3003952569169967E-2</v>
      </c>
      <c r="K824" s="17">
        <v>42</v>
      </c>
      <c r="L824" s="36">
        <f t="shared" si="261"/>
        <v>9.6109839816933634E-2</v>
      </c>
      <c r="M824" s="16">
        <v>1125</v>
      </c>
      <c r="N824" s="36">
        <f t="shared" si="269"/>
        <v>0.88932806324110669</v>
      </c>
      <c r="O824" s="17">
        <v>371</v>
      </c>
      <c r="P824" s="36">
        <f t="shared" si="262"/>
        <v>0.84897025171624718</v>
      </c>
      <c r="Q824" s="17">
        <v>15</v>
      </c>
      <c r="R824" s="36">
        <f t="shared" si="270"/>
        <v>1.1857707509881422E-2</v>
      </c>
      <c r="S824" s="17">
        <v>11</v>
      </c>
      <c r="T824" s="36">
        <f t="shared" si="263"/>
        <v>2.5171624713958809E-2</v>
      </c>
      <c r="U824" s="17">
        <v>62</v>
      </c>
      <c r="V824" s="36">
        <f t="shared" si="271"/>
        <v>4.9011857707509883E-2</v>
      </c>
      <c r="W824" s="17">
        <v>21</v>
      </c>
      <c r="X824" s="36">
        <f t="shared" si="264"/>
        <v>4.8054919908466817E-2</v>
      </c>
      <c r="Y824" s="17">
        <v>953</v>
      </c>
      <c r="Z824" s="36">
        <f t="shared" si="272"/>
        <v>0.75335968379446638</v>
      </c>
      <c r="AA824" s="17">
        <v>332</v>
      </c>
      <c r="AB824" s="36">
        <f t="shared" si="265"/>
        <v>0.7597254004576659</v>
      </c>
      <c r="AC824" s="17">
        <v>162</v>
      </c>
      <c r="AD824" s="36">
        <f t="shared" si="273"/>
        <v>0.12806324110671938</v>
      </c>
      <c r="AE824" s="17">
        <v>55</v>
      </c>
      <c r="AF824" s="36">
        <f t="shared" si="266"/>
        <v>0.12585812356979406</v>
      </c>
      <c r="AG824" s="17">
        <v>64</v>
      </c>
      <c r="AH824" s="36">
        <f t="shared" si="274"/>
        <v>5.059288537549407E-2</v>
      </c>
      <c r="AI824" s="17">
        <v>14</v>
      </c>
      <c r="AJ824" s="36">
        <f t="shared" si="267"/>
        <v>3.2036613272311214E-2</v>
      </c>
      <c r="AK824" s="17">
        <v>9</v>
      </c>
      <c r="AL824" s="36">
        <f t="shared" si="275"/>
        <v>7.1146245059288534E-3</v>
      </c>
      <c r="AM824" s="17">
        <v>4</v>
      </c>
      <c r="AN824" s="36">
        <f t="shared" si="268"/>
        <v>9.1533180778032037E-3</v>
      </c>
      <c r="AO824" s="16">
        <v>1265</v>
      </c>
      <c r="AP824" s="17">
        <v>437</v>
      </c>
    </row>
    <row r="825" spans="1:42" ht="15.75" customHeight="1" x14ac:dyDescent="0.25">
      <c r="A825" s="37">
        <v>2019</v>
      </c>
      <c r="B825" s="35">
        <v>172085</v>
      </c>
      <c r="C825" s="34" t="s">
        <v>146</v>
      </c>
      <c r="D825" s="34" t="s">
        <v>133</v>
      </c>
      <c r="E825" s="17">
        <v>1</v>
      </c>
      <c r="F825" s="36">
        <f t="shared" si="258"/>
        <v>3.8910505836575876E-3</v>
      </c>
      <c r="G825" s="17">
        <v>0</v>
      </c>
      <c r="H825" s="36">
        <f t="shared" si="259"/>
        <v>0</v>
      </c>
      <c r="I825" s="17">
        <v>8</v>
      </c>
      <c r="J825" s="36">
        <f t="shared" si="260"/>
        <v>3.1128404669260701E-2</v>
      </c>
      <c r="K825" s="17">
        <v>1</v>
      </c>
      <c r="L825" s="36">
        <f t="shared" si="261"/>
        <v>2.2727272727272728E-2</v>
      </c>
      <c r="M825" s="17">
        <v>248</v>
      </c>
      <c r="N825" s="36">
        <f t="shared" si="269"/>
        <v>0.96498054474708173</v>
      </c>
      <c r="O825" s="17">
        <v>43</v>
      </c>
      <c r="P825" s="36">
        <f t="shared" si="262"/>
        <v>0.97727272727272729</v>
      </c>
      <c r="Q825" s="17">
        <v>8</v>
      </c>
      <c r="R825" s="36">
        <f t="shared" si="270"/>
        <v>3.1128404669260701E-2</v>
      </c>
      <c r="S825" s="17">
        <v>2</v>
      </c>
      <c r="T825" s="36">
        <f t="shared" si="263"/>
        <v>4.5454545454545456E-2</v>
      </c>
      <c r="U825" s="17">
        <v>15</v>
      </c>
      <c r="V825" s="36">
        <f t="shared" si="271"/>
        <v>5.8365758754863814E-2</v>
      </c>
      <c r="W825" s="17">
        <v>2</v>
      </c>
      <c r="X825" s="36">
        <f t="shared" si="264"/>
        <v>4.5454545454545456E-2</v>
      </c>
      <c r="Y825" s="17">
        <v>179</v>
      </c>
      <c r="Z825" s="36">
        <f t="shared" si="272"/>
        <v>0.69649805447470814</v>
      </c>
      <c r="AA825" s="17">
        <v>32</v>
      </c>
      <c r="AB825" s="36">
        <f t="shared" si="265"/>
        <v>0.72727272727272729</v>
      </c>
      <c r="AC825" s="17">
        <v>35</v>
      </c>
      <c r="AD825" s="36">
        <f t="shared" si="273"/>
        <v>0.13618677042801555</v>
      </c>
      <c r="AE825" s="17">
        <v>5</v>
      </c>
      <c r="AF825" s="36">
        <f t="shared" si="266"/>
        <v>0.11363636363636363</v>
      </c>
      <c r="AG825" s="17">
        <v>15</v>
      </c>
      <c r="AH825" s="36">
        <f t="shared" si="274"/>
        <v>5.8365758754863814E-2</v>
      </c>
      <c r="AI825" s="17">
        <v>2</v>
      </c>
      <c r="AJ825" s="36">
        <f t="shared" si="267"/>
        <v>4.5454545454545456E-2</v>
      </c>
      <c r="AK825" s="17">
        <v>5</v>
      </c>
      <c r="AL825" s="36">
        <f t="shared" si="275"/>
        <v>1.9455252918287938E-2</v>
      </c>
      <c r="AM825" s="17">
        <v>1</v>
      </c>
      <c r="AN825" s="36">
        <f t="shared" si="268"/>
        <v>2.2727272727272728E-2</v>
      </c>
      <c r="AO825" s="17">
        <v>257</v>
      </c>
      <c r="AP825" s="17">
        <v>44</v>
      </c>
    </row>
    <row r="826" spans="1:42" ht="15.75" customHeight="1" x14ac:dyDescent="0.25">
      <c r="A826" s="37">
        <v>2019</v>
      </c>
      <c r="B826" s="35">
        <v>170825</v>
      </c>
      <c r="C826" s="34" t="s">
        <v>148</v>
      </c>
      <c r="D826" s="34" t="s">
        <v>134</v>
      </c>
      <c r="E826" s="17">
        <v>1</v>
      </c>
      <c r="F826" s="36">
        <f t="shared" si="258"/>
        <v>6.5359477124183009E-3</v>
      </c>
      <c r="G826" s="17">
        <v>1</v>
      </c>
      <c r="H826" s="36">
        <f t="shared" si="259"/>
        <v>8.0000000000000002E-3</v>
      </c>
      <c r="I826" s="17">
        <v>8</v>
      </c>
      <c r="J826" s="36">
        <f t="shared" si="260"/>
        <v>5.2287581699346407E-2</v>
      </c>
      <c r="K826" s="17">
        <v>8</v>
      </c>
      <c r="L826" s="36">
        <f t="shared" si="261"/>
        <v>6.4000000000000001E-2</v>
      </c>
      <c r="M826" s="17">
        <v>144</v>
      </c>
      <c r="N826" s="36">
        <f t="shared" si="269"/>
        <v>0.94117647058823528</v>
      </c>
      <c r="O826" s="17">
        <v>116</v>
      </c>
      <c r="P826" s="36">
        <f t="shared" si="262"/>
        <v>0.92800000000000005</v>
      </c>
      <c r="Q826" s="17">
        <v>4</v>
      </c>
      <c r="R826" s="36">
        <f t="shared" si="270"/>
        <v>2.6143790849673203E-2</v>
      </c>
      <c r="S826" s="17">
        <v>4</v>
      </c>
      <c r="T826" s="36">
        <f t="shared" si="263"/>
        <v>3.2000000000000001E-2</v>
      </c>
      <c r="U826" s="17">
        <v>3</v>
      </c>
      <c r="V826" s="36">
        <f t="shared" si="271"/>
        <v>1.9607843137254902E-2</v>
      </c>
      <c r="W826" s="17">
        <v>3</v>
      </c>
      <c r="X826" s="36">
        <f t="shared" si="264"/>
        <v>2.4E-2</v>
      </c>
      <c r="Y826" s="17">
        <v>102</v>
      </c>
      <c r="Z826" s="36">
        <f t="shared" si="272"/>
        <v>0.66666666666666663</v>
      </c>
      <c r="AA826" s="17">
        <v>83</v>
      </c>
      <c r="AB826" s="36">
        <f t="shared" si="265"/>
        <v>0.66400000000000003</v>
      </c>
      <c r="AC826" s="17">
        <v>27</v>
      </c>
      <c r="AD826" s="36">
        <f t="shared" si="273"/>
        <v>0.17647058823529413</v>
      </c>
      <c r="AE826" s="17">
        <v>24</v>
      </c>
      <c r="AF826" s="36">
        <f t="shared" si="266"/>
        <v>0.192</v>
      </c>
      <c r="AG826" s="17">
        <v>14</v>
      </c>
      <c r="AH826" s="36">
        <f t="shared" si="274"/>
        <v>9.1503267973856203E-2</v>
      </c>
      <c r="AI826" s="17">
        <v>10</v>
      </c>
      <c r="AJ826" s="36">
        <f t="shared" si="267"/>
        <v>0.08</v>
      </c>
      <c r="AK826" s="17">
        <v>3</v>
      </c>
      <c r="AL826" s="36">
        <f t="shared" si="275"/>
        <v>1.9607843137254902E-2</v>
      </c>
      <c r="AM826" s="17">
        <v>1</v>
      </c>
      <c r="AN826" s="36">
        <f t="shared" si="268"/>
        <v>8.0000000000000002E-3</v>
      </c>
      <c r="AO826" s="17">
        <v>153</v>
      </c>
      <c r="AP826" s="17">
        <v>125</v>
      </c>
    </row>
    <row r="827" spans="1:42" ht="15.75" customHeight="1" x14ac:dyDescent="0.25">
      <c r="A827" s="37">
        <v>2019</v>
      </c>
      <c r="B827" s="35">
        <v>172090</v>
      </c>
      <c r="C827" s="34" t="s">
        <v>147</v>
      </c>
      <c r="D827" s="34" t="s">
        <v>135</v>
      </c>
      <c r="E827" s="17">
        <v>14</v>
      </c>
      <c r="F827" s="36">
        <f t="shared" si="258"/>
        <v>2.5547445255474453E-2</v>
      </c>
      <c r="G827" s="17">
        <v>14</v>
      </c>
      <c r="H827" s="36">
        <f t="shared" si="259"/>
        <v>2.6119402985074626E-2</v>
      </c>
      <c r="I827" s="17">
        <v>41</v>
      </c>
      <c r="J827" s="36">
        <f t="shared" si="260"/>
        <v>7.4817518248175188E-2</v>
      </c>
      <c r="K827" s="17">
        <v>41</v>
      </c>
      <c r="L827" s="36">
        <f t="shared" si="261"/>
        <v>7.6492537313432835E-2</v>
      </c>
      <c r="M827" s="17">
        <v>493</v>
      </c>
      <c r="N827" s="36">
        <f t="shared" si="269"/>
        <v>0.89963503649635035</v>
      </c>
      <c r="O827" s="17">
        <v>481</v>
      </c>
      <c r="P827" s="36">
        <f t="shared" si="262"/>
        <v>0.89738805970149249</v>
      </c>
      <c r="Q827" s="17">
        <v>11</v>
      </c>
      <c r="R827" s="36">
        <f t="shared" si="270"/>
        <v>2.0072992700729927E-2</v>
      </c>
      <c r="S827" s="17">
        <v>11</v>
      </c>
      <c r="T827" s="36">
        <f t="shared" si="263"/>
        <v>2.0522388059701493E-2</v>
      </c>
      <c r="U827" s="17">
        <v>16</v>
      </c>
      <c r="V827" s="36">
        <f t="shared" si="271"/>
        <v>2.9197080291970802E-2</v>
      </c>
      <c r="W827" s="17">
        <v>16</v>
      </c>
      <c r="X827" s="36">
        <f t="shared" si="264"/>
        <v>2.9850746268656716E-2</v>
      </c>
      <c r="Y827" s="17">
        <v>380</v>
      </c>
      <c r="Z827" s="36">
        <f t="shared" si="272"/>
        <v>0.69343065693430661</v>
      </c>
      <c r="AA827" s="17">
        <v>376</v>
      </c>
      <c r="AB827" s="36">
        <f t="shared" si="265"/>
        <v>0.70149253731343286</v>
      </c>
      <c r="AC827" s="17">
        <v>93</v>
      </c>
      <c r="AD827" s="36">
        <f t="shared" si="273"/>
        <v>0.16970802919708028</v>
      </c>
      <c r="AE827" s="17">
        <v>91</v>
      </c>
      <c r="AF827" s="36">
        <f t="shared" si="266"/>
        <v>0.16977611940298507</v>
      </c>
      <c r="AG827" s="17">
        <v>38</v>
      </c>
      <c r="AH827" s="36">
        <f t="shared" si="274"/>
        <v>6.9343065693430656E-2</v>
      </c>
      <c r="AI827" s="17">
        <v>33</v>
      </c>
      <c r="AJ827" s="36">
        <f t="shared" si="267"/>
        <v>6.1567164179104475E-2</v>
      </c>
      <c r="AK827" s="17">
        <v>10</v>
      </c>
      <c r="AL827" s="36">
        <f t="shared" si="275"/>
        <v>1.824817518248175E-2</v>
      </c>
      <c r="AM827" s="17">
        <v>9</v>
      </c>
      <c r="AN827" s="36">
        <f t="shared" si="268"/>
        <v>1.6791044776119403E-2</v>
      </c>
      <c r="AO827" s="17">
        <v>548</v>
      </c>
      <c r="AP827" s="17">
        <v>536</v>
      </c>
    </row>
    <row r="828" spans="1:42" ht="15.75" customHeight="1" x14ac:dyDescent="0.25">
      <c r="A828" s="37">
        <v>2019</v>
      </c>
      <c r="B828" s="35">
        <v>172093</v>
      </c>
      <c r="C828" s="34" t="s">
        <v>147</v>
      </c>
      <c r="D828" s="34" t="s">
        <v>136</v>
      </c>
      <c r="E828" s="17">
        <v>0</v>
      </c>
      <c r="F828" s="36">
        <f t="shared" si="258"/>
        <v>0</v>
      </c>
      <c r="G828" s="17">
        <v>0</v>
      </c>
      <c r="H828" s="36">
        <f t="shared" si="259"/>
        <v>0</v>
      </c>
      <c r="I828" s="17">
        <v>4</v>
      </c>
      <c r="J828" s="36">
        <f t="shared" si="260"/>
        <v>3.125E-2</v>
      </c>
      <c r="K828" s="17">
        <v>2</v>
      </c>
      <c r="L828" s="36">
        <f t="shared" si="261"/>
        <v>2.3255813953488372E-2</v>
      </c>
      <c r="M828" s="17">
        <v>124</v>
      </c>
      <c r="N828" s="36">
        <f t="shared" si="269"/>
        <v>0.96875</v>
      </c>
      <c r="O828" s="17">
        <v>84</v>
      </c>
      <c r="P828" s="36">
        <f t="shared" si="262"/>
        <v>0.97674418604651159</v>
      </c>
      <c r="Q828" s="17">
        <v>2</v>
      </c>
      <c r="R828" s="36">
        <f t="shared" si="270"/>
        <v>1.5625E-2</v>
      </c>
      <c r="S828" s="17">
        <v>0</v>
      </c>
      <c r="T828" s="36">
        <f t="shared" si="263"/>
        <v>0</v>
      </c>
      <c r="U828" s="17">
        <v>5</v>
      </c>
      <c r="V828" s="36">
        <f t="shared" si="271"/>
        <v>3.90625E-2</v>
      </c>
      <c r="W828" s="17">
        <v>3</v>
      </c>
      <c r="X828" s="36">
        <f t="shared" si="264"/>
        <v>3.4883720930232558E-2</v>
      </c>
      <c r="Y828" s="17">
        <v>84</v>
      </c>
      <c r="Z828" s="36">
        <f t="shared" si="272"/>
        <v>0.65625</v>
      </c>
      <c r="AA828" s="17">
        <v>60</v>
      </c>
      <c r="AB828" s="36">
        <f t="shared" si="265"/>
        <v>0.69767441860465118</v>
      </c>
      <c r="AC828" s="17">
        <v>22</v>
      </c>
      <c r="AD828" s="36">
        <f t="shared" si="273"/>
        <v>0.171875</v>
      </c>
      <c r="AE828" s="17">
        <v>11</v>
      </c>
      <c r="AF828" s="36">
        <f t="shared" si="266"/>
        <v>0.12790697674418605</v>
      </c>
      <c r="AG828" s="17">
        <v>14</v>
      </c>
      <c r="AH828" s="36">
        <f t="shared" si="274"/>
        <v>0.109375</v>
      </c>
      <c r="AI828" s="17">
        <v>11</v>
      </c>
      <c r="AJ828" s="36">
        <f t="shared" si="267"/>
        <v>0.12790697674418605</v>
      </c>
      <c r="AK828" s="17">
        <v>1</v>
      </c>
      <c r="AL828" s="36">
        <f t="shared" si="275"/>
        <v>7.8125E-3</v>
      </c>
      <c r="AM828" s="17">
        <v>1</v>
      </c>
      <c r="AN828" s="36">
        <f t="shared" si="268"/>
        <v>1.1627906976744186E-2</v>
      </c>
      <c r="AO828" s="17">
        <v>128</v>
      </c>
      <c r="AP828" s="17">
        <v>86</v>
      </c>
    </row>
    <row r="829" spans="1:42" ht="15.75" customHeight="1" x14ac:dyDescent="0.25">
      <c r="A829" s="37">
        <v>2019</v>
      </c>
      <c r="B829" s="35">
        <v>172097</v>
      </c>
      <c r="C829" s="34" t="s">
        <v>146</v>
      </c>
      <c r="D829" s="34" t="s">
        <v>137</v>
      </c>
      <c r="E829" s="17">
        <v>3</v>
      </c>
      <c r="F829" s="36">
        <f t="shared" si="258"/>
        <v>1.0067114093959731E-2</v>
      </c>
      <c r="G829" s="17">
        <v>4</v>
      </c>
      <c r="H829" s="36">
        <f t="shared" si="259"/>
        <v>4.878048780487805E-2</v>
      </c>
      <c r="I829" s="17">
        <v>10</v>
      </c>
      <c r="J829" s="36">
        <f t="shared" si="260"/>
        <v>3.3557046979865772E-2</v>
      </c>
      <c r="K829" s="17">
        <v>2</v>
      </c>
      <c r="L829" s="36">
        <f t="shared" si="261"/>
        <v>2.4390243902439025E-2</v>
      </c>
      <c r="M829" s="17">
        <v>285</v>
      </c>
      <c r="N829" s="36">
        <f t="shared" si="269"/>
        <v>0.9563758389261745</v>
      </c>
      <c r="O829" s="17">
        <v>76</v>
      </c>
      <c r="P829" s="36">
        <f t="shared" si="262"/>
        <v>0.92682926829268297</v>
      </c>
      <c r="Q829" s="17">
        <v>1</v>
      </c>
      <c r="R829" s="36">
        <f t="shared" si="270"/>
        <v>3.3557046979865771E-3</v>
      </c>
      <c r="S829" s="17">
        <v>1</v>
      </c>
      <c r="T829" s="36">
        <f t="shared" si="263"/>
        <v>1.2195121951219513E-2</v>
      </c>
      <c r="U829" s="17">
        <v>14</v>
      </c>
      <c r="V829" s="36">
        <f t="shared" si="271"/>
        <v>4.6979865771812082E-2</v>
      </c>
      <c r="W829" s="17">
        <v>3</v>
      </c>
      <c r="X829" s="36">
        <f t="shared" si="264"/>
        <v>3.6585365853658534E-2</v>
      </c>
      <c r="Y829" s="17">
        <v>188</v>
      </c>
      <c r="Z829" s="36">
        <f t="shared" si="272"/>
        <v>0.63087248322147649</v>
      </c>
      <c r="AA829" s="17">
        <v>56</v>
      </c>
      <c r="AB829" s="36">
        <f t="shared" si="265"/>
        <v>0.68292682926829273</v>
      </c>
      <c r="AC829" s="17">
        <v>61</v>
      </c>
      <c r="AD829" s="36">
        <f t="shared" si="273"/>
        <v>0.20469798657718122</v>
      </c>
      <c r="AE829" s="17">
        <v>14</v>
      </c>
      <c r="AF829" s="36">
        <f t="shared" si="266"/>
        <v>0.17073170731707318</v>
      </c>
      <c r="AG829" s="17">
        <v>27</v>
      </c>
      <c r="AH829" s="36">
        <f t="shared" si="274"/>
        <v>9.0604026845637578E-2</v>
      </c>
      <c r="AI829" s="17">
        <v>6</v>
      </c>
      <c r="AJ829" s="36">
        <f t="shared" si="267"/>
        <v>7.3170731707317069E-2</v>
      </c>
      <c r="AK829" s="17">
        <v>7</v>
      </c>
      <c r="AL829" s="36">
        <f t="shared" si="275"/>
        <v>2.3489932885906041E-2</v>
      </c>
      <c r="AM829" s="17">
        <v>2</v>
      </c>
      <c r="AN829" s="36">
        <f t="shared" si="268"/>
        <v>2.4390243902439025E-2</v>
      </c>
      <c r="AO829" s="17">
        <v>298</v>
      </c>
      <c r="AP829" s="17">
        <v>82</v>
      </c>
    </row>
    <row r="830" spans="1:42" ht="15.75" customHeight="1" x14ac:dyDescent="0.25">
      <c r="A830" s="37">
        <v>2019</v>
      </c>
      <c r="B830" s="35">
        <v>172110</v>
      </c>
      <c r="C830" s="34" t="s">
        <v>148</v>
      </c>
      <c r="D830" s="34" t="s">
        <v>138</v>
      </c>
      <c r="E830" s="17">
        <v>22</v>
      </c>
      <c r="F830" s="36">
        <f t="shared" si="258"/>
        <v>3.2352941176470591E-2</v>
      </c>
      <c r="G830" s="17">
        <v>18</v>
      </c>
      <c r="H830" s="36">
        <f t="shared" si="259"/>
        <v>3.1746031746031744E-2</v>
      </c>
      <c r="I830" s="17">
        <v>21</v>
      </c>
      <c r="J830" s="36">
        <f t="shared" si="260"/>
        <v>3.0882352941176472E-2</v>
      </c>
      <c r="K830" s="17">
        <v>20</v>
      </c>
      <c r="L830" s="36">
        <f t="shared" si="261"/>
        <v>3.5273368606701938E-2</v>
      </c>
      <c r="M830" s="17">
        <v>637</v>
      </c>
      <c r="N830" s="36">
        <f t="shared" si="269"/>
        <v>0.93676470588235294</v>
      </c>
      <c r="O830" s="17">
        <v>529</v>
      </c>
      <c r="P830" s="36">
        <f t="shared" si="262"/>
        <v>0.93298059964726632</v>
      </c>
      <c r="Q830" s="17">
        <v>6</v>
      </c>
      <c r="R830" s="36">
        <f t="shared" si="270"/>
        <v>8.8235294117647058E-3</v>
      </c>
      <c r="S830" s="17">
        <v>5</v>
      </c>
      <c r="T830" s="36">
        <f t="shared" si="263"/>
        <v>8.8183421516754845E-3</v>
      </c>
      <c r="U830" s="17">
        <v>17</v>
      </c>
      <c r="V830" s="36">
        <f t="shared" si="271"/>
        <v>2.5000000000000001E-2</v>
      </c>
      <c r="W830" s="17">
        <v>13</v>
      </c>
      <c r="X830" s="36">
        <f t="shared" si="264"/>
        <v>2.292768959435626E-2</v>
      </c>
      <c r="Y830" s="17">
        <v>453</v>
      </c>
      <c r="Z830" s="36">
        <f t="shared" si="272"/>
        <v>0.66617647058823526</v>
      </c>
      <c r="AA830" s="17">
        <v>375</v>
      </c>
      <c r="AB830" s="36">
        <f t="shared" si="265"/>
        <v>0.66137566137566139</v>
      </c>
      <c r="AC830" s="17">
        <v>153</v>
      </c>
      <c r="AD830" s="36">
        <f t="shared" si="273"/>
        <v>0.22500000000000001</v>
      </c>
      <c r="AE830" s="17">
        <v>132</v>
      </c>
      <c r="AF830" s="36">
        <f t="shared" si="266"/>
        <v>0.23280423280423279</v>
      </c>
      <c r="AG830" s="17">
        <v>45</v>
      </c>
      <c r="AH830" s="36">
        <f t="shared" si="274"/>
        <v>6.6176470588235295E-2</v>
      </c>
      <c r="AI830" s="17">
        <v>39</v>
      </c>
      <c r="AJ830" s="36">
        <f t="shared" si="267"/>
        <v>6.8783068783068779E-2</v>
      </c>
      <c r="AK830" s="17">
        <v>6</v>
      </c>
      <c r="AL830" s="36">
        <f t="shared" si="275"/>
        <v>8.8235294117647058E-3</v>
      </c>
      <c r="AM830" s="17">
        <v>3</v>
      </c>
      <c r="AN830" s="36">
        <f t="shared" si="268"/>
        <v>5.2910052910052907E-3</v>
      </c>
      <c r="AO830" s="17">
        <v>680</v>
      </c>
      <c r="AP830" s="17">
        <v>567</v>
      </c>
    </row>
    <row r="831" spans="1:42" ht="15.75" customHeight="1" x14ac:dyDescent="0.25">
      <c r="A831" s="37">
        <v>2019</v>
      </c>
      <c r="B831" s="35">
        <v>172120</v>
      </c>
      <c r="C831" s="34" t="s">
        <v>145</v>
      </c>
      <c r="D831" s="34" t="s">
        <v>139</v>
      </c>
      <c r="E831" s="17">
        <v>46</v>
      </c>
      <c r="F831" s="36">
        <f t="shared" si="258"/>
        <v>3.0585106382978722E-2</v>
      </c>
      <c r="G831" s="17">
        <v>30</v>
      </c>
      <c r="H831" s="36">
        <f t="shared" si="259"/>
        <v>3.215434083601286E-2</v>
      </c>
      <c r="I831" s="17">
        <v>106</v>
      </c>
      <c r="J831" s="36">
        <f t="shared" si="260"/>
        <v>7.0478723404255317E-2</v>
      </c>
      <c r="K831" s="17">
        <v>62</v>
      </c>
      <c r="L831" s="36">
        <f t="shared" si="261"/>
        <v>6.6452304394426578E-2</v>
      </c>
      <c r="M831" s="16">
        <v>1352</v>
      </c>
      <c r="N831" s="36">
        <f t="shared" si="269"/>
        <v>0.89893617021276595</v>
      </c>
      <c r="O831" s="17">
        <v>841</v>
      </c>
      <c r="P831" s="36">
        <f t="shared" si="262"/>
        <v>0.90139335476956051</v>
      </c>
      <c r="Q831" s="17">
        <v>18</v>
      </c>
      <c r="R831" s="36">
        <f t="shared" si="270"/>
        <v>1.1968085106382979E-2</v>
      </c>
      <c r="S831" s="17">
        <v>11</v>
      </c>
      <c r="T831" s="36">
        <f t="shared" si="263"/>
        <v>1.1789924973204717E-2</v>
      </c>
      <c r="U831" s="17">
        <v>47</v>
      </c>
      <c r="V831" s="36">
        <f t="shared" si="271"/>
        <v>3.125E-2</v>
      </c>
      <c r="W831" s="17">
        <v>20</v>
      </c>
      <c r="X831" s="36">
        <f t="shared" si="264"/>
        <v>2.1436227224008574E-2</v>
      </c>
      <c r="Y831" s="16">
        <v>1102</v>
      </c>
      <c r="Z831" s="36">
        <f t="shared" si="272"/>
        <v>0.73271276595744683</v>
      </c>
      <c r="AA831" s="17">
        <v>703</v>
      </c>
      <c r="AB831" s="36">
        <f t="shared" si="265"/>
        <v>0.75348338692390138</v>
      </c>
      <c r="AC831" s="17">
        <v>243</v>
      </c>
      <c r="AD831" s="36">
        <f t="shared" si="273"/>
        <v>0.16156914893617022</v>
      </c>
      <c r="AE831" s="17">
        <v>150</v>
      </c>
      <c r="AF831" s="36">
        <f t="shared" si="266"/>
        <v>0.16077170418006431</v>
      </c>
      <c r="AG831" s="17">
        <v>74</v>
      </c>
      <c r="AH831" s="36">
        <f t="shared" si="274"/>
        <v>4.920212765957447E-2</v>
      </c>
      <c r="AI831" s="17">
        <v>33</v>
      </c>
      <c r="AJ831" s="36">
        <f t="shared" si="267"/>
        <v>3.5369774919614148E-2</v>
      </c>
      <c r="AK831" s="17">
        <v>20</v>
      </c>
      <c r="AL831" s="36">
        <f t="shared" si="275"/>
        <v>1.3297872340425532E-2</v>
      </c>
      <c r="AM831" s="17">
        <v>16</v>
      </c>
      <c r="AN831" s="36">
        <f t="shared" si="268"/>
        <v>1.7148981779206859E-2</v>
      </c>
      <c r="AO831" s="16">
        <v>1504</v>
      </c>
      <c r="AP831" s="17">
        <v>933</v>
      </c>
    </row>
    <row r="832" spans="1:42" ht="15.75" customHeight="1" x14ac:dyDescent="0.25">
      <c r="A832" s="37">
        <v>2019</v>
      </c>
      <c r="B832" s="35">
        <v>172125</v>
      </c>
      <c r="C832" s="34" t="s">
        <v>150</v>
      </c>
      <c r="D832" s="34" t="s">
        <v>140</v>
      </c>
      <c r="E832" s="17">
        <v>2</v>
      </c>
      <c r="F832" s="36">
        <f t="shared" si="258"/>
        <v>1.0471204188481676E-2</v>
      </c>
      <c r="G832" s="17">
        <v>0</v>
      </c>
      <c r="H832" s="36">
        <f t="shared" si="259"/>
        <v>0</v>
      </c>
      <c r="I832" s="17">
        <v>8</v>
      </c>
      <c r="J832" s="36">
        <f t="shared" si="260"/>
        <v>4.1884816753926704E-2</v>
      </c>
      <c r="K832" s="17">
        <v>3</v>
      </c>
      <c r="L832" s="36">
        <f t="shared" si="261"/>
        <v>8.8235294117647065E-2</v>
      </c>
      <c r="M832" s="17">
        <v>181</v>
      </c>
      <c r="N832" s="36">
        <f t="shared" si="269"/>
        <v>0.94764397905759157</v>
      </c>
      <c r="O832" s="17">
        <v>31</v>
      </c>
      <c r="P832" s="36">
        <f t="shared" si="262"/>
        <v>0.91176470588235292</v>
      </c>
      <c r="Q832" s="17">
        <v>0</v>
      </c>
      <c r="R832" s="36">
        <f t="shared" si="270"/>
        <v>0</v>
      </c>
      <c r="S832" s="17">
        <v>1</v>
      </c>
      <c r="T832" s="36">
        <f t="shared" si="263"/>
        <v>2.9411764705882353E-2</v>
      </c>
      <c r="U832" s="17">
        <v>10</v>
      </c>
      <c r="V832" s="36">
        <f t="shared" si="271"/>
        <v>5.2356020942408377E-2</v>
      </c>
      <c r="W832" s="17">
        <v>2</v>
      </c>
      <c r="X832" s="36">
        <f t="shared" si="264"/>
        <v>5.8823529411764705E-2</v>
      </c>
      <c r="Y832" s="17">
        <v>138</v>
      </c>
      <c r="Z832" s="36">
        <f t="shared" si="272"/>
        <v>0.72251308900523559</v>
      </c>
      <c r="AA832" s="17">
        <v>21</v>
      </c>
      <c r="AB832" s="36">
        <f t="shared" si="265"/>
        <v>0.61764705882352944</v>
      </c>
      <c r="AC832" s="17">
        <v>24</v>
      </c>
      <c r="AD832" s="36">
        <f t="shared" si="273"/>
        <v>0.1256544502617801</v>
      </c>
      <c r="AE832" s="17">
        <v>6</v>
      </c>
      <c r="AF832" s="36">
        <f t="shared" si="266"/>
        <v>0.17647058823529413</v>
      </c>
      <c r="AG832" s="17">
        <v>18</v>
      </c>
      <c r="AH832" s="36">
        <f t="shared" si="274"/>
        <v>9.4240837696335081E-2</v>
      </c>
      <c r="AI832" s="17">
        <v>3</v>
      </c>
      <c r="AJ832" s="36">
        <f t="shared" si="267"/>
        <v>8.8235294117647065E-2</v>
      </c>
      <c r="AK832" s="17">
        <v>1</v>
      </c>
      <c r="AL832" s="36">
        <f t="shared" si="275"/>
        <v>5.235602094240838E-3</v>
      </c>
      <c r="AM832" s="17">
        <v>1</v>
      </c>
      <c r="AN832" s="36">
        <f t="shared" si="268"/>
        <v>2.9411764705882353E-2</v>
      </c>
      <c r="AO832" s="17">
        <v>191</v>
      </c>
      <c r="AP832" s="17">
        <v>34</v>
      </c>
    </row>
    <row r="833" spans="1:42" ht="15.75" customHeight="1" x14ac:dyDescent="0.25">
      <c r="A833" s="37">
        <v>2019</v>
      </c>
      <c r="B833" s="35">
        <v>172130</v>
      </c>
      <c r="C833" s="34" t="s">
        <v>150</v>
      </c>
      <c r="D833" s="34" t="s">
        <v>141</v>
      </c>
      <c r="E833" s="17">
        <v>0</v>
      </c>
      <c r="F833" s="36">
        <f t="shared" si="258"/>
        <v>0</v>
      </c>
      <c r="G833" s="17">
        <v>0</v>
      </c>
      <c r="H833" s="36">
        <f t="shared" si="259"/>
        <v>0</v>
      </c>
      <c r="I833" s="17">
        <v>12</v>
      </c>
      <c r="J833" s="36">
        <f t="shared" si="260"/>
        <v>8.8235294117647065E-2</v>
      </c>
      <c r="K833" s="17">
        <v>4</v>
      </c>
      <c r="L833" s="36">
        <f t="shared" si="261"/>
        <v>7.2727272727272724E-2</v>
      </c>
      <c r="M833" s="17">
        <v>124</v>
      </c>
      <c r="N833" s="36">
        <f t="shared" si="269"/>
        <v>0.91176470588235292</v>
      </c>
      <c r="O833" s="17">
        <v>51</v>
      </c>
      <c r="P833" s="36">
        <f t="shared" si="262"/>
        <v>0.92727272727272725</v>
      </c>
      <c r="Q833" s="17">
        <v>4</v>
      </c>
      <c r="R833" s="36">
        <f t="shared" si="270"/>
        <v>2.9411764705882353E-2</v>
      </c>
      <c r="S833" s="17">
        <v>2</v>
      </c>
      <c r="T833" s="36">
        <f t="shared" si="263"/>
        <v>3.6363636363636362E-2</v>
      </c>
      <c r="U833" s="17">
        <v>3</v>
      </c>
      <c r="V833" s="36">
        <f t="shared" si="271"/>
        <v>2.2058823529411766E-2</v>
      </c>
      <c r="W833" s="17">
        <v>1</v>
      </c>
      <c r="X833" s="36">
        <f t="shared" si="264"/>
        <v>1.8181818181818181E-2</v>
      </c>
      <c r="Y833" s="17">
        <v>98</v>
      </c>
      <c r="Z833" s="36">
        <f t="shared" si="272"/>
        <v>0.72058823529411764</v>
      </c>
      <c r="AA833" s="17">
        <v>39</v>
      </c>
      <c r="AB833" s="36">
        <f t="shared" si="265"/>
        <v>0.70909090909090911</v>
      </c>
      <c r="AC833" s="17">
        <v>19</v>
      </c>
      <c r="AD833" s="36">
        <f t="shared" si="273"/>
        <v>0.13970588235294118</v>
      </c>
      <c r="AE833" s="17">
        <v>9</v>
      </c>
      <c r="AF833" s="36">
        <f t="shared" si="266"/>
        <v>0.16363636363636364</v>
      </c>
      <c r="AG833" s="17">
        <v>11</v>
      </c>
      <c r="AH833" s="36">
        <f t="shared" si="274"/>
        <v>8.0882352941176475E-2</v>
      </c>
      <c r="AI833" s="17">
        <v>3</v>
      </c>
      <c r="AJ833" s="36">
        <f t="shared" si="267"/>
        <v>5.4545454545454543E-2</v>
      </c>
      <c r="AK833" s="17">
        <v>1</v>
      </c>
      <c r="AL833" s="36">
        <f t="shared" si="275"/>
        <v>7.3529411764705881E-3</v>
      </c>
      <c r="AM833" s="17">
        <v>1</v>
      </c>
      <c r="AN833" s="36">
        <f t="shared" si="268"/>
        <v>1.8181818181818181E-2</v>
      </c>
      <c r="AO833" s="17">
        <v>136</v>
      </c>
      <c r="AP833" s="17">
        <v>55</v>
      </c>
    </row>
    <row r="834" spans="1:42" ht="15.75" customHeight="1" x14ac:dyDescent="0.25">
      <c r="A834" s="37">
        <v>2019</v>
      </c>
      <c r="B834" s="35">
        <v>172208</v>
      </c>
      <c r="C834" s="34" t="s">
        <v>149</v>
      </c>
      <c r="D834" s="34" t="s">
        <v>142</v>
      </c>
      <c r="E834" s="17">
        <v>18</v>
      </c>
      <c r="F834" s="36">
        <f t="shared" ref="F834:F897" si="276">IFERROR(E834/$AO834,0)</f>
        <v>3.237410071942446E-2</v>
      </c>
      <c r="G834" s="17">
        <v>10</v>
      </c>
      <c r="H834" s="36">
        <f t="shared" ref="H834:H897" si="277">IFERROR(G834/$AP834,0)</f>
        <v>2.2624434389140271E-2</v>
      </c>
      <c r="I834" s="17">
        <v>35</v>
      </c>
      <c r="J834" s="36">
        <f t="shared" ref="J834:J897" si="278">IFERROR(I834/$AO834,0)</f>
        <v>6.2949640287769781E-2</v>
      </c>
      <c r="K834" s="17">
        <v>24</v>
      </c>
      <c r="L834" s="36">
        <f t="shared" ref="L834:L897" si="279">IFERROR(K834/$AP834,0)</f>
        <v>5.4298642533936653E-2</v>
      </c>
      <c r="M834" s="17">
        <v>503</v>
      </c>
      <c r="N834" s="36">
        <f t="shared" si="269"/>
        <v>0.90467625899280579</v>
      </c>
      <c r="O834" s="17">
        <v>408</v>
      </c>
      <c r="P834" s="36">
        <f t="shared" ref="P834:P897" si="280">IFERROR(O834/$AP834,0)</f>
        <v>0.92307692307692313</v>
      </c>
      <c r="Q834" s="17">
        <v>4</v>
      </c>
      <c r="R834" s="36">
        <f t="shared" si="270"/>
        <v>7.1942446043165471E-3</v>
      </c>
      <c r="S834" s="17">
        <v>2</v>
      </c>
      <c r="T834" s="36">
        <f t="shared" ref="T834:T897" si="281">IFERROR(S834/$AP834,0)</f>
        <v>4.5248868778280547E-3</v>
      </c>
      <c r="U834" s="17">
        <v>15</v>
      </c>
      <c r="V834" s="36">
        <f t="shared" si="271"/>
        <v>2.6978417266187049E-2</v>
      </c>
      <c r="W834" s="17">
        <v>14</v>
      </c>
      <c r="X834" s="36">
        <f t="shared" ref="X834:X897" si="282">IFERROR(W834/$AP834,0)</f>
        <v>3.1674208144796379E-2</v>
      </c>
      <c r="Y834" s="17">
        <v>399</v>
      </c>
      <c r="Z834" s="36">
        <f t="shared" si="272"/>
        <v>0.71762589928057552</v>
      </c>
      <c r="AA834" s="17">
        <v>325</v>
      </c>
      <c r="AB834" s="36">
        <f t="shared" ref="AB834:AB897" si="283">IFERROR(AA834/$AP834,0)</f>
        <v>0.73529411764705888</v>
      </c>
      <c r="AC834" s="17">
        <v>101</v>
      </c>
      <c r="AD834" s="36">
        <f t="shared" si="273"/>
        <v>0.18165467625899281</v>
      </c>
      <c r="AE834" s="17">
        <v>77</v>
      </c>
      <c r="AF834" s="36">
        <f t="shared" ref="AF834:AF897" si="284">IFERROR(AE834/$AP834,0)</f>
        <v>0.17420814479638008</v>
      </c>
      <c r="AG834" s="17">
        <v>32</v>
      </c>
      <c r="AH834" s="36">
        <f t="shared" si="274"/>
        <v>5.7553956834532377E-2</v>
      </c>
      <c r="AI834" s="17">
        <v>21</v>
      </c>
      <c r="AJ834" s="36">
        <f t="shared" ref="AJ834:AJ897" si="285">IFERROR(AI834/$AP834,0)</f>
        <v>4.7511312217194568E-2</v>
      </c>
      <c r="AK834" s="17">
        <v>5</v>
      </c>
      <c r="AL834" s="36">
        <f t="shared" si="275"/>
        <v>8.9928057553956831E-3</v>
      </c>
      <c r="AM834" s="17">
        <v>3</v>
      </c>
      <c r="AN834" s="36">
        <f t="shared" ref="AN834:AN897" si="286">IFERROR(AM834/$AP834,0)</f>
        <v>6.7873303167420816E-3</v>
      </c>
      <c r="AO834" s="17">
        <v>556</v>
      </c>
      <c r="AP834" s="17">
        <v>442</v>
      </c>
    </row>
    <row r="835" spans="1:42" ht="15.75" customHeight="1" x14ac:dyDescent="0.25">
      <c r="A835" s="37">
        <v>2019</v>
      </c>
      <c r="B835" s="35">
        <v>172210</v>
      </c>
      <c r="C835" s="34" t="s">
        <v>149</v>
      </c>
      <c r="D835" s="34" t="s">
        <v>143</v>
      </c>
      <c r="E835" s="17">
        <v>22</v>
      </c>
      <c r="F835" s="36">
        <f t="shared" si="276"/>
        <v>2.8132992327365727E-2</v>
      </c>
      <c r="G835" s="17">
        <v>8</v>
      </c>
      <c r="H835" s="36">
        <f t="shared" si="277"/>
        <v>1.873536299765808E-2</v>
      </c>
      <c r="I835" s="17">
        <v>35</v>
      </c>
      <c r="J835" s="36">
        <f t="shared" si="278"/>
        <v>4.4757033248081841E-2</v>
      </c>
      <c r="K835" s="17">
        <v>15</v>
      </c>
      <c r="L835" s="36">
        <f t="shared" si="279"/>
        <v>3.5128805620608897E-2</v>
      </c>
      <c r="M835" s="17">
        <v>725</v>
      </c>
      <c r="N835" s="36">
        <f t="shared" si="269"/>
        <v>0.92710997442455245</v>
      </c>
      <c r="O835" s="17">
        <v>404</v>
      </c>
      <c r="P835" s="36">
        <f t="shared" si="280"/>
        <v>0.94613583138173307</v>
      </c>
      <c r="Q835" s="17">
        <v>6</v>
      </c>
      <c r="R835" s="36">
        <f t="shared" si="270"/>
        <v>7.6726342710997444E-3</v>
      </c>
      <c r="S835" s="17">
        <v>3</v>
      </c>
      <c r="T835" s="36">
        <f t="shared" si="281"/>
        <v>7.0257611241217799E-3</v>
      </c>
      <c r="U835" s="17">
        <v>24</v>
      </c>
      <c r="V835" s="36">
        <f t="shared" si="271"/>
        <v>3.0690537084398978E-2</v>
      </c>
      <c r="W835" s="17">
        <v>11</v>
      </c>
      <c r="X835" s="36">
        <f t="shared" si="282"/>
        <v>2.576112412177986E-2</v>
      </c>
      <c r="Y835" s="17">
        <v>578</v>
      </c>
      <c r="Z835" s="36">
        <f t="shared" si="272"/>
        <v>0.73913043478260865</v>
      </c>
      <c r="AA835" s="17">
        <v>322</v>
      </c>
      <c r="AB835" s="36">
        <f t="shared" si="283"/>
        <v>0.75409836065573765</v>
      </c>
      <c r="AC835" s="17">
        <v>125</v>
      </c>
      <c r="AD835" s="36">
        <f t="shared" si="273"/>
        <v>0.15984654731457801</v>
      </c>
      <c r="AE835" s="17">
        <v>62</v>
      </c>
      <c r="AF835" s="36">
        <f t="shared" si="284"/>
        <v>0.14519906323185011</v>
      </c>
      <c r="AG835" s="17">
        <v>45</v>
      </c>
      <c r="AH835" s="36">
        <f t="shared" si="274"/>
        <v>5.754475703324808E-2</v>
      </c>
      <c r="AI835" s="17">
        <v>27</v>
      </c>
      <c r="AJ835" s="36">
        <f t="shared" si="285"/>
        <v>6.323185011709602E-2</v>
      </c>
      <c r="AK835" s="17">
        <v>4</v>
      </c>
      <c r="AL835" s="36">
        <f t="shared" si="275"/>
        <v>5.1150895140664966E-3</v>
      </c>
      <c r="AM835" s="17">
        <v>2</v>
      </c>
      <c r="AN835" s="36">
        <f t="shared" si="286"/>
        <v>4.6838407494145199E-3</v>
      </c>
      <c r="AO835" s="17">
        <v>782</v>
      </c>
      <c r="AP835" s="17">
        <v>427</v>
      </c>
    </row>
    <row r="836" spans="1:42" ht="15.75" customHeight="1" x14ac:dyDescent="0.25">
      <c r="A836" s="37">
        <v>2018</v>
      </c>
      <c r="B836" s="35">
        <v>170025</v>
      </c>
      <c r="C836" s="34" t="s">
        <v>144</v>
      </c>
      <c r="D836" s="34" t="s">
        <v>5</v>
      </c>
      <c r="E836" s="35"/>
      <c r="F836" s="36">
        <f t="shared" si="276"/>
        <v>0</v>
      </c>
      <c r="G836" s="38"/>
      <c r="H836" s="36">
        <f t="shared" si="277"/>
        <v>0</v>
      </c>
      <c r="I836" s="35"/>
      <c r="J836" s="36">
        <f t="shared" si="278"/>
        <v>0</v>
      </c>
      <c r="K836" s="38"/>
      <c r="L836" s="36">
        <f t="shared" si="279"/>
        <v>0</v>
      </c>
      <c r="M836" s="35"/>
      <c r="N836" s="36">
        <f t="shared" si="269"/>
        <v>0</v>
      </c>
      <c r="O836" s="38"/>
      <c r="P836" s="36">
        <f t="shared" si="280"/>
        <v>0</v>
      </c>
      <c r="Q836" s="35"/>
      <c r="R836" s="36">
        <f t="shared" si="270"/>
        <v>0</v>
      </c>
      <c r="S836" s="38"/>
      <c r="T836" s="36">
        <f t="shared" si="281"/>
        <v>0</v>
      </c>
      <c r="U836" s="35"/>
      <c r="V836" s="36">
        <f t="shared" si="271"/>
        <v>0</v>
      </c>
      <c r="W836" s="38"/>
      <c r="X836" s="36">
        <f t="shared" si="282"/>
        <v>0</v>
      </c>
      <c r="Y836" s="35"/>
      <c r="Z836" s="36">
        <f t="shared" si="272"/>
        <v>0</v>
      </c>
      <c r="AA836" s="38"/>
      <c r="AB836" s="36">
        <f t="shared" si="283"/>
        <v>0</v>
      </c>
      <c r="AC836" s="35"/>
      <c r="AD836" s="36">
        <f t="shared" si="273"/>
        <v>0</v>
      </c>
      <c r="AE836" s="38"/>
      <c r="AF836" s="36">
        <f t="shared" si="284"/>
        <v>0</v>
      </c>
      <c r="AG836" s="35"/>
      <c r="AH836" s="36">
        <f t="shared" si="274"/>
        <v>0</v>
      </c>
      <c r="AI836" s="38"/>
      <c r="AJ836" s="36">
        <f t="shared" si="285"/>
        <v>0</v>
      </c>
      <c r="AK836" s="35"/>
      <c r="AL836" s="36">
        <f t="shared" si="275"/>
        <v>0</v>
      </c>
      <c r="AM836" s="38"/>
      <c r="AN836" s="36">
        <f t="shared" si="286"/>
        <v>0</v>
      </c>
      <c r="AO836" s="35"/>
      <c r="AP836" s="38"/>
    </row>
    <row r="837" spans="1:42" ht="15.75" customHeight="1" x14ac:dyDescent="0.25">
      <c r="A837" s="37">
        <v>2018</v>
      </c>
      <c r="B837" s="35">
        <v>170030</v>
      </c>
      <c r="C837" s="34" t="s">
        <v>145</v>
      </c>
      <c r="D837" s="34" t="s">
        <v>6</v>
      </c>
      <c r="E837" s="35"/>
      <c r="F837" s="36">
        <f t="shared" si="276"/>
        <v>0</v>
      </c>
      <c r="G837" s="38"/>
      <c r="H837" s="36">
        <f t="shared" si="277"/>
        <v>0</v>
      </c>
      <c r="I837" s="35"/>
      <c r="J837" s="36">
        <f t="shared" si="278"/>
        <v>0</v>
      </c>
      <c r="K837" s="38"/>
      <c r="L837" s="36">
        <f t="shared" si="279"/>
        <v>0</v>
      </c>
      <c r="M837" s="35"/>
      <c r="N837" s="36">
        <f t="shared" si="269"/>
        <v>0</v>
      </c>
      <c r="O837" s="38"/>
      <c r="P837" s="36">
        <f t="shared" si="280"/>
        <v>0</v>
      </c>
      <c r="Q837" s="35"/>
      <c r="R837" s="36">
        <f t="shared" si="270"/>
        <v>0</v>
      </c>
      <c r="S837" s="38"/>
      <c r="T837" s="36">
        <f t="shared" si="281"/>
        <v>0</v>
      </c>
      <c r="U837" s="35"/>
      <c r="V837" s="36">
        <f t="shared" si="271"/>
        <v>0</v>
      </c>
      <c r="W837" s="38"/>
      <c r="X837" s="36">
        <f t="shared" si="282"/>
        <v>0</v>
      </c>
      <c r="Y837" s="35"/>
      <c r="Z837" s="36">
        <f t="shared" si="272"/>
        <v>0</v>
      </c>
      <c r="AA837" s="38"/>
      <c r="AB837" s="36">
        <f t="shared" si="283"/>
        <v>0</v>
      </c>
      <c r="AC837" s="35"/>
      <c r="AD837" s="36">
        <f t="shared" si="273"/>
        <v>0</v>
      </c>
      <c r="AE837" s="38"/>
      <c r="AF837" s="36">
        <f t="shared" si="284"/>
        <v>0</v>
      </c>
      <c r="AG837" s="35"/>
      <c r="AH837" s="36">
        <f t="shared" si="274"/>
        <v>0</v>
      </c>
      <c r="AI837" s="38"/>
      <c r="AJ837" s="36">
        <f t="shared" si="285"/>
        <v>0</v>
      </c>
      <c r="AK837" s="35"/>
      <c r="AL837" s="36">
        <f t="shared" si="275"/>
        <v>0</v>
      </c>
      <c r="AM837" s="38"/>
      <c r="AN837" s="36">
        <f t="shared" si="286"/>
        <v>0</v>
      </c>
      <c r="AO837" s="35"/>
      <c r="AP837" s="38"/>
    </row>
    <row r="838" spans="1:42" ht="15.75" customHeight="1" x14ac:dyDescent="0.25">
      <c r="A838" s="37">
        <v>2018</v>
      </c>
      <c r="B838" s="35">
        <v>170035</v>
      </c>
      <c r="C838" s="34" t="s">
        <v>146</v>
      </c>
      <c r="D838" s="34" t="s">
        <v>7</v>
      </c>
      <c r="E838" s="35"/>
      <c r="F838" s="36">
        <f t="shared" si="276"/>
        <v>0</v>
      </c>
      <c r="G838" s="38"/>
      <c r="H838" s="36">
        <f t="shared" si="277"/>
        <v>0</v>
      </c>
      <c r="I838" s="35"/>
      <c r="J838" s="36">
        <f t="shared" si="278"/>
        <v>0</v>
      </c>
      <c r="K838" s="38"/>
      <c r="L838" s="36">
        <f t="shared" si="279"/>
        <v>0</v>
      </c>
      <c r="M838" s="35"/>
      <c r="N838" s="36">
        <f t="shared" si="269"/>
        <v>0</v>
      </c>
      <c r="O838" s="38"/>
      <c r="P838" s="36">
        <f t="shared" si="280"/>
        <v>0</v>
      </c>
      <c r="Q838" s="35"/>
      <c r="R838" s="36">
        <f t="shared" si="270"/>
        <v>0</v>
      </c>
      <c r="S838" s="38"/>
      <c r="T838" s="36">
        <f t="shared" si="281"/>
        <v>0</v>
      </c>
      <c r="U838" s="35"/>
      <c r="V838" s="36">
        <f t="shared" si="271"/>
        <v>0</v>
      </c>
      <c r="W838" s="38"/>
      <c r="X838" s="36">
        <f t="shared" si="282"/>
        <v>0</v>
      </c>
      <c r="Y838" s="35"/>
      <c r="Z838" s="36">
        <f t="shared" si="272"/>
        <v>0</v>
      </c>
      <c r="AA838" s="38"/>
      <c r="AB838" s="36">
        <f t="shared" si="283"/>
        <v>0</v>
      </c>
      <c r="AC838" s="35"/>
      <c r="AD838" s="36">
        <f t="shared" si="273"/>
        <v>0</v>
      </c>
      <c r="AE838" s="38"/>
      <c r="AF838" s="36">
        <f t="shared" si="284"/>
        <v>0</v>
      </c>
      <c r="AG838" s="35"/>
      <c r="AH838" s="36">
        <f t="shared" si="274"/>
        <v>0</v>
      </c>
      <c r="AI838" s="38"/>
      <c r="AJ838" s="36">
        <f t="shared" si="285"/>
        <v>0</v>
      </c>
      <c r="AK838" s="35"/>
      <c r="AL838" s="36">
        <f t="shared" si="275"/>
        <v>0</v>
      </c>
      <c r="AM838" s="38"/>
      <c r="AN838" s="36">
        <f t="shared" si="286"/>
        <v>0</v>
      </c>
      <c r="AO838" s="35"/>
      <c r="AP838" s="38"/>
    </row>
    <row r="839" spans="1:42" ht="15.75" customHeight="1" x14ac:dyDescent="0.25">
      <c r="A839" s="37">
        <v>2018</v>
      </c>
      <c r="B839" s="35">
        <v>170040</v>
      </c>
      <c r="C839" s="34" t="s">
        <v>147</v>
      </c>
      <c r="D839" s="34" t="s">
        <v>8</v>
      </c>
      <c r="E839" s="35"/>
      <c r="F839" s="36">
        <f t="shared" si="276"/>
        <v>0</v>
      </c>
      <c r="G839" s="38"/>
      <c r="H839" s="36">
        <f t="shared" si="277"/>
        <v>0</v>
      </c>
      <c r="I839" s="35"/>
      <c r="J839" s="36">
        <f t="shared" si="278"/>
        <v>0</v>
      </c>
      <c r="K839" s="38"/>
      <c r="L839" s="36">
        <f t="shared" si="279"/>
        <v>0</v>
      </c>
      <c r="M839" s="35"/>
      <c r="N839" s="36">
        <f t="shared" si="269"/>
        <v>0</v>
      </c>
      <c r="O839" s="38"/>
      <c r="P839" s="36">
        <f t="shared" si="280"/>
        <v>0</v>
      </c>
      <c r="Q839" s="35"/>
      <c r="R839" s="36">
        <f t="shared" si="270"/>
        <v>0</v>
      </c>
      <c r="S839" s="38"/>
      <c r="T839" s="36">
        <f t="shared" si="281"/>
        <v>0</v>
      </c>
      <c r="U839" s="35"/>
      <c r="V839" s="36">
        <f t="shared" si="271"/>
        <v>0</v>
      </c>
      <c r="W839" s="38"/>
      <c r="X839" s="36">
        <f t="shared" si="282"/>
        <v>0</v>
      </c>
      <c r="Y839" s="35"/>
      <c r="Z839" s="36">
        <f t="shared" si="272"/>
        <v>0</v>
      </c>
      <c r="AA839" s="38"/>
      <c r="AB839" s="36">
        <f t="shared" si="283"/>
        <v>0</v>
      </c>
      <c r="AC839" s="35"/>
      <c r="AD839" s="36">
        <f t="shared" si="273"/>
        <v>0</v>
      </c>
      <c r="AE839" s="38"/>
      <c r="AF839" s="36">
        <f t="shared" si="284"/>
        <v>0</v>
      </c>
      <c r="AG839" s="35"/>
      <c r="AH839" s="36">
        <f t="shared" si="274"/>
        <v>0</v>
      </c>
      <c r="AI839" s="38"/>
      <c r="AJ839" s="36">
        <f t="shared" si="285"/>
        <v>0</v>
      </c>
      <c r="AK839" s="35"/>
      <c r="AL839" s="36">
        <f t="shared" si="275"/>
        <v>0</v>
      </c>
      <c r="AM839" s="38"/>
      <c r="AN839" s="36">
        <f t="shared" si="286"/>
        <v>0</v>
      </c>
      <c r="AO839" s="35"/>
      <c r="AP839" s="38"/>
    </row>
    <row r="840" spans="1:42" ht="15.75" customHeight="1" x14ac:dyDescent="0.25">
      <c r="A840" s="37">
        <v>2018</v>
      </c>
      <c r="B840" s="35">
        <v>170070</v>
      </c>
      <c r="C840" s="34" t="s">
        <v>146</v>
      </c>
      <c r="D840" s="34" t="s">
        <v>9</v>
      </c>
      <c r="E840" s="35"/>
      <c r="F840" s="36">
        <f t="shared" si="276"/>
        <v>0</v>
      </c>
      <c r="G840" s="38"/>
      <c r="H840" s="36">
        <f t="shared" si="277"/>
        <v>0</v>
      </c>
      <c r="I840" s="35"/>
      <c r="J840" s="36">
        <f t="shared" si="278"/>
        <v>0</v>
      </c>
      <c r="K840" s="38"/>
      <c r="L840" s="36">
        <f t="shared" si="279"/>
        <v>0</v>
      </c>
      <c r="M840" s="35"/>
      <c r="N840" s="36">
        <f t="shared" si="269"/>
        <v>0</v>
      </c>
      <c r="O840" s="38"/>
      <c r="P840" s="36">
        <f t="shared" si="280"/>
        <v>0</v>
      </c>
      <c r="Q840" s="35"/>
      <c r="R840" s="36">
        <f t="shared" si="270"/>
        <v>0</v>
      </c>
      <c r="S840" s="38"/>
      <c r="T840" s="36">
        <f t="shared" si="281"/>
        <v>0</v>
      </c>
      <c r="U840" s="35"/>
      <c r="V840" s="36">
        <f t="shared" si="271"/>
        <v>0</v>
      </c>
      <c r="W840" s="38"/>
      <c r="X840" s="36">
        <f t="shared" si="282"/>
        <v>0</v>
      </c>
      <c r="Y840" s="35"/>
      <c r="Z840" s="36">
        <f t="shared" si="272"/>
        <v>0</v>
      </c>
      <c r="AA840" s="38"/>
      <c r="AB840" s="36">
        <f t="shared" si="283"/>
        <v>0</v>
      </c>
      <c r="AC840" s="35"/>
      <c r="AD840" s="36">
        <f t="shared" si="273"/>
        <v>0</v>
      </c>
      <c r="AE840" s="38"/>
      <c r="AF840" s="36">
        <f t="shared" si="284"/>
        <v>0</v>
      </c>
      <c r="AG840" s="35"/>
      <c r="AH840" s="36">
        <f t="shared" si="274"/>
        <v>0</v>
      </c>
      <c r="AI840" s="38"/>
      <c r="AJ840" s="36">
        <f t="shared" si="285"/>
        <v>0</v>
      </c>
      <c r="AK840" s="35"/>
      <c r="AL840" s="36">
        <f t="shared" si="275"/>
        <v>0</v>
      </c>
      <c r="AM840" s="38"/>
      <c r="AN840" s="36">
        <f t="shared" si="286"/>
        <v>0</v>
      </c>
      <c r="AO840" s="35"/>
      <c r="AP840" s="38"/>
    </row>
    <row r="841" spans="1:42" ht="15.75" customHeight="1" x14ac:dyDescent="0.25">
      <c r="A841" s="37">
        <v>2018</v>
      </c>
      <c r="B841" s="35">
        <v>170100</v>
      </c>
      <c r="C841" s="34" t="s">
        <v>145</v>
      </c>
      <c r="D841" s="34" t="s">
        <v>10</v>
      </c>
      <c r="E841" s="35"/>
      <c r="F841" s="36">
        <f t="shared" si="276"/>
        <v>0</v>
      </c>
      <c r="G841" s="38"/>
      <c r="H841" s="36">
        <f t="shared" si="277"/>
        <v>0</v>
      </c>
      <c r="I841" s="35"/>
      <c r="J841" s="36">
        <f t="shared" si="278"/>
        <v>0</v>
      </c>
      <c r="K841" s="38"/>
      <c r="L841" s="36">
        <f t="shared" si="279"/>
        <v>0</v>
      </c>
      <c r="M841" s="35"/>
      <c r="N841" s="36">
        <f t="shared" si="269"/>
        <v>0</v>
      </c>
      <c r="O841" s="38"/>
      <c r="P841" s="36">
        <f t="shared" si="280"/>
        <v>0</v>
      </c>
      <c r="Q841" s="35"/>
      <c r="R841" s="36">
        <f t="shared" si="270"/>
        <v>0</v>
      </c>
      <c r="S841" s="38"/>
      <c r="T841" s="36">
        <f t="shared" si="281"/>
        <v>0</v>
      </c>
      <c r="U841" s="35"/>
      <c r="V841" s="36">
        <f t="shared" si="271"/>
        <v>0</v>
      </c>
      <c r="W841" s="38"/>
      <c r="X841" s="36">
        <f t="shared" si="282"/>
        <v>0</v>
      </c>
      <c r="Y841" s="35"/>
      <c r="Z841" s="36">
        <f t="shared" si="272"/>
        <v>0</v>
      </c>
      <c r="AA841" s="38"/>
      <c r="AB841" s="36">
        <f t="shared" si="283"/>
        <v>0</v>
      </c>
      <c r="AC841" s="35"/>
      <c r="AD841" s="36">
        <f t="shared" si="273"/>
        <v>0</v>
      </c>
      <c r="AE841" s="38"/>
      <c r="AF841" s="36">
        <f t="shared" si="284"/>
        <v>0</v>
      </c>
      <c r="AG841" s="35"/>
      <c r="AH841" s="36">
        <f t="shared" si="274"/>
        <v>0</v>
      </c>
      <c r="AI841" s="38"/>
      <c r="AJ841" s="36">
        <f t="shared" si="285"/>
        <v>0</v>
      </c>
      <c r="AK841" s="35"/>
      <c r="AL841" s="36">
        <f t="shared" si="275"/>
        <v>0</v>
      </c>
      <c r="AM841" s="38"/>
      <c r="AN841" s="36">
        <f t="shared" si="286"/>
        <v>0</v>
      </c>
      <c r="AO841" s="35"/>
      <c r="AP841" s="38"/>
    </row>
    <row r="842" spans="1:42" ht="15.75" customHeight="1" x14ac:dyDescent="0.25">
      <c r="A842" s="37">
        <v>2018</v>
      </c>
      <c r="B842" s="35">
        <v>170105</v>
      </c>
      <c r="C842" s="34" t="s">
        <v>145</v>
      </c>
      <c r="D842" s="34" t="s">
        <v>11</v>
      </c>
      <c r="E842" s="35"/>
      <c r="F842" s="36">
        <f t="shared" si="276"/>
        <v>0</v>
      </c>
      <c r="G842" s="38"/>
      <c r="H842" s="36">
        <f t="shared" si="277"/>
        <v>0</v>
      </c>
      <c r="I842" s="35"/>
      <c r="J842" s="36">
        <f t="shared" si="278"/>
        <v>0</v>
      </c>
      <c r="K842" s="38"/>
      <c r="L842" s="36">
        <f t="shared" si="279"/>
        <v>0</v>
      </c>
      <c r="M842" s="35"/>
      <c r="N842" s="36">
        <f t="shared" si="269"/>
        <v>0</v>
      </c>
      <c r="O842" s="38"/>
      <c r="P842" s="36">
        <f t="shared" si="280"/>
        <v>0</v>
      </c>
      <c r="Q842" s="35"/>
      <c r="R842" s="36">
        <f t="shared" si="270"/>
        <v>0</v>
      </c>
      <c r="S842" s="38"/>
      <c r="T842" s="36">
        <f t="shared" si="281"/>
        <v>0</v>
      </c>
      <c r="U842" s="35"/>
      <c r="V842" s="36">
        <f t="shared" si="271"/>
        <v>0</v>
      </c>
      <c r="W842" s="38"/>
      <c r="X842" s="36">
        <f t="shared" si="282"/>
        <v>0</v>
      </c>
      <c r="Y842" s="35"/>
      <c r="Z842" s="36">
        <f t="shared" si="272"/>
        <v>0</v>
      </c>
      <c r="AA842" s="38"/>
      <c r="AB842" s="36">
        <f t="shared" si="283"/>
        <v>0</v>
      </c>
      <c r="AC842" s="35"/>
      <c r="AD842" s="36">
        <f t="shared" si="273"/>
        <v>0</v>
      </c>
      <c r="AE842" s="38"/>
      <c r="AF842" s="36">
        <f t="shared" si="284"/>
        <v>0</v>
      </c>
      <c r="AG842" s="35"/>
      <c r="AH842" s="36">
        <f t="shared" si="274"/>
        <v>0</v>
      </c>
      <c r="AI842" s="38"/>
      <c r="AJ842" s="36">
        <f t="shared" si="285"/>
        <v>0</v>
      </c>
      <c r="AK842" s="35"/>
      <c r="AL842" s="36">
        <f t="shared" si="275"/>
        <v>0</v>
      </c>
      <c r="AM842" s="38"/>
      <c r="AN842" s="36">
        <f t="shared" si="286"/>
        <v>0</v>
      </c>
      <c r="AO842" s="35"/>
      <c r="AP842" s="38"/>
    </row>
    <row r="843" spans="1:42" ht="15.75" customHeight="1" x14ac:dyDescent="0.25">
      <c r="A843" s="37">
        <v>2018</v>
      </c>
      <c r="B843" s="35">
        <v>170110</v>
      </c>
      <c r="C843" s="34" t="s">
        <v>148</v>
      </c>
      <c r="D843" s="34" t="s">
        <v>12</v>
      </c>
      <c r="E843" s="35"/>
      <c r="F843" s="36">
        <f t="shared" si="276"/>
        <v>0</v>
      </c>
      <c r="G843" s="38"/>
      <c r="H843" s="36">
        <f t="shared" si="277"/>
        <v>0</v>
      </c>
      <c r="I843" s="35"/>
      <c r="J843" s="36">
        <f t="shared" si="278"/>
        <v>0</v>
      </c>
      <c r="K843" s="38"/>
      <c r="L843" s="36">
        <f t="shared" si="279"/>
        <v>0</v>
      </c>
      <c r="M843" s="35"/>
      <c r="N843" s="36">
        <f t="shared" si="269"/>
        <v>0</v>
      </c>
      <c r="O843" s="38"/>
      <c r="P843" s="36">
        <f t="shared" si="280"/>
        <v>0</v>
      </c>
      <c r="Q843" s="35"/>
      <c r="R843" s="36">
        <f t="shared" si="270"/>
        <v>0</v>
      </c>
      <c r="S843" s="38"/>
      <c r="T843" s="36">
        <f t="shared" si="281"/>
        <v>0</v>
      </c>
      <c r="U843" s="35"/>
      <c r="V843" s="36">
        <f t="shared" si="271"/>
        <v>0</v>
      </c>
      <c r="W843" s="38"/>
      <c r="X843" s="36">
        <f t="shared" si="282"/>
        <v>0</v>
      </c>
      <c r="Y843" s="35"/>
      <c r="Z843" s="36">
        <f t="shared" si="272"/>
        <v>0</v>
      </c>
      <c r="AA843" s="38"/>
      <c r="AB843" s="36">
        <f t="shared" si="283"/>
        <v>0</v>
      </c>
      <c r="AC843" s="35"/>
      <c r="AD843" s="36">
        <f t="shared" si="273"/>
        <v>0</v>
      </c>
      <c r="AE843" s="38"/>
      <c r="AF843" s="36">
        <f t="shared" si="284"/>
        <v>0</v>
      </c>
      <c r="AG843" s="35"/>
      <c r="AH843" s="36">
        <f t="shared" si="274"/>
        <v>0</v>
      </c>
      <c r="AI843" s="38"/>
      <c r="AJ843" s="36">
        <f t="shared" si="285"/>
        <v>0</v>
      </c>
      <c r="AK843" s="35"/>
      <c r="AL843" s="36">
        <f t="shared" si="275"/>
        <v>0</v>
      </c>
      <c r="AM843" s="38"/>
      <c r="AN843" s="36">
        <f t="shared" si="286"/>
        <v>0</v>
      </c>
      <c r="AO843" s="35"/>
      <c r="AP843" s="38"/>
    </row>
    <row r="844" spans="1:42" ht="15.75" customHeight="1" x14ac:dyDescent="0.25">
      <c r="A844" s="37">
        <v>2018</v>
      </c>
      <c r="B844" s="35">
        <v>170130</v>
      </c>
      <c r="C844" s="34" t="s">
        <v>149</v>
      </c>
      <c r="D844" s="34" t="s">
        <v>13</v>
      </c>
      <c r="E844" s="35"/>
      <c r="F844" s="36">
        <f t="shared" si="276"/>
        <v>0</v>
      </c>
      <c r="G844" s="38"/>
      <c r="H844" s="36">
        <f t="shared" si="277"/>
        <v>0</v>
      </c>
      <c r="I844" s="35"/>
      <c r="J844" s="36">
        <f t="shared" si="278"/>
        <v>0</v>
      </c>
      <c r="K844" s="38"/>
      <c r="L844" s="36">
        <f t="shared" si="279"/>
        <v>0</v>
      </c>
      <c r="M844" s="35"/>
      <c r="N844" s="36">
        <f t="shared" si="269"/>
        <v>0</v>
      </c>
      <c r="O844" s="38"/>
      <c r="P844" s="36">
        <f t="shared" si="280"/>
        <v>0</v>
      </c>
      <c r="Q844" s="35"/>
      <c r="R844" s="36">
        <f t="shared" si="270"/>
        <v>0</v>
      </c>
      <c r="S844" s="38"/>
      <c r="T844" s="36">
        <f t="shared" si="281"/>
        <v>0</v>
      </c>
      <c r="U844" s="35"/>
      <c r="V844" s="36">
        <f t="shared" si="271"/>
        <v>0</v>
      </c>
      <c r="W844" s="38"/>
      <c r="X844" s="36">
        <f t="shared" si="282"/>
        <v>0</v>
      </c>
      <c r="Y844" s="35"/>
      <c r="Z844" s="36">
        <f t="shared" si="272"/>
        <v>0</v>
      </c>
      <c r="AA844" s="38"/>
      <c r="AB844" s="36">
        <f t="shared" si="283"/>
        <v>0</v>
      </c>
      <c r="AC844" s="35"/>
      <c r="AD844" s="36">
        <f t="shared" si="273"/>
        <v>0</v>
      </c>
      <c r="AE844" s="38"/>
      <c r="AF844" s="36">
        <f t="shared" si="284"/>
        <v>0</v>
      </c>
      <c r="AG844" s="35"/>
      <c r="AH844" s="36">
        <f t="shared" si="274"/>
        <v>0</v>
      </c>
      <c r="AI844" s="38"/>
      <c r="AJ844" s="36">
        <f t="shared" si="285"/>
        <v>0</v>
      </c>
      <c r="AK844" s="35"/>
      <c r="AL844" s="36">
        <f t="shared" si="275"/>
        <v>0</v>
      </c>
      <c r="AM844" s="38"/>
      <c r="AN844" s="36">
        <f t="shared" si="286"/>
        <v>0</v>
      </c>
      <c r="AO844" s="35"/>
      <c r="AP844" s="38"/>
    </row>
    <row r="845" spans="1:42" ht="15.75" customHeight="1" x14ac:dyDescent="0.25">
      <c r="A845" s="37">
        <v>2018</v>
      </c>
      <c r="B845" s="35">
        <v>170190</v>
      </c>
      <c r="C845" s="34" t="s">
        <v>144</v>
      </c>
      <c r="D845" s="34" t="s">
        <v>14</v>
      </c>
      <c r="E845" s="35"/>
      <c r="F845" s="36">
        <f t="shared" si="276"/>
        <v>0</v>
      </c>
      <c r="G845" s="38"/>
      <c r="H845" s="36">
        <f t="shared" si="277"/>
        <v>0</v>
      </c>
      <c r="I845" s="35"/>
      <c r="J845" s="36">
        <f t="shared" si="278"/>
        <v>0</v>
      </c>
      <c r="K845" s="38"/>
      <c r="L845" s="36">
        <f t="shared" si="279"/>
        <v>0</v>
      </c>
      <c r="M845" s="35"/>
      <c r="N845" s="36">
        <f t="shared" si="269"/>
        <v>0</v>
      </c>
      <c r="O845" s="38"/>
      <c r="P845" s="36">
        <f t="shared" si="280"/>
        <v>0</v>
      </c>
      <c r="Q845" s="35"/>
      <c r="R845" s="36">
        <f t="shared" si="270"/>
        <v>0</v>
      </c>
      <c r="S845" s="38"/>
      <c r="T845" s="36">
        <f t="shared" si="281"/>
        <v>0</v>
      </c>
      <c r="U845" s="35"/>
      <c r="V845" s="36">
        <f t="shared" si="271"/>
        <v>0</v>
      </c>
      <c r="W845" s="38"/>
      <c r="X845" s="36">
        <f t="shared" si="282"/>
        <v>0</v>
      </c>
      <c r="Y845" s="35"/>
      <c r="Z845" s="36">
        <f t="shared" si="272"/>
        <v>0</v>
      </c>
      <c r="AA845" s="38"/>
      <c r="AB845" s="36">
        <f t="shared" si="283"/>
        <v>0</v>
      </c>
      <c r="AC845" s="35"/>
      <c r="AD845" s="36">
        <f t="shared" si="273"/>
        <v>0</v>
      </c>
      <c r="AE845" s="38"/>
      <c r="AF845" s="36">
        <f t="shared" si="284"/>
        <v>0</v>
      </c>
      <c r="AG845" s="35"/>
      <c r="AH845" s="36">
        <f t="shared" si="274"/>
        <v>0</v>
      </c>
      <c r="AI845" s="38"/>
      <c r="AJ845" s="36">
        <f t="shared" si="285"/>
        <v>0</v>
      </c>
      <c r="AK845" s="35"/>
      <c r="AL845" s="36">
        <f t="shared" si="275"/>
        <v>0</v>
      </c>
      <c r="AM845" s="38"/>
      <c r="AN845" s="36">
        <f t="shared" si="286"/>
        <v>0</v>
      </c>
      <c r="AO845" s="35"/>
      <c r="AP845" s="38"/>
    </row>
    <row r="846" spans="1:42" ht="15.75" customHeight="1" x14ac:dyDescent="0.25">
      <c r="A846" s="37">
        <v>2018</v>
      </c>
      <c r="B846" s="35">
        <v>170200</v>
      </c>
      <c r="C846" s="34" t="s">
        <v>146</v>
      </c>
      <c r="D846" s="34" t="s">
        <v>15</v>
      </c>
      <c r="E846" s="35"/>
      <c r="F846" s="36">
        <f t="shared" si="276"/>
        <v>0</v>
      </c>
      <c r="G846" s="38"/>
      <c r="H846" s="36">
        <f t="shared" si="277"/>
        <v>0</v>
      </c>
      <c r="I846" s="35"/>
      <c r="J846" s="36">
        <f t="shared" si="278"/>
        <v>0</v>
      </c>
      <c r="K846" s="38"/>
      <c r="L846" s="36">
        <f t="shared" si="279"/>
        <v>0</v>
      </c>
      <c r="M846" s="35"/>
      <c r="N846" s="36">
        <f t="shared" si="269"/>
        <v>0</v>
      </c>
      <c r="O846" s="38"/>
      <c r="P846" s="36">
        <f t="shared" si="280"/>
        <v>0</v>
      </c>
      <c r="Q846" s="35"/>
      <c r="R846" s="36">
        <f t="shared" si="270"/>
        <v>0</v>
      </c>
      <c r="S846" s="38"/>
      <c r="T846" s="36">
        <f t="shared" si="281"/>
        <v>0</v>
      </c>
      <c r="U846" s="35"/>
      <c r="V846" s="36">
        <f t="shared" si="271"/>
        <v>0</v>
      </c>
      <c r="W846" s="38"/>
      <c r="X846" s="36">
        <f t="shared" si="282"/>
        <v>0</v>
      </c>
      <c r="Y846" s="35"/>
      <c r="Z846" s="36">
        <f t="shared" si="272"/>
        <v>0</v>
      </c>
      <c r="AA846" s="38"/>
      <c r="AB846" s="36">
        <f t="shared" si="283"/>
        <v>0</v>
      </c>
      <c r="AC846" s="35"/>
      <c r="AD846" s="36">
        <f t="shared" si="273"/>
        <v>0</v>
      </c>
      <c r="AE846" s="38"/>
      <c r="AF846" s="36">
        <f t="shared" si="284"/>
        <v>0</v>
      </c>
      <c r="AG846" s="35"/>
      <c r="AH846" s="36">
        <f t="shared" si="274"/>
        <v>0</v>
      </c>
      <c r="AI846" s="38"/>
      <c r="AJ846" s="36">
        <f t="shared" si="285"/>
        <v>0</v>
      </c>
      <c r="AK846" s="35"/>
      <c r="AL846" s="36">
        <f t="shared" si="275"/>
        <v>0</v>
      </c>
      <c r="AM846" s="38"/>
      <c r="AN846" s="36">
        <f t="shared" si="286"/>
        <v>0</v>
      </c>
      <c r="AO846" s="35"/>
      <c r="AP846" s="38"/>
    </row>
    <row r="847" spans="1:42" ht="15.75" customHeight="1" x14ac:dyDescent="0.25">
      <c r="A847" s="37">
        <v>2018</v>
      </c>
      <c r="B847" s="35">
        <v>170210</v>
      </c>
      <c r="C847" s="34" t="s">
        <v>149</v>
      </c>
      <c r="D847" s="34" t="s">
        <v>16</v>
      </c>
      <c r="E847" s="35"/>
      <c r="F847" s="36">
        <f t="shared" si="276"/>
        <v>0</v>
      </c>
      <c r="G847" s="38"/>
      <c r="H847" s="36">
        <f t="shared" si="277"/>
        <v>0</v>
      </c>
      <c r="I847" s="35"/>
      <c r="J847" s="36">
        <f t="shared" si="278"/>
        <v>0</v>
      </c>
      <c r="K847" s="38"/>
      <c r="L847" s="36">
        <f t="shared" si="279"/>
        <v>0</v>
      </c>
      <c r="M847" s="35"/>
      <c r="N847" s="36">
        <f t="shared" si="269"/>
        <v>0</v>
      </c>
      <c r="O847" s="39"/>
      <c r="P847" s="36">
        <f t="shared" si="280"/>
        <v>0</v>
      </c>
      <c r="Q847" s="35"/>
      <c r="R847" s="36">
        <f t="shared" si="270"/>
        <v>0</v>
      </c>
      <c r="S847" s="38"/>
      <c r="T847" s="36">
        <f t="shared" si="281"/>
        <v>0</v>
      </c>
      <c r="U847" s="35"/>
      <c r="V847" s="36">
        <f t="shared" si="271"/>
        <v>0</v>
      </c>
      <c r="W847" s="38"/>
      <c r="X847" s="36">
        <f t="shared" si="282"/>
        <v>0</v>
      </c>
      <c r="Y847" s="35"/>
      <c r="Z847" s="36">
        <f t="shared" si="272"/>
        <v>0</v>
      </c>
      <c r="AA847" s="39"/>
      <c r="AB847" s="36">
        <f t="shared" si="283"/>
        <v>0</v>
      </c>
      <c r="AC847" s="35"/>
      <c r="AD847" s="36">
        <f t="shared" si="273"/>
        <v>0</v>
      </c>
      <c r="AE847" s="38"/>
      <c r="AF847" s="36">
        <f t="shared" si="284"/>
        <v>0</v>
      </c>
      <c r="AG847" s="35"/>
      <c r="AH847" s="36">
        <f t="shared" si="274"/>
        <v>0</v>
      </c>
      <c r="AI847" s="38"/>
      <c r="AJ847" s="36">
        <f t="shared" si="285"/>
        <v>0</v>
      </c>
      <c r="AK847" s="35"/>
      <c r="AL847" s="36">
        <f t="shared" si="275"/>
        <v>0</v>
      </c>
      <c r="AM847" s="38"/>
      <c r="AN847" s="36">
        <f t="shared" si="286"/>
        <v>0</v>
      </c>
      <c r="AO847" s="35"/>
      <c r="AP847" s="39"/>
    </row>
    <row r="848" spans="1:42" ht="15.75" customHeight="1" x14ac:dyDescent="0.25">
      <c r="A848" s="37">
        <v>2018</v>
      </c>
      <c r="B848" s="35">
        <v>170215</v>
      </c>
      <c r="C848" s="34" t="s">
        <v>149</v>
      </c>
      <c r="D848" s="34" t="s">
        <v>17</v>
      </c>
      <c r="E848" s="35"/>
      <c r="F848" s="36">
        <f t="shared" si="276"/>
        <v>0</v>
      </c>
      <c r="G848" s="38"/>
      <c r="H848" s="36">
        <f t="shared" si="277"/>
        <v>0</v>
      </c>
      <c r="I848" s="35"/>
      <c r="J848" s="36">
        <f t="shared" si="278"/>
        <v>0</v>
      </c>
      <c r="K848" s="38"/>
      <c r="L848" s="36">
        <f t="shared" si="279"/>
        <v>0</v>
      </c>
      <c r="M848" s="35"/>
      <c r="N848" s="36">
        <f t="shared" si="269"/>
        <v>0</v>
      </c>
      <c r="O848" s="38"/>
      <c r="P848" s="36">
        <f t="shared" si="280"/>
        <v>0</v>
      </c>
      <c r="Q848" s="35"/>
      <c r="R848" s="36">
        <f t="shared" si="270"/>
        <v>0</v>
      </c>
      <c r="S848" s="38"/>
      <c r="T848" s="36">
        <f t="shared" si="281"/>
        <v>0</v>
      </c>
      <c r="U848" s="35"/>
      <c r="V848" s="36">
        <f t="shared" si="271"/>
        <v>0</v>
      </c>
      <c r="W848" s="38"/>
      <c r="X848" s="36">
        <f t="shared" si="282"/>
        <v>0</v>
      </c>
      <c r="Y848" s="35"/>
      <c r="Z848" s="36">
        <f t="shared" si="272"/>
        <v>0</v>
      </c>
      <c r="AA848" s="38"/>
      <c r="AB848" s="36">
        <f t="shared" si="283"/>
        <v>0</v>
      </c>
      <c r="AC848" s="35"/>
      <c r="AD848" s="36">
        <f t="shared" si="273"/>
        <v>0</v>
      </c>
      <c r="AE848" s="38"/>
      <c r="AF848" s="36">
        <f t="shared" si="284"/>
        <v>0</v>
      </c>
      <c r="AG848" s="35"/>
      <c r="AH848" s="36">
        <f t="shared" si="274"/>
        <v>0</v>
      </c>
      <c r="AI848" s="38"/>
      <c r="AJ848" s="36">
        <f t="shared" si="285"/>
        <v>0</v>
      </c>
      <c r="AK848" s="35"/>
      <c r="AL848" s="36">
        <f t="shared" si="275"/>
        <v>0</v>
      </c>
      <c r="AM848" s="38"/>
      <c r="AN848" s="36">
        <f t="shared" si="286"/>
        <v>0</v>
      </c>
      <c r="AO848" s="35"/>
      <c r="AP848" s="38"/>
    </row>
    <row r="849" spans="1:42" ht="15.75" customHeight="1" x14ac:dyDescent="0.25">
      <c r="A849" s="37">
        <v>2018</v>
      </c>
      <c r="B849" s="35">
        <v>170220</v>
      </c>
      <c r="C849" s="34" t="s">
        <v>145</v>
      </c>
      <c r="D849" s="34" t="s">
        <v>18</v>
      </c>
      <c r="E849" s="35"/>
      <c r="F849" s="36">
        <f t="shared" si="276"/>
        <v>0</v>
      </c>
      <c r="G849" s="38"/>
      <c r="H849" s="36">
        <f t="shared" si="277"/>
        <v>0</v>
      </c>
      <c r="I849" s="35"/>
      <c r="J849" s="36">
        <f t="shared" si="278"/>
        <v>0</v>
      </c>
      <c r="K849" s="38"/>
      <c r="L849" s="36">
        <f t="shared" si="279"/>
        <v>0</v>
      </c>
      <c r="M849" s="35"/>
      <c r="N849" s="36">
        <f t="shared" si="269"/>
        <v>0</v>
      </c>
      <c r="O849" s="39"/>
      <c r="P849" s="36">
        <f t="shared" si="280"/>
        <v>0</v>
      </c>
      <c r="Q849" s="35"/>
      <c r="R849" s="36">
        <f t="shared" si="270"/>
        <v>0</v>
      </c>
      <c r="S849" s="38"/>
      <c r="T849" s="36">
        <f t="shared" si="281"/>
        <v>0</v>
      </c>
      <c r="U849" s="35"/>
      <c r="V849" s="36">
        <f t="shared" si="271"/>
        <v>0</v>
      </c>
      <c r="W849" s="38"/>
      <c r="X849" s="36">
        <f t="shared" si="282"/>
        <v>0</v>
      </c>
      <c r="Y849" s="35"/>
      <c r="Z849" s="36">
        <f t="shared" si="272"/>
        <v>0</v>
      </c>
      <c r="AA849" s="38"/>
      <c r="AB849" s="36">
        <f t="shared" si="283"/>
        <v>0</v>
      </c>
      <c r="AC849" s="35"/>
      <c r="AD849" s="36">
        <f t="shared" si="273"/>
        <v>0</v>
      </c>
      <c r="AE849" s="38"/>
      <c r="AF849" s="36">
        <f t="shared" si="284"/>
        <v>0</v>
      </c>
      <c r="AG849" s="35"/>
      <c r="AH849" s="36">
        <f t="shared" si="274"/>
        <v>0</v>
      </c>
      <c r="AI849" s="38"/>
      <c r="AJ849" s="36">
        <f t="shared" si="285"/>
        <v>0</v>
      </c>
      <c r="AK849" s="35"/>
      <c r="AL849" s="36">
        <f t="shared" si="275"/>
        <v>0</v>
      </c>
      <c r="AM849" s="38"/>
      <c r="AN849" s="36">
        <f t="shared" si="286"/>
        <v>0</v>
      </c>
      <c r="AO849" s="35"/>
      <c r="AP849" s="39"/>
    </row>
    <row r="850" spans="1:42" ht="15.75" customHeight="1" x14ac:dyDescent="0.25">
      <c r="A850" s="37">
        <v>2018</v>
      </c>
      <c r="B850" s="35">
        <v>170230</v>
      </c>
      <c r="C850" s="34" t="s">
        <v>150</v>
      </c>
      <c r="D850" s="34" t="s">
        <v>19</v>
      </c>
      <c r="E850" s="35"/>
      <c r="F850" s="36">
        <f t="shared" si="276"/>
        <v>0</v>
      </c>
      <c r="G850" s="38"/>
      <c r="H850" s="36">
        <f t="shared" si="277"/>
        <v>0</v>
      </c>
      <c r="I850" s="35"/>
      <c r="J850" s="36">
        <f t="shared" si="278"/>
        <v>0</v>
      </c>
      <c r="K850" s="38"/>
      <c r="L850" s="36">
        <f t="shared" si="279"/>
        <v>0</v>
      </c>
      <c r="M850" s="35"/>
      <c r="N850" s="36">
        <f t="shared" si="269"/>
        <v>0</v>
      </c>
      <c r="O850" s="38"/>
      <c r="P850" s="36">
        <f t="shared" si="280"/>
        <v>0</v>
      </c>
      <c r="Q850" s="35"/>
      <c r="R850" s="36">
        <f t="shared" si="270"/>
        <v>0</v>
      </c>
      <c r="S850" s="38"/>
      <c r="T850" s="36">
        <f t="shared" si="281"/>
        <v>0</v>
      </c>
      <c r="U850" s="35"/>
      <c r="V850" s="36">
        <f t="shared" si="271"/>
        <v>0</v>
      </c>
      <c r="W850" s="38"/>
      <c r="X850" s="36">
        <f t="shared" si="282"/>
        <v>0</v>
      </c>
      <c r="Y850" s="35"/>
      <c r="Z850" s="36">
        <f t="shared" si="272"/>
        <v>0</v>
      </c>
      <c r="AA850" s="38"/>
      <c r="AB850" s="36">
        <f t="shared" si="283"/>
        <v>0</v>
      </c>
      <c r="AC850" s="35"/>
      <c r="AD850" s="36">
        <f t="shared" si="273"/>
        <v>0</v>
      </c>
      <c r="AE850" s="38"/>
      <c r="AF850" s="36">
        <f t="shared" si="284"/>
        <v>0</v>
      </c>
      <c r="AG850" s="35"/>
      <c r="AH850" s="36">
        <f t="shared" si="274"/>
        <v>0</v>
      </c>
      <c r="AI850" s="38"/>
      <c r="AJ850" s="36">
        <f t="shared" si="285"/>
        <v>0</v>
      </c>
      <c r="AK850" s="35"/>
      <c r="AL850" s="36">
        <f t="shared" si="275"/>
        <v>0</v>
      </c>
      <c r="AM850" s="38"/>
      <c r="AN850" s="36">
        <f t="shared" si="286"/>
        <v>0</v>
      </c>
      <c r="AO850" s="35"/>
      <c r="AP850" s="38"/>
    </row>
    <row r="851" spans="1:42" ht="15.75" customHeight="1" x14ac:dyDescent="0.25">
      <c r="A851" s="37">
        <v>2018</v>
      </c>
      <c r="B851" s="35">
        <v>170240</v>
      </c>
      <c r="C851" s="34" t="s">
        <v>147</v>
      </c>
      <c r="D851" s="34" t="s">
        <v>20</v>
      </c>
      <c r="E851" s="35"/>
      <c r="F851" s="36">
        <f t="shared" si="276"/>
        <v>0</v>
      </c>
      <c r="G851" s="38"/>
      <c r="H851" s="36">
        <f t="shared" si="277"/>
        <v>0</v>
      </c>
      <c r="I851" s="35"/>
      <c r="J851" s="36">
        <f t="shared" si="278"/>
        <v>0</v>
      </c>
      <c r="K851" s="38"/>
      <c r="L851" s="36">
        <f t="shared" si="279"/>
        <v>0</v>
      </c>
      <c r="M851" s="35"/>
      <c r="N851" s="36">
        <f t="shared" si="269"/>
        <v>0</v>
      </c>
      <c r="O851" s="38"/>
      <c r="P851" s="36">
        <f t="shared" si="280"/>
        <v>0</v>
      </c>
      <c r="Q851" s="35"/>
      <c r="R851" s="36">
        <f t="shared" si="270"/>
        <v>0</v>
      </c>
      <c r="S851" s="38"/>
      <c r="T851" s="36">
        <f t="shared" si="281"/>
        <v>0</v>
      </c>
      <c r="U851" s="35"/>
      <c r="V851" s="36">
        <f t="shared" si="271"/>
        <v>0</v>
      </c>
      <c r="W851" s="38"/>
      <c r="X851" s="36">
        <f t="shared" si="282"/>
        <v>0</v>
      </c>
      <c r="Y851" s="35"/>
      <c r="Z851" s="36">
        <f t="shared" si="272"/>
        <v>0</v>
      </c>
      <c r="AA851" s="38"/>
      <c r="AB851" s="36">
        <f t="shared" si="283"/>
        <v>0</v>
      </c>
      <c r="AC851" s="35"/>
      <c r="AD851" s="36">
        <f t="shared" si="273"/>
        <v>0</v>
      </c>
      <c r="AE851" s="38"/>
      <c r="AF851" s="36">
        <f t="shared" si="284"/>
        <v>0</v>
      </c>
      <c r="AG851" s="35"/>
      <c r="AH851" s="36">
        <f t="shared" si="274"/>
        <v>0</v>
      </c>
      <c r="AI851" s="38"/>
      <c r="AJ851" s="36">
        <f t="shared" si="285"/>
        <v>0</v>
      </c>
      <c r="AK851" s="35"/>
      <c r="AL851" s="36">
        <f t="shared" si="275"/>
        <v>0</v>
      </c>
      <c r="AM851" s="38"/>
      <c r="AN851" s="36">
        <f t="shared" si="286"/>
        <v>0</v>
      </c>
      <c r="AO851" s="35"/>
      <c r="AP851" s="38"/>
    </row>
    <row r="852" spans="1:42" ht="15.75" customHeight="1" x14ac:dyDescent="0.25">
      <c r="A852" s="37">
        <v>2018</v>
      </c>
      <c r="B852" s="35">
        <v>170255</v>
      </c>
      <c r="C852" s="34" t="s">
        <v>145</v>
      </c>
      <c r="D852" s="34" t="s">
        <v>21</v>
      </c>
      <c r="E852" s="35"/>
      <c r="F852" s="36">
        <f t="shared" si="276"/>
        <v>0</v>
      </c>
      <c r="G852" s="38"/>
      <c r="H852" s="36">
        <f t="shared" si="277"/>
        <v>0</v>
      </c>
      <c r="I852" s="35"/>
      <c r="J852" s="36">
        <f t="shared" si="278"/>
        <v>0</v>
      </c>
      <c r="K852" s="38"/>
      <c r="L852" s="36">
        <f t="shared" si="279"/>
        <v>0</v>
      </c>
      <c r="M852" s="35"/>
      <c r="N852" s="36">
        <f t="shared" ref="N852:N880" si="287">IFERROR(M852/$AO852,0)</f>
        <v>0</v>
      </c>
      <c r="O852" s="38"/>
      <c r="P852" s="36">
        <f t="shared" si="280"/>
        <v>0</v>
      </c>
      <c r="Q852" s="35"/>
      <c r="R852" s="36">
        <f t="shared" ref="R852:R880" si="288">IFERROR(Q852/$AO852,0)</f>
        <v>0</v>
      </c>
      <c r="S852" s="38"/>
      <c r="T852" s="36">
        <f t="shared" si="281"/>
        <v>0</v>
      </c>
      <c r="U852" s="35"/>
      <c r="V852" s="36">
        <f t="shared" ref="V852:V880" si="289">IFERROR(U852/$AO852,0)</f>
        <v>0</v>
      </c>
      <c r="W852" s="38"/>
      <c r="X852" s="36">
        <f t="shared" si="282"/>
        <v>0</v>
      </c>
      <c r="Y852" s="35"/>
      <c r="Z852" s="36">
        <f t="shared" ref="Z852:Z880" si="290">IFERROR(Y852/$AO852,0)</f>
        <v>0</v>
      </c>
      <c r="AA852" s="38"/>
      <c r="AB852" s="36">
        <f t="shared" si="283"/>
        <v>0</v>
      </c>
      <c r="AC852" s="35"/>
      <c r="AD852" s="36">
        <f t="shared" ref="AD852:AD880" si="291">IFERROR(AC852/$AO852,0)</f>
        <v>0</v>
      </c>
      <c r="AE852" s="38"/>
      <c r="AF852" s="36">
        <f t="shared" si="284"/>
        <v>0</v>
      </c>
      <c r="AG852" s="35"/>
      <c r="AH852" s="36">
        <f t="shared" ref="AH852:AH880" si="292">IFERROR(AG852/$AO852,0)</f>
        <v>0</v>
      </c>
      <c r="AI852" s="38"/>
      <c r="AJ852" s="36">
        <f t="shared" si="285"/>
        <v>0</v>
      </c>
      <c r="AK852" s="35"/>
      <c r="AL852" s="36">
        <f t="shared" ref="AL852:AL880" si="293">IFERROR(AK852/$AO852,0)</f>
        <v>0</v>
      </c>
      <c r="AM852" s="38"/>
      <c r="AN852" s="36">
        <f t="shared" si="286"/>
        <v>0</v>
      </c>
      <c r="AO852" s="35"/>
      <c r="AP852" s="38"/>
    </row>
    <row r="853" spans="1:42" ht="15.75" customHeight="1" x14ac:dyDescent="0.25">
      <c r="A853" s="37">
        <v>2018</v>
      </c>
      <c r="B853" s="35">
        <v>170270</v>
      </c>
      <c r="C853" s="34" t="s">
        <v>147</v>
      </c>
      <c r="D853" s="34" t="s">
        <v>22</v>
      </c>
      <c r="E853" s="35"/>
      <c r="F853" s="36">
        <f t="shared" si="276"/>
        <v>0</v>
      </c>
      <c r="G853" s="38"/>
      <c r="H853" s="36">
        <f t="shared" si="277"/>
        <v>0</v>
      </c>
      <c r="I853" s="35"/>
      <c r="J853" s="36">
        <f t="shared" si="278"/>
        <v>0</v>
      </c>
      <c r="K853" s="38"/>
      <c r="L853" s="36">
        <f t="shared" si="279"/>
        <v>0</v>
      </c>
      <c r="M853" s="35"/>
      <c r="N853" s="36">
        <f t="shared" si="287"/>
        <v>0</v>
      </c>
      <c r="O853" s="38"/>
      <c r="P853" s="36">
        <f t="shared" si="280"/>
        <v>0</v>
      </c>
      <c r="Q853" s="35"/>
      <c r="R853" s="36">
        <f t="shared" si="288"/>
        <v>0</v>
      </c>
      <c r="S853" s="38"/>
      <c r="T853" s="36">
        <f t="shared" si="281"/>
        <v>0</v>
      </c>
      <c r="U853" s="35"/>
      <c r="V853" s="36">
        <f t="shared" si="289"/>
        <v>0</v>
      </c>
      <c r="W853" s="38"/>
      <c r="X853" s="36">
        <f t="shared" si="282"/>
        <v>0</v>
      </c>
      <c r="Y853" s="35"/>
      <c r="Z853" s="36">
        <f t="shared" si="290"/>
        <v>0</v>
      </c>
      <c r="AA853" s="38"/>
      <c r="AB853" s="36">
        <f t="shared" si="283"/>
        <v>0</v>
      </c>
      <c r="AC853" s="35"/>
      <c r="AD853" s="36">
        <f t="shared" si="291"/>
        <v>0</v>
      </c>
      <c r="AE853" s="38"/>
      <c r="AF853" s="36">
        <f t="shared" si="284"/>
        <v>0</v>
      </c>
      <c r="AG853" s="35"/>
      <c r="AH853" s="36">
        <f t="shared" si="292"/>
        <v>0</v>
      </c>
      <c r="AI853" s="38"/>
      <c r="AJ853" s="36">
        <f t="shared" si="285"/>
        <v>0</v>
      </c>
      <c r="AK853" s="35"/>
      <c r="AL853" s="36">
        <f t="shared" si="293"/>
        <v>0</v>
      </c>
      <c r="AM853" s="38"/>
      <c r="AN853" s="36">
        <f t="shared" si="286"/>
        <v>0</v>
      </c>
      <c r="AO853" s="35"/>
      <c r="AP853" s="38"/>
    </row>
    <row r="854" spans="1:42" ht="15.75" customHeight="1" x14ac:dyDescent="0.25">
      <c r="A854" s="37">
        <v>2018</v>
      </c>
      <c r="B854" s="35">
        <v>170290</v>
      </c>
      <c r="C854" s="34" t="s">
        <v>145</v>
      </c>
      <c r="D854" s="34" t="s">
        <v>23</v>
      </c>
      <c r="E854" s="35"/>
      <c r="F854" s="36">
        <f t="shared" si="276"/>
        <v>0</v>
      </c>
      <c r="G854" s="38"/>
      <c r="H854" s="36">
        <f t="shared" si="277"/>
        <v>0</v>
      </c>
      <c r="I854" s="35"/>
      <c r="J854" s="36">
        <f t="shared" si="278"/>
        <v>0</v>
      </c>
      <c r="K854" s="38"/>
      <c r="L854" s="36">
        <f t="shared" si="279"/>
        <v>0</v>
      </c>
      <c r="M854" s="35"/>
      <c r="N854" s="36">
        <f t="shared" si="287"/>
        <v>0</v>
      </c>
      <c r="O854" s="38"/>
      <c r="P854" s="36">
        <f t="shared" si="280"/>
        <v>0</v>
      </c>
      <c r="Q854" s="35"/>
      <c r="R854" s="36">
        <f t="shared" si="288"/>
        <v>0</v>
      </c>
      <c r="S854" s="38"/>
      <c r="T854" s="36">
        <f t="shared" si="281"/>
        <v>0</v>
      </c>
      <c r="U854" s="35"/>
      <c r="V854" s="36">
        <f t="shared" si="289"/>
        <v>0</v>
      </c>
      <c r="W854" s="38"/>
      <c r="X854" s="36">
        <f t="shared" si="282"/>
        <v>0</v>
      </c>
      <c r="Y854" s="35"/>
      <c r="Z854" s="36">
        <f t="shared" si="290"/>
        <v>0</v>
      </c>
      <c r="AA854" s="38"/>
      <c r="AB854" s="36">
        <f t="shared" si="283"/>
        <v>0</v>
      </c>
      <c r="AC854" s="35"/>
      <c r="AD854" s="36">
        <f t="shared" si="291"/>
        <v>0</v>
      </c>
      <c r="AE854" s="38"/>
      <c r="AF854" s="36">
        <f t="shared" si="284"/>
        <v>0</v>
      </c>
      <c r="AG854" s="35"/>
      <c r="AH854" s="36">
        <f t="shared" si="292"/>
        <v>0</v>
      </c>
      <c r="AI854" s="38"/>
      <c r="AJ854" s="36">
        <f t="shared" si="285"/>
        <v>0</v>
      </c>
      <c r="AK854" s="35"/>
      <c r="AL854" s="36">
        <f t="shared" si="293"/>
        <v>0</v>
      </c>
      <c r="AM854" s="38"/>
      <c r="AN854" s="36">
        <f t="shared" si="286"/>
        <v>0</v>
      </c>
      <c r="AO854" s="35"/>
      <c r="AP854" s="38"/>
    </row>
    <row r="855" spans="1:42" ht="15.75" customHeight="1" x14ac:dyDescent="0.25">
      <c r="A855" s="37">
        <v>2018</v>
      </c>
      <c r="B855" s="35">
        <v>170300</v>
      </c>
      <c r="C855" s="34" t="s">
        <v>149</v>
      </c>
      <c r="D855" s="34" t="s">
        <v>24</v>
      </c>
      <c r="E855" s="35"/>
      <c r="F855" s="36">
        <f t="shared" si="276"/>
        <v>0</v>
      </c>
      <c r="G855" s="38"/>
      <c r="H855" s="36">
        <f t="shared" si="277"/>
        <v>0</v>
      </c>
      <c r="I855" s="35"/>
      <c r="J855" s="36">
        <f t="shared" si="278"/>
        <v>0</v>
      </c>
      <c r="K855" s="38"/>
      <c r="L855" s="36">
        <f t="shared" si="279"/>
        <v>0</v>
      </c>
      <c r="M855" s="35"/>
      <c r="N855" s="36">
        <f t="shared" si="287"/>
        <v>0</v>
      </c>
      <c r="O855" s="38"/>
      <c r="P855" s="36">
        <f t="shared" si="280"/>
        <v>0</v>
      </c>
      <c r="Q855" s="35"/>
      <c r="R855" s="36">
        <f t="shared" si="288"/>
        <v>0</v>
      </c>
      <c r="S855" s="38"/>
      <c r="T855" s="36">
        <f t="shared" si="281"/>
        <v>0</v>
      </c>
      <c r="U855" s="35"/>
      <c r="V855" s="36">
        <f t="shared" si="289"/>
        <v>0</v>
      </c>
      <c r="W855" s="38"/>
      <c r="X855" s="36">
        <f t="shared" si="282"/>
        <v>0</v>
      </c>
      <c r="Y855" s="35"/>
      <c r="Z855" s="36">
        <f t="shared" si="290"/>
        <v>0</v>
      </c>
      <c r="AA855" s="38"/>
      <c r="AB855" s="36">
        <f t="shared" si="283"/>
        <v>0</v>
      </c>
      <c r="AC855" s="35"/>
      <c r="AD855" s="36">
        <f t="shared" si="291"/>
        <v>0</v>
      </c>
      <c r="AE855" s="38"/>
      <c r="AF855" s="36">
        <f t="shared" si="284"/>
        <v>0</v>
      </c>
      <c r="AG855" s="35"/>
      <c r="AH855" s="36">
        <f t="shared" si="292"/>
        <v>0</v>
      </c>
      <c r="AI855" s="38"/>
      <c r="AJ855" s="36">
        <f t="shared" si="285"/>
        <v>0</v>
      </c>
      <c r="AK855" s="35"/>
      <c r="AL855" s="36">
        <f t="shared" si="293"/>
        <v>0</v>
      </c>
      <c r="AM855" s="38"/>
      <c r="AN855" s="36">
        <f t="shared" si="286"/>
        <v>0</v>
      </c>
      <c r="AO855" s="35"/>
      <c r="AP855" s="38"/>
    </row>
    <row r="856" spans="1:42" ht="15.75" customHeight="1" x14ac:dyDescent="0.25">
      <c r="A856" s="37">
        <v>2018</v>
      </c>
      <c r="B856" s="35">
        <v>170305</v>
      </c>
      <c r="C856" s="34" t="s">
        <v>150</v>
      </c>
      <c r="D856" s="34" t="s">
        <v>25</v>
      </c>
      <c r="E856" s="35"/>
      <c r="F856" s="36">
        <f t="shared" si="276"/>
        <v>0</v>
      </c>
      <c r="G856" s="38"/>
      <c r="H856" s="36">
        <f t="shared" si="277"/>
        <v>0</v>
      </c>
      <c r="I856" s="35"/>
      <c r="J856" s="36">
        <f t="shared" si="278"/>
        <v>0</v>
      </c>
      <c r="K856" s="38"/>
      <c r="L856" s="36">
        <f t="shared" si="279"/>
        <v>0</v>
      </c>
      <c r="M856" s="35"/>
      <c r="N856" s="36">
        <f t="shared" si="287"/>
        <v>0</v>
      </c>
      <c r="O856" s="38"/>
      <c r="P856" s="36">
        <f t="shared" si="280"/>
        <v>0</v>
      </c>
      <c r="Q856" s="35"/>
      <c r="R856" s="36">
        <f t="shared" si="288"/>
        <v>0</v>
      </c>
      <c r="S856" s="38"/>
      <c r="T856" s="36">
        <f t="shared" si="281"/>
        <v>0</v>
      </c>
      <c r="U856" s="35"/>
      <c r="V856" s="36">
        <f t="shared" si="289"/>
        <v>0</v>
      </c>
      <c r="W856" s="38"/>
      <c r="X856" s="36">
        <f t="shared" si="282"/>
        <v>0</v>
      </c>
      <c r="Y856" s="35"/>
      <c r="Z856" s="36">
        <f t="shared" si="290"/>
        <v>0</v>
      </c>
      <c r="AA856" s="38"/>
      <c r="AB856" s="36">
        <f t="shared" si="283"/>
        <v>0</v>
      </c>
      <c r="AC856" s="35"/>
      <c r="AD856" s="36">
        <f t="shared" si="291"/>
        <v>0</v>
      </c>
      <c r="AE856" s="38"/>
      <c r="AF856" s="36">
        <f t="shared" si="284"/>
        <v>0</v>
      </c>
      <c r="AG856" s="35"/>
      <c r="AH856" s="36">
        <f t="shared" si="292"/>
        <v>0</v>
      </c>
      <c r="AI856" s="38"/>
      <c r="AJ856" s="36">
        <f t="shared" si="285"/>
        <v>0</v>
      </c>
      <c r="AK856" s="35"/>
      <c r="AL856" s="36">
        <f t="shared" si="293"/>
        <v>0</v>
      </c>
      <c r="AM856" s="38"/>
      <c r="AN856" s="36">
        <f t="shared" si="286"/>
        <v>0</v>
      </c>
      <c r="AO856" s="35"/>
      <c r="AP856" s="38"/>
    </row>
    <row r="857" spans="1:42" ht="15.75" customHeight="1" x14ac:dyDescent="0.25">
      <c r="A857" s="37">
        <v>2018</v>
      </c>
      <c r="B857" s="35">
        <v>170307</v>
      </c>
      <c r="C857" s="34" t="s">
        <v>149</v>
      </c>
      <c r="D857" s="34" t="s">
        <v>26</v>
      </c>
      <c r="E857" s="35"/>
      <c r="F857" s="36">
        <f t="shared" si="276"/>
        <v>0</v>
      </c>
      <c r="G857" s="38"/>
      <c r="H857" s="36">
        <f t="shared" si="277"/>
        <v>0</v>
      </c>
      <c r="I857" s="35"/>
      <c r="J857" s="36">
        <f t="shared" si="278"/>
        <v>0</v>
      </c>
      <c r="K857" s="38"/>
      <c r="L857" s="36">
        <f t="shared" si="279"/>
        <v>0</v>
      </c>
      <c r="M857" s="35"/>
      <c r="N857" s="36">
        <f t="shared" si="287"/>
        <v>0</v>
      </c>
      <c r="O857" s="38"/>
      <c r="P857" s="36">
        <f t="shared" si="280"/>
        <v>0</v>
      </c>
      <c r="Q857" s="35"/>
      <c r="R857" s="36">
        <f t="shared" si="288"/>
        <v>0</v>
      </c>
      <c r="S857" s="38"/>
      <c r="T857" s="36">
        <f t="shared" si="281"/>
        <v>0</v>
      </c>
      <c r="U857" s="35"/>
      <c r="V857" s="36">
        <f t="shared" si="289"/>
        <v>0</v>
      </c>
      <c r="W857" s="38"/>
      <c r="X857" s="36">
        <f t="shared" si="282"/>
        <v>0</v>
      </c>
      <c r="Y857" s="35"/>
      <c r="Z857" s="36">
        <f t="shared" si="290"/>
        <v>0</v>
      </c>
      <c r="AA857" s="38"/>
      <c r="AB857" s="36">
        <f t="shared" si="283"/>
        <v>0</v>
      </c>
      <c r="AC857" s="35"/>
      <c r="AD857" s="36">
        <f t="shared" si="291"/>
        <v>0</v>
      </c>
      <c r="AE857" s="38"/>
      <c r="AF857" s="36">
        <f t="shared" si="284"/>
        <v>0</v>
      </c>
      <c r="AG857" s="35"/>
      <c r="AH857" s="36">
        <f t="shared" si="292"/>
        <v>0</v>
      </c>
      <c r="AI857" s="38"/>
      <c r="AJ857" s="36">
        <f t="shared" si="285"/>
        <v>0</v>
      </c>
      <c r="AK857" s="35"/>
      <c r="AL857" s="36">
        <f t="shared" si="293"/>
        <v>0</v>
      </c>
      <c r="AM857" s="38"/>
      <c r="AN857" s="36">
        <f t="shared" si="286"/>
        <v>0</v>
      </c>
      <c r="AO857" s="35"/>
      <c r="AP857" s="38"/>
    </row>
    <row r="858" spans="1:42" ht="15.75" customHeight="1" x14ac:dyDescent="0.25">
      <c r="A858" s="37">
        <v>2018</v>
      </c>
      <c r="B858" s="35">
        <v>170310</v>
      </c>
      <c r="C858" s="34" t="s">
        <v>144</v>
      </c>
      <c r="D858" s="34" t="s">
        <v>27</v>
      </c>
      <c r="E858" s="35"/>
      <c r="F858" s="36">
        <f t="shared" si="276"/>
        <v>0</v>
      </c>
      <c r="G858" s="38"/>
      <c r="H858" s="36">
        <f t="shared" si="277"/>
        <v>0</v>
      </c>
      <c r="I858" s="35"/>
      <c r="J858" s="36">
        <f t="shared" si="278"/>
        <v>0</v>
      </c>
      <c r="K858" s="38"/>
      <c r="L858" s="36">
        <f t="shared" si="279"/>
        <v>0</v>
      </c>
      <c r="M858" s="35"/>
      <c r="N858" s="36">
        <f t="shared" si="287"/>
        <v>0</v>
      </c>
      <c r="O858" s="38"/>
      <c r="P858" s="36">
        <f t="shared" si="280"/>
        <v>0</v>
      </c>
      <c r="Q858" s="35"/>
      <c r="R858" s="36">
        <f t="shared" si="288"/>
        <v>0</v>
      </c>
      <c r="S858" s="38"/>
      <c r="T858" s="36">
        <f t="shared" si="281"/>
        <v>0</v>
      </c>
      <c r="U858" s="35"/>
      <c r="V858" s="36">
        <f t="shared" si="289"/>
        <v>0</v>
      </c>
      <c r="W858" s="38"/>
      <c r="X858" s="36">
        <f t="shared" si="282"/>
        <v>0</v>
      </c>
      <c r="Y858" s="35"/>
      <c r="Z858" s="36">
        <f t="shared" si="290"/>
        <v>0</v>
      </c>
      <c r="AA858" s="38"/>
      <c r="AB858" s="36">
        <f t="shared" si="283"/>
        <v>0</v>
      </c>
      <c r="AC858" s="35"/>
      <c r="AD858" s="36">
        <f t="shared" si="291"/>
        <v>0</v>
      </c>
      <c r="AE858" s="38"/>
      <c r="AF858" s="36">
        <f t="shared" si="284"/>
        <v>0</v>
      </c>
      <c r="AG858" s="35"/>
      <c r="AH858" s="36">
        <f t="shared" si="292"/>
        <v>0</v>
      </c>
      <c r="AI858" s="38"/>
      <c r="AJ858" s="36">
        <f t="shared" si="285"/>
        <v>0</v>
      </c>
      <c r="AK858" s="35"/>
      <c r="AL858" s="36">
        <f t="shared" si="293"/>
        <v>0</v>
      </c>
      <c r="AM858" s="38"/>
      <c r="AN858" s="36">
        <f t="shared" si="286"/>
        <v>0</v>
      </c>
      <c r="AO858" s="35"/>
      <c r="AP858" s="38"/>
    </row>
    <row r="859" spans="1:42" ht="15.75" customHeight="1" x14ac:dyDescent="0.25">
      <c r="A859" s="37">
        <v>2018</v>
      </c>
      <c r="B859" s="35">
        <v>170320</v>
      </c>
      <c r="C859" s="34" t="s">
        <v>150</v>
      </c>
      <c r="D859" s="34" t="s">
        <v>28</v>
      </c>
      <c r="E859" s="35"/>
      <c r="F859" s="36">
        <f t="shared" si="276"/>
        <v>0</v>
      </c>
      <c r="G859" s="38"/>
      <c r="H859" s="36">
        <f t="shared" si="277"/>
        <v>0</v>
      </c>
      <c r="I859" s="35"/>
      <c r="J859" s="36">
        <f t="shared" si="278"/>
        <v>0</v>
      </c>
      <c r="K859" s="38"/>
      <c r="L859" s="36">
        <f t="shared" si="279"/>
        <v>0</v>
      </c>
      <c r="M859" s="35"/>
      <c r="N859" s="36">
        <f t="shared" si="287"/>
        <v>0</v>
      </c>
      <c r="O859" s="38"/>
      <c r="P859" s="36">
        <f t="shared" si="280"/>
        <v>0</v>
      </c>
      <c r="Q859" s="35"/>
      <c r="R859" s="36">
        <f t="shared" si="288"/>
        <v>0</v>
      </c>
      <c r="S859" s="38"/>
      <c r="T859" s="36">
        <f t="shared" si="281"/>
        <v>0</v>
      </c>
      <c r="U859" s="35"/>
      <c r="V859" s="36">
        <f t="shared" si="289"/>
        <v>0</v>
      </c>
      <c r="W859" s="38"/>
      <c r="X859" s="36">
        <f t="shared" si="282"/>
        <v>0</v>
      </c>
      <c r="Y859" s="35"/>
      <c r="Z859" s="36">
        <f t="shared" si="290"/>
        <v>0</v>
      </c>
      <c r="AA859" s="38"/>
      <c r="AB859" s="36">
        <f t="shared" si="283"/>
        <v>0</v>
      </c>
      <c r="AC859" s="35"/>
      <c r="AD859" s="36">
        <f t="shared" si="291"/>
        <v>0</v>
      </c>
      <c r="AE859" s="38"/>
      <c r="AF859" s="36">
        <f t="shared" si="284"/>
        <v>0</v>
      </c>
      <c r="AG859" s="35"/>
      <c r="AH859" s="36">
        <f t="shared" si="292"/>
        <v>0</v>
      </c>
      <c r="AI859" s="38"/>
      <c r="AJ859" s="36">
        <f t="shared" si="285"/>
        <v>0</v>
      </c>
      <c r="AK859" s="35"/>
      <c r="AL859" s="36">
        <f t="shared" si="293"/>
        <v>0</v>
      </c>
      <c r="AM859" s="38"/>
      <c r="AN859" s="36">
        <f t="shared" si="286"/>
        <v>0</v>
      </c>
      <c r="AO859" s="35"/>
      <c r="AP859" s="38"/>
    </row>
    <row r="860" spans="1:42" ht="15.75" customHeight="1" x14ac:dyDescent="0.25">
      <c r="A860" s="37">
        <v>2018</v>
      </c>
      <c r="B860" s="35">
        <v>170330</v>
      </c>
      <c r="C860" s="34" t="s">
        <v>150</v>
      </c>
      <c r="D860" s="34" t="s">
        <v>29</v>
      </c>
      <c r="E860" s="35"/>
      <c r="F860" s="36">
        <f t="shared" si="276"/>
        <v>0</v>
      </c>
      <c r="G860" s="38"/>
      <c r="H860" s="36">
        <f t="shared" si="277"/>
        <v>0</v>
      </c>
      <c r="I860" s="35"/>
      <c r="J860" s="36">
        <f t="shared" si="278"/>
        <v>0</v>
      </c>
      <c r="K860" s="38"/>
      <c r="L860" s="36">
        <f t="shared" si="279"/>
        <v>0</v>
      </c>
      <c r="M860" s="35"/>
      <c r="N860" s="36">
        <f t="shared" si="287"/>
        <v>0</v>
      </c>
      <c r="O860" s="38"/>
      <c r="P860" s="36">
        <f t="shared" si="280"/>
        <v>0</v>
      </c>
      <c r="Q860" s="35"/>
      <c r="R860" s="36">
        <f t="shared" si="288"/>
        <v>0</v>
      </c>
      <c r="S860" s="38"/>
      <c r="T860" s="36">
        <f t="shared" si="281"/>
        <v>0</v>
      </c>
      <c r="U860" s="35"/>
      <c r="V860" s="36">
        <f t="shared" si="289"/>
        <v>0</v>
      </c>
      <c r="W860" s="38"/>
      <c r="X860" s="36">
        <f t="shared" si="282"/>
        <v>0</v>
      </c>
      <c r="Y860" s="35"/>
      <c r="Z860" s="36">
        <f t="shared" si="290"/>
        <v>0</v>
      </c>
      <c r="AA860" s="38"/>
      <c r="AB860" s="36">
        <f t="shared" si="283"/>
        <v>0</v>
      </c>
      <c r="AC860" s="35"/>
      <c r="AD860" s="36">
        <f t="shared" si="291"/>
        <v>0</v>
      </c>
      <c r="AE860" s="38"/>
      <c r="AF860" s="36">
        <f t="shared" si="284"/>
        <v>0</v>
      </c>
      <c r="AG860" s="35"/>
      <c r="AH860" s="36">
        <f t="shared" si="292"/>
        <v>0</v>
      </c>
      <c r="AI860" s="38"/>
      <c r="AJ860" s="36">
        <f t="shared" si="285"/>
        <v>0</v>
      </c>
      <c r="AK860" s="35"/>
      <c r="AL860" s="36">
        <f t="shared" si="293"/>
        <v>0</v>
      </c>
      <c r="AM860" s="38"/>
      <c r="AN860" s="36">
        <f t="shared" si="286"/>
        <v>0</v>
      </c>
      <c r="AO860" s="35"/>
      <c r="AP860" s="38"/>
    </row>
    <row r="861" spans="1:42" ht="15.75" customHeight="1" x14ac:dyDescent="0.25">
      <c r="A861" s="37">
        <v>2018</v>
      </c>
      <c r="B861" s="35">
        <v>170360</v>
      </c>
      <c r="C861" s="34" t="s">
        <v>150</v>
      </c>
      <c r="D861" s="34" t="s">
        <v>30</v>
      </c>
      <c r="E861" s="35"/>
      <c r="F861" s="36">
        <f t="shared" si="276"/>
        <v>0</v>
      </c>
      <c r="G861" s="38"/>
      <c r="H861" s="36">
        <f t="shared" si="277"/>
        <v>0</v>
      </c>
      <c r="I861" s="35"/>
      <c r="J861" s="36">
        <f t="shared" si="278"/>
        <v>0</v>
      </c>
      <c r="K861" s="38"/>
      <c r="L861" s="36">
        <f t="shared" si="279"/>
        <v>0</v>
      </c>
      <c r="M861" s="35"/>
      <c r="N861" s="36">
        <f t="shared" si="287"/>
        <v>0</v>
      </c>
      <c r="O861" s="38"/>
      <c r="P861" s="36">
        <f t="shared" si="280"/>
        <v>0</v>
      </c>
      <c r="Q861" s="35"/>
      <c r="R861" s="36">
        <f t="shared" si="288"/>
        <v>0</v>
      </c>
      <c r="S861" s="38"/>
      <c r="T861" s="36">
        <f t="shared" si="281"/>
        <v>0</v>
      </c>
      <c r="U861" s="35"/>
      <c r="V861" s="36">
        <f t="shared" si="289"/>
        <v>0</v>
      </c>
      <c r="W861" s="38"/>
      <c r="X861" s="36">
        <f t="shared" si="282"/>
        <v>0</v>
      </c>
      <c r="Y861" s="35"/>
      <c r="Z861" s="36">
        <f t="shared" si="290"/>
        <v>0</v>
      </c>
      <c r="AA861" s="38"/>
      <c r="AB861" s="36">
        <f t="shared" si="283"/>
        <v>0</v>
      </c>
      <c r="AC861" s="35"/>
      <c r="AD861" s="36">
        <f t="shared" si="291"/>
        <v>0</v>
      </c>
      <c r="AE861" s="38"/>
      <c r="AF861" s="36">
        <f t="shared" si="284"/>
        <v>0</v>
      </c>
      <c r="AG861" s="35"/>
      <c r="AH861" s="36">
        <f t="shared" si="292"/>
        <v>0</v>
      </c>
      <c r="AI861" s="38"/>
      <c r="AJ861" s="36">
        <f t="shared" si="285"/>
        <v>0</v>
      </c>
      <c r="AK861" s="35"/>
      <c r="AL861" s="36">
        <f t="shared" si="293"/>
        <v>0</v>
      </c>
      <c r="AM861" s="38"/>
      <c r="AN861" s="36">
        <f t="shared" si="286"/>
        <v>0</v>
      </c>
      <c r="AO861" s="35"/>
      <c r="AP861" s="38"/>
    </row>
    <row r="862" spans="1:42" ht="15.75" customHeight="1" x14ac:dyDescent="0.25">
      <c r="A862" s="37">
        <v>2018</v>
      </c>
      <c r="B862" s="35">
        <v>170370</v>
      </c>
      <c r="C862" s="34" t="s">
        <v>151</v>
      </c>
      <c r="D862" s="34" t="s">
        <v>31</v>
      </c>
      <c r="E862" s="35"/>
      <c r="F862" s="36">
        <f t="shared" si="276"/>
        <v>0</v>
      </c>
      <c r="G862" s="38"/>
      <c r="H862" s="36">
        <f t="shared" si="277"/>
        <v>0</v>
      </c>
      <c r="I862" s="35"/>
      <c r="J862" s="36">
        <f t="shared" si="278"/>
        <v>0</v>
      </c>
      <c r="K862" s="38"/>
      <c r="L862" s="36">
        <f t="shared" si="279"/>
        <v>0</v>
      </c>
      <c r="M862" s="35"/>
      <c r="N862" s="36">
        <f t="shared" si="287"/>
        <v>0</v>
      </c>
      <c r="O862" s="38"/>
      <c r="P862" s="36">
        <f t="shared" si="280"/>
        <v>0</v>
      </c>
      <c r="Q862" s="35"/>
      <c r="R862" s="36">
        <f t="shared" si="288"/>
        <v>0</v>
      </c>
      <c r="S862" s="38"/>
      <c r="T862" s="36">
        <f t="shared" si="281"/>
        <v>0</v>
      </c>
      <c r="U862" s="35"/>
      <c r="V862" s="36">
        <f t="shared" si="289"/>
        <v>0</v>
      </c>
      <c r="W862" s="38"/>
      <c r="X862" s="36">
        <f t="shared" si="282"/>
        <v>0</v>
      </c>
      <c r="Y862" s="35"/>
      <c r="Z862" s="36">
        <f t="shared" si="290"/>
        <v>0</v>
      </c>
      <c r="AA862" s="38"/>
      <c r="AB862" s="36">
        <f t="shared" si="283"/>
        <v>0</v>
      </c>
      <c r="AC862" s="35"/>
      <c r="AD862" s="36">
        <f t="shared" si="291"/>
        <v>0</v>
      </c>
      <c r="AE862" s="38"/>
      <c r="AF862" s="36">
        <f t="shared" si="284"/>
        <v>0</v>
      </c>
      <c r="AG862" s="35"/>
      <c r="AH862" s="36">
        <f t="shared" si="292"/>
        <v>0</v>
      </c>
      <c r="AI862" s="38"/>
      <c r="AJ862" s="36">
        <f t="shared" si="285"/>
        <v>0</v>
      </c>
      <c r="AK862" s="35"/>
      <c r="AL862" s="36">
        <f t="shared" si="293"/>
        <v>0</v>
      </c>
      <c r="AM862" s="38"/>
      <c r="AN862" s="36">
        <f t="shared" si="286"/>
        <v>0</v>
      </c>
      <c r="AO862" s="35"/>
      <c r="AP862" s="38"/>
    </row>
    <row r="863" spans="1:42" ht="15.75" customHeight="1" x14ac:dyDescent="0.25">
      <c r="A863" s="37">
        <v>2018</v>
      </c>
      <c r="B863" s="35">
        <v>170380</v>
      </c>
      <c r="C863" s="34" t="s">
        <v>145</v>
      </c>
      <c r="D863" s="34" t="s">
        <v>32</v>
      </c>
      <c r="E863" s="35"/>
      <c r="F863" s="36">
        <f t="shared" si="276"/>
        <v>0</v>
      </c>
      <c r="G863" s="38"/>
      <c r="H863" s="36">
        <f t="shared" si="277"/>
        <v>0</v>
      </c>
      <c r="I863" s="35"/>
      <c r="J863" s="36">
        <f t="shared" si="278"/>
        <v>0</v>
      </c>
      <c r="K863" s="38"/>
      <c r="L863" s="36">
        <f t="shared" si="279"/>
        <v>0</v>
      </c>
      <c r="M863" s="35"/>
      <c r="N863" s="36">
        <f t="shared" si="287"/>
        <v>0</v>
      </c>
      <c r="O863" s="38"/>
      <c r="P863" s="36">
        <f t="shared" si="280"/>
        <v>0</v>
      </c>
      <c r="Q863" s="35"/>
      <c r="R863" s="36">
        <f t="shared" si="288"/>
        <v>0</v>
      </c>
      <c r="S863" s="38"/>
      <c r="T863" s="36">
        <f t="shared" si="281"/>
        <v>0</v>
      </c>
      <c r="U863" s="35"/>
      <c r="V863" s="36">
        <f t="shared" si="289"/>
        <v>0</v>
      </c>
      <c r="W863" s="38"/>
      <c r="X863" s="36">
        <f t="shared" si="282"/>
        <v>0</v>
      </c>
      <c r="Y863" s="35"/>
      <c r="Z863" s="36">
        <f t="shared" si="290"/>
        <v>0</v>
      </c>
      <c r="AA863" s="38"/>
      <c r="AB863" s="36">
        <f t="shared" si="283"/>
        <v>0</v>
      </c>
      <c r="AC863" s="35"/>
      <c r="AD863" s="36">
        <f t="shared" si="291"/>
        <v>0</v>
      </c>
      <c r="AE863" s="38"/>
      <c r="AF863" s="36">
        <f t="shared" si="284"/>
        <v>0</v>
      </c>
      <c r="AG863" s="35"/>
      <c r="AH863" s="36">
        <f t="shared" si="292"/>
        <v>0</v>
      </c>
      <c r="AI863" s="38"/>
      <c r="AJ863" s="36">
        <f t="shared" si="285"/>
        <v>0</v>
      </c>
      <c r="AK863" s="35"/>
      <c r="AL863" s="36">
        <f t="shared" si="293"/>
        <v>0</v>
      </c>
      <c r="AM863" s="38"/>
      <c r="AN863" s="36">
        <f t="shared" si="286"/>
        <v>0</v>
      </c>
      <c r="AO863" s="35"/>
      <c r="AP863" s="38"/>
    </row>
    <row r="864" spans="1:42" ht="15.75" customHeight="1" x14ac:dyDescent="0.25">
      <c r="A864" s="37">
        <v>2018</v>
      </c>
      <c r="B864" s="35">
        <v>170382</v>
      </c>
      <c r="C864" s="34" t="s">
        <v>145</v>
      </c>
      <c r="D864" s="34" t="s">
        <v>33</v>
      </c>
      <c r="E864" s="35"/>
      <c r="F864" s="36">
        <f t="shared" si="276"/>
        <v>0</v>
      </c>
      <c r="G864" s="38"/>
      <c r="H864" s="36">
        <f t="shared" si="277"/>
        <v>0</v>
      </c>
      <c r="I864" s="35"/>
      <c r="J864" s="36">
        <f t="shared" si="278"/>
        <v>0</v>
      </c>
      <c r="K864" s="38"/>
      <c r="L864" s="36">
        <f t="shared" si="279"/>
        <v>0</v>
      </c>
      <c r="M864" s="35"/>
      <c r="N864" s="36">
        <f t="shared" si="287"/>
        <v>0</v>
      </c>
      <c r="O864" s="38"/>
      <c r="P864" s="36">
        <f t="shared" si="280"/>
        <v>0</v>
      </c>
      <c r="Q864" s="35"/>
      <c r="R864" s="36">
        <f t="shared" si="288"/>
        <v>0</v>
      </c>
      <c r="S864" s="38"/>
      <c r="T864" s="36">
        <f t="shared" si="281"/>
        <v>0</v>
      </c>
      <c r="U864" s="35"/>
      <c r="V864" s="36">
        <f t="shared" si="289"/>
        <v>0</v>
      </c>
      <c r="W864" s="38"/>
      <c r="X864" s="36">
        <f t="shared" si="282"/>
        <v>0</v>
      </c>
      <c r="Y864" s="35"/>
      <c r="Z864" s="36">
        <f t="shared" si="290"/>
        <v>0</v>
      </c>
      <c r="AA864" s="38"/>
      <c r="AB864" s="36">
        <f t="shared" si="283"/>
        <v>0</v>
      </c>
      <c r="AC864" s="35"/>
      <c r="AD864" s="36">
        <f t="shared" si="291"/>
        <v>0</v>
      </c>
      <c r="AE864" s="38"/>
      <c r="AF864" s="36">
        <f t="shared" si="284"/>
        <v>0</v>
      </c>
      <c r="AG864" s="35"/>
      <c r="AH864" s="36">
        <f t="shared" si="292"/>
        <v>0</v>
      </c>
      <c r="AI864" s="38"/>
      <c r="AJ864" s="36">
        <f t="shared" si="285"/>
        <v>0</v>
      </c>
      <c r="AK864" s="35"/>
      <c r="AL864" s="36">
        <f t="shared" si="293"/>
        <v>0</v>
      </c>
      <c r="AM864" s="38"/>
      <c r="AN864" s="36">
        <f t="shared" si="286"/>
        <v>0</v>
      </c>
      <c r="AO864" s="35"/>
      <c r="AP864" s="38"/>
    </row>
    <row r="865" spans="1:42" ht="15.75" customHeight="1" x14ac:dyDescent="0.25">
      <c r="A865" s="37">
        <v>2018</v>
      </c>
      <c r="B865" s="35">
        <v>170384</v>
      </c>
      <c r="C865" s="34" t="s">
        <v>149</v>
      </c>
      <c r="D865" s="34" t="s">
        <v>34</v>
      </c>
      <c r="E865" s="35"/>
      <c r="F865" s="36">
        <f t="shared" si="276"/>
        <v>0</v>
      </c>
      <c r="G865" s="38"/>
      <c r="H865" s="36">
        <f t="shared" si="277"/>
        <v>0</v>
      </c>
      <c r="I865" s="35"/>
      <c r="J865" s="36">
        <f t="shared" si="278"/>
        <v>0</v>
      </c>
      <c r="K865" s="38"/>
      <c r="L865" s="36">
        <f t="shared" si="279"/>
        <v>0</v>
      </c>
      <c r="M865" s="35"/>
      <c r="N865" s="36">
        <f t="shared" si="287"/>
        <v>0</v>
      </c>
      <c r="O865" s="38"/>
      <c r="P865" s="36">
        <f t="shared" si="280"/>
        <v>0</v>
      </c>
      <c r="Q865" s="35"/>
      <c r="R865" s="36">
        <f t="shared" si="288"/>
        <v>0</v>
      </c>
      <c r="S865" s="38"/>
      <c r="T865" s="36">
        <f t="shared" si="281"/>
        <v>0</v>
      </c>
      <c r="U865" s="35"/>
      <c r="V865" s="36">
        <f t="shared" si="289"/>
        <v>0</v>
      </c>
      <c r="W865" s="38"/>
      <c r="X865" s="36">
        <f t="shared" si="282"/>
        <v>0</v>
      </c>
      <c r="Y865" s="35"/>
      <c r="Z865" s="36">
        <f t="shared" si="290"/>
        <v>0</v>
      </c>
      <c r="AA865" s="38"/>
      <c r="AB865" s="36">
        <f t="shared" si="283"/>
        <v>0</v>
      </c>
      <c r="AC865" s="35"/>
      <c r="AD865" s="36">
        <f t="shared" si="291"/>
        <v>0</v>
      </c>
      <c r="AE865" s="38"/>
      <c r="AF865" s="36">
        <f t="shared" si="284"/>
        <v>0</v>
      </c>
      <c r="AG865" s="35"/>
      <c r="AH865" s="36">
        <f t="shared" si="292"/>
        <v>0</v>
      </c>
      <c r="AI865" s="38"/>
      <c r="AJ865" s="36">
        <f t="shared" si="285"/>
        <v>0</v>
      </c>
      <c r="AK865" s="35"/>
      <c r="AL865" s="36">
        <f t="shared" si="293"/>
        <v>0</v>
      </c>
      <c r="AM865" s="38"/>
      <c r="AN865" s="36">
        <f t="shared" si="286"/>
        <v>0</v>
      </c>
      <c r="AO865" s="35"/>
      <c r="AP865" s="38"/>
    </row>
    <row r="866" spans="1:42" ht="15.75" customHeight="1" x14ac:dyDescent="0.25">
      <c r="A866" s="37">
        <v>2018</v>
      </c>
      <c r="B866" s="35">
        <v>170386</v>
      </c>
      <c r="C866" s="34" t="s">
        <v>146</v>
      </c>
      <c r="D866" s="34" t="s">
        <v>35</v>
      </c>
      <c r="E866" s="35"/>
      <c r="F866" s="36">
        <f t="shared" si="276"/>
        <v>0</v>
      </c>
      <c r="G866" s="38"/>
      <c r="H866" s="36">
        <f t="shared" si="277"/>
        <v>0</v>
      </c>
      <c r="I866" s="35"/>
      <c r="J866" s="36">
        <f t="shared" si="278"/>
        <v>0</v>
      </c>
      <c r="K866" s="38"/>
      <c r="L866" s="36">
        <f t="shared" si="279"/>
        <v>0</v>
      </c>
      <c r="M866" s="35"/>
      <c r="N866" s="36">
        <f t="shared" si="287"/>
        <v>0</v>
      </c>
      <c r="O866" s="38"/>
      <c r="P866" s="36">
        <f t="shared" si="280"/>
        <v>0</v>
      </c>
      <c r="Q866" s="35"/>
      <c r="R866" s="36">
        <f t="shared" si="288"/>
        <v>0</v>
      </c>
      <c r="S866" s="38"/>
      <c r="T866" s="36">
        <f t="shared" si="281"/>
        <v>0</v>
      </c>
      <c r="U866" s="35"/>
      <c r="V866" s="36">
        <f t="shared" si="289"/>
        <v>0</v>
      </c>
      <c r="W866" s="38"/>
      <c r="X866" s="36">
        <f t="shared" si="282"/>
        <v>0</v>
      </c>
      <c r="Y866" s="35"/>
      <c r="Z866" s="36">
        <f t="shared" si="290"/>
        <v>0</v>
      </c>
      <c r="AA866" s="38"/>
      <c r="AB866" s="36">
        <f t="shared" si="283"/>
        <v>0</v>
      </c>
      <c r="AC866" s="35"/>
      <c r="AD866" s="36">
        <f t="shared" si="291"/>
        <v>0</v>
      </c>
      <c r="AE866" s="38"/>
      <c r="AF866" s="36">
        <f t="shared" si="284"/>
        <v>0</v>
      </c>
      <c r="AG866" s="35"/>
      <c r="AH866" s="36">
        <f t="shared" si="292"/>
        <v>0</v>
      </c>
      <c r="AI866" s="38"/>
      <c r="AJ866" s="36">
        <f t="shared" si="285"/>
        <v>0</v>
      </c>
      <c r="AK866" s="35"/>
      <c r="AL866" s="36">
        <f t="shared" si="293"/>
        <v>0</v>
      </c>
      <c r="AM866" s="38"/>
      <c r="AN866" s="36">
        <f t="shared" si="286"/>
        <v>0</v>
      </c>
      <c r="AO866" s="35"/>
      <c r="AP866" s="38"/>
    </row>
    <row r="867" spans="1:42" ht="15.75" customHeight="1" x14ac:dyDescent="0.25">
      <c r="A867" s="37">
        <v>2018</v>
      </c>
      <c r="B867" s="35">
        <v>170388</v>
      </c>
      <c r="C867" s="34" t="s">
        <v>149</v>
      </c>
      <c r="D867" s="34" t="s">
        <v>36</v>
      </c>
      <c r="E867" s="35"/>
      <c r="F867" s="36">
        <f t="shared" si="276"/>
        <v>0</v>
      </c>
      <c r="G867" s="38"/>
      <c r="H867" s="36">
        <f t="shared" si="277"/>
        <v>0</v>
      </c>
      <c r="I867" s="35"/>
      <c r="J867" s="36">
        <f t="shared" si="278"/>
        <v>0</v>
      </c>
      <c r="K867" s="38"/>
      <c r="L867" s="36">
        <f t="shared" si="279"/>
        <v>0</v>
      </c>
      <c r="M867" s="35"/>
      <c r="N867" s="36">
        <f t="shared" si="287"/>
        <v>0</v>
      </c>
      <c r="O867" s="38"/>
      <c r="P867" s="36">
        <f t="shared" si="280"/>
        <v>0</v>
      </c>
      <c r="Q867" s="35"/>
      <c r="R867" s="36">
        <f t="shared" si="288"/>
        <v>0</v>
      </c>
      <c r="S867" s="38"/>
      <c r="T867" s="36">
        <f t="shared" si="281"/>
        <v>0</v>
      </c>
      <c r="U867" s="35"/>
      <c r="V867" s="36">
        <f t="shared" si="289"/>
        <v>0</v>
      </c>
      <c r="W867" s="38"/>
      <c r="X867" s="36">
        <f t="shared" si="282"/>
        <v>0</v>
      </c>
      <c r="Y867" s="35"/>
      <c r="Z867" s="36">
        <f t="shared" si="290"/>
        <v>0</v>
      </c>
      <c r="AA867" s="38"/>
      <c r="AB867" s="36">
        <f t="shared" si="283"/>
        <v>0</v>
      </c>
      <c r="AC867" s="35"/>
      <c r="AD867" s="36">
        <f t="shared" si="291"/>
        <v>0</v>
      </c>
      <c r="AE867" s="38"/>
      <c r="AF867" s="36">
        <f t="shared" si="284"/>
        <v>0</v>
      </c>
      <c r="AG867" s="35"/>
      <c r="AH867" s="36">
        <f t="shared" si="292"/>
        <v>0</v>
      </c>
      <c r="AI867" s="38"/>
      <c r="AJ867" s="36">
        <f t="shared" si="285"/>
        <v>0</v>
      </c>
      <c r="AK867" s="35"/>
      <c r="AL867" s="36">
        <f t="shared" si="293"/>
        <v>0</v>
      </c>
      <c r="AM867" s="38"/>
      <c r="AN867" s="36">
        <f t="shared" si="286"/>
        <v>0</v>
      </c>
      <c r="AO867" s="35"/>
      <c r="AP867" s="38"/>
    </row>
    <row r="868" spans="1:42" ht="15.75" customHeight="1" x14ac:dyDescent="0.25">
      <c r="A868" s="37">
        <v>2018</v>
      </c>
      <c r="B868" s="35">
        <v>170389</v>
      </c>
      <c r="C868" s="34" t="s">
        <v>145</v>
      </c>
      <c r="D868" s="34" t="s">
        <v>37</v>
      </c>
      <c r="E868" s="35"/>
      <c r="F868" s="36">
        <f t="shared" si="276"/>
        <v>0</v>
      </c>
      <c r="G868" s="38"/>
      <c r="H868" s="36">
        <f t="shared" si="277"/>
        <v>0</v>
      </c>
      <c r="I868" s="35"/>
      <c r="J868" s="36">
        <f t="shared" si="278"/>
        <v>0</v>
      </c>
      <c r="K868" s="38"/>
      <c r="L868" s="36">
        <f t="shared" si="279"/>
        <v>0</v>
      </c>
      <c r="M868" s="35"/>
      <c r="N868" s="36">
        <f t="shared" si="287"/>
        <v>0</v>
      </c>
      <c r="O868" s="38"/>
      <c r="P868" s="36">
        <f t="shared" si="280"/>
        <v>0</v>
      </c>
      <c r="Q868" s="35"/>
      <c r="R868" s="36">
        <f t="shared" si="288"/>
        <v>0</v>
      </c>
      <c r="S868" s="38"/>
      <c r="T868" s="36">
        <f t="shared" si="281"/>
        <v>0</v>
      </c>
      <c r="U868" s="35"/>
      <c r="V868" s="36">
        <f t="shared" si="289"/>
        <v>0</v>
      </c>
      <c r="W868" s="38"/>
      <c r="X868" s="36">
        <f t="shared" si="282"/>
        <v>0</v>
      </c>
      <c r="Y868" s="35"/>
      <c r="Z868" s="36">
        <f t="shared" si="290"/>
        <v>0</v>
      </c>
      <c r="AA868" s="38"/>
      <c r="AB868" s="36">
        <f t="shared" si="283"/>
        <v>0</v>
      </c>
      <c r="AC868" s="35"/>
      <c r="AD868" s="36">
        <f t="shared" si="291"/>
        <v>0</v>
      </c>
      <c r="AE868" s="38"/>
      <c r="AF868" s="36">
        <f t="shared" si="284"/>
        <v>0</v>
      </c>
      <c r="AG868" s="35"/>
      <c r="AH868" s="36">
        <f t="shared" si="292"/>
        <v>0</v>
      </c>
      <c r="AI868" s="38"/>
      <c r="AJ868" s="36">
        <f t="shared" si="285"/>
        <v>0</v>
      </c>
      <c r="AK868" s="35"/>
      <c r="AL868" s="36">
        <f t="shared" si="293"/>
        <v>0</v>
      </c>
      <c r="AM868" s="38"/>
      <c r="AN868" s="36">
        <f t="shared" si="286"/>
        <v>0</v>
      </c>
      <c r="AO868" s="35"/>
      <c r="AP868" s="38"/>
    </row>
    <row r="869" spans="1:42" ht="15.75" customHeight="1" x14ac:dyDescent="0.25">
      <c r="A869" s="37">
        <v>2018</v>
      </c>
      <c r="B869" s="35">
        <v>170390</v>
      </c>
      <c r="C869" s="34" t="s">
        <v>144</v>
      </c>
      <c r="D869" s="34" t="s">
        <v>38</v>
      </c>
      <c r="E869" s="35"/>
      <c r="F869" s="36">
        <f t="shared" si="276"/>
        <v>0</v>
      </c>
      <c r="G869" s="38"/>
      <c r="H869" s="36">
        <f t="shared" si="277"/>
        <v>0</v>
      </c>
      <c r="I869" s="35"/>
      <c r="J869" s="36">
        <f t="shared" si="278"/>
        <v>0</v>
      </c>
      <c r="K869" s="38"/>
      <c r="L869" s="36">
        <f t="shared" si="279"/>
        <v>0</v>
      </c>
      <c r="M869" s="35"/>
      <c r="N869" s="36">
        <f t="shared" si="287"/>
        <v>0</v>
      </c>
      <c r="O869" s="38"/>
      <c r="P869" s="36">
        <f t="shared" si="280"/>
        <v>0</v>
      </c>
      <c r="Q869" s="35"/>
      <c r="R869" s="36">
        <f t="shared" si="288"/>
        <v>0</v>
      </c>
      <c r="S869" s="38"/>
      <c r="T869" s="36">
        <f t="shared" si="281"/>
        <v>0</v>
      </c>
      <c r="U869" s="35"/>
      <c r="V869" s="36">
        <f t="shared" si="289"/>
        <v>0</v>
      </c>
      <c r="W869" s="38"/>
      <c r="X869" s="36">
        <f t="shared" si="282"/>
        <v>0</v>
      </c>
      <c r="Y869" s="35"/>
      <c r="Z869" s="36">
        <f t="shared" si="290"/>
        <v>0</v>
      </c>
      <c r="AA869" s="38"/>
      <c r="AB869" s="36">
        <f t="shared" si="283"/>
        <v>0</v>
      </c>
      <c r="AC869" s="35"/>
      <c r="AD869" s="36">
        <f t="shared" si="291"/>
        <v>0</v>
      </c>
      <c r="AE869" s="38"/>
      <c r="AF869" s="36">
        <f t="shared" si="284"/>
        <v>0</v>
      </c>
      <c r="AG869" s="35"/>
      <c r="AH869" s="36">
        <f t="shared" si="292"/>
        <v>0</v>
      </c>
      <c r="AI869" s="38"/>
      <c r="AJ869" s="36">
        <f t="shared" si="285"/>
        <v>0</v>
      </c>
      <c r="AK869" s="35"/>
      <c r="AL869" s="36">
        <f t="shared" si="293"/>
        <v>0</v>
      </c>
      <c r="AM869" s="38"/>
      <c r="AN869" s="36">
        <f t="shared" si="286"/>
        <v>0</v>
      </c>
      <c r="AO869" s="35"/>
      <c r="AP869" s="38"/>
    </row>
    <row r="870" spans="1:42" ht="15.75" customHeight="1" x14ac:dyDescent="0.25">
      <c r="A870" s="37">
        <v>2018</v>
      </c>
      <c r="B870" s="35">
        <v>170410</v>
      </c>
      <c r="C870" s="34" t="s">
        <v>150</v>
      </c>
      <c r="D870" s="34" t="s">
        <v>39</v>
      </c>
      <c r="E870" s="35"/>
      <c r="F870" s="36">
        <f t="shared" si="276"/>
        <v>0</v>
      </c>
      <c r="G870" s="38"/>
      <c r="H870" s="36">
        <f t="shared" si="277"/>
        <v>0</v>
      </c>
      <c r="I870" s="35"/>
      <c r="J870" s="36">
        <f t="shared" si="278"/>
        <v>0</v>
      </c>
      <c r="K870" s="38"/>
      <c r="L870" s="36">
        <f t="shared" si="279"/>
        <v>0</v>
      </c>
      <c r="M870" s="35"/>
      <c r="N870" s="36">
        <f t="shared" si="287"/>
        <v>0</v>
      </c>
      <c r="O870" s="38"/>
      <c r="P870" s="36">
        <f t="shared" si="280"/>
        <v>0</v>
      </c>
      <c r="Q870" s="35"/>
      <c r="R870" s="36">
        <f t="shared" si="288"/>
        <v>0</v>
      </c>
      <c r="S870" s="38"/>
      <c r="T870" s="36">
        <f t="shared" si="281"/>
        <v>0</v>
      </c>
      <c r="U870" s="35"/>
      <c r="V870" s="36">
        <f t="shared" si="289"/>
        <v>0</v>
      </c>
      <c r="W870" s="38"/>
      <c r="X870" s="36">
        <f t="shared" si="282"/>
        <v>0</v>
      </c>
      <c r="Y870" s="35"/>
      <c r="Z870" s="36">
        <f t="shared" si="290"/>
        <v>0</v>
      </c>
      <c r="AA870" s="38"/>
      <c r="AB870" s="36">
        <f t="shared" si="283"/>
        <v>0</v>
      </c>
      <c r="AC870" s="35"/>
      <c r="AD870" s="36">
        <f t="shared" si="291"/>
        <v>0</v>
      </c>
      <c r="AE870" s="38"/>
      <c r="AF870" s="36">
        <f t="shared" si="284"/>
        <v>0</v>
      </c>
      <c r="AG870" s="35"/>
      <c r="AH870" s="36">
        <f t="shared" si="292"/>
        <v>0</v>
      </c>
      <c r="AI870" s="38"/>
      <c r="AJ870" s="36">
        <f t="shared" si="285"/>
        <v>0</v>
      </c>
      <c r="AK870" s="35"/>
      <c r="AL870" s="36">
        <f t="shared" si="293"/>
        <v>0</v>
      </c>
      <c r="AM870" s="38"/>
      <c r="AN870" s="36">
        <f t="shared" si="286"/>
        <v>0</v>
      </c>
      <c r="AO870" s="35"/>
      <c r="AP870" s="38"/>
    </row>
    <row r="871" spans="1:42" ht="15.75" customHeight="1" x14ac:dyDescent="0.25">
      <c r="A871" s="37">
        <v>2018</v>
      </c>
      <c r="B871" s="35">
        <v>170510</v>
      </c>
      <c r="C871" s="34" t="s">
        <v>151</v>
      </c>
      <c r="D871" s="34" t="s">
        <v>40</v>
      </c>
      <c r="E871" s="35"/>
      <c r="F871" s="36">
        <f t="shared" si="276"/>
        <v>0</v>
      </c>
      <c r="G871" s="38"/>
      <c r="H871" s="36">
        <f t="shared" si="277"/>
        <v>0</v>
      </c>
      <c r="I871" s="35"/>
      <c r="J871" s="36">
        <f t="shared" si="278"/>
        <v>0</v>
      </c>
      <c r="K871" s="38"/>
      <c r="L871" s="36">
        <f t="shared" si="279"/>
        <v>0</v>
      </c>
      <c r="M871" s="35"/>
      <c r="N871" s="36">
        <f t="shared" si="287"/>
        <v>0</v>
      </c>
      <c r="O871" s="38"/>
      <c r="P871" s="36">
        <f t="shared" si="280"/>
        <v>0</v>
      </c>
      <c r="Q871" s="35"/>
      <c r="R871" s="36">
        <f t="shared" si="288"/>
        <v>0</v>
      </c>
      <c r="S871" s="38"/>
      <c r="T871" s="36">
        <f t="shared" si="281"/>
        <v>0</v>
      </c>
      <c r="U871" s="35"/>
      <c r="V871" s="36">
        <f t="shared" si="289"/>
        <v>0</v>
      </c>
      <c r="W871" s="38"/>
      <c r="X871" s="36">
        <f t="shared" si="282"/>
        <v>0</v>
      </c>
      <c r="Y871" s="35"/>
      <c r="Z871" s="36">
        <f t="shared" si="290"/>
        <v>0</v>
      </c>
      <c r="AA871" s="38"/>
      <c r="AB871" s="36">
        <f t="shared" si="283"/>
        <v>0</v>
      </c>
      <c r="AC871" s="35"/>
      <c r="AD871" s="36">
        <f t="shared" si="291"/>
        <v>0</v>
      </c>
      <c r="AE871" s="38"/>
      <c r="AF871" s="36">
        <f t="shared" si="284"/>
        <v>0</v>
      </c>
      <c r="AG871" s="35"/>
      <c r="AH871" s="36">
        <f t="shared" si="292"/>
        <v>0</v>
      </c>
      <c r="AI871" s="38"/>
      <c r="AJ871" s="36">
        <f t="shared" si="285"/>
        <v>0</v>
      </c>
      <c r="AK871" s="35"/>
      <c r="AL871" s="36">
        <f t="shared" si="293"/>
        <v>0</v>
      </c>
      <c r="AM871" s="38"/>
      <c r="AN871" s="36">
        <f t="shared" si="286"/>
        <v>0</v>
      </c>
      <c r="AO871" s="35"/>
      <c r="AP871" s="38"/>
    </row>
    <row r="872" spans="1:42" ht="15.75" customHeight="1" x14ac:dyDescent="0.25">
      <c r="A872" s="37">
        <v>2018</v>
      </c>
      <c r="B872" s="35">
        <v>170460</v>
      </c>
      <c r="C872" s="34" t="s">
        <v>144</v>
      </c>
      <c r="D872" s="34" t="s">
        <v>41</v>
      </c>
      <c r="E872" s="35"/>
      <c r="F872" s="36">
        <f t="shared" si="276"/>
        <v>0</v>
      </c>
      <c r="G872" s="38"/>
      <c r="H872" s="36">
        <f t="shared" si="277"/>
        <v>0</v>
      </c>
      <c r="I872" s="35"/>
      <c r="J872" s="36">
        <f t="shared" si="278"/>
        <v>0</v>
      </c>
      <c r="K872" s="38"/>
      <c r="L872" s="36">
        <f t="shared" si="279"/>
        <v>0</v>
      </c>
      <c r="M872" s="35"/>
      <c r="N872" s="36">
        <f t="shared" si="287"/>
        <v>0</v>
      </c>
      <c r="O872" s="38"/>
      <c r="P872" s="36">
        <f t="shared" si="280"/>
        <v>0</v>
      </c>
      <c r="Q872" s="35"/>
      <c r="R872" s="36">
        <f t="shared" si="288"/>
        <v>0</v>
      </c>
      <c r="S872" s="38"/>
      <c r="T872" s="36">
        <f t="shared" si="281"/>
        <v>0</v>
      </c>
      <c r="U872" s="35"/>
      <c r="V872" s="36">
        <f t="shared" si="289"/>
        <v>0</v>
      </c>
      <c r="W872" s="38"/>
      <c r="X872" s="36">
        <f t="shared" si="282"/>
        <v>0</v>
      </c>
      <c r="Y872" s="35"/>
      <c r="Z872" s="36">
        <f t="shared" si="290"/>
        <v>0</v>
      </c>
      <c r="AA872" s="38"/>
      <c r="AB872" s="36">
        <f t="shared" si="283"/>
        <v>0</v>
      </c>
      <c r="AC872" s="35"/>
      <c r="AD872" s="36">
        <f t="shared" si="291"/>
        <v>0</v>
      </c>
      <c r="AE872" s="38"/>
      <c r="AF872" s="36">
        <f t="shared" si="284"/>
        <v>0</v>
      </c>
      <c r="AG872" s="35"/>
      <c r="AH872" s="36">
        <f t="shared" si="292"/>
        <v>0</v>
      </c>
      <c r="AI872" s="38"/>
      <c r="AJ872" s="36">
        <f t="shared" si="285"/>
        <v>0</v>
      </c>
      <c r="AK872" s="35"/>
      <c r="AL872" s="36">
        <f t="shared" si="293"/>
        <v>0</v>
      </c>
      <c r="AM872" s="38"/>
      <c r="AN872" s="36">
        <f t="shared" si="286"/>
        <v>0</v>
      </c>
      <c r="AO872" s="35"/>
      <c r="AP872" s="38"/>
    </row>
    <row r="873" spans="1:42" ht="15.75" customHeight="1" x14ac:dyDescent="0.25">
      <c r="A873" s="37">
        <v>2018</v>
      </c>
      <c r="B873" s="35">
        <v>170550</v>
      </c>
      <c r="C873" s="34" t="s">
        <v>150</v>
      </c>
      <c r="D873" s="34" t="s">
        <v>42</v>
      </c>
      <c r="E873" s="35"/>
      <c r="F873" s="36">
        <f t="shared" si="276"/>
        <v>0</v>
      </c>
      <c r="G873" s="38"/>
      <c r="H873" s="36">
        <f t="shared" si="277"/>
        <v>0</v>
      </c>
      <c r="I873" s="35"/>
      <c r="J873" s="36">
        <f t="shared" si="278"/>
        <v>0</v>
      </c>
      <c r="K873" s="38"/>
      <c r="L873" s="36">
        <f t="shared" si="279"/>
        <v>0</v>
      </c>
      <c r="M873" s="35"/>
      <c r="N873" s="36">
        <f t="shared" si="287"/>
        <v>0</v>
      </c>
      <c r="O873" s="38"/>
      <c r="P873" s="36">
        <f t="shared" si="280"/>
        <v>0</v>
      </c>
      <c r="Q873" s="35"/>
      <c r="R873" s="36">
        <f t="shared" si="288"/>
        <v>0</v>
      </c>
      <c r="S873" s="38"/>
      <c r="T873" s="36">
        <f t="shared" si="281"/>
        <v>0</v>
      </c>
      <c r="U873" s="35"/>
      <c r="V873" s="36">
        <f t="shared" si="289"/>
        <v>0</v>
      </c>
      <c r="W873" s="38"/>
      <c r="X873" s="36">
        <f t="shared" si="282"/>
        <v>0</v>
      </c>
      <c r="Y873" s="35"/>
      <c r="Z873" s="36">
        <f t="shared" si="290"/>
        <v>0</v>
      </c>
      <c r="AA873" s="38"/>
      <c r="AB873" s="36">
        <f t="shared" si="283"/>
        <v>0</v>
      </c>
      <c r="AC873" s="35"/>
      <c r="AD873" s="36">
        <f t="shared" si="291"/>
        <v>0</v>
      </c>
      <c r="AE873" s="38"/>
      <c r="AF873" s="36">
        <f t="shared" si="284"/>
        <v>0</v>
      </c>
      <c r="AG873" s="35"/>
      <c r="AH873" s="36">
        <f t="shared" si="292"/>
        <v>0</v>
      </c>
      <c r="AI873" s="38"/>
      <c r="AJ873" s="36">
        <f t="shared" si="285"/>
        <v>0</v>
      </c>
      <c r="AK873" s="35"/>
      <c r="AL873" s="36">
        <f t="shared" si="293"/>
        <v>0</v>
      </c>
      <c r="AM873" s="38"/>
      <c r="AN873" s="36">
        <f t="shared" si="286"/>
        <v>0</v>
      </c>
      <c r="AO873" s="35"/>
      <c r="AP873" s="38"/>
    </row>
    <row r="874" spans="1:42" ht="15.75" customHeight="1" x14ac:dyDescent="0.25">
      <c r="A874" s="37">
        <v>2018</v>
      </c>
      <c r="B874" s="35">
        <v>171670</v>
      </c>
      <c r="C874" s="34" t="s">
        <v>150</v>
      </c>
      <c r="D874" s="34" t="s">
        <v>43</v>
      </c>
      <c r="E874" s="35"/>
      <c r="F874" s="36">
        <f t="shared" si="276"/>
        <v>0</v>
      </c>
      <c r="G874" s="38"/>
      <c r="H874" s="36">
        <f t="shared" si="277"/>
        <v>0</v>
      </c>
      <c r="I874" s="35"/>
      <c r="J874" s="36">
        <f t="shared" si="278"/>
        <v>0</v>
      </c>
      <c r="K874" s="38"/>
      <c r="L874" s="36">
        <f t="shared" si="279"/>
        <v>0</v>
      </c>
      <c r="M874" s="35"/>
      <c r="N874" s="36">
        <f t="shared" si="287"/>
        <v>0</v>
      </c>
      <c r="O874" s="38"/>
      <c r="P874" s="36">
        <f t="shared" si="280"/>
        <v>0</v>
      </c>
      <c r="Q874" s="35"/>
      <c r="R874" s="36">
        <f t="shared" si="288"/>
        <v>0</v>
      </c>
      <c r="S874" s="38"/>
      <c r="T874" s="36">
        <f t="shared" si="281"/>
        <v>0</v>
      </c>
      <c r="U874" s="35"/>
      <c r="V874" s="36">
        <f t="shared" si="289"/>
        <v>0</v>
      </c>
      <c r="W874" s="38"/>
      <c r="X874" s="36">
        <f t="shared" si="282"/>
        <v>0</v>
      </c>
      <c r="Y874" s="35"/>
      <c r="Z874" s="36">
        <f t="shared" si="290"/>
        <v>0</v>
      </c>
      <c r="AA874" s="38"/>
      <c r="AB874" s="36">
        <f t="shared" si="283"/>
        <v>0</v>
      </c>
      <c r="AC874" s="35"/>
      <c r="AD874" s="36">
        <f t="shared" si="291"/>
        <v>0</v>
      </c>
      <c r="AE874" s="38"/>
      <c r="AF874" s="36">
        <f t="shared" si="284"/>
        <v>0</v>
      </c>
      <c r="AG874" s="35"/>
      <c r="AH874" s="36">
        <f t="shared" si="292"/>
        <v>0</v>
      </c>
      <c r="AI874" s="38"/>
      <c r="AJ874" s="36">
        <f t="shared" si="285"/>
        <v>0</v>
      </c>
      <c r="AK874" s="35"/>
      <c r="AL874" s="36">
        <f t="shared" si="293"/>
        <v>0</v>
      </c>
      <c r="AM874" s="38"/>
      <c r="AN874" s="36">
        <f t="shared" si="286"/>
        <v>0</v>
      </c>
      <c r="AO874" s="35"/>
      <c r="AP874" s="38"/>
    </row>
    <row r="875" spans="1:42" ht="15.75" customHeight="1" x14ac:dyDescent="0.25">
      <c r="A875" s="37">
        <v>2018</v>
      </c>
      <c r="B875" s="35">
        <v>170555</v>
      </c>
      <c r="C875" s="34" t="s">
        <v>147</v>
      </c>
      <c r="D875" s="34" t="s">
        <v>44</v>
      </c>
      <c r="E875" s="35"/>
      <c r="F875" s="36">
        <f t="shared" si="276"/>
        <v>0</v>
      </c>
      <c r="G875" s="38"/>
      <c r="H875" s="36">
        <f t="shared" si="277"/>
        <v>0</v>
      </c>
      <c r="I875" s="35"/>
      <c r="J875" s="36">
        <f t="shared" si="278"/>
        <v>0</v>
      </c>
      <c r="K875" s="38"/>
      <c r="L875" s="36">
        <f t="shared" si="279"/>
        <v>0</v>
      </c>
      <c r="M875" s="35"/>
      <c r="N875" s="36">
        <f t="shared" si="287"/>
        <v>0</v>
      </c>
      <c r="O875" s="38"/>
      <c r="P875" s="36">
        <f t="shared" si="280"/>
        <v>0</v>
      </c>
      <c r="Q875" s="35"/>
      <c r="R875" s="36">
        <f t="shared" si="288"/>
        <v>0</v>
      </c>
      <c r="S875" s="38"/>
      <c r="T875" s="36">
        <f t="shared" si="281"/>
        <v>0</v>
      </c>
      <c r="U875" s="35"/>
      <c r="V875" s="36">
        <f t="shared" si="289"/>
        <v>0</v>
      </c>
      <c r="W875" s="38"/>
      <c r="X875" s="36">
        <f t="shared" si="282"/>
        <v>0</v>
      </c>
      <c r="Y875" s="35"/>
      <c r="Z875" s="36">
        <f t="shared" si="290"/>
        <v>0</v>
      </c>
      <c r="AA875" s="38"/>
      <c r="AB875" s="36">
        <f t="shared" si="283"/>
        <v>0</v>
      </c>
      <c r="AC875" s="35"/>
      <c r="AD875" s="36">
        <f t="shared" si="291"/>
        <v>0</v>
      </c>
      <c r="AE875" s="38"/>
      <c r="AF875" s="36">
        <f t="shared" si="284"/>
        <v>0</v>
      </c>
      <c r="AG875" s="35"/>
      <c r="AH875" s="36">
        <f t="shared" si="292"/>
        <v>0</v>
      </c>
      <c r="AI875" s="38"/>
      <c r="AJ875" s="36">
        <f t="shared" si="285"/>
        <v>0</v>
      </c>
      <c r="AK875" s="35"/>
      <c r="AL875" s="36">
        <f t="shared" si="293"/>
        <v>0</v>
      </c>
      <c r="AM875" s="38"/>
      <c r="AN875" s="36">
        <f t="shared" si="286"/>
        <v>0</v>
      </c>
      <c r="AO875" s="35"/>
      <c r="AP875" s="38"/>
    </row>
    <row r="876" spans="1:42" ht="15.75" customHeight="1" x14ac:dyDescent="0.25">
      <c r="A876" s="37">
        <v>2018</v>
      </c>
      <c r="B876" s="35">
        <v>170560</v>
      </c>
      <c r="C876" s="34" t="s">
        <v>147</v>
      </c>
      <c r="D876" s="34" t="s">
        <v>45</v>
      </c>
      <c r="E876" s="35"/>
      <c r="F876" s="36">
        <f t="shared" si="276"/>
        <v>0</v>
      </c>
      <c r="G876" s="38"/>
      <c r="H876" s="36">
        <f t="shared" si="277"/>
        <v>0</v>
      </c>
      <c r="I876" s="35"/>
      <c r="J876" s="36">
        <f t="shared" si="278"/>
        <v>0</v>
      </c>
      <c r="K876" s="38"/>
      <c r="L876" s="36">
        <f t="shared" si="279"/>
        <v>0</v>
      </c>
      <c r="M876" s="35"/>
      <c r="N876" s="36">
        <f t="shared" si="287"/>
        <v>0</v>
      </c>
      <c r="O876" s="38"/>
      <c r="P876" s="36">
        <f t="shared" si="280"/>
        <v>0</v>
      </c>
      <c r="Q876" s="35"/>
      <c r="R876" s="36">
        <f t="shared" si="288"/>
        <v>0</v>
      </c>
      <c r="S876" s="38"/>
      <c r="T876" s="36">
        <f t="shared" si="281"/>
        <v>0</v>
      </c>
      <c r="U876" s="35"/>
      <c r="V876" s="36">
        <f t="shared" si="289"/>
        <v>0</v>
      </c>
      <c r="W876" s="38"/>
      <c r="X876" s="36">
        <f t="shared" si="282"/>
        <v>0</v>
      </c>
      <c r="Y876" s="35"/>
      <c r="Z876" s="36">
        <f t="shared" si="290"/>
        <v>0</v>
      </c>
      <c r="AA876" s="38"/>
      <c r="AB876" s="36">
        <f t="shared" si="283"/>
        <v>0</v>
      </c>
      <c r="AC876" s="35"/>
      <c r="AD876" s="36">
        <f t="shared" si="291"/>
        <v>0</v>
      </c>
      <c r="AE876" s="38"/>
      <c r="AF876" s="36">
        <f t="shared" si="284"/>
        <v>0</v>
      </c>
      <c r="AG876" s="35"/>
      <c r="AH876" s="36">
        <f t="shared" si="292"/>
        <v>0</v>
      </c>
      <c r="AI876" s="38"/>
      <c r="AJ876" s="36">
        <f t="shared" si="285"/>
        <v>0</v>
      </c>
      <c r="AK876" s="35"/>
      <c r="AL876" s="36">
        <f t="shared" si="293"/>
        <v>0</v>
      </c>
      <c r="AM876" s="38"/>
      <c r="AN876" s="36">
        <f t="shared" si="286"/>
        <v>0</v>
      </c>
      <c r="AO876" s="35"/>
      <c r="AP876" s="38"/>
    </row>
    <row r="877" spans="1:42" ht="15.75" customHeight="1" x14ac:dyDescent="0.25">
      <c r="A877" s="37">
        <v>2018</v>
      </c>
      <c r="B877" s="35">
        <v>170600</v>
      </c>
      <c r="C877" s="34" t="s">
        <v>150</v>
      </c>
      <c r="D877" s="34" t="s">
        <v>46</v>
      </c>
      <c r="E877" s="35"/>
      <c r="F877" s="36">
        <f t="shared" si="276"/>
        <v>0</v>
      </c>
      <c r="G877" s="38"/>
      <c r="H877" s="36">
        <f t="shared" si="277"/>
        <v>0</v>
      </c>
      <c r="I877" s="35"/>
      <c r="J877" s="36">
        <f t="shared" si="278"/>
        <v>0</v>
      </c>
      <c r="K877" s="38"/>
      <c r="L877" s="36">
        <f t="shared" si="279"/>
        <v>0</v>
      </c>
      <c r="M877" s="35"/>
      <c r="N877" s="36">
        <f t="shared" si="287"/>
        <v>0</v>
      </c>
      <c r="O877" s="38"/>
      <c r="P877" s="36">
        <f t="shared" si="280"/>
        <v>0</v>
      </c>
      <c r="Q877" s="35"/>
      <c r="R877" s="36">
        <f t="shared" si="288"/>
        <v>0</v>
      </c>
      <c r="S877" s="38"/>
      <c r="T877" s="36">
        <f t="shared" si="281"/>
        <v>0</v>
      </c>
      <c r="U877" s="35"/>
      <c r="V877" s="36">
        <f t="shared" si="289"/>
        <v>0</v>
      </c>
      <c r="W877" s="38"/>
      <c r="X877" s="36">
        <f t="shared" si="282"/>
        <v>0</v>
      </c>
      <c r="Y877" s="35"/>
      <c r="Z877" s="36">
        <f t="shared" si="290"/>
        <v>0</v>
      </c>
      <c r="AA877" s="38"/>
      <c r="AB877" s="36">
        <f t="shared" si="283"/>
        <v>0</v>
      </c>
      <c r="AC877" s="35"/>
      <c r="AD877" s="36">
        <f t="shared" si="291"/>
        <v>0</v>
      </c>
      <c r="AE877" s="38"/>
      <c r="AF877" s="36">
        <f t="shared" si="284"/>
        <v>0</v>
      </c>
      <c r="AG877" s="35"/>
      <c r="AH877" s="36">
        <f t="shared" si="292"/>
        <v>0</v>
      </c>
      <c r="AI877" s="38"/>
      <c r="AJ877" s="36">
        <f t="shared" si="285"/>
        <v>0</v>
      </c>
      <c r="AK877" s="35"/>
      <c r="AL877" s="36">
        <f t="shared" si="293"/>
        <v>0</v>
      </c>
      <c r="AM877" s="38"/>
      <c r="AN877" s="36">
        <f t="shared" si="286"/>
        <v>0</v>
      </c>
      <c r="AO877" s="35"/>
      <c r="AP877" s="38"/>
    </row>
    <row r="878" spans="1:42" ht="15.75" customHeight="1" x14ac:dyDescent="0.25">
      <c r="A878" s="37">
        <v>2018</v>
      </c>
      <c r="B878" s="35">
        <v>170610</v>
      </c>
      <c r="C878" s="34" t="s">
        <v>144</v>
      </c>
      <c r="D878" s="34" t="s">
        <v>47</v>
      </c>
      <c r="E878" s="35"/>
      <c r="F878" s="36">
        <f t="shared" si="276"/>
        <v>0</v>
      </c>
      <c r="G878" s="38"/>
      <c r="H878" s="36">
        <f t="shared" si="277"/>
        <v>0</v>
      </c>
      <c r="I878" s="35"/>
      <c r="J878" s="36">
        <f t="shared" si="278"/>
        <v>0</v>
      </c>
      <c r="K878" s="38"/>
      <c r="L878" s="36">
        <f t="shared" si="279"/>
        <v>0</v>
      </c>
      <c r="M878" s="35"/>
      <c r="N878" s="36">
        <f t="shared" si="287"/>
        <v>0</v>
      </c>
      <c r="O878" s="38"/>
      <c r="P878" s="36">
        <f t="shared" si="280"/>
        <v>0</v>
      </c>
      <c r="Q878" s="35"/>
      <c r="R878" s="36">
        <f t="shared" si="288"/>
        <v>0</v>
      </c>
      <c r="S878" s="38"/>
      <c r="T878" s="36">
        <f t="shared" si="281"/>
        <v>0</v>
      </c>
      <c r="U878" s="35"/>
      <c r="V878" s="36">
        <f t="shared" si="289"/>
        <v>0</v>
      </c>
      <c r="W878" s="38"/>
      <c r="X878" s="36">
        <f t="shared" si="282"/>
        <v>0</v>
      </c>
      <c r="Y878" s="35"/>
      <c r="Z878" s="36">
        <f t="shared" si="290"/>
        <v>0</v>
      </c>
      <c r="AA878" s="38"/>
      <c r="AB878" s="36">
        <f t="shared" si="283"/>
        <v>0</v>
      </c>
      <c r="AC878" s="35"/>
      <c r="AD878" s="36">
        <f t="shared" si="291"/>
        <v>0</v>
      </c>
      <c r="AE878" s="38"/>
      <c r="AF878" s="36">
        <f t="shared" si="284"/>
        <v>0</v>
      </c>
      <c r="AG878" s="35"/>
      <c r="AH878" s="36">
        <f t="shared" si="292"/>
        <v>0</v>
      </c>
      <c r="AI878" s="38"/>
      <c r="AJ878" s="36">
        <f t="shared" si="285"/>
        <v>0</v>
      </c>
      <c r="AK878" s="35"/>
      <c r="AL878" s="36">
        <f t="shared" si="293"/>
        <v>0</v>
      </c>
      <c r="AM878" s="38"/>
      <c r="AN878" s="36">
        <f t="shared" si="286"/>
        <v>0</v>
      </c>
      <c r="AO878" s="35"/>
      <c r="AP878" s="38"/>
    </row>
    <row r="879" spans="1:42" ht="15.75" customHeight="1" x14ac:dyDescent="0.25">
      <c r="A879" s="37">
        <v>2018</v>
      </c>
      <c r="B879" s="35">
        <v>170625</v>
      </c>
      <c r="C879" s="34" t="s">
        <v>146</v>
      </c>
      <c r="D879" s="34" t="s">
        <v>48</v>
      </c>
      <c r="E879" s="35"/>
      <c r="F879" s="36">
        <f t="shared" si="276"/>
        <v>0</v>
      </c>
      <c r="G879" s="38"/>
      <c r="H879" s="36">
        <f t="shared" si="277"/>
        <v>0</v>
      </c>
      <c r="I879" s="35"/>
      <c r="J879" s="36">
        <f t="shared" si="278"/>
        <v>0</v>
      </c>
      <c r="K879" s="38"/>
      <c r="L879" s="36">
        <f t="shared" si="279"/>
        <v>0</v>
      </c>
      <c r="M879" s="35"/>
      <c r="N879" s="36">
        <f t="shared" si="287"/>
        <v>0</v>
      </c>
      <c r="O879" s="38"/>
      <c r="P879" s="36">
        <f t="shared" si="280"/>
        <v>0</v>
      </c>
      <c r="Q879" s="35"/>
      <c r="R879" s="36">
        <f t="shared" si="288"/>
        <v>0</v>
      </c>
      <c r="S879" s="38"/>
      <c r="T879" s="36">
        <f t="shared" si="281"/>
        <v>0</v>
      </c>
      <c r="U879" s="35"/>
      <c r="V879" s="36">
        <f t="shared" si="289"/>
        <v>0</v>
      </c>
      <c r="W879" s="38"/>
      <c r="X879" s="36">
        <f t="shared" si="282"/>
        <v>0</v>
      </c>
      <c r="Y879" s="35"/>
      <c r="Z879" s="36">
        <f t="shared" si="290"/>
        <v>0</v>
      </c>
      <c r="AA879" s="38"/>
      <c r="AB879" s="36">
        <f t="shared" si="283"/>
        <v>0</v>
      </c>
      <c r="AC879" s="35"/>
      <c r="AD879" s="36">
        <f t="shared" si="291"/>
        <v>0</v>
      </c>
      <c r="AE879" s="38"/>
      <c r="AF879" s="36">
        <f t="shared" si="284"/>
        <v>0</v>
      </c>
      <c r="AG879" s="35"/>
      <c r="AH879" s="36">
        <f t="shared" si="292"/>
        <v>0</v>
      </c>
      <c r="AI879" s="38"/>
      <c r="AJ879" s="36">
        <f t="shared" si="285"/>
        <v>0</v>
      </c>
      <c r="AK879" s="35"/>
      <c r="AL879" s="36">
        <f t="shared" si="293"/>
        <v>0</v>
      </c>
      <c r="AM879" s="38"/>
      <c r="AN879" s="36">
        <f t="shared" si="286"/>
        <v>0</v>
      </c>
      <c r="AO879" s="35"/>
      <c r="AP879" s="38"/>
    </row>
    <row r="880" spans="1:42" ht="15.75" customHeight="1" x14ac:dyDescent="0.25">
      <c r="A880" s="37">
        <v>2018</v>
      </c>
      <c r="B880" s="35">
        <v>170650</v>
      </c>
      <c r="C880" s="34" t="s">
        <v>149</v>
      </c>
      <c r="D880" s="34" t="s">
        <v>49</v>
      </c>
      <c r="E880" s="35"/>
      <c r="F880" s="36">
        <f t="shared" si="276"/>
        <v>0</v>
      </c>
      <c r="G880" s="38"/>
      <c r="H880" s="36">
        <f t="shared" si="277"/>
        <v>0</v>
      </c>
      <c r="I880" s="35"/>
      <c r="J880" s="36">
        <f t="shared" si="278"/>
        <v>0</v>
      </c>
      <c r="K880" s="38"/>
      <c r="L880" s="36">
        <f t="shared" si="279"/>
        <v>0</v>
      </c>
      <c r="M880" s="35"/>
      <c r="N880" s="36">
        <f t="shared" si="287"/>
        <v>0</v>
      </c>
      <c r="O880" s="38"/>
      <c r="P880" s="36">
        <f t="shared" si="280"/>
        <v>0</v>
      </c>
      <c r="Q880" s="35"/>
      <c r="R880" s="36">
        <f t="shared" si="288"/>
        <v>0</v>
      </c>
      <c r="S880" s="38"/>
      <c r="T880" s="36">
        <f t="shared" si="281"/>
        <v>0</v>
      </c>
      <c r="U880" s="35"/>
      <c r="V880" s="36">
        <f t="shared" si="289"/>
        <v>0</v>
      </c>
      <c r="W880" s="38"/>
      <c r="X880" s="36">
        <f t="shared" si="282"/>
        <v>0</v>
      </c>
      <c r="Y880" s="35"/>
      <c r="Z880" s="36">
        <f t="shared" si="290"/>
        <v>0</v>
      </c>
      <c r="AA880" s="38"/>
      <c r="AB880" s="36">
        <f t="shared" si="283"/>
        <v>0</v>
      </c>
      <c r="AC880" s="35"/>
      <c r="AD880" s="36">
        <f t="shared" si="291"/>
        <v>0</v>
      </c>
      <c r="AE880" s="38"/>
      <c r="AF880" s="36">
        <f t="shared" si="284"/>
        <v>0</v>
      </c>
      <c r="AG880" s="35"/>
      <c r="AH880" s="36">
        <f t="shared" si="292"/>
        <v>0</v>
      </c>
      <c r="AI880" s="38"/>
      <c r="AJ880" s="36">
        <f t="shared" si="285"/>
        <v>0</v>
      </c>
      <c r="AK880" s="35"/>
      <c r="AL880" s="36">
        <f t="shared" si="293"/>
        <v>0</v>
      </c>
      <c r="AM880" s="38"/>
      <c r="AN880" s="36">
        <f t="shared" si="286"/>
        <v>0</v>
      </c>
      <c r="AO880" s="35"/>
      <c r="AP880" s="38"/>
    </row>
    <row r="881" spans="1:42" ht="15.75" customHeight="1" x14ac:dyDescent="0.25">
      <c r="A881" s="37">
        <v>2018</v>
      </c>
      <c r="B881" s="35">
        <v>170700</v>
      </c>
      <c r="C881" s="34" t="s">
        <v>147</v>
      </c>
      <c r="D881" s="34" t="s">
        <v>50</v>
      </c>
      <c r="E881" s="35"/>
      <c r="F881" s="36">
        <f t="shared" si="276"/>
        <v>0</v>
      </c>
      <c r="G881" s="38"/>
      <c r="H881" s="36">
        <f t="shared" si="277"/>
        <v>0</v>
      </c>
      <c r="I881" s="35"/>
      <c r="J881" s="36">
        <f t="shared" si="278"/>
        <v>0</v>
      </c>
      <c r="K881" s="38"/>
      <c r="L881" s="36">
        <f t="shared" si="279"/>
        <v>0</v>
      </c>
      <c r="M881" s="35"/>
      <c r="N881" s="36">
        <f t="shared" ref="N881:N944" si="294">IFERROR(M881/$AO881,0)</f>
        <v>0</v>
      </c>
      <c r="O881" s="38"/>
      <c r="P881" s="36">
        <f t="shared" si="280"/>
        <v>0</v>
      </c>
      <c r="Q881" s="35"/>
      <c r="R881" s="36">
        <f t="shared" ref="R881:R944" si="295">IFERROR(Q881/$AO881,0)</f>
        <v>0</v>
      </c>
      <c r="S881" s="38"/>
      <c r="T881" s="36">
        <f t="shared" si="281"/>
        <v>0</v>
      </c>
      <c r="U881" s="35"/>
      <c r="V881" s="36">
        <f t="shared" ref="V881:V944" si="296">IFERROR(U881/$AO881,0)</f>
        <v>0</v>
      </c>
      <c r="W881" s="38"/>
      <c r="X881" s="36">
        <f t="shared" si="282"/>
        <v>0</v>
      </c>
      <c r="Y881" s="35"/>
      <c r="Z881" s="36">
        <f t="shared" ref="Z881:Z944" si="297">IFERROR(Y881/$AO881,0)</f>
        <v>0</v>
      </c>
      <c r="AA881" s="38"/>
      <c r="AB881" s="36">
        <f t="shared" si="283"/>
        <v>0</v>
      </c>
      <c r="AC881" s="35"/>
      <c r="AD881" s="36">
        <f t="shared" ref="AD881:AD944" si="298">IFERROR(AC881/$AO881,0)</f>
        <v>0</v>
      </c>
      <c r="AE881" s="38"/>
      <c r="AF881" s="36">
        <f t="shared" si="284"/>
        <v>0</v>
      </c>
      <c r="AG881" s="35"/>
      <c r="AH881" s="36">
        <f t="shared" ref="AH881:AH944" si="299">IFERROR(AG881/$AO881,0)</f>
        <v>0</v>
      </c>
      <c r="AI881" s="38"/>
      <c r="AJ881" s="36">
        <f t="shared" si="285"/>
        <v>0</v>
      </c>
      <c r="AK881" s="35"/>
      <c r="AL881" s="36">
        <f t="shared" ref="AL881:AL944" si="300">IFERROR(AK881/$AO881,0)</f>
        <v>0</v>
      </c>
      <c r="AM881" s="38"/>
      <c r="AN881" s="36">
        <f t="shared" si="286"/>
        <v>0</v>
      </c>
      <c r="AO881" s="35"/>
      <c r="AP881" s="38"/>
    </row>
    <row r="882" spans="1:42" ht="15.75" customHeight="1" x14ac:dyDescent="0.25">
      <c r="A882" s="37">
        <v>2018</v>
      </c>
      <c r="B882" s="35">
        <v>170710</v>
      </c>
      <c r="C882" s="34" t="s">
        <v>144</v>
      </c>
      <c r="D882" s="34" t="s">
        <v>51</v>
      </c>
      <c r="E882" s="35"/>
      <c r="F882" s="36">
        <f t="shared" si="276"/>
        <v>0</v>
      </c>
      <c r="G882" s="38"/>
      <c r="H882" s="36">
        <f t="shared" si="277"/>
        <v>0</v>
      </c>
      <c r="I882" s="35"/>
      <c r="J882" s="36">
        <f t="shared" si="278"/>
        <v>0</v>
      </c>
      <c r="K882" s="38"/>
      <c r="L882" s="36">
        <f t="shared" si="279"/>
        <v>0</v>
      </c>
      <c r="M882" s="35"/>
      <c r="N882" s="36">
        <f t="shared" si="294"/>
        <v>0</v>
      </c>
      <c r="O882" s="38"/>
      <c r="P882" s="36">
        <f t="shared" si="280"/>
        <v>0</v>
      </c>
      <c r="Q882" s="35"/>
      <c r="R882" s="36">
        <f t="shared" si="295"/>
        <v>0</v>
      </c>
      <c r="S882" s="38"/>
      <c r="T882" s="36">
        <f t="shared" si="281"/>
        <v>0</v>
      </c>
      <c r="U882" s="35"/>
      <c r="V882" s="36">
        <f t="shared" si="296"/>
        <v>0</v>
      </c>
      <c r="W882" s="38"/>
      <c r="X882" s="36">
        <f t="shared" si="282"/>
        <v>0</v>
      </c>
      <c r="Y882" s="35"/>
      <c r="Z882" s="36">
        <f t="shared" si="297"/>
        <v>0</v>
      </c>
      <c r="AA882" s="38"/>
      <c r="AB882" s="36">
        <f t="shared" si="283"/>
        <v>0</v>
      </c>
      <c r="AC882" s="35"/>
      <c r="AD882" s="36">
        <f t="shared" si="298"/>
        <v>0</v>
      </c>
      <c r="AE882" s="38"/>
      <c r="AF882" s="36">
        <f t="shared" si="284"/>
        <v>0</v>
      </c>
      <c r="AG882" s="35"/>
      <c r="AH882" s="36">
        <f t="shared" si="299"/>
        <v>0</v>
      </c>
      <c r="AI882" s="38"/>
      <c r="AJ882" s="36">
        <f t="shared" si="285"/>
        <v>0</v>
      </c>
      <c r="AK882" s="35"/>
      <c r="AL882" s="36">
        <f t="shared" si="300"/>
        <v>0</v>
      </c>
      <c r="AM882" s="38"/>
      <c r="AN882" s="36">
        <f t="shared" si="286"/>
        <v>0</v>
      </c>
      <c r="AO882" s="35"/>
      <c r="AP882" s="38"/>
    </row>
    <row r="883" spans="1:42" ht="15.75" customHeight="1" x14ac:dyDescent="0.25">
      <c r="A883" s="37">
        <v>2018</v>
      </c>
      <c r="B883" s="35">
        <v>170720</v>
      </c>
      <c r="C883" s="34" t="s">
        <v>144</v>
      </c>
      <c r="D883" s="34" t="s">
        <v>52</v>
      </c>
      <c r="E883" s="35"/>
      <c r="F883" s="36">
        <f t="shared" si="276"/>
        <v>0</v>
      </c>
      <c r="G883" s="38"/>
      <c r="H883" s="36">
        <f t="shared" si="277"/>
        <v>0</v>
      </c>
      <c r="I883" s="35"/>
      <c r="J883" s="36">
        <f t="shared" si="278"/>
        <v>0</v>
      </c>
      <c r="K883" s="38"/>
      <c r="L883" s="36">
        <f t="shared" si="279"/>
        <v>0</v>
      </c>
      <c r="M883" s="35"/>
      <c r="N883" s="36">
        <f t="shared" si="294"/>
        <v>0</v>
      </c>
      <c r="O883" s="38"/>
      <c r="P883" s="36">
        <f t="shared" si="280"/>
        <v>0</v>
      </c>
      <c r="Q883" s="35"/>
      <c r="R883" s="36">
        <f t="shared" si="295"/>
        <v>0</v>
      </c>
      <c r="S883" s="38"/>
      <c r="T883" s="36">
        <f t="shared" si="281"/>
        <v>0</v>
      </c>
      <c r="U883" s="35"/>
      <c r="V883" s="36">
        <f t="shared" si="296"/>
        <v>0</v>
      </c>
      <c r="W883" s="38"/>
      <c r="X883" s="36">
        <f t="shared" si="282"/>
        <v>0</v>
      </c>
      <c r="Y883" s="35"/>
      <c r="Z883" s="36">
        <f t="shared" si="297"/>
        <v>0</v>
      </c>
      <c r="AA883" s="38"/>
      <c r="AB883" s="36">
        <f t="shared" si="283"/>
        <v>0</v>
      </c>
      <c r="AC883" s="35"/>
      <c r="AD883" s="36">
        <f t="shared" si="298"/>
        <v>0</v>
      </c>
      <c r="AE883" s="38"/>
      <c r="AF883" s="36">
        <f t="shared" si="284"/>
        <v>0</v>
      </c>
      <c r="AG883" s="35"/>
      <c r="AH883" s="36">
        <f t="shared" si="299"/>
        <v>0</v>
      </c>
      <c r="AI883" s="38"/>
      <c r="AJ883" s="36">
        <f t="shared" si="285"/>
        <v>0</v>
      </c>
      <c r="AK883" s="35"/>
      <c r="AL883" s="36">
        <f t="shared" si="300"/>
        <v>0</v>
      </c>
      <c r="AM883" s="38"/>
      <c r="AN883" s="36">
        <f t="shared" si="286"/>
        <v>0</v>
      </c>
      <c r="AO883" s="35"/>
      <c r="AP883" s="38"/>
    </row>
    <row r="884" spans="1:42" ht="15.75" customHeight="1" x14ac:dyDescent="0.25">
      <c r="A884" s="37">
        <v>2018</v>
      </c>
      <c r="B884" s="35">
        <v>170730</v>
      </c>
      <c r="C884" s="34" t="s">
        <v>146</v>
      </c>
      <c r="D884" s="34" t="s">
        <v>53</v>
      </c>
      <c r="E884" s="35"/>
      <c r="F884" s="36">
        <f t="shared" si="276"/>
        <v>0</v>
      </c>
      <c r="G884" s="38"/>
      <c r="H884" s="36">
        <f t="shared" si="277"/>
        <v>0</v>
      </c>
      <c r="I884" s="35"/>
      <c r="J884" s="36">
        <f t="shared" si="278"/>
        <v>0</v>
      </c>
      <c r="K884" s="38"/>
      <c r="L884" s="36">
        <f t="shared" si="279"/>
        <v>0</v>
      </c>
      <c r="M884" s="35"/>
      <c r="N884" s="36">
        <f t="shared" si="294"/>
        <v>0</v>
      </c>
      <c r="O884" s="38"/>
      <c r="P884" s="36">
        <f t="shared" si="280"/>
        <v>0</v>
      </c>
      <c r="Q884" s="35"/>
      <c r="R884" s="36">
        <f t="shared" si="295"/>
        <v>0</v>
      </c>
      <c r="S884" s="38"/>
      <c r="T884" s="36">
        <f t="shared" si="281"/>
        <v>0</v>
      </c>
      <c r="U884" s="35"/>
      <c r="V884" s="36">
        <f t="shared" si="296"/>
        <v>0</v>
      </c>
      <c r="W884" s="38"/>
      <c r="X884" s="36">
        <f t="shared" si="282"/>
        <v>0</v>
      </c>
      <c r="Y884" s="35"/>
      <c r="Z884" s="36">
        <f t="shared" si="297"/>
        <v>0</v>
      </c>
      <c r="AA884" s="38"/>
      <c r="AB884" s="36">
        <f t="shared" si="283"/>
        <v>0</v>
      </c>
      <c r="AC884" s="35"/>
      <c r="AD884" s="36">
        <f t="shared" si="298"/>
        <v>0</v>
      </c>
      <c r="AE884" s="38"/>
      <c r="AF884" s="36">
        <f t="shared" si="284"/>
        <v>0</v>
      </c>
      <c r="AG884" s="35"/>
      <c r="AH884" s="36">
        <f t="shared" si="299"/>
        <v>0</v>
      </c>
      <c r="AI884" s="38"/>
      <c r="AJ884" s="36">
        <f t="shared" si="285"/>
        <v>0</v>
      </c>
      <c r="AK884" s="35"/>
      <c r="AL884" s="36">
        <f t="shared" si="300"/>
        <v>0</v>
      </c>
      <c r="AM884" s="38"/>
      <c r="AN884" s="36">
        <f t="shared" si="286"/>
        <v>0</v>
      </c>
      <c r="AO884" s="35"/>
      <c r="AP884" s="38"/>
    </row>
    <row r="885" spans="1:42" ht="15.75" customHeight="1" x14ac:dyDescent="0.25">
      <c r="A885" s="37">
        <v>2018</v>
      </c>
      <c r="B885" s="35">
        <v>170740</v>
      </c>
      <c r="C885" s="34" t="s">
        <v>145</v>
      </c>
      <c r="D885" s="34" t="s">
        <v>54</v>
      </c>
      <c r="E885" s="35"/>
      <c r="F885" s="36">
        <f t="shared" si="276"/>
        <v>0</v>
      </c>
      <c r="G885" s="38"/>
      <c r="H885" s="36">
        <f t="shared" si="277"/>
        <v>0</v>
      </c>
      <c r="I885" s="35"/>
      <c r="J885" s="36">
        <f t="shared" si="278"/>
        <v>0</v>
      </c>
      <c r="K885" s="38"/>
      <c r="L885" s="36">
        <f t="shared" si="279"/>
        <v>0</v>
      </c>
      <c r="M885" s="35"/>
      <c r="N885" s="36">
        <f t="shared" si="294"/>
        <v>0</v>
      </c>
      <c r="O885" s="38"/>
      <c r="P885" s="36">
        <f t="shared" si="280"/>
        <v>0</v>
      </c>
      <c r="Q885" s="35"/>
      <c r="R885" s="36">
        <f t="shared" si="295"/>
        <v>0</v>
      </c>
      <c r="S885" s="38"/>
      <c r="T885" s="36">
        <f t="shared" si="281"/>
        <v>0</v>
      </c>
      <c r="U885" s="35"/>
      <c r="V885" s="36">
        <f t="shared" si="296"/>
        <v>0</v>
      </c>
      <c r="W885" s="38"/>
      <c r="X885" s="36">
        <f t="shared" si="282"/>
        <v>0</v>
      </c>
      <c r="Y885" s="35"/>
      <c r="Z885" s="36">
        <f t="shared" si="297"/>
        <v>0</v>
      </c>
      <c r="AA885" s="38"/>
      <c r="AB885" s="36">
        <f t="shared" si="283"/>
        <v>0</v>
      </c>
      <c r="AC885" s="35"/>
      <c r="AD885" s="36">
        <f t="shared" si="298"/>
        <v>0</v>
      </c>
      <c r="AE885" s="38"/>
      <c r="AF885" s="36">
        <f t="shared" si="284"/>
        <v>0</v>
      </c>
      <c r="AG885" s="35"/>
      <c r="AH885" s="36">
        <f t="shared" si="299"/>
        <v>0</v>
      </c>
      <c r="AI885" s="38"/>
      <c r="AJ885" s="36">
        <f t="shared" si="285"/>
        <v>0</v>
      </c>
      <c r="AK885" s="35"/>
      <c r="AL885" s="36">
        <f t="shared" si="300"/>
        <v>0</v>
      </c>
      <c r="AM885" s="38"/>
      <c r="AN885" s="36">
        <f t="shared" si="286"/>
        <v>0</v>
      </c>
      <c r="AO885" s="35"/>
      <c r="AP885" s="38"/>
    </row>
    <row r="886" spans="1:42" ht="15.75" customHeight="1" x14ac:dyDescent="0.25">
      <c r="A886" s="37">
        <v>2018</v>
      </c>
      <c r="B886" s="35">
        <v>170755</v>
      </c>
      <c r="C886" s="34" t="s">
        <v>151</v>
      </c>
      <c r="D886" s="34" t="s">
        <v>55</v>
      </c>
      <c r="E886" s="35"/>
      <c r="F886" s="36">
        <f t="shared" si="276"/>
        <v>0</v>
      </c>
      <c r="G886" s="38"/>
      <c r="H886" s="36">
        <f t="shared" si="277"/>
        <v>0</v>
      </c>
      <c r="I886" s="35"/>
      <c r="J886" s="36">
        <f t="shared" si="278"/>
        <v>0</v>
      </c>
      <c r="K886" s="38"/>
      <c r="L886" s="36">
        <f t="shared" si="279"/>
        <v>0</v>
      </c>
      <c r="M886" s="35"/>
      <c r="N886" s="36">
        <f t="shared" si="294"/>
        <v>0</v>
      </c>
      <c r="O886" s="38"/>
      <c r="P886" s="36">
        <f t="shared" si="280"/>
        <v>0</v>
      </c>
      <c r="Q886" s="35"/>
      <c r="R886" s="36">
        <f t="shared" si="295"/>
        <v>0</v>
      </c>
      <c r="S886" s="38"/>
      <c r="T886" s="36">
        <f t="shared" si="281"/>
        <v>0</v>
      </c>
      <c r="U886" s="35"/>
      <c r="V886" s="36">
        <f t="shared" si="296"/>
        <v>0</v>
      </c>
      <c r="W886" s="38"/>
      <c r="X886" s="36">
        <f t="shared" si="282"/>
        <v>0</v>
      </c>
      <c r="Y886" s="35"/>
      <c r="Z886" s="36">
        <f t="shared" si="297"/>
        <v>0</v>
      </c>
      <c r="AA886" s="38"/>
      <c r="AB886" s="36">
        <f t="shared" si="283"/>
        <v>0</v>
      </c>
      <c r="AC886" s="35"/>
      <c r="AD886" s="36">
        <f t="shared" si="298"/>
        <v>0</v>
      </c>
      <c r="AE886" s="38"/>
      <c r="AF886" s="36">
        <f t="shared" si="284"/>
        <v>0</v>
      </c>
      <c r="AG886" s="35"/>
      <c r="AH886" s="36">
        <f t="shared" si="299"/>
        <v>0</v>
      </c>
      <c r="AI886" s="38"/>
      <c r="AJ886" s="36">
        <f t="shared" si="285"/>
        <v>0</v>
      </c>
      <c r="AK886" s="35"/>
      <c r="AL886" s="36">
        <f t="shared" si="300"/>
        <v>0</v>
      </c>
      <c r="AM886" s="38"/>
      <c r="AN886" s="36">
        <f t="shared" si="286"/>
        <v>0</v>
      </c>
      <c r="AO886" s="35"/>
      <c r="AP886" s="38"/>
    </row>
    <row r="887" spans="1:42" ht="15.75" customHeight="1" x14ac:dyDescent="0.25">
      <c r="A887" s="37">
        <v>2018</v>
      </c>
      <c r="B887" s="35">
        <v>170765</v>
      </c>
      <c r="C887" s="34" t="s">
        <v>146</v>
      </c>
      <c r="D887" s="34" t="s">
        <v>56</v>
      </c>
      <c r="E887" s="35"/>
      <c r="F887" s="36">
        <f t="shared" si="276"/>
        <v>0</v>
      </c>
      <c r="G887" s="38"/>
      <c r="H887" s="36">
        <f t="shared" si="277"/>
        <v>0</v>
      </c>
      <c r="I887" s="35"/>
      <c r="J887" s="36">
        <f t="shared" si="278"/>
        <v>0</v>
      </c>
      <c r="K887" s="38"/>
      <c r="L887" s="36">
        <f t="shared" si="279"/>
        <v>0</v>
      </c>
      <c r="M887" s="35"/>
      <c r="N887" s="36">
        <f t="shared" si="294"/>
        <v>0</v>
      </c>
      <c r="O887" s="38"/>
      <c r="P887" s="36">
        <f t="shared" si="280"/>
        <v>0</v>
      </c>
      <c r="Q887" s="35"/>
      <c r="R887" s="36">
        <f t="shared" si="295"/>
        <v>0</v>
      </c>
      <c r="S887" s="38"/>
      <c r="T887" s="36">
        <f t="shared" si="281"/>
        <v>0</v>
      </c>
      <c r="U887" s="35"/>
      <c r="V887" s="36">
        <f t="shared" si="296"/>
        <v>0</v>
      </c>
      <c r="W887" s="38"/>
      <c r="X887" s="36">
        <f t="shared" si="282"/>
        <v>0</v>
      </c>
      <c r="Y887" s="35"/>
      <c r="Z887" s="36">
        <f t="shared" si="297"/>
        <v>0</v>
      </c>
      <c r="AA887" s="38"/>
      <c r="AB887" s="36">
        <f t="shared" si="283"/>
        <v>0</v>
      </c>
      <c r="AC887" s="35"/>
      <c r="AD887" s="36">
        <f t="shared" si="298"/>
        <v>0</v>
      </c>
      <c r="AE887" s="38"/>
      <c r="AF887" s="36">
        <f t="shared" si="284"/>
        <v>0</v>
      </c>
      <c r="AG887" s="35"/>
      <c r="AH887" s="36">
        <f t="shared" si="299"/>
        <v>0</v>
      </c>
      <c r="AI887" s="38"/>
      <c r="AJ887" s="36">
        <f t="shared" si="285"/>
        <v>0</v>
      </c>
      <c r="AK887" s="35"/>
      <c r="AL887" s="36">
        <f t="shared" si="300"/>
        <v>0</v>
      </c>
      <c r="AM887" s="38"/>
      <c r="AN887" s="36">
        <f t="shared" si="286"/>
        <v>0</v>
      </c>
      <c r="AO887" s="35"/>
      <c r="AP887" s="38"/>
    </row>
    <row r="888" spans="1:42" ht="15.75" customHeight="1" x14ac:dyDescent="0.25">
      <c r="A888" s="37">
        <v>2018</v>
      </c>
      <c r="B888" s="35">
        <v>170770</v>
      </c>
      <c r="C888" s="34" t="s">
        <v>149</v>
      </c>
      <c r="D888" s="34" t="s">
        <v>57</v>
      </c>
      <c r="E888" s="35"/>
      <c r="F888" s="36">
        <f t="shared" si="276"/>
        <v>0</v>
      </c>
      <c r="G888" s="38"/>
      <c r="H888" s="36">
        <f t="shared" si="277"/>
        <v>0</v>
      </c>
      <c r="I888" s="35"/>
      <c r="J888" s="36">
        <f t="shared" si="278"/>
        <v>0</v>
      </c>
      <c r="K888" s="38"/>
      <c r="L888" s="36">
        <f t="shared" si="279"/>
        <v>0</v>
      </c>
      <c r="M888" s="35"/>
      <c r="N888" s="36">
        <f t="shared" si="294"/>
        <v>0</v>
      </c>
      <c r="O888" s="38"/>
      <c r="P888" s="36">
        <f t="shared" si="280"/>
        <v>0</v>
      </c>
      <c r="Q888" s="35"/>
      <c r="R888" s="36">
        <f t="shared" si="295"/>
        <v>0</v>
      </c>
      <c r="S888" s="38"/>
      <c r="T888" s="36">
        <f t="shared" si="281"/>
        <v>0</v>
      </c>
      <c r="U888" s="35"/>
      <c r="V888" s="36">
        <f t="shared" si="296"/>
        <v>0</v>
      </c>
      <c r="W888" s="38"/>
      <c r="X888" s="36">
        <f t="shared" si="282"/>
        <v>0</v>
      </c>
      <c r="Y888" s="35"/>
      <c r="Z888" s="36">
        <f t="shared" si="297"/>
        <v>0</v>
      </c>
      <c r="AA888" s="38"/>
      <c r="AB888" s="36">
        <f t="shared" si="283"/>
        <v>0</v>
      </c>
      <c r="AC888" s="35"/>
      <c r="AD888" s="36">
        <f t="shared" si="298"/>
        <v>0</v>
      </c>
      <c r="AE888" s="38"/>
      <c r="AF888" s="36">
        <f t="shared" si="284"/>
        <v>0</v>
      </c>
      <c r="AG888" s="35"/>
      <c r="AH888" s="36">
        <f t="shared" si="299"/>
        <v>0</v>
      </c>
      <c r="AI888" s="38"/>
      <c r="AJ888" s="36">
        <f t="shared" si="285"/>
        <v>0</v>
      </c>
      <c r="AK888" s="35"/>
      <c r="AL888" s="36">
        <f t="shared" si="300"/>
        <v>0</v>
      </c>
      <c r="AM888" s="38"/>
      <c r="AN888" s="36">
        <f t="shared" si="286"/>
        <v>0</v>
      </c>
      <c r="AO888" s="35"/>
      <c r="AP888" s="38"/>
    </row>
    <row r="889" spans="1:42" ht="15.75" customHeight="1" x14ac:dyDescent="0.25">
      <c r="A889" s="37">
        <v>2018</v>
      </c>
      <c r="B889" s="35">
        <v>170820</v>
      </c>
      <c r="C889" s="34" t="s">
        <v>146</v>
      </c>
      <c r="D889" s="34" t="s">
        <v>58</v>
      </c>
      <c r="E889" s="35"/>
      <c r="F889" s="36">
        <f t="shared" si="276"/>
        <v>0</v>
      </c>
      <c r="G889" s="38"/>
      <c r="H889" s="36">
        <f t="shared" si="277"/>
        <v>0</v>
      </c>
      <c r="I889" s="35"/>
      <c r="J889" s="36">
        <f t="shared" si="278"/>
        <v>0</v>
      </c>
      <c r="K889" s="38"/>
      <c r="L889" s="36">
        <f t="shared" si="279"/>
        <v>0</v>
      </c>
      <c r="M889" s="35"/>
      <c r="N889" s="36">
        <f t="shared" si="294"/>
        <v>0</v>
      </c>
      <c r="O889" s="38"/>
      <c r="P889" s="36">
        <f t="shared" si="280"/>
        <v>0</v>
      </c>
      <c r="Q889" s="35"/>
      <c r="R889" s="36">
        <f t="shared" si="295"/>
        <v>0</v>
      </c>
      <c r="S889" s="38"/>
      <c r="T889" s="36">
        <f t="shared" si="281"/>
        <v>0</v>
      </c>
      <c r="U889" s="35"/>
      <c r="V889" s="36">
        <f t="shared" si="296"/>
        <v>0</v>
      </c>
      <c r="W889" s="38"/>
      <c r="X889" s="36">
        <f t="shared" si="282"/>
        <v>0</v>
      </c>
      <c r="Y889" s="35"/>
      <c r="Z889" s="36">
        <f t="shared" si="297"/>
        <v>0</v>
      </c>
      <c r="AA889" s="38"/>
      <c r="AB889" s="36">
        <f t="shared" si="283"/>
        <v>0</v>
      </c>
      <c r="AC889" s="35"/>
      <c r="AD889" s="36">
        <f t="shared" si="298"/>
        <v>0</v>
      </c>
      <c r="AE889" s="38"/>
      <c r="AF889" s="36">
        <f t="shared" si="284"/>
        <v>0</v>
      </c>
      <c r="AG889" s="35"/>
      <c r="AH889" s="36">
        <f t="shared" si="299"/>
        <v>0</v>
      </c>
      <c r="AI889" s="38"/>
      <c r="AJ889" s="36">
        <f t="shared" si="285"/>
        <v>0</v>
      </c>
      <c r="AK889" s="35"/>
      <c r="AL889" s="36">
        <f t="shared" si="300"/>
        <v>0</v>
      </c>
      <c r="AM889" s="38"/>
      <c r="AN889" s="36">
        <f t="shared" si="286"/>
        <v>0</v>
      </c>
      <c r="AO889" s="35"/>
      <c r="AP889" s="38"/>
    </row>
    <row r="890" spans="1:42" ht="15.75" customHeight="1" x14ac:dyDescent="0.25">
      <c r="A890" s="37">
        <v>2018</v>
      </c>
      <c r="B890" s="35">
        <v>170830</v>
      </c>
      <c r="C890" s="34" t="s">
        <v>150</v>
      </c>
      <c r="D890" s="34" t="s">
        <v>59</v>
      </c>
      <c r="E890" s="35"/>
      <c r="F890" s="36">
        <f t="shared" si="276"/>
        <v>0</v>
      </c>
      <c r="G890" s="38"/>
      <c r="H890" s="36">
        <f t="shared" si="277"/>
        <v>0</v>
      </c>
      <c r="I890" s="35"/>
      <c r="J890" s="36">
        <f t="shared" si="278"/>
        <v>0</v>
      </c>
      <c r="K890" s="38"/>
      <c r="L890" s="36">
        <f t="shared" si="279"/>
        <v>0</v>
      </c>
      <c r="M890" s="35"/>
      <c r="N890" s="36">
        <f t="shared" si="294"/>
        <v>0</v>
      </c>
      <c r="O890" s="38"/>
      <c r="P890" s="36">
        <f t="shared" si="280"/>
        <v>0</v>
      </c>
      <c r="Q890" s="35"/>
      <c r="R890" s="36">
        <f t="shared" si="295"/>
        <v>0</v>
      </c>
      <c r="S890" s="38"/>
      <c r="T890" s="36">
        <f t="shared" si="281"/>
        <v>0</v>
      </c>
      <c r="U890" s="35"/>
      <c r="V890" s="36">
        <f t="shared" si="296"/>
        <v>0</v>
      </c>
      <c r="W890" s="38"/>
      <c r="X890" s="36">
        <f t="shared" si="282"/>
        <v>0</v>
      </c>
      <c r="Y890" s="35"/>
      <c r="Z890" s="36">
        <f t="shared" si="297"/>
        <v>0</v>
      </c>
      <c r="AA890" s="38"/>
      <c r="AB890" s="36">
        <f t="shared" si="283"/>
        <v>0</v>
      </c>
      <c r="AC890" s="35"/>
      <c r="AD890" s="36">
        <f t="shared" si="298"/>
        <v>0</v>
      </c>
      <c r="AE890" s="38"/>
      <c r="AF890" s="36">
        <f t="shared" si="284"/>
        <v>0</v>
      </c>
      <c r="AG890" s="35"/>
      <c r="AH890" s="36">
        <f t="shared" si="299"/>
        <v>0</v>
      </c>
      <c r="AI890" s="38"/>
      <c r="AJ890" s="36">
        <f t="shared" si="285"/>
        <v>0</v>
      </c>
      <c r="AK890" s="35"/>
      <c r="AL890" s="36">
        <f t="shared" si="300"/>
        <v>0</v>
      </c>
      <c r="AM890" s="38"/>
      <c r="AN890" s="36">
        <f t="shared" si="286"/>
        <v>0</v>
      </c>
      <c r="AO890" s="35"/>
      <c r="AP890" s="38"/>
    </row>
    <row r="891" spans="1:42" ht="15.75" customHeight="1" x14ac:dyDescent="0.25">
      <c r="A891" s="37">
        <v>2018</v>
      </c>
      <c r="B891" s="35">
        <v>170900</v>
      </c>
      <c r="C891" s="34" t="s">
        <v>149</v>
      </c>
      <c r="D891" s="34" t="s">
        <v>60</v>
      </c>
      <c r="E891" s="35"/>
      <c r="F891" s="36">
        <f t="shared" si="276"/>
        <v>0</v>
      </c>
      <c r="G891" s="38"/>
      <c r="H891" s="36">
        <f t="shared" si="277"/>
        <v>0</v>
      </c>
      <c r="I891" s="35"/>
      <c r="J891" s="36">
        <f t="shared" si="278"/>
        <v>0</v>
      </c>
      <c r="K891" s="38"/>
      <c r="L891" s="36">
        <f t="shared" si="279"/>
        <v>0</v>
      </c>
      <c r="M891" s="35"/>
      <c r="N891" s="36">
        <f t="shared" si="294"/>
        <v>0</v>
      </c>
      <c r="O891" s="38"/>
      <c r="P891" s="36">
        <f t="shared" si="280"/>
        <v>0</v>
      </c>
      <c r="Q891" s="35"/>
      <c r="R891" s="36">
        <f t="shared" si="295"/>
        <v>0</v>
      </c>
      <c r="S891" s="38"/>
      <c r="T891" s="36">
        <f t="shared" si="281"/>
        <v>0</v>
      </c>
      <c r="U891" s="35"/>
      <c r="V891" s="36">
        <f t="shared" si="296"/>
        <v>0</v>
      </c>
      <c r="W891" s="38"/>
      <c r="X891" s="36">
        <f t="shared" si="282"/>
        <v>0</v>
      </c>
      <c r="Y891" s="35"/>
      <c r="Z891" s="36">
        <f t="shared" si="297"/>
        <v>0</v>
      </c>
      <c r="AA891" s="38"/>
      <c r="AB891" s="36">
        <f t="shared" si="283"/>
        <v>0</v>
      </c>
      <c r="AC891" s="35"/>
      <c r="AD891" s="36">
        <f t="shared" si="298"/>
        <v>0</v>
      </c>
      <c r="AE891" s="38"/>
      <c r="AF891" s="36">
        <f t="shared" si="284"/>
        <v>0</v>
      </c>
      <c r="AG891" s="35"/>
      <c r="AH891" s="36">
        <f t="shared" si="299"/>
        <v>0</v>
      </c>
      <c r="AI891" s="38"/>
      <c r="AJ891" s="36">
        <f t="shared" si="285"/>
        <v>0</v>
      </c>
      <c r="AK891" s="35"/>
      <c r="AL891" s="36">
        <f t="shared" si="300"/>
        <v>0</v>
      </c>
      <c r="AM891" s="38"/>
      <c r="AN891" s="36">
        <f t="shared" si="286"/>
        <v>0</v>
      </c>
      <c r="AO891" s="35"/>
      <c r="AP891" s="38"/>
    </row>
    <row r="892" spans="1:42" ht="15.75" customHeight="1" x14ac:dyDescent="0.25">
      <c r="A892" s="37">
        <v>2018</v>
      </c>
      <c r="B892" s="35">
        <v>170930</v>
      </c>
      <c r="C892" s="34" t="s">
        <v>150</v>
      </c>
      <c r="D892" s="34" t="s">
        <v>61</v>
      </c>
      <c r="E892" s="35"/>
      <c r="F892" s="36">
        <f t="shared" si="276"/>
        <v>0</v>
      </c>
      <c r="G892" s="38"/>
      <c r="H892" s="36">
        <f t="shared" si="277"/>
        <v>0</v>
      </c>
      <c r="I892" s="35"/>
      <c r="J892" s="36">
        <f t="shared" si="278"/>
        <v>0</v>
      </c>
      <c r="K892" s="38"/>
      <c r="L892" s="36">
        <f t="shared" si="279"/>
        <v>0</v>
      </c>
      <c r="M892" s="35"/>
      <c r="N892" s="36">
        <f t="shared" si="294"/>
        <v>0</v>
      </c>
      <c r="O892" s="38"/>
      <c r="P892" s="36">
        <f t="shared" si="280"/>
        <v>0</v>
      </c>
      <c r="Q892" s="35"/>
      <c r="R892" s="36">
        <f t="shared" si="295"/>
        <v>0</v>
      </c>
      <c r="S892" s="38"/>
      <c r="T892" s="36">
        <f t="shared" si="281"/>
        <v>0</v>
      </c>
      <c r="U892" s="35"/>
      <c r="V892" s="36">
        <f t="shared" si="296"/>
        <v>0</v>
      </c>
      <c r="W892" s="38"/>
      <c r="X892" s="36">
        <f t="shared" si="282"/>
        <v>0</v>
      </c>
      <c r="Y892" s="35"/>
      <c r="Z892" s="36">
        <f t="shared" si="297"/>
        <v>0</v>
      </c>
      <c r="AA892" s="38"/>
      <c r="AB892" s="36">
        <f t="shared" si="283"/>
        <v>0</v>
      </c>
      <c r="AC892" s="35"/>
      <c r="AD892" s="36">
        <f t="shared" si="298"/>
        <v>0</v>
      </c>
      <c r="AE892" s="38"/>
      <c r="AF892" s="36">
        <f t="shared" si="284"/>
        <v>0</v>
      </c>
      <c r="AG892" s="35"/>
      <c r="AH892" s="36">
        <f t="shared" si="299"/>
        <v>0</v>
      </c>
      <c r="AI892" s="38"/>
      <c r="AJ892" s="36">
        <f t="shared" si="285"/>
        <v>0</v>
      </c>
      <c r="AK892" s="35"/>
      <c r="AL892" s="36">
        <f t="shared" si="300"/>
        <v>0</v>
      </c>
      <c r="AM892" s="38"/>
      <c r="AN892" s="36">
        <f t="shared" si="286"/>
        <v>0</v>
      </c>
      <c r="AO892" s="35"/>
      <c r="AP892" s="38"/>
    </row>
    <row r="893" spans="1:42" ht="15.75" customHeight="1" x14ac:dyDescent="0.25">
      <c r="A893" s="37">
        <v>2018</v>
      </c>
      <c r="B893" s="35">
        <v>170950</v>
      </c>
      <c r="C893" s="34" t="s">
        <v>146</v>
      </c>
      <c r="D893" s="34" t="s">
        <v>62</v>
      </c>
      <c r="E893" s="35"/>
      <c r="F893" s="36">
        <f t="shared" si="276"/>
        <v>0</v>
      </c>
      <c r="G893" s="38"/>
      <c r="H893" s="36">
        <f t="shared" si="277"/>
        <v>0</v>
      </c>
      <c r="I893" s="35"/>
      <c r="J893" s="36">
        <f t="shared" si="278"/>
        <v>0</v>
      </c>
      <c r="K893" s="38"/>
      <c r="L893" s="36">
        <f t="shared" si="279"/>
        <v>0</v>
      </c>
      <c r="M893" s="35"/>
      <c r="N893" s="36">
        <f t="shared" si="294"/>
        <v>0</v>
      </c>
      <c r="O893" s="39"/>
      <c r="P893" s="36">
        <f t="shared" si="280"/>
        <v>0</v>
      </c>
      <c r="Q893" s="35"/>
      <c r="R893" s="36">
        <f t="shared" si="295"/>
        <v>0</v>
      </c>
      <c r="S893" s="38"/>
      <c r="T893" s="36">
        <f t="shared" si="281"/>
        <v>0</v>
      </c>
      <c r="U893" s="35"/>
      <c r="V893" s="36">
        <f t="shared" si="296"/>
        <v>0</v>
      </c>
      <c r="W893" s="38"/>
      <c r="X893" s="36">
        <f t="shared" si="282"/>
        <v>0</v>
      </c>
      <c r="Y893" s="35"/>
      <c r="Z893" s="36">
        <f t="shared" si="297"/>
        <v>0</v>
      </c>
      <c r="AA893" s="39"/>
      <c r="AB893" s="36">
        <f t="shared" si="283"/>
        <v>0</v>
      </c>
      <c r="AC893" s="35"/>
      <c r="AD893" s="36">
        <f t="shared" si="298"/>
        <v>0</v>
      </c>
      <c r="AE893" s="38"/>
      <c r="AF893" s="36">
        <f t="shared" si="284"/>
        <v>0</v>
      </c>
      <c r="AG893" s="35"/>
      <c r="AH893" s="36">
        <f t="shared" si="299"/>
        <v>0</v>
      </c>
      <c r="AI893" s="38"/>
      <c r="AJ893" s="36">
        <f t="shared" si="285"/>
        <v>0</v>
      </c>
      <c r="AK893" s="35"/>
      <c r="AL893" s="36">
        <f t="shared" si="300"/>
        <v>0</v>
      </c>
      <c r="AM893" s="38"/>
      <c r="AN893" s="36">
        <f t="shared" si="286"/>
        <v>0</v>
      </c>
      <c r="AO893" s="35"/>
      <c r="AP893" s="39"/>
    </row>
    <row r="894" spans="1:42" ht="15.75" customHeight="1" x14ac:dyDescent="0.25">
      <c r="A894" s="37">
        <v>2018</v>
      </c>
      <c r="B894" s="35">
        <v>170980</v>
      </c>
      <c r="C894" s="34" t="s">
        <v>151</v>
      </c>
      <c r="D894" s="34" t="s">
        <v>63</v>
      </c>
      <c r="E894" s="35"/>
      <c r="F894" s="36">
        <f t="shared" si="276"/>
        <v>0</v>
      </c>
      <c r="G894" s="38"/>
      <c r="H894" s="36">
        <f t="shared" si="277"/>
        <v>0</v>
      </c>
      <c r="I894" s="35"/>
      <c r="J894" s="36">
        <f t="shared" si="278"/>
        <v>0</v>
      </c>
      <c r="K894" s="38"/>
      <c r="L894" s="36">
        <f t="shared" si="279"/>
        <v>0</v>
      </c>
      <c r="M894" s="35"/>
      <c r="N894" s="36">
        <f t="shared" si="294"/>
        <v>0</v>
      </c>
      <c r="O894" s="38"/>
      <c r="P894" s="36">
        <f t="shared" si="280"/>
        <v>0</v>
      </c>
      <c r="Q894" s="35"/>
      <c r="R894" s="36">
        <f t="shared" si="295"/>
        <v>0</v>
      </c>
      <c r="S894" s="38"/>
      <c r="T894" s="36">
        <f t="shared" si="281"/>
        <v>0</v>
      </c>
      <c r="U894" s="35"/>
      <c r="V894" s="36">
        <f t="shared" si="296"/>
        <v>0</v>
      </c>
      <c r="W894" s="38"/>
      <c r="X894" s="36">
        <f t="shared" si="282"/>
        <v>0</v>
      </c>
      <c r="Y894" s="35"/>
      <c r="Z894" s="36">
        <f t="shared" si="297"/>
        <v>0</v>
      </c>
      <c r="AA894" s="38"/>
      <c r="AB894" s="36">
        <f t="shared" si="283"/>
        <v>0</v>
      </c>
      <c r="AC894" s="35"/>
      <c r="AD894" s="36">
        <f t="shared" si="298"/>
        <v>0</v>
      </c>
      <c r="AE894" s="38"/>
      <c r="AF894" s="36">
        <f t="shared" si="284"/>
        <v>0</v>
      </c>
      <c r="AG894" s="35"/>
      <c r="AH894" s="36">
        <f t="shared" si="299"/>
        <v>0</v>
      </c>
      <c r="AI894" s="38"/>
      <c r="AJ894" s="36">
        <f t="shared" si="285"/>
        <v>0</v>
      </c>
      <c r="AK894" s="35"/>
      <c r="AL894" s="36">
        <f t="shared" si="300"/>
        <v>0</v>
      </c>
      <c r="AM894" s="38"/>
      <c r="AN894" s="36">
        <f t="shared" si="286"/>
        <v>0</v>
      </c>
      <c r="AO894" s="35"/>
      <c r="AP894" s="38"/>
    </row>
    <row r="895" spans="1:42" ht="15.75" customHeight="1" x14ac:dyDescent="0.25">
      <c r="A895" s="37">
        <v>2018</v>
      </c>
      <c r="B895" s="35">
        <v>171050</v>
      </c>
      <c r="C895" s="34" t="s">
        <v>150</v>
      </c>
      <c r="D895" s="34" t="s">
        <v>64</v>
      </c>
      <c r="E895" s="35"/>
      <c r="F895" s="36">
        <f t="shared" si="276"/>
        <v>0</v>
      </c>
      <c r="G895" s="38"/>
      <c r="H895" s="36">
        <f t="shared" si="277"/>
        <v>0</v>
      </c>
      <c r="I895" s="35"/>
      <c r="J895" s="36">
        <f t="shared" si="278"/>
        <v>0</v>
      </c>
      <c r="K895" s="38"/>
      <c r="L895" s="36">
        <f t="shared" si="279"/>
        <v>0</v>
      </c>
      <c r="M895" s="35"/>
      <c r="N895" s="36">
        <f t="shared" si="294"/>
        <v>0</v>
      </c>
      <c r="O895" s="38"/>
      <c r="P895" s="36">
        <f t="shared" si="280"/>
        <v>0</v>
      </c>
      <c r="Q895" s="35"/>
      <c r="R895" s="36">
        <f t="shared" si="295"/>
        <v>0</v>
      </c>
      <c r="S895" s="38"/>
      <c r="T895" s="36">
        <f t="shared" si="281"/>
        <v>0</v>
      </c>
      <c r="U895" s="35"/>
      <c r="V895" s="36">
        <f t="shared" si="296"/>
        <v>0</v>
      </c>
      <c r="W895" s="38"/>
      <c r="X895" s="36">
        <f t="shared" si="282"/>
        <v>0</v>
      </c>
      <c r="Y895" s="35"/>
      <c r="Z895" s="36">
        <f t="shared" si="297"/>
        <v>0</v>
      </c>
      <c r="AA895" s="38"/>
      <c r="AB895" s="36">
        <f t="shared" si="283"/>
        <v>0</v>
      </c>
      <c r="AC895" s="35"/>
      <c r="AD895" s="36">
        <f t="shared" si="298"/>
        <v>0</v>
      </c>
      <c r="AE895" s="38"/>
      <c r="AF895" s="36">
        <f t="shared" si="284"/>
        <v>0</v>
      </c>
      <c r="AG895" s="35"/>
      <c r="AH895" s="36">
        <f t="shared" si="299"/>
        <v>0</v>
      </c>
      <c r="AI895" s="38"/>
      <c r="AJ895" s="36">
        <f t="shared" si="285"/>
        <v>0</v>
      </c>
      <c r="AK895" s="35"/>
      <c r="AL895" s="36">
        <f t="shared" si="300"/>
        <v>0</v>
      </c>
      <c r="AM895" s="38"/>
      <c r="AN895" s="36">
        <f t="shared" si="286"/>
        <v>0</v>
      </c>
      <c r="AO895" s="35"/>
      <c r="AP895" s="38"/>
    </row>
    <row r="896" spans="1:42" ht="15.75" customHeight="1" x14ac:dyDescent="0.25">
      <c r="A896" s="37">
        <v>2018</v>
      </c>
      <c r="B896" s="35">
        <v>171070</v>
      </c>
      <c r="C896" s="34" t="s">
        <v>145</v>
      </c>
      <c r="D896" s="34" t="s">
        <v>65</v>
      </c>
      <c r="E896" s="35"/>
      <c r="F896" s="36">
        <f t="shared" si="276"/>
        <v>0</v>
      </c>
      <c r="G896" s="38"/>
      <c r="H896" s="36">
        <f t="shared" si="277"/>
        <v>0</v>
      </c>
      <c r="I896" s="35"/>
      <c r="J896" s="36">
        <f t="shared" si="278"/>
        <v>0</v>
      </c>
      <c r="K896" s="38"/>
      <c r="L896" s="36">
        <f t="shared" si="279"/>
        <v>0</v>
      </c>
      <c r="M896" s="35"/>
      <c r="N896" s="36">
        <f t="shared" si="294"/>
        <v>0</v>
      </c>
      <c r="O896" s="38"/>
      <c r="P896" s="36">
        <f t="shared" si="280"/>
        <v>0</v>
      </c>
      <c r="Q896" s="35"/>
      <c r="R896" s="36">
        <f t="shared" si="295"/>
        <v>0</v>
      </c>
      <c r="S896" s="38"/>
      <c r="T896" s="36">
        <f t="shared" si="281"/>
        <v>0</v>
      </c>
      <c r="U896" s="35"/>
      <c r="V896" s="36">
        <f t="shared" si="296"/>
        <v>0</v>
      </c>
      <c r="W896" s="38"/>
      <c r="X896" s="36">
        <f t="shared" si="282"/>
        <v>0</v>
      </c>
      <c r="Y896" s="35"/>
      <c r="Z896" s="36">
        <f t="shared" si="297"/>
        <v>0</v>
      </c>
      <c r="AA896" s="38"/>
      <c r="AB896" s="36">
        <f t="shared" si="283"/>
        <v>0</v>
      </c>
      <c r="AC896" s="35"/>
      <c r="AD896" s="36">
        <f t="shared" si="298"/>
        <v>0</v>
      </c>
      <c r="AE896" s="38"/>
      <c r="AF896" s="36">
        <f t="shared" si="284"/>
        <v>0</v>
      </c>
      <c r="AG896" s="35"/>
      <c r="AH896" s="36">
        <f t="shared" si="299"/>
        <v>0</v>
      </c>
      <c r="AI896" s="38"/>
      <c r="AJ896" s="36">
        <f t="shared" si="285"/>
        <v>0</v>
      </c>
      <c r="AK896" s="35"/>
      <c r="AL896" s="36">
        <f t="shared" si="300"/>
        <v>0</v>
      </c>
      <c r="AM896" s="38"/>
      <c r="AN896" s="36">
        <f t="shared" si="286"/>
        <v>0</v>
      </c>
      <c r="AO896" s="35"/>
      <c r="AP896" s="38"/>
    </row>
    <row r="897" spans="1:42" ht="15.75" customHeight="1" x14ac:dyDescent="0.25">
      <c r="A897" s="37">
        <v>2018</v>
      </c>
      <c r="B897" s="35">
        <v>171090</v>
      </c>
      <c r="C897" s="34" t="s">
        <v>150</v>
      </c>
      <c r="D897" s="34" t="s">
        <v>66</v>
      </c>
      <c r="E897" s="35"/>
      <c r="F897" s="36">
        <f t="shared" si="276"/>
        <v>0</v>
      </c>
      <c r="G897" s="38"/>
      <c r="H897" s="36">
        <f t="shared" si="277"/>
        <v>0</v>
      </c>
      <c r="I897" s="35"/>
      <c r="J897" s="36">
        <f t="shared" si="278"/>
        <v>0</v>
      </c>
      <c r="K897" s="38"/>
      <c r="L897" s="36">
        <f t="shared" si="279"/>
        <v>0</v>
      </c>
      <c r="M897" s="35"/>
      <c r="N897" s="36">
        <f t="shared" si="294"/>
        <v>0</v>
      </c>
      <c r="O897" s="38"/>
      <c r="P897" s="36">
        <f t="shared" si="280"/>
        <v>0</v>
      </c>
      <c r="Q897" s="35"/>
      <c r="R897" s="36">
        <f t="shared" si="295"/>
        <v>0</v>
      </c>
      <c r="S897" s="38"/>
      <c r="T897" s="36">
        <f t="shared" si="281"/>
        <v>0</v>
      </c>
      <c r="U897" s="35"/>
      <c r="V897" s="36">
        <f t="shared" si="296"/>
        <v>0</v>
      </c>
      <c r="W897" s="38"/>
      <c r="X897" s="36">
        <f t="shared" si="282"/>
        <v>0</v>
      </c>
      <c r="Y897" s="35"/>
      <c r="Z897" s="36">
        <f t="shared" si="297"/>
        <v>0</v>
      </c>
      <c r="AA897" s="38"/>
      <c r="AB897" s="36">
        <f t="shared" si="283"/>
        <v>0</v>
      </c>
      <c r="AC897" s="35"/>
      <c r="AD897" s="36">
        <f t="shared" si="298"/>
        <v>0</v>
      </c>
      <c r="AE897" s="38"/>
      <c r="AF897" s="36">
        <f t="shared" si="284"/>
        <v>0</v>
      </c>
      <c r="AG897" s="35"/>
      <c r="AH897" s="36">
        <f t="shared" si="299"/>
        <v>0</v>
      </c>
      <c r="AI897" s="38"/>
      <c r="AJ897" s="36">
        <f t="shared" si="285"/>
        <v>0</v>
      </c>
      <c r="AK897" s="35"/>
      <c r="AL897" s="36">
        <f t="shared" si="300"/>
        <v>0</v>
      </c>
      <c r="AM897" s="38"/>
      <c r="AN897" s="36">
        <f t="shared" si="286"/>
        <v>0</v>
      </c>
      <c r="AO897" s="35"/>
      <c r="AP897" s="38"/>
    </row>
    <row r="898" spans="1:42" ht="15.75" customHeight="1" x14ac:dyDescent="0.25">
      <c r="A898" s="37">
        <v>2018</v>
      </c>
      <c r="B898" s="35">
        <v>171110</v>
      </c>
      <c r="C898" s="34" t="s">
        <v>150</v>
      </c>
      <c r="D898" s="34" t="s">
        <v>67</v>
      </c>
      <c r="E898" s="35"/>
      <c r="F898" s="36">
        <f t="shared" ref="F898:F961" si="301">IFERROR(E898/$AO898,0)</f>
        <v>0</v>
      </c>
      <c r="G898" s="38"/>
      <c r="H898" s="36">
        <f t="shared" ref="H898:H961" si="302">IFERROR(G898/$AP898,0)</f>
        <v>0</v>
      </c>
      <c r="I898" s="35"/>
      <c r="J898" s="36">
        <f t="shared" ref="J898:J961" si="303">IFERROR(I898/$AO898,0)</f>
        <v>0</v>
      </c>
      <c r="K898" s="38"/>
      <c r="L898" s="36">
        <f t="shared" ref="L898:L961" si="304">IFERROR(K898/$AP898,0)</f>
        <v>0</v>
      </c>
      <c r="M898" s="35"/>
      <c r="N898" s="36">
        <f t="shared" si="294"/>
        <v>0</v>
      </c>
      <c r="O898" s="38"/>
      <c r="P898" s="36">
        <f t="shared" ref="P898:P961" si="305">IFERROR(O898/$AP898,0)</f>
        <v>0</v>
      </c>
      <c r="Q898" s="35"/>
      <c r="R898" s="36">
        <f t="shared" si="295"/>
        <v>0</v>
      </c>
      <c r="S898" s="38"/>
      <c r="T898" s="36">
        <f t="shared" ref="T898:T961" si="306">IFERROR(S898/$AP898,0)</f>
        <v>0</v>
      </c>
      <c r="U898" s="35"/>
      <c r="V898" s="36">
        <f t="shared" si="296"/>
        <v>0</v>
      </c>
      <c r="W898" s="38"/>
      <c r="X898" s="36">
        <f t="shared" ref="X898:X961" si="307">IFERROR(W898/$AP898,0)</f>
        <v>0</v>
      </c>
      <c r="Y898" s="35"/>
      <c r="Z898" s="36">
        <f t="shared" si="297"/>
        <v>0</v>
      </c>
      <c r="AA898" s="38"/>
      <c r="AB898" s="36">
        <f t="shared" ref="AB898:AB961" si="308">IFERROR(AA898/$AP898,0)</f>
        <v>0</v>
      </c>
      <c r="AC898" s="35"/>
      <c r="AD898" s="36">
        <f t="shared" si="298"/>
        <v>0</v>
      </c>
      <c r="AE898" s="38"/>
      <c r="AF898" s="36">
        <f t="shared" ref="AF898:AF961" si="309">IFERROR(AE898/$AP898,0)</f>
        <v>0</v>
      </c>
      <c r="AG898" s="35"/>
      <c r="AH898" s="36">
        <f t="shared" si="299"/>
        <v>0</v>
      </c>
      <c r="AI898" s="38"/>
      <c r="AJ898" s="36">
        <f t="shared" ref="AJ898:AJ961" si="310">IFERROR(AI898/$AP898,0)</f>
        <v>0</v>
      </c>
      <c r="AK898" s="35"/>
      <c r="AL898" s="36">
        <f t="shared" si="300"/>
        <v>0</v>
      </c>
      <c r="AM898" s="38"/>
      <c r="AN898" s="36">
        <f t="shared" ref="AN898:AN961" si="311">IFERROR(AM898/$AP898,0)</f>
        <v>0</v>
      </c>
      <c r="AO898" s="35"/>
      <c r="AP898" s="38"/>
    </row>
    <row r="899" spans="1:42" ht="15.75" customHeight="1" x14ac:dyDescent="0.25">
      <c r="A899" s="37">
        <v>2018</v>
      </c>
      <c r="B899" s="35">
        <v>171150</v>
      </c>
      <c r="C899" s="34" t="s">
        <v>146</v>
      </c>
      <c r="D899" s="34" t="s">
        <v>68</v>
      </c>
      <c r="E899" s="35"/>
      <c r="F899" s="36">
        <f t="shared" si="301"/>
        <v>0</v>
      </c>
      <c r="G899" s="38"/>
      <c r="H899" s="36">
        <f t="shared" si="302"/>
        <v>0</v>
      </c>
      <c r="I899" s="35"/>
      <c r="J899" s="36">
        <f t="shared" si="303"/>
        <v>0</v>
      </c>
      <c r="K899" s="38"/>
      <c r="L899" s="36">
        <f t="shared" si="304"/>
        <v>0</v>
      </c>
      <c r="M899" s="35"/>
      <c r="N899" s="36">
        <f t="shared" si="294"/>
        <v>0</v>
      </c>
      <c r="O899" s="38"/>
      <c r="P899" s="36">
        <f t="shared" si="305"/>
        <v>0</v>
      </c>
      <c r="Q899" s="35"/>
      <c r="R899" s="36">
        <f t="shared" si="295"/>
        <v>0</v>
      </c>
      <c r="S899" s="38"/>
      <c r="T899" s="36">
        <f t="shared" si="306"/>
        <v>0</v>
      </c>
      <c r="U899" s="35"/>
      <c r="V899" s="36">
        <f t="shared" si="296"/>
        <v>0</v>
      </c>
      <c r="W899" s="38"/>
      <c r="X899" s="36">
        <f t="shared" si="307"/>
        <v>0</v>
      </c>
      <c r="Y899" s="35"/>
      <c r="Z899" s="36">
        <f t="shared" si="297"/>
        <v>0</v>
      </c>
      <c r="AA899" s="38"/>
      <c r="AB899" s="36">
        <f t="shared" si="308"/>
        <v>0</v>
      </c>
      <c r="AC899" s="35"/>
      <c r="AD899" s="36">
        <f t="shared" si="298"/>
        <v>0</v>
      </c>
      <c r="AE899" s="38"/>
      <c r="AF899" s="36">
        <f t="shared" si="309"/>
        <v>0</v>
      </c>
      <c r="AG899" s="35"/>
      <c r="AH899" s="36">
        <f t="shared" si="299"/>
        <v>0</v>
      </c>
      <c r="AI899" s="38"/>
      <c r="AJ899" s="36">
        <f t="shared" si="310"/>
        <v>0</v>
      </c>
      <c r="AK899" s="35"/>
      <c r="AL899" s="36">
        <f t="shared" si="300"/>
        <v>0</v>
      </c>
      <c r="AM899" s="38"/>
      <c r="AN899" s="36">
        <f t="shared" si="311"/>
        <v>0</v>
      </c>
      <c r="AO899" s="35"/>
      <c r="AP899" s="38"/>
    </row>
    <row r="900" spans="1:42" ht="15.75" customHeight="1" x14ac:dyDescent="0.25">
      <c r="A900" s="37">
        <v>2018</v>
      </c>
      <c r="B900" s="35">
        <v>171180</v>
      </c>
      <c r="C900" s="34" t="s">
        <v>150</v>
      </c>
      <c r="D900" s="34" t="s">
        <v>69</v>
      </c>
      <c r="E900" s="35"/>
      <c r="F900" s="36">
        <f t="shared" si="301"/>
        <v>0</v>
      </c>
      <c r="G900" s="38"/>
      <c r="H900" s="36">
        <f t="shared" si="302"/>
        <v>0</v>
      </c>
      <c r="I900" s="35"/>
      <c r="J900" s="36">
        <f t="shared" si="303"/>
        <v>0</v>
      </c>
      <c r="K900" s="38"/>
      <c r="L900" s="36">
        <f t="shared" si="304"/>
        <v>0</v>
      </c>
      <c r="M900" s="35"/>
      <c r="N900" s="36">
        <f t="shared" si="294"/>
        <v>0</v>
      </c>
      <c r="O900" s="38"/>
      <c r="P900" s="36">
        <f t="shared" si="305"/>
        <v>0</v>
      </c>
      <c r="Q900" s="35"/>
      <c r="R900" s="36">
        <f t="shared" si="295"/>
        <v>0</v>
      </c>
      <c r="S900" s="38"/>
      <c r="T900" s="36">
        <f t="shared" si="306"/>
        <v>0</v>
      </c>
      <c r="U900" s="35"/>
      <c r="V900" s="36">
        <f t="shared" si="296"/>
        <v>0</v>
      </c>
      <c r="W900" s="38"/>
      <c r="X900" s="36">
        <f t="shared" si="307"/>
        <v>0</v>
      </c>
      <c r="Y900" s="35"/>
      <c r="Z900" s="36">
        <f t="shared" si="297"/>
        <v>0</v>
      </c>
      <c r="AA900" s="38"/>
      <c r="AB900" s="36">
        <f t="shared" si="308"/>
        <v>0</v>
      </c>
      <c r="AC900" s="35"/>
      <c r="AD900" s="36">
        <f t="shared" si="298"/>
        <v>0</v>
      </c>
      <c r="AE900" s="38"/>
      <c r="AF900" s="36">
        <f t="shared" si="309"/>
        <v>0</v>
      </c>
      <c r="AG900" s="35"/>
      <c r="AH900" s="36">
        <f t="shared" si="299"/>
        <v>0</v>
      </c>
      <c r="AI900" s="38"/>
      <c r="AJ900" s="36">
        <f t="shared" si="310"/>
        <v>0</v>
      </c>
      <c r="AK900" s="35"/>
      <c r="AL900" s="36">
        <f t="shared" si="300"/>
        <v>0</v>
      </c>
      <c r="AM900" s="38"/>
      <c r="AN900" s="36">
        <f t="shared" si="311"/>
        <v>0</v>
      </c>
      <c r="AO900" s="35"/>
      <c r="AP900" s="38"/>
    </row>
    <row r="901" spans="1:42" ht="15.75" customHeight="1" x14ac:dyDescent="0.25">
      <c r="A901" s="37">
        <v>2018</v>
      </c>
      <c r="B901" s="35">
        <v>171190</v>
      </c>
      <c r="C901" s="34" t="s">
        <v>144</v>
      </c>
      <c r="D901" s="34" t="s">
        <v>70</v>
      </c>
      <c r="E901" s="35"/>
      <c r="F901" s="36">
        <f t="shared" si="301"/>
        <v>0</v>
      </c>
      <c r="G901" s="38"/>
      <c r="H901" s="36">
        <f t="shared" si="302"/>
        <v>0</v>
      </c>
      <c r="I901" s="35"/>
      <c r="J901" s="36">
        <f t="shared" si="303"/>
        <v>0</v>
      </c>
      <c r="K901" s="38"/>
      <c r="L901" s="36">
        <f t="shared" si="304"/>
        <v>0</v>
      </c>
      <c r="M901" s="35"/>
      <c r="N901" s="36">
        <f t="shared" si="294"/>
        <v>0</v>
      </c>
      <c r="O901" s="38"/>
      <c r="P901" s="36">
        <f t="shared" si="305"/>
        <v>0</v>
      </c>
      <c r="Q901" s="35"/>
      <c r="R901" s="36">
        <f t="shared" si="295"/>
        <v>0</v>
      </c>
      <c r="S901" s="38"/>
      <c r="T901" s="36">
        <f t="shared" si="306"/>
        <v>0</v>
      </c>
      <c r="U901" s="35"/>
      <c r="V901" s="36">
        <f t="shared" si="296"/>
        <v>0</v>
      </c>
      <c r="W901" s="38"/>
      <c r="X901" s="36">
        <f t="shared" si="307"/>
        <v>0</v>
      </c>
      <c r="Y901" s="35"/>
      <c r="Z901" s="36">
        <f t="shared" si="297"/>
        <v>0</v>
      </c>
      <c r="AA901" s="38"/>
      <c r="AB901" s="36">
        <f t="shared" si="308"/>
        <v>0</v>
      </c>
      <c r="AC901" s="35"/>
      <c r="AD901" s="36">
        <f t="shared" si="298"/>
        <v>0</v>
      </c>
      <c r="AE901" s="38"/>
      <c r="AF901" s="36">
        <f t="shared" si="309"/>
        <v>0</v>
      </c>
      <c r="AG901" s="35"/>
      <c r="AH901" s="36">
        <f t="shared" si="299"/>
        <v>0</v>
      </c>
      <c r="AI901" s="38"/>
      <c r="AJ901" s="36">
        <f t="shared" si="310"/>
        <v>0</v>
      </c>
      <c r="AK901" s="35"/>
      <c r="AL901" s="36">
        <f t="shared" si="300"/>
        <v>0</v>
      </c>
      <c r="AM901" s="38"/>
      <c r="AN901" s="36">
        <f t="shared" si="311"/>
        <v>0</v>
      </c>
      <c r="AO901" s="35"/>
      <c r="AP901" s="38"/>
    </row>
    <row r="902" spans="1:42" ht="15.75" customHeight="1" x14ac:dyDescent="0.25">
      <c r="A902" s="37">
        <v>2018</v>
      </c>
      <c r="B902" s="35">
        <v>171195</v>
      </c>
      <c r="C902" s="34" t="s">
        <v>148</v>
      </c>
      <c r="D902" s="34" t="s">
        <v>71</v>
      </c>
      <c r="E902" s="35"/>
      <c r="F902" s="36">
        <f t="shared" si="301"/>
        <v>0</v>
      </c>
      <c r="G902" s="38"/>
      <c r="H902" s="36">
        <f t="shared" si="302"/>
        <v>0</v>
      </c>
      <c r="I902" s="35"/>
      <c r="J902" s="36">
        <f t="shared" si="303"/>
        <v>0</v>
      </c>
      <c r="K902" s="38"/>
      <c r="L902" s="36">
        <f t="shared" si="304"/>
        <v>0</v>
      </c>
      <c r="M902" s="35"/>
      <c r="N902" s="36">
        <f t="shared" si="294"/>
        <v>0</v>
      </c>
      <c r="O902" s="38"/>
      <c r="P902" s="36">
        <f t="shared" si="305"/>
        <v>0</v>
      </c>
      <c r="Q902" s="35"/>
      <c r="R902" s="36">
        <f t="shared" si="295"/>
        <v>0</v>
      </c>
      <c r="S902" s="38"/>
      <c r="T902" s="36">
        <f t="shared" si="306"/>
        <v>0</v>
      </c>
      <c r="U902" s="35"/>
      <c r="V902" s="36">
        <f t="shared" si="296"/>
        <v>0</v>
      </c>
      <c r="W902" s="38"/>
      <c r="X902" s="36">
        <f t="shared" si="307"/>
        <v>0</v>
      </c>
      <c r="Y902" s="35"/>
      <c r="Z902" s="36">
        <f t="shared" si="297"/>
        <v>0</v>
      </c>
      <c r="AA902" s="38"/>
      <c r="AB902" s="36">
        <f t="shared" si="308"/>
        <v>0</v>
      </c>
      <c r="AC902" s="35"/>
      <c r="AD902" s="36">
        <f t="shared" si="298"/>
        <v>0</v>
      </c>
      <c r="AE902" s="38"/>
      <c r="AF902" s="36">
        <f t="shared" si="309"/>
        <v>0</v>
      </c>
      <c r="AG902" s="35"/>
      <c r="AH902" s="36">
        <f t="shared" si="299"/>
        <v>0</v>
      </c>
      <c r="AI902" s="38"/>
      <c r="AJ902" s="36">
        <f t="shared" si="310"/>
        <v>0</v>
      </c>
      <c r="AK902" s="35"/>
      <c r="AL902" s="36">
        <f t="shared" si="300"/>
        <v>0</v>
      </c>
      <c r="AM902" s="38"/>
      <c r="AN902" s="36">
        <f t="shared" si="311"/>
        <v>0</v>
      </c>
      <c r="AO902" s="35"/>
      <c r="AP902" s="38"/>
    </row>
    <row r="903" spans="1:42" ht="15.75" customHeight="1" x14ac:dyDescent="0.25">
      <c r="A903" s="37">
        <v>2018</v>
      </c>
      <c r="B903" s="35">
        <v>171200</v>
      </c>
      <c r="C903" s="34" t="s">
        <v>148</v>
      </c>
      <c r="D903" s="34" t="s">
        <v>72</v>
      </c>
      <c r="E903" s="35"/>
      <c r="F903" s="36">
        <f t="shared" si="301"/>
        <v>0</v>
      </c>
      <c r="G903" s="38"/>
      <c r="H903" s="36">
        <f t="shared" si="302"/>
        <v>0</v>
      </c>
      <c r="I903" s="35"/>
      <c r="J903" s="36">
        <f t="shared" si="303"/>
        <v>0</v>
      </c>
      <c r="K903" s="38"/>
      <c r="L903" s="36">
        <f t="shared" si="304"/>
        <v>0</v>
      </c>
      <c r="M903" s="35"/>
      <c r="N903" s="36">
        <f t="shared" si="294"/>
        <v>0</v>
      </c>
      <c r="O903" s="38"/>
      <c r="P903" s="36">
        <f t="shared" si="305"/>
        <v>0</v>
      </c>
      <c r="Q903" s="35"/>
      <c r="R903" s="36">
        <f t="shared" si="295"/>
        <v>0</v>
      </c>
      <c r="S903" s="38"/>
      <c r="T903" s="36">
        <f t="shared" si="306"/>
        <v>0</v>
      </c>
      <c r="U903" s="35"/>
      <c r="V903" s="36">
        <f t="shared" si="296"/>
        <v>0</v>
      </c>
      <c r="W903" s="38"/>
      <c r="X903" s="36">
        <f t="shared" si="307"/>
        <v>0</v>
      </c>
      <c r="Y903" s="35"/>
      <c r="Z903" s="36">
        <f t="shared" si="297"/>
        <v>0</v>
      </c>
      <c r="AA903" s="38"/>
      <c r="AB903" s="36">
        <f t="shared" si="308"/>
        <v>0</v>
      </c>
      <c r="AC903" s="35"/>
      <c r="AD903" s="36">
        <f t="shared" si="298"/>
        <v>0</v>
      </c>
      <c r="AE903" s="38"/>
      <c r="AF903" s="36">
        <f t="shared" si="309"/>
        <v>0</v>
      </c>
      <c r="AG903" s="35"/>
      <c r="AH903" s="36">
        <f t="shared" si="299"/>
        <v>0</v>
      </c>
      <c r="AI903" s="38"/>
      <c r="AJ903" s="36">
        <f t="shared" si="310"/>
        <v>0</v>
      </c>
      <c r="AK903" s="35"/>
      <c r="AL903" s="36">
        <f t="shared" si="300"/>
        <v>0</v>
      </c>
      <c r="AM903" s="38"/>
      <c r="AN903" s="36">
        <f t="shared" si="311"/>
        <v>0</v>
      </c>
      <c r="AO903" s="35"/>
      <c r="AP903" s="38"/>
    </row>
    <row r="904" spans="1:42" ht="15.75" customHeight="1" x14ac:dyDescent="0.25">
      <c r="A904" s="37">
        <v>2018</v>
      </c>
      <c r="B904" s="35">
        <v>171215</v>
      </c>
      <c r="C904" s="34" t="s">
        <v>147</v>
      </c>
      <c r="D904" s="34" t="s">
        <v>73</v>
      </c>
      <c r="E904" s="35"/>
      <c r="F904" s="36">
        <f t="shared" si="301"/>
        <v>0</v>
      </c>
      <c r="G904" s="38"/>
      <c r="H904" s="36">
        <f t="shared" si="302"/>
        <v>0</v>
      </c>
      <c r="I904" s="35"/>
      <c r="J904" s="36">
        <f t="shared" si="303"/>
        <v>0</v>
      </c>
      <c r="K904" s="38"/>
      <c r="L904" s="36">
        <f t="shared" si="304"/>
        <v>0</v>
      </c>
      <c r="M904" s="35"/>
      <c r="N904" s="36">
        <f t="shared" si="294"/>
        <v>0</v>
      </c>
      <c r="O904" s="38"/>
      <c r="P904" s="36">
        <f t="shared" si="305"/>
        <v>0</v>
      </c>
      <c r="Q904" s="35"/>
      <c r="R904" s="36">
        <f t="shared" si="295"/>
        <v>0</v>
      </c>
      <c r="S904" s="38"/>
      <c r="T904" s="36">
        <f t="shared" si="306"/>
        <v>0</v>
      </c>
      <c r="U904" s="35"/>
      <c r="V904" s="36">
        <f t="shared" si="296"/>
        <v>0</v>
      </c>
      <c r="W904" s="38"/>
      <c r="X904" s="36">
        <f t="shared" si="307"/>
        <v>0</v>
      </c>
      <c r="Y904" s="35"/>
      <c r="Z904" s="36">
        <f t="shared" si="297"/>
        <v>0</v>
      </c>
      <c r="AA904" s="38"/>
      <c r="AB904" s="36">
        <f t="shared" si="308"/>
        <v>0</v>
      </c>
      <c r="AC904" s="35"/>
      <c r="AD904" s="36">
        <f t="shared" si="298"/>
        <v>0</v>
      </c>
      <c r="AE904" s="38"/>
      <c r="AF904" s="36">
        <f t="shared" si="309"/>
        <v>0</v>
      </c>
      <c r="AG904" s="35"/>
      <c r="AH904" s="36">
        <f t="shared" si="299"/>
        <v>0</v>
      </c>
      <c r="AI904" s="38"/>
      <c r="AJ904" s="36">
        <f t="shared" si="310"/>
        <v>0</v>
      </c>
      <c r="AK904" s="35"/>
      <c r="AL904" s="36">
        <f t="shared" si="300"/>
        <v>0</v>
      </c>
      <c r="AM904" s="38"/>
      <c r="AN904" s="36">
        <f t="shared" si="311"/>
        <v>0</v>
      </c>
      <c r="AO904" s="35"/>
      <c r="AP904" s="38"/>
    </row>
    <row r="905" spans="1:42" ht="15.75" customHeight="1" x14ac:dyDescent="0.25">
      <c r="A905" s="37">
        <v>2018</v>
      </c>
      <c r="B905" s="35">
        <v>171240</v>
      </c>
      <c r="C905" s="34" t="s">
        <v>148</v>
      </c>
      <c r="D905" s="34" t="s">
        <v>74</v>
      </c>
      <c r="E905" s="35"/>
      <c r="F905" s="36">
        <f t="shared" si="301"/>
        <v>0</v>
      </c>
      <c r="G905" s="38"/>
      <c r="H905" s="36">
        <f t="shared" si="302"/>
        <v>0</v>
      </c>
      <c r="I905" s="35"/>
      <c r="J905" s="36">
        <f t="shared" si="303"/>
        <v>0</v>
      </c>
      <c r="K905" s="38"/>
      <c r="L905" s="36">
        <f t="shared" si="304"/>
        <v>0</v>
      </c>
      <c r="M905" s="35"/>
      <c r="N905" s="36">
        <f t="shared" si="294"/>
        <v>0</v>
      </c>
      <c r="O905" s="38"/>
      <c r="P905" s="36">
        <f t="shared" si="305"/>
        <v>0</v>
      </c>
      <c r="Q905" s="35"/>
      <c r="R905" s="36">
        <f t="shared" si="295"/>
        <v>0</v>
      </c>
      <c r="S905" s="38"/>
      <c r="T905" s="36">
        <f t="shared" si="306"/>
        <v>0</v>
      </c>
      <c r="U905" s="35"/>
      <c r="V905" s="36">
        <f t="shared" si="296"/>
        <v>0</v>
      </c>
      <c r="W905" s="38"/>
      <c r="X905" s="36">
        <f t="shared" si="307"/>
        <v>0</v>
      </c>
      <c r="Y905" s="35"/>
      <c r="Z905" s="36">
        <f t="shared" si="297"/>
        <v>0</v>
      </c>
      <c r="AA905" s="38"/>
      <c r="AB905" s="36">
        <f t="shared" si="308"/>
        <v>0</v>
      </c>
      <c r="AC905" s="35"/>
      <c r="AD905" s="36">
        <f t="shared" si="298"/>
        <v>0</v>
      </c>
      <c r="AE905" s="38"/>
      <c r="AF905" s="36">
        <f t="shared" si="309"/>
        <v>0</v>
      </c>
      <c r="AG905" s="35"/>
      <c r="AH905" s="36">
        <f t="shared" si="299"/>
        <v>0</v>
      </c>
      <c r="AI905" s="38"/>
      <c r="AJ905" s="36">
        <f t="shared" si="310"/>
        <v>0</v>
      </c>
      <c r="AK905" s="35"/>
      <c r="AL905" s="36">
        <f t="shared" si="300"/>
        <v>0</v>
      </c>
      <c r="AM905" s="38"/>
      <c r="AN905" s="36">
        <f t="shared" si="311"/>
        <v>0</v>
      </c>
      <c r="AO905" s="35"/>
      <c r="AP905" s="38"/>
    </row>
    <row r="906" spans="1:42" ht="15.75" customHeight="1" x14ac:dyDescent="0.25">
      <c r="A906" s="37">
        <v>2018</v>
      </c>
      <c r="B906" s="35">
        <v>171245</v>
      </c>
      <c r="C906" s="34" t="s">
        <v>145</v>
      </c>
      <c r="D906" s="34" t="s">
        <v>75</v>
      </c>
      <c r="E906" s="35"/>
      <c r="F906" s="36">
        <f t="shared" si="301"/>
        <v>0</v>
      </c>
      <c r="G906" s="38"/>
      <c r="H906" s="36">
        <f t="shared" si="302"/>
        <v>0</v>
      </c>
      <c r="I906" s="35"/>
      <c r="J906" s="36">
        <f t="shared" si="303"/>
        <v>0</v>
      </c>
      <c r="K906" s="38"/>
      <c r="L906" s="36">
        <f t="shared" si="304"/>
        <v>0</v>
      </c>
      <c r="M906" s="35"/>
      <c r="N906" s="36">
        <f t="shared" si="294"/>
        <v>0</v>
      </c>
      <c r="O906" s="38"/>
      <c r="P906" s="36">
        <f t="shared" si="305"/>
        <v>0</v>
      </c>
      <c r="Q906" s="35"/>
      <c r="R906" s="36">
        <f t="shared" si="295"/>
        <v>0</v>
      </c>
      <c r="S906" s="38"/>
      <c r="T906" s="36">
        <f t="shared" si="306"/>
        <v>0</v>
      </c>
      <c r="U906" s="35"/>
      <c r="V906" s="36">
        <f t="shared" si="296"/>
        <v>0</v>
      </c>
      <c r="W906" s="38"/>
      <c r="X906" s="36">
        <f t="shared" si="307"/>
        <v>0</v>
      </c>
      <c r="Y906" s="35"/>
      <c r="Z906" s="36">
        <f t="shared" si="297"/>
        <v>0</v>
      </c>
      <c r="AA906" s="38"/>
      <c r="AB906" s="36">
        <f t="shared" si="308"/>
        <v>0</v>
      </c>
      <c r="AC906" s="35"/>
      <c r="AD906" s="36">
        <f t="shared" si="298"/>
        <v>0</v>
      </c>
      <c r="AE906" s="38"/>
      <c r="AF906" s="36">
        <f t="shared" si="309"/>
        <v>0</v>
      </c>
      <c r="AG906" s="35"/>
      <c r="AH906" s="36">
        <f t="shared" si="299"/>
        <v>0</v>
      </c>
      <c r="AI906" s="38"/>
      <c r="AJ906" s="36">
        <f t="shared" si="310"/>
        <v>0</v>
      </c>
      <c r="AK906" s="35"/>
      <c r="AL906" s="36">
        <f t="shared" si="300"/>
        <v>0</v>
      </c>
      <c r="AM906" s="38"/>
      <c r="AN906" s="36">
        <f t="shared" si="311"/>
        <v>0</v>
      </c>
      <c r="AO906" s="35"/>
      <c r="AP906" s="38"/>
    </row>
    <row r="907" spans="1:42" ht="15.75" customHeight="1" x14ac:dyDescent="0.25">
      <c r="A907" s="37">
        <v>2018</v>
      </c>
      <c r="B907" s="35">
        <v>171250</v>
      </c>
      <c r="C907" s="34" t="s">
        <v>144</v>
      </c>
      <c r="D907" s="34" t="s">
        <v>76</v>
      </c>
      <c r="E907" s="35"/>
      <c r="F907" s="36">
        <f t="shared" si="301"/>
        <v>0</v>
      </c>
      <c r="G907" s="38"/>
      <c r="H907" s="36">
        <f t="shared" si="302"/>
        <v>0</v>
      </c>
      <c r="I907" s="35"/>
      <c r="J907" s="36">
        <f t="shared" si="303"/>
        <v>0</v>
      </c>
      <c r="K907" s="38"/>
      <c r="L907" s="36">
        <f t="shared" si="304"/>
        <v>0</v>
      </c>
      <c r="M907" s="35"/>
      <c r="N907" s="36">
        <f t="shared" si="294"/>
        <v>0</v>
      </c>
      <c r="O907" s="38"/>
      <c r="P907" s="36">
        <f t="shared" si="305"/>
        <v>0</v>
      </c>
      <c r="Q907" s="35"/>
      <c r="R907" s="36">
        <f t="shared" si="295"/>
        <v>0</v>
      </c>
      <c r="S907" s="38"/>
      <c r="T907" s="36">
        <f t="shared" si="306"/>
        <v>0</v>
      </c>
      <c r="U907" s="35"/>
      <c r="V907" s="36">
        <f t="shared" si="296"/>
        <v>0</v>
      </c>
      <c r="W907" s="38"/>
      <c r="X907" s="36">
        <f t="shared" si="307"/>
        <v>0</v>
      </c>
      <c r="Y907" s="35"/>
      <c r="Z907" s="36">
        <f t="shared" si="297"/>
        <v>0</v>
      </c>
      <c r="AA907" s="38"/>
      <c r="AB907" s="36">
        <f t="shared" si="308"/>
        <v>0</v>
      </c>
      <c r="AC907" s="35"/>
      <c r="AD907" s="36">
        <f t="shared" si="298"/>
        <v>0</v>
      </c>
      <c r="AE907" s="38"/>
      <c r="AF907" s="36">
        <f t="shared" si="309"/>
        <v>0</v>
      </c>
      <c r="AG907" s="35"/>
      <c r="AH907" s="36">
        <f t="shared" si="299"/>
        <v>0</v>
      </c>
      <c r="AI907" s="38"/>
      <c r="AJ907" s="36">
        <f t="shared" si="310"/>
        <v>0</v>
      </c>
      <c r="AK907" s="35"/>
      <c r="AL907" s="36">
        <f t="shared" si="300"/>
        <v>0</v>
      </c>
      <c r="AM907" s="38"/>
      <c r="AN907" s="36">
        <f t="shared" si="311"/>
        <v>0</v>
      </c>
      <c r="AO907" s="35"/>
      <c r="AP907" s="38"/>
    </row>
    <row r="908" spans="1:42" ht="15.75" customHeight="1" x14ac:dyDescent="0.25">
      <c r="A908" s="37">
        <v>2018</v>
      </c>
      <c r="B908" s="35">
        <v>171270</v>
      </c>
      <c r="C908" s="34" t="s">
        <v>151</v>
      </c>
      <c r="D908" s="34" t="s">
        <v>77</v>
      </c>
      <c r="E908" s="35"/>
      <c r="F908" s="36">
        <f t="shared" si="301"/>
        <v>0</v>
      </c>
      <c r="G908" s="38"/>
      <c r="H908" s="36">
        <f t="shared" si="302"/>
        <v>0</v>
      </c>
      <c r="I908" s="35"/>
      <c r="J908" s="36">
        <f t="shared" si="303"/>
        <v>0</v>
      </c>
      <c r="K908" s="38"/>
      <c r="L908" s="36">
        <f t="shared" si="304"/>
        <v>0</v>
      </c>
      <c r="M908" s="35"/>
      <c r="N908" s="36">
        <f t="shared" si="294"/>
        <v>0</v>
      </c>
      <c r="O908" s="38"/>
      <c r="P908" s="36">
        <f t="shared" si="305"/>
        <v>0</v>
      </c>
      <c r="Q908" s="35"/>
      <c r="R908" s="36">
        <f t="shared" si="295"/>
        <v>0</v>
      </c>
      <c r="S908" s="38"/>
      <c r="T908" s="36">
        <f t="shared" si="306"/>
        <v>0</v>
      </c>
      <c r="U908" s="35"/>
      <c r="V908" s="36">
        <f t="shared" si="296"/>
        <v>0</v>
      </c>
      <c r="W908" s="38"/>
      <c r="X908" s="36">
        <f t="shared" si="307"/>
        <v>0</v>
      </c>
      <c r="Y908" s="35"/>
      <c r="Z908" s="36">
        <f t="shared" si="297"/>
        <v>0</v>
      </c>
      <c r="AA908" s="38"/>
      <c r="AB908" s="36">
        <f t="shared" si="308"/>
        <v>0</v>
      </c>
      <c r="AC908" s="35"/>
      <c r="AD908" s="36">
        <f t="shared" si="298"/>
        <v>0</v>
      </c>
      <c r="AE908" s="38"/>
      <c r="AF908" s="36">
        <f t="shared" si="309"/>
        <v>0</v>
      </c>
      <c r="AG908" s="35"/>
      <c r="AH908" s="36">
        <f t="shared" si="299"/>
        <v>0</v>
      </c>
      <c r="AI908" s="38"/>
      <c r="AJ908" s="36">
        <f t="shared" si="310"/>
        <v>0</v>
      </c>
      <c r="AK908" s="35"/>
      <c r="AL908" s="36">
        <f t="shared" si="300"/>
        <v>0</v>
      </c>
      <c r="AM908" s="38"/>
      <c r="AN908" s="36">
        <f t="shared" si="311"/>
        <v>0</v>
      </c>
      <c r="AO908" s="35"/>
      <c r="AP908" s="38"/>
    </row>
    <row r="909" spans="1:42" ht="15.75" customHeight="1" x14ac:dyDescent="0.25">
      <c r="A909" s="37">
        <v>2018</v>
      </c>
      <c r="B909" s="35">
        <v>171280</v>
      </c>
      <c r="C909" s="34" t="s">
        <v>145</v>
      </c>
      <c r="D909" s="34" t="s">
        <v>78</v>
      </c>
      <c r="E909" s="35"/>
      <c r="F909" s="36">
        <f t="shared" si="301"/>
        <v>0</v>
      </c>
      <c r="G909" s="38"/>
      <c r="H909" s="36">
        <f t="shared" si="302"/>
        <v>0</v>
      </c>
      <c r="I909" s="35"/>
      <c r="J909" s="36">
        <f t="shared" si="303"/>
        <v>0</v>
      </c>
      <c r="K909" s="38"/>
      <c r="L909" s="36">
        <f t="shared" si="304"/>
        <v>0</v>
      </c>
      <c r="M909" s="35"/>
      <c r="N909" s="36">
        <f t="shared" si="294"/>
        <v>0</v>
      </c>
      <c r="O909" s="38"/>
      <c r="P909" s="36">
        <f t="shared" si="305"/>
        <v>0</v>
      </c>
      <c r="Q909" s="35"/>
      <c r="R909" s="36">
        <f t="shared" si="295"/>
        <v>0</v>
      </c>
      <c r="S909" s="38"/>
      <c r="T909" s="36">
        <f t="shared" si="306"/>
        <v>0</v>
      </c>
      <c r="U909" s="35"/>
      <c r="V909" s="36">
        <f t="shared" si="296"/>
        <v>0</v>
      </c>
      <c r="W909" s="38"/>
      <c r="X909" s="36">
        <f t="shared" si="307"/>
        <v>0</v>
      </c>
      <c r="Y909" s="35"/>
      <c r="Z909" s="36">
        <f t="shared" si="297"/>
        <v>0</v>
      </c>
      <c r="AA909" s="38"/>
      <c r="AB909" s="36">
        <f t="shared" si="308"/>
        <v>0</v>
      </c>
      <c r="AC909" s="35"/>
      <c r="AD909" s="36">
        <f t="shared" si="298"/>
        <v>0</v>
      </c>
      <c r="AE909" s="38"/>
      <c r="AF909" s="36">
        <f t="shared" si="309"/>
        <v>0</v>
      </c>
      <c r="AG909" s="35"/>
      <c r="AH909" s="36">
        <f t="shared" si="299"/>
        <v>0</v>
      </c>
      <c r="AI909" s="38"/>
      <c r="AJ909" s="36">
        <f t="shared" si="310"/>
        <v>0</v>
      </c>
      <c r="AK909" s="35"/>
      <c r="AL909" s="36">
        <f t="shared" si="300"/>
        <v>0</v>
      </c>
      <c r="AM909" s="38"/>
      <c r="AN909" s="36">
        <f t="shared" si="311"/>
        <v>0</v>
      </c>
      <c r="AO909" s="35"/>
      <c r="AP909" s="38"/>
    </row>
    <row r="910" spans="1:42" ht="15.75" customHeight="1" x14ac:dyDescent="0.25">
      <c r="A910" s="37">
        <v>2018</v>
      </c>
      <c r="B910" s="35">
        <v>171320</v>
      </c>
      <c r="C910" s="34" t="s">
        <v>148</v>
      </c>
      <c r="D910" s="34" t="s">
        <v>79</v>
      </c>
      <c r="E910" s="35"/>
      <c r="F910" s="36">
        <f t="shared" si="301"/>
        <v>0</v>
      </c>
      <c r="G910" s="38"/>
      <c r="H910" s="36">
        <f t="shared" si="302"/>
        <v>0</v>
      </c>
      <c r="I910" s="35"/>
      <c r="J910" s="36">
        <f t="shared" si="303"/>
        <v>0</v>
      </c>
      <c r="K910" s="38"/>
      <c r="L910" s="36">
        <f t="shared" si="304"/>
        <v>0</v>
      </c>
      <c r="M910" s="35"/>
      <c r="N910" s="36">
        <f t="shared" si="294"/>
        <v>0</v>
      </c>
      <c r="O910" s="38"/>
      <c r="P910" s="36">
        <f t="shared" si="305"/>
        <v>0</v>
      </c>
      <c r="Q910" s="35"/>
      <c r="R910" s="36">
        <f t="shared" si="295"/>
        <v>0</v>
      </c>
      <c r="S910" s="38"/>
      <c r="T910" s="36">
        <f t="shared" si="306"/>
        <v>0</v>
      </c>
      <c r="U910" s="35"/>
      <c r="V910" s="36">
        <f t="shared" si="296"/>
        <v>0</v>
      </c>
      <c r="W910" s="38"/>
      <c r="X910" s="36">
        <f t="shared" si="307"/>
        <v>0</v>
      </c>
      <c r="Y910" s="35"/>
      <c r="Z910" s="36">
        <f t="shared" si="297"/>
        <v>0</v>
      </c>
      <c r="AA910" s="38"/>
      <c r="AB910" s="36">
        <f t="shared" si="308"/>
        <v>0</v>
      </c>
      <c r="AC910" s="35"/>
      <c r="AD910" s="36">
        <f t="shared" si="298"/>
        <v>0</v>
      </c>
      <c r="AE910" s="38"/>
      <c r="AF910" s="36">
        <f t="shared" si="309"/>
        <v>0</v>
      </c>
      <c r="AG910" s="35"/>
      <c r="AH910" s="36">
        <f t="shared" si="299"/>
        <v>0</v>
      </c>
      <c r="AI910" s="38"/>
      <c r="AJ910" s="36">
        <f t="shared" si="310"/>
        <v>0</v>
      </c>
      <c r="AK910" s="35"/>
      <c r="AL910" s="36">
        <f t="shared" si="300"/>
        <v>0</v>
      </c>
      <c r="AM910" s="38"/>
      <c r="AN910" s="36">
        <f t="shared" si="311"/>
        <v>0</v>
      </c>
      <c r="AO910" s="35"/>
      <c r="AP910" s="38"/>
    </row>
    <row r="911" spans="1:42" ht="15.75" customHeight="1" x14ac:dyDescent="0.25">
      <c r="A911" s="37">
        <v>2018</v>
      </c>
      <c r="B911" s="35">
        <v>171330</v>
      </c>
      <c r="C911" s="34" t="s">
        <v>148</v>
      </c>
      <c r="D911" s="34" t="s">
        <v>80</v>
      </c>
      <c r="E911" s="35"/>
      <c r="F911" s="36">
        <f t="shared" si="301"/>
        <v>0</v>
      </c>
      <c r="G911" s="38"/>
      <c r="H911" s="36">
        <f t="shared" si="302"/>
        <v>0</v>
      </c>
      <c r="I911" s="35"/>
      <c r="J911" s="36">
        <f t="shared" si="303"/>
        <v>0</v>
      </c>
      <c r="K911" s="38"/>
      <c r="L911" s="36">
        <f t="shared" si="304"/>
        <v>0</v>
      </c>
      <c r="M911" s="35"/>
      <c r="N911" s="36">
        <f t="shared" si="294"/>
        <v>0</v>
      </c>
      <c r="O911" s="38"/>
      <c r="P911" s="36">
        <f t="shared" si="305"/>
        <v>0</v>
      </c>
      <c r="Q911" s="35"/>
      <c r="R911" s="36">
        <f t="shared" si="295"/>
        <v>0</v>
      </c>
      <c r="S911" s="38"/>
      <c r="T911" s="36">
        <f t="shared" si="306"/>
        <v>0</v>
      </c>
      <c r="U911" s="35"/>
      <c r="V911" s="36">
        <f t="shared" si="296"/>
        <v>0</v>
      </c>
      <c r="W911" s="38"/>
      <c r="X911" s="36">
        <f t="shared" si="307"/>
        <v>0</v>
      </c>
      <c r="Y911" s="35"/>
      <c r="Z911" s="36">
        <f t="shared" si="297"/>
        <v>0</v>
      </c>
      <c r="AA911" s="38"/>
      <c r="AB911" s="36">
        <f t="shared" si="308"/>
        <v>0</v>
      </c>
      <c r="AC911" s="35"/>
      <c r="AD911" s="36">
        <f t="shared" si="298"/>
        <v>0</v>
      </c>
      <c r="AE911" s="38"/>
      <c r="AF911" s="36">
        <f t="shared" si="309"/>
        <v>0</v>
      </c>
      <c r="AG911" s="35"/>
      <c r="AH911" s="36">
        <f t="shared" si="299"/>
        <v>0</v>
      </c>
      <c r="AI911" s="38"/>
      <c r="AJ911" s="36">
        <f t="shared" si="310"/>
        <v>0</v>
      </c>
      <c r="AK911" s="35"/>
      <c r="AL911" s="36">
        <f t="shared" si="300"/>
        <v>0</v>
      </c>
      <c r="AM911" s="38"/>
      <c r="AN911" s="36">
        <f t="shared" si="311"/>
        <v>0</v>
      </c>
      <c r="AO911" s="35"/>
      <c r="AP911" s="38"/>
    </row>
    <row r="912" spans="1:42" ht="15.75" customHeight="1" x14ac:dyDescent="0.25">
      <c r="A912" s="37">
        <v>2018</v>
      </c>
      <c r="B912" s="35">
        <v>171360</v>
      </c>
      <c r="C912" s="34" t="s">
        <v>151</v>
      </c>
      <c r="D912" s="34" t="s">
        <v>81</v>
      </c>
      <c r="E912" s="35"/>
      <c r="F912" s="36">
        <f t="shared" si="301"/>
        <v>0</v>
      </c>
      <c r="G912" s="38"/>
      <c r="H912" s="36">
        <f t="shared" si="302"/>
        <v>0</v>
      </c>
      <c r="I912" s="35"/>
      <c r="J912" s="36">
        <f t="shared" si="303"/>
        <v>0</v>
      </c>
      <c r="K912" s="38"/>
      <c r="L912" s="36">
        <f t="shared" si="304"/>
        <v>0</v>
      </c>
      <c r="M912" s="35"/>
      <c r="N912" s="36">
        <f t="shared" si="294"/>
        <v>0</v>
      </c>
      <c r="O912" s="38"/>
      <c r="P912" s="36">
        <f t="shared" si="305"/>
        <v>0</v>
      </c>
      <c r="Q912" s="35"/>
      <c r="R912" s="36">
        <f t="shared" si="295"/>
        <v>0</v>
      </c>
      <c r="S912" s="38"/>
      <c r="T912" s="36">
        <f t="shared" si="306"/>
        <v>0</v>
      </c>
      <c r="U912" s="35"/>
      <c r="V912" s="36">
        <f t="shared" si="296"/>
        <v>0</v>
      </c>
      <c r="W912" s="38"/>
      <c r="X912" s="36">
        <f t="shared" si="307"/>
        <v>0</v>
      </c>
      <c r="Y912" s="35"/>
      <c r="Z912" s="36">
        <f t="shared" si="297"/>
        <v>0</v>
      </c>
      <c r="AA912" s="38"/>
      <c r="AB912" s="36">
        <f t="shared" si="308"/>
        <v>0</v>
      </c>
      <c r="AC912" s="35"/>
      <c r="AD912" s="36">
        <f t="shared" si="298"/>
        <v>0</v>
      </c>
      <c r="AE912" s="38"/>
      <c r="AF912" s="36">
        <f t="shared" si="309"/>
        <v>0</v>
      </c>
      <c r="AG912" s="35"/>
      <c r="AH912" s="36">
        <f t="shared" si="299"/>
        <v>0</v>
      </c>
      <c r="AI912" s="38"/>
      <c r="AJ912" s="36">
        <f t="shared" si="310"/>
        <v>0</v>
      </c>
      <c r="AK912" s="35"/>
      <c r="AL912" s="36">
        <f t="shared" si="300"/>
        <v>0</v>
      </c>
      <c r="AM912" s="38"/>
      <c r="AN912" s="36">
        <f t="shared" si="311"/>
        <v>0</v>
      </c>
      <c r="AO912" s="35"/>
      <c r="AP912" s="38"/>
    </row>
    <row r="913" spans="1:42" ht="15.75" customHeight="1" x14ac:dyDescent="0.25">
      <c r="A913" s="37">
        <v>2018</v>
      </c>
      <c r="B913" s="35">
        <v>171370</v>
      </c>
      <c r="C913" s="34" t="s">
        <v>144</v>
      </c>
      <c r="D913" s="34" t="s">
        <v>82</v>
      </c>
      <c r="E913" s="35"/>
      <c r="F913" s="36">
        <f t="shared" si="301"/>
        <v>0</v>
      </c>
      <c r="G913" s="38"/>
      <c r="H913" s="36">
        <f t="shared" si="302"/>
        <v>0</v>
      </c>
      <c r="I913" s="35"/>
      <c r="J913" s="36">
        <f t="shared" si="303"/>
        <v>0</v>
      </c>
      <c r="K913" s="38"/>
      <c r="L913" s="36">
        <f t="shared" si="304"/>
        <v>0</v>
      </c>
      <c r="M913" s="35"/>
      <c r="N913" s="36">
        <f t="shared" si="294"/>
        <v>0</v>
      </c>
      <c r="O913" s="38"/>
      <c r="P913" s="36">
        <f t="shared" si="305"/>
        <v>0</v>
      </c>
      <c r="Q913" s="35"/>
      <c r="R913" s="36">
        <f t="shared" si="295"/>
        <v>0</v>
      </c>
      <c r="S913" s="38"/>
      <c r="T913" s="36">
        <f t="shared" si="306"/>
        <v>0</v>
      </c>
      <c r="U913" s="35"/>
      <c r="V913" s="36">
        <f t="shared" si="296"/>
        <v>0</v>
      </c>
      <c r="W913" s="38"/>
      <c r="X913" s="36">
        <f t="shared" si="307"/>
        <v>0</v>
      </c>
      <c r="Y913" s="35"/>
      <c r="Z913" s="36">
        <f t="shared" si="297"/>
        <v>0</v>
      </c>
      <c r="AA913" s="38"/>
      <c r="AB913" s="36">
        <f t="shared" si="308"/>
        <v>0</v>
      </c>
      <c r="AC913" s="35"/>
      <c r="AD913" s="36">
        <f t="shared" si="298"/>
        <v>0</v>
      </c>
      <c r="AE913" s="38"/>
      <c r="AF913" s="36">
        <f t="shared" si="309"/>
        <v>0</v>
      </c>
      <c r="AG913" s="35"/>
      <c r="AH913" s="36">
        <f t="shared" si="299"/>
        <v>0</v>
      </c>
      <c r="AI913" s="38"/>
      <c r="AJ913" s="36">
        <f t="shared" si="310"/>
        <v>0</v>
      </c>
      <c r="AK913" s="35"/>
      <c r="AL913" s="36">
        <f t="shared" si="300"/>
        <v>0</v>
      </c>
      <c r="AM913" s="38"/>
      <c r="AN913" s="36">
        <f t="shared" si="311"/>
        <v>0</v>
      </c>
      <c r="AO913" s="35"/>
      <c r="AP913" s="38"/>
    </row>
    <row r="914" spans="1:42" ht="15.75" customHeight="1" x14ac:dyDescent="0.25">
      <c r="A914" s="37">
        <v>2018</v>
      </c>
      <c r="B914" s="35">
        <v>171395</v>
      </c>
      <c r="C914" s="34" t="s">
        <v>149</v>
      </c>
      <c r="D914" s="34" t="s">
        <v>83</v>
      </c>
      <c r="E914" s="35"/>
      <c r="F914" s="36">
        <f t="shared" si="301"/>
        <v>0</v>
      </c>
      <c r="G914" s="38"/>
      <c r="H914" s="36">
        <f t="shared" si="302"/>
        <v>0</v>
      </c>
      <c r="I914" s="35"/>
      <c r="J914" s="36">
        <f t="shared" si="303"/>
        <v>0</v>
      </c>
      <c r="K914" s="38"/>
      <c r="L914" s="36">
        <f t="shared" si="304"/>
        <v>0</v>
      </c>
      <c r="M914" s="35"/>
      <c r="N914" s="36">
        <f t="shared" si="294"/>
        <v>0</v>
      </c>
      <c r="O914" s="38"/>
      <c r="P914" s="36">
        <f t="shared" si="305"/>
        <v>0</v>
      </c>
      <c r="Q914" s="35"/>
      <c r="R914" s="36">
        <f t="shared" si="295"/>
        <v>0</v>
      </c>
      <c r="S914" s="38"/>
      <c r="T914" s="36">
        <f t="shared" si="306"/>
        <v>0</v>
      </c>
      <c r="U914" s="35"/>
      <c r="V914" s="36">
        <f t="shared" si="296"/>
        <v>0</v>
      </c>
      <c r="W914" s="38"/>
      <c r="X914" s="36">
        <f t="shared" si="307"/>
        <v>0</v>
      </c>
      <c r="Y914" s="35"/>
      <c r="Z914" s="36">
        <f t="shared" si="297"/>
        <v>0</v>
      </c>
      <c r="AA914" s="38"/>
      <c r="AB914" s="36">
        <f t="shared" si="308"/>
        <v>0</v>
      </c>
      <c r="AC914" s="35"/>
      <c r="AD914" s="36">
        <f t="shared" si="298"/>
        <v>0</v>
      </c>
      <c r="AE914" s="38"/>
      <c r="AF914" s="36">
        <f t="shared" si="309"/>
        <v>0</v>
      </c>
      <c r="AG914" s="35"/>
      <c r="AH914" s="36">
        <f t="shared" si="299"/>
        <v>0</v>
      </c>
      <c r="AI914" s="38"/>
      <c r="AJ914" s="36">
        <f t="shared" si="310"/>
        <v>0</v>
      </c>
      <c r="AK914" s="35"/>
      <c r="AL914" s="36">
        <f t="shared" si="300"/>
        <v>0</v>
      </c>
      <c r="AM914" s="38"/>
      <c r="AN914" s="36">
        <f t="shared" si="311"/>
        <v>0</v>
      </c>
      <c r="AO914" s="35"/>
      <c r="AP914" s="38"/>
    </row>
    <row r="915" spans="1:42" ht="15.75" customHeight="1" x14ac:dyDescent="0.25">
      <c r="A915" s="37">
        <v>2018</v>
      </c>
      <c r="B915" s="35">
        <v>171420</v>
      </c>
      <c r="C915" s="34" t="s">
        <v>151</v>
      </c>
      <c r="D915" s="34" t="s">
        <v>84</v>
      </c>
      <c r="E915" s="35"/>
      <c r="F915" s="36">
        <f t="shared" si="301"/>
        <v>0</v>
      </c>
      <c r="G915" s="38"/>
      <c r="H915" s="36">
        <f t="shared" si="302"/>
        <v>0</v>
      </c>
      <c r="I915" s="35"/>
      <c r="J915" s="36">
        <f t="shared" si="303"/>
        <v>0</v>
      </c>
      <c r="K915" s="38"/>
      <c r="L915" s="36">
        <f t="shared" si="304"/>
        <v>0</v>
      </c>
      <c r="M915" s="35"/>
      <c r="N915" s="36">
        <f t="shared" si="294"/>
        <v>0</v>
      </c>
      <c r="O915" s="38"/>
      <c r="P915" s="36">
        <f t="shared" si="305"/>
        <v>0</v>
      </c>
      <c r="Q915" s="35"/>
      <c r="R915" s="36">
        <f t="shared" si="295"/>
        <v>0</v>
      </c>
      <c r="S915" s="38"/>
      <c r="T915" s="36">
        <f t="shared" si="306"/>
        <v>0</v>
      </c>
      <c r="U915" s="35"/>
      <c r="V915" s="36">
        <f t="shared" si="296"/>
        <v>0</v>
      </c>
      <c r="W915" s="38"/>
      <c r="X915" s="36">
        <f t="shared" si="307"/>
        <v>0</v>
      </c>
      <c r="Y915" s="35"/>
      <c r="Z915" s="36">
        <f t="shared" si="297"/>
        <v>0</v>
      </c>
      <c r="AA915" s="38"/>
      <c r="AB915" s="36">
        <f t="shared" si="308"/>
        <v>0</v>
      </c>
      <c r="AC915" s="35"/>
      <c r="AD915" s="36">
        <f t="shared" si="298"/>
        <v>0</v>
      </c>
      <c r="AE915" s="38"/>
      <c r="AF915" s="36">
        <f t="shared" si="309"/>
        <v>0</v>
      </c>
      <c r="AG915" s="35"/>
      <c r="AH915" s="36">
        <f t="shared" si="299"/>
        <v>0</v>
      </c>
      <c r="AI915" s="38"/>
      <c r="AJ915" s="36">
        <f t="shared" si="310"/>
        <v>0</v>
      </c>
      <c r="AK915" s="35"/>
      <c r="AL915" s="36">
        <f t="shared" si="300"/>
        <v>0</v>
      </c>
      <c r="AM915" s="38"/>
      <c r="AN915" s="36">
        <f t="shared" si="311"/>
        <v>0</v>
      </c>
      <c r="AO915" s="35"/>
      <c r="AP915" s="38"/>
    </row>
    <row r="916" spans="1:42" ht="15.75" customHeight="1" x14ac:dyDescent="0.25">
      <c r="A916" s="37">
        <v>2018</v>
      </c>
      <c r="B916" s="35">
        <v>171430</v>
      </c>
      <c r="C916" s="34" t="s">
        <v>145</v>
      </c>
      <c r="D916" s="34" t="s">
        <v>85</v>
      </c>
      <c r="E916" s="35"/>
      <c r="F916" s="36">
        <f t="shared" si="301"/>
        <v>0</v>
      </c>
      <c r="G916" s="38"/>
      <c r="H916" s="36">
        <f t="shared" si="302"/>
        <v>0</v>
      </c>
      <c r="I916" s="35"/>
      <c r="J916" s="36">
        <f t="shared" si="303"/>
        <v>0</v>
      </c>
      <c r="K916" s="38"/>
      <c r="L916" s="36">
        <f t="shared" si="304"/>
        <v>0</v>
      </c>
      <c r="M916" s="35"/>
      <c r="N916" s="36">
        <f t="shared" si="294"/>
        <v>0</v>
      </c>
      <c r="O916" s="38"/>
      <c r="P916" s="36">
        <f t="shared" si="305"/>
        <v>0</v>
      </c>
      <c r="Q916" s="35"/>
      <c r="R916" s="36">
        <f t="shared" si="295"/>
        <v>0</v>
      </c>
      <c r="S916" s="38"/>
      <c r="T916" s="36">
        <f t="shared" si="306"/>
        <v>0</v>
      </c>
      <c r="U916" s="35"/>
      <c r="V916" s="36">
        <f t="shared" si="296"/>
        <v>0</v>
      </c>
      <c r="W916" s="38"/>
      <c r="X916" s="36">
        <f t="shared" si="307"/>
        <v>0</v>
      </c>
      <c r="Y916" s="35"/>
      <c r="Z916" s="36">
        <f t="shared" si="297"/>
        <v>0</v>
      </c>
      <c r="AA916" s="38"/>
      <c r="AB916" s="36">
        <f t="shared" si="308"/>
        <v>0</v>
      </c>
      <c r="AC916" s="35"/>
      <c r="AD916" s="36">
        <f t="shared" si="298"/>
        <v>0</v>
      </c>
      <c r="AE916" s="38"/>
      <c r="AF916" s="36">
        <f t="shared" si="309"/>
        <v>0</v>
      </c>
      <c r="AG916" s="35"/>
      <c r="AH916" s="36">
        <f t="shared" si="299"/>
        <v>0</v>
      </c>
      <c r="AI916" s="38"/>
      <c r="AJ916" s="36">
        <f t="shared" si="310"/>
        <v>0</v>
      </c>
      <c r="AK916" s="35"/>
      <c r="AL916" s="36">
        <f t="shared" si="300"/>
        <v>0</v>
      </c>
      <c r="AM916" s="38"/>
      <c r="AN916" s="36">
        <f t="shared" si="311"/>
        <v>0</v>
      </c>
      <c r="AO916" s="35"/>
      <c r="AP916" s="38"/>
    </row>
    <row r="917" spans="1:42" ht="15.75" customHeight="1" x14ac:dyDescent="0.25">
      <c r="A917" s="37">
        <v>2018</v>
      </c>
      <c r="B917" s="35">
        <v>171488</v>
      </c>
      <c r="C917" s="34" t="s">
        <v>149</v>
      </c>
      <c r="D917" s="34" t="s">
        <v>86</v>
      </c>
      <c r="E917" s="35"/>
      <c r="F917" s="36">
        <f t="shared" si="301"/>
        <v>0</v>
      </c>
      <c r="G917" s="38"/>
      <c r="H917" s="36">
        <f t="shared" si="302"/>
        <v>0</v>
      </c>
      <c r="I917" s="35"/>
      <c r="J917" s="36">
        <f t="shared" si="303"/>
        <v>0</v>
      </c>
      <c r="K917" s="38"/>
      <c r="L917" s="36">
        <f t="shared" si="304"/>
        <v>0</v>
      </c>
      <c r="M917" s="35"/>
      <c r="N917" s="36">
        <f t="shared" si="294"/>
        <v>0</v>
      </c>
      <c r="O917" s="38"/>
      <c r="P917" s="36">
        <f t="shared" si="305"/>
        <v>0</v>
      </c>
      <c r="Q917" s="35"/>
      <c r="R917" s="36">
        <f t="shared" si="295"/>
        <v>0</v>
      </c>
      <c r="S917" s="38"/>
      <c r="T917" s="36">
        <f t="shared" si="306"/>
        <v>0</v>
      </c>
      <c r="U917" s="35"/>
      <c r="V917" s="36">
        <f t="shared" si="296"/>
        <v>0</v>
      </c>
      <c r="W917" s="38"/>
      <c r="X917" s="36">
        <f t="shared" si="307"/>
        <v>0</v>
      </c>
      <c r="Y917" s="35"/>
      <c r="Z917" s="36">
        <f t="shared" si="297"/>
        <v>0</v>
      </c>
      <c r="AA917" s="38"/>
      <c r="AB917" s="36">
        <f t="shared" si="308"/>
        <v>0</v>
      </c>
      <c r="AC917" s="35"/>
      <c r="AD917" s="36">
        <f t="shared" si="298"/>
        <v>0</v>
      </c>
      <c r="AE917" s="38"/>
      <c r="AF917" s="36">
        <f t="shared" si="309"/>
        <v>0</v>
      </c>
      <c r="AG917" s="35"/>
      <c r="AH917" s="36">
        <f t="shared" si="299"/>
        <v>0</v>
      </c>
      <c r="AI917" s="38"/>
      <c r="AJ917" s="36">
        <f t="shared" si="310"/>
        <v>0</v>
      </c>
      <c r="AK917" s="35"/>
      <c r="AL917" s="36">
        <f t="shared" si="300"/>
        <v>0</v>
      </c>
      <c r="AM917" s="38"/>
      <c r="AN917" s="36">
        <f t="shared" si="311"/>
        <v>0</v>
      </c>
      <c r="AO917" s="35"/>
      <c r="AP917" s="38"/>
    </row>
    <row r="918" spans="1:42" ht="15.75" customHeight="1" x14ac:dyDescent="0.25">
      <c r="A918" s="37">
        <v>2018</v>
      </c>
      <c r="B918" s="35">
        <v>171500</v>
      </c>
      <c r="C918" s="34" t="s">
        <v>144</v>
      </c>
      <c r="D918" s="34" t="s">
        <v>87</v>
      </c>
      <c r="E918" s="35"/>
      <c r="F918" s="36">
        <f t="shared" si="301"/>
        <v>0</v>
      </c>
      <c r="G918" s="38"/>
      <c r="H918" s="36">
        <f t="shared" si="302"/>
        <v>0</v>
      </c>
      <c r="I918" s="35"/>
      <c r="J918" s="36">
        <f t="shared" si="303"/>
        <v>0</v>
      </c>
      <c r="K918" s="38"/>
      <c r="L918" s="36">
        <f t="shared" si="304"/>
        <v>0</v>
      </c>
      <c r="M918" s="35"/>
      <c r="N918" s="36">
        <f t="shared" si="294"/>
        <v>0</v>
      </c>
      <c r="O918" s="38"/>
      <c r="P918" s="36">
        <f t="shared" si="305"/>
        <v>0</v>
      </c>
      <c r="Q918" s="35"/>
      <c r="R918" s="36">
        <f t="shared" si="295"/>
        <v>0</v>
      </c>
      <c r="S918" s="38"/>
      <c r="T918" s="36">
        <f t="shared" si="306"/>
        <v>0</v>
      </c>
      <c r="U918" s="35"/>
      <c r="V918" s="36">
        <f t="shared" si="296"/>
        <v>0</v>
      </c>
      <c r="W918" s="38"/>
      <c r="X918" s="36">
        <f t="shared" si="307"/>
        <v>0</v>
      </c>
      <c r="Y918" s="35"/>
      <c r="Z918" s="36">
        <f t="shared" si="297"/>
        <v>0</v>
      </c>
      <c r="AA918" s="38"/>
      <c r="AB918" s="36">
        <f t="shared" si="308"/>
        <v>0</v>
      </c>
      <c r="AC918" s="35"/>
      <c r="AD918" s="36">
        <f t="shared" si="298"/>
        <v>0</v>
      </c>
      <c r="AE918" s="38"/>
      <c r="AF918" s="36">
        <f t="shared" si="309"/>
        <v>0</v>
      </c>
      <c r="AG918" s="35"/>
      <c r="AH918" s="36">
        <f t="shared" si="299"/>
        <v>0</v>
      </c>
      <c r="AI918" s="38"/>
      <c r="AJ918" s="36">
        <f t="shared" si="310"/>
        <v>0</v>
      </c>
      <c r="AK918" s="35"/>
      <c r="AL918" s="36">
        <f t="shared" si="300"/>
        <v>0</v>
      </c>
      <c r="AM918" s="38"/>
      <c r="AN918" s="36">
        <f t="shared" si="311"/>
        <v>0</v>
      </c>
      <c r="AO918" s="35"/>
      <c r="AP918" s="38"/>
    </row>
    <row r="919" spans="1:42" ht="15.75" customHeight="1" x14ac:dyDescent="0.25">
      <c r="A919" s="37">
        <v>2018</v>
      </c>
      <c r="B919" s="35">
        <v>171510</v>
      </c>
      <c r="C919" s="34" t="s">
        <v>148</v>
      </c>
      <c r="D919" s="34" t="s">
        <v>88</v>
      </c>
      <c r="E919" s="35"/>
      <c r="F919" s="36">
        <f t="shared" si="301"/>
        <v>0</v>
      </c>
      <c r="G919" s="38"/>
      <c r="H919" s="36">
        <f t="shared" si="302"/>
        <v>0</v>
      </c>
      <c r="I919" s="35"/>
      <c r="J919" s="36">
        <f t="shared" si="303"/>
        <v>0</v>
      </c>
      <c r="K919" s="38"/>
      <c r="L919" s="36">
        <f t="shared" si="304"/>
        <v>0</v>
      </c>
      <c r="M919" s="35"/>
      <c r="N919" s="36">
        <f t="shared" si="294"/>
        <v>0</v>
      </c>
      <c r="O919" s="38"/>
      <c r="P919" s="36">
        <f t="shared" si="305"/>
        <v>0</v>
      </c>
      <c r="Q919" s="35"/>
      <c r="R919" s="36">
        <f t="shared" si="295"/>
        <v>0</v>
      </c>
      <c r="S919" s="38"/>
      <c r="T919" s="36">
        <f t="shared" si="306"/>
        <v>0</v>
      </c>
      <c r="U919" s="35"/>
      <c r="V919" s="36">
        <f t="shared" si="296"/>
        <v>0</v>
      </c>
      <c r="W919" s="38"/>
      <c r="X919" s="36">
        <f t="shared" si="307"/>
        <v>0</v>
      </c>
      <c r="Y919" s="35"/>
      <c r="Z919" s="36">
        <f t="shared" si="297"/>
        <v>0</v>
      </c>
      <c r="AA919" s="38"/>
      <c r="AB919" s="36">
        <f t="shared" si="308"/>
        <v>0</v>
      </c>
      <c r="AC919" s="35"/>
      <c r="AD919" s="36">
        <f t="shared" si="298"/>
        <v>0</v>
      </c>
      <c r="AE919" s="38"/>
      <c r="AF919" s="36">
        <f t="shared" si="309"/>
        <v>0</v>
      </c>
      <c r="AG919" s="35"/>
      <c r="AH919" s="36">
        <f t="shared" si="299"/>
        <v>0</v>
      </c>
      <c r="AI919" s="38"/>
      <c r="AJ919" s="36">
        <f t="shared" si="310"/>
        <v>0</v>
      </c>
      <c r="AK919" s="35"/>
      <c r="AL919" s="36">
        <f t="shared" si="300"/>
        <v>0</v>
      </c>
      <c r="AM919" s="38"/>
      <c r="AN919" s="36">
        <f t="shared" si="311"/>
        <v>0</v>
      </c>
      <c r="AO919" s="35"/>
      <c r="AP919" s="38"/>
    </row>
    <row r="920" spans="1:42" ht="15.75" customHeight="1" x14ac:dyDescent="0.25">
      <c r="A920" s="37">
        <v>2018</v>
      </c>
      <c r="B920" s="35">
        <v>171515</v>
      </c>
      <c r="C920" s="34" t="s">
        <v>147</v>
      </c>
      <c r="D920" s="34" t="s">
        <v>89</v>
      </c>
      <c r="E920" s="35"/>
      <c r="F920" s="36">
        <f t="shared" si="301"/>
        <v>0</v>
      </c>
      <c r="G920" s="38"/>
      <c r="H920" s="36">
        <f t="shared" si="302"/>
        <v>0</v>
      </c>
      <c r="I920" s="35"/>
      <c r="J920" s="36">
        <f t="shared" si="303"/>
        <v>0</v>
      </c>
      <c r="K920" s="38"/>
      <c r="L920" s="36">
        <f t="shared" si="304"/>
        <v>0</v>
      </c>
      <c r="M920" s="35"/>
      <c r="N920" s="36">
        <f t="shared" si="294"/>
        <v>0</v>
      </c>
      <c r="O920" s="38"/>
      <c r="P920" s="36">
        <f t="shared" si="305"/>
        <v>0</v>
      </c>
      <c r="Q920" s="35"/>
      <c r="R920" s="36">
        <f t="shared" si="295"/>
        <v>0</v>
      </c>
      <c r="S920" s="38"/>
      <c r="T920" s="36">
        <f t="shared" si="306"/>
        <v>0</v>
      </c>
      <c r="U920" s="35"/>
      <c r="V920" s="36">
        <f t="shared" si="296"/>
        <v>0</v>
      </c>
      <c r="W920" s="38"/>
      <c r="X920" s="36">
        <f t="shared" si="307"/>
        <v>0</v>
      </c>
      <c r="Y920" s="35"/>
      <c r="Z920" s="36">
        <f t="shared" si="297"/>
        <v>0</v>
      </c>
      <c r="AA920" s="38"/>
      <c r="AB920" s="36">
        <f t="shared" si="308"/>
        <v>0</v>
      </c>
      <c r="AC920" s="35"/>
      <c r="AD920" s="36">
        <f t="shared" si="298"/>
        <v>0</v>
      </c>
      <c r="AE920" s="38"/>
      <c r="AF920" s="36">
        <f t="shared" si="309"/>
        <v>0</v>
      </c>
      <c r="AG920" s="35"/>
      <c r="AH920" s="36">
        <f t="shared" si="299"/>
        <v>0</v>
      </c>
      <c r="AI920" s="38"/>
      <c r="AJ920" s="36">
        <f t="shared" si="310"/>
        <v>0</v>
      </c>
      <c r="AK920" s="35"/>
      <c r="AL920" s="36">
        <f t="shared" si="300"/>
        <v>0</v>
      </c>
      <c r="AM920" s="38"/>
      <c r="AN920" s="36">
        <f t="shared" si="311"/>
        <v>0</v>
      </c>
      <c r="AO920" s="35"/>
      <c r="AP920" s="38"/>
    </row>
    <row r="921" spans="1:42" ht="15.75" customHeight="1" x14ac:dyDescent="0.25">
      <c r="A921" s="37">
        <v>2018</v>
      </c>
      <c r="B921" s="35">
        <v>171525</v>
      </c>
      <c r="C921" s="34" t="s">
        <v>147</v>
      </c>
      <c r="D921" s="34" t="s">
        <v>90</v>
      </c>
      <c r="E921" s="35"/>
      <c r="F921" s="36">
        <f t="shared" si="301"/>
        <v>0</v>
      </c>
      <c r="G921" s="38"/>
      <c r="H921" s="36">
        <f t="shared" si="302"/>
        <v>0</v>
      </c>
      <c r="I921" s="35"/>
      <c r="J921" s="36">
        <f t="shared" si="303"/>
        <v>0</v>
      </c>
      <c r="K921" s="38"/>
      <c r="L921" s="36">
        <f t="shared" si="304"/>
        <v>0</v>
      </c>
      <c r="M921" s="35"/>
      <c r="N921" s="36">
        <f t="shared" si="294"/>
        <v>0</v>
      </c>
      <c r="O921" s="38"/>
      <c r="P921" s="36">
        <f t="shared" si="305"/>
        <v>0</v>
      </c>
      <c r="Q921" s="35"/>
      <c r="R921" s="36">
        <f t="shared" si="295"/>
        <v>0</v>
      </c>
      <c r="S921" s="38"/>
      <c r="T921" s="36">
        <f t="shared" si="306"/>
        <v>0</v>
      </c>
      <c r="U921" s="35"/>
      <c r="V921" s="36">
        <f t="shared" si="296"/>
        <v>0</v>
      </c>
      <c r="W921" s="38"/>
      <c r="X921" s="36">
        <f t="shared" si="307"/>
        <v>0</v>
      </c>
      <c r="Y921" s="35"/>
      <c r="Z921" s="36">
        <f t="shared" si="297"/>
        <v>0</v>
      </c>
      <c r="AA921" s="38"/>
      <c r="AB921" s="36">
        <f t="shared" si="308"/>
        <v>0</v>
      </c>
      <c r="AC921" s="35"/>
      <c r="AD921" s="36">
        <f t="shared" si="298"/>
        <v>0</v>
      </c>
      <c r="AE921" s="38"/>
      <c r="AF921" s="36">
        <f t="shared" si="309"/>
        <v>0</v>
      </c>
      <c r="AG921" s="35"/>
      <c r="AH921" s="36">
        <f t="shared" si="299"/>
        <v>0</v>
      </c>
      <c r="AI921" s="38"/>
      <c r="AJ921" s="36">
        <f t="shared" si="310"/>
        <v>0</v>
      </c>
      <c r="AK921" s="35"/>
      <c r="AL921" s="36">
        <f t="shared" si="300"/>
        <v>0</v>
      </c>
      <c r="AM921" s="38"/>
      <c r="AN921" s="36">
        <f t="shared" si="311"/>
        <v>0</v>
      </c>
      <c r="AO921" s="35"/>
      <c r="AP921" s="38"/>
    </row>
    <row r="922" spans="1:42" ht="15.75" customHeight="1" x14ac:dyDescent="0.25">
      <c r="A922" s="37">
        <v>2018</v>
      </c>
      <c r="B922" s="35">
        <v>171550</v>
      </c>
      <c r="C922" s="34" t="s">
        <v>151</v>
      </c>
      <c r="D922" s="34" t="s">
        <v>91</v>
      </c>
      <c r="E922" s="35"/>
      <c r="F922" s="36">
        <f t="shared" si="301"/>
        <v>0</v>
      </c>
      <c r="G922" s="38"/>
      <c r="H922" s="36">
        <f t="shared" si="302"/>
        <v>0</v>
      </c>
      <c r="I922" s="35"/>
      <c r="J922" s="36">
        <f t="shared" si="303"/>
        <v>0</v>
      </c>
      <c r="K922" s="38"/>
      <c r="L922" s="36">
        <f t="shared" si="304"/>
        <v>0</v>
      </c>
      <c r="M922" s="35"/>
      <c r="N922" s="36">
        <f t="shared" si="294"/>
        <v>0</v>
      </c>
      <c r="O922" s="38"/>
      <c r="P922" s="36">
        <f t="shared" si="305"/>
        <v>0</v>
      </c>
      <c r="Q922" s="35"/>
      <c r="R922" s="36">
        <f t="shared" si="295"/>
        <v>0</v>
      </c>
      <c r="S922" s="38"/>
      <c r="T922" s="36">
        <f t="shared" si="306"/>
        <v>0</v>
      </c>
      <c r="U922" s="35"/>
      <c r="V922" s="36">
        <f t="shared" si="296"/>
        <v>0</v>
      </c>
      <c r="W922" s="38"/>
      <c r="X922" s="36">
        <f t="shared" si="307"/>
        <v>0</v>
      </c>
      <c r="Y922" s="35"/>
      <c r="Z922" s="36">
        <f t="shared" si="297"/>
        <v>0</v>
      </c>
      <c r="AA922" s="38"/>
      <c r="AB922" s="36">
        <f t="shared" si="308"/>
        <v>0</v>
      </c>
      <c r="AC922" s="35"/>
      <c r="AD922" s="36">
        <f t="shared" si="298"/>
        <v>0</v>
      </c>
      <c r="AE922" s="38"/>
      <c r="AF922" s="36">
        <f t="shared" si="309"/>
        <v>0</v>
      </c>
      <c r="AG922" s="35"/>
      <c r="AH922" s="36">
        <f t="shared" si="299"/>
        <v>0</v>
      </c>
      <c r="AI922" s="38"/>
      <c r="AJ922" s="36">
        <f t="shared" si="310"/>
        <v>0</v>
      </c>
      <c r="AK922" s="35"/>
      <c r="AL922" s="36">
        <f t="shared" si="300"/>
        <v>0</v>
      </c>
      <c r="AM922" s="38"/>
      <c r="AN922" s="36">
        <f t="shared" si="311"/>
        <v>0</v>
      </c>
      <c r="AO922" s="35"/>
      <c r="AP922" s="38"/>
    </row>
    <row r="923" spans="1:42" ht="15.75" customHeight="1" x14ac:dyDescent="0.25">
      <c r="A923" s="37">
        <v>2018</v>
      </c>
      <c r="B923" s="35">
        <v>172100</v>
      </c>
      <c r="C923" s="34" t="s">
        <v>148</v>
      </c>
      <c r="D923" s="34" t="s">
        <v>92</v>
      </c>
      <c r="E923" s="35"/>
      <c r="F923" s="36">
        <f t="shared" si="301"/>
        <v>0</v>
      </c>
      <c r="G923" s="38"/>
      <c r="H923" s="36">
        <f t="shared" si="302"/>
        <v>0</v>
      </c>
      <c r="I923" s="35"/>
      <c r="J923" s="36">
        <f t="shared" si="303"/>
        <v>0</v>
      </c>
      <c r="K923" s="38"/>
      <c r="L923" s="36">
        <f t="shared" si="304"/>
        <v>0</v>
      </c>
      <c r="M923" s="35"/>
      <c r="N923" s="36">
        <f t="shared" si="294"/>
        <v>0</v>
      </c>
      <c r="O923" s="39"/>
      <c r="P923" s="36">
        <f t="shared" si="305"/>
        <v>0</v>
      </c>
      <c r="Q923" s="35"/>
      <c r="R923" s="36">
        <f t="shared" si="295"/>
        <v>0</v>
      </c>
      <c r="S923" s="38"/>
      <c r="T923" s="36">
        <f t="shared" si="306"/>
        <v>0</v>
      </c>
      <c r="U923" s="35"/>
      <c r="V923" s="36">
        <f t="shared" si="296"/>
        <v>0</v>
      </c>
      <c r="W923" s="38"/>
      <c r="X923" s="36">
        <f t="shared" si="307"/>
        <v>0</v>
      </c>
      <c r="Y923" s="35"/>
      <c r="Z923" s="36">
        <f t="shared" si="297"/>
        <v>0</v>
      </c>
      <c r="AA923" s="39"/>
      <c r="AB923" s="36">
        <f t="shared" si="308"/>
        <v>0</v>
      </c>
      <c r="AC923" s="35"/>
      <c r="AD923" s="36">
        <f t="shared" si="298"/>
        <v>0</v>
      </c>
      <c r="AE923" s="38"/>
      <c r="AF923" s="36">
        <f t="shared" si="309"/>
        <v>0</v>
      </c>
      <c r="AG923" s="35"/>
      <c r="AH923" s="36">
        <f t="shared" si="299"/>
        <v>0</v>
      </c>
      <c r="AI923" s="38"/>
      <c r="AJ923" s="36">
        <f t="shared" si="310"/>
        <v>0</v>
      </c>
      <c r="AK923" s="35"/>
      <c r="AL923" s="36">
        <f t="shared" si="300"/>
        <v>0</v>
      </c>
      <c r="AM923" s="38"/>
      <c r="AN923" s="36">
        <f t="shared" si="311"/>
        <v>0</v>
      </c>
      <c r="AO923" s="35"/>
      <c r="AP923" s="39"/>
    </row>
    <row r="924" spans="1:42" ht="15.75" customHeight="1" x14ac:dyDescent="0.25">
      <c r="A924" s="37">
        <v>2018</v>
      </c>
      <c r="B924" s="35">
        <v>171570</v>
      </c>
      <c r="C924" s="34" t="s">
        <v>150</v>
      </c>
      <c r="D924" s="34" t="s">
        <v>93</v>
      </c>
      <c r="E924" s="35"/>
      <c r="F924" s="36">
        <f t="shared" si="301"/>
        <v>0</v>
      </c>
      <c r="G924" s="38"/>
      <c r="H924" s="36">
        <f t="shared" si="302"/>
        <v>0</v>
      </c>
      <c r="I924" s="35"/>
      <c r="J924" s="36">
        <f t="shared" si="303"/>
        <v>0</v>
      </c>
      <c r="K924" s="38"/>
      <c r="L924" s="36">
        <f t="shared" si="304"/>
        <v>0</v>
      </c>
      <c r="M924" s="35"/>
      <c r="N924" s="36">
        <f t="shared" si="294"/>
        <v>0</v>
      </c>
      <c r="O924" s="38"/>
      <c r="P924" s="36">
        <f t="shared" si="305"/>
        <v>0</v>
      </c>
      <c r="Q924" s="35"/>
      <c r="R924" s="36">
        <f t="shared" si="295"/>
        <v>0</v>
      </c>
      <c r="S924" s="38"/>
      <c r="T924" s="36">
        <f t="shared" si="306"/>
        <v>0</v>
      </c>
      <c r="U924" s="35"/>
      <c r="V924" s="36">
        <f t="shared" si="296"/>
        <v>0</v>
      </c>
      <c r="W924" s="38"/>
      <c r="X924" s="36">
        <f t="shared" si="307"/>
        <v>0</v>
      </c>
      <c r="Y924" s="35"/>
      <c r="Z924" s="36">
        <f t="shared" si="297"/>
        <v>0</v>
      </c>
      <c r="AA924" s="38"/>
      <c r="AB924" s="36">
        <f t="shared" si="308"/>
        <v>0</v>
      </c>
      <c r="AC924" s="35"/>
      <c r="AD924" s="36">
        <f t="shared" si="298"/>
        <v>0</v>
      </c>
      <c r="AE924" s="38"/>
      <c r="AF924" s="36">
        <f t="shared" si="309"/>
        <v>0</v>
      </c>
      <c r="AG924" s="35"/>
      <c r="AH924" s="36">
        <f t="shared" si="299"/>
        <v>0</v>
      </c>
      <c r="AI924" s="38"/>
      <c r="AJ924" s="36">
        <f t="shared" si="310"/>
        <v>0</v>
      </c>
      <c r="AK924" s="35"/>
      <c r="AL924" s="36">
        <f t="shared" si="300"/>
        <v>0</v>
      </c>
      <c r="AM924" s="38"/>
      <c r="AN924" s="36">
        <f t="shared" si="311"/>
        <v>0</v>
      </c>
      <c r="AO924" s="35"/>
      <c r="AP924" s="38"/>
    </row>
    <row r="925" spans="1:42" ht="15.75" customHeight="1" x14ac:dyDescent="0.25">
      <c r="A925" s="37">
        <v>2018</v>
      </c>
      <c r="B925" s="35">
        <v>171380</v>
      </c>
      <c r="C925" s="34" t="s">
        <v>145</v>
      </c>
      <c r="D925" s="34" t="s">
        <v>94</v>
      </c>
      <c r="E925" s="35"/>
      <c r="F925" s="36">
        <f t="shared" si="301"/>
        <v>0</v>
      </c>
      <c r="G925" s="38"/>
      <c r="H925" s="36">
        <f t="shared" si="302"/>
        <v>0</v>
      </c>
      <c r="I925" s="35"/>
      <c r="J925" s="36">
        <f t="shared" si="303"/>
        <v>0</v>
      </c>
      <c r="K925" s="38"/>
      <c r="L925" s="36">
        <f t="shared" si="304"/>
        <v>0</v>
      </c>
      <c r="M925" s="35"/>
      <c r="N925" s="36">
        <f t="shared" si="294"/>
        <v>0</v>
      </c>
      <c r="O925" s="38"/>
      <c r="P925" s="36">
        <f t="shared" si="305"/>
        <v>0</v>
      </c>
      <c r="Q925" s="35"/>
      <c r="R925" s="36">
        <f t="shared" si="295"/>
        <v>0</v>
      </c>
      <c r="S925" s="38"/>
      <c r="T925" s="36">
        <f t="shared" si="306"/>
        <v>0</v>
      </c>
      <c r="U925" s="35"/>
      <c r="V925" s="36">
        <f t="shared" si="296"/>
        <v>0</v>
      </c>
      <c r="W925" s="38"/>
      <c r="X925" s="36">
        <f t="shared" si="307"/>
        <v>0</v>
      </c>
      <c r="Y925" s="35"/>
      <c r="Z925" s="36">
        <f t="shared" si="297"/>
        <v>0</v>
      </c>
      <c r="AA925" s="38"/>
      <c r="AB925" s="36">
        <f t="shared" si="308"/>
        <v>0</v>
      </c>
      <c r="AC925" s="35"/>
      <c r="AD925" s="36">
        <f t="shared" si="298"/>
        <v>0</v>
      </c>
      <c r="AE925" s="38"/>
      <c r="AF925" s="36">
        <f t="shared" si="309"/>
        <v>0</v>
      </c>
      <c r="AG925" s="35"/>
      <c r="AH925" s="36">
        <f t="shared" si="299"/>
        <v>0</v>
      </c>
      <c r="AI925" s="38"/>
      <c r="AJ925" s="36">
        <f t="shared" si="310"/>
        <v>0</v>
      </c>
      <c r="AK925" s="35"/>
      <c r="AL925" s="36">
        <f t="shared" si="300"/>
        <v>0</v>
      </c>
      <c r="AM925" s="38"/>
      <c r="AN925" s="36">
        <f t="shared" si="311"/>
        <v>0</v>
      </c>
      <c r="AO925" s="35"/>
      <c r="AP925" s="38"/>
    </row>
    <row r="926" spans="1:42" ht="15.75" customHeight="1" x14ac:dyDescent="0.25">
      <c r="A926" s="37">
        <v>2018</v>
      </c>
      <c r="B926" s="35">
        <v>171575</v>
      </c>
      <c r="C926" s="34" t="s">
        <v>146</v>
      </c>
      <c r="D926" s="34" t="s">
        <v>95</v>
      </c>
      <c r="E926" s="35"/>
      <c r="F926" s="36">
        <f t="shared" si="301"/>
        <v>0</v>
      </c>
      <c r="G926" s="38"/>
      <c r="H926" s="36">
        <f t="shared" si="302"/>
        <v>0</v>
      </c>
      <c r="I926" s="35"/>
      <c r="J926" s="36">
        <f t="shared" si="303"/>
        <v>0</v>
      </c>
      <c r="K926" s="38"/>
      <c r="L926" s="36">
        <f t="shared" si="304"/>
        <v>0</v>
      </c>
      <c r="M926" s="35"/>
      <c r="N926" s="36">
        <f t="shared" si="294"/>
        <v>0</v>
      </c>
      <c r="O926" s="38"/>
      <c r="P926" s="36">
        <f t="shared" si="305"/>
        <v>0</v>
      </c>
      <c r="Q926" s="35"/>
      <c r="R926" s="36">
        <f t="shared" si="295"/>
        <v>0</v>
      </c>
      <c r="S926" s="38"/>
      <c r="T926" s="36">
        <f t="shared" si="306"/>
        <v>0</v>
      </c>
      <c r="U926" s="35"/>
      <c r="V926" s="36">
        <f t="shared" si="296"/>
        <v>0</v>
      </c>
      <c r="W926" s="38"/>
      <c r="X926" s="36">
        <f t="shared" si="307"/>
        <v>0</v>
      </c>
      <c r="Y926" s="35"/>
      <c r="Z926" s="36">
        <f t="shared" si="297"/>
        <v>0</v>
      </c>
      <c r="AA926" s="38"/>
      <c r="AB926" s="36">
        <f t="shared" si="308"/>
        <v>0</v>
      </c>
      <c r="AC926" s="35"/>
      <c r="AD926" s="36">
        <f t="shared" si="298"/>
        <v>0</v>
      </c>
      <c r="AE926" s="38"/>
      <c r="AF926" s="36">
        <f t="shared" si="309"/>
        <v>0</v>
      </c>
      <c r="AG926" s="35"/>
      <c r="AH926" s="36">
        <f t="shared" si="299"/>
        <v>0</v>
      </c>
      <c r="AI926" s="38"/>
      <c r="AJ926" s="36">
        <f t="shared" si="310"/>
        <v>0</v>
      </c>
      <c r="AK926" s="35"/>
      <c r="AL926" s="36">
        <f t="shared" si="300"/>
        <v>0</v>
      </c>
      <c r="AM926" s="38"/>
      <c r="AN926" s="36">
        <f t="shared" si="311"/>
        <v>0</v>
      </c>
      <c r="AO926" s="35"/>
      <c r="AP926" s="38"/>
    </row>
    <row r="927" spans="1:42" ht="15.75" customHeight="1" x14ac:dyDescent="0.25">
      <c r="A927" s="37">
        <v>2018</v>
      </c>
      <c r="B927" s="35">
        <v>171610</v>
      </c>
      <c r="C927" s="34" t="s">
        <v>144</v>
      </c>
      <c r="D927" s="34" t="s">
        <v>96</v>
      </c>
      <c r="E927" s="35"/>
      <c r="F927" s="36">
        <f t="shared" si="301"/>
        <v>0</v>
      </c>
      <c r="G927" s="38"/>
      <c r="H927" s="36">
        <f t="shared" si="302"/>
        <v>0</v>
      </c>
      <c r="I927" s="35"/>
      <c r="J927" s="36">
        <f t="shared" si="303"/>
        <v>0</v>
      </c>
      <c r="K927" s="38"/>
      <c r="L927" s="36">
        <f t="shared" si="304"/>
        <v>0</v>
      </c>
      <c r="M927" s="35"/>
      <c r="N927" s="36">
        <f t="shared" si="294"/>
        <v>0</v>
      </c>
      <c r="O927" s="38"/>
      <c r="P927" s="36">
        <f t="shared" si="305"/>
        <v>0</v>
      </c>
      <c r="Q927" s="35"/>
      <c r="R927" s="36">
        <f t="shared" si="295"/>
        <v>0</v>
      </c>
      <c r="S927" s="38"/>
      <c r="T927" s="36">
        <f t="shared" si="306"/>
        <v>0</v>
      </c>
      <c r="U927" s="35"/>
      <c r="V927" s="36">
        <f t="shared" si="296"/>
        <v>0</v>
      </c>
      <c r="W927" s="38"/>
      <c r="X927" s="36">
        <f t="shared" si="307"/>
        <v>0</v>
      </c>
      <c r="Y927" s="35"/>
      <c r="Z927" s="36">
        <f t="shared" si="297"/>
        <v>0</v>
      </c>
      <c r="AA927" s="38"/>
      <c r="AB927" s="36">
        <f t="shared" si="308"/>
        <v>0</v>
      </c>
      <c r="AC927" s="35"/>
      <c r="AD927" s="36">
        <f t="shared" si="298"/>
        <v>0</v>
      </c>
      <c r="AE927" s="38"/>
      <c r="AF927" s="36">
        <f t="shared" si="309"/>
        <v>0</v>
      </c>
      <c r="AG927" s="35"/>
      <c r="AH927" s="36">
        <f t="shared" si="299"/>
        <v>0</v>
      </c>
      <c r="AI927" s="38"/>
      <c r="AJ927" s="36">
        <f t="shared" si="310"/>
        <v>0</v>
      </c>
      <c r="AK927" s="35"/>
      <c r="AL927" s="36">
        <f t="shared" si="300"/>
        <v>0</v>
      </c>
      <c r="AM927" s="38"/>
      <c r="AN927" s="36">
        <f t="shared" si="311"/>
        <v>0</v>
      </c>
      <c r="AO927" s="35"/>
      <c r="AP927" s="38"/>
    </row>
    <row r="928" spans="1:42" ht="15.75" customHeight="1" x14ac:dyDescent="0.25">
      <c r="A928" s="37">
        <v>2018</v>
      </c>
      <c r="B928" s="35">
        <v>171620</v>
      </c>
      <c r="C928" s="34" t="s">
        <v>147</v>
      </c>
      <c r="D928" s="34" t="s">
        <v>97</v>
      </c>
      <c r="E928" s="35"/>
      <c r="F928" s="36">
        <f t="shared" si="301"/>
        <v>0</v>
      </c>
      <c r="G928" s="38"/>
      <c r="H928" s="36">
        <f t="shared" si="302"/>
        <v>0</v>
      </c>
      <c r="I928" s="35"/>
      <c r="J928" s="36">
        <f t="shared" si="303"/>
        <v>0</v>
      </c>
      <c r="K928" s="38"/>
      <c r="L928" s="36">
        <f t="shared" si="304"/>
        <v>0</v>
      </c>
      <c r="M928" s="35"/>
      <c r="N928" s="36">
        <f t="shared" si="294"/>
        <v>0</v>
      </c>
      <c r="O928" s="38"/>
      <c r="P928" s="36">
        <f t="shared" si="305"/>
        <v>0</v>
      </c>
      <c r="Q928" s="35"/>
      <c r="R928" s="36">
        <f t="shared" si="295"/>
        <v>0</v>
      </c>
      <c r="S928" s="38"/>
      <c r="T928" s="36">
        <f t="shared" si="306"/>
        <v>0</v>
      </c>
      <c r="U928" s="35"/>
      <c r="V928" s="36">
        <f t="shared" si="296"/>
        <v>0</v>
      </c>
      <c r="W928" s="38"/>
      <c r="X928" s="36">
        <f t="shared" si="307"/>
        <v>0</v>
      </c>
      <c r="Y928" s="35"/>
      <c r="Z928" s="36">
        <f t="shared" si="297"/>
        <v>0</v>
      </c>
      <c r="AA928" s="38"/>
      <c r="AB928" s="36">
        <f t="shared" si="308"/>
        <v>0</v>
      </c>
      <c r="AC928" s="35"/>
      <c r="AD928" s="36">
        <f t="shared" si="298"/>
        <v>0</v>
      </c>
      <c r="AE928" s="38"/>
      <c r="AF928" s="36">
        <f t="shared" si="309"/>
        <v>0</v>
      </c>
      <c r="AG928" s="35"/>
      <c r="AH928" s="36">
        <f t="shared" si="299"/>
        <v>0</v>
      </c>
      <c r="AI928" s="38"/>
      <c r="AJ928" s="36">
        <f t="shared" si="310"/>
        <v>0</v>
      </c>
      <c r="AK928" s="35"/>
      <c r="AL928" s="36">
        <f t="shared" si="300"/>
        <v>0</v>
      </c>
      <c r="AM928" s="38"/>
      <c r="AN928" s="36">
        <f t="shared" si="311"/>
        <v>0</v>
      </c>
      <c r="AO928" s="35"/>
      <c r="AP928" s="38"/>
    </row>
    <row r="929" spans="1:42" ht="15.75" customHeight="1" x14ac:dyDescent="0.25">
      <c r="A929" s="37">
        <v>2018</v>
      </c>
      <c r="B929" s="35">
        <v>171630</v>
      </c>
      <c r="C929" s="34" t="s">
        <v>149</v>
      </c>
      <c r="D929" s="34" t="s">
        <v>98</v>
      </c>
      <c r="E929" s="35"/>
      <c r="F929" s="36">
        <f t="shared" si="301"/>
        <v>0</v>
      </c>
      <c r="G929" s="38"/>
      <c r="H929" s="36">
        <f t="shared" si="302"/>
        <v>0</v>
      </c>
      <c r="I929" s="35"/>
      <c r="J929" s="36">
        <f t="shared" si="303"/>
        <v>0</v>
      </c>
      <c r="K929" s="38"/>
      <c r="L929" s="36">
        <f t="shared" si="304"/>
        <v>0</v>
      </c>
      <c r="M929" s="35"/>
      <c r="N929" s="36">
        <f t="shared" si="294"/>
        <v>0</v>
      </c>
      <c r="O929" s="38"/>
      <c r="P929" s="36">
        <f t="shared" si="305"/>
        <v>0</v>
      </c>
      <c r="Q929" s="35"/>
      <c r="R929" s="36">
        <f t="shared" si="295"/>
        <v>0</v>
      </c>
      <c r="S929" s="38"/>
      <c r="T929" s="36">
        <f t="shared" si="306"/>
        <v>0</v>
      </c>
      <c r="U929" s="35"/>
      <c r="V929" s="36">
        <f t="shared" si="296"/>
        <v>0</v>
      </c>
      <c r="W929" s="38"/>
      <c r="X929" s="36">
        <f t="shared" si="307"/>
        <v>0</v>
      </c>
      <c r="Y929" s="35"/>
      <c r="Z929" s="36">
        <f t="shared" si="297"/>
        <v>0</v>
      </c>
      <c r="AA929" s="38"/>
      <c r="AB929" s="36">
        <f t="shared" si="308"/>
        <v>0</v>
      </c>
      <c r="AC929" s="35"/>
      <c r="AD929" s="36">
        <f t="shared" si="298"/>
        <v>0</v>
      </c>
      <c r="AE929" s="38"/>
      <c r="AF929" s="36">
        <f t="shared" si="309"/>
        <v>0</v>
      </c>
      <c r="AG929" s="35"/>
      <c r="AH929" s="36">
        <f t="shared" si="299"/>
        <v>0</v>
      </c>
      <c r="AI929" s="38"/>
      <c r="AJ929" s="36">
        <f t="shared" si="310"/>
        <v>0</v>
      </c>
      <c r="AK929" s="35"/>
      <c r="AL929" s="36">
        <f t="shared" si="300"/>
        <v>0</v>
      </c>
      <c r="AM929" s="38"/>
      <c r="AN929" s="36">
        <f t="shared" si="311"/>
        <v>0</v>
      </c>
      <c r="AO929" s="35"/>
      <c r="AP929" s="38"/>
    </row>
    <row r="930" spans="1:42" ht="15.75" customHeight="1" x14ac:dyDescent="0.25">
      <c r="A930" s="37">
        <v>2018</v>
      </c>
      <c r="B930" s="35">
        <v>171650</v>
      </c>
      <c r="C930" s="34" t="s">
        <v>150</v>
      </c>
      <c r="D930" s="34" t="s">
        <v>99</v>
      </c>
      <c r="E930" s="35"/>
      <c r="F930" s="36">
        <f t="shared" si="301"/>
        <v>0</v>
      </c>
      <c r="G930" s="38"/>
      <c r="H930" s="36">
        <f t="shared" si="302"/>
        <v>0</v>
      </c>
      <c r="I930" s="35"/>
      <c r="J930" s="36">
        <f t="shared" si="303"/>
        <v>0</v>
      </c>
      <c r="K930" s="38"/>
      <c r="L930" s="36">
        <f t="shared" si="304"/>
        <v>0</v>
      </c>
      <c r="M930" s="35"/>
      <c r="N930" s="36">
        <f t="shared" si="294"/>
        <v>0</v>
      </c>
      <c r="O930" s="38"/>
      <c r="P930" s="36">
        <f t="shared" si="305"/>
        <v>0</v>
      </c>
      <c r="Q930" s="35"/>
      <c r="R930" s="36">
        <f t="shared" si="295"/>
        <v>0</v>
      </c>
      <c r="S930" s="38"/>
      <c r="T930" s="36">
        <f t="shared" si="306"/>
        <v>0</v>
      </c>
      <c r="U930" s="35"/>
      <c r="V930" s="36">
        <f t="shared" si="296"/>
        <v>0</v>
      </c>
      <c r="W930" s="38"/>
      <c r="X930" s="36">
        <f t="shared" si="307"/>
        <v>0</v>
      </c>
      <c r="Y930" s="35"/>
      <c r="Z930" s="36">
        <f t="shared" si="297"/>
        <v>0</v>
      </c>
      <c r="AA930" s="38"/>
      <c r="AB930" s="36">
        <f t="shared" si="308"/>
        <v>0</v>
      </c>
      <c r="AC930" s="35"/>
      <c r="AD930" s="36">
        <f t="shared" si="298"/>
        <v>0</v>
      </c>
      <c r="AE930" s="38"/>
      <c r="AF930" s="36">
        <f t="shared" si="309"/>
        <v>0</v>
      </c>
      <c r="AG930" s="35"/>
      <c r="AH930" s="36">
        <f t="shared" si="299"/>
        <v>0</v>
      </c>
      <c r="AI930" s="38"/>
      <c r="AJ930" s="36">
        <f t="shared" si="310"/>
        <v>0</v>
      </c>
      <c r="AK930" s="35"/>
      <c r="AL930" s="36">
        <f t="shared" si="300"/>
        <v>0</v>
      </c>
      <c r="AM930" s="38"/>
      <c r="AN930" s="36">
        <f t="shared" si="311"/>
        <v>0</v>
      </c>
      <c r="AO930" s="35"/>
      <c r="AP930" s="38"/>
    </row>
    <row r="931" spans="1:42" ht="15.75" customHeight="1" x14ac:dyDescent="0.25">
      <c r="A931" s="37">
        <v>2018</v>
      </c>
      <c r="B931" s="35">
        <v>171660</v>
      </c>
      <c r="C931" s="34" t="s">
        <v>146</v>
      </c>
      <c r="D931" s="34" t="s">
        <v>100</v>
      </c>
      <c r="E931" s="35"/>
      <c r="F931" s="36">
        <f t="shared" si="301"/>
        <v>0</v>
      </c>
      <c r="G931" s="38"/>
      <c r="H931" s="36">
        <f t="shared" si="302"/>
        <v>0</v>
      </c>
      <c r="I931" s="35"/>
      <c r="J931" s="36">
        <f t="shared" si="303"/>
        <v>0</v>
      </c>
      <c r="K931" s="38"/>
      <c r="L931" s="36">
        <f t="shared" si="304"/>
        <v>0</v>
      </c>
      <c r="M931" s="35"/>
      <c r="N931" s="36">
        <f t="shared" si="294"/>
        <v>0</v>
      </c>
      <c r="O931" s="38"/>
      <c r="P931" s="36">
        <f t="shared" si="305"/>
        <v>0</v>
      </c>
      <c r="Q931" s="35"/>
      <c r="R931" s="36">
        <f t="shared" si="295"/>
        <v>0</v>
      </c>
      <c r="S931" s="38"/>
      <c r="T931" s="36">
        <f t="shared" si="306"/>
        <v>0</v>
      </c>
      <c r="U931" s="35"/>
      <c r="V931" s="36">
        <f t="shared" si="296"/>
        <v>0</v>
      </c>
      <c r="W931" s="38"/>
      <c r="X931" s="36">
        <f t="shared" si="307"/>
        <v>0</v>
      </c>
      <c r="Y931" s="35"/>
      <c r="Z931" s="36">
        <f t="shared" si="297"/>
        <v>0</v>
      </c>
      <c r="AA931" s="38"/>
      <c r="AB931" s="36">
        <f t="shared" si="308"/>
        <v>0</v>
      </c>
      <c r="AC931" s="35"/>
      <c r="AD931" s="36">
        <f t="shared" si="298"/>
        <v>0</v>
      </c>
      <c r="AE931" s="38"/>
      <c r="AF931" s="36">
        <f t="shared" si="309"/>
        <v>0</v>
      </c>
      <c r="AG931" s="35"/>
      <c r="AH931" s="36">
        <f t="shared" si="299"/>
        <v>0</v>
      </c>
      <c r="AI931" s="38"/>
      <c r="AJ931" s="36">
        <f t="shared" si="310"/>
        <v>0</v>
      </c>
      <c r="AK931" s="35"/>
      <c r="AL931" s="36">
        <f t="shared" si="300"/>
        <v>0</v>
      </c>
      <c r="AM931" s="38"/>
      <c r="AN931" s="36">
        <f t="shared" si="311"/>
        <v>0</v>
      </c>
      <c r="AO931" s="35"/>
      <c r="AP931" s="38"/>
    </row>
    <row r="932" spans="1:42" ht="15.75" customHeight="1" x14ac:dyDescent="0.25">
      <c r="A932" s="37">
        <v>2018</v>
      </c>
      <c r="B932" s="35">
        <v>171665</v>
      </c>
      <c r="C932" s="34" t="s">
        <v>150</v>
      </c>
      <c r="D932" s="34" t="s">
        <v>101</v>
      </c>
      <c r="E932" s="35"/>
      <c r="F932" s="36">
        <f t="shared" si="301"/>
        <v>0</v>
      </c>
      <c r="G932" s="38"/>
      <c r="H932" s="36">
        <f t="shared" si="302"/>
        <v>0</v>
      </c>
      <c r="I932" s="35"/>
      <c r="J932" s="36">
        <f t="shared" si="303"/>
        <v>0</v>
      </c>
      <c r="K932" s="38"/>
      <c r="L932" s="36">
        <f t="shared" si="304"/>
        <v>0</v>
      </c>
      <c r="M932" s="35"/>
      <c r="N932" s="36">
        <f t="shared" si="294"/>
        <v>0</v>
      </c>
      <c r="O932" s="38"/>
      <c r="P932" s="36">
        <f t="shared" si="305"/>
        <v>0</v>
      </c>
      <c r="Q932" s="35"/>
      <c r="R932" s="36">
        <f t="shared" si="295"/>
        <v>0</v>
      </c>
      <c r="S932" s="38"/>
      <c r="T932" s="36">
        <f t="shared" si="306"/>
        <v>0</v>
      </c>
      <c r="U932" s="35"/>
      <c r="V932" s="36">
        <f t="shared" si="296"/>
        <v>0</v>
      </c>
      <c r="W932" s="38"/>
      <c r="X932" s="36">
        <f t="shared" si="307"/>
        <v>0</v>
      </c>
      <c r="Y932" s="35"/>
      <c r="Z932" s="36">
        <f t="shared" si="297"/>
        <v>0</v>
      </c>
      <c r="AA932" s="38"/>
      <c r="AB932" s="36">
        <f t="shared" si="308"/>
        <v>0</v>
      </c>
      <c r="AC932" s="35"/>
      <c r="AD932" s="36">
        <f t="shared" si="298"/>
        <v>0</v>
      </c>
      <c r="AE932" s="38"/>
      <c r="AF932" s="36">
        <f t="shared" si="309"/>
        <v>0</v>
      </c>
      <c r="AG932" s="35"/>
      <c r="AH932" s="36">
        <f t="shared" si="299"/>
        <v>0</v>
      </c>
      <c r="AI932" s="38"/>
      <c r="AJ932" s="36">
        <f t="shared" si="310"/>
        <v>0</v>
      </c>
      <c r="AK932" s="35"/>
      <c r="AL932" s="36">
        <f t="shared" si="300"/>
        <v>0</v>
      </c>
      <c r="AM932" s="38"/>
      <c r="AN932" s="36">
        <f t="shared" si="311"/>
        <v>0</v>
      </c>
      <c r="AO932" s="35"/>
      <c r="AP932" s="38"/>
    </row>
    <row r="933" spans="1:42" ht="15.75" customHeight="1" x14ac:dyDescent="0.25">
      <c r="A933" s="37">
        <v>2018</v>
      </c>
      <c r="B933" s="35">
        <v>171700</v>
      </c>
      <c r="C933" s="34" t="s">
        <v>151</v>
      </c>
      <c r="D933" s="34" t="s">
        <v>102</v>
      </c>
      <c r="E933" s="35"/>
      <c r="F933" s="36">
        <f t="shared" si="301"/>
        <v>0</v>
      </c>
      <c r="G933" s="38"/>
      <c r="H933" s="36">
        <f t="shared" si="302"/>
        <v>0</v>
      </c>
      <c r="I933" s="35"/>
      <c r="J933" s="36">
        <f t="shared" si="303"/>
        <v>0</v>
      </c>
      <c r="K933" s="38"/>
      <c r="L933" s="36">
        <f t="shared" si="304"/>
        <v>0</v>
      </c>
      <c r="M933" s="35"/>
      <c r="N933" s="36">
        <f t="shared" si="294"/>
        <v>0</v>
      </c>
      <c r="O933" s="38"/>
      <c r="P933" s="36">
        <f t="shared" si="305"/>
        <v>0</v>
      </c>
      <c r="Q933" s="35"/>
      <c r="R933" s="36">
        <f t="shared" si="295"/>
        <v>0</v>
      </c>
      <c r="S933" s="38"/>
      <c r="T933" s="36">
        <f t="shared" si="306"/>
        <v>0</v>
      </c>
      <c r="U933" s="35"/>
      <c r="V933" s="36">
        <f t="shared" si="296"/>
        <v>0</v>
      </c>
      <c r="W933" s="38"/>
      <c r="X933" s="36">
        <f t="shared" si="307"/>
        <v>0</v>
      </c>
      <c r="Y933" s="35"/>
      <c r="Z933" s="36">
        <f t="shared" si="297"/>
        <v>0</v>
      </c>
      <c r="AA933" s="38"/>
      <c r="AB933" s="36">
        <f t="shared" si="308"/>
        <v>0</v>
      </c>
      <c r="AC933" s="35"/>
      <c r="AD933" s="36">
        <f t="shared" si="298"/>
        <v>0</v>
      </c>
      <c r="AE933" s="38"/>
      <c r="AF933" s="36">
        <f t="shared" si="309"/>
        <v>0</v>
      </c>
      <c r="AG933" s="35"/>
      <c r="AH933" s="36">
        <f t="shared" si="299"/>
        <v>0</v>
      </c>
      <c r="AI933" s="38"/>
      <c r="AJ933" s="36">
        <f t="shared" si="310"/>
        <v>0</v>
      </c>
      <c r="AK933" s="35"/>
      <c r="AL933" s="36">
        <f t="shared" si="300"/>
        <v>0</v>
      </c>
      <c r="AM933" s="38"/>
      <c r="AN933" s="36">
        <f t="shared" si="311"/>
        <v>0</v>
      </c>
      <c r="AO933" s="35"/>
      <c r="AP933" s="38"/>
    </row>
    <row r="934" spans="1:42" ht="15.75" customHeight="1" x14ac:dyDescent="0.25">
      <c r="A934" s="37">
        <v>2018</v>
      </c>
      <c r="B934" s="35">
        <v>171720</v>
      </c>
      <c r="C934" s="34" t="s">
        <v>149</v>
      </c>
      <c r="D934" s="34" t="s">
        <v>103</v>
      </c>
      <c r="E934" s="35"/>
      <c r="F934" s="36">
        <f t="shared" si="301"/>
        <v>0</v>
      </c>
      <c r="G934" s="38"/>
      <c r="H934" s="36">
        <f t="shared" si="302"/>
        <v>0</v>
      </c>
      <c r="I934" s="35"/>
      <c r="J934" s="36">
        <f t="shared" si="303"/>
        <v>0</v>
      </c>
      <c r="K934" s="38"/>
      <c r="L934" s="36">
        <f t="shared" si="304"/>
        <v>0</v>
      </c>
      <c r="M934" s="35"/>
      <c r="N934" s="36">
        <f t="shared" si="294"/>
        <v>0</v>
      </c>
      <c r="O934" s="38"/>
      <c r="P934" s="36">
        <f t="shared" si="305"/>
        <v>0</v>
      </c>
      <c r="Q934" s="35"/>
      <c r="R934" s="36">
        <f t="shared" si="295"/>
        <v>0</v>
      </c>
      <c r="S934" s="38"/>
      <c r="T934" s="36">
        <f t="shared" si="306"/>
        <v>0</v>
      </c>
      <c r="U934" s="35"/>
      <c r="V934" s="36">
        <f t="shared" si="296"/>
        <v>0</v>
      </c>
      <c r="W934" s="38"/>
      <c r="X934" s="36">
        <f t="shared" si="307"/>
        <v>0</v>
      </c>
      <c r="Y934" s="35"/>
      <c r="Z934" s="36">
        <f t="shared" si="297"/>
        <v>0</v>
      </c>
      <c r="AA934" s="38"/>
      <c r="AB934" s="36">
        <f t="shared" si="308"/>
        <v>0</v>
      </c>
      <c r="AC934" s="35"/>
      <c r="AD934" s="36">
        <f t="shared" si="298"/>
        <v>0</v>
      </c>
      <c r="AE934" s="38"/>
      <c r="AF934" s="36">
        <f t="shared" si="309"/>
        <v>0</v>
      </c>
      <c r="AG934" s="35"/>
      <c r="AH934" s="36">
        <f t="shared" si="299"/>
        <v>0</v>
      </c>
      <c r="AI934" s="38"/>
      <c r="AJ934" s="36">
        <f t="shared" si="310"/>
        <v>0</v>
      </c>
      <c r="AK934" s="35"/>
      <c r="AL934" s="36">
        <f t="shared" si="300"/>
        <v>0</v>
      </c>
      <c r="AM934" s="38"/>
      <c r="AN934" s="36">
        <f t="shared" si="311"/>
        <v>0</v>
      </c>
      <c r="AO934" s="35"/>
      <c r="AP934" s="38"/>
    </row>
    <row r="935" spans="1:42" ht="15.75" customHeight="1" x14ac:dyDescent="0.25">
      <c r="A935" s="37">
        <v>2018</v>
      </c>
      <c r="B935" s="35">
        <v>171750</v>
      </c>
      <c r="C935" s="34" t="s">
        <v>144</v>
      </c>
      <c r="D935" s="34" t="s">
        <v>104</v>
      </c>
      <c r="E935" s="35"/>
      <c r="F935" s="36">
        <f t="shared" si="301"/>
        <v>0</v>
      </c>
      <c r="G935" s="38"/>
      <c r="H935" s="36">
        <f t="shared" si="302"/>
        <v>0</v>
      </c>
      <c r="I935" s="35"/>
      <c r="J935" s="36">
        <f t="shared" si="303"/>
        <v>0</v>
      </c>
      <c r="K935" s="38"/>
      <c r="L935" s="36">
        <f t="shared" si="304"/>
        <v>0</v>
      </c>
      <c r="M935" s="35"/>
      <c r="N935" s="36">
        <f t="shared" si="294"/>
        <v>0</v>
      </c>
      <c r="O935" s="38"/>
      <c r="P935" s="36">
        <f t="shared" si="305"/>
        <v>0</v>
      </c>
      <c r="Q935" s="35"/>
      <c r="R935" s="36">
        <f t="shared" si="295"/>
        <v>0</v>
      </c>
      <c r="S935" s="38"/>
      <c r="T935" s="36">
        <f t="shared" si="306"/>
        <v>0</v>
      </c>
      <c r="U935" s="35"/>
      <c r="V935" s="36">
        <f t="shared" si="296"/>
        <v>0</v>
      </c>
      <c r="W935" s="38"/>
      <c r="X935" s="36">
        <f t="shared" si="307"/>
        <v>0</v>
      </c>
      <c r="Y935" s="35"/>
      <c r="Z935" s="36">
        <f t="shared" si="297"/>
        <v>0</v>
      </c>
      <c r="AA935" s="38"/>
      <c r="AB935" s="36">
        <f t="shared" si="308"/>
        <v>0</v>
      </c>
      <c r="AC935" s="35"/>
      <c r="AD935" s="36">
        <f t="shared" si="298"/>
        <v>0</v>
      </c>
      <c r="AE935" s="38"/>
      <c r="AF935" s="36">
        <f t="shared" si="309"/>
        <v>0</v>
      </c>
      <c r="AG935" s="35"/>
      <c r="AH935" s="36">
        <f t="shared" si="299"/>
        <v>0</v>
      </c>
      <c r="AI935" s="38"/>
      <c r="AJ935" s="36">
        <f t="shared" si="310"/>
        <v>0</v>
      </c>
      <c r="AK935" s="35"/>
      <c r="AL935" s="36">
        <f t="shared" si="300"/>
        <v>0</v>
      </c>
      <c r="AM935" s="38"/>
      <c r="AN935" s="36">
        <f t="shared" si="311"/>
        <v>0</v>
      </c>
      <c r="AO935" s="35"/>
      <c r="AP935" s="38"/>
    </row>
    <row r="936" spans="1:42" ht="15.75" customHeight="1" x14ac:dyDescent="0.25">
      <c r="A936" s="37">
        <v>2018</v>
      </c>
      <c r="B936" s="35">
        <v>171780</v>
      </c>
      <c r="C936" s="34" t="s">
        <v>147</v>
      </c>
      <c r="D936" s="34" t="s">
        <v>105</v>
      </c>
      <c r="E936" s="35"/>
      <c r="F936" s="36">
        <f t="shared" si="301"/>
        <v>0</v>
      </c>
      <c r="G936" s="38"/>
      <c r="H936" s="36">
        <f t="shared" si="302"/>
        <v>0</v>
      </c>
      <c r="I936" s="35"/>
      <c r="J936" s="36">
        <f t="shared" si="303"/>
        <v>0</v>
      </c>
      <c r="K936" s="38"/>
      <c r="L936" s="36">
        <f t="shared" si="304"/>
        <v>0</v>
      </c>
      <c r="M936" s="35"/>
      <c r="N936" s="36">
        <f t="shared" si="294"/>
        <v>0</v>
      </c>
      <c r="O936" s="38"/>
      <c r="P936" s="36">
        <f t="shared" si="305"/>
        <v>0</v>
      </c>
      <c r="Q936" s="35"/>
      <c r="R936" s="36">
        <f t="shared" si="295"/>
        <v>0</v>
      </c>
      <c r="S936" s="38"/>
      <c r="T936" s="36">
        <f t="shared" si="306"/>
        <v>0</v>
      </c>
      <c r="U936" s="35"/>
      <c r="V936" s="36">
        <f t="shared" si="296"/>
        <v>0</v>
      </c>
      <c r="W936" s="38"/>
      <c r="X936" s="36">
        <f t="shared" si="307"/>
        <v>0</v>
      </c>
      <c r="Y936" s="35"/>
      <c r="Z936" s="36">
        <f t="shared" si="297"/>
        <v>0</v>
      </c>
      <c r="AA936" s="38"/>
      <c r="AB936" s="36">
        <f t="shared" si="308"/>
        <v>0</v>
      </c>
      <c r="AC936" s="35"/>
      <c r="AD936" s="36">
        <f t="shared" si="298"/>
        <v>0</v>
      </c>
      <c r="AE936" s="38"/>
      <c r="AF936" s="36">
        <f t="shared" si="309"/>
        <v>0</v>
      </c>
      <c r="AG936" s="35"/>
      <c r="AH936" s="36">
        <f t="shared" si="299"/>
        <v>0</v>
      </c>
      <c r="AI936" s="38"/>
      <c r="AJ936" s="36">
        <f t="shared" si="310"/>
        <v>0</v>
      </c>
      <c r="AK936" s="35"/>
      <c r="AL936" s="36">
        <f t="shared" si="300"/>
        <v>0</v>
      </c>
      <c r="AM936" s="38"/>
      <c r="AN936" s="36">
        <f t="shared" si="311"/>
        <v>0</v>
      </c>
      <c r="AO936" s="35"/>
      <c r="AP936" s="38"/>
    </row>
    <row r="937" spans="1:42" ht="15.75" customHeight="1" x14ac:dyDescent="0.25">
      <c r="A937" s="37">
        <v>2018</v>
      </c>
      <c r="B937" s="35">
        <v>171790</v>
      </c>
      <c r="C937" s="34" t="s">
        <v>151</v>
      </c>
      <c r="D937" s="34" t="s">
        <v>106</v>
      </c>
      <c r="E937" s="35"/>
      <c r="F937" s="36">
        <f t="shared" si="301"/>
        <v>0</v>
      </c>
      <c r="G937" s="38"/>
      <c r="H937" s="36">
        <f t="shared" si="302"/>
        <v>0</v>
      </c>
      <c r="I937" s="35"/>
      <c r="J937" s="36">
        <f t="shared" si="303"/>
        <v>0</v>
      </c>
      <c r="K937" s="38"/>
      <c r="L937" s="36">
        <f t="shared" si="304"/>
        <v>0</v>
      </c>
      <c r="M937" s="35"/>
      <c r="N937" s="36">
        <f t="shared" si="294"/>
        <v>0</v>
      </c>
      <c r="O937" s="38"/>
      <c r="P937" s="36">
        <f t="shared" si="305"/>
        <v>0</v>
      </c>
      <c r="Q937" s="35"/>
      <c r="R937" s="36">
        <f t="shared" si="295"/>
        <v>0</v>
      </c>
      <c r="S937" s="38"/>
      <c r="T937" s="36">
        <f t="shared" si="306"/>
        <v>0</v>
      </c>
      <c r="U937" s="35"/>
      <c r="V937" s="36">
        <f t="shared" si="296"/>
        <v>0</v>
      </c>
      <c r="W937" s="38"/>
      <c r="X937" s="36">
        <f t="shared" si="307"/>
        <v>0</v>
      </c>
      <c r="Y937" s="35"/>
      <c r="Z937" s="36">
        <f t="shared" si="297"/>
        <v>0</v>
      </c>
      <c r="AA937" s="38"/>
      <c r="AB937" s="36">
        <f t="shared" si="308"/>
        <v>0</v>
      </c>
      <c r="AC937" s="35"/>
      <c r="AD937" s="36">
        <f t="shared" si="298"/>
        <v>0</v>
      </c>
      <c r="AE937" s="38"/>
      <c r="AF937" s="36">
        <f t="shared" si="309"/>
        <v>0</v>
      </c>
      <c r="AG937" s="35"/>
      <c r="AH937" s="36">
        <f t="shared" si="299"/>
        <v>0</v>
      </c>
      <c r="AI937" s="38"/>
      <c r="AJ937" s="36">
        <f t="shared" si="310"/>
        <v>0</v>
      </c>
      <c r="AK937" s="35"/>
      <c r="AL937" s="36">
        <f t="shared" si="300"/>
        <v>0</v>
      </c>
      <c r="AM937" s="38"/>
      <c r="AN937" s="36">
        <f t="shared" si="311"/>
        <v>0</v>
      </c>
      <c r="AO937" s="35"/>
      <c r="AP937" s="38"/>
    </row>
    <row r="938" spans="1:42" ht="15.75" customHeight="1" x14ac:dyDescent="0.25">
      <c r="A938" s="37">
        <v>2018</v>
      </c>
      <c r="B938" s="35">
        <v>171800</v>
      </c>
      <c r="C938" s="34" t="s">
        <v>147</v>
      </c>
      <c r="D938" s="34" t="s">
        <v>107</v>
      </c>
      <c r="E938" s="35"/>
      <c r="F938" s="36">
        <f t="shared" si="301"/>
        <v>0</v>
      </c>
      <c r="G938" s="38"/>
      <c r="H938" s="36">
        <f t="shared" si="302"/>
        <v>0</v>
      </c>
      <c r="I938" s="35"/>
      <c r="J938" s="36">
        <f t="shared" si="303"/>
        <v>0</v>
      </c>
      <c r="K938" s="38"/>
      <c r="L938" s="36">
        <f t="shared" si="304"/>
        <v>0</v>
      </c>
      <c r="M938" s="35"/>
      <c r="N938" s="36">
        <f t="shared" si="294"/>
        <v>0</v>
      </c>
      <c r="O938" s="38"/>
      <c r="P938" s="36">
        <f t="shared" si="305"/>
        <v>0</v>
      </c>
      <c r="Q938" s="35"/>
      <c r="R938" s="36">
        <f t="shared" si="295"/>
        <v>0</v>
      </c>
      <c r="S938" s="38"/>
      <c r="T938" s="36">
        <f t="shared" si="306"/>
        <v>0</v>
      </c>
      <c r="U938" s="35"/>
      <c r="V938" s="36">
        <f t="shared" si="296"/>
        <v>0</v>
      </c>
      <c r="W938" s="38"/>
      <c r="X938" s="36">
        <f t="shared" si="307"/>
        <v>0</v>
      </c>
      <c r="Y938" s="35"/>
      <c r="Z938" s="36">
        <f t="shared" si="297"/>
        <v>0</v>
      </c>
      <c r="AA938" s="38"/>
      <c r="AB938" s="36">
        <f t="shared" si="308"/>
        <v>0</v>
      </c>
      <c r="AC938" s="35"/>
      <c r="AD938" s="36">
        <f t="shared" si="298"/>
        <v>0</v>
      </c>
      <c r="AE938" s="38"/>
      <c r="AF938" s="36">
        <f t="shared" si="309"/>
        <v>0</v>
      </c>
      <c r="AG938" s="35"/>
      <c r="AH938" s="36">
        <f t="shared" si="299"/>
        <v>0</v>
      </c>
      <c r="AI938" s="38"/>
      <c r="AJ938" s="36">
        <f t="shared" si="310"/>
        <v>0</v>
      </c>
      <c r="AK938" s="35"/>
      <c r="AL938" s="36">
        <f t="shared" si="300"/>
        <v>0</v>
      </c>
      <c r="AM938" s="38"/>
      <c r="AN938" s="36">
        <f t="shared" si="311"/>
        <v>0</v>
      </c>
      <c r="AO938" s="35"/>
      <c r="AP938" s="38"/>
    </row>
    <row r="939" spans="1:42" ht="15.75" customHeight="1" x14ac:dyDescent="0.25">
      <c r="A939" s="37">
        <v>2018</v>
      </c>
      <c r="B939" s="35">
        <v>171820</v>
      </c>
      <c r="C939" s="34" t="s">
        <v>151</v>
      </c>
      <c r="D939" s="34" t="s">
        <v>108</v>
      </c>
      <c r="E939" s="35"/>
      <c r="F939" s="36">
        <f t="shared" si="301"/>
        <v>0</v>
      </c>
      <c r="G939" s="38"/>
      <c r="H939" s="36">
        <f t="shared" si="302"/>
        <v>0</v>
      </c>
      <c r="I939" s="35"/>
      <c r="J939" s="36">
        <f t="shared" si="303"/>
        <v>0</v>
      </c>
      <c r="K939" s="38"/>
      <c r="L939" s="36">
        <f t="shared" si="304"/>
        <v>0</v>
      </c>
      <c r="M939" s="35"/>
      <c r="N939" s="36">
        <f t="shared" si="294"/>
        <v>0</v>
      </c>
      <c r="O939" s="39"/>
      <c r="P939" s="36">
        <f t="shared" si="305"/>
        <v>0</v>
      </c>
      <c r="Q939" s="35"/>
      <c r="R939" s="36">
        <f t="shared" si="295"/>
        <v>0</v>
      </c>
      <c r="S939" s="38"/>
      <c r="T939" s="36">
        <f t="shared" si="306"/>
        <v>0</v>
      </c>
      <c r="U939" s="35"/>
      <c r="V939" s="36">
        <f t="shared" si="296"/>
        <v>0</v>
      </c>
      <c r="W939" s="38"/>
      <c r="X939" s="36">
        <f t="shared" si="307"/>
        <v>0</v>
      </c>
      <c r="Y939" s="35"/>
      <c r="Z939" s="36">
        <f t="shared" si="297"/>
        <v>0</v>
      </c>
      <c r="AA939" s="39"/>
      <c r="AB939" s="36">
        <f t="shared" si="308"/>
        <v>0</v>
      </c>
      <c r="AC939" s="35"/>
      <c r="AD939" s="36">
        <f t="shared" si="298"/>
        <v>0</v>
      </c>
      <c r="AE939" s="38"/>
      <c r="AF939" s="36">
        <f t="shared" si="309"/>
        <v>0</v>
      </c>
      <c r="AG939" s="35"/>
      <c r="AH939" s="36">
        <f t="shared" si="299"/>
        <v>0</v>
      </c>
      <c r="AI939" s="38"/>
      <c r="AJ939" s="36">
        <f t="shared" si="310"/>
        <v>0</v>
      </c>
      <c r="AK939" s="35"/>
      <c r="AL939" s="36">
        <f t="shared" si="300"/>
        <v>0</v>
      </c>
      <c r="AM939" s="38"/>
      <c r="AN939" s="36">
        <f t="shared" si="311"/>
        <v>0</v>
      </c>
      <c r="AO939" s="35"/>
      <c r="AP939" s="39"/>
    </row>
    <row r="940" spans="1:42" ht="15.75" customHeight="1" x14ac:dyDescent="0.25">
      <c r="A940" s="37">
        <v>2018</v>
      </c>
      <c r="B940" s="35">
        <v>171830</v>
      </c>
      <c r="C940" s="34" t="s">
        <v>145</v>
      </c>
      <c r="D940" s="34" t="s">
        <v>109</v>
      </c>
      <c r="E940" s="35"/>
      <c r="F940" s="36">
        <f t="shared" si="301"/>
        <v>0</v>
      </c>
      <c r="G940" s="38"/>
      <c r="H940" s="36">
        <f t="shared" si="302"/>
        <v>0</v>
      </c>
      <c r="I940" s="35"/>
      <c r="J940" s="36">
        <f t="shared" si="303"/>
        <v>0</v>
      </c>
      <c r="K940" s="38"/>
      <c r="L940" s="36">
        <f t="shared" si="304"/>
        <v>0</v>
      </c>
      <c r="M940" s="35"/>
      <c r="N940" s="36">
        <f t="shared" si="294"/>
        <v>0</v>
      </c>
      <c r="O940" s="38"/>
      <c r="P940" s="36">
        <f t="shared" si="305"/>
        <v>0</v>
      </c>
      <c r="Q940" s="35"/>
      <c r="R940" s="36">
        <f t="shared" si="295"/>
        <v>0</v>
      </c>
      <c r="S940" s="38"/>
      <c r="T940" s="36">
        <f t="shared" si="306"/>
        <v>0</v>
      </c>
      <c r="U940" s="35"/>
      <c r="V940" s="36">
        <f t="shared" si="296"/>
        <v>0</v>
      </c>
      <c r="W940" s="38"/>
      <c r="X940" s="36">
        <f t="shared" si="307"/>
        <v>0</v>
      </c>
      <c r="Y940" s="35"/>
      <c r="Z940" s="36">
        <f t="shared" si="297"/>
        <v>0</v>
      </c>
      <c r="AA940" s="38"/>
      <c r="AB940" s="36">
        <f t="shared" si="308"/>
        <v>0</v>
      </c>
      <c r="AC940" s="35"/>
      <c r="AD940" s="36">
        <f t="shared" si="298"/>
        <v>0</v>
      </c>
      <c r="AE940" s="38"/>
      <c r="AF940" s="36">
        <f t="shared" si="309"/>
        <v>0</v>
      </c>
      <c r="AG940" s="35"/>
      <c r="AH940" s="36">
        <f t="shared" si="299"/>
        <v>0</v>
      </c>
      <c r="AI940" s="38"/>
      <c r="AJ940" s="36">
        <f t="shared" si="310"/>
        <v>0</v>
      </c>
      <c r="AK940" s="35"/>
      <c r="AL940" s="36">
        <f t="shared" si="300"/>
        <v>0</v>
      </c>
      <c r="AM940" s="38"/>
      <c r="AN940" s="36">
        <f t="shared" si="311"/>
        <v>0</v>
      </c>
      <c r="AO940" s="35"/>
      <c r="AP940" s="38"/>
    </row>
    <row r="941" spans="1:42" ht="15.75" customHeight="1" x14ac:dyDescent="0.25">
      <c r="A941" s="37">
        <v>2018</v>
      </c>
      <c r="B941" s="35">
        <v>171840</v>
      </c>
      <c r="C941" s="34" t="s">
        <v>150</v>
      </c>
      <c r="D941" s="34" t="s">
        <v>110</v>
      </c>
      <c r="E941" s="35"/>
      <c r="F941" s="36">
        <f t="shared" si="301"/>
        <v>0</v>
      </c>
      <c r="G941" s="38"/>
      <c r="H941" s="36">
        <f t="shared" si="302"/>
        <v>0</v>
      </c>
      <c r="I941" s="35"/>
      <c r="J941" s="36">
        <f t="shared" si="303"/>
        <v>0</v>
      </c>
      <c r="K941" s="38"/>
      <c r="L941" s="36">
        <f t="shared" si="304"/>
        <v>0</v>
      </c>
      <c r="M941" s="35"/>
      <c r="N941" s="36">
        <f t="shared" si="294"/>
        <v>0</v>
      </c>
      <c r="O941" s="38"/>
      <c r="P941" s="36">
        <f t="shared" si="305"/>
        <v>0</v>
      </c>
      <c r="Q941" s="35"/>
      <c r="R941" s="36">
        <f t="shared" si="295"/>
        <v>0</v>
      </c>
      <c r="S941" s="38"/>
      <c r="T941" s="36">
        <f t="shared" si="306"/>
        <v>0</v>
      </c>
      <c r="U941" s="35"/>
      <c r="V941" s="36">
        <f t="shared" si="296"/>
        <v>0</v>
      </c>
      <c r="W941" s="38"/>
      <c r="X941" s="36">
        <f t="shared" si="307"/>
        <v>0</v>
      </c>
      <c r="Y941" s="35"/>
      <c r="Z941" s="36">
        <f t="shared" si="297"/>
        <v>0</v>
      </c>
      <c r="AA941" s="38"/>
      <c r="AB941" s="36">
        <f t="shared" si="308"/>
        <v>0</v>
      </c>
      <c r="AC941" s="35"/>
      <c r="AD941" s="36">
        <f t="shared" si="298"/>
        <v>0</v>
      </c>
      <c r="AE941" s="38"/>
      <c r="AF941" s="36">
        <f t="shared" si="309"/>
        <v>0</v>
      </c>
      <c r="AG941" s="35"/>
      <c r="AH941" s="36">
        <f t="shared" si="299"/>
        <v>0</v>
      </c>
      <c r="AI941" s="38"/>
      <c r="AJ941" s="36">
        <f t="shared" si="310"/>
        <v>0</v>
      </c>
      <c r="AK941" s="35"/>
      <c r="AL941" s="36">
        <f t="shared" si="300"/>
        <v>0</v>
      </c>
      <c r="AM941" s="38"/>
      <c r="AN941" s="36">
        <f t="shared" si="311"/>
        <v>0</v>
      </c>
      <c r="AO941" s="35"/>
      <c r="AP941" s="38"/>
    </row>
    <row r="942" spans="1:42" ht="15.75" customHeight="1" x14ac:dyDescent="0.25">
      <c r="A942" s="37">
        <v>2018</v>
      </c>
      <c r="B942" s="35">
        <v>171845</v>
      </c>
      <c r="C942" s="34" t="s">
        <v>144</v>
      </c>
      <c r="D942" s="34" t="s">
        <v>111</v>
      </c>
      <c r="E942" s="35"/>
      <c r="F942" s="36">
        <f t="shared" si="301"/>
        <v>0</v>
      </c>
      <c r="G942" s="38"/>
      <c r="H942" s="36">
        <f t="shared" si="302"/>
        <v>0</v>
      </c>
      <c r="I942" s="35"/>
      <c r="J942" s="36">
        <f t="shared" si="303"/>
        <v>0</v>
      </c>
      <c r="K942" s="38"/>
      <c r="L942" s="36">
        <f t="shared" si="304"/>
        <v>0</v>
      </c>
      <c r="M942" s="35"/>
      <c r="N942" s="36">
        <f t="shared" si="294"/>
        <v>0</v>
      </c>
      <c r="O942" s="38"/>
      <c r="P942" s="36">
        <f t="shared" si="305"/>
        <v>0</v>
      </c>
      <c r="Q942" s="35"/>
      <c r="R942" s="36">
        <f t="shared" si="295"/>
        <v>0</v>
      </c>
      <c r="S942" s="38"/>
      <c r="T942" s="36">
        <f t="shared" si="306"/>
        <v>0</v>
      </c>
      <c r="U942" s="35"/>
      <c r="V942" s="36">
        <f t="shared" si="296"/>
        <v>0</v>
      </c>
      <c r="W942" s="38"/>
      <c r="X942" s="36">
        <f t="shared" si="307"/>
        <v>0</v>
      </c>
      <c r="Y942" s="35"/>
      <c r="Z942" s="36">
        <f t="shared" si="297"/>
        <v>0</v>
      </c>
      <c r="AA942" s="38"/>
      <c r="AB942" s="36">
        <f t="shared" si="308"/>
        <v>0</v>
      </c>
      <c r="AC942" s="35"/>
      <c r="AD942" s="36">
        <f t="shared" si="298"/>
        <v>0</v>
      </c>
      <c r="AE942" s="38"/>
      <c r="AF942" s="36">
        <f t="shared" si="309"/>
        <v>0</v>
      </c>
      <c r="AG942" s="35"/>
      <c r="AH942" s="36">
        <f t="shared" si="299"/>
        <v>0</v>
      </c>
      <c r="AI942" s="38"/>
      <c r="AJ942" s="36">
        <f t="shared" si="310"/>
        <v>0</v>
      </c>
      <c r="AK942" s="35"/>
      <c r="AL942" s="36">
        <f t="shared" si="300"/>
        <v>0</v>
      </c>
      <c r="AM942" s="38"/>
      <c r="AN942" s="36">
        <f t="shared" si="311"/>
        <v>0</v>
      </c>
      <c r="AO942" s="35"/>
      <c r="AP942" s="38"/>
    </row>
    <row r="943" spans="1:42" ht="15.75" customHeight="1" x14ac:dyDescent="0.25">
      <c r="A943" s="37">
        <v>2018</v>
      </c>
      <c r="B943" s="35">
        <v>171850</v>
      </c>
      <c r="C943" s="34" t="s">
        <v>150</v>
      </c>
      <c r="D943" s="34" t="s">
        <v>112</v>
      </c>
      <c r="E943" s="35"/>
      <c r="F943" s="36">
        <f t="shared" si="301"/>
        <v>0</v>
      </c>
      <c r="G943" s="38"/>
      <c r="H943" s="36">
        <f t="shared" si="302"/>
        <v>0</v>
      </c>
      <c r="I943" s="35"/>
      <c r="J943" s="36">
        <f t="shared" si="303"/>
        <v>0</v>
      </c>
      <c r="K943" s="38"/>
      <c r="L943" s="36">
        <f t="shared" si="304"/>
        <v>0</v>
      </c>
      <c r="M943" s="35"/>
      <c r="N943" s="36">
        <f t="shared" si="294"/>
        <v>0</v>
      </c>
      <c r="O943" s="38"/>
      <c r="P943" s="36">
        <f t="shared" si="305"/>
        <v>0</v>
      </c>
      <c r="Q943" s="35"/>
      <c r="R943" s="36">
        <f t="shared" si="295"/>
        <v>0</v>
      </c>
      <c r="S943" s="38"/>
      <c r="T943" s="36">
        <f t="shared" si="306"/>
        <v>0</v>
      </c>
      <c r="U943" s="35"/>
      <c r="V943" s="36">
        <f t="shared" si="296"/>
        <v>0</v>
      </c>
      <c r="W943" s="38"/>
      <c r="X943" s="36">
        <f t="shared" si="307"/>
        <v>0</v>
      </c>
      <c r="Y943" s="35"/>
      <c r="Z943" s="36">
        <f t="shared" si="297"/>
        <v>0</v>
      </c>
      <c r="AA943" s="38"/>
      <c r="AB943" s="36">
        <f t="shared" si="308"/>
        <v>0</v>
      </c>
      <c r="AC943" s="35"/>
      <c r="AD943" s="36">
        <f t="shared" si="298"/>
        <v>0</v>
      </c>
      <c r="AE943" s="38"/>
      <c r="AF943" s="36">
        <f t="shared" si="309"/>
        <v>0</v>
      </c>
      <c r="AG943" s="35"/>
      <c r="AH943" s="36">
        <f t="shared" si="299"/>
        <v>0</v>
      </c>
      <c r="AI943" s="38"/>
      <c r="AJ943" s="36">
        <f t="shared" si="310"/>
        <v>0</v>
      </c>
      <c r="AK943" s="35"/>
      <c r="AL943" s="36">
        <f t="shared" si="300"/>
        <v>0</v>
      </c>
      <c r="AM943" s="38"/>
      <c r="AN943" s="36">
        <f t="shared" si="311"/>
        <v>0</v>
      </c>
      <c r="AO943" s="35"/>
      <c r="AP943" s="38"/>
    </row>
    <row r="944" spans="1:42" ht="15.75" customHeight="1" x14ac:dyDescent="0.25">
      <c r="A944" s="37">
        <v>2018</v>
      </c>
      <c r="B944" s="35">
        <v>171855</v>
      </c>
      <c r="C944" s="34" t="s">
        <v>145</v>
      </c>
      <c r="D944" s="34" t="s">
        <v>113</v>
      </c>
      <c r="E944" s="35"/>
      <c r="F944" s="36">
        <f t="shared" si="301"/>
        <v>0</v>
      </c>
      <c r="G944" s="38"/>
      <c r="H944" s="36">
        <f t="shared" si="302"/>
        <v>0</v>
      </c>
      <c r="I944" s="35"/>
      <c r="J944" s="36">
        <f t="shared" si="303"/>
        <v>0</v>
      </c>
      <c r="K944" s="38"/>
      <c r="L944" s="36">
        <f t="shared" si="304"/>
        <v>0</v>
      </c>
      <c r="M944" s="35"/>
      <c r="N944" s="36">
        <f t="shared" si="294"/>
        <v>0</v>
      </c>
      <c r="O944" s="38"/>
      <c r="P944" s="36">
        <f t="shared" si="305"/>
        <v>0</v>
      </c>
      <c r="Q944" s="35"/>
      <c r="R944" s="36">
        <f t="shared" si="295"/>
        <v>0</v>
      </c>
      <c r="S944" s="38"/>
      <c r="T944" s="36">
        <f t="shared" si="306"/>
        <v>0</v>
      </c>
      <c r="U944" s="35"/>
      <c r="V944" s="36">
        <f t="shared" si="296"/>
        <v>0</v>
      </c>
      <c r="W944" s="38"/>
      <c r="X944" s="36">
        <f t="shared" si="307"/>
        <v>0</v>
      </c>
      <c r="Y944" s="35"/>
      <c r="Z944" s="36">
        <f t="shared" si="297"/>
        <v>0</v>
      </c>
      <c r="AA944" s="38"/>
      <c r="AB944" s="36">
        <f t="shared" si="308"/>
        <v>0</v>
      </c>
      <c r="AC944" s="35"/>
      <c r="AD944" s="36">
        <f t="shared" si="298"/>
        <v>0</v>
      </c>
      <c r="AE944" s="38"/>
      <c r="AF944" s="36">
        <f t="shared" si="309"/>
        <v>0</v>
      </c>
      <c r="AG944" s="35"/>
      <c r="AH944" s="36">
        <f t="shared" si="299"/>
        <v>0</v>
      </c>
      <c r="AI944" s="38"/>
      <c r="AJ944" s="36">
        <f t="shared" si="310"/>
        <v>0</v>
      </c>
      <c r="AK944" s="35"/>
      <c r="AL944" s="36">
        <f t="shared" si="300"/>
        <v>0</v>
      </c>
      <c r="AM944" s="38"/>
      <c r="AN944" s="36">
        <f t="shared" si="311"/>
        <v>0</v>
      </c>
      <c r="AO944" s="35"/>
      <c r="AP944" s="38"/>
    </row>
    <row r="945" spans="1:42" ht="15.75" customHeight="1" x14ac:dyDescent="0.25">
      <c r="A945" s="37">
        <v>2018</v>
      </c>
      <c r="B945" s="35">
        <v>171865</v>
      </c>
      <c r="C945" s="34" t="s">
        <v>147</v>
      </c>
      <c r="D945" s="34" t="s">
        <v>114</v>
      </c>
      <c r="E945" s="35"/>
      <c r="F945" s="36">
        <f t="shared" si="301"/>
        <v>0</v>
      </c>
      <c r="G945" s="38"/>
      <c r="H945" s="36">
        <f t="shared" si="302"/>
        <v>0</v>
      </c>
      <c r="I945" s="35"/>
      <c r="J945" s="36">
        <f t="shared" si="303"/>
        <v>0</v>
      </c>
      <c r="K945" s="38"/>
      <c r="L945" s="36">
        <f t="shared" si="304"/>
        <v>0</v>
      </c>
      <c r="M945" s="35"/>
      <c r="N945" s="36">
        <f t="shared" ref="N945:N976" si="312">IFERROR(M945/$AO945,0)</f>
        <v>0</v>
      </c>
      <c r="O945" s="38"/>
      <c r="P945" s="36">
        <f t="shared" si="305"/>
        <v>0</v>
      </c>
      <c r="Q945" s="35"/>
      <c r="R945" s="36">
        <f t="shared" ref="R945:R976" si="313">IFERROR(Q945/$AO945,0)</f>
        <v>0</v>
      </c>
      <c r="S945" s="38"/>
      <c r="T945" s="36">
        <f t="shared" si="306"/>
        <v>0</v>
      </c>
      <c r="U945" s="35"/>
      <c r="V945" s="36">
        <f t="shared" ref="V945:V976" si="314">IFERROR(U945/$AO945,0)</f>
        <v>0</v>
      </c>
      <c r="W945" s="38"/>
      <c r="X945" s="36">
        <f t="shared" si="307"/>
        <v>0</v>
      </c>
      <c r="Y945" s="35"/>
      <c r="Z945" s="36">
        <f t="shared" ref="Z945:Z976" si="315">IFERROR(Y945/$AO945,0)</f>
        <v>0</v>
      </c>
      <c r="AA945" s="38"/>
      <c r="AB945" s="36">
        <f t="shared" si="308"/>
        <v>0</v>
      </c>
      <c r="AC945" s="35"/>
      <c r="AD945" s="36">
        <f t="shared" ref="AD945:AD976" si="316">IFERROR(AC945/$AO945,0)</f>
        <v>0</v>
      </c>
      <c r="AE945" s="38"/>
      <c r="AF945" s="36">
        <f t="shared" si="309"/>
        <v>0</v>
      </c>
      <c r="AG945" s="35"/>
      <c r="AH945" s="36">
        <f t="shared" ref="AH945:AH976" si="317">IFERROR(AG945/$AO945,0)</f>
        <v>0</v>
      </c>
      <c r="AI945" s="38"/>
      <c r="AJ945" s="36">
        <f t="shared" si="310"/>
        <v>0</v>
      </c>
      <c r="AK945" s="35"/>
      <c r="AL945" s="36">
        <f t="shared" ref="AL945:AL976" si="318">IFERROR(AK945/$AO945,0)</f>
        <v>0</v>
      </c>
      <c r="AM945" s="38"/>
      <c r="AN945" s="36">
        <f t="shared" si="311"/>
        <v>0</v>
      </c>
      <c r="AO945" s="35"/>
      <c r="AP945" s="38"/>
    </row>
    <row r="946" spans="1:42" ht="15.75" customHeight="1" x14ac:dyDescent="0.25">
      <c r="A946" s="37">
        <v>2018</v>
      </c>
      <c r="B946" s="35">
        <v>171870</v>
      </c>
      <c r="C946" s="34" t="s">
        <v>148</v>
      </c>
      <c r="D946" s="34" t="s">
        <v>115</v>
      </c>
      <c r="E946" s="35"/>
      <c r="F946" s="36">
        <f t="shared" si="301"/>
        <v>0</v>
      </c>
      <c r="G946" s="38"/>
      <c r="H946" s="36">
        <f t="shared" si="302"/>
        <v>0</v>
      </c>
      <c r="I946" s="35"/>
      <c r="J946" s="36">
        <f t="shared" si="303"/>
        <v>0</v>
      </c>
      <c r="K946" s="38"/>
      <c r="L946" s="36">
        <f t="shared" si="304"/>
        <v>0</v>
      </c>
      <c r="M946" s="35"/>
      <c r="N946" s="36">
        <f t="shared" si="312"/>
        <v>0</v>
      </c>
      <c r="O946" s="38"/>
      <c r="P946" s="36">
        <f t="shared" si="305"/>
        <v>0</v>
      </c>
      <c r="Q946" s="35"/>
      <c r="R946" s="36">
        <f t="shared" si="313"/>
        <v>0</v>
      </c>
      <c r="S946" s="38"/>
      <c r="T946" s="36">
        <f t="shared" si="306"/>
        <v>0</v>
      </c>
      <c r="U946" s="35"/>
      <c r="V946" s="36">
        <f t="shared" si="314"/>
        <v>0</v>
      </c>
      <c r="W946" s="38"/>
      <c r="X946" s="36">
        <f t="shared" si="307"/>
        <v>0</v>
      </c>
      <c r="Y946" s="35"/>
      <c r="Z946" s="36">
        <f t="shared" si="315"/>
        <v>0</v>
      </c>
      <c r="AA946" s="38"/>
      <c r="AB946" s="36">
        <f t="shared" si="308"/>
        <v>0</v>
      </c>
      <c r="AC946" s="35"/>
      <c r="AD946" s="36">
        <f t="shared" si="316"/>
        <v>0</v>
      </c>
      <c r="AE946" s="38"/>
      <c r="AF946" s="36">
        <f t="shared" si="309"/>
        <v>0</v>
      </c>
      <c r="AG946" s="35"/>
      <c r="AH946" s="36">
        <f t="shared" si="317"/>
        <v>0</v>
      </c>
      <c r="AI946" s="38"/>
      <c r="AJ946" s="36">
        <f t="shared" si="310"/>
        <v>0</v>
      </c>
      <c r="AK946" s="35"/>
      <c r="AL946" s="36">
        <f t="shared" si="318"/>
        <v>0</v>
      </c>
      <c r="AM946" s="38"/>
      <c r="AN946" s="36">
        <f t="shared" si="311"/>
        <v>0</v>
      </c>
      <c r="AO946" s="35"/>
      <c r="AP946" s="38"/>
    </row>
    <row r="947" spans="1:42" ht="15.75" customHeight="1" x14ac:dyDescent="0.25">
      <c r="A947" s="37">
        <v>2018</v>
      </c>
      <c r="B947" s="35">
        <v>171875</v>
      </c>
      <c r="C947" s="34" t="s">
        <v>148</v>
      </c>
      <c r="D947" s="34" t="s">
        <v>116</v>
      </c>
      <c r="E947" s="35"/>
      <c r="F947" s="36">
        <f t="shared" si="301"/>
        <v>0</v>
      </c>
      <c r="G947" s="38"/>
      <c r="H947" s="36">
        <f t="shared" si="302"/>
        <v>0</v>
      </c>
      <c r="I947" s="35"/>
      <c r="J947" s="36">
        <f t="shared" si="303"/>
        <v>0</v>
      </c>
      <c r="K947" s="38"/>
      <c r="L947" s="36">
        <f t="shared" si="304"/>
        <v>0</v>
      </c>
      <c r="M947" s="35"/>
      <c r="N947" s="36">
        <f t="shared" si="312"/>
        <v>0</v>
      </c>
      <c r="O947" s="38"/>
      <c r="P947" s="36">
        <f t="shared" si="305"/>
        <v>0</v>
      </c>
      <c r="Q947" s="35"/>
      <c r="R947" s="36">
        <f t="shared" si="313"/>
        <v>0</v>
      </c>
      <c r="S947" s="38"/>
      <c r="T947" s="36">
        <f t="shared" si="306"/>
        <v>0</v>
      </c>
      <c r="U947" s="35"/>
      <c r="V947" s="36">
        <f t="shared" si="314"/>
        <v>0</v>
      </c>
      <c r="W947" s="38"/>
      <c r="X947" s="36">
        <f t="shared" si="307"/>
        <v>0</v>
      </c>
      <c r="Y947" s="35"/>
      <c r="Z947" s="36">
        <f t="shared" si="315"/>
        <v>0</v>
      </c>
      <c r="AA947" s="38"/>
      <c r="AB947" s="36">
        <f t="shared" si="308"/>
        <v>0</v>
      </c>
      <c r="AC947" s="35"/>
      <c r="AD947" s="36">
        <f t="shared" si="316"/>
        <v>0</v>
      </c>
      <c r="AE947" s="38"/>
      <c r="AF947" s="36">
        <f t="shared" si="309"/>
        <v>0</v>
      </c>
      <c r="AG947" s="35"/>
      <c r="AH947" s="36">
        <f t="shared" si="317"/>
        <v>0</v>
      </c>
      <c r="AI947" s="38"/>
      <c r="AJ947" s="36">
        <f t="shared" si="310"/>
        <v>0</v>
      </c>
      <c r="AK947" s="35"/>
      <c r="AL947" s="36">
        <f t="shared" si="318"/>
        <v>0</v>
      </c>
      <c r="AM947" s="38"/>
      <c r="AN947" s="36">
        <f t="shared" si="311"/>
        <v>0</v>
      </c>
      <c r="AO947" s="35"/>
      <c r="AP947" s="38"/>
    </row>
    <row r="948" spans="1:42" ht="15.75" customHeight="1" x14ac:dyDescent="0.25">
      <c r="A948" s="37">
        <v>2018</v>
      </c>
      <c r="B948" s="35">
        <v>171880</v>
      </c>
      <c r="C948" s="34" t="s">
        <v>145</v>
      </c>
      <c r="D948" s="34" t="s">
        <v>117</v>
      </c>
      <c r="E948" s="35"/>
      <c r="F948" s="36">
        <f t="shared" si="301"/>
        <v>0</v>
      </c>
      <c r="G948" s="38"/>
      <c r="H948" s="36">
        <f t="shared" si="302"/>
        <v>0</v>
      </c>
      <c r="I948" s="35"/>
      <c r="J948" s="36">
        <f t="shared" si="303"/>
        <v>0</v>
      </c>
      <c r="K948" s="38"/>
      <c r="L948" s="36">
        <f t="shared" si="304"/>
        <v>0</v>
      </c>
      <c r="M948" s="35"/>
      <c r="N948" s="36">
        <f t="shared" si="312"/>
        <v>0</v>
      </c>
      <c r="O948" s="38"/>
      <c r="P948" s="36">
        <f t="shared" si="305"/>
        <v>0</v>
      </c>
      <c r="Q948" s="35"/>
      <c r="R948" s="36">
        <f t="shared" si="313"/>
        <v>0</v>
      </c>
      <c r="S948" s="38"/>
      <c r="T948" s="36">
        <f t="shared" si="306"/>
        <v>0</v>
      </c>
      <c r="U948" s="35"/>
      <c r="V948" s="36">
        <f t="shared" si="314"/>
        <v>0</v>
      </c>
      <c r="W948" s="38"/>
      <c r="X948" s="36">
        <f t="shared" si="307"/>
        <v>0</v>
      </c>
      <c r="Y948" s="35"/>
      <c r="Z948" s="36">
        <f t="shared" si="315"/>
        <v>0</v>
      </c>
      <c r="AA948" s="38"/>
      <c r="AB948" s="36">
        <f t="shared" si="308"/>
        <v>0</v>
      </c>
      <c r="AC948" s="35"/>
      <c r="AD948" s="36">
        <f t="shared" si="316"/>
        <v>0</v>
      </c>
      <c r="AE948" s="38"/>
      <c r="AF948" s="36">
        <f t="shared" si="309"/>
        <v>0</v>
      </c>
      <c r="AG948" s="35"/>
      <c r="AH948" s="36">
        <f t="shared" si="317"/>
        <v>0</v>
      </c>
      <c r="AI948" s="38"/>
      <c r="AJ948" s="36">
        <f t="shared" si="310"/>
        <v>0</v>
      </c>
      <c r="AK948" s="35"/>
      <c r="AL948" s="36">
        <f t="shared" si="318"/>
        <v>0</v>
      </c>
      <c r="AM948" s="38"/>
      <c r="AN948" s="36">
        <f t="shared" si="311"/>
        <v>0</v>
      </c>
      <c r="AO948" s="35"/>
      <c r="AP948" s="38"/>
    </row>
    <row r="949" spans="1:42" ht="15.75" customHeight="1" x14ac:dyDescent="0.25">
      <c r="A949" s="37">
        <v>2018</v>
      </c>
      <c r="B949" s="35">
        <v>171884</v>
      </c>
      <c r="C949" s="34" t="s">
        <v>146</v>
      </c>
      <c r="D949" s="34" t="s">
        <v>118</v>
      </c>
      <c r="E949" s="35"/>
      <c r="F949" s="36">
        <f t="shared" si="301"/>
        <v>0</v>
      </c>
      <c r="G949" s="38"/>
      <c r="H949" s="36">
        <f t="shared" si="302"/>
        <v>0</v>
      </c>
      <c r="I949" s="35"/>
      <c r="J949" s="36">
        <f t="shared" si="303"/>
        <v>0</v>
      </c>
      <c r="K949" s="38"/>
      <c r="L949" s="36">
        <f t="shared" si="304"/>
        <v>0</v>
      </c>
      <c r="M949" s="35"/>
      <c r="N949" s="36">
        <f t="shared" si="312"/>
        <v>0</v>
      </c>
      <c r="O949" s="38"/>
      <c r="P949" s="36">
        <f t="shared" si="305"/>
        <v>0</v>
      </c>
      <c r="Q949" s="35"/>
      <c r="R949" s="36">
        <f t="shared" si="313"/>
        <v>0</v>
      </c>
      <c r="S949" s="38"/>
      <c r="T949" s="36">
        <f t="shared" si="306"/>
        <v>0</v>
      </c>
      <c r="U949" s="35"/>
      <c r="V949" s="36">
        <f t="shared" si="314"/>
        <v>0</v>
      </c>
      <c r="W949" s="38"/>
      <c r="X949" s="36">
        <f t="shared" si="307"/>
        <v>0</v>
      </c>
      <c r="Y949" s="35"/>
      <c r="Z949" s="36">
        <f t="shared" si="315"/>
        <v>0</v>
      </c>
      <c r="AA949" s="38"/>
      <c r="AB949" s="36">
        <f t="shared" si="308"/>
        <v>0</v>
      </c>
      <c r="AC949" s="35"/>
      <c r="AD949" s="36">
        <f t="shared" si="316"/>
        <v>0</v>
      </c>
      <c r="AE949" s="38"/>
      <c r="AF949" s="36">
        <f t="shared" si="309"/>
        <v>0</v>
      </c>
      <c r="AG949" s="35"/>
      <c r="AH949" s="36">
        <f t="shared" si="317"/>
        <v>0</v>
      </c>
      <c r="AI949" s="38"/>
      <c r="AJ949" s="36">
        <f t="shared" si="310"/>
        <v>0</v>
      </c>
      <c r="AK949" s="35"/>
      <c r="AL949" s="36">
        <f t="shared" si="318"/>
        <v>0</v>
      </c>
      <c r="AM949" s="38"/>
      <c r="AN949" s="36">
        <f t="shared" si="311"/>
        <v>0</v>
      </c>
      <c r="AO949" s="35"/>
      <c r="AP949" s="38"/>
    </row>
    <row r="950" spans="1:42" ht="15.75" customHeight="1" x14ac:dyDescent="0.25">
      <c r="A950" s="37">
        <v>2018</v>
      </c>
      <c r="B950" s="35">
        <v>171886</v>
      </c>
      <c r="C950" s="34" t="s">
        <v>149</v>
      </c>
      <c r="D950" s="34" t="s">
        <v>119</v>
      </c>
      <c r="E950" s="35"/>
      <c r="F950" s="36">
        <f t="shared" si="301"/>
        <v>0</v>
      </c>
      <c r="G950" s="38"/>
      <c r="H950" s="36">
        <f t="shared" si="302"/>
        <v>0</v>
      </c>
      <c r="I950" s="35"/>
      <c r="J950" s="36">
        <f t="shared" si="303"/>
        <v>0</v>
      </c>
      <c r="K950" s="38"/>
      <c r="L950" s="36">
        <f t="shared" si="304"/>
        <v>0</v>
      </c>
      <c r="M950" s="35"/>
      <c r="N950" s="36">
        <f t="shared" si="312"/>
        <v>0</v>
      </c>
      <c r="O950" s="38"/>
      <c r="P950" s="36">
        <f t="shared" si="305"/>
        <v>0</v>
      </c>
      <c r="Q950" s="35"/>
      <c r="R950" s="36">
        <f t="shared" si="313"/>
        <v>0</v>
      </c>
      <c r="S950" s="38"/>
      <c r="T950" s="36">
        <f t="shared" si="306"/>
        <v>0</v>
      </c>
      <c r="U950" s="35"/>
      <c r="V950" s="36">
        <f t="shared" si="314"/>
        <v>0</v>
      </c>
      <c r="W950" s="38"/>
      <c r="X950" s="36">
        <f t="shared" si="307"/>
        <v>0</v>
      </c>
      <c r="Y950" s="35"/>
      <c r="Z950" s="36">
        <f t="shared" si="315"/>
        <v>0</v>
      </c>
      <c r="AA950" s="38"/>
      <c r="AB950" s="36">
        <f t="shared" si="308"/>
        <v>0</v>
      </c>
      <c r="AC950" s="35"/>
      <c r="AD950" s="36">
        <f t="shared" si="316"/>
        <v>0</v>
      </c>
      <c r="AE950" s="38"/>
      <c r="AF950" s="36">
        <f t="shared" si="309"/>
        <v>0</v>
      </c>
      <c r="AG950" s="35"/>
      <c r="AH950" s="36">
        <f t="shared" si="317"/>
        <v>0</v>
      </c>
      <c r="AI950" s="38"/>
      <c r="AJ950" s="36">
        <f t="shared" si="310"/>
        <v>0</v>
      </c>
      <c r="AK950" s="35"/>
      <c r="AL950" s="36">
        <f t="shared" si="318"/>
        <v>0</v>
      </c>
      <c r="AM950" s="38"/>
      <c r="AN950" s="36">
        <f t="shared" si="311"/>
        <v>0</v>
      </c>
      <c r="AO950" s="35"/>
      <c r="AP950" s="38"/>
    </row>
    <row r="951" spans="1:42" ht="15.75" customHeight="1" x14ac:dyDescent="0.25">
      <c r="A951" s="37">
        <v>2018</v>
      </c>
      <c r="B951" s="35">
        <v>171888</v>
      </c>
      <c r="C951" s="34" t="s">
        <v>150</v>
      </c>
      <c r="D951" s="34" t="s">
        <v>120</v>
      </c>
      <c r="E951" s="35"/>
      <c r="F951" s="36">
        <f t="shared" si="301"/>
        <v>0</v>
      </c>
      <c r="G951" s="38"/>
      <c r="H951" s="36">
        <f t="shared" si="302"/>
        <v>0</v>
      </c>
      <c r="I951" s="35"/>
      <c r="J951" s="36">
        <f t="shared" si="303"/>
        <v>0</v>
      </c>
      <c r="K951" s="38"/>
      <c r="L951" s="36">
        <f t="shared" si="304"/>
        <v>0</v>
      </c>
      <c r="M951" s="35"/>
      <c r="N951" s="36">
        <f t="shared" si="312"/>
        <v>0</v>
      </c>
      <c r="O951" s="38"/>
      <c r="P951" s="36">
        <f t="shared" si="305"/>
        <v>0</v>
      </c>
      <c r="Q951" s="35"/>
      <c r="R951" s="36">
        <f t="shared" si="313"/>
        <v>0</v>
      </c>
      <c r="S951" s="38"/>
      <c r="T951" s="36">
        <f t="shared" si="306"/>
        <v>0</v>
      </c>
      <c r="U951" s="35"/>
      <c r="V951" s="36">
        <f t="shared" si="314"/>
        <v>0</v>
      </c>
      <c r="W951" s="38"/>
      <c r="X951" s="36">
        <f t="shared" si="307"/>
        <v>0</v>
      </c>
      <c r="Y951" s="35"/>
      <c r="Z951" s="36">
        <f t="shared" si="315"/>
        <v>0</v>
      </c>
      <c r="AA951" s="38"/>
      <c r="AB951" s="36">
        <f t="shared" si="308"/>
        <v>0</v>
      </c>
      <c r="AC951" s="35"/>
      <c r="AD951" s="36">
        <f t="shared" si="316"/>
        <v>0</v>
      </c>
      <c r="AE951" s="38"/>
      <c r="AF951" s="36">
        <f t="shared" si="309"/>
        <v>0</v>
      </c>
      <c r="AG951" s="35"/>
      <c r="AH951" s="36">
        <f t="shared" si="317"/>
        <v>0</v>
      </c>
      <c r="AI951" s="38"/>
      <c r="AJ951" s="36">
        <f t="shared" si="310"/>
        <v>0</v>
      </c>
      <c r="AK951" s="35"/>
      <c r="AL951" s="36">
        <f t="shared" si="318"/>
        <v>0</v>
      </c>
      <c r="AM951" s="38"/>
      <c r="AN951" s="36">
        <f t="shared" si="311"/>
        <v>0</v>
      </c>
      <c r="AO951" s="35"/>
      <c r="AP951" s="38"/>
    </row>
    <row r="952" spans="1:42" ht="15.75" customHeight="1" x14ac:dyDescent="0.25">
      <c r="A952" s="37">
        <v>2018</v>
      </c>
      <c r="B952" s="35">
        <v>171889</v>
      </c>
      <c r="C952" s="34" t="s">
        <v>146</v>
      </c>
      <c r="D952" s="34" t="s">
        <v>121</v>
      </c>
      <c r="E952" s="35"/>
      <c r="F952" s="36">
        <f t="shared" si="301"/>
        <v>0</v>
      </c>
      <c r="G952" s="38"/>
      <c r="H952" s="36">
        <f t="shared" si="302"/>
        <v>0</v>
      </c>
      <c r="I952" s="35"/>
      <c r="J952" s="36">
        <f t="shared" si="303"/>
        <v>0</v>
      </c>
      <c r="K952" s="38"/>
      <c r="L952" s="36">
        <f t="shared" si="304"/>
        <v>0</v>
      </c>
      <c r="M952" s="35"/>
      <c r="N952" s="36">
        <f t="shared" si="312"/>
        <v>0</v>
      </c>
      <c r="O952" s="38"/>
      <c r="P952" s="36">
        <f t="shared" si="305"/>
        <v>0</v>
      </c>
      <c r="Q952" s="35"/>
      <c r="R952" s="36">
        <f t="shared" si="313"/>
        <v>0</v>
      </c>
      <c r="S952" s="38"/>
      <c r="T952" s="36">
        <f t="shared" si="306"/>
        <v>0</v>
      </c>
      <c r="U952" s="35"/>
      <c r="V952" s="36">
        <f t="shared" si="314"/>
        <v>0</v>
      </c>
      <c r="W952" s="38"/>
      <c r="X952" s="36">
        <f t="shared" si="307"/>
        <v>0</v>
      </c>
      <c r="Y952" s="35"/>
      <c r="Z952" s="36">
        <f t="shared" si="315"/>
        <v>0</v>
      </c>
      <c r="AA952" s="38"/>
      <c r="AB952" s="36">
        <f t="shared" si="308"/>
        <v>0</v>
      </c>
      <c r="AC952" s="35"/>
      <c r="AD952" s="36">
        <f t="shared" si="316"/>
        <v>0</v>
      </c>
      <c r="AE952" s="38"/>
      <c r="AF952" s="36">
        <f t="shared" si="309"/>
        <v>0</v>
      </c>
      <c r="AG952" s="35"/>
      <c r="AH952" s="36">
        <f t="shared" si="317"/>
        <v>0</v>
      </c>
      <c r="AI952" s="38"/>
      <c r="AJ952" s="36">
        <f t="shared" si="310"/>
        <v>0</v>
      </c>
      <c r="AK952" s="35"/>
      <c r="AL952" s="36">
        <f t="shared" si="318"/>
        <v>0</v>
      </c>
      <c r="AM952" s="38"/>
      <c r="AN952" s="36">
        <f t="shared" si="311"/>
        <v>0</v>
      </c>
      <c r="AO952" s="35"/>
      <c r="AP952" s="38"/>
    </row>
    <row r="953" spans="1:42" ht="15.75" customHeight="1" x14ac:dyDescent="0.25">
      <c r="A953" s="37">
        <v>2018</v>
      </c>
      <c r="B953" s="35">
        <v>171890</v>
      </c>
      <c r="C953" s="34" t="s">
        <v>151</v>
      </c>
      <c r="D953" s="34" t="s">
        <v>122</v>
      </c>
      <c r="E953" s="35"/>
      <c r="F953" s="36">
        <f t="shared" si="301"/>
        <v>0</v>
      </c>
      <c r="G953" s="38"/>
      <c r="H953" s="36">
        <f t="shared" si="302"/>
        <v>0</v>
      </c>
      <c r="I953" s="35"/>
      <c r="J953" s="36">
        <f t="shared" si="303"/>
        <v>0</v>
      </c>
      <c r="K953" s="38"/>
      <c r="L953" s="36">
        <f t="shared" si="304"/>
        <v>0</v>
      </c>
      <c r="M953" s="35"/>
      <c r="N953" s="36">
        <f t="shared" si="312"/>
        <v>0</v>
      </c>
      <c r="O953" s="38"/>
      <c r="P953" s="36">
        <f t="shared" si="305"/>
        <v>0</v>
      </c>
      <c r="Q953" s="35"/>
      <c r="R953" s="36">
        <f t="shared" si="313"/>
        <v>0</v>
      </c>
      <c r="S953" s="38"/>
      <c r="T953" s="36">
        <f t="shared" si="306"/>
        <v>0</v>
      </c>
      <c r="U953" s="35"/>
      <c r="V953" s="36">
        <f t="shared" si="314"/>
        <v>0</v>
      </c>
      <c r="W953" s="38"/>
      <c r="X953" s="36">
        <f t="shared" si="307"/>
        <v>0</v>
      </c>
      <c r="Y953" s="35"/>
      <c r="Z953" s="36">
        <f t="shared" si="315"/>
        <v>0</v>
      </c>
      <c r="AA953" s="38"/>
      <c r="AB953" s="36">
        <f t="shared" si="308"/>
        <v>0</v>
      </c>
      <c r="AC953" s="35"/>
      <c r="AD953" s="36">
        <f t="shared" si="316"/>
        <v>0</v>
      </c>
      <c r="AE953" s="38"/>
      <c r="AF953" s="36">
        <f t="shared" si="309"/>
        <v>0</v>
      </c>
      <c r="AG953" s="35"/>
      <c r="AH953" s="36">
        <f t="shared" si="317"/>
        <v>0</v>
      </c>
      <c r="AI953" s="38"/>
      <c r="AJ953" s="36">
        <f t="shared" si="310"/>
        <v>0</v>
      </c>
      <c r="AK953" s="35"/>
      <c r="AL953" s="36">
        <f t="shared" si="318"/>
        <v>0</v>
      </c>
      <c r="AM953" s="38"/>
      <c r="AN953" s="36">
        <f t="shared" si="311"/>
        <v>0</v>
      </c>
      <c r="AO953" s="35"/>
      <c r="AP953" s="38"/>
    </row>
    <row r="954" spans="1:42" ht="15.75" customHeight="1" x14ac:dyDescent="0.25">
      <c r="A954" s="37">
        <v>2018</v>
      </c>
      <c r="B954" s="35">
        <v>171900</v>
      </c>
      <c r="C954" s="34" t="s">
        <v>148</v>
      </c>
      <c r="D954" s="34" t="s">
        <v>123</v>
      </c>
      <c r="E954" s="35"/>
      <c r="F954" s="36">
        <f t="shared" si="301"/>
        <v>0</v>
      </c>
      <c r="G954" s="38"/>
      <c r="H954" s="36">
        <f t="shared" si="302"/>
        <v>0</v>
      </c>
      <c r="I954" s="35"/>
      <c r="J954" s="36">
        <f t="shared" si="303"/>
        <v>0</v>
      </c>
      <c r="K954" s="38"/>
      <c r="L954" s="36">
        <f t="shared" si="304"/>
        <v>0</v>
      </c>
      <c r="M954" s="35"/>
      <c r="N954" s="36">
        <f t="shared" si="312"/>
        <v>0</v>
      </c>
      <c r="O954" s="38"/>
      <c r="P954" s="36">
        <f t="shared" si="305"/>
        <v>0</v>
      </c>
      <c r="Q954" s="35"/>
      <c r="R954" s="36">
        <f t="shared" si="313"/>
        <v>0</v>
      </c>
      <c r="S954" s="38"/>
      <c r="T954" s="36">
        <f t="shared" si="306"/>
        <v>0</v>
      </c>
      <c r="U954" s="35"/>
      <c r="V954" s="36">
        <f t="shared" si="314"/>
        <v>0</v>
      </c>
      <c r="W954" s="38"/>
      <c r="X954" s="36">
        <f t="shared" si="307"/>
        <v>0</v>
      </c>
      <c r="Y954" s="35"/>
      <c r="Z954" s="36">
        <f t="shared" si="315"/>
        <v>0</v>
      </c>
      <c r="AA954" s="38"/>
      <c r="AB954" s="36">
        <f t="shared" si="308"/>
        <v>0</v>
      </c>
      <c r="AC954" s="35"/>
      <c r="AD954" s="36">
        <f t="shared" si="316"/>
        <v>0</v>
      </c>
      <c r="AE954" s="38"/>
      <c r="AF954" s="36">
        <f t="shared" si="309"/>
        <v>0</v>
      </c>
      <c r="AG954" s="35"/>
      <c r="AH954" s="36">
        <f t="shared" si="317"/>
        <v>0</v>
      </c>
      <c r="AI954" s="38"/>
      <c r="AJ954" s="36">
        <f t="shared" si="310"/>
        <v>0</v>
      </c>
      <c r="AK954" s="35"/>
      <c r="AL954" s="36">
        <f t="shared" si="318"/>
        <v>0</v>
      </c>
      <c r="AM954" s="38"/>
      <c r="AN954" s="36">
        <f t="shared" si="311"/>
        <v>0</v>
      </c>
      <c r="AO954" s="35"/>
      <c r="AP954" s="38"/>
    </row>
    <row r="955" spans="1:42" ht="15.75" customHeight="1" x14ac:dyDescent="0.25">
      <c r="A955" s="37">
        <v>2018</v>
      </c>
      <c r="B955" s="35">
        <v>172000</v>
      </c>
      <c r="C955" s="34" t="s">
        <v>145</v>
      </c>
      <c r="D955" s="34" t="s">
        <v>124</v>
      </c>
      <c r="E955" s="35"/>
      <c r="F955" s="36">
        <f t="shared" si="301"/>
        <v>0</v>
      </c>
      <c r="G955" s="38"/>
      <c r="H955" s="36">
        <f t="shared" si="302"/>
        <v>0</v>
      </c>
      <c r="I955" s="35"/>
      <c r="J955" s="36">
        <f t="shared" si="303"/>
        <v>0</v>
      </c>
      <c r="K955" s="38"/>
      <c r="L955" s="36">
        <f t="shared" si="304"/>
        <v>0</v>
      </c>
      <c r="M955" s="35"/>
      <c r="N955" s="36">
        <f t="shared" si="312"/>
        <v>0</v>
      </c>
      <c r="O955" s="38"/>
      <c r="P955" s="36">
        <f t="shared" si="305"/>
        <v>0</v>
      </c>
      <c r="Q955" s="35"/>
      <c r="R955" s="36">
        <f t="shared" si="313"/>
        <v>0</v>
      </c>
      <c r="S955" s="38"/>
      <c r="T955" s="36">
        <f t="shared" si="306"/>
        <v>0</v>
      </c>
      <c r="U955" s="35"/>
      <c r="V955" s="36">
        <f t="shared" si="314"/>
        <v>0</v>
      </c>
      <c r="W955" s="38"/>
      <c r="X955" s="36">
        <f t="shared" si="307"/>
        <v>0</v>
      </c>
      <c r="Y955" s="35"/>
      <c r="Z955" s="36">
        <f t="shared" si="315"/>
        <v>0</v>
      </c>
      <c r="AA955" s="38"/>
      <c r="AB955" s="36">
        <f t="shared" si="308"/>
        <v>0</v>
      </c>
      <c r="AC955" s="35"/>
      <c r="AD955" s="36">
        <f t="shared" si="316"/>
        <v>0</v>
      </c>
      <c r="AE955" s="38"/>
      <c r="AF955" s="36">
        <f t="shared" si="309"/>
        <v>0</v>
      </c>
      <c r="AG955" s="35"/>
      <c r="AH955" s="36">
        <f t="shared" si="317"/>
        <v>0</v>
      </c>
      <c r="AI955" s="38"/>
      <c r="AJ955" s="36">
        <f t="shared" si="310"/>
        <v>0</v>
      </c>
      <c r="AK955" s="35"/>
      <c r="AL955" s="36">
        <f t="shared" si="318"/>
        <v>0</v>
      </c>
      <c r="AM955" s="38"/>
      <c r="AN955" s="36">
        <f t="shared" si="311"/>
        <v>0</v>
      </c>
      <c r="AO955" s="35"/>
      <c r="AP955" s="38"/>
    </row>
    <row r="956" spans="1:42" ht="15.75" customHeight="1" x14ac:dyDescent="0.25">
      <c r="A956" s="37">
        <v>2018</v>
      </c>
      <c r="B956" s="35">
        <v>172010</v>
      </c>
      <c r="C956" s="34" t="s">
        <v>145</v>
      </c>
      <c r="D956" s="34" t="s">
        <v>125</v>
      </c>
      <c r="E956" s="35"/>
      <c r="F956" s="36">
        <f t="shared" si="301"/>
        <v>0</v>
      </c>
      <c r="G956" s="38"/>
      <c r="H956" s="36">
        <f t="shared" si="302"/>
        <v>0</v>
      </c>
      <c r="I956" s="35"/>
      <c r="J956" s="36">
        <f t="shared" si="303"/>
        <v>0</v>
      </c>
      <c r="K956" s="38"/>
      <c r="L956" s="36">
        <f t="shared" si="304"/>
        <v>0</v>
      </c>
      <c r="M956" s="35"/>
      <c r="N956" s="36">
        <f t="shared" si="312"/>
        <v>0</v>
      </c>
      <c r="O956" s="38"/>
      <c r="P956" s="36">
        <f t="shared" si="305"/>
        <v>0</v>
      </c>
      <c r="Q956" s="35"/>
      <c r="R956" s="36">
        <f t="shared" si="313"/>
        <v>0</v>
      </c>
      <c r="S956" s="38"/>
      <c r="T956" s="36">
        <f t="shared" si="306"/>
        <v>0</v>
      </c>
      <c r="U956" s="35"/>
      <c r="V956" s="36">
        <f t="shared" si="314"/>
        <v>0</v>
      </c>
      <c r="W956" s="38"/>
      <c r="X956" s="36">
        <f t="shared" si="307"/>
        <v>0</v>
      </c>
      <c r="Y956" s="35"/>
      <c r="Z956" s="36">
        <f t="shared" si="315"/>
        <v>0</v>
      </c>
      <c r="AA956" s="38"/>
      <c r="AB956" s="36">
        <f t="shared" si="308"/>
        <v>0</v>
      </c>
      <c r="AC956" s="35"/>
      <c r="AD956" s="36">
        <f t="shared" si="316"/>
        <v>0</v>
      </c>
      <c r="AE956" s="38"/>
      <c r="AF956" s="36">
        <f t="shared" si="309"/>
        <v>0</v>
      </c>
      <c r="AG956" s="35"/>
      <c r="AH956" s="36">
        <f t="shared" si="317"/>
        <v>0</v>
      </c>
      <c r="AI956" s="38"/>
      <c r="AJ956" s="36">
        <f t="shared" si="310"/>
        <v>0</v>
      </c>
      <c r="AK956" s="35"/>
      <c r="AL956" s="36">
        <f t="shared" si="318"/>
        <v>0</v>
      </c>
      <c r="AM956" s="38"/>
      <c r="AN956" s="36">
        <f t="shared" si="311"/>
        <v>0</v>
      </c>
      <c r="AO956" s="35"/>
      <c r="AP956" s="38"/>
    </row>
    <row r="957" spans="1:42" ht="15.75" customHeight="1" x14ac:dyDescent="0.25">
      <c r="A957" s="37">
        <v>2018</v>
      </c>
      <c r="B957" s="35">
        <v>172015</v>
      </c>
      <c r="C957" s="34" t="s">
        <v>148</v>
      </c>
      <c r="D957" s="34" t="s">
        <v>126</v>
      </c>
      <c r="E957" s="35"/>
      <c r="F957" s="36">
        <f t="shared" si="301"/>
        <v>0</v>
      </c>
      <c r="G957" s="38"/>
      <c r="H957" s="36">
        <f t="shared" si="302"/>
        <v>0</v>
      </c>
      <c r="I957" s="35"/>
      <c r="J957" s="36">
        <f t="shared" si="303"/>
        <v>0</v>
      </c>
      <c r="K957" s="38"/>
      <c r="L957" s="36">
        <f t="shared" si="304"/>
        <v>0</v>
      </c>
      <c r="M957" s="35"/>
      <c r="N957" s="36">
        <f t="shared" si="312"/>
        <v>0</v>
      </c>
      <c r="O957" s="38"/>
      <c r="P957" s="36">
        <f t="shared" si="305"/>
        <v>0</v>
      </c>
      <c r="Q957" s="35"/>
      <c r="R957" s="36">
        <f t="shared" si="313"/>
        <v>0</v>
      </c>
      <c r="S957" s="38"/>
      <c r="T957" s="36">
        <f t="shared" si="306"/>
        <v>0</v>
      </c>
      <c r="U957" s="35"/>
      <c r="V957" s="36">
        <f t="shared" si="314"/>
        <v>0</v>
      </c>
      <c r="W957" s="38"/>
      <c r="X957" s="36">
        <f t="shared" si="307"/>
        <v>0</v>
      </c>
      <c r="Y957" s="35"/>
      <c r="Z957" s="36">
        <f t="shared" si="315"/>
        <v>0</v>
      </c>
      <c r="AA957" s="38"/>
      <c r="AB957" s="36">
        <f t="shared" si="308"/>
        <v>0</v>
      </c>
      <c r="AC957" s="35"/>
      <c r="AD957" s="36">
        <f t="shared" si="316"/>
        <v>0</v>
      </c>
      <c r="AE957" s="38"/>
      <c r="AF957" s="36">
        <f t="shared" si="309"/>
        <v>0</v>
      </c>
      <c r="AG957" s="35"/>
      <c r="AH957" s="36">
        <f t="shared" si="317"/>
        <v>0</v>
      </c>
      <c r="AI957" s="38"/>
      <c r="AJ957" s="36">
        <f t="shared" si="310"/>
        <v>0</v>
      </c>
      <c r="AK957" s="35"/>
      <c r="AL957" s="36">
        <f t="shared" si="318"/>
        <v>0</v>
      </c>
      <c r="AM957" s="38"/>
      <c r="AN957" s="36">
        <f t="shared" si="311"/>
        <v>0</v>
      </c>
      <c r="AO957" s="35"/>
      <c r="AP957" s="38"/>
    </row>
    <row r="958" spans="1:42" ht="15.75" customHeight="1" x14ac:dyDescent="0.25">
      <c r="A958" s="37">
        <v>2018</v>
      </c>
      <c r="B958" s="35">
        <v>172020</v>
      </c>
      <c r="C958" s="34" t="s">
        <v>145</v>
      </c>
      <c r="D958" s="34" t="s">
        <v>127</v>
      </c>
      <c r="E958" s="35"/>
      <c r="F958" s="36">
        <f t="shared" si="301"/>
        <v>0</v>
      </c>
      <c r="G958" s="38"/>
      <c r="H958" s="36">
        <f t="shared" si="302"/>
        <v>0</v>
      </c>
      <c r="I958" s="35"/>
      <c r="J958" s="36">
        <f t="shared" si="303"/>
        <v>0</v>
      </c>
      <c r="K958" s="38"/>
      <c r="L958" s="36">
        <f t="shared" si="304"/>
        <v>0</v>
      </c>
      <c r="M958" s="35"/>
      <c r="N958" s="36">
        <f t="shared" si="312"/>
        <v>0</v>
      </c>
      <c r="O958" s="38"/>
      <c r="P958" s="36">
        <f t="shared" si="305"/>
        <v>0</v>
      </c>
      <c r="Q958" s="35"/>
      <c r="R958" s="36">
        <f t="shared" si="313"/>
        <v>0</v>
      </c>
      <c r="S958" s="38"/>
      <c r="T958" s="36">
        <f t="shared" si="306"/>
        <v>0</v>
      </c>
      <c r="U958" s="35"/>
      <c r="V958" s="36">
        <f t="shared" si="314"/>
        <v>0</v>
      </c>
      <c r="W958" s="38"/>
      <c r="X958" s="36">
        <f t="shared" si="307"/>
        <v>0</v>
      </c>
      <c r="Y958" s="35"/>
      <c r="Z958" s="36">
        <f t="shared" si="315"/>
        <v>0</v>
      </c>
      <c r="AA958" s="38"/>
      <c r="AB958" s="36">
        <f t="shared" si="308"/>
        <v>0</v>
      </c>
      <c r="AC958" s="35"/>
      <c r="AD958" s="36">
        <f t="shared" si="316"/>
        <v>0</v>
      </c>
      <c r="AE958" s="38"/>
      <c r="AF958" s="36">
        <f t="shared" si="309"/>
        <v>0</v>
      </c>
      <c r="AG958" s="35"/>
      <c r="AH958" s="36">
        <f t="shared" si="317"/>
        <v>0</v>
      </c>
      <c r="AI958" s="38"/>
      <c r="AJ958" s="36">
        <f t="shared" si="310"/>
        <v>0</v>
      </c>
      <c r="AK958" s="35"/>
      <c r="AL958" s="36">
        <f t="shared" si="318"/>
        <v>0</v>
      </c>
      <c r="AM958" s="38"/>
      <c r="AN958" s="36">
        <f t="shared" si="311"/>
        <v>0</v>
      </c>
      <c r="AO958" s="35"/>
      <c r="AP958" s="38"/>
    </row>
    <row r="959" spans="1:42" ht="15.75" customHeight="1" x14ac:dyDescent="0.25">
      <c r="A959" s="37">
        <v>2018</v>
      </c>
      <c r="B959" s="35">
        <v>172025</v>
      </c>
      <c r="C959" s="34" t="s">
        <v>146</v>
      </c>
      <c r="D959" s="34" t="s">
        <v>128</v>
      </c>
      <c r="E959" s="35"/>
      <c r="F959" s="36">
        <f t="shared" si="301"/>
        <v>0</v>
      </c>
      <c r="G959" s="38"/>
      <c r="H959" s="36">
        <f t="shared" si="302"/>
        <v>0</v>
      </c>
      <c r="I959" s="35"/>
      <c r="J959" s="36">
        <f t="shared" si="303"/>
        <v>0</v>
      </c>
      <c r="K959" s="38"/>
      <c r="L959" s="36">
        <f t="shared" si="304"/>
        <v>0</v>
      </c>
      <c r="M959" s="35"/>
      <c r="N959" s="36">
        <f t="shared" si="312"/>
        <v>0</v>
      </c>
      <c r="O959" s="38"/>
      <c r="P959" s="36">
        <f t="shared" si="305"/>
        <v>0</v>
      </c>
      <c r="Q959" s="35"/>
      <c r="R959" s="36">
        <f t="shared" si="313"/>
        <v>0</v>
      </c>
      <c r="S959" s="38"/>
      <c r="T959" s="36">
        <f t="shared" si="306"/>
        <v>0</v>
      </c>
      <c r="U959" s="35"/>
      <c r="V959" s="36">
        <f t="shared" si="314"/>
        <v>0</v>
      </c>
      <c r="W959" s="38"/>
      <c r="X959" s="36">
        <f t="shared" si="307"/>
        <v>0</v>
      </c>
      <c r="Y959" s="35"/>
      <c r="Z959" s="36">
        <f t="shared" si="315"/>
        <v>0</v>
      </c>
      <c r="AA959" s="38"/>
      <c r="AB959" s="36">
        <f t="shared" si="308"/>
        <v>0</v>
      </c>
      <c r="AC959" s="35"/>
      <c r="AD959" s="36">
        <f t="shared" si="316"/>
        <v>0</v>
      </c>
      <c r="AE959" s="38"/>
      <c r="AF959" s="36">
        <f t="shared" si="309"/>
        <v>0</v>
      </c>
      <c r="AG959" s="35"/>
      <c r="AH959" s="36">
        <f t="shared" si="317"/>
        <v>0</v>
      </c>
      <c r="AI959" s="38"/>
      <c r="AJ959" s="36">
        <f t="shared" si="310"/>
        <v>0</v>
      </c>
      <c r="AK959" s="35"/>
      <c r="AL959" s="36">
        <f t="shared" si="318"/>
        <v>0</v>
      </c>
      <c r="AM959" s="38"/>
      <c r="AN959" s="36">
        <f t="shared" si="311"/>
        <v>0</v>
      </c>
      <c r="AO959" s="35"/>
      <c r="AP959" s="38"/>
    </row>
    <row r="960" spans="1:42" ht="15.75" customHeight="1" x14ac:dyDescent="0.25">
      <c r="A960" s="37">
        <v>2018</v>
      </c>
      <c r="B960" s="35">
        <v>172030</v>
      </c>
      <c r="C960" s="34" t="s">
        <v>145</v>
      </c>
      <c r="D960" s="34" t="s">
        <v>129</v>
      </c>
      <c r="E960" s="35"/>
      <c r="F960" s="36">
        <f t="shared" si="301"/>
        <v>0</v>
      </c>
      <c r="G960" s="38"/>
      <c r="H960" s="36">
        <f t="shared" si="302"/>
        <v>0</v>
      </c>
      <c r="I960" s="35"/>
      <c r="J960" s="36">
        <f t="shared" si="303"/>
        <v>0</v>
      </c>
      <c r="K960" s="38"/>
      <c r="L960" s="36">
        <f t="shared" si="304"/>
        <v>0</v>
      </c>
      <c r="M960" s="35"/>
      <c r="N960" s="36">
        <f t="shared" si="312"/>
        <v>0</v>
      </c>
      <c r="O960" s="38"/>
      <c r="P960" s="36">
        <f t="shared" si="305"/>
        <v>0</v>
      </c>
      <c r="Q960" s="35"/>
      <c r="R960" s="36">
        <f t="shared" si="313"/>
        <v>0</v>
      </c>
      <c r="S960" s="38"/>
      <c r="T960" s="36">
        <f t="shared" si="306"/>
        <v>0</v>
      </c>
      <c r="U960" s="35"/>
      <c r="V960" s="36">
        <f t="shared" si="314"/>
        <v>0</v>
      </c>
      <c r="W960" s="38"/>
      <c r="X960" s="36">
        <f t="shared" si="307"/>
        <v>0</v>
      </c>
      <c r="Y960" s="35"/>
      <c r="Z960" s="36">
        <f t="shared" si="315"/>
        <v>0</v>
      </c>
      <c r="AA960" s="38"/>
      <c r="AB960" s="36">
        <f t="shared" si="308"/>
        <v>0</v>
      </c>
      <c r="AC960" s="35"/>
      <c r="AD960" s="36">
        <f t="shared" si="316"/>
        <v>0</v>
      </c>
      <c r="AE960" s="38"/>
      <c r="AF960" s="36">
        <f t="shared" si="309"/>
        <v>0</v>
      </c>
      <c r="AG960" s="35"/>
      <c r="AH960" s="36">
        <f t="shared" si="317"/>
        <v>0</v>
      </c>
      <c r="AI960" s="38"/>
      <c r="AJ960" s="36">
        <f t="shared" si="310"/>
        <v>0</v>
      </c>
      <c r="AK960" s="35"/>
      <c r="AL960" s="36">
        <f t="shared" si="318"/>
        <v>0</v>
      </c>
      <c r="AM960" s="38"/>
      <c r="AN960" s="36">
        <f t="shared" si="311"/>
        <v>0</v>
      </c>
      <c r="AO960" s="35"/>
      <c r="AP960" s="38"/>
    </row>
    <row r="961" spans="1:42" ht="15.75" customHeight="1" x14ac:dyDescent="0.25">
      <c r="A961" s="37">
        <v>2018</v>
      </c>
      <c r="B961" s="35">
        <v>172049</v>
      </c>
      <c r="C961" s="34" t="s">
        <v>146</v>
      </c>
      <c r="D961" s="34" t="s">
        <v>130</v>
      </c>
      <c r="E961" s="35"/>
      <c r="F961" s="36">
        <f t="shared" si="301"/>
        <v>0</v>
      </c>
      <c r="G961" s="38"/>
      <c r="H961" s="36">
        <f t="shared" si="302"/>
        <v>0</v>
      </c>
      <c r="I961" s="35"/>
      <c r="J961" s="36">
        <f t="shared" si="303"/>
        <v>0</v>
      </c>
      <c r="K961" s="38"/>
      <c r="L961" s="36">
        <f t="shared" si="304"/>
        <v>0</v>
      </c>
      <c r="M961" s="35"/>
      <c r="N961" s="36">
        <f t="shared" si="312"/>
        <v>0</v>
      </c>
      <c r="O961" s="38"/>
      <c r="P961" s="36">
        <f t="shared" si="305"/>
        <v>0</v>
      </c>
      <c r="Q961" s="35"/>
      <c r="R961" s="36">
        <f t="shared" si="313"/>
        <v>0</v>
      </c>
      <c r="S961" s="38"/>
      <c r="T961" s="36">
        <f t="shared" si="306"/>
        <v>0</v>
      </c>
      <c r="U961" s="35"/>
      <c r="V961" s="36">
        <f t="shared" si="314"/>
        <v>0</v>
      </c>
      <c r="W961" s="38"/>
      <c r="X961" s="36">
        <f t="shared" si="307"/>
        <v>0</v>
      </c>
      <c r="Y961" s="35"/>
      <c r="Z961" s="36">
        <f t="shared" si="315"/>
        <v>0</v>
      </c>
      <c r="AA961" s="38"/>
      <c r="AB961" s="36">
        <f t="shared" si="308"/>
        <v>0</v>
      </c>
      <c r="AC961" s="35"/>
      <c r="AD961" s="36">
        <f t="shared" si="316"/>
        <v>0</v>
      </c>
      <c r="AE961" s="38"/>
      <c r="AF961" s="36">
        <f t="shared" si="309"/>
        <v>0</v>
      </c>
      <c r="AG961" s="35"/>
      <c r="AH961" s="36">
        <f t="shared" si="317"/>
        <v>0</v>
      </c>
      <c r="AI961" s="38"/>
      <c r="AJ961" s="36">
        <f t="shared" si="310"/>
        <v>0</v>
      </c>
      <c r="AK961" s="35"/>
      <c r="AL961" s="36">
        <f t="shared" si="318"/>
        <v>0</v>
      </c>
      <c r="AM961" s="38"/>
      <c r="AN961" s="36">
        <f t="shared" si="311"/>
        <v>0</v>
      </c>
      <c r="AO961" s="35"/>
      <c r="AP961" s="38"/>
    </row>
    <row r="962" spans="1:42" ht="15.75" customHeight="1" x14ac:dyDescent="0.25">
      <c r="A962" s="37">
        <v>2018</v>
      </c>
      <c r="B962" s="35">
        <v>172065</v>
      </c>
      <c r="C962" s="34" t="s">
        <v>151</v>
      </c>
      <c r="D962" s="34" t="s">
        <v>131</v>
      </c>
      <c r="E962" s="35"/>
      <c r="F962" s="36">
        <f t="shared" ref="F962:F1025" si="319">IFERROR(E962/$AO962,0)</f>
        <v>0</v>
      </c>
      <c r="G962" s="38"/>
      <c r="H962" s="36">
        <f t="shared" ref="H962:H1025" si="320">IFERROR(G962/$AP962,0)</f>
        <v>0</v>
      </c>
      <c r="I962" s="35"/>
      <c r="J962" s="36">
        <f t="shared" ref="J962:J1025" si="321">IFERROR(I962/$AO962,0)</f>
        <v>0</v>
      </c>
      <c r="K962" s="38"/>
      <c r="L962" s="36">
        <f t="shared" ref="L962:L1025" si="322">IFERROR(K962/$AP962,0)</f>
        <v>0</v>
      </c>
      <c r="M962" s="35"/>
      <c r="N962" s="36">
        <f t="shared" si="312"/>
        <v>0</v>
      </c>
      <c r="O962" s="38"/>
      <c r="P962" s="36">
        <f t="shared" ref="P962:P1025" si="323">IFERROR(O962/$AP962,0)</f>
        <v>0</v>
      </c>
      <c r="Q962" s="35"/>
      <c r="R962" s="36">
        <f t="shared" si="313"/>
        <v>0</v>
      </c>
      <c r="S962" s="38"/>
      <c r="T962" s="36">
        <f t="shared" ref="T962:T1025" si="324">IFERROR(S962/$AP962,0)</f>
        <v>0</v>
      </c>
      <c r="U962" s="35"/>
      <c r="V962" s="36">
        <f t="shared" si="314"/>
        <v>0</v>
      </c>
      <c r="W962" s="38"/>
      <c r="X962" s="36">
        <f t="shared" ref="X962:X1025" si="325">IFERROR(W962/$AP962,0)</f>
        <v>0</v>
      </c>
      <c r="Y962" s="35"/>
      <c r="Z962" s="36">
        <f t="shared" si="315"/>
        <v>0</v>
      </c>
      <c r="AA962" s="38"/>
      <c r="AB962" s="36">
        <f t="shared" ref="AB962:AB1025" si="326">IFERROR(AA962/$AP962,0)</f>
        <v>0</v>
      </c>
      <c r="AC962" s="35"/>
      <c r="AD962" s="36">
        <f t="shared" si="316"/>
        <v>0</v>
      </c>
      <c r="AE962" s="38"/>
      <c r="AF962" s="36">
        <f t="shared" ref="AF962:AF1025" si="327">IFERROR(AE962/$AP962,0)</f>
        <v>0</v>
      </c>
      <c r="AG962" s="35"/>
      <c r="AH962" s="36">
        <f t="shared" si="317"/>
        <v>0</v>
      </c>
      <c r="AI962" s="38"/>
      <c r="AJ962" s="36">
        <f t="shared" ref="AJ962:AJ1025" si="328">IFERROR(AI962/$AP962,0)</f>
        <v>0</v>
      </c>
      <c r="AK962" s="35"/>
      <c r="AL962" s="36">
        <f t="shared" si="318"/>
        <v>0</v>
      </c>
      <c r="AM962" s="38"/>
      <c r="AN962" s="36">
        <f t="shared" ref="AN962:AN1025" si="329">IFERROR(AM962/$AP962,0)</f>
        <v>0</v>
      </c>
      <c r="AO962" s="35"/>
      <c r="AP962" s="38"/>
    </row>
    <row r="963" spans="1:42" ht="15.75" customHeight="1" x14ac:dyDescent="0.25">
      <c r="A963" s="37">
        <v>2018</v>
      </c>
      <c r="B963" s="35">
        <v>172080</v>
      </c>
      <c r="C963" s="34" t="s">
        <v>145</v>
      </c>
      <c r="D963" s="34" t="s">
        <v>132</v>
      </c>
      <c r="E963" s="35"/>
      <c r="F963" s="36">
        <f t="shared" si="319"/>
        <v>0</v>
      </c>
      <c r="G963" s="38"/>
      <c r="H963" s="36">
        <f t="shared" si="320"/>
        <v>0</v>
      </c>
      <c r="I963" s="35"/>
      <c r="J963" s="36">
        <f t="shared" si="321"/>
        <v>0</v>
      </c>
      <c r="K963" s="38"/>
      <c r="L963" s="36">
        <f t="shared" si="322"/>
        <v>0</v>
      </c>
      <c r="M963" s="35"/>
      <c r="N963" s="36">
        <f t="shared" si="312"/>
        <v>0</v>
      </c>
      <c r="O963" s="38"/>
      <c r="P963" s="36">
        <f t="shared" si="323"/>
        <v>0</v>
      </c>
      <c r="Q963" s="35"/>
      <c r="R963" s="36">
        <f t="shared" si="313"/>
        <v>0</v>
      </c>
      <c r="S963" s="38"/>
      <c r="T963" s="36">
        <f t="shared" si="324"/>
        <v>0</v>
      </c>
      <c r="U963" s="35"/>
      <c r="V963" s="36">
        <f t="shared" si="314"/>
        <v>0</v>
      </c>
      <c r="W963" s="38"/>
      <c r="X963" s="36">
        <f t="shared" si="325"/>
        <v>0</v>
      </c>
      <c r="Y963" s="35"/>
      <c r="Z963" s="36">
        <f t="shared" si="315"/>
        <v>0</v>
      </c>
      <c r="AA963" s="38"/>
      <c r="AB963" s="36">
        <f t="shared" si="326"/>
        <v>0</v>
      </c>
      <c r="AC963" s="35"/>
      <c r="AD963" s="36">
        <f t="shared" si="316"/>
        <v>0</v>
      </c>
      <c r="AE963" s="38"/>
      <c r="AF963" s="36">
        <f t="shared" si="327"/>
        <v>0</v>
      </c>
      <c r="AG963" s="35"/>
      <c r="AH963" s="36">
        <f t="shared" si="317"/>
        <v>0</v>
      </c>
      <c r="AI963" s="38"/>
      <c r="AJ963" s="36">
        <f t="shared" si="328"/>
        <v>0</v>
      </c>
      <c r="AK963" s="35"/>
      <c r="AL963" s="36">
        <f t="shared" si="318"/>
        <v>0</v>
      </c>
      <c r="AM963" s="38"/>
      <c r="AN963" s="36">
        <f t="shared" si="329"/>
        <v>0</v>
      </c>
      <c r="AO963" s="35"/>
      <c r="AP963" s="38"/>
    </row>
    <row r="964" spans="1:42" ht="15.75" customHeight="1" x14ac:dyDescent="0.25">
      <c r="A964" s="37">
        <v>2018</v>
      </c>
      <c r="B964" s="35">
        <v>172085</v>
      </c>
      <c r="C964" s="34" t="s">
        <v>146</v>
      </c>
      <c r="D964" s="34" t="s">
        <v>133</v>
      </c>
      <c r="E964" s="35"/>
      <c r="F964" s="36">
        <f t="shared" si="319"/>
        <v>0</v>
      </c>
      <c r="G964" s="38"/>
      <c r="H964" s="36">
        <f t="shared" si="320"/>
        <v>0</v>
      </c>
      <c r="I964" s="35"/>
      <c r="J964" s="36">
        <f t="shared" si="321"/>
        <v>0</v>
      </c>
      <c r="K964" s="38"/>
      <c r="L964" s="36">
        <f t="shared" si="322"/>
        <v>0</v>
      </c>
      <c r="M964" s="35"/>
      <c r="N964" s="36">
        <f t="shared" si="312"/>
        <v>0</v>
      </c>
      <c r="O964" s="38"/>
      <c r="P964" s="36">
        <f t="shared" si="323"/>
        <v>0</v>
      </c>
      <c r="Q964" s="35"/>
      <c r="R964" s="36">
        <f t="shared" si="313"/>
        <v>0</v>
      </c>
      <c r="S964" s="38"/>
      <c r="T964" s="36">
        <f t="shared" si="324"/>
        <v>0</v>
      </c>
      <c r="U964" s="35"/>
      <c r="V964" s="36">
        <f t="shared" si="314"/>
        <v>0</v>
      </c>
      <c r="W964" s="38"/>
      <c r="X964" s="36">
        <f t="shared" si="325"/>
        <v>0</v>
      </c>
      <c r="Y964" s="35"/>
      <c r="Z964" s="36">
        <f t="shared" si="315"/>
        <v>0</v>
      </c>
      <c r="AA964" s="38"/>
      <c r="AB964" s="36">
        <f t="shared" si="326"/>
        <v>0</v>
      </c>
      <c r="AC964" s="35"/>
      <c r="AD964" s="36">
        <f t="shared" si="316"/>
        <v>0</v>
      </c>
      <c r="AE964" s="38"/>
      <c r="AF964" s="36">
        <f t="shared" si="327"/>
        <v>0</v>
      </c>
      <c r="AG964" s="35"/>
      <c r="AH964" s="36">
        <f t="shared" si="317"/>
        <v>0</v>
      </c>
      <c r="AI964" s="38"/>
      <c r="AJ964" s="36">
        <f t="shared" si="328"/>
        <v>0</v>
      </c>
      <c r="AK964" s="35"/>
      <c r="AL964" s="36">
        <f t="shared" si="318"/>
        <v>0</v>
      </c>
      <c r="AM964" s="38"/>
      <c r="AN964" s="36">
        <f t="shared" si="329"/>
        <v>0</v>
      </c>
      <c r="AO964" s="35"/>
      <c r="AP964" s="38"/>
    </row>
    <row r="965" spans="1:42" ht="15.75" customHeight="1" x14ac:dyDescent="0.25">
      <c r="A965" s="37">
        <v>2018</v>
      </c>
      <c r="B965" s="35">
        <v>170825</v>
      </c>
      <c r="C965" s="34" t="s">
        <v>148</v>
      </c>
      <c r="D965" s="34" t="s">
        <v>134</v>
      </c>
      <c r="E965" s="35"/>
      <c r="F965" s="36">
        <f t="shared" si="319"/>
        <v>0</v>
      </c>
      <c r="G965" s="38"/>
      <c r="H965" s="36">
        <f t="shared" si="320"/>
        <v>0</v>
      </c>
      <c r="I965" s="35"/>
      <c r="J965" s="36">
        <f t="shared" si="321"/>
        <v>0</v>
      </c>
      <c r="K965" s="38"/>
      <c r="L965" s="36">
        <f t="shared" si="322"/>
        <v>0</v>
      </c>
      <c r="M965" s="35"/>
      <c r="N965" s="36">
        <f t="shared" si="312"/>
        <v>0</v>
      </c>
      <c r="O965" s="38"/>
      <c r="P965" s="36">
        <f t="shared" si="323"/>
        <v>0</v>
      </c>
      <c r="Q965" s="35"/>
      <c r="R965" s="36">
        <f t="shared" si="313"/>
        <v>0</v>
      </c>
      <c r="S965" s="38"/>
      <c r="T965" s="36">
        <f t="shared" si="324"/>
        <v>0</v>
      </c>
      <c r="U965" s="35"/>
      <c r="V965" s="36">
        <f t="shared" si="314"/>
        <v>0</v>
      </c>
      <c r="W965" s="38"/>
      <c r="X965" s="36">
        <f t="shared" si="325"/>
        <v>0</v>
      </c>
      <c r="Y965" s="35"/>
      <c r="Z965" s="36">
        <f t="shared" si="315"/>
        <v>0</v>
      </c>
      <c r="AA965" s="38"/>
      <c r="AB965" s="36">
        <f t="shared" si="326"/>
        <v>0</v>
      </c>
      <c r="AC965" s="35"/>
      <c r="AD965" s="36">
        <f t="shared" si="316"/>
        <v>0</v>
      </c>
      <c r="AE965" s="38"/>
      <c r="AF965" s="36">
        <f t="shared" si="327"/>
        <v>0</v>
      </c>
      <c r="AG965" s="35"/>
      <c r="AH965" s="36">
        <f t="shared" si="317"/>
        <v>0</v>
      </c>
      <c r="AI965" s="38"/>
      <c r="AJ965" s="36">
        <f t="shared" si="328"/>
        <v>0</v>
      </c>
      <c r="AK965" s="35"/>
      <c r="AL965" s="36">
        <f t="shared" si="318"/>
        <v>0</v>
      </c>
      <c r="AM965" s="38"/>
      <c r="AN965" s="36">
        <f t="shared" si="329"/>
        <v>0</v>
      </c>
      <c r="AO965" s="35"/>
      <c r="AP965" s="38"/>
    </row>
    <row r="966" spans="1:42" ht="15.75" customHeight="1" x14ac:dyDescent="0.25">
      <c r="A966" s="37">
        <v>2018</v>
      </c>
      <c r="B966" s="35">
        <v>172090</v>
      </c>
      <c r="C966" s="34" t="s">
        <v>147</v>
      </c>
      <c r="D966" s="34" t="s">
        <v>135</v>
      </c>
      <c r="E966" s="35"/>
      <c r="F966" s="36">
        <f t="shared" si="319"/>
        <v>0</v>
      </c>
      <c r="G966" s="38"/>
      <c r="H966" s="36">
        <f t="shared" si="320"/>
        <v>0</v>
      </c>
      <c r="I966" s="35"/>
      <c r="J966" s="36">
        <f t="shared" si="321"/>
        <v>0</v>
      </c>
      <c r="K966" s="38"/>
      <c r="L966" s="36">
        <f t="shared" si="322"/>
        <v>0</v>
      </c>
      <c r="M966" s="35"/>
      <c r="N966" s="36">
        <f t="shared" si="312"/>
        <v>0</v>
      </c>
      <c r="O966" s="38"/>
      <c r="P966" s="36">
        <f t="shared" si="323"/>
        <v>0</v>
      </c>
      <c r="Q966" s="35"/>
      <c r="R966" s="36">
        <f t="shared" si="313"/>
        <v>0</v>
      </c>
      <c r="S966" s="38"/>
      <c r="T966" s="36">
        <f t="shared" si="324"/>
        <v>0</v>
      </c>
      <c r="U966" s="35"/>
      <c r="V966" s="36">
        <f t="shared" si="314"/>
        <v>0</v>
      </c>
      <c r="W966" s="38"/>
      <c r="X966" s="36">
        <f t="shared" si="325"/>
        <v>0</v>
      </c>
      <c r="Y966" s="35"/>
      <c r="Z966" s="36">
        <f t="shared" si="315"/>
        <v>0</v>
      </c>
      <c r="AA966" s="38"/>
      <c r="AB966" s="36">
        <f t="shared" si="326"/>
        <v>0</v>
      </c>
      <c r="AC966" s="35"/>
      <c r="AD966" s="36">
        <f t="shared" si="316"/>
        <v>0</v>
      </c>
      <c r="AE966" s="38"/>
      <c r="AF966" s="36">
        <f t="shared" si="327"/>
        <v>0</v>
      </c>
      <c r="AG966" s="35"/>
      <c r="AH966" s="36">
        <f t="shared" si="317"/>
        <v>0</v>
      </c>
      <c r="AI966" s="38"/>
      <c r="AJ966" s="36">
        <f t="shared" si="328"/>
        <v>0</v>
      </c>
      <c r="AK966" s="35"/>
      <c r="AL966" s="36">
        <f t="shared" si="318"/>
        <v>0</v>
      </c>
      <c r="AM966" s="38"/>
      <c r="AN966" s="36">
        <f t="shared" si="329"/>
        <v>0</v>
      </c>
      <c r="AO966" s="35"/>
      <c r="AP966" s="38"/>
    </row>
    <row r="967" spans="1:42" ht="15.75" customHeight="1" x14ac:dyDescent="0.25">
      <c r="A967" s="37">
        <v>2018</v>
      </c>
      <c r="B967" s="35">
        <v>172093</v>
      </c>
      <c r="C967" s="34" t="s">
        <v>147</v>
      </c>
      <c r="D967" s="34" t="s">
        <v>136</v>
      </c>
      <c r="E967" s="35"/>
      <c r="F967" s="36">
        <f t="shared" si="319"/>
        <v>0</v>
      </c>
      <c r="G967" s="38"/>
      <c r="H967" s="36">
        <f t="shared" si="320"/>
        <v>0</v>
      </c>
      <c r="I967" s="35"/>
      <c r="J967" s="36">
        <f t="shared" si="321"/>
        <v>0</v>
      </c>
      <c r="K967" s="38"/>
      <c r="L967" s="36">
        <f t="shared" si="322"/>
        <v>0</v>
      </c>
      <c r="M967" s="35"/>
      <c r="N967" s="36">
        <f t="shared" si="312"/>
        <v>0</v>
      </c>
      <c r="O967" s="38"/>
      <c r="P967" s="36">
        <f t="shared" si="323"/>
        <v>0</v>
      </c>
      <c r="Q967" s="35"/>
      <c r="R967" s="36">
        <f t="shared" si="313"/>
        <v>0</v>
      </c>
      <c r="S967" s="38"/>
      <c r="T967" s="36">
        <f t="shared" si="324"/>
        <v>0</v>
      </c>
      <c r="U967" s="35"/>
      <c r="V967" s="36">
        <f t="shared" si="314"/>
        <v>0</v>
      </c>
      <c r="W967" s="38"/>
      <c r="X967" s="36">
        <f t="shared" si="325"/>
        <v>0</v>
      </c>
      <c r="Y967" s="35"/>
      <c r="Z967" s="36">
        <f t="shared" si="315"/>
        <v>0</v>
      </c>
      <c r="AA967" s="38"/>
      <c r="AB967" s="36">
        <f t="shared" si="326"/>
        <v>0</v>
      </c>
      <c r="AC967" s="35"/>
      <c r="AD967" s="36">
        <f t="shared" si="316"/>
        <v>0</v>
      </c>
      <c r="AE967" s="38"/>
      <c r="AF967" s="36">
        <f t="shared" si="327"/>
        <v>0</v>
      </c>
      <c r="AG967" s="35"/>
      <c r="AH967" s="36">
        <f t="shared" si="317"/>
        <v>0</v>
      </c>
      <c r="AI967" s="38"/>
      <c r="AJ967" s="36">
        <f t="shared" si="328"/>
        <v>0</v>
      </c>
      <c r="AK967" s="35"/>
      <c r="AL967" s="36">
        <f t="shared" si="318"/>
        <v>0</v>
      </c>
      <c r="AM967" s="38"/>
      <c r="AN967" s="36">
        <f t="shared" si="329"/>
        <v>0</v>
      </c>
      <c r="AO967" s="35"/>
      <c r="AP967" s="38"/>
    </row>
    <row r="968" spans="1:42" ht="15.75" customHeight="1" x14ac:dyDescent="0.25">
      <c r="A968" s="37">
        <v>2018</v>
      </c>
      <c r="B968" s="35">
        <v>172097</v>
      </c>
      <c r="C968" s="34" t="s">
        <v>146</v>
      </c>
      <c r="D968" s="34" t="s">
        <v>137</v>
      </c>
      <c r="E968" s="35"/>
      <c r="F968" s="36">
        <f t="shared" si="319"/>
        <v>0</v>
      </c>
      <c r="G968" s="38"/>
      <c r="H968" s="36">
        <f t="shared" si="320"/>
        <v>0</v>
      </c>
      <c r="I968" s="35"/>
      <c r="J968" s="36">
        <f t="shared" si="321"/>
        <v>0</v>
      </c>
      <c r="K968" s="38"/>
      <c r="L968" s="36">
        <f t="shared" si="322"/>
        <v>0</v>
      </c>
      <c r="M968" s="35"/>
      <c r="N968" s="36">
        <f t="shared" si="312"/>
        <v>0</v>
      </c>
      <c r="O968" s="38"/>
      <c r="P968" s="36">
        <f t="shared" si="323"/>
        <v>0</v>
      </c>
      <c r="Q968" s="35"/>
      <c r="R968" s="36">
        <f t="shared" si="313"/>
        <v>0</v>
      </c>
      <c r="S968" s="38"/>
      <c r="T968" s="36">
        <f t="shared" si="324"/>
        <v>0</v>
      </c>
      <c r="U968" s="35"/>
      <c r="V968" s="36">
        <f t="shared" si="314"/>
        <v>0</v>
      </c>
      <c r="W968" s="38"/>
      <c r="X968" s="36">
        <f t="shared" si="325"/>
        <v>0</v>
      </c>
      <c r="Y968" s="35"/>
      <c r="Z968" s="36">
        <f t="shared" si="315"/>
        <v>0</v>
      </c>
      <c r="AA968" s="38"/>
      <c r="AB968" s="36">
        <f t="shared" si="326"/>
        <v>0</v>
      </c>
      <c r="AC968" s="35"/>
      <c r="AD968" s="36">
        <f t="shared" si="316"/>
        <v>0</v>
      </c>
      <c r="AE968" s="38"/>
      <c r="AF968" s="36">
        <f t="shared" si="327"/>
        <v>0</v>
      </c>
      <c r="AG968" s="35"/>
      <c r="AH968" s="36">
        <f t="shared" si="317"/>
        <v>0</v>
      </c>
      <c r="AI968" s="38"/>
      <c r="AJ968" s="36">
        <f t="shared" si="328"/>
        <v>0</v>
      </c>
      <c r="AK968" s="35"/>
      <c r="AL968" s="36">
        <f t="shared" si="318"/>
        <v>0</v>
      </c>
      <c r="AM968" s="38"/>
      <c r="AN968" s="36">
        <f t="shared" si="329"/>
        <v>0</v>
      </c>
      <c r="AO968" s="35"/>
      <c r="AP968" s="38"/>
    </row>
    <row r="969" spans="1:42" ht="15.75" customHeight="1" x14ac:dyDescent="0.25">
      <c r="A969" s="37">
        <v>2018</v>
      </c>
      <c r="B969" s="35">
        <v>172110</v>
      </c>
      <c r="C969" s="34" t="s">
        <v>148</v>
      </c>
      <c r="D969" s="34" t="s">
        <v>138</v>
      </c>
      <c r="E969" s="35"/>
      <c r="F969" s="36">
        <f t="shared" si="319"/>
        <v>0</v>
      </c>
      <c r="G969" s="38"/>
      <c r="H969" s="36">
        <f t="shared" si="320"/>
        <v>0</v>
      </c>
      <c r="I969" s="35"/>
      <c r="J969" s="36">
        <f t="shared" si="321"/>
        <v>0</v>
      </c>
      <c r="K969" s="38"/>
      <c r="L969" s="36">
        <f t="shared" si="322"/>
        <v>0</v>
      </c>
      <c r="M969" s="35"/>
      <c r="N969" s="36">
        <f t="shared" si="312"/>
        <v>0</v>
      </c>
      <c r="O969" s="38"/>
      <c r="P969" s="36">
        <f t="shared" si="323"/>
        <v>0</v>
      </c>
      <c r="Q969" s="35"/>
      <c r="R969" s="36">
        <f t="shared" si="313"/>
        <v>0</v>
      </c>
      <c r="S969" s="38"/>
      <c r="T969" s="36">
        <f t="shared" si="324"/>
        <v>0</v>
      </c>
      <c r="U969" s="35"/>
      <c r="V969" s="36">
        <f t="shared" si="314"/>
        <v>0</v>
      </c>
      <c r="W969" s="38"/>
      <c r="X969" s="36">
        <f t="shared" si="325"/>
        <v>0</v>
      </c>
      <c r="Y969" s="35"/>
      <c r="Z969" s="36">
        <f t="shared" si="315"/>
        <v>0</v>
      </c>
      <c r="AA969" s="38"/>
      <c r="AB969" s="36">
        <f t="shared" si="326"/>
        <v>0</v>
      </c>
      <c r="AC969" s="35"/>
      <c r="AD969" s="36">
        <f t="shared" si="316"/>
        <v>0</v>
      </c>
      <c r="AE969" s="38"/>
      <c r="AF969" s="36">
        <f t="shared" si="327"/>
        <v>0</v>
      </c>
      <c r="AG969" s="35"/>
      <c r="AH969" s="36">
        <f t="shared" si="317"/>
        <v>0</v>
      </c>
      <c r="AI969" s="38"/>
      <c r="AJ969" s="36">
        <f t="shared" si="328"/>
        <v>0</v>
      </c>
      <c r="AK969" s="35"/>
      <c r="AL969" s="36">
        <f t="shared" si="318"/>
        <v>0</v>
      </c>
      <c r="AM969" s="38"/>
      <c r="AN969" s="36">
        <f t="shared" si="329"/>
        <v>0</v>
      </c>
      <c r="AO969" s="35"/>
      <c r="AP969" s="38"/>
    </row>
    <row r="970" spans="1:42" ht="15.75" customHeight="1" x14ac:dyDescent="0.25">
      <c r="A970" s="37">
        <v>2018</v>
      </c>
      <c r="B970" s="35">
        <v>172120</v>
      </c>
      <c r="C970" s="34" t="s">
        <v>145</v>
      </c>
      <c r="D970" s="34" t="s">
        <v>139</v>
      </c>
      <c r="E970" s="35"/>
      <c r="F970" s="36">
        <f t="shared" si="319"/>
        <v>0</v>
      </c>
      <c r="G970" s="38"/>
      <c r="H970" s="36">
        <f t="shared" si="320"/>
        <v>0</v>
      </c>
      <c r="I970" s="35"/>
      <c r="J970" s="36">
        <f t="shared" si="321"/>
        <v>0</v>
      </c>
      <c r="K970" s="38"/>
      <c r="L970" s="36">
        <f t="shared" si="322"/>
        <v>0</v>
      </c>
      <c r="M970" s="35"/>
      <c r="N970" s="36">
        <f t="shared" si="312"/>
        <v>0</v>
      </c>
      <c r="O970" s="39"/>
      <c r="P970" s="36">
        <f t="shared" si="323"/>
        <v>0</v>
      </c>
      <c r="Q970" s="35"/>
      <c r="R970" s="36">
        <f t="shared" si="313"/>
        <v>0</v>
      </c>
      <c r="S970" s="38"/>
      <c r="T970" s="36">
        <f t="shared" si="324"/>
        <v>0</v>
      </c>
      <c r="U970" s="35"/>
      <c r="V970" s="36">
        <f t="shared" si="314"/>
        <v>0</v>
      </c>
      <c r="W970" s="38"/>
      <c r="X970" s="36">
        <f t="shared" si="325"/>
        <v>0</v>
      </c>
      <c r="Y970" s="35"/>
      <c r="Z970" s="36">
        <f t="shared" si="315"/>
        <v>0</v>
      </c>
      <c r="AA970" s="38"/>
      <c r="AB970" s="36">
        <f t="shared" si="326"/>
        <v>0</v>
      </c>
      <c r="AC970" s="35"/>
      <c r="AD970" s="36">
        <f t="shared" si="316"/>
        <v>0</v>
      </c>
      <c r="AE970" s="38"/>
      <c r="AF970" s="36">
        <f t="shared" si="327"/>
        <v>0</v>
      </c>
      <c r="AG970" s="35"/>
      <c r="AH970" s="36">
        <f t="shared" si="317"/>
        <v>0</v>
      </c>
      <c r="AI970" s="38"/>
      <c r="AJ970" s="36">
        <f t="shared" si="328"/>
        <v>0</v>
      </c>
      <c r="AK970" s="35"/>
      <c r="AL970" s="36">
        <f t="shared" si="318"/>
        <v>0</v>
      </c>
      <c r="AM970" s="38"/>
      <c r="AN970" s="36">
        <f t="shared" si="329"/>
        <v>0</v>
      </c>
      <c r="AO970" s="35"/>
      <c r="AP970" s="39"/>
    </row>
    <row r="971" spans="1:42" ht="15.75" customHeight="1" x14ac:dyDescent="0.25">
      <c r="A971" s="37">
        <v>2018</v>
      </c>
      <c r="B971" s="35">
        <v>172125</v>
      </c>
      <c r="C971" s="34" t="s">
        <v>150</v>
      </c>
      <c r="D971" s="34" t="s">
        <v>140</v>
      </c>
      <c r="E971" s="35"/>
      <c r="F971" s="36">
        <f t="shared" si="319"/>
        <v>0</v>
      </c>
      <c r="G971" s="38"/>
      <c r="H971" s="36">
        <f t="shared" si="320"/>
        <v>0</v>
      </c>
      <c r="I971" s="35"/>
      <c r="J971" s="36">
        <f t="shared" si="321"/>
        <v>0</v>
      </c>
      <c r="K971" s="38"/>
      <c r="L971" s="36">
        <f t="shared" si="322"/>
        <v>0</v>
      </c>
      <c r="M971" s="35"/>
      <c r="N971" s="36">
        <f t="shared" si="312"/>
        <v>0</v>
      </c>
      <c r="O971" s="38"/>
      <c r="P971" s="36">
        <f t="shared" si="323"/>
        <v>0</v>
      </c>
      <c r="Q971" s="35"/>
      <c r="R971" s="36">
        <f t="shared" si="313"/>
        <v>0</v>
      </c>
      <c r="S971" s="38"/>
      <c r="T971" s="36">
        <f t="shared" si="324"/>
        <v>0</v>
      </c>
      <c r="U971" s="35"/>
      <c r="V971" s="36">
        <f t="shared" si="314"/>
        <v>0</v>
      </c>
      <c r="W971" s="38"/>
      <c r="X971" s="36">
        <f t="shared" si="325"/>
        <v>0</v>
      </c>
      <c r="Y971" s="35"/>
      <c r="Z971" s="36">
        <f t="shared" si="315"/>
        <v>0</v>
      </c>
      <c r="AA971" s="38"/>
      <c r="AB971" s="36">
        <f t="shared" si="326"/>
        <v>0</v>
      </c>
      <c r="AC971" s="35"/>
      <c r="AD971" s="36">
        <f t="shared" si="316"/>
        <v>0</v>
      </c>
      <c r="AE971" s="38"/>
      <c r="AF971" s="36">
        <f t="shared" si="327"/>
        <v>0</v>
      </c>
      <c r="AG971" s="35"/>
      <c r="AH971" s="36">
        <f t="shared" si="317"/>
        <v>0</v>
      </c>
      <c r="AI971" s="38"/>
      <c r="AJ971" s="36">
        <f t="shared" si="328"/>
        <v>0</v>
      </c>
      <c r="AK971" s="35"/>
      <c r="AL971" s="36">
        <f t="shared" si="318"/>
        <v>0</v>
      </c>
      <c r="AM971" s="38"/>
      <c r="AN971" s="36">
        <f t="shared" si="329"/>
        <v>0</v>
      </c>
      <c r="AO971" s="35"/>
      <c r="AP971" s="38"/>
    </row>
    <row r="972" spans="1:42" ht="15.75" customHeight="1" x14ac:dyDescent="0.25">
      <c r="A972" s="37">
        <v>2018</v>
      </c>
      <c r="B972" s="35">
        <v>172130</v>
      </c>
      <c r="C972" s="34" t="s">
        <v>150</v>
      </c>
      <c r="D972" s="34" t="s">
        <v>141</v>
      </c>
      <c r="E972" s="35"/>
      <c r="F972" s="36">
        <f t="shared" si="319"/>
        <v>0</v>
      </c>
      <c r="G972" s="38"/>
      <c r="H972" s="36">
        <f t="shared" si="320"/>
        <v>0</v>
      </c>
      <c r="I972" s="35"/>
      <c r="J972" s="36">
        <f t="shared" si="321"/>
        <v>0</v>
      </c>
      <c r="K972" s="38"/>
      <c r="L972" s="36">
        <f t="shared" si="322"/>
        <v>0</v>
      </c>
      <c r="M972" s="35"/>
      <c r="N972" s="36">
        <f t="shared" si="312"/>
        <v>0</v>
      </c>
      <c r="O972" s="38"/>
      <c r="P972" s="36">
        <f t="shared" si="323"/>
        <v>0</v>
      </c>
      <c r="Q972" s="35"/>
      <c r="R972" s="36">
        <f t="shared" si="313"/>
        <v>0</v>
      </c>
      <c r="S972" s="38"/>
      <c r="T972" s="36">
        <f t="shared" si="324"/>
        <v>0</v>
      </c>
      <c r="U972" s="35"/>
      <c r="V972" s="36">
        <f t="shared" si="314"/>
        <v>0</v>
      </c>
      <c r="W972" s="38"/>
      <c r="X972" s="36">
        <f t="shared" si="325"/>
        <v>0</v>
      </c>
      <c r="Y972" s="35"/>
      <c r="Z972" s="36">
        <f t="shared" si="315"/>
        <v>0</v>
      </c>
      <c r="AA972" s="38"/>
      <c r="AB972" s="36">
        <f t="shared" si="326"/>
        <v>0</v>
      </c>
      <c r="AC972" s="35"/>
      <c r="AD972" s="36">
        <f t="shared" si="316"/>
        <v>0</v>
      </c>
      <c r="AE972" s="38"/>
      <c r="AF972" s="36">
        <f t="shared" si="327"/>
        <v>0</v>
      </c>
      <c r="AG972" s="35"/>
      <c r="AH972" s="36">
        <f t="shared" si="317"/>
        <v>0</v>
      </c>
      <c r="AI972" s="38"/>
      <c r="AJ972" s="36">
        <f t="shared" si="328"/>
        <v>0</v>
      </c>
      <c r="AK972" s="35"/>
      <c r="AL972" s="36">
        <f t="shared" si="318"/>
        <v>0</v>
      </c>
      <c r="AM972" s="38"/>
      <c r="AN972" s="36">
        <f t="shared" si="329"/>
        <v>0</v>
      </c>
      <c r="AO972" s="35"/>
      <c r="AP972" s="38"/>
    </row>
    <row r="973" spans="1:42" ht="15.75" customHeight="1" x14ac:dyDescent="0.25">
      <c r="A973" s="37">
        <v>2018</v>
      </c>
      <c r="B973" s="35">
        <v>172208</v>
      </c>
      <c r="C973" s="34" t="s">
        <v>149</v>
      </c>
      <c r="D973" s="34" t="s">
        <v>142</v>
      </c>
      <c r="E973" s="35"/>
      <c r="F973" s="36">
        <f t="shared" si="319"/>
        <v>0</v>
      </c>
      <c r="G973" s="38"/>
      <c r="H973" s="36">
        <f t="shared" si="320"/>
        <v>0</v>
      </c>
      <c r="I973" s="35"/>
      <c r="J973" s="36">
        <f t="shared" si="321"/>
        <v>0</v>
      </c>
      <c r="K973" s="38"/>
      <c r="L973" s="36">
        <f t="shared" si="322"/>
        <v>0</v>
      </c>
      <c r="M973" s="35"/>
      <c r="N973" s="36">
        <f t="shared" si="312"/>
        <v>0</v>
      </c>
      <c r="O973" s="38"/>
      <c r="P973" s="36">
        <f t="shared" si="323"/>
        <v>0</v>
      </c>
      <c r="Q973" s="35"/>
      <c r="R973" s="36">
        <f t="shared" si="313"/>
        <v>0</v>
      </c>
      <c r="S973" s="38"/>
      <c r="T973" s="36">
        <f t="shared" si="324"/>
        <v>0</v>
      </c>
      <c r="U973" s="35"/>
      <c r="V973" s="36">
        <f t="shared" si="314"/>
        <v>0</v>
      </c>
      <c r="W973" s="38"/>
      <c r="X973" s="36">
        <f t="shared" si="325"/>
        <v>0</v>
      </c>
      <c r="Y973" s="35"/>
      <c r="Z973" s="36">
        <f t="shared" si="315"/>
        <v>0</v>
      </c>
      <c r="AA973" s="38"/>
      <c r="AB973" s="36">
        <f t="shared" si="326"/>
        <v>0</v>
      </c>
      <c r="AC973" s="35"/>
      <c r="AD973" s="36">
        <f t="shared" si="316"/>
        <v>0</v>
      </c>
      <c r="AE973" s="38"/>
      <c r="AF973" s="36">
        <f t="shared" si="327"/>
        <v>0</v>
      </c>
      <c r="AG973" s="35"/>
      <c r="AH973" s="36">
        <f t="shared" si="317"/>
        <v>0</v>
      </c>
      <c r="AI973" s="38"/>
      <c r="AJ973" s="36">
        <f t="shared" si="328"/>
        <v>0</v>
      </c>
      <c r="AK973" s="35"/>
      <c r="AL973" s="36">
        <f t="shared" si="318"/>
        <v>0</v>
      </c>
      <c r="AM973" s="38"/>
      <c r="AN973" s="36">
        <f t="shared" si="329"/>
        <v>0</v>
      </c>
      <c r="AO973" s="35"/>
      <c r="AP973" s="38"/>
    </row>
    <row r="974" spans="1:42" ht="15.75" customHeight="1" x14ac:dyDescent="0.25">
      <c r="A974" s="37">
        <v>2018</v>
      </c>
      <c r="B974" s="35">
        <v>172210</v>
      </c>
      <c r="C974" s="34" t="s">
        <v>149</v>
      </c>
      <c r="D974" s="34" t="s">
        <v>143</v>
      </c>
      <c r="E974" s="35"/>
      <c r="F974" s="36">
        <f t="shared" si="319"/>
        <v>0</v>
      </c>
      <c r="G974" s="38"/>
      <c r="H974" s="36">
        <f t="shared" si="320"/>
        <v>0</v>
      </c>
      <c r="I974" s="35"/>
      <c r="J974" s="36">
        <f t="shared" si="321"/>
        <v>0</v>
      </c>
      <c r="K974" s="38"/>
      <c r="L974" s="36">
        <f t="shared" si="322"/>
        <v>0</v>
      </c>
      <c r="M974" s="35"/>
      <c r="N974" s="36">
        <f t="shared" si="312"/>
        <v>0</v>
      </c>
      <c r="O974" s="38"/>
      <c r="P974" s="36">
        <f t="shared" si="323"/>
        <v>0</v>
      </c>
      <c r="Q974" s="35"/>
      <c r="R974" s="36">
        <f t="shared" si="313"/>
        <v>0</v>
      </c>
      <c r="S974" s="38"/>
      <c r="T974" s="36">
        <f t="shared" si="324"/>
        <v>0</v>
      </c>
      <c r="U974" s="35"/>
      <c r="V974" s="36">
        <f t="shared" si="314"/>
        <v>0</v>
      </c>
      <c r="W974" s="38"/>
      <c r="X974" s="36">
        <f t="shared" si="325"/>
        <v>0</v>
      </c>
      <c r="Y974" s="35"/>
      <c r="Z974" s="36">
        <f t="shared" si="315"/>
        <v>0</v>
      </c>
      <c r="AA974" s="38"/>
      <c r="AB974" s="36">
        <f t="shared" si="326"/>
        <v>0</v>
      </c>
      <c r="AC974" s="35"/>
      <c r="AD974" s="36">
        <f t="shared" si="316"/>
        <v>0</v>
      </c>
      <c r="AE974" s="38"/>
      <c r="AF974" s="36">
        <f t="shared" si="327"/>
        <v>0</v>
      </c>
      <c r="AG974" s="35"/>
      <c r="AH974" s="36">
        <f t="shared" si="317"/>
        <v>0</v>
      </c>
      <c r="AI974" s="38"/>
      <c r="AJ974" s="36">
        <f t="shared" si="328"/>
        <v>0</v>
      </c>
      <c r="AK974" s="35"/>
      <c r="AL974" s="36">
        <f t="shared" si="318"/>
        <v>0</v>
      </c>
      <c r="AM974" s="38"/>
      <c r="AN974" s="36">
        <f t="shared" si="329"/>
        <v>0</v>
      </c>
      <c r="AO974" s="35"/>
      <c r="AP974" s="38"/>
    </row>
    <row r="975" spans="1:42" ht="15.75" customHeight="1" x14ac:dyDescent="0.25">
      <c r="A975" s="37">
        <v>2017</v>
      </c>
      <c r="B975" s="35">
        <v>170025</v>
      </c>
      <c r="C975" s="34" t="s">
        <v>144</v>
      </c>
      <c r="D975" s="34" t="s">
        <v>5</v>
      </c>
      <c r="E975" s="35"/>
      <c r="F975" s="36">
        <f t="shared" si="319"/>
        <v>0</v>
      </c>
      <c r="G975" s="38"/>
      <c r="H975" s="36">
        <f t="shared" si="320"/>
        <v>0</v>
      </c>
      <c r="I975" s="35"/>
      <c r="J975" s="36">
        <f t="shared" si="321"/>
        <v>0</v>
      </c>
      <c r="K975" s="38"/>
      <c r="L975" s="36">
        <f t="shared" si="322"/>
        <v>0</v>
      </c>
      <c r="M975" s="35"/>
      <c r="N975" s="36">
        <f t="shared" si="312"/>
        <v>0</v>
      </c>
      <c r="O975" s="38"/>
      <c r="P975" s="36">
        <f t="shared" si="323"/>
        <v>0</v>
      </c>
      <c r="Q975" s="35"/>
      <c r="R975" s="36">
        <f t="shared" si="313"/>
        <v>0</v>
      </c>
      <c r="S975" s="38"/>
      <c r="T975" s="36">
        <f t="shared" si="324"/>
        <v>0</v>
      </c>
      <c r="U975" s="35"/>
      <c r="V975" s="36">
        <f t="shared" si="314"/>
        <v>0</v>
      </c>
      <c r="W975" s="38"/>
      <c r="X975" s="36">
        <f t="shared" si="325"/>
        <v>0</v>
      </c>
      <c r="Y975" s="35"/>
      <c r="Z975" s="36">
        <f t="shared" si="315"/>
        <v>0</v>
      </c>
      <c r="AA975" s="38"/>
      <c r="AB975" s="36">
        <f t="shared" si="326"/>
        <v>0</v>
      </c>
      <c r="AC975" s="35"/>
      <c r="AD975" s="36">
        <f t="shared" si="316"/>
        <v>0</v>
      </c>
      <c r="AE975" s="38"/>
      <c r="AF975" s="36">
        <f t="shared" si="327"/>
        <v>0</v>
      </c>
      <c r="AG975" s="35"/>
      <c r="AH975" s="36">
        <f t="shared" si="317"/>
        <v>0</v>
      </c>
      <c r="AI975" s="38"/>
      <c r="AJ975" s="36">
        <f t="shared" si="328"/>
        <v>0</v>
      </c>
      <c r="AK975" s="35"/>
      <c r="AL975" s="36">
        <f t="shared" si="318"/>
        <v>0</v>
      </c>
      <c r="AM975" s="38"/>
      <c r="AN975" s="36">
        <f t="shared" si="329"/>
        <v>0</v>
      </c>
      <c r="AO975" s="35"/>
      <c r="AP975" s="38"/>
    </row>
    <row r="976" spans="1:42" ht="15.75" customHeight="1" x14ac:dyDescent="0.25">
      <c r="A976" s="37">
        <v>2017</v>
      </c>
      <c r="B976" s="35">
        <v>170030</v>
      </c>
      <c r="C976" s="34" t="s">
        <v>145</v>
      </c>
      <c r="D976" s="34" t="s">
        <v>6</v>
      </c>
      <c r="E976" s="35"/>
      <c r="F976" s="36">
        <f t="shared" si="319"/>
        <v>0</v>
      </c>
      <c r="G976" s="38"/>
      <c r="H976" s="36">
        <f t="shared" si="320"/>
        <v>0</v>
      </c>
      <c r="I976" s="35"/>
      <c r="J976" s="36">
        <f t="shared" si="321"/>
        <v>0</v>
      </c>
      <c r="K976" s="38"/>
      <c r="L976" s="36">
        <f t="shared" si="322"/>
        <v>0</v>
      </c>
      <c r="M976" s="35"/>
      <c r="N976" s="36">
        <f t="shared" si="312"/>
        <v>0</v>
      </c>
      <c r="O976" s="38"/>
      <c r="P976" s="36">
        <f t="shared" si="323"/>
        <v>0</v>
      </c>
      <c r="Q976" s="35"/>
      <c r="R976" s="36">
        <f t="shared" si="313"/>
        <v>0</v>
      </c>
      <c r="S976" s="38"/>
      <c r="T976" s="36">
        <f t="shared" si="324"/>
        <v>0</v>
      </c>
      <c r="U976" s="35"/>
      <c r="V976" s="36">
        <f t="shared" si="314"/>
        <v>0</v>
      </c>
      <c r="W976" s="38"/>
      <c r="X976" s="36">
        <f t="shared" si="325"/>
        <v>0</v>
      </c>
      <c r="Y976" s="35"/>
      <c r="Z976" s="36">
        <f t="shared" si="315"/>
        <v>0</v>
      </c>
      <c r="AA976" s="38"/>
      <c r="AB976" s="36">
        <f t="shared" si="326"/>
        <v>0</v>
      </c>
      <c r="AC976" s="35"/>
      <c r="AD976" s="36">
        <f t="shared" si="316"/>
        <v>0</v>
      </c>
      <c r="AE976" s="38"/>
      <c r="AF976" s="36">
        <f t="shared" si="327"/>
        <v>0</v>
      </c>
      <c r="AG976" s="35"/>
      <c r="AH976" s="36">
        <f t="shared" si="317"/>
        <v>0</v>
      </c>
      <c r="AI976" s="38"/>
      <c r="AJ976" s="36">
        <f t="shared" si="328"/>
        <v>0</v>
      </c>
      <c r="AK976" s="35"/>
      <c r="AL976" s="36">
        <f t="shared" si="318"/>
        <v>0</v>
      </c>
      <c r="AM976" s="38"/>
      <c r="AN976" s="36">
        <f t="shared" si="329"/>
        <v>0</v>
      </c>
      <c r="AO976" s="35"/>
      <c r="AP976" s="38"/>
    </row>
    <row r="977" spans="1:42" ht="15.75" customHeight="1" x14ac:dyDescent="0.25">
      <c r="A977" s="37">
        <v>2017</v>
      </c>
      <c r="B977" s="35">
        <v>170035</v>
      </c>
      <c r="C977" s="34" t="s">
        <v>146</v>
      </c>
      <c r="D977" s="34" t="s">
        <v>7</v>
      </c>
      <c r="E977" s="35"/>
      <c r="F977" s="36">
        <f t="shared" si="319"/>
        <v>0</v>
      </c>
      <c r="G977" s="38"/>
      <c r="H977" s="36">
        <f t="shared" si="320"/>
        <v>0</v>
      </c>
      <c r="I977" s="35"/>
      <c r="J977" s="36">
        <f t="shared" si="321"/>
        <v>0</v>
      </c>
      <c r="K977" s="38"/>
      <c r="L977" s="36">
        <f t="shared" si="322"/>
        <v>0</v>
      </c>
      <c r="M977" s="35"/>
      <c r="N977" s="36">
        <f t="shared" ref="N977:N1005" si="330">IFERROR(M977/$AO977,0)</f>
        <v>0</v>
      </c>
      <c r="O977" s="38"/>
      <c r="P977" s="36">
        <f t="shared" si="323"/>
        <v>0</v>
      </c>
      <c r="Q977" s="35"/>
      <c r="R977" s="36">
        <f t="shared" ref="R977:R1005" si="331">IFERROR(Q977/$AO977,0)</f>
        <v>0</v>
      </c>
      <c r="S977" s="38"/>
      <c r="T977" s="36">
        <f t="shared" si="324"/>
        <v>0</v>
      </c>
      <c r="U977" s="35"/>
      <c r="V977" s="36">
        <f t="shared" ref="V977:V1005" si="332">IFERROR(U977/$AO977,0)</f>
        <v>0</v>
      </c>
      <c r="W977" s="38"/>
      <c r="X977" s="36">
        <f t="shared" si="325"/>
        <v>0</v>
      </c>
      <c r="Y977" s="35"/>
      <c r="Z977" s="36">
        <f t="shared" ref="Z977:Z1005" si="333">IFERROR(Y977/$AO977,0)</f>
        <v>0</v>
      </c>
      <c r="AA977" s="38"/>
      <c r="AB977" s="36">
        <f t="shared" si="326"/>
        <v>0</v>
      </c>
      <c r="AC977" s="35"/>
      <c r="AD977" s="36">
        <f t="shared" ref="AD977:AD1005" si="334">IFERROR(AC977/$AO977,0)</f>
        <v>0</v>
      </c>
      <c r="AE977" s="38"/>
      <c r="AF977" s="36">
        <f t="shared" si="327"/>
        <v>0</v>
      </c>
      <c r="AG977" s="35"/>
      <c r="AH977" s="36">
        <f t="shared" ref="AH977:AH1005" si="335">IFERROR(AG977/$AO977,0)</f>
        <v>0</v>
      </c>
      <c r="AI977" s="38"/>
      <c r="AJ977" s="36">
        <f t="shared" si="328"/>
        <v>0</v>
      </c>
      <c r="AK977" s="35"/>
      <c r="AL977" s="36">
        <f t="shared" ref="AL977:AL1005" si="336">IFERROR(AK977/$AO977,0)</f>
        <v>0</v>
      </c>
      <c r="AM977" s="38"/>
      <c r="AN977" s="36">
        <f t="shared" si="329"/>
        <v>0</v>
      </c>
      <c r="AO977" s="35"/>
      <c r="AP977" s="38"/>
    </row>
    <row r="978" spans="1:42" ht="15.75" customHeight="1" x14ac:dyDescent="0.25">
      <c r="A978" s="37">
        <v>2017</v>
      </c>
      <c r="B978" s="35">
        <v>170040</v>
      </c>
      <c r="C978" s="34" t="s">
        <v>147</v>
      </c>
      <c r="D978" s="34" t="s">
        <v>8</v>
      </c>
      <c r="E978" s="35"/>
      <c r="F978" s="36">
        <f t="shared" si="319"/>
        <v>0</v>
      </c>
      <c r="G978" s="38"/>
      <c r="H978" s="36">
        <f t="shared" si="320"/>
        <v>0</v>
      </c>
      <c r="I978" s="35"/>
      <c r="J978" s="36">
        <f t="shared" si="321"/>
        <v>0</v>
      </c>
      <c r="K978" s="38"/>
      <c r="L978" s="36">
        <f t="shared" si="322"/>
        <v>0</v>
      </c>
      <c r="M978" s="35"/>
      <c r="N978" s="36">
        <f t="shared" si="330"/>
        <v>0</v>
      </c>
      <c r="O978" s="38"/>
      <c r="P978" s="36">
        <f t="shared" si="323"/>
        <v>0</v>
      </c>
      <c r="Q978" s="35"/>
      <c r="R978" s="36">
        <f t="shared" si="331"/>
        <v>0</v>
      </c>
      <c r="S978" s="38"/>
      <c r="T978" s="36">
        <f t="shared" si="324"/>
        <v>0</v>
      </c>
      <c r="U978" s="35"/>
      <c r="V978" s="36">
        <f t="shared" si="332"/>
        <v>0</v>
      </c>
      <c r="W978" s="38"/>
      <c r="X978" s="36">
        <f t="shared" si="325"/>
        <v>0</v>
      </c>
      <c r="Y978" s="35"/>
      <c r="Z978" s="36">
        <f t="shared" si="333"/>
        <v>0</v>
      </c>
      <c r="AA978" s="38"/>
      <c r="AB978" s="36">
        <f t="shared" si="326"/>
        <v>0</v>
      </c>
      <c r="AC978" s="35"/>
      <c r="AD978" s="36">
        <f t="shared" si="334"/>
        <v>0</v>
      </c>
      <c r="AE978" s="38"/>
      <c r="AF978" s="36">
        <f t="shared" si="327"/>
        <v>0</v>
      </c>
      <c r="AG978" s="35"/>
      <c r="AH978" s="36">
        <f t="shared" si="335"/>
        <v>0</v>
      </c>
      <c r="AI978" s="38"/>
      <c r="AJ978" s="36">
        <f t="shared" si="328"/>
        <v>0</v>
      </c>
      <c r="AK978" s="35"/>
      <c r="AL978" s="36">
        <f t="shared" si="336"/>
        <v>0</v>
      </c>
      <c r="AM978" s="38"/>
      <c r="AN978" s="36">
        <f t="shared" si="329"/>
        <v>0</v>
      </c>
      <c r="AO978" s="35"/>
      <c r="AP978" s="38"/>
    </row>
    <row r="979" spans="1:42" ht="15.75" customHeight="1" x14ac:dyDescent="0.25">
      <c r="A979" s="37">
        <v>2017</v>
      </c>
      <c r="B979" s="35">
        <v>170070</v>
      </c>
      <c r="C979" s="34" t="s">
        <v>146</v>
      </c>
      <c r="D979" s="34" t="s">
        <v>9</v>
      </c>
      <c r="E979" s="35"/>
      <c r="F979" s="36">
        <f t="shared" si="319"/>
        <v>0</v>
      </c>
      <c r="G979" s="38"/>
      <c r="H979" s="36">
        <f t="shared" si="320"/>
        <v>0</v>
      </c>
      <c r="I979" s="35"/>
      <c r="J979" s="36">
        <f t="shared" si="321"/>
        <v>0</v>
      </c>
      <c r="K979" s="38"/>
      <c r="L979" s="36">
        <f t="shared" si="322"/>
        <v>0</v>
      </c>
      <c r="M979" s="35"/>
      <c r="N979" s="36">
        <f t="shared" si="330"/>
        <v>0</v>
      </c>
      <c r="O979" s="38"/>
      <c r="P979" s="36">
        <f t="shared" si="323"/>
        <v>0</v>
      </c>
      <c r="Q979" s="35"/>
      <c r="R979" s="36">
        <f t="shared" si="331"/>
        <v>0</v>
      </c>
      <c r="S979" s="38"/>
      <c r="T979" s="36">
        <f t="shared" si="324"/>
        <v>0</v>
      </c>
      <c r="U979" s="35"/>
      <c r="V979" s="36">
        <f t="shared" si="332"/>
        <v>0</v>
      </c>
      <c r="W979" s="38"/>
      <c r="X979" s="36">
        <f t="shared" si="325"/>
        <v>0</v>
      </c>
      <c r="Y979" s="35"/>
      <c r="Z979" s="36">
        <f t="shared" si="333"/>
        <v>0</v>
      </c>
      <c r="AA979" s="38"/>
      <c r="AB979" s="36">
        <f t="shared" si="326"/>
        <v>0</v>
      </c>
      <c r="AC979" s="35"/>
      <c r="AD979" s="36">
        <f t="shared" si="334"/>
        <v>0</v>
      </c>
      <c r="AE979" s="38"/>
      <c r="AF979" s="36">
        <f t="shared" si="327"/>
        <v>0</v>
      </c>
      <c r="AG979" s="35"/>
      <c r="AH979" s="36">
        <f t="shared" si="335"/>
        <v>0</v>
      </c>
      <c r="AI979" s="38"/>
      <c r="AJ979" s="36">
        <f t="shared" si="328"/>
        <v>0</v>
      </c>
      <c r="AK979" s="35"/>
      <c r="AL979" s="36">
        <f t="shared" si="336"/>
        <v>0</v>
      </c>
      <c r="AM979" s="38"/>
      <c r="AN979" s="36">
        <f t="shared" si="329"/>
        <v>0</v>
      </c>
      <c r="AO979" s="35"/>
      <c r="AP979" s="38"/>
    </row>
    <row r="980" spans="1:42" ht="15.75" customHeight="1" x14ac:dyDescent="0.25">
      <c r="A980" s="37">
        <v>2017</v>
      </c>
      <c r="B980" s="35">
        <v>170100</v>
      </c>
      <c r="C980" s="34" t="s">
        <v>145</v>
      </c>
      <c r="D980" s="34" t="s">
        <v>10</v>
      </c>
      <c r="E980" s="35"/>
      <c r="F980" s="36">
        <f t="shared" si="319"/>
        <v>0</v>
      </c>
      <c r="G980" s="38"/>
      <c r="H980" s="36">
        <f t="shared" si="320"/>
        <v>0</v>
      </c>
      <c r="I980" s="35"/>
      <c r="J980" s="36">
        <f t="shared" si="321"/>
        <v>0</v>
      </c>
      <c r="K980" s="38"/>
      <c r="L980" s="36">
        <f t="shared" si="322"/>
        <v>0</v>
      </c>
      <c r="M980" s="35"/>
      <c r="N980" s="36">
        <f t="shared" si="330"/>
        <v>0</v>
      </c>
      <c r="O980" s="38"/>
      <c r="P980" s="36">
        <f t="shared" si="323"/>
        <v>0</v>
      </c>
      <c r="Q980" s="35"/>
      <c r="R980" s="36">
        <f t="shared" si="331"/>
        <v>0</v>
      </c>
      <c r="S980" s="38"/>
      <c r="T980" s="36">
        <f t="shared" si="324"/>
        <v>0</v>
      </c>
      <c r="U980" s="35"/>
      <c r="V980" s="36">
        <f t="shared" si="332"/>
        <v>0</v>
      </c>
      <c r="W980" s="38"/>
      <c r="X980" s="36">
        <f t="shared" si="325"/>
        <v>0</v>
      </c>
      <c r="Y980" s="35"/>
      <c r="Z980" s="36">
        <f t="shared" si="333"/>
        <v>0</v>
      </c>
      <c r="AA980" s="38"/>
      <c r="AB980" s="36">
        <f t="shared" si="326"/>
        <v>0</v>
      </c>
      <c r="AC980" s="35"/>
      <c r="AD980" s="36">
        <f t="shared" si="334"/>
        <v>0</v>
      </c>
      <c r="AE980" s="38"/>
      <c r="AF980" s="36">
        <f t="shared" si="327"/>
        <v>0</v>
      </c>
      <c r="AG980" s="35"/>
      <c r="AH980" s="36">
        <f t="shared" si="335"/>
        <v>0</v>
      </c>
      <c r="AI980" s="38"/>
      <c r="AJ980" s="36">
        <f t="shared" si="328"/>
        <v>0</v>
      </c>
      <c r="AK980" s="35"/>
      <c r="AL980" s="36">
        <f t="shared" si="336"/>
        <v>0</v>
      </c>
      <c r="AM980" s="38"/>
      <c r="AN980" s="36">
        <f t="shared" si="329"/>
        <v>0</v>
      </c>
      <c r="AO980" s="35"/>
      <c r="AP980" s="38"/>
    </row>
    <row r="981" spans="1:42" ht="15.75" customHeight="1" x14ac:dyDescent="0.25">
      <c r="A981" s="37">
        <v>2017</v>
      </c>
      <c r="B981" s="35">
        <v>170105</v>
      </c>
      <c r="C981" s="34" t="s">
        <v>145</v>
      </c>
      <c r="D981" s="34" t="s">
        <v>11</v>
      </c>
      <c r="E981" s="35"/>
      <c r="F981" s="36">
        <f t="shared" si="319"/>
        <v>0</v>
      </c>
      <c r="G981" s="38"/>
      <c r="H981" s="36">
        <f t="shared" si="320"/>
        <v>0</v>
      </c>
      <c r="I981" s="35"/>
      <c r="J981" s="36">
        <f t="shared" si="321"/>
        <v>0</v>
      </c>
      <c r="K981" s="38"/>
      <c r="L981" s="36">
        <f t="shared" si="322"/>
        <v>0</v>
      </c>
      <c r="M981" s="35"/>
      <c r="N981" s="36">
        <f t="shared" si="330"/>
        <v>0</v>
      </c>
      <c r="O981" s="38"/>
      <c r="P981" s="36">
        <f t="shared" si="323"/>
        <v>0</v>
      </c>
      <c r="Q981" s="35"/>
      <c r="R981" s="36">
        <f t="shared" si="331"/>
        <v>0</v>
      </c>
      <c r="S981" s="38"/>
      <c r="T981" s="36">
        <f t="shared" si="324"/>
        <v>0</v>
      </c>
      <c r="U981" s="35"/>
      <c r="V981" s="36">
        <f t="shared" si="332"/>
        <v>0</v>
      </c>
      <c r="W981" s="38"/>
      <c r="X981" s="36">
        <f t="shared" si="325"/>
        <v>0</v>
      </c>
      <c r="Y981" s="35"/>
      <c r="Z981" s="36">
        <f t="shared" si="333"/>
        <v>0</v>
      </c>
      <c r="AA981" s="38"/>
      <c r="AB981" s="36">
        <f t="shared" si="326"/>
        <v>0</v>
      </c>
      <c r="AC981" s="35"/>
      <c r="AD981" s="36">
        <f t="shared" si="334"/>
        <v>0</v>
      </c>
      <c r="AE981" s="38"/>
      <c r="AF981" s="36">
        <f t="shared" si="327"/>
        <v>0</v>
      </c>
      <c r="AG981" s="35"/>
      <c r="AH981" s="36">
        <f t="shared" si="335"/>
        <v>0</v>
      </c>
      <c r="AI981" s="38"/>
      <c r="AJ981" s="36">
        <f t="shared" si="328"/>
        <v>0</v>
      </c>
      <c r="AK981" s="35"/>
      <c r="AL981" s="36">
        <f t="shared" si="336"/>
        <v>0</v>
      </c>
      <c r="AM981" s="38"/>
      <c r="AN981" s="36">
        <f t="shared" si="329"/>
        <v>0</v>
      </c>
      <c r="AO981" s="35"/>
      <c r="AP981" s="38"/>
    </row>
    <row r="982" spans="1:42" ht="15.75" customHeight="1" x14ac:dyDescent="0.25">
      <c r="A982" s="37">
        <v>2017</v>
      </c>
      <c r="B982" s="35">
        <v>170110</v>
      </c>
      <c r="C982" s="34" t="s">
        <v>148</v>
      </c>
      <c r="D982" s="34" t="s">
        <v>12</v>
      </c>
      <c r="E982" s="35"/>
      <c r="F982" s="36">
        <f t="shared" si="319"/>
        <v>0</v>
      </c>
      <c r="G982" s="38"/>
      <c r="H982" s="36">
        <f t="shared" si="320"/>
        <v>0</v>
      </c>
      <c r="I982" s="35"/>
      <c r="J982" s="36">
        <f t="shared" si="321"/>
        <v>0</v>
      </c>
      <c r="K982" s="38"/>
      <c r="L982" s="36">
        <f t="shared" si="322"/>
        <v>0</v>
      </c>
      <c r="M982" s="35"/>
      <c r="N982" s="36">
        <f t="shared" si="330"/>
        <v>0</v>
      </c>
      <c r="O982" s="38"/>
      <c r="P982" s="36">
        <f t="shared" si="323"/>
        <v>0</v>
      </c>
      <c r="Q982" s="35"/>
      <c r="R982" s="36">
        <f t="shared" si="331"/>
        <v>0</v>
      </c>
      <c r="S982" s="38"/>
      <c r="T982" s="36">
        <f t="shared" si="324"/>
        <v>0</v>
      </c>
      <c r="U982" s="35"/>
      <c r="V982" s="36">
        <f t="shared" si="332"/>
        <v>0</v>
      </c>
      <c r="W982" s="38"/>
      <c r="X982" s="36">
        <f t="shared" si="325"/>
        <v>0</v>
      </c>
      <c r="Y982" s="35"/>
      <c r="Z982" s="36">
        <f t="shared" si="333"/>
        <v>0</v>
      </c>
      <c r="AA982" s="38"/>
      <c r="AB982" s="36">
        <f t="shared" si="326"/>
        <v>0</v>
      </c>
      <c r="AC982" s="35"/>
      <c r="AD982" s="36">
        <f t="shared" si="334"/>
        <v>0</v>
      </c>
      <c r="AE982" s="38"/>
      <c r="AF982" s="36">
        <f t="shared" si="327"/>
        <v>0</v>
      </c>
      <c r="AG982" s="35"/>
      <c r="AH982" s="36">
        <f t="shared" si="335"/>
        <v>0</v>
      </c>
      <c r="AI982" s="38"/>
      <c r="AJ982" s="36">
        <f t="shared" si="328"/>
        <v>0</v>
      </c>
      <c r="AK982" s="35"/>
      <c r="AL982" s="36">
        <f t="shared" si="336"/>
        <v>0</v>
      </c>
      <c r="AM982" s="38"/>
      <c r="AN982" s="36">
        <f t="shared" si="329"/>
        <v>0</v>
      </c>
      <c r="AO982" s="35"/>
      <c r="AP982" s="38"/>
    </row>
    <row r="983" spans="1:42" ht="15.75" customHeight="1" x14ac:dyDescent="0.25">
      <c r="A983" s="37">
        <v>2017</v>
      </c>
      <c r="B983" s="35">
        <v>170130</v>
      </c>
      <c r="C983" s="34" t="s">
        <v>149</v>
      </c>
      <c r="D983" s="34" t="s">
        <v>13</v>
      </c>
      <c r="E983" s="35"/>
      <c r="F983" s="36">
        <f t="shared" si="319"/>
        <v>0</v>
      </c>
      <c r="G983" s="38"/>
      <c r="H983" s="36">
        <f t="shared" si="320"/>
        <v>0</v>
      </c>
      <c r="I983" s="35"/>
      <c r="J983" s="36">
        <f t="shared" si="321"/>
        <v>0</v>
      </c>
      <c r="K983" s="38"/>
      <c r="L983" s="36">
        <f t="shared" si="322"/>
        <v>0</v>
      </c>
      <c r="M983" s="35"/>
      <c r="N983" s="36">
        <f t="shared" si="330"/>
        <v>0</v>
      </c>
      <c r="O983" s="38"/>
      <c r="P983" s="36">
        <f t="shared" si="323"/>
        <v>0</v>
      </c>
      <c r="Q983" s="35"/>
      <c r="R983" s="36">
        <f t="shared" si="331"/>
        <v>0</v>
      </c>
      <c r="S983" s="38"/>
      <c r="T983" s="36">
        <f t="shared" si="324"/>
        <v>0</v>
      </c>
      <c r="U983" s="35"/>
      <c r="V983" s="36">
        <f t="shared" si="332"/>
        <v>0</v>
      </c>
      <c r="W983" s="38"/>
      <c r="X983" s="36">
        <f t="shared" si="325"/>
        <v>0</v>
      </c>
      <c r="Y983" s="35"/>
      <c r="Z983" s="36">
        <f t="shared" si="333"/>
        <v>0</v>
      </c>
      <c r="AA983" s="38"/>
      <c r="AB983" s="36">
        <f t="shared" si="326"/>
        <v>0</v>
      </c>
      <c r="AC983" s="35"/>
      <c r="AD983" s="36">
        <f t="shared" si="334"/>
        <v>0</v>
      </c>
      <c r="AE983" s="38"/>
      <c r="AF983" s="36">
        <f t="shared" si="327"/>
        <v>0</v>
      </c>
      <c r="AG983" s="35"/>
      <c r="AH983" s="36">
        <f t="shared" si="335"/>
        <v>0</v>
      </c>
      <c r="AI983" s="38"/>
      <c r="AJ983" s="36">
        <f t="shared" si="328"/>
        <v>0</v>
      </c>
      <c r="AK983" s="35"/>
      <c r="AL983" s="36">
        <f t="shared" si="336"/>
        <v>0</v>
      </c>
      <c r="AM983" s="38"/>
      <c r="AN983" s="36">
        <f t="shared" si="329"/>
        <v>0</v>
      </c>
      <c r="AO983" s="35"/>
      <c r="AP983" s="38"/>
    </row>
    <row r="984" spans="1:42" ht="15.75" customHeight="1" x14ac:dyDescent="0.25">
      <c r="A984" s="37">
        <v>2017</v>
      </c>
      <c r="B984" s="35">
        <v>170190</v>
      </c>
      <c r="C984" s="34" t="s">
        <v>144</v>
      </c>
      <c r="D984" s="34" t="s">
        <v>14</v>
      </c>
      <c r="E984" s="35"/>
      <c r="F984" s="36">
        <f t="shared" si="319"/>
        <v>0</v>
      </c>
      <c r="G984" s="38"/>
      <c r="H984" s="36">
        <f t="shared" si="320"/>
        <v>0</v>
      </c>
      <c r="I984" s="35"/>
      <c r="J984" s="36">
        <f t="shared" si="321"/>
        <v>0</v>
      </c>
      <c r="K984" s="38"/>
      <c r="L984" s="36">
        <f t="shared" si="322"/>
        <v>0</v>
      </c>
      <c r="M984" s="35"/>
      <c r="N984" s="36">
        <f t="shared" si="330"/>
        <v>0</v>
      </c>
      <c r="O984" s="38"/>
      <c r="P984" s="36">
        <f t="shared" si="323"/>
        <v>0</v>
      </c>
      <c r="Q984" s="35"/>
      <c r="R984" s="36">
        <f t="shared" si="331"/>
        <v>0</v>
      </c>
      <c r="S984" s="38"/>
      <c r="T984" s="36">
        <f t="shared" si="324"/>
        <v>0</v>
      </c>
      <c r="U984" s="35"/>
      <c r="V984" s="36">
        <f t="shared" si="332"/>
        <v>0</v>
      </c>
      <c r="W984" s="38"/>
      <c r="X984" s="36">
        <f t="shared" si="325"/>
        <v>0</v>
      </c>
      <c r="Y984" s="35"/>
      <c r="Z984" s="36">
        <f t="shared" si="333"/>
        <v>0</v>
      </c>
      <c r="AA984" s="38"/>
      <c r="AB984" s="36">
        <f t="shared" si="326"/>
        <v>0</v>
      </c>
      <c r="AC984" s="35"/>
      <c r="AD984" s="36">
        <f t="shared" si="334"/>
        <v>0</v>
      </c>
      <c r="AE984" s="38"/>
      <c r="AF984" s="36">
        <f t="shared" si="327"/>
        <v>0</v>
      </c>
      <c r="AG984" s="35"/>
      <c r="AH984" s="36">
        <f t="shared" si="335"/>
        <v>0</v>
      </c>
      <c r="AI984" s="38"/>
      <c r="AJ984" s="36">
        <f t="shared" si="328"/>
        <v>0</v>
      </c>
      <c r="AK984" s="35"/>
      <c r="AL984" s="36">
        <f t="shared" si="336"/>
        <v>0</v>
      </c>
      <c r="AM984" s="38"/>
      <c r="AN984" s="36">
        <f t="shared" si="329"/>
        <v>0</v>
      </c>
      <c r="AO984" s="35"/>
      <c r="AP984" s="38"/>
    </row>
    <row r="985" spans="1:42" ht="15.75" customHeight="1" x14ac:dyDescent="0.25">
      <c r="A985" s="37">
        <v>2017</v>
      </c>
      <c r="B985" s="35">
        <v>170200</v>
      </c>
      <c r="C985" s="34" t="s">
        <v>146</v>
      </c>
      <c r="D985" s="34" t="s">
        <v>15</v>
      </c>
      <c r="E985" s="35"/>
      <c r="F985" s="36">
        <f t="shared" si="319"/>
        <v>0</v>
      </c>
      <c r="G985" s="38"/>
      <c r="H985" s="36">
        <f t="shared" si="320"/>
        <v>0</v>
      </c>
      <c r="I985" s="35"/>
      <c r="J985" s="36">
        <f t="shared" si="321"/>
        <v>0</v>
      </c>
      <c r="K985" s="38"/>
      <c r="L985" s="36">
        <f t="shared" si="322"/>
        <v>0</v>
      </c>
      <c r="M985" s="35"/>
      <c r="N985" s="36">
        <f t="shared" si="330"/>
        <v>0</v>
      </c>
      <c r="O985" s="38"/>
      <c r="P985" s="36">
        <f t="shared" si="323"/>
        <v>0</v>
      </c>
      <c r="Q985" s="35"/>
      <c r="R985" s="36">
        <f t="shared" si="331"/>
        <v>0</v>
      </c>
      <c r="S985" s="38"/>
      <c r="T985" s="36">
        <f t="shared" si="324"/>
        <v>0</v>
      </c>
      <c r="U985" s="35"/>
      <c r="V985" s="36">
        <f t="shared" si="332"/>
        <v>0</v>
      </c>
      <c r="W985" s="38"/>
      <c r="X985" s="36">
        <f t="shared" si="325"/>
        <v>0</v>
      </c>
      <c r="Y985" s="35"/>
      <c r="Z985" s="36">
        <f t="shared" si="333"/>
        <v>0</v>
      </c>
      <c r="AA985" s="38"/>
      <c r="AB985" s="36">
        <f t="shared" si="326"/>
        <v>0</v>
      </c>
      <c r="AC985" s="35"/>
      <c r="AD985" s="36">
        <f t="shared" si="334"/>
        <v>0</v>
      </c>
      <c r="AE985" s="38"/>
      <c r="AF985" s="36">
        <f t="shared" si="327"/>
        <v>0</v>
      </c>
      <c r="AG985" s="35"/>
      <c r="AH985" s="36">
        <f t="shared" si="335"/>
        <v>0</v>
      </c>
      <c r="AI985" s="38"/>
      <c r="AJ985" s="36">
        <f t="shared" si="328"/>
        <v>0</v>
      </c>
      <c r="AK985" s="35"/>
      <c r="AL985" s="36">
        <f t="shared" si="336"/>
        <v>0</v>
      </c>
      <c r="AM985" s="38"/>
      <c r="AN985" s="36">
        <f t="shared" si="329"/>
        <v>0</v>
      </c>
      <c r="AO985" s="35"/>
      <c r="AP985" s="38"/>
    </row>
    <row r="986" spans="1:42" ht="15.75" customHeight="1" x14ac:dyDescent="0.25">
      <c r="A986" s="37">
        <v>2017</v>
      </c>
      <c r="B986" s="35">
        <v>170210</v>
      </c>
      <c r="C986" s="34" t="s">
        <v>149</v>
      </c>
      <c r="D986" s="34" t="s">
        <v>16</v>
      </c>
      <c r="E986" s="35"/>
      <c r="F986" s="36">
        <f t="shared" si="319"/>
        <v>0</v>
      </c>
      <c r="G986" s="38"/>
      <c r="H986" s="36">
        <f t="shared" si="320"/>
        <v>0</v>
      </c>
      <c r="I986" s="35"/>
      <c r="J986" s="36">
        <f t="shared" si="321"/>
        <v>0</v>
      </c>
      <c r="K986" s="38"/>
      <c r="L986" s="36">
        <f t="shared" si="322"/>
        <v>0</v>
      </c>
      <c r="M986" s="35"/>
      <c r="N986" s="36">
        <f t="shared" si="330"/>
        <v>0</v>
      </c>
      <c r="O986" s="39"/>
      <c r="P986" s="36">
        <f t="shared" si="323"/>
        <v>0</v>
      </c>
      <c r="Q986" s="35"/>
      <c r="R986" s="36">
        <f t="shared" si="331"/>
        <v>0</v>
      </c>
      <c r="S986" s="38"/>
      <c r="T986" s="36">
        <f t="shared" si="324"/>
        <v>0</v>
      </c>
      <c r="U986" s="35"/>
      <c r="V986" s="36">
        <f t="shared" si="332"/>
        <v>0</v>
      </c>
      <c r="W986" s="38"/>
      <c r="X986" s="36">
        <f t="shared" si="325"/>
        <v>0</v>
      </c>
      <c r="Y986" s="35"/>
      <c r="Z986" s="36">
        <f t="shared" si="333"/>
        <v>0</v>
      </c>
      <c r="AA986" s="39"/>
      <c r="AB986" s="36">
        <f t="shared" si="326"/>
        <v>0</v>
      </c>
      <c r="AC986" s="35"/>
      <c r="AD986" s="36">
        <f t="shared" si="334"/>
        <v>0</v>
      </c>
      <c r="AE986" s="38"/>
      <c r="AF986" s="36">
        <f t="shared" si="327"/>
        <v>0</v>
      </c>
      <c r="AG986" s="35"/>
      <c r="AH986" s="36">
        <f t="shared" si="335"/>
        <v>0</v>
      </c>
      <c r="AI986" s="38"/>
      <c r="AJ986" s="36">
        <f t="shared" si="328"/>
        <v>0</v>
      </c>
      <c r="AK986" s="35"/>
      <c r="AL986" s="36">
        <f t="shared" si="336"/>
        <v>0</v>
      </c>
      <c r="AM986" s="38"/>
      <c r="AN986" s="36">
        <f t="shared" si="329"/>
        <v>0</v>
      </c>
      <c r="AO986" s="35"/>
      <c r="AP986" s="39"/>
    </row>
    <row r="987" spans="1:42" ht="15.75" customHeight="1" x14ac:dyDescent="0.25">
      <c r="A987" s="37">
        <v>2017</v>
      </c>
      <c r="B987" s="35">
        <v>170215</v>
      </c>
      <c r="C987" s="34" t="s">
        <v>149</v>
      </c>
      <c r="D987" s="34" t="s">
        <v>17</v>
      </c>
      <c r="E987" s="35"/>
      <c r="F987" s="36">
        <f t="shared" si="319"/>
        <v>0</v>
      </c>
      <c r="G987" s="38"/>
      <c r="H987" s="36">
        <f t="shared" si="320"/>
        <v>0</v>
      </c>
      <c r="I987" s="35"/>
      <c r="J987" s="36">
        <f t="shared" si="321"/>
        <v>0</v>
      </c>
      <c r="K987" s="38"/>
      <c r="L987" s="36">
        <f t="shared" si="322"/>
        <v>0</v>
      </c>
      <c r="M987" s="35"/>
      <c r="N987" s="36">
        <f t="shared" si="330"/>
        <v>0</v>
      </c>
      <c r="O987" s="38"/>
      <c r="P987" s="36">
        <f t="shared" si="323"/>
        <v>0</v>
      </c>
      <c r="Q987" s="35"/>
      <c r="R987" s="36">
        <f t="shared" si="331"/>
        <v>0</v>
      </c>
      <c r="S987" s="38"/>
      <c r="T987" s="36">
        <f t="shared" si="324"/>
        <v>0</v>
      </c>
      <c r="U987" s="35"/>
      <c r="V987" s="36">
        <f t="shared" si="332"/>
        <v>0</v>
      </c>
      <c r="W987" s="38"/>
      <c r="X987" s="36">
        <f t="shared" si="325"/>
        <v>0</v>
      </c>
      <c r="Y987" s="35"/>
      <c r="Z987" s="36">
        <f t="shared" si="333"/>
        <v>0</v>
      </c>
      <c r="AA987" s="38"/>
      <c r="AB987" s="36">
        <f t="shared" si="326"/>
        <v>0</v>
      </c>
      <c r="AC987" s="35"/>
      <c r="AD987" s="36">
        <f t="shared" si="334"/>
        <v>0</v>
      </c>
      <c r="AE987" s="38"/>
      <c r="AF987" s="36">
        <f t="shared" si="327"/>
        <v>0</v>
      </c>
      <c r="AG987" s="35"/>
      <c r="AH987" s="36">
        <f t="shared" si="335"/>
        <v>0</v>
      </c>
      <c r="AI987" s="38"/>
      <c r="AJ987" s="36">
        <f t="shared" si="328"/>
        <v>0</v>
      </c>
      <c r="AK987" s="35"/>
      <c r="AL987" s="36">
        <f t="shared" si="336"/>
        <v>0</v>
      </c>
      <c r="AM987" s="38"/>
      <c r="AN987" s="36">
        <f t="shared" si="329"/>
        <v>0</v>
      </c>
      <c r="AO987" s="35"/>
      <c r="AP987" s="38"/>
    </row>
    <row r="988" spans="1:42" ht="15.75" customHeight="1" x14ac:dyDescent="0.25">
      <c r="A988" s="37">
        <v>2017</v>
      </c>
      <c r="B988" s="35">
        <v>170220</v>
      </c>
      <c r="C988" s="34" t="s">
        <v>145</v>
      </c>
      <c r="D988" s="34" t="s">
        <v>18</v>
      </c>
      <c r="E988" s="35"/>
      <c r="F988" s="36">
        <f t="shared" si="319"/>
        <v>0</v>
      </c>
      <c r="G988" s="38"/>
      <c r="H988" s="36">
        <f t="shared" si="320"/>
        <v>0</v>
      </c>
      <c r="I988" s="35"/>
      <c r="J988" s="36">
        <f t="shared" si="321"/>
        <v>0</v>
      </c>
      <c r="K988" s="38"/>
      <c r="L988" s="36">
        <f t="shared" si="322"/>
        <v>0</v>
      </c>
      <c r="M988" s="35"/>
      <c r="N988" s="36">
        <f t="shared" si="330"/>
        <v>0</v>
      </c>
      <c r="O988" s="39"/>
      <c r="P988" s="36">
        <f t="shared" si="323"/>
        <v>0</v>
      </c>
      <c r="Q988" s="35"/>
      <c r="R988" s="36">
        <f t="shared" si="331"/>
        <v>0</v>
      </c>
      <c r="S988" s="38"/>
      <c r="T988" s="36">
        <f t="shared" si="324"/>
        <v>0</v>
      </c>
      <c r="U988" s="35"/>
      <c r="V988" s="36">
        <f t="shared" si="332"/>
        <v>0</v>
      </c>
      <c r="W988" s="38"/>
      <c r="X988" s="36">
        <f t="shared" si="325"/>
        <v>0</v>
      </c>
      <c r="Y988" s="35"/>
      <c r="Z988" s="36">
        <f t="shared" si="333"/>
        <v>0</v>
      </c>
      <c r="AA988" s="38"/>
      <c r="AB988" s="36">
        <f t="shared" si="326"/>
        <v>0</v>
      </c>
      <c r="AC988" s="35"/>
      <c r="AD988" s="36">
        <f t="shared" si="334"/>
        <v>0</v>
      </c>
      <c r="AE988" s="38"/>
      <c r="AF988" s="36">
        <f t="shared" si="327"/>
        <v>0</v>
      </c>
      <c r="AG988" s="35"/>
      <c r="AH988" s="36">
        <f t="shared" si="335"/>
        <v>0</v>
      </c>
      <c r="AI988" s="38"/>
      <c r="AJ988" s="36">
        <f t="shared" si="328"/>
        <v>0</v>
      </c>
      <c r="AK988" s="35"/>
      <c r="AL988" s="36">
        <f t="shared" si="336"/>
        <v>0</v>
      </c>
      <c r="AM988" s="38"/>
      <c r="AN988" s="36">
        <f t="shared" si="329"/>
        <v>0</v>
      </c>
      <c r="AO988" s="35"/>
      <c r="AP988" s="39"/>
    </row>
    <row r="989" spans="1:42" ht="15.75" customHeight="1" x14ac:dyDescent="0.25">
      <c r="A989" s="37">
        <v>2017</v>
      </c>
      <c r="B989" s="35">
        <v>170230</v>
      </c>
      <c r="C989" s="34" t="s">
        <v>150</v>
      </c>
      <c r="D989" s="34" t="s">
        <v>19</v>
      </c>
      <c r="E989" s="35"/>
      <c r="F989" s="36">
        <f t="shared" si="319"/>
        <v>0</v>
      </c>
      <c r="G989" s="38"/>
      <c r="H989" s="36">
        <f t="shared" si="320"/>
        <v>0</v>
      </c>
      <c r="I989" s="35"/>
      <c r="J989" s="36">
        <f t="shared" si="321"/>
        <v>0</v>
      </c>
      <c r="K989" s="38"/>
      <c r="L989" s="36">
        <f t="shared" si="322"/>
        <v>0</v>
      </c>
      <c r="M989" s="35"/>
      <c r="N989" s="36">
        <f t="shared" si="330"/>
        <v>0</v>
      </c>
      <c r="O989" s="38"/>
      <c r="P989" s="36">
        <f t="shared" si="323"/>
        <v>0</v>
      </c>
      <c r="Q989" s="35"/>
      <c r="R989" s="36">
        <f t="shared" si="331"/>
        <v>0</v>
      </c>
      <c r="S989" s="38"/>
      <c r="T989" s="36">
        <f t="shared" si="324"/>
        <v>0</v>
      </c>
      <c r="U989" s="35"/>
      <c r="V989" s="36">
        <f t="shared" si="332"/>
        <v>0</v>
      </c>
      <c r="W989" s="38"/>
      <c r="X989" s="36">
        <f t="shared" si="325"/>
        <v>0</v>
      </c>
      <c r="Y989" s="35"/>
      <c r="Z989" s="36">
        <f t="shared" si="333"/>
        <v>0</v>
      </c>
      <c r="AA989" s="38"/>
      <c r="AB989" s="36">
        <f t="shared" si="326"/>
        <v>0</v>
      </c>
      <c r="AC989" s="35"/>
      <c r="AD989" s="36">
        <f t="shared" si="334"/>
        <v>0</v>
      </c>
      <c r="AE989" s="38"/>
      <c r="AF989" s="36">
        <f t="shared" si="327"/>
        <v>0</v>
      </c>
      <c r="AG989" s="35"/>
      <c r="AH989" s="36">
        <f t="shared" si="335"/>
        <v>0</v>
      </c>
      <c r="AI989" s="38"/>
      <c r="AJ989" s="36">
        <f t="shared" si="328"/>
        <v>0</v>
      </c>
      <c r="AK989" s="35"/>
      <c r="AL989" s="36">
        <f t="shared" si="336"/>
        <v>0</v>
      </c>
      <c r="AM989" s="38"/>
      <c r="AN989" s="36">
        <f t="shared" si="329"/>
        <v>0</v>
      </c>
      <c r="AO989" s="35"/>
      <c r="AP989" s="38"/>
    </row>
    <row r="990" spans="1:42" ht="15.75" customHeight="1" x14ac:dyDescent="0.25">
      <c r="A990" s="37">
        <v>2017</v>
      </c>
      <c r="B990" s="35">
        <v>170240</v>
      </c>
      <c r="C990" s="34" t="s">
        <v>147</v>
      </c>
      <c r="D990" s="34" t="s">
        <v>20</v>
      </c>
      <c r="E990" s="35"/>
      <c r="F990" s="36">
        <f t="shared" si="319"/>
        <v>0</v>
      </c>
      <c r="G990" s="38"/>
      <c r="H990" s="36">
        <f t="shared" si="320"/>
        <v>0</v>
      </c>
      <c r="I990" s="35"/>
      <c r="J990" s="36">
        <f t="shared" si="321"/>
        <v>0</v>
      </c>
      <c r="K990" s="38"/>
      <c r="L990" s="36">
        <f t="shared" si="322"/>
        <v>0</v>
      </c>
      <c r="M990" s="35"/>
      <c r="N990" s="36">
        <f t="shared" si="330"/>
        <v>0</v>
      </c>
      <c r="O990" s="38"/>
      <c r="P990" s="36">
        <f t="shared" si="323"/>
        <v>0</v>
      </c>
      <c r="Q990" s="35"/>
      <c r="R990" s="36">
        <f t="shared" si="331"/>
        <v>0</v>
      </c>
      <c r="S990" s="38"/>
      <c r="T990" s="36">
        <f t="shared" si="324"/>
        <v>0</v>
      </c>
      <c r="U990" s="35"/>
      <c r="V990" s="36">
        <f t="shared" si="332"/>
        <v>0</v>
      </c>
      <c r="W990" s="38"/>
      <c r="X990" s="36">
        <f t="shared" si="325"/>
        <v>0</v>
      </c>
      <c r="Y990" s="35"/>
      <c r="Z990" s="36">
        <f t="shared" si="333"/>
        <v>0</v>
      </c>
      <c r="AA990" s="38"/>
      <c r="AB990" s="36">
        <f t="shared" si="326"/>
        <v>0</v>
      </c>
      <c r="AC990" s="35"/>
      <c r="AD990" s="36">
        <f t="shared" si="334"/>
        <v>0</v>
      </c>
      <c r="AE990" s="38"/>
      <c r="AF990" s="36">
        <f t="shared" si="327"/>
        <v>0</v>
      </c>
      <c r="AG990" s="35"/>
      <c r="AH990" s="36">
        <f t="shared" si="335"/>
        <v>0</v>
      </c>
      <c r="AI990" s="38"/>
      <c r="AJ990" s="36">
        <f t="shared" si="328"/>
        <v>0</v>
      </c>
      <c r="AK990" s="35"/>
      <c r="AL990" s="36">
        <f t="shared" si="336"/>
        <v>0</v>
      </c>
      <c r="AM990" s="38"/>
      <c r="AN990" s="36">
        <f t="shared" si="329"/>
        <v>0</v>
      </c>
      <c r="AO990" s="35"/>
      <c r="AP990" s="38"/>
    </row>
    <row r="991" spans="1:42" ht="15.75" customHeight="1" x14ac:dyDescent="0.25">
      <c r="A991" s="37">
        <v>2017</v>
      </c>
      <c r="B991" s="35">
        <v>170255</v>
      </c>
      <c r="C991" s="34" t="s">
        <v>145</v>
      </c>
      <c r="D991" s="34" t="s">
        <v>21</v>
      </c>
      <c r="E991" s="35"/>
      <c r="F991" s="36">
        <f t="shared" si="319"/>
        <v>0</v>
      </c>
      <c r="G991" s="38"/>
      <c r="H991" s="36">
        <f t="shared" si="320"/>
        <v>0</v>
      </c>
      <c r="I991" s="35"/>
      <c r="J991" s="36">
        <f t="shared" si="321"/>
        <v>0</v>
      </c>
      <c r="K991" s="38"/>
      <c r="L991" s="36">
        <f t="shared" si="322"/>
        <v>0</v>
      </c>
      <c r="M991" s="35"/>
      <c r="N991" s="36">
        <f t="shared" si="330"/>
        <v>0</v>
      </c>
      <c r="O991" s="38"/>
      <c r="P991" s="36">
        <f t="shared" si="323"/>
        <v>0</v>
      </c>
      <c r="Q991" s="35"/>
      <c r="R991" s="36">
        <f t="shared" si="331"/>
        <v>0</v>
      </c>
      <c r="S991" s="38"/>
      <c r="T991" s="36">
        <f t="shared" si="324"/>
        <v>0</v>
      </c>
      <c r="U991" s="35"/>
      <c r="V991" s="36">
        <f t="shared" si="332"/>
        <v>0</v>
      </c>
      <c r="W991" s="38"/>
      <c r="X991" s="36">
        <f t="shared" si="325"/>
        <v>0</v>
      </c>
      <c r="Y991" s="35"/>
      <c r="Z991" s="36">
        <f t="shared" si="333"/>
        <v>0</v>
      </c>
      <c r="AA991" s="38"/>
      <c r="AB991" s="36">
        <f t="shared" si="326"/>
        <v>0</v>
      </c>
      <c r="AC991" s="35"/>
      <c r="AD991" s="36">
        <f t="shared" si="334"/>
        <v>0</v>
      </c>
      <c r="AE991" s="38"/>
      <c r="AF991" s="36">
        <f t="shared" si="327"/>
        <v>0</v>
      </c>
      <c r="AG991" s="35"/>
      <c r="AH991" s="36">
        <f t="shared" si="335"/>
        <v>0</v>
      </c>
      <c r="AI991" s="38"/>
      <c r="AJ991" s="36">
        <f t="shared" si="328"/>
        <v>0</v>
      </c>
      <c r="AK991" s="35"/>
      <c r="AL991" s="36">
        <f t="shared" si="336"/>
        <v>0</v>
      </c>
      <c r="AM991" s="38"/>
      <c r="AN991" s="36">
        <f t="shared" si="329"/>
        <v>0</v>
      </c>
      <c r="AO991" s="35"/>
      <c r="AP991" s="38"/>
    </row>
    <row r="992" spans="1:42" ht="15.75" customHeight="1" x14ac:dyDescent="0.25">
      <c r="A992" s="37">
        <v>2017</v>
      </c>
      <c r="B992" s="35">
        <v>170270</v>
      </c>
      <c r="C992" s="34" t="s">
        <v>147</v>
      </c>
      <c r="D992" s="34" t="s">
        <v>22</v>
      </c>
      <c r="E992" s="35"/>
      <c r="F992" s="36">
        <f t="shared" si="319"/>
        <v>0</v>
      </c>
      <c r="G992" s="38"/>
      <c r="H992" s="36">
        <f t="shared" si="320"/>
        <v>0</v>
      </c>
      <c r="I992" s="35"/>
      <c r="J992" s="36">
        <f t="shared" si="321"/>
        <v>0</v>
      </c>
      <c r="K992" s="38"/>
      <c r="L992" s="36">
        <f t="shared" si="322"/>
        <v>0</v>
      </c>
      <c r="M992" s="35"/>
      <c r="N992" s="36">
        <f t="shared" si="330"/>
        <v>0</v>
      </c>
      <c r="O992" s="38"/>
      <c r="P992" s="36">
        <f t="shared" si="323"/>
        <v>0</v>
      </c>
      <c r="Q992" s="35"/>
      <c r="R992" s="36">
        <f t="shared" si="331"/>
        <v>0</v>
      </c>
      <c r="S992" s="38"/>
      <c r="T992" s="36">
        <f t="shared" si="324"/>
        <v>0</v>
      </c>
      <c r="U992" s="35"/>
      <c r="V992" s="36">
        <f t="shared" si="332"/>
        <v>0</v>
      </c>
      <c r="W992" s="38"/>
      <c r="X992" s="36">
        <f t="shared" si="325"/>
        <v>0</v>
      </c>
      <c r="Y992" s="35"/>
      <c r="Z992" s="36">
        <f t="shared" si="333"/>
        <v>0</v>
      </c>
      <c r="AA992" s="38"/>
      <c r="AB992" s="36">
        <f t="shared" si="326"/>
        <v>0</v>
      </c>
      <c r="AC992" s="35"/>
      <c r="AD992" s="36">
        <f t="shared" si="334"/>
        <v>0</v>
      </c>
      <c r="AE992" s="38"/>
      <c r="AF992" s="36">
        <f t="shared" si="327"/>
        <v>0</v>
      </c>
      <c r="AG992" s="35"/>
      <c r="AH992" s="36">
        <f t="shared" si="335"/>
        <v>0</v>
      </c>
      <c r="AI992" s="38"/>
      <c r="AJ992" s="36">
        <f t="shared" si="328"/>
        <v>0</v>
      </c>
      <c r="AK992" s="35"/>
      <c r="AL992" s="36">
        <f t="shared" si="336"/>
        <v>0</v>
      </c>
      <c r="AM992" s="38"/>
      <c r="AN992" s="36">
        <f t="shared" si="329"/>
        <v>0</v>
      </c>
      <c r="AO992" s="35"/>
      <c r="AP992" s="38"/>
    </row>
    <row r="993" spans="1:42" ht="15.75" customHeight="1" x14ac:dyDescent="0.25">
      <c r="A993" s="37">
        <v>2017</v>
      </c>
      <c r="B993" s="35">
        <v>170290</v>
      </c>
      <c r="C993" s="34" t="s">
        <v>145</v>
      </c>
      <c r="D993" s="34" t="s">
        <v>23</v>
      </c>
      <c r="E993" s="35"/>
      <c r="F993" s="36">
        <f t="shared" si="319"/>
        <v>0</v>
      </c>
      <c r="G993" s="38"/>
      <c r="H993" s="36">
        <f t="shared" si="320"/>
        <v>0</v>
      </c>
      <c r="I993" s="35"/>
      <c r="J993" s="36">
        <f t="shared" si="321"/>
        <v>0</v>
      </c>
      <c r="K993" s="38"/>
      <c r="L993" s="36">
        <f t="shared" si="322"/>
        <v>0</v>
      </c>
      <c r="M993" s="35"/>
      <c r="N993" s="36">
        <f t="shared" si="330"/>
        <v>0</v>
      </c>
      <c r="O993" s="38"/>
      <c r="P993" s="36">
        <f t="shared" si="323"/>
        <v>0</v>
      </c>
      <c r="Q993" s="35"/>
      <c r="R993" s="36">
        <f t="shared" si="331"/>
        <v>0</v>
      </c>
      <c r="S993" s="38"/>
      <c r="T993" s="36">
        <f t="shared" si="324"/>
        <v>0</v>
      </c>
      <c r="U993" s="35"/>
      <c r="V993" s="36">
        <f t="shared" si="332"/>
        <v>0</v>
      </c>
      <c r="W993" s="38"/>
      <c r="X993" s="36">
        <f t="shared" si="325"/>
        <v>0</v>
      </c>
      <c r="Y993" s="35"/>
      <c r="Z993" s="36">
        <f t="shared" si="333"/>
        <v>0</v>
      </c>
      <c r="AA993" s="38"/>
      <c r="AB993" s="36">
        <f t="shared" si="326"/>
        <v>0</v>
      </c>
      <c r="AC993" s="35"/>
      <c r="AD993" s="36">
        <f t="shared" si="334"/>
        <v>0</v>
      </c>
      <c r="AE993" s="38"/>
      <c r="AF993" s="36">
        <f t="shared" si="327"/>
        <v>0</v>
      </c>
      <c r="AG993" s="35"/>
      <c r="AH993" s="36">
        <f t="shared" si="335"/>
        <v>0</v>
      </c>
      <c r="AI993" s="38"/>
      <c r="AJ993" s="36">
        <f t="shared" si="328"/>
        <v>0</v>
      </c>
      <c r="AK993" s="35"/>
      <c r="AL993" s="36">
        <f t="shared" si="336"/>
        <v>0</v>
      </c>
      <c r="AM993" s="38"/>
      <c r="AN993" s="36">
        <f t="shared" si="329"/>
        <v>0</v>
      </c>
      <c r="AO993" s="35"/>
      <c r="AP993" s="38"/>
    </row>
    <row r="994" spans="1:42" ht="15.75" customHeight="1" x14ac:dyDescent="0.25">
      <c r="A994" s="37">
        <v>2017</v>
      </c>
      <c r="B994" s="35">
        <v>170300</v>
      </c>
      <c r="C994" s="34" t="s">
        <v>149</v>
      </c>
      <c r="D994" s="34" t="s">
        <v>24</v>
      </c>
      <c r="E994" s="35"/>
      <c r="F994" s="36">
        <f t="shared" si="319"/>
        <v>0</v>
      </c>
      <c r="G994" s="38"/>
      <c r="H994" s="36">
        <f t="shared" si="320"/>
        <v>0</v>
      </c>
      <c r="I994" s="35"/>
      <c r="J994" s="36">
        <f t="shared" si="321"/>
        <v>0</v>
      </c>
      <c r="K994" s="38"/>
      <c r="L994" s="36">
        <f t="shared" si="322"/>
        <v>0</v>
      </c>
      <c r="M994" s="35"/>
      <c r="N994" s="36">
        <f t="shared" si="330"/>
        <v>0</v>
      </c>
      <c r="O994" s="38"/>
      <c r="P994" s="36">
        <f t="shared" si="323"/>
        <v>0</v>
      </c>
      <c r="Q994" s="35"/>
      <c r="R994" s="36">
        <f t="shared" si="331"/>
        <v>0</v>
      </c>
      <c r="S994" s="38"/>
      <c r="T994" s="36">
        <f t="shared" si="324"/>
        <v>0</v>
      </c>
      <c r="U994" s="35"/>
      <c r="V994" s="36">
        <f t="shared" si="332"/>
        <v>0</v>
      </c>
      <c r="W994" s="38"/>
      <c r="X994" s="36">
        <f t="shared" si="325"/>
        <v>0</v>
      </c>
      <c r="Y994" s="35"/>
      <c r="Z994" s="36">
        <f t="shared" si="333"/>
        <v>0</v>
      </c>
      <c r="AA994" s="38"/>
      <c r="AB994" s="36">
        <f t="shared" si="326"/>
        <v>0</v>
      </c>
      <c r="AC994" s="35"/>
      <c r="AD994" s="36">
        <f t="shared" si="334"/>
        <v>0</v>
      </c>
      <c r="AE994" s="38"/>
      <c r="AF994" s="36">
        <f t="shared" si="327"/>
        <v>0</v>
      </c>
      <c r="AG994" s="35"/>
      <c r="AH994" s="36">
        <f t="shared" si="335"/>
        <v>0</v>
      </c>
      <c r="AI994" s="38"/>
      <c r="AJ994" s="36">
        <f t="shared" si="328"/>
        <v>0</v>
      </c>
      <c r="AK994" s="35"/>
      <c r="AL994" s="36">
        <f t="shared" si="336"/>
        <v>0</v>
      </c>
      <c r="AM994" s="38"/>
      <c r="AN994" s="36">
        <f t="shared" si="329"/>
        <v>0</v>
      </c>
      <c r="AO994" s="35"/>
      <c r="AP994" s="38"/>
    </row>
    <row r="995" spans="1:42" ht="15.75" customHeight="1" x14ac:dyDescent="0.25">
      <c r="A995" s="37">
        <v>2017</v>
      </c>
      <c r="B995" s="35">
        <v>170305</v>
      </c>
      <c r="C995" s="34" t="s">
        <v>150</v>
      </c>
      <c r="D995" s="34" t="s">
        <v>25</v>
      </c>
      <c r="E995" s="35"/>
      <c r="F995" s="36">
        <f t="shared" si="319"/>
        <v>0</v>
      </c>
      <c r="G995" s="38"/>
      <c r="H995" s="36">
        <f t="shared" si="320"/>
        <v>0</v>
      </c>
      <c r="I995" s="35"/>
      <c r="J995" s="36">
        <f t="shared" si="321"/>
        <v>0</v>
      </c>
      <c r="K995" s="38"/>
      <c r="L995" s="36">
        <f t="shared" si="322"/>
        <v>0</v>
      </c>
      <c r="M995" s="35"/>
      <c r="N995" s="36">
        <f t="shared" si="330"/>
        <v>0</v>
      </c>
      <c r="O995" s="38"/>
      <c r="P995" s="36">
        <f t="shared" si="323"/>
        <v>0</v>
      </c>
      <c r="Q995" s="35"/>
      <c r="R995" s="36">
        <f t="shared" si="331"/>
        <v>0</v>
      </c>
      <c r="S995" s="38"/>
      <c r="T995" s="36">
        <f t="shared" si="324"/>
        <v>0</v>
      </c>
      <c r="U995" s="35"/>
      <c r="V995" s="36">
        <f t="shared" si="332"/>
        <v>0</v>
      </c>
      <c r="W995" s="38"/>
      <c r="X995" s="36">
        <f t="shared" si="325"/>
        <v>0</v>
      </c>
      <c r="Y995" s="35"/>
      <c r="Z995" s="36">
        <f t="shared" si="333"/>
        <v>0</v>
      </c>
      <c r="AA995" s="38"/>
      <c r="AB995" s="36">
        <f t="shared" si="326"/>
        <v>0</v>
      </c>
      <c r="AC995" s="35"/>
      <c r="AD995" s="36">
        <f t="shared" si="334"/>
        <v>0</v>
      </c>
      <c r="AE995" s="38"/>
      <c r="AF995" s="36">
        <f t="shared" si="327"/>
        <v>0</v>
      </c>
      <c r="AG995" s="35"/>
      <c r="AH995" s="36">
        <f t="shared" si="335"/>
        <v>0</v>
      </c>
      <c r="AI995" s="38"/>
      <c r="AJ995" s="36">
        <f t="shared" si="328"/>
        <v>0</v>
      </c>
      <c r="AK995" s="35"/>
      <c r="AL995" s="36">
        <f t="shared" si="336"/>
        <v>0</v>
      </c>
      <c r="AM995" s="38"/>
      <c r="AN995" s="36">
        <f t="shared" si="329"/>
        <v>0</v>
      </c>
      <c r="AO995" s="35"/>
      <c r="AP995" s="38"/>
    </row>
    <row r="996" spans="1:42" ht="15.75" customHeight="1" x14ac:dyDescent="0.25">
      <c r="A996" s="37">
        <v>2017</v>
      </c>
      <c r="B996" s="35">
        <v>170307</v>
      </c>
      <c r="C996" s="34" t="s">
        <v>149</v>
      </c>
      <c r="D996" s="34" t="s">
        <v>26</v>
      </c>
      <c r="E996" s="35"/>
      <c r="F996" s="36">
        <f t="shared" si="319"/>
        <v>0</v>
      </c>
      <c r="G996" s="38"/>
      <c r="H996" s="36">
        <f t="shared" si="320"/>
        <v>0</v>
      </c>
      <c r="I996" s="35"/>
      <c r="J996" s="36">
        <f t="shared" si="321"/>
        <v>0</v>
      </c>
      <c r="K996" s="38"/>
      <c r="L996" s="36">
        <f t="shared" si="322"/>
        <v>0</v>
      </c>
      <c r="M996" s="35"/>
      <c r="N996" s="36">
        <f t="shared" si="330"/>
        <v>0</v>
      </c>
      <c r="O996" s="38"/>
      <c r="P996" s="36">
        <f t="shared" si="323"/>
        <v>0</v>
      </c>
      <c r="Q996" s="35"/>
      <c r="R996" s="36">
        <f t="shared" si="331"/>
        <v>0</v>
      </c>
      <c r="S996" s="38"/>
      <c r="T996" s="36">
        <f t="shared" si="324"/>
        <v>0</v>
      </c>
      <c r="U996" s="35"/>
      <c r="V996" s="36">
        <f t="shared" si="332"/>
        <v>0</v>
      </c>
      <c r="W996" s="38"/>
      <c r="X996" s="36">
        <f t="shared" si="325"/>
        <v>0</v>
      </c>
      <c r="Y996" s="35"/>
      <c r="Z996" s="36">
        <f t="shared" si="333"/>
        <v>0</v>
      </c>
      <c r="AA996" s="38"/>
      <c r="AB996" s="36">
        <f t="shared" si="326"/>
        <v>0</v>
      </c>
      <c r="AC996" s="35"/>
      <c r="AD996" s="36">
        <f t="shared" si="334"/>
        <v>0</v>
      </c>
      <c r="AE996" s="38"/>
      <c r="AF996" s="36">
        <f t="shared" si="327"/>
        <v>0</v>
      </c>
      <c r="AG996" s="35"/>
      <c r="AH996" s="36">
        <f t="shared" si="335"/>
        <v>0</v>
      </c>
      <c r="AI996" s="38"/>
      <c r="AJ996" s="36">
        <f t="shared" si="328"/>
        <v>0</v>
      </c>
      <c r="AK996" s="35"/>
      <c r="AL996" s="36">
        <f t="shared" si="336"/>
        <v>0</v>
      </c>
      <c r="AM996" s="38"/>
      <c r="AN996" s="36">
        <f t="shared" si="329"/>
        <v>0</v>
      </c>
      <c r="AO996" s="35"/>
      <c r="AP996" s="38"/>
    </row>
    <row r="997" spans="1:42" ht="15.75" customHeight="1" x14ac:dyDescent="0.25">
      <c r="A997" s="37">
        <v>2017</v>
      </c>
      <c r="B997" s="35">
        <v>170310</v>
      </c>
      <c r="C997" s="34" t="s">
        <v>144</v>
      </c>
      <c r="D997" s="34" t="s">
        <v>27</v>
      </c>
      <c r="E997" s="35"/>
      <c r="F997" s="36">
        <f t="shared" si="319"/>
        <v>0</v>
      </c>
      <c r="G997" s="38"/>
      <c r="H997" s="36">
        <f t="shared" si="320"/>
        <v>0</v>
      </c>
      <c r="I997" s="35"/>
      <c r="J997" s="36">
        <f t="shared" si="321"/>
        <v>0</v>
      </c>
      <c r="K997" s="38"/>
      <c r="L997" s="36">
        <f t="shared" si="322"/>
        <v>0</v>
      </c>
      <c r="M997" s="35"/>
      <c r="N997" s="36">
        <f t="shared" si="330"/>
        <v>0</v>
      </c>
      <c r="O997" s="38"/>
      <c r="P997" s="36">
        <f t="shared" si="323"/>
        <v>0</v>
      </c>
      <c r="Q997" s="35"/>
      <c r="R997" s="36">
        <f t="shared" si="331"/>
        <v>0</v>
      </c>
      <c r="S997" s="38"/>
      <c r="T997" s="36">
        <f t="shared" si="324"/>
        <v>0</v>
      </c>
      <c r="U997" s="35"/>
      <c r="V997" s="36">
        <f t="shared" si="332"/>
        <v>0</v>
      </c>
      <c r="W997" s="38"/>
      <c r="X997" s="36">
        <f t="shared" si="325"/>
        <v>0</v>
      </c>
      <c r="Y997" s="35"/>
      <c r="Z997" s="36">
        <f t="shared" si="333"/>
        <v>0</v>
      </c>
      <c r="AA997" s="38"/>
      <c r="AB997" s="36">
        <f t="shared" si="326"/>
        <v>0</v>
      </c>
      <c r="AC997" s="35"/>
      <c r="AD997" s="36">
        <f t="shared" si="334"/>
        <v>0</v>
      </c>
      <c r="AE997" s="38"/>
      <c r="AF997" s="36">
        <f t="shared" si="327"/>
        <v>0</v>
      </c>
      <c r="AG997" s="35"/>
      <c r="AH997" s="36">
        <f t="shared" si="335"/>
        <v>0</v>
      </c>
      <c r="AI997" s="38"/>
      <c r="AJ997" s="36">
        <f t="shared" si="328"/>
        <v>0</v>
      </c>
      <c r="AK997" s="35"/>
      <c r="AL997" s="36">
        <f t="shared" si="336"/>
        <v>0</v>
      </c>
      <c r="AM997" s="38"/>
      <c r="AN997" s="36">
        <f t="shared" si="329"/>
        <v>0</v>
      </c>
      <c r="AO997" s="35"/>
      <c r="AP997" s="38"/>
    </row>
    <row r="998" spans="1:42" ht="15.75" customHeight="1" x14ac:dyDescent="0.25">
      <c r="A998" s="37">
        <v>2017</v>
      </c>
      <c r="B998" s="35">
        <v>170320</v>
      </c>
      <c r="C998" s="34" t="s">
        <v>150</v>
      </c>
      <c r="D998" s="34" t="s">
        <v>28</v>
      </c>
      <c r="E998" s="35"/>
      <c r="F998" s="36">
        <f t="shared" si="319"/>
        <v>0</v>
      </c>
      <c r="G998" s="38"/>
      <c r="H998" s="36">
        <f t="shared" si="320"/>
        <v>0</v>
      </c>
      <c r="I998" s="35"/>
      <c r="J998" s="36">
        <f t="shared" si="321"/>
        <v>0</v>
      </c>
      <c r="K998" s="38"/>
      <c r="L998" s="36">
        <f t="shared" si="322"/>
        <v>0</v>
      </c>
      <c r="M998" s="35"/>
      <c r="N998" s="36">
        <f t="shared" si="330"/>
        <v>0</v>
      </c>
      <c r="O998" s="38"/>
      <c r="P998" s="36">
        <f t="shared" si="323"/>
        <v>0</v>
      </c>
      <c r="Q998" s="35"/>
      <c r="R998" s="36">
        <f t="shared" si="331"/>
        <v>0</v>
      </c>
      <c r="S998" s="38"/>
      <c r="T998" s="36">
        <f t="shared" si="324"/>
        <v>0</v>
      </c>
      <c r="U998" s="35"/>
      <c r="V998" s="36">
        <f t="shared" si="332"/>
        <v>0</v>
      </c>
      <c r="W998" s="38"/>
      <c r="X998" s="36">
        <f t="shared" si="325"/>
        <v>0</v>
      </c>
      <c r="Y998" s="35"/>
      <c r="Z998" s="36">
        <f t="shared" si="333"/>
        <v>0</v>
      </c>
      <c r="AA998" s="38"/>
      <c r="AB998" s="36">
        <f t="shared" si="326"/>
        <v>0</v>
      </c>
      <c r="AC998" s="35"/>
      <c r="AD998" s="36">
        <f t="shared" si="334"/>
        <v>0</v>
      </c>
      <c r="AE998" s="38"/>
      <c r="AF998" s="36">
        <f t="shared" si="327"/>
        <v>0</v>
      </c>
      <c r="AG998" s="35"/>
      <c r="AH998" s="36">
        <f t="shared" si="335"/>
        <v>0</v>
      </c>
      <c r="AI998" s="38"/>
      <c r="AJ998" s="36">
        <f t="shared" si="328"/>
        <v>0</v>
      </c>
      <c r="AK998" s="35"/>
      <c r="AL998" s="36">
        <f t="shared" si="336"/>
        <v>0</v>
      </c>
      <c r="AM998" s="38"/>
      <c r="AN998" s="36">
        <f t="shared" si="329"/>
        <v>0</v>
      </c>
      <c r="AO998" s="35"/>
      <c r="AP998" s="38"/>
    </row>
    <row r="999" spans="1:42" ht="15.75" customHeight="1" x14ac:dyDescent="0.25">
      <c r="A999" s="37">
        <v>2017</v>
      </c>
      <c r="B999" s="35">
        <v>170330</v>
      </c>
      <c r="C999" s="34" t="s">
        <v>150</v>
      </c>
      <c r="D999" s="34" t="s">
        <v>29</v>
      </c>
      <c r="E999" s="35"/>
      <c r="F999" s="36">
        <f t="shared" si="319"/>
        <v>0</v>
      </c>
      <c r="G999" s="38"/>
      <c r="H999" s="36">
        <f t="shared" si="320"/>
        <v>0</v>
      </c>
      <c r="I999" s="35"/>
      <c r="J999" s="36">
        <f t="shared" si="321"/>
        <v>0</v>
      </c>
      <c r="K999" s="38"/>
      <c r="L999" s="36">
        <f t="shared" si="322"/>
        <v>0</v>
      </c>
      <c r="M999" s="35"/>
      <c r="N999" s="36">
        <f t="shared" si="330"/>
        <v>0</v>
      </c>
      <c r="O999" s="38"/>
      <c r="P999" s="36">
        <f t="shared" si="323"/>
        <v>0</v>
      </c>
      <c r="Q999" s="35"/>
      <c r="R999" s="36">
        <f t="shared" si="331"/>
        <v>0</v>
      </c>
      <c r="S999" s="38"/>
      <c r="T999" s="36">
        <f t="shared" si="324"/>
        <v>0</v>
      </c>
      <c r="U999" s="35"/>
      <c r="V999" s="36">
        <f t="shared" si="332"/>
        <v>0</v>
      </c>
      <c r="W999" s="38"/>
      <c r="X999" s="36">
        <f t="shared" si="325"/>
        <v>0</v>
      </c>
      <c r="Y999" s="35"/>
      <c r="Z999" s="36">
        <f t="shared" si="333"/>
        <v>0</v>
      </c>
      <c r="AA999" s="38"/>
      <c r="AB999" s="36">
        <f t="shared" si="326"/>
        <v>0</v>
      </c>
      <c r="AC999" s="35"/>
      <c r="AD999" s="36">
        <f t="shared" si="334"/>
        <v>0</v>
      </c>
      <c r="AE999" s="38"/>
      <c r="AF999" s="36">
        <f t="shared" si="327"/>
        <v>0</v>
      </c>
      <c r="AG999" s="35"/>
      <c r="AH999" s="36">
        <f t="shared" si="335"/>
        <v>0</v>
      </c>
      <c r="AI999" s="38"/>
      <c r="AJ999" s="36">
        <f t="shared" si="328"/>
        <v>0</v>
      </c>
      <c r="AK999" s="35"/>
      <c r="AL999" s="36">
        <f t="shared" si="336"/>
        <v>0</v>
      </c>
      <c r="AM999" s="38"/>
      <c r="AN999" s="36">
        <f t="shared" si="329"/>
        <v>0</v>
      </c>
      <c r="AO999" s="35"/>
      <c r="AP999" s="38"/>
    </row>
    <row r="1000" spans="1:42" ht="15.75" customHeight="1" x14ac:dyDescent="0.25">
      <c r="A1000" s="37">
        <v>2017</v>
      </c>
      <c r="B1000" s="35">
        <v>170360</v>
      </c>
      <c r="C1000" s="34" t="s">
        <v>150</v>
      </c>
      <c r="D1000" s="34" t="s">
        <v>30</v>
      </c>
      <c r="E1000" s="35"/>
      <c r="F1000" s="36">
        <f t="shared" si="319"/>
        <v>0</v>
      </c>
      <c r="G1000" s="38"/>
      <c r="H1000" s="36">
        <f t="shared" si="320"/>
        <v>0</v>
      </c>
      <c r="I1000" s="35"/>
      <c r="J1000" s="36">
        <f t="shared" si="321"/>
        <v>0</v>
      </c>
      <c r="K1000" s="38"/>
      <c r="L1000" s="36">
        <f t="shared" si="322"/>
        <v>0</v>
      </c>
      <c r="M1000" s="35"/>
      <c r="N1000" s="36">
        <f t="shared" si="330"/>
        <v>0</v>
      </c>
      <c r="O1000" s="38"/>
      <c r="P1000" s="36">
        <f t="shared" si="323"/>
        <v>0</v>
      </c>
      <c r="Q1000" s="35"/>
      <c r="R1000" s="36">
        <f t="shared" si="331"/>
        <v>0</v>
      </c>
      <c r="S1000" s="38"/>
      <c r="T1000" s="36">
        <f t="shared" si="324"/>
        <v>0</v>
      </c>
      <c r="U1000" s="35"/>
      <c r="V1000" s="36">
        <f t="shared" si="332"/>
        <v>0</v>
      </c>
      <c r="W1000" s="38"/>
      <c r="X1000" s="36">
        <f t="shared" si="325"/>
        <v>0</v>
      </c>
      <c r="Y1000" s="35"/>
      <c r="Z1000" s="36">
        <f t="shared" si="333"/>
        <v>0</v>
      </c>
      <c r="AA1000" s="38"/>
      <c r="AB1000" s="36">
        <f t="shared" si="326"/>
        <v>0</v>
      </c>
      <c r="AC1000" s="35"/>
      <c r="AD1000" s="36">
        <f t="shared" si="334"/>
        <v>0</v>
      </c>
      <c r="AE1000" s="38"/>
      <c r="AF1000" s="36">
        <f t="shared" si="327"/>
        <v>0</v>
      </c>
      <c r="AG1000" s="35"/>
      <c r="AH1000" s="36">
        <f t="shared" si="335"/>
        <v>0</v>
      </c>
      <c r="AI1000" s="38"/>
      <c r="AJ1000" s="36">
        <f t="shared" si="328"/>
        <v>0</v>
      </c>
      <c r="AK1000" s="35"/>
      <c r="AL1000" s="36">
        <f t="shared" si="336"/>
        <v>0</v>
      </c>
      <c r="AM1000" s="38"/>
      <c r="AN1000" s="36">
        <f t="shared" si="329"/>
        <v>0</v>
      </c>
      <c r="AO1000" s="35"/>
      <c r="AP1000" s="38"/>
    </row>
    <row r="1001" spans="1:42" ht="15.75" customHeight="1" x14ac:dyDescent="0.25">
      <c r="A1001" s="37">
        <v>2017</v>
      </c>
      <c r="B1001" s="35">
        <v>170370</v>
      </c>
      <c r="C1001" s="34" t="s">
        <v>151</v>
      </c>
      <c r="D1001" s="34" t="s">
        <v>31</v>
      </c>
      <c r="E1001" s="35"/>
      <c r="F1001" s="36">
        <f t="shared" si="319"/>
        <v>0</v>
      </c>
      <c r="G1001" s="38"/>
      <c r="H1001" s="36">
        <f t="shared" si="320"/>
        <v>0</v>
      </c>
      <c r="I1001" s="35"/>
      <c r="J1001" s="36">
        <f t="shared" si="321"/>
        <v>0</v>
      </c>
      <c r="K1001" s="38"/>
      <c r="L1001" s="36">
        <f t="shared" si="322"/>
        <v>0</v>
      </c>
      <c r="M1001" s="35"/>
      <c r="N1001" s="36">
        <f t="shared" si="330"/>
        <v>0</v>
      </c>
      <c r="O1001" s="38"/>
      <c r="P1001" s="36">
        <f t="shared" si="323"/>
        <v>0</v>
      </c>
      <c r="Q1001" s="35"/>
      <c r="R1001" s="36">
        <f t="shared" si="331"/>
        <v>0</v>
      </c>
      <c r="S1001" s="38"/>
      <c r="T1001" s="36">
        <f t="shared" si="324"/>
        <v>0</v>
      </c>
      <c r="U1001" s="35"/>
      <c r="V1001" s="36">
        <f t="shared" si="332"/>
        <v>0</v>
      </c>
      <c r="W1001" s="38"/>
      <c r="X1001" s="36">
        <f t="shared" si="325"/>
        <v>0</v>
      </c>
      <c r="Y1001" s="35"/>
      <c r="Z1001" s="36">
        <f t="shared" si="333"/>
        <v>0</v>
      </c>
      <c r="AA1001" s="38"/>
      <c r="AB1001" s="36">
        <f t="shared" si="326"/>
        <v>0</v>
      </c>
      <c r="AC1001" s="35"/>
      <c r="AD1001" s="36">
        <f t="shared" si="334"/>
        <v>0</v>
      </c>
      <c r="AE1001" s="38"/>
      <c r="AF1001" s="36">
        <f t="shared" si="327"/>
        <v>0</v>
      </c>
      <c r="AG1001" s="35"/>
      <c r="AH1001" s="36">
        <f t="shared" si="335"/>
        <v>0</v>
      </c>
      <c r="AI1001" s="38"/>
      <c r="AJ1001" s="36">
        <f t="shared" si="328"/>
        <v>0</v>
      </c>
      <c r="AK1001" s="35"/>
      <c r="AL1001" s="36">
        <f t="shared" si="336"/>
        <v>0</v>
      </c>
      <c r="AM1001" s="38"/>
      <c r="AN1001" s="36">
        <f t="shared" si="329"/>
        <v>0</v>
      </c>
      <c r="AO1001" s="35"/>
      <c r="AP1001" s="38"/>
    </row>
    <row r="1002" spans="1:42" ht="15.75" customHeight="1" x14ac:dyDescent="0.25">
      <c r="A1002" s="37">
        <v>2017</v>
      </c>
      <c r="B1002" s="35">
        <v>170380</v>
      </c>
      <c r="C1002" s="34" t="s">
        <v>145</v>
      </c>
      <c r="D1002" s="34" t="s">
        <v>32</v>
      </c>
      <c r="E1002" s="35"/>
      <c r="F1002" s="36">
        <f t="shared" si="319"/>
        <v>0</v>
      </c>
      <c r="G1002" s="38"/>
      <c r="H1002" s="36">
        <f t="shared" si="320"/>
        <v>0</v>
      </c>
      <c r="I1002" s="35"/>
      <c r="J1002" s="36">
        <f t="shared" si="321"/>
        <v>0</v>
      </c>
      <c r="K1002" s="38"/>
      <c r="L1002" s="36">
        <f t="shared" si="322"/>
        <v>0</v>
      </c>
      <c r="M1002" s="35"/>
      <c r="N1002" s="36">
        <f t="shared" si="330"/>
        <v>0</v>
      </c>
      <c r="O1002" s="38"/>
      <c r="P1002" s="36">
        <f t="shared" si="323"/>
        <v>0</v>
      </c>
      <c r="Q1002" s="35"/>
      <c r="R1002" s="36">
        <f t="shared" si="331"/>
        <v>0</v>
      </c>
      <c r="S1002" s="38"/>
      <c r="T1002" s="36">
        <f t="shared" si="324"/>
        <v>0</v>
      </c>
      <c r="U1002" s="35"/>
      <c r="V1002" s="36">
        <f t="shared" si="332"/>
        <v>0</v>
      </c>
      <c r="W1002" s="38"/>
      <c r="X1002" s="36">
        <f t="shared" si="325"/>
        <v>0</v>
      </c>
      <c r="Y1002" s="35"/>
      <c r="Z1002" s="36">
        <f t="shared" si="333"/>
        <v>0</v>
      </c>
      <c r="AA1002" s="38"/>
      <c r="AB1002" s="36">
        <f t="shared" si="326"/>
        <v>0</v>
      </c>
      <c r="AC1002" s="35"/>
      <c r="AD1002" s="36">
        <f t="shared" si="334"/>
        <v>0</v>
      </c>
      <c r="AE1002" s="38"/>
      <c r="AF1002" s="36">
        <f t="shared" si="327"/>
        <v>0</v>
      </c>
      <c r="AG1002" s="35"/>
      <c r="AH1002" s="36">
        <f t="shared" si="335"/>
        <v>0</v>
      </c>
      <c r="AI1002" s="38"/>
      <c r="AJ1002" s="36">
        <f t="shared" si="328"/>
        <v>0</v>
      </c>
      <c r="AK1002" s="35"/>
      <c r="AL1002" s="36">
        <f t="shared" si="336"/>
        <v>0</v>
      </c>
      <c r="AM1002" s="38"/>
      <c r="AN1002" s="36">
        <f t="shared" si="329"/>
        <v>0</v>
      </c>
      <c r="AO1002" s="35"/>
      <c r="AP1002" s="38"/>
    </row>
    <row r="1003" spans="1:42" ht="15.75" customHeight="1" x14ac:dyDescent="0.25">
      <c r="A1003" s="37">
        <v>2017</v>
      </c>
      <c r="B1003" s="35">
        <v>170382</v>
      </c>
      <c r="C1003" s="34" t="s">
        <v>145</v>
      </c>
      <c r="D1003" s="34" t="s">
        <v>33</v>
      </c>
      <c r="E1003" s="35"/>
      <c r="F1003" s="36">
        <f t="shared" si="319"/>
        <v>0</v>
      </c>
      <c r="G1003" s="38"/>
      <c r="H1003" s="36">
        <f t="shared" si="320"/>
        <v>0</v>
      </c>
      <c r="I1003" s="35"/>
      <c r="J1003" s="36">
        <f t="shared" si="321"/>
        <v>0</v>
      </c>
      <c r="K1003" s="38"/>
      <c r="L1003" s="36">
        <f t="shared" si="322"/>
        <v>0</v>
      </c>
      <c r="M1003" s="35"/>
      <c r="N1003" s="36">
        <f t="shared" si="330"/>
        <v>0</v>
      </c>
      <c r="O1003" s="38"/>
      <c r="P1003" s="36">
        <f t="shared" si="323"/>
        <v>0</v>
      </c>
      <c r="Q1003" s="35"/>
      <c r="R1003" s="36">
        <f t="shared" si="331"/>
        <v>0</v>
      </c>
      <c r="S1003" s="38"/>
      <c r="T1003" s="36">
        <f t="shared" si="324"/>
        <v>0</v>
      </c>
      <c r="U1003" s="35"/>
      <c r="V1003" s="36">
        <f t="shared" si="332"/>
        <v>0</v>
      </c>
      <c r="W1003" s="38"/>
      <c r="X1003" s="36">
        <f t="shared" si="325"/>
        <v>0</v>
      </c>
      <c r="Y1003" s="35"/>
      <c r="Z1003" s="36">
        <f t="shared" si="333"/>
        <v>0</v>
      </c>
      <c r="AA1003" s="38"/>
      <c r="AB1003" s="36">
        <f t="shared" si="326"/>
        <v>0</v>
      </c>
      <c r="AC1003" s="35"/>
      <c r="AD1003" s="36">
        <f t="shared" si="334"/>
        <v>0</v>
      </c>
      <c r="AE1003" s="38"/>
      <c r="AF1003" s="36">
        <f t="shared" si="327"/>
        <v>0</v>
      </c>
      <c r="AG1003" s="35"/>
      <c r="AH1003" s="36">
        <f t="shared" si="335"/>
        <v>0</v>
      </c>
      <c r="AI1003" s="38"/>
      <c r="AJ1003" s="36">
        <f t="shared" si="328"/>
        <v>0</v>
      </c>
      <c r="AK1003" s="35"/>
      <c r="AL1003" s="36">
        <f t="shared" si="336"/>
        <v>0</v>
      </c>
      <c r="AM1003" s="38"/>
      <c r="AN1003" s="36">
        <f t="shared" si="329"/>
        <v>0</v>
      </c>
      <c r="AO1003" s="35"/>
      <c r="AP1003" s="38"/>
    </row>
    <row r="1004" spans="1:42" ht="15.75" customHeight="1" x14ac:dyDescent="0.25">
      <c r="A1004" s="37">
        <v>2017</v>
      </c>
      <c r="B1004" s="35">
        <v>170384</v>
      </c>
      <c r="C1004" s="34" t="s">
        <v>149</v>
      </c>
      <c r="D1004" s="34" t="s">
        <v>34</v>
      </c>
      <c r="E1004" s="35"/>
      <c r="F1004" s="36">
        <f t="shared" si="319"/>
        <v>0</v>
      </c>
      <c r="G1004" s="38"/>
      <c r="H1004" s="36">
        <f t="shared" si="320"/>
        <v>0</v>
      </c>
      <c r="I1004" s="35"/>
      <c r="J1004" s="36">
        <f t="shared" si="321"/>
        <v>0</v>
      </c>
      <c r="K1004" s="38"/>
      <c r="L1004" s="36">
        <f t="shared" si="322"/>
        <v>0</v>
      </c>
      <c r="M1004" s="35"/>
      <c r="N1004" s="36">
        <f t="shared" si="330"/>
        <v>0</v>
      </c>
      <c r="O1004" s="38"/>
      <c r="P1004" s="36">
        <f t="shared" si="323"/>
        <v>0</v>
      </c>
      <c r="Q1004" s="35"/>
      <c r="R1004" s="36">
        <f t="shared" si="331"/>
        <v>0</v>
      </c>
      <c r="S1004" s="38"/>
      <c r="T1004" s="36">
        <f t="shared" si="324"/>
        <v>0</v>
      </c>
      <c r="U1004" s="35"/>
      <c r="V1004" s="36">
        <f t="shared" si="332"/>
        <v>0</v>
      </c>
      <c r="W1004" s="38"/>
      <c r="X1004" s="36">
        <f t="shared" si="325"/>
        <v>0</v>
      </c>
      <c r="Y1004" s="35"/>
      <c r="Z1004" s="36">
        <f t="shared" si="333"/>
        <v>0</v>
      </c>
      <c r="AA1004" s="38"/>
      <c r="AB1004" s="36">
        <f t="shared" si="326"/>
        <v>0</v>
      </c>
      <c r="AC1004" s="35"/>
      <c r="AD1004" s="36">
        <f t="shared" si="334"/>
        <v>0</v>
      </c>
      <c r="AE1004" s="38"/>
      <c r="AF1004" s="36">
        <f t="shared" si="327"/>
        <v>0</v>
      </c>
      <c r="AG1004" s="35"/>
      <c r="AH1004" s="36">
        <f t="shared" si="335"/>
        <v>0</v>
      </c>
      <c r="AI1004" s="38"/>
      <c r="AJ1004" s="36">
        <f t="shared" si="328"/>
        <v>0</v>
      </c>
      <c r="AK1004" s="35"/>
      <c r="AL1004" s="36">
        <f t="shared" si="336"/>
        <v>0</v>
      </c>
      <c r="AM1004" s="38"/>
      <c r="AN1004" s="36">
        <f t="shared" si="329"/>
        <v>0</v>
      </c>
      <c r="AO1004" s="35"/>
      <c r="AP1004" s="38"/>
    </row>
    <row r="1005" spans="1:42" ht="15.75" customHeight="1" x14ac:dyDescent="0.25">
      <c r="A1005" s="37">
        <v>2017</v>
      </c>
      <c r="B1005" s="35">
        <v>170386</v>
      </c>
      <c r="C1005" s="34" t="s">
        <v>146</v>
      </c>
      <c r="D1005" s="34" t="s">
        <v>35</v>
      </c>
      <c r="E1005" s="35"/>
      <c r="F1005" s="36">
        <f t="shared" si="319"/>
        <v>0</v>
      </c>
      <c r="G1005" s="38"/>
      <c r="H1005" s="36">
        <f t="shared" si="320"/>
        <v>0</v>
      </c>
      <c r="I1005" s="35"/>
      <c r="J1005" s="36">
        <f t="shared" si="321"/>
        <v>0</v>
      </c>
      <c r="K1005" s="38"/>
      <c r="L1005" s="36">
        <f t="shared" si="322"/>
        <v>0</v>
      </c>
      <c r="M1005" s="35"/>
      <c r="N1005" s="36">
        <f t="shared" si="330"/>
        <v>0</v>
      </c>
      <c r="O1005" s="38"/>
      <c r="P1005" s="36">
        <f t="shared" si="323"/>
        <v>0</v>
      </c>
      <c r="Q1005" s="35"/>
      <c r="R1005" s="36">
        <f t="shared" si="331"/>
        <v>0</v>
      </c>
      <c r="S1005" s="38"/>
      <c r="T1005" s="36">
        <f t="shared" si="324"/>
        <v>0</v>
      </c>
      <c r="U1005" s="35"/>
      <c r="V1005" s="36">
        <f t="shared" si="332"/>
        <v>0</v>
      </c>
      <c r="W1005" s="38"/>
      <c r="X1005" s="36">
        <f t="shared" si="325"/>
        <v>0</v>
      </c>
      <c r="Y1005" s="35"/>
      <c r="Z1005" s="36">
        <f t="shared" si="333"/>
        <v>0</v>
      </c>
      <c r="AA1005" s="38"/>
      <c r="AB1005" s="36">
        <f t="shared" si="326"/>
        <v>0</v>
      </c>
      <c r="AC1005" s="35"/>
      <c r="AD1005" s="36">
        <f t="shared" si="334"/>
        <v>0</v>
      </c>
      <c r="AE1005" s="38"/>
      <c r="AF1005" s="36">
        <f t="shared" si="327"/>
        <v>0</v>
      </c>
      <c r="AG1005" s="35"/>
      <c r="AH1005" s="36">
        <f t="shared" si="335"/>
        <v>0</v>
      </c>
      <c r="AI1005" s="38"/>
      <c r="AJ1005" s="36">
        <f t="shared" si="328"/>
        <v>0</v>
      </c>
      <c r="AK1005" s="35"/>
      <c r="AL1005" s="36">
        <f t="shared" si="336"/>
        <v>0</v>
      </c>
      <c r="AM1005" s="38"/>
      <c r="AN1005" s="36">
        <f t="shared" si="329"/>
        <v>0</v>
      </c>
      <c r="AO1005" s="35"/>
      <c r="AP1005" s="38"/>
    </row>
    <row r="1006" spans="1:42" ht="15.75" customHeight="1" x14ac:dyDescent="0.25">
      <c r="A1006" s="37">
        <v>2017</v>
      </c>
      <c r="B1006" s="35">
        <v>170388</v>
      </c>
      <c r="C1006" s="34" t="s">
        <v>149</v>
      </c>
      <c r="D1006" s="34" t="s">
        <v>36</v>
      </c>
      <c r="E1006" s="35"/>
      <c r="F1006" s="36">
        <f t="shared" si="319"/>
        <v>0</v>
      </c>
      <c r="G1006" s="38"/>
      <c r="H1006" s="36">
        <f t="shared" si="320"/>
        <v>0</v>
      </c>
      <c r="I1006" s="35"/>
      <c r="J1006" s="36">
        <f t="shared" si="321"/>
        <v>0</v>
      </c>
      <c r="K1006" s="38"/>
      <c r="L1006" s="36">
        <f t="shared" si="322"/>
        <v>0</v>
      </c>
      <c r="M1006" s="35"/>
      <c r="N1006" s="36">
        <f t="shared" ref="N1006:N1069" si="337">IFERROR(M1006/$AO1006,0)</f>
        <v>0</v>
      </c>
      <c r="O1006" s="38"/>
      <c r="P1006" s="36">
        <f t="shared" si="323"/>
        <v>0</v>
      </c>
      <c r="Q1006" s="35"/>
      <c r="R1006" s="36">
        <f t="shared" ref="R1006:R1069" si="338">IFERROR(Q1006/$AO1006,0)</f>
        <v>0</v>
      </c>
      <c r="S1006" s="38"/>
      <c r="T1006" s="36">
        <f t="shared" si="324"/>
        <v>0</v>
      </c>
      <c r="U1006" s="35"/>
      <c r="V1006" s="36">
        <f t="shared" ref="V1006:V1069" si="339">IFERROR(U1006/$AO1006,0)</f>
        <v>0</v>
      </c>
      <c r="W1006" s="38"/>
      <c r="X1006" s="36">
        <f t="shared" si="325"/>
        <v>0</v>
      </c>
      <c r="Y1006" s="35"/>
      <c r="Z1006" s="36">
        <f t="shared" ref="Z1006:Z1069" si="340">IFERROR(Y1006/$AO1006,0)</f>
        <v>0</v>
      </c>
      <c r="AA1006" s="38"/>
      <c r="AB1006" s="36">
        <f t="shared" si="326"/>
        <v>0</v>
      </c>
      <c r="AC1006" s="35"/>
      <c r="AD1006" s="36">
        <f t="shared" ref="AD1006:AD1069" si="341">IFERROR(AC1006/$AO1006,0)</f>
        <v>0</v>
      </c>
      <c r="AE1006" s="38"/>
      <c r="AF1006" s="36">
        <f t="shared" si="327"/>
        <v>0</v>
      </c>
      <c r="AG1006" s="35"/>
      <c r="AH1006" s="36">
        <f t="shared" ref="AH1006:AH1069" si="342">IFERROR(AG1006/$AO1006,0)</f>
        <v>0</v>
      </c>
      <c r="AI1006" s="38"/>
      <c r="AJ1006" s="36">
        <f t="shared" si="328"/>
        <v>0</v>
      </c>
      <c r="AK1006" s="35"/>
      <c r="AL1006" s="36">
        <f t="shared" ref="AL1006:AL1069" si="343">IFERROR(AK1006/$AO1006,0)</f>
        <v>0</v>
      </c>
      <c r="AM1006" s="38"/>
      <c r="AN1006" s="36">
        <f t="shared" si="329"/>
        <v>0</v>
      </c>
      <c r="AO1006" s="35"/>
      <c r="AP1006" s="38"/>
    </row>
    <row r="1007" spans="1:42" ht="15.75" customHeight="1" x14ac:dyDescent="0.25">
      <c r="A1007" s="37">
        <v>2017</v>
      </c>
      <c r="B1007" s="35">
        <v>170389</v>
      </c>
      <c r="C1007" s="34" t="s">
        <v>145</v>
      </c>
      <c r="D1007" s="34" t="s">
        <v>37</v>
      </c>
      <c r="E1007" s="35"/>
      <c r="F1007" s="36">
        <f t="shared" si="319"/>
        <v>0</v>
      </c>
      <c r="G1007" s="38"/>
      <c r="H1007" s="36">
        <f t="shared" si="320"/>
        <v>0</v>
      </c>
      <c r="I1007" s="35"/>
      <c r="J1007" s="36">
        <f t="shared" si="321"/>
        <v>0</v>
      </c>
      <c r="K1007" s="38"/>
      <c r="L1007" s="36">
        <f t="shared" si="322"/>
        <v>0</v>
      </c>
      <c r="M1007" s="35"/>
      <c r="N1007" s="36">
        <f t="shared" si="337"/>
        <v>0</v>
      </c>
      <c r="O1007" s="38"/>
      <c r="P1007" s="36">
        <f t="shared" si="323"/>
        <v>0</v>
      </c>
      <c r="Q1007" s="35"/>
      <c r="R1007" s="36">
        <f t="shared" si="338"/>
        <v>0</v>
      </c>
      <c r="S1007" s="38"/>
      <c r="T1007" s="36">
        <f t="shared" si="324"/>
        <v>0</v>
      </c>
      <c r="U1007" s="35"/>
      <c r="V1007" s="36">
        <f t="shared" si="339"/>
        <v>0</v>
      </c>
      <c r="W1007" s="38"/>
      <c r="X1007" s="36">
        <f t="shared" si="325"/>
        <v>0</v>
      </c>
      <c r="Y1007" s="35"/>
      <c r="Z1007" s="36">
        <f t="shared" si="340"/>
        <v>0</v>
      </c>
      <c r="AA1007" s="38"/>
      <c r="AB1007" s="36">
        <f t="shared" si="326"/>
        <v>0</v>
      </c>
      <c r="AC1007" s="35"/>
      <c r="AD1007" s="36">
        <f t="shared" si="341"/>
        <v>0</v>
      </c>
      <c r="AE1007" s="38"/>
      <c r="AF1007" s="36">
        <f t="shared" si="327"/>
        <v>0</v>
      </c>
      <c r="AG1007" s="35"/>
      <c r="AH1007" s="36">
        <f t="shared" si="342"/>
        <v>0</v>
      </c>
      <c r="AI1007" s="38"/>
      <c r="AJ1007" s="36">
        <f t="shared" si="328"/>
        <v>0</v>
      </c>
      <c r="AK1007" s="35"/>
      <c r="AL1007" s="36">
        <f t="shared" si="343"/>
        <v>0</v>
      </c>
      <c r="AM1007" s="38"/>
      <c r="AN1007" s="36">
        <f t="shared" si="329"/>
        <v>0</v>
      </c>
      <c r="AO1007" s="35"/>
      <c r="AP1007" s="38"/>
    </row>
    <row r="1008" spans="1:42" ht="15.75" customHeight="1" x14ac:dyDescent="0.25">
      <c r="A1008" s="37">
        <v>2017</v>
      </c>
      <c r="B1008" s="35">
        <v>170390</v>
      </c>
      <c r="C1008" s="34" t="s">
        <v>144</v>
      </c>
      <c r="D1008" s="34" t="s">
        <v>38</v>
      </c>
      <c r="E1008" s="35"/>
      <c r="F1008" s="36">
        <f t="shared" si="319"/>
        <v>0</v>
      </c>
      <c r="G1008" s="38"/>
      <c r="H1008" s="36">
        <f t="shared" si="320"/>
        <v>0</v>
      </c>
      <c r="I1008" s="35"/>
      <c r="J1008" s="36">
        <f t="shared" si="321"/>
        <v>0</v>
      </c>
      <c r="K1008" s="38"/>
      <c r="L1008" s="36">
        <f t="shared" si="322"/>
        <v>0</v>
      </c>
      <c r="M1008" s="35"/>
      <c r="N1008" s="36">
        <f t="shared" si="337"/>
        <v>0</v>
      </c>
      <c r="O1008" s="38"/>
      <c r="P1008" s="36">
        <f t="shared" si="323"/>
        <v>0</v>
      </c>
      <c r="Q1008" s="35"/>
      <c r="R1008" s="36">
        <f t="shared" si="338"/>
        <v>0</v>
      </c>
      <c r="S1008" s="38"/>
      <c r="T1008" s="36">
        <f t="shared" si="324"/>
        <v>0</v>
      </c>
      <c r="U1008" s="35"/>
      <c r="V1008" s="36">
        <f t="shared" si="339"/>
        <v>0</v>
      </c>
      <c r="W1008" s="38"/>
      <c r="X1008" s="36">
        <f t="shared" si="325"/>
        <v>0</v>
      </c>
      <c r="Y1008" s="35"/>
      <c r="Z1008" s="36">
        <f t="shared" si="340"/>
        <v>0</v>
      </c>
      <c r="AA1008" s="38"/>
      <c r="AB1008" s="36">
        <f t="shared" si="326"/>
        <v>0</v>
      </c>
      <c r="AC1008" s="35"/>
      <c r="AD1008" s="36">
        <f t="shared" si="341"/>
        <v>0</v>
      </c>
      <c r="AE1008" s="38"/>
      <c r="AF1008" s="36">
        <f t="shared" si="327"/>
        <v>0</v>
      </c>
      <c r="AG1008" s="35"/>
      <c r="AH1008" s="36">
        <f t="shared" si="342"/>
        <v>0</v>
      </c>
      <c r="AI1008" s="38"/>
      <c r="AJ1008" s="36">
        <f t="shared" si="328"/>
        <v>0</v>
      </c>
      <c r="AK1008" s="35"/>
      <c r="AL1008" s="36">
        <f t="shared" si="343"/>
        <v>0</v>
      </c>
      <c r="AM1008" s="38"/>
      <c r="AN1008" s="36">
        <f t="shared" si="329"/>
        <v>0</v>
      </c>
      <c r="AO1008" s="35"/>
      <c r="AP1008" s="38"/>
    </row>
    <row r="1009" spans="1:42" ht="15.75" customHeight="1" x14ac:dyDescent="0.25">
      <c r="A1009" s="37">
        <v>2017</v>
      </c>
      <c r="B1009" s="35">
        <v>170410</v>
      </c>
      <c r="C1009" s="34" t="s">
        <v>150</v>
      </c>
      <c r="D1009" s="34" t="s">
        <v>39</v>
      </c>
      <c r="E1009" s="35"/>
      <c r="F1009" s="36">
        <f t="shared" si="319"/>
        <v>0</v>
      </c>
      <c r="G1009" s="38"/>
      <c r="H1009" s="36">
        <f t="shared" si="320"/>
        <v>0</v>
      </c>
      <c r="I1009" s="35"/>
      <c r="J1009" s="36">
        <f t="shared" si="321"/>
        <v>0</v>
      </c>
      <c r="K1009" s="38"/>
      <c r="L1009" s="36">
        <f t="shared" si="322"/>
        <v>0</v>
      </c>
      <c r="M1009" s="35"/>
      <c r="N1009" s="36">
        <f t="shared" si="337"/>
        <v>0</v>
      </c>
      <c r="O1009" s="38"/>
      <c r="P1009" s="36">
        <f t="shared" si="323"/>
        <v>0</v>
      </c>
      <c r="Q1009" s="35"/>
      <c r="R1009" s="36">
        <f t="shared" si="338"/>
        <v>0</v>
      </c>
      <c r="S1009" s="38"/>
      <c r="T1009" s="36">
        <f t="shared" si="324"/>
        <v>0</v>
      </c>
      <c r="U1009" s="35"/>
      <c r="V1009" s="36">
        <f t="shared" si="339"/>
        <v>0</v>
      </c>
      <c r="W1009" s="38"/>
      <c r="X1009" s="36">
        <f t="shared" si="325"/>
        <v>0</v>
      </c>
      <c r="Y1009" s="35"/>
      <c r="Z1009" s="36">
        <f t="shared" si="340"/>
        <v>0</v>
      </c>
      <c r="AA1009" s="38"/>
      <c r="AB1009" s="36">
        <f t="shared" si="326"/>
        <v>0</v>
      </c>
      <c r="AC1009" s="35"/>
      <c r="AD1009" s="36">
        <f t="shared" si="341"/>
        <v>0</v>
      </c>
      <c r="AE1009" s="38"/>
      <c r="AF1009" s="36">
        <f t="shared" si="327"/>
        <v>0</v>
      </c>
      <c r="AG1009" s="35"/>
      <c r="AH1009" s="36">
        <f t="shared" si="342"/>
        <v>0</v>
      </c>
      <c r="AI1009" s="38"/>
      <c r="AJ1009" s="36">
        <f t="shared" si="328"/>
        <v>0</v>
      </c>
      <c r="AK1009" s="35"/>
      <c r="AL1009" s="36">
        <f t="shared" si="343"/>
        <v>0</v>
      </c>
      <c r="AM1009" s="38"/>
      <c r="AN1009" s="36">
        <f t="shared" si="329"/>
        <v>0</v>
      </c>
      <c r="AO1009" s="35"/>
      <c r="AP1009" s="38"/>
    </row>
    <row r="1010" spans="1:42" ht="15.75" customHeight="1" x14ac:dyDescent="0.25">
      <c r="A1010" s="37">
        <v>2017</v>
      </c>
      <c r="B1010" s="35">
        <v>170510</v>
      </c>
      <c r="C1010" s="34" t="s">
        <v>151</v>
      </c>
      <c r="D1010" s="34" t="s">
        <v>40</v>
      </c>
      <c r="E1010" s="35"/>
      <c r="F1010" s="36">
        <f t="shared" si="319"/>
        <v>0</v>
      </c>
      <c r="G1010" s="38"/>
      <c r="H1010" s="36">
        <f t="shared" si="320"/>
        <v>0</v>
      </c>
      <c r="I1010" s="35"/>
      <c r="J1010" s="36">
        <f t="shared" si="321"/>
        <v>0</v>
      </c>
      <c r="K1010" s="38"/>
      <c r="L1010" s="36">
        <f t="shared" si="322"/>
        <v>0</v>
      </c>
      <c r="M1010" s="35"/>
      <c r="N1010" s="36">
        <f t="shared" si="337"/>
        <v>0</v>
      </c>
      <c r="O1010" s="38"/>
      <c r="P1010" s="36">
        <f t="shared" si="323"/>
        <v>0</v>
      </c>
      <c r="Q1010" s="35"/>
      <c r="R1010" s="36">
        <f t="shared" si="338"/>
        <v>0</v>
      </c>
      <c r="S1010" s="38"/>
      <c r="T1010" s="36">
        <f t="shared" si="324"/>
        <v>0</v>
      </c>
      <c r="U1010" s="35"/>
      <c r="V1010" s="36">
        <f t="shared" si="339"/>
        <v>0</v>
      </c>
      <c r="W1010" s="38"/>
      <c r="X1010" s="36">
        <f t="shared" si="325"/>
        <v>0</v>
      </c>
      <c r="Y1010" s="35"/>
      <c r="Z1010" s="36">
        <f t="shared" si="340"/>
        <v>0</v>
      </c>
      <c r="AA1010" s="38"/>
      <c r="AB1010" s="36">
        <f t="shared" si="326"/>
        <v>0</v>
      </c>
      <c r="AC1010" s="35"/>
      <c r="AD1010" s="36">
        <f t="shared" si="341"/>
        <v>0</v>
      </c>
      <c r="AE1010" s="38"/>
      <c r="AF1010" s="36">
        <f t="shared" si="327"/>
        <v>0</v>
      </c>
      <c r="AG1010" s="35"/>
      <c r="AH1010" s="36">
        <f t="shared" si="342"/>
        <v>0</v>
      </c>
      <c r="AI1010" s="38"/>
      <c r="AJ1010" s="36">
        <f t="shared" si="328"/>
        <v>0</v>
      </c>
      <c r="AK1010" s="35"/>
      <c r="AL1010" s="36">
        <f t="shared" si="343"/>
        <v>0</v>
      </c>
      <c r="AM1010" s="38"/>
      <c r="AN1010" s="36">
        <f t="shared" si="329"/>
        <v>0</v>
      </c>
      <c r="AO1010" s="35"/>
      <c r="AP1010" s="38"/>
    </row>
    <row r="1011" spans="1:42" ht="15.75" customHeight="1" x14ac:dyDescent="0.25">
      <c r="A1011" s="37">
        <v>2017</v>
      </c>
      <c r="B1011" s="35">
        <v>170460</v>
      </c>
      <c r="C1011" s="34" t="s">
        <v>144</v>
      </c>
      <c r="D1011" s="34" t="s">
        <v>41</v>
      </c>
      <c r="E1011" s="35"/>
      <c r="F1011" s="36">
        <f t="shared" si="319"/>
        <v>0</v>
      </c>
      <c r="G1011" s="38"/>
      <c r="H1011" s="36">
        <f t="shared" si="320"/>
        <v>0</v>
      </c>
      <c r="I1011" s="35"/>
      <c r="J1011" s="36">
        <f t="shared" si="321"/>
        <v>0</v>
      </c>
      <c r="K1011" s="38"/>
      <c r="L1011" s="36">
        <f t="shared" si="322"/>
        <v>0</v>
      </c>
      <c r="M1011" s="35"/>
      <c r="N1011" s="36">
        <f t="shared" si="337"/>
        <v>0</v>
      </c>
      <c r="O1011" s="38"/>
      <c r="P1011" s="36">
        <f t="shared" si="323"/>
        <v>0</v>
      </c>
      <c r="Q1011" s="35"/>
      <c r="R1011" s="36">
        <f t="shared" si="338"/>
        <v>0</v>
      </c>
      <c r="S1011" s="38"/>
      <c r="T1011" s="36">
        <f t="shared" si="324"/>
        <v>0</v>
      </c>
      <c r="U1011" s="35"/>
      <c r="V1011" s="36">
        <f t="shared" si="339"/>
        <v>0</v>
      </c>
      <c r="W1011" s="38"/>
      <c r="X1011" s="36">
        <f t="shared" si="325"/>
        <v>0</v>
      </c>
      <c r="Y1011" s="35"/>
      <c r="Z1011" s="36">
        <f t="shared" si="340"/>
        <v>0</v>
      </c>
      <c r="AA1011" s="38"/>
      <c r="AB1011" s="36">
        <f t="shared" si="326"/>
        <v>0</v>
      </c>
      <c r="AC1011" s="35"/>
      <c r="AD1011" s="36">
        <f t="shared" si="341"/>
        <v>0</v>
      </c>
      <c r="AE1011" s="38"/>
      <c r="AF1011" s="36">
        <f t="shared" si="327"/>
        <v>0</v>
      </c>
      <c r="AG1011" s="35"/>
      <c r="AH1011" s="36">
        <f t="shared" si="342"/>
        <v>0</v>
      </c>
      <c r="AI1011" s="38"/>
      <c r="AJ1011" s="36">
        <f t="shared" si="328"/>
        <v>0</v>
      </c>
      <c r="AK1011" s="35"/>
      <c r="AL1011" s="36">
        <f t="shared" si="343"/>
        <v>0</v>
      </c>
      <c r="AM1011" s="38"/>
      <c r="AN1011" s="36">
        <f t="shared" si="329"/>
        <v>0</v>
      </c>
      <c r="AO1011" s="35"/>
      <c r="AP1011" s="38"/>
    </row>
    <row r="1012" spans="1:42" ht="15.75" customHeight="1" x14ac:dyDescent="0.25">
      <c r="A1012" s="37">
        <v>2017</v>
      </c>
      <c r="B1012" s="35">
        <v>170550</v>
      </c>
      <c r="C1012" s="34" t="s">
        <v>150</v>
      </c>
      <c r="D1012" s="34" t="s">
        <v>42</v>
      </c>
      <c r="E1012" s="35"/>
      <c r="F1012" s="36">
        <f t="shared" si="319"/>
        <v>0</v>
      </c>
      <c r="G1012" s="38"/>
      <c r="H1012" s="36">
        <f t="shared" si="320"/>
        <v>0</v>
      </c>
      <c r="I1012" s="35"/>
      <c r="J1012" s="36">
        <f t="shared" si="321"/>
        <v>0</v>
      </c>
      <c r="K1012" s="38"/>
      <c r="L1012" s="36">
        <f t="shared" si="322"/>
        <v>0</v>
      </c>
      <c r="M1012" s="35"/>
      <c r="N1012" s="36">
        <f t="shared" si="337"/>
        <v>0</v>
      </c>
      <c r="O1012" s="38"/>
      <c r="P1012" s="36">
        <f t="shared" si="323"/>
        <v>0</v>
      </c>
      <c r="Q1012" s="35"/>
      <c r="R1012" s="36">
        <f t="shared" si="338"/>
        <v>0</v>
      </c>
      <c r="S1012" s="38"/>
      <c r="T1012" s="36">
        <f t="shared" si="324"/>
        <v>0</v>
      </c>
      <c r="U1012" s="35"/>
      <c r="V1012" s="36">
        <f t="shared" si="339"/>
        <v>0</v>
      </c>
      <c r="W1012" s="38"/>
      <c r="X1012" s="36">
        <f t="shared" si="325"/>
        <v>0</v>
      </c>
      <c r="Y1012" s="35"/>
      <c r="Z1012" s="36">
        <f t="shared" si="340"/>
        <v>0</v>
      </c>
      <c r="AA1012" s="38"/>
      <c r="AB1012" s="36">
        <f t="shared" si="326"/>
        <v>0</v>
      </c>
      <c r="AC1012" s="35"/>
      <c r="AD1012" s="36">
        <f t="shared" si="341"/>
        <v>0</v>
      </c>
      <c r="AE1012" s="38"/>
      <c r="AF1012" s="36">
        <f t="shared" si="327"/>
        <v>0</v>
      </c>
      <c r="AG1012" s="35"/>
      <c r="AH1012" s="36">
        <f t="shared" si="342"/>
        <v>0</v>
      </c>
      <c r="AI1012" s="38"/>
      <c r="AJ1012" s="36">
        <f t="shared" si="328"/>
        <v>0</v>
      </c>
      <c r="AK1012" s="35"/>
      <c r="AL1012" s="36">
        <f t="shared" si="343"/>
        <v>0</v>
      </c>
      <c r="AM1012" s="38"/>
      <c r="AN1012" s="36">
        <f t="shared" si="329"/>
        <v>0</v>
      </c>
      <c r="AO1012" s="35"/>
      <c r="AP1012" s="38"/>
    </row>
    <row r="1013" spans="1:42" ht="15.75" customHeight="1" x14ac:dyDescent="0.25">
      <c r="A1013" s="37">
        <v>2017</v>
      </c>
      <c r="B1013" s="35">
        <v>171670</v>
      </c>
      <c r="C1013" s="34" t="s">
        <v>150</v>
      </c>
      <c r="D1013" s="34" t="s">
        <v>43</v>
      </c>
      <c r="E1013" s="35"/>
      <c r="F1013" s="36">
        <f t="shared" si="319"/>
        <v>0</v>
      </c>
      <c r="G1013" s="38"/>
      <c r="H1013" s="36">
        <f t="shared" si="320"/>
        <v>0</v>
      </c>
      <c r="I1013" s="35"/>
      <c r="J1013" s="36">
        <f t="shared" si="321"/>
        <v>0</v>
      </c>
      <c r="K1013" s="38"/>
      <c r="L1013" s="36">
        <f t="shared" si="322"/>
        <v>0</v>
      </c>
      <c r="M1013" s="35"/>
      <c r="N1013" s="36">
        <f t="shared" si="337"/>
        <v>0</v>
      </c>
      <c r="O1013" s="38"/>
      <c r="P1013" s="36">
        <f t="shared" si="323"/>
        <v>0</v>
      </c>
      <c r="Q1013" s="35"/>
      <c r="R1013" s="36">
        <f t="shared" si="338"/>
        <v>0</v>
      </c>
      <c r="S1013" s="38"/>
      <c r="T1013" s="36">
        <f t="shared" si="324"/>
        <v>0</v>
      </c>
      <c r="U1013" s="35"/>
      <c r="V1013" s="36">
        <f t="shared" si="339"/>
        <v>0</v>
      </c>
      <c r="W1013" s="38"/>
      <c r="X1013" s="36">
        <f t="shared" si="325"/>
        <v>0</v>
      </c>
      <c r="Y1013" s="35"/>
      <c r="Z1013" s="36">
        <f t="shared" si="340"/>
        <v>0</v>
      </c>
      <c r="AA1013" s="38"/>
      <c r="AB1013" s="36">
        <f t="shared" si="326"/>
        <v>0</v>
      </c>
      <c r="AC1013" s="35"/>
      <c r="AD1013" s="36">
        <f t="shared" si="341"/>
        <v>0</v>
      </c>
      <c r="AE1013" s="38"/>
      <c r="AF1013" s="36">
        <f t="shared" si="327"/>
        <v>0</v>
      </c>
      <c r="AG1013" s="35"/>
      <c r="AH1013" s="36">
        <f t="shared" si="342"/>
        <v>0</v>
      </c>
      <c r="AI1013" s="38"/>
      <c r="AJ1013" s="36">
        <f t="shared" si="328"/>
        <v>0</v>
      </c>
      <c r="AK1013" s="35"/>
      <c r="AL1013" s="36">
        <f t="shared" si="343"/>
        <v>0</v>
      </c>
      <c r="AM1013" s="38"/>
      <c r="AN1013" s="36">
        <f t="shared" si="329"/>
        <v>0</v>
      </c>
      <c r="AO1013" s="35"/>
      <c r="AP1013" s="38"/>
    </row>
    <row r="1014" spans="1:42" ht="15.75" customHeight="1" x14ac:dyDescent="0.25">
      <c r="A1014" s="37">
        <v>2017</v>
      </c>
      <c r="B1014" s="35">
        <v>170555</v>
      </c>
      <c r="C1014" s="34" t="s">
        <v>147</v>
      </c>
      <c r="D1014" s="34" t="s">
        <v>44</v>
      </c>
      <c r="E1014" s="35"/>
      <c r="F1014" s="36">
        <f t="shared" si="319"/>
        <v>0</v>
      </c>
      <c r="G1014" s="38"/>
      <c r="H1014" s="36">
        <f t="shared" si="320"/>
        <v>0</v>
      </c>
      <c r="I1014" s="35"/>
      <c r="J1014" s="36">
        <f t="shared" si="321"/>
        <v>0</v>
      </c>
      <c r="K1014" s="38"/>
      <c r="L1014" s="36">
        <f t="shared" si="322"/>
        <v>0</v>
      </c>
      <c r="M1014" s="35"/>
      <c r="N1014" s="36">
        <f t="shared" si="337"/>
        <v>0</v>
      </c>
      <c r="O1014" s="38"/>
      <c r="P1014" s="36">
        <f t="shared" si="323"/>
        <v>0</v>
      </c>
      <c r="Q1014" s="35"/>
      <c r="R1014" s="36">
        <f t="shared" si="338"/>
        <v>0</v>
      </c>
      <c r="S1014" s="38"/>
      <c r="T1014" s="36">
        <f t="shared" si="324"/>
        <v>0</v>
      </c>
      <c r="U1014" s="35"/>
      <c r="V1014" s="36">
        <f t="shared" si="339"/>
        <v>0</v>
      </c>
      <c r="W1014" s="38"/>
      <c r="X1014" s="36">
        <f t="shared" si="325"/>
        <v>0</v>
      </c>
      <c r="Y1014" s="35"/>
      <c r="Z1014" s="36">
        <f t="shared" si="340"/>
        <v>0</v>
      </c>
      <c r="AA1014" s="38"/>
      <c r="AB1014" s="36">
        <f t="shared" si="326"/>
        <v>0</v>
      </c>
      <c r="AC1014" s="35"/>
      <c r="AD1014" s="36">
        <f t="shared" si="341"/>
        <v>0</v>
      </c>
      <c r="AE1014" s="38"/>
      <c r="AF1014" s="36">
        <f t="shared" si="327"/>
        <v>0</v>
      </c>
      <c r="AG1014" s="35"/>
      <c r="AH1014" s="36">
        <f t="shared" si="342"/>
        <v>0</v>
      </c>
      <c r="AI1014" s="38"/>
      <c r="AJ1014" s="36">
        <f t="shared" si="328"/>
        <v>0</v>
      </c>
      <c r="AK1014" s="35"/>
      <c r="AL1014" s="36">
        <f t="shared" si="343"/>
        <v>0</v>
      </c>
      <c r="AM1014" s="38"/>
      <c r="AN1014" s="36">
        <f t="shared" si="329"/>
        <v>0</v>
      </c>
      <c r="AO1014" s="35"/>
      <c r="AP1014" s="38"/>
    </row>
    <row r="1015" spans="1:42" ht="15.75" customHeight="1" x14ac:dyDescent="0.25">
      <c r="A1015" s="37">
        <v>2017</v>
      </c>
      <c r="B1015" s="35">
        <v>170560</v>
      </c>
      <c r="C1015" s="34" t="s">
        <v>147</v>
      </c>
      <c r="D1015" s="34" t="s">
        <v>45</v>
      </c>
      <c r="E1015" s="35"/>
      <c r="F1015" s="36">
        <f t="shared" si="319"/>
        <v>0</v>
      </c>
      <c r="G1015" s="38"/>
      <c r="H1015" s="36">
        <f t="shared" si="320"/>
        <v>0</v>
      </c>
      <c r="I1015" s="35"/>
      <c r="J1015" s="36">
        <f t="shared" si="321"/>
        <v>0</v>
      </c>
      <c r="K1015" s="38"/>
      <c r="L1015" s="36">
        <f t="shared" si="322"/>
        <v>0</v>
      </c>
      <c r="M1015" s="35"/>
      <c r="N1015" s="36">
        <f t="shared" si="337"/>
        <v>0</v>
      </c>
      <c r="O1015" s="38"/>
      <c r="P1015" s="36">
        <f t="shared" si="323"/>
        <v>0</v>
      </c>
      <c r="Q1015" s="35"/>
      <c r="R1015" s="36">
        <f t="shared" si="338"/>
        <v>0</v>
      </c>
      <c r="S1015" s="38"/>
      <c r="T1015" s="36">
        <f t="shared" si="324"/>
        <v>0</v>
      </c>
      <c r="U1015" s="35"/>
      <c r="V1015" s="36">
        <f t="shared" si="339"/>
        <v>0</v>
      </c>
      <c r="W1015" s="38"/>
      <c r="X1015" s="36">
        <f t="shared" si="325"/>
        <v>0</v>
      </c>
      <c r="Y1015" s="35"/>
      <c r="Z1015" s="36">
        <f t="shared" si="340"/>
        <v>0</v>
      </c>
      <c r="AA1015" s="38"/>
      <c r="AB1015" s="36">
        <f t="shared" si="326"/>
        <v>0</v>
      </c>
      <c r="AC1015" s="35"/>
      <c r="AD1015" s="36">
        <f t="shared" si="341"/>
        <v>0</v>
      </c>
      <c r="AE1015" s="38"/>
      <c r="AF1015" s="36">
        <f t="shared" si="327"/>
        <v>0</v>
      </c>
      <c r="AG1015" s="35"/>
      <c r="AH1015" s="36">
        <f t="shared" si="342"/>
        <v>0</v>
      </c>
      <c r="AI1015" s="38"/>
      <c r="AJ1015" s="36">
        <f t="shared" si="328"/>
        <v>0</v>
      </c>
      <c r="AK1015" s="35"/>
      <c r="AL1015" s="36">
        <f t="shared" si="343"/>
        <v>0</v>
      </c>
      <c r="AM1015" s="38"/>
      <c r="AN1015" s="36">
        <f t="shared" si="329"/>
        <v>0</v>
      </c>
      <c r="AO1015" s="35"/>
      <c r="AP1015" s="38"/>
    </row>
    <row r="1016" spans="1:42" ht="15.75" customHeight="1" x14ac:dyDescent="0.25">
      <c r="A1016" s="37">
        <v>2017</v>
      </c>
      <c r="B1016" s="35">
        <v>170600</v>
      </c>
      <c r="C1016" s="34" t="s">
        <v>150</v>
      </c>
      <c r="D1016" s="34" t="s">
        <v>46</v>
      </c>
      <c r="E1016" s="35"/>
      <c r="F1016" s="36">
        <f t="shared" si="319"/>
        <v>0</v>
      </c>
      <c r="G1016" s="38"/>
      <c r="H1016" s="36">
        <f t="shared" si="320"/>
        <v>0</v>
      </c>
      <c r="I1016" s="35"/>
      <c r="J1016" s="36">
        <f t="shared" si="321"/>
        <v>0</v>
      </c>
      <c r="K1016" s="38"/>
      <c r="L1016" s="36">
        <f t="shared" si="322"/>
        <v>0</v>
      </c>
      <c r="M1016" s="35"/>
      <c r="N1016" s="36">
        <f t="shared" si="337"/>
        <v>0</v>
      </c>
      <c r="O1016" s="38"/>
      <c r="P1016" s="36">
        <f t="shared" si="323"/>
        <v>0</v>
      </c>
      <c r="Q1016" s="35"/>
      <c r="R1016" s="36">
        <f t="shared" si="338"/>
        <v>0</v>
      </c>
      <c r="S1016" s="38"/>
      <c r="T1016" s="36">
        <f t="shared" si="324"/>
        <v>0</v>
      </c>
      <c r="U1016" s="35"/>
      <c r="V1016" s="36">
        <f t="shared" si="339"/>
        <v>0</v>
      </c>
      <c r="W1016" s="38"/>
      <c r="X1016" s="36">
        <f t="shared" si="325"/>
        <v>0</v>
      </c>
      <c r="Y1016" s="35"/>
      <c r="Z1016" s="36">
        <f t="shared" si="340"/>
        <v>0</v>
      </c>
      <c r="AA1016" s="38"/>
      <c r="AB1016" s="36">
        <f t="shared" si="326"/>
        <v>0</v>
      </c>
      <c r="AC1016" s="35"/>
      <c r="AD1016" s="36">
        <f t="shared" si="341"/>
        <v>0</v>
      </c>
      <c r="AE1016" s="38"/>
      <c r="AF1016" s="36">
        <f t="shared" si="327"/>
        <v>0</v>
      </c>
      <c r="AG1016" s="35"/>
      <c r="AH1016" s="36">
        <f t="shared" si="342"/>
        <v>0</v>
      </c>
      <c r="AI1016" s="38"/>
      <c r="AJ1016" s="36">
        <f t="shared" si="328"/>
        <v>0</v>
      </c>
      <c r="AK1016" s="35"/>
      <c r="AL1016" s="36">
        <f t="shared" si="343"/>
        <v>0</v>
      </c>
      <c r="AM1016" s="38"/>
      <c r="AN1016" s="36">
        <f t="shared" si="329"/>
        <v>0</v>
      </c>
      <c r="AO1016" s="35"/>
      <c r="AP1016" s="38"/>
    </row>
    <row r="1017" spans="1:42" ht="15.75" customHeight="1" x14ac:dyDescent="0.25">
      <c r="A1017" s="37">
        <v>2017</v>
      </c>
      <c r="B1017" s="35">
        <v>170610</v>
      </c>
      <c r="C1017" s="34" t="s">
        <v>144</v>
      </c>
      <c r="D1017" s="34" t="s">
        <v>47</v>
      </c>
      <c r="E1017" s="35"/>
      <c r="F1017" s="36">
        <f t="shared" si="319"/>
        <v>0</v>
      </c>
      <c r="G1017" s="38"/>
      <c r="H1017" s="36">
        <f t="shared" si="320"/>
        <v>0</v>
      </c>
      <c r="I1017" s="35"/>
      <c r="J1017" s="36">
        <f t="shared" si="321"/>
        <v>0</v>
      </c>
      <c r="K1017" s="38"/>
      <c r="L1017" s="36">
        <f t="shared" si="322"/>
        <v>0</v>
      </c>
      <c r="M1017" s="35"/>
      <c r="N1017" s="36">
        <f t="shared" si="337"/>
        <v>0</v>
      </c>
      <c r="O1017" s="38"/>
      <c r="P1017" s="36">
        <f t="shared" si="323"/>
        <v>0</v>
      </c>
      <c r="Q1017" s="35"/>
      <c r="R1017" s="36">
        <f t="shared" si="338"/>
        <v>0</v>
      </c>
      <c r="S1017" s="38"/>
      <c r="T1017" s="36">
        <f t="shared" si="324"/>
        <v>0</v>
      </c>
      <c r="U1017" s="35"/>
      <c r="V1017" s="36">
        <f t="shared" si="339"/>
        <v>0</v>
      </c>
      <c r="W1017" s="38"/>
      <c r="X1017" s="36">
        <f t="shared" si="325"/>
        <v>0</v>
      </c>
      <c r="Y1017" s="35"/>
      <c r="Z1017" s="36">
        <f t="shared" si="340"/>
        <v>0</v>
      </c>
      <c r="AA1017" s="38"/>
      <c r="AB1017" s="36">
        <f t="shared" si="326"/>
        <v>0</v>
      </c>
      <c r="AC1017" s="35"/>
      <c r="AD1017" s="36">
        <f t="shared" si="341"/>
        <v>0</v>
      </c>
      <c r="AE1017" s="38"/>
      <c r="AF1017" s="36">
        <f t="shared" si="327"/>
        <v>0</v>
      </c>
      <c r="AG1017" s="35"/>
      <c r="AH1017" s="36">
        <f t="shared" si="342"/>
        <v>0</v>
      </c>
      <c r="AI1017" s="38"/>
      <c r="AJ1017" s="36">
        <f t="shared" si="328"/>
        <v>0</v>
      </c>
      <c r="AK1017" s="35"/>
      <c r="AL1017" s="36">
        <f t="shared" si="343"/>
        <v>0</v>
      </c>
      <c r="AM1017" s="38"/>
      <c r="AN1017" s="36">
        <f t="shared" si="329"/>
        <v>0</v>
      </c>
      <c r="AO1017" s="35"/>
      <c r="AP1017" s="38"/>
    </row>
    <row r="1018" spans="1:42" ht="15.75" customHeight="1" x14ac:dyDescent="0.25">
      <c r="A1018" s="37">
        <v>2017</v>
      </c>
      <c r="B1018" s="35">
        <v>170625</v>
      </c>
      <c r="C1018" s="34" t="s">
        <v>146</v>
      </c>
      <c r="D1018" s="34" t="s">
        <v>48</v>
      </c>
      <c r="E1018" s="35"/>
      <c r="F1018" s="36">
        <f t="shared" si="319"/>
        <v>0</v>
      </c>
      <c r="G1018" s="38"/>
      <c r="H1018" s="36">
        <f t="shared" si="320"/>
        <v>0</v>
      </c>
      <c r="I1018" s="35"/>
      <c r="J1018" s="36">
        <f t="shared" si="321"/>
        <v>0</v>
      </c>
      <c r="K1018" s="38"/>
      <c r="L1018" s="36">
        <f t="shared" si="322"/>
        <v>0</v>
      </c>
      <c r="M1018" s="35"/>
      <c r="N1018" s="36">
        <f t="shared" si="337"/>
        <v>0</v>
      </c>
      <c r="O1018" s="38"/>
      <c r="P1018" s="36">
        <f t="shared" si="323"/>
        <v>0</v>
      </c>
      <c r="Q1018" s="35"/>
      <c r="R1018" s="36">
        <f t="shared" si="338"/>
        <v>0</v>
      </c>
      <c r="S1018" s="38"/>
      <c r="T1018" s="36">
        <f t="shared" si="324"/>
        <v>0</v>
      </c>
      <c r="U1018" s="35"/>
      <c r="V1018" s="36">
        <f t="shared" si="339"/>
        <v>0</v>
      </c>
      <c r="W1018" s="38"/>
      <c r="X1018" s="36">
        <f t="shared" si="325"/>
        <v>0</v>
      </c>
      <c r="Y1018" s="35"/>
      <c r="Z1018" s="36">
        <f t="shared" si="340"/>
        <v>0</v>
      </c>
      <c r="AA1018" s="38"/>
      <c r="AB1018" s="36">
        <f t="shared" si="326"/>
        <v>0</v>
      </c>
      <c r="AC1018" s="35"/>
      <c r="AD1018" s="36">
        <f t="shared" si="341"/>
        <v>0</v>
      </c>
      <c r="AE1018" s="38"/>
      <c r="AF1018" s="36">
        <f t="shared" si="327"/>
        <v>0</v>
      </c>
      <c r="AG1018" s="35"/>
      <c r="AH1018" s="36">
        <f t="shared" si="342"/>
        <v>0</v>
      </c>
      <c r="AI1018" s="38"/>
      <c r="AJ1018" s="36">
        <f t="shared" si="328"/>
        <v>0</v>
      </c>
      <c r="AK1018" s="35"/>
      <c r="AL1018" s="36">
        <f t="shared" si="343"/>
        <v>0</v>
      </c>
      <c r="AM1018" s="38"/>
      <c r="AN1018" s="36">
        <f t="shared" si="329"/>
        <v>0</v>
      </c>
      <c r="AO1018" s="35"/>
      <c r="AP1018" s="38"/>
    </row>
    <row r="1019" spans="1:42" ht="15.75" customHeight="1" x14ac:dyDescent="0.25">
      <c r="A1019" s="37">
        <v>2017</v>
      </c>
      <c r="B1019" s="35">
        <v>170650</v>
      </c>
      <c r="C1019" s="34" t="s">
        <v>149</v>
      </c>
      <c r="D1019" s="34" t="s">
        <v>49</v>
      </c>
      <c r="E1019" s="35"/>
      <c r="F1019" s="36">
        <f t="shared" si="319"/>
        <v>0</v>
      </c>
      <c r="G1019" s="38"/>
      <c r="H1019" s="36">
        <f t="shared" si="320"/>
        <v>0</v>
      </c>
      <c r="I1019" s="35"/>
      <c r="J1019" s="36">
        <f t="shared" si="321"/>
        <v>0</v>
      </c>
      <c r="K1019" s="38"/>
      <c r="L1019" s="36">
        <f t="shared" si="322"/>
        <v>0</v>
      </c>
      <c r="M1019" s="35"/>
      <c r="N1019" s="36">
        <f t="shared" si="337"/>
        <v>0</v>
      </c>
      <c r="O1019" s="38"/>
      <c r="P1019" s="36">
        <f t="shared" si="323"/>
        <v>0</v>
      </c>
      <c r="Q1019" s="35"/>
      <c r="R1019" s="36">
        <f t="shared" si="338"/>
        <v>0</v>
      </c>
      <c r="S1019" s="38"/>
      <c r="T1019" s="36">
        <f t="shared" si="324"/>
        <v>0</v>
      </c>
      <c r="U1019" s="35"/>
      <c r="V1019" s="36">
        <f t="shared" si="339"/>
        <v>0</v>
      </c>
      <c r="W1019" s="38"/>
      <c r="X1019" s="36">
        <f t="shared" si="325"/>
        <v>0</v>
      </c>
      <c r="Y1019" s="35"/>
      <c r="Z1019" s="36">
        <f t="shared" si="340"/>
        <v>0</v>
      </c>
      <c r="AA1019" s="38"/>
      <c r="AB1019" s="36">
        <f t="shared" si="326"/>
        <v>0</v>
      </c>
      <c r="AC1019" s="35"/>
      <c r="AD1019" s="36">
        <f t="shared" si="341"/>
        <v>0</v>
      </c>
      <c r="AE1019" s="38"/>
      <c r="AF1019" s="36">
        <f t="shared" si="327"/>
        <v>0</v>
      </c>
      <c r="AG1019" s="35"/>
      <c r="AH1019" s="36">
        <f t="shared" si="342"/>
        <v>0</v>
      </c>
      <c r="AI1019" s="38"/>
      <c r="AJ1019" s="36">
        <f t="shared" si="328"/>
        <v>0</v>
      </c>
      <c r="AK1019" s="35"/>
      <c r="AL1019" s="36">
        <f t="shared" si="343"/>
        <v>0</v>
      </c>
      <c r="AM1019" s="38"/>
      <c r="AN1019" s="36">
        <f t="shared" si="329"/>
        <v>0</v>
      </c>
      <c r="AO1019" s="35"/>
      <c r="AP1019" s="38"/>
    </row>
    <row r="1020" spans="1:42" ht="15.75" customHeight="1" x14ac:dyDescent="0.25">
      <c r="A1020" s="37">
        <v>2017</v>
      </c>
      <c r="B1020" s="35">
        <v>170700</v>
      </c>
      <c r="C1020" s="34" t="s">
        <v>147</v>
      </c>
      <c r="D1020" s="34" t="s">
        <v>50</v>
      </c>
      <c r="E1020" s="35"/>
      <c r="F1020" s="36">
        <f t="shared" si="319"/>
        <v>0</v>
      </c>
      <c r="G1020" s="38"/>
      <c r="H1020" s="36">
        <f t="shared" si="320"/>
        <v>0</v>
      </c>
      <c r="I1020" s="35"/>
      <c r="J1020" s="36">
        <f t="shared" si="321"/>
        <v>0</v>
      </c>
      <c r="K1020" s="38"/>
      <c r="L1020" s="36">
        <f t="shared" si="322"/>
        <v>0</v>
      </c>
      <c r="M1020" s="35"/>
      <c r="N1020" s="36">
        <f t="shared" si="337"/>
        <v>0</v>
      </c>
      <c r="O1020" s="38"/>
      <c r="P1020" s="36">
        <f t="shared" si="323"/>
        <v>0</v>
      </c>
      <c r="Q1020" s="35"/>
      <c r="R1020" s="36">
        <f t="shared" si="338"/>
        <v>0</v>
      </c>
      <c r="S1020" s="38"/>
      <c r="T1020" s="36">
        <f t="shared" si="324"/>
        <v>0</v>
      </c>
      <c r="U1020" s="35"/>
      <c r="V1020" s="36">
        <f t="shared" si="339"/>
        <v>0</v>
      </c>
      <c r="W1020" s="38"/>
      <c r="X1020" s="36">
        <f t="shared" si="325"/>
        <v>0</v>
      </c>
      <c r="Y1020" s="35"/>
      <c r="Z1020" s="36">
        <f t="shared" si="340"/>
        <v>0</v>
      </c>
      <c r="AA1020" s="38"/>
      <c r="AB1020" s="36">
        <f t="shared" si="326"/>
        <v>0</v>
      </c>
      <c r="AC1020" s="35"/>
      <c r="AD1020" s="36">
        <f t="shared" si="341"/>
        <v>0</v>
      </c>
      <c r="AE1020" s="38"/>
      <c r="AF1020" s="36">
        <f t="shared" si="327"/>
        <v>0</v>
      </c>
      <c r="AG1020" s="35"/>
      <c r="AH1020" s="36">
        <f t="shared" si="342"/>
        <v>0</v>
      </c>
      <c r="AI1020" s="38"/>
      <c r="AJ1020" s="36">
        <f t="shared" si="328"/>
        <v>0</v>
      </c>
      <c r="AK1020" s="35"/>
      <c r="AL1020" s="36">
        <f t="shared" si="343"/>
        <v>0</v>
      </c>
      <c r="AM1020" s="38"/>
      <c r="AN1020" s="36">
        <f t="shared" si="329"/>
        <v>0</v>
      </c>
      <c r="AO1020" s="35"/>
      <c r="AP1020" s="38"/>
    </row>
    <row r="1021" spans="1:42" ht="15.75" customHeight="1" x14ac:dyDescent="0.25">
      <c r="A1021" s="37">
        <v>2017</v>
      </c>
      <c r="B1021" s="35">
        <v>170710</v>
      </c>
      <c r="C1021" s="34" t="s">
        <v>144</v>
      </c>
      <c r="D1021" s="34" t="s">
        <v>51</v>
      </c>
      <c r="E1021" s="35"/>
      <c r="F1021" s="36">
        <f t="shared" si="319"/>
        <v>0</v>
      </c>
      <c r="G1021" s="38"/>
      <c r="H1021" s="36">
        <f t="shared" si="320"/>
        <v>0</v>
      </c>
      <c r="I1021" s="35"/>
      <c r="J1021" s="36">
        <f t="shared" si="321"/>
        <v>0</v>
      </c>
      <c r="K1021" s="38"/>
      <c r="L1021" s="36">
        <f t="shared" si="322"/>
        <v>0</v>
      </c>
      <c r="M1021" s="35"/>
      <c r="N1021" s="36">
        <f t="shared" si="337"/>
        <v>0</v>
      </c>
      <c r="O1021" s="38"/>
      <c r="P1021" s="36">
        <f t="shared" si="323"/>
        <v>0</v>
      </c>
      <c r="Q1021" s="35"/>
      <c r="R1021" s="36">
        <f t="shared" si="338"/>
        <v>0</v>
      </c>
      <c r="S1021" s="38"/>
      <c r="T1021" s="36">
        <f t="shared" si="324"/>
        <v>0</v>
      </c>
      <c r="U1021" s="35"/>
      <c r="V1021" s="36">
        <f t="shared" si="339"/>
        <v>0</v>
      </c>
      <c r="W1021" s="38"/>
      <c r="X1021" s="36">
        <f t="shared" si="325"/>
        <v>0</v>
      </c>
      <c r="Y1021" s="35"/>
      <c r="Z1021" s="36">
        <f t="shared" si="340"/>
        <v>0</v>
      </c>
      <c r="AA1021" s="38"/>
      <c r="AB1021" s="36">
        <f t="shared" si="326"/>
        <v>0</v>
      </c>
      <c r="AC1021" s="35"/>
      <c r="AD1021" s="36">
        <f t="shared" si="341"/>
        <v>0</v>
      </c>
      <c r="AE1021" s="38"/>
      <c r="AF1021" s="36">
        <f t="shared" si="327"/>
        <v>0</v>
      </c>
      <c r="AG1021" s="35"/>
      <c r="AH1021" s="36">
        <f t="shared" si="342"/>
        <v>0</v>
      </c>
      <c r="AI1021" s="38"/>
      <c r="AJ1021" s="36">
        <f t="shared" si="328"/>
        <v>0</v>
      </c>
      <c r="AK1021" s="35"/>
      <c r="AL1021" s="36">
        <f t="shared" si="343"/>
        <v>0</v>
      </c>
      <c r="AM1021" s="38"/>
      <c r="AN1021" s="36">
        <f t="shared" si="329"/>
        <v>0</v>
      </c>
      <c r="AO1021" s="35"/>
      <c r="AP1021" s="38"/>
    </row>
    <row r="1022" spans="1:42" ht="15.75" customHeight="1" x14ac:dyDescent="0.25">
      <c r="A1022" s="37">
        <v>2017</v>
      </c>
      <c r="B1022" s="35">
        <v>170720</v>
      </c>
      <c r="C1022" s="34" t="s">
        <v>144</v>
      </c>
      <c r="D1022" s="34" t="s">
        <v>52</v>
      </c>
      <c r="E1022" s="35"/>
      <c r="F1022" s="36">
        <f t="shared" si="319"/>
        <v>0</v>
      </c>
      <c r="G1022" s="38"/>
      <c r="H1022" s="36">
        <f t="shared" si="320"/>
        <v>0</v>
      </c>
      <c r="I1022" s="35"/>
      <c r="J1022" s="36">
        <f t="shared" si="321"/>
        <v>0</v>
      </c>
      <c r="K1022" s="38"/>
      <c r="L1022" s="36">
        <f t="shared" si="322"/>
        <v>0</v>
      </c>
      <c r="M1022" s="35"/>
      <c r="N1022" s="36">
        <f t="shared" si="337"/>
        <v>0</v>
      </c>
      <c r="O1022" s="38"/>
      <c r="P1022" s="36">
        <f t="shared" si="323"/>
        <v>0</v>
      </c>
      <c r="Q1022" s="35"/>
      <c r="R1022" s="36">
        <f t="shared" si="338"/>
        <v>0</v>
      </c>
      <c r="S1022" s="38"/>
      <c r="T1022" s="36">
        <f t="shared" si="324"/>
        <v>0</v>
      </c>
      <c r="U1022" s="35"/>
      <c r="V1022" s="36">
        <f t="shared" si="339"/>
        <v>0</v>
      </c>
      <c r="W1022" s="38"/>
      <c r="X1022" s="36">
        <f t="shared" si="325"/>
        <v>0</v>
      </c>
      <c r="Y1022" s="35"/>
      <c r="Z1022" s="36">
        <f t="shared" si="340"/>
        <v>0</v>
      </c>
      <c r="AA1022" s="38"/>
      <c r="AB1022" s="36">
        <f t="shared" si="326"/>
        <v>0</v>
      </c>
      <c r="AC1022" s="35"/>
      <c r="AD1022" s="36">
        <f t="shared" si="341"/>
        <v>0</v>
      </c>
      <c r="AE1022" s="38"/>
      <c r="AF1022" s="36">
        <f t="shared" si="327"/>
        <v>0</v>
      </c>
      <c r="AG1022" s="35"/>
      <c r="AH1022" s="36">
        <f t="shared" si="342"/>
        <v>0</v>
      </c>
      <c r="AI1022" s="38"/>
      <c r="AJ1022" s="36">
        <f t="shared" si="328"/>
        <v>0</v>
      </c>
      <c r="AK1022" s="35"/>
      <c r="AL1022" s="36">
        <f t="shared" si="343"/>
        <v>0</v>
      </c>
      <c r="AM1022" s="38"/>
      <c r="AN1022" s="36">
        <f t="shared" si="329"/>
        <v>0</v>
      </c>
      <c r="AO1022" s="35"/>
      <c r="AP1022" s="38"/>
    </row>
    <row r="1023" spans="1:42" ht="15.75" customHeight="1" x14ac:dyDescent="0.25">
      <c r="A1023" s="37">
        <v>2017</v>
      </c>
      <c r="B1023" s="35">
        <v>170730</v>
      </c>
      <c r="C1023" s="34" t="s">
        <v>146</v>
      </c>
      <c r="D1023" s="34" t="s">
        <v>53</v>
      </c>
      <c r="E1023" s="35"/>
      <c r="F1023" s="36">
        <f t="shared" si="319"/>
        <v>0</v>
      </c>
      <c r="G1023" s="38"/>
      <c r="H1023" s="36">
        <f t="shared" si="320"/>
        <v>0</v>
      </c>
      <c r="I1023" s="35"/>
      <c r="J1023" s="36">
        <f t="shared" si="321"/>
        <v>0</v>
      </c>
      <c r="K1023" s="38"/>
      <c r="L1023" s="36">
        <f t="shared" si="322"/>
        <v>0</v>
      </c>
      <c r="M1023" s="35"/>
      <c r="N1023" s="36">
        <f t="shared" si="337"/>
        <v>0</v>
      </c>
      <c r="O1023" s="38"/>
      <c r="P1023" s="36">
        <f t="shared" si="323"/>
        <v>0</v>
      </c>
      <c r="Q1023" s="35"/>
      <c r="R1023" s="36">
        <f t="shared" si="338"/>
        <v>0</v>
      </c>
      <c r="S1023" s="38"/>
      <c r="T1023" s="36">
        <f t="shared" si="324"/>
        <v>0</v>
      </c>
      <c r="U1023" s="35"/>
      <c r="V1023" s="36">
        <f t="shared" si="339"/>
        <v>0</v>
      </c>
      <c r="W1023" s="38"/>
      <c r="X1023" s="36">
        <f t="shared" si="325"/>
        <v>0</v>
      </c>
      <c r="Y1023" s="35"/>
      <c r="Z1023" s="36">
        <f t="shared" si="340"/>
        <v>0</v>
      </c>
      <c r="AA1023" s="38"/>
      <c r="AB1023" s="36">
        <f t="shared" si="326"/>
        <v>0</v>
      </c>
      <c r="AC1023" s="35"/>
      <c r="AD1023" s="36">
        <f t="shared" si="341"/>
        <v>0</v>
      </c>
      <c r="AE1023" s="38"/>
      <c r="AF1023" s="36">
        <f t="shared" si="327"/>
        <v>0</v>
      </c>
      <c r="AG1023" s="35"/>
      <c r="AH1023" s="36">
        <f t="shared" si="342"/>
        <v>0</v>
      </c>
      <c r="AI1023" s="38"/>
      <c r="AJ1023" s="36">
        <f t="shared" si="328"/>
        <v>0</v>
      </c>
      <c r="AK1023" s="35"/>
      <c r="AL1023" s="36">
        <f t="shared" si="343"/>
        <v>0</v>
      </c>
      <c r="AM1023" s="38"/>
      <c r="AN1023" s="36">
        <f t="shared" si="329"/>
        <v>0</v>
      </c>
      <c r="AO1023" s="35"/>
      <c r="AP1023" s="38"/>
    </row>
    <row r="1024" spans="1:42" ht="15.75" customHeight="1" x14ac:dyDescent="0.25">
      <c r="A1024" s="37">
        <v>2017</v>
      </c>
      <c r="B1024" s="35">
        <v>170740</v>
      </c>
      <c r="C1024" s="34" t="s">
        <v>145</v>
      </c>
      <c r="D1024" s="34" t="s">
        <v>54</v>
      </c>
      <c r="E1024" s="35"/>
      <c r="F1024" s="36">
        <f t="shared" si="319"/>
        <v>0</v>
      </c>
      <c r="G1024" s="38"/>
      <c r="H1024" s="36">
        <f t="shared" si="320"/>
        <v>0</v>
      </c>
      <c r="I1024" s="35"/>
      <c r="J1024" s="36">
        <f t="shared" si="321"/>
        <v>0</v>
      </c>
      <c r="K1024" s="38"/>
      <c r="L1024" s="36">
        <f t="shared" si="322"/>
        <v>0</v>
      </c>
      <c r="M1024" s="35"/>
      <c r="N1024" s="36">
        <f t="shared" si="337"/>
        <v>0</v>
      </c>
      <c r="O1024" s="38"/>
      <c r="P1024" s="36">
        <f t="shared" si="323"/>
        <v>0</v>
      </c>
      <c r="Q1024" s="35"/>
      <c r="R1024" s="36">
        <f t="shared" si="338"/>
        <v>0</v>
      </c>
      <c r="S1024" s="38"/>
      <c r="T1024" s="36">
        <f t="shared" si="324"/>
        <v>0</v>
      </c>
      <c r="U1024" s="35"/>
      <c r="V1024" s="36">
        <f t="shared" si="339"/>
        <v>0</v>
      </c>
      <c r="W1024" s="38"/>
      <c r="X1024" s="36">
        <f t="shared" si="325"/>
        <v>0</v>
      </c>
      <c r="Y1024" s="35"/>
      <c r="Z1024" s="36">
        <f t="shared" si="340"/>
        <v>0</v>
      </c>
      <c r="AA1024" s="38"/>
      <c r="AB1024" s="36">
        <f t="shared" si="326"/>
        <v>0</v>
      </c>
      <c r="AC1024" s="35"/>
      <c r="AD1024" s="36">
        <f t="shared" si="341"/>
        <v>0</v>
      </c>
      <c r="AE1024" s="38"/>
      <c r="AF1024" s="36">
        <f t="shared" si="327"/>
        <v>0</v>
      </c>
      <c r="AG1024" s="35"/>
      <c r="AH1024" s="36">
        <f t="shared" si="342"/>
        <v>0</v>
      </c>
      <c r="AI1024" s="38"/>
      <c r="AJ1024" s="36">
        <f t="shared" si="328"/>
        <v>0</v>
      </c>
      <c r="AK1024" s="35"/>
      <c r="AL1024" s="36">
        <f t="shared" si="343"/>
        <v>0</v>
      </c>
      <c r="AM1024" s="38"/>
      <c r="AN1024" s="36">
        <f t="shared" si="329"/>
        <v>0</v>
      </c>
      <c r="AO1024" s="35"/>
      <c r="AP1024" s="38"/>
    </row>
    <row r="1025" spans="1:42" ht="15.75" customHeight="1" x14ac:dyDescent="0.25">
      <c r="A1025" s="37">
        <v>2017</v>
      </c>
      <c r="B1025" s="35">
        <v>170755</v>
      </c>
      <c r="C1025" s="34" t="s">
        <v>151</v>
      </c>
      <c r="D1025" s="34" t="s">
        <v>55</v>
      </c>
      <c r="E1025" s="35"/>
      <c r="F1025" s="36">
        <f t="shared" si="319"/>
        <v>0</v>
      </c>
      <c r="G1025" s="38"/>
      <c r="H1025" s="36">
        <f t="shared" si="320"/>
        <v>0</v>
      </c>
      <c r="I1025" s="35"/>
      <c r="J1025" s="36">
        <f t="shared" si="321"/>
        <v>0</v>
      </c>
      <c r="K1025" s="38"/>
      <c r="L1025" s="36">
        <f t="shared" si="322"/>
        <v>0</v>
      </c>
      <c r="M1025" s="35"/>
      <c r="N1025" s="36">
        <f t="shared" si="337"/>
        <v>0</v>
      </c>
      <c r="O1025" s="38"/>
      <c r="P1025" s="36">
        <f t="shared" si="323"/>
        <v>0</v>
      </c>
      <c r="Q1025" s="35"/>
      <c r="R1025" s="36">
        <f t="shared" si="338"/>
        <v>0</v>
      </c>
      <c r="S1025" s="38"/>
      <c r="T1025" s="36">
        <f t="shared" si="324"/>
        <v>0</v>
      </c>
      <c r="U1025" s="35"/>
      <c r="V1025" s="36">
        <f t="shared" si="339"/>
        <v>0</v>
      </c>
      <c r="W1025" s="38"/>
      <c r="X1025" s="36">
        <f t="shared" si="325"/>
        <v>0</v>
      </c>
      <c r="Y1025" s="35"/>
      <c r="Z1025" s="36">
        <f t="shared" si="340"/>
        <v>0</v>
      </c>
      <c r="AA1025" s="38"/>
      <c r="AB1025" s="36">
        <f t="shared" si="326"/>
        <v>0</v>
      </c>
      <c r="AC1025" s="35"/>
      <c r="AD1025" s="36">
        <f t="shared" si="341"/>
        <v>0</v>
      </c>
      <c r="AE1025" s="38"/>
      <c r="AF1025" s="36">
        <f t="shared" si="327"/>
        <v>0</v>
      </c>
      <c r="AG1025" s="35"/>
      <c r="AH1025" s="36">
        <f t="shared" si="342"/>
        <v>0</v>
      </c>
      <c r="AI1025" s="38"/>
      <c r="AJ1025" s="36">
        <f t="shared" si="328"/>
        <v>0</v>
      </c>
      <c r="AK1025" s="35"/>
      <c r="AL1025" s="36">
        <f t="shared" si="343"/>
        <v>0</v>
      </c>
      <c r="AM1025" s="38"/>
      <c r="AN1025" s="36">
        <f t="shared" si="329"/>
        <v>0</v>
      </c>
      <c r="AO1025" s="35"/>
      <c r="AP1025" s="38"/>
    </row>
    <row r="1026" spans="1:42" ht="15.75" customHeight="1" x14ac:dyDescent="0.25">
      <c r="A1026" s="37">
        <v>2017</v>
      </c>
      <c r="B1026" s="35">
        <v>170765</v>
      </c>
      <c r="C1026" s="34" t="s">
        <v>146</v>
      </c>
      <c r="D1026" s="34" t="s">
        <v>56</v>
      </c>
      <c r="E1026" s="35"/>
      <c r="F1026" s="36">
        <f t="shared" ref="F1026:F1089" si="344">IFERROR(E1026/$AO1026,0)</f>
        <v>0</v>
      </c>
      <c r="G1026" s="38"/>
      <c r="H1026" s="36">
        <f t="shared" ref="H1026:H1089" si="345">IFERROR(G1026/$AP1026,0)</f>
        <v>0</v>
      </c>
      <c r="I1026" s="35"/>
      <c r="J1026" s="36">
        <f t="shared" ref="J1026:J1089" si="346">IFERROR(I1026/$AO1026,0)</f>
        <v>0</v>
      </c>
      <c r="K1026" s="38"/>
      <c r="L1026" s="36">
        <f t="shared" ref="L1026:L1089" si="347">IFERROR(K1026/$AP1026,0)</f>
        <v>0</v>
      </c>
      <c r="M1026" s="35"/>
      <c r="N1026" s="36">
        <f t="shared" si="337"/>
        <v>0</v>
      </c>
      <c r="O1026" s="38"/>
      <c r="P1026" s="36">
        <f t="shared" ref="P1026:P1089" si="348">IFERROR(O1026/$AP1026,0)</f>
        <v>0</v>
      </c>
      <c r="Q1026" s="35"/>
      <c r="R1026" s="36">
        <f t="shared" si="338"/>
        <v>0</v>
      </c>
      <c r="S1026" s="38"/>
      <c r="T1026" s="36">
        <f t="shared" ref="T1026:T1089" si="349">IFERROR(S1026/$AP1026,0)</f>
        <v>0</v>
      </c>
      <c r="U1026" s="35"/>
      <c r="V1026" s="36">
        <f t="shared" si="339"/>
        <v>0</v>
      </c>
      <c r="W1026" s="38"/>
      <c r="X1026" s="36">
        <f t="shared" ref="X1026:X1089" si="350">IFERROR(W1026/$AP1026,0)</f>
        <v>0</v>
      </c>
      <c r="Y1026" s="35"/>
      <c r="Z1026" s="36">
        <f t="shared" si="340"/>
        <v>0</v>
      </c>
      <c r="AA1026" s="38"/>
      <c r="AB1026" s="36">
        <f t="shared" ref="AB1026:AB1089" si="351">IFERROR(AA1026/$AP1026,0)</f>
        <v>0</v>
      </c>
      <c r="AC1026" s="35"/>
      <c r="AD1026" s="36">
        <f t="shared" si="341"/>
        <v>0</v>
      </c>
      <c r="AE1026" s="38"/>
      <c r="AF1026" s="36">
        <f t="shared" ref="AF1026:AF1089" si="352">IFERROR(AE1026/$AP1026,0)</f>
        <v>0</v>
      </c>
      <c r="AG1026" s="35"/>
      <c r="AH1026" s="36">
        <f t="shared" si="342"/>
        <v>0</v>
      </c>
      <c r="AI1026" s="38"/>
      <c r="AJ1026" s="36">
        <f t="shared" ref="AJ1026:AJ1089" si="353">IFERROR(AI1026/$AP1026,0)</f>
        <v>0</v>
      </c>
      <c r="AK1026" s="35"/>
      <c r="AL1026" s="36">
        <f t="shared" si="343"/>
        <v>0</v>
      </c>
      <c r="AM1026" s="38"/>
      <c r="AN1026" s="36">
        <f t="shared" ref="AN1026:AN1089" si="354">IFERROR(AM1026/$AP1026,0)</f>
        <v>0</v>
      </c>
      <c r="AO1026" s="35"/>
      <c r="AP1026" s="38"/>
    </row>
    <row r="1027" spans="1:42" ht="15.75" customHeight="1" x14ac:dyDescent="0.25">
      <c r="A1027" s="37">
        <v>2017</v>
      </c>
      <c r="B1027" s="35">
        <v>170770</v>
      </c>
      <c r="C1027" s="34" t="s">
        <v>149</v>
      </c>
      <c r="D1027" s="34" t="s">
        <v>57</v>
      </c>
      <c r="E1027" s="35"/>
      <c r="F1027" s="36">
        <f t="shared" si="344"/>
        <v>0</v>
      </c>
      <c r="G1027" s="38"/>
      <c r="H1027" s="36">
        <f t="shared" si="345"/>
        <v>0</v>
      </c>
      <c r="I1027" s="35"/>
      <c r="J1027" s="36">
        <f t="shared" si="346"/>
        <v>0</v>
      </c>
      <c r="K1027" s="38"/>
      <c r="L1027" s="36">
        <f t="shared" si="347"/>
        <v>0</v>
      </c>
      <c r="M1027" s="35"/>
      <c r="N1027" s="36">
        <f t="shared" si="337"/>
        <v>0</v>
      </c>
      <c r="O1027" s="38"/>
      <c r="P1027" s="36">
        <f t="shared" si="348"/>
        <v>0</v>
      </c>
      <c r="Q1027" s="35"/>
      <c r="R1027" s="36">
        <f t="shared" si="338"/>
        <v>0</v>
      </c>
      <c r="S1027" s="38"/>
      <c r="T1027" s="36">
        <f t="shared" si="349"/>
        <v>0</v>
      </c>
      <c r="U1027" s="35"/>
      <c r="V1027" s="36">
        <f t="shared" si="339"/>
        <v>0</v>
      </c>
      <c r="W1027" s="38"/>
      <c r="X1027" s="36">
        <f t="shared" si="350"/>
        <v>0</v>
      </c>
      <c r="Y1027" s="35"/>
      <c r="Z1027" s="36">
        <f t="shared" si="340"/>
        <v>0</v>
      </c>
      <c r="AA1027" s="38"/>
      <c r="AB1027" s="36">
        <f t="shared" si="351"/>
        <v>0</v>
      </c>
      <c r="AC1027" s="35"/>
      <c r="AD1027" s="36">
        <f t="shared" si="341"/>
        <v>0</v>
      </c>
      <c r="AE1027" s="38"/>
      <c r="AF1027" s="36">
        <f t="shared" si="352"/>
        <v>0</v>
      </c>
      <c r="AG1027" s="35"/>
      <c r="AH1027" s="36">
        <f t="shared" si="342"/>
        <v>0</v>
      </c>
      <c r="AI1027" s="38"/>
      <c r="AJ1027" s="36">
        <f t="shared" si="353"/>
        <v>0</v>
      </c>
      <c r="AK1027" s="35"/>
      <c r="AL1027" s="36">
        <f t="shared" si="343"/>
        <v>0</v>
      </c>
      <c r="AM1027" s="38"/>
      <c r="AN1027" s="36">
        <f t="shared" si="354"/>
        <v>0</v>
      </c>
      <c r="AO1027" s="35"/>
      <c r="AP1027" s="38"/>
    </row>
    <row r="1028" spans="1:42" ht="15.75" customHeight="1" x14ac:dyDescent="0.25">
      <c r="A1028" s="37">
        <v>2017</v>
      </c>
      <c r="B1028" s="35">
        <v>170820</v>
      </c>
      <c r="C1028" s="34" t="s">
        <v>146</v>
      </c>
      <c r="D1028" s="34" t="s">
        <v>58</v>
      </c>
      <c r="E1028" s="35"/>
      <c r="F1028" s="36">
        <f t="shared" si="344"/>
        <v>0</v>
      </c>
      <c r="G1028" s="38"/>
      <c r="H1028" s="36">
        <f t="shared" si="345"/>
        <v>0</v>
      </c>
      <c r="I1028" s="35"/>
      <c r="J1028" s="36">
        <f t="shared" si="346"/>
        <v>0</v>
      </c>
      <c r="K1028" s="38"/>
      <c r="L1028" s="36">
        <f t="shared" si="347"/>
        <v>0</v>
      </c>
      <c r="M1028" s="35"/>
      <c r="N1028" s="36">
        <f t="shared" si="337"/>
        <v>0</v>
      </c>
      <c r="O1028" s="38"/>
      <c r="P1028" s="36">
        <f t="shared" si="348"/>
        <v>0</v>
      </c>
      <c r="Q1028" s="35"/>
      <c r="R1028" s="36">
        <f t="shared" si="338"/>
        <v>0</v>
      </c>
      <c r="S1028" s="38"/>
      <c r="T1028" s="36">
        <f t="shared" si="349"/>
        <v>0</v>
      </c>
      <c r="U1028" s="35"/>
      <c r="V1028" s="36">
        <f t="shared" si="339"/>
        <v>0</v>
      </c>
      <c r="W1028" s="38"/>
      <c r="X1028" s="36">
        <f t="shared" si="350"/>
        <v>0</v>
      </c>
      <c r="Y1028" s="35"/>
      <c r="Z1028" s="36">
        <f t="shared" si="340"/>
        <v>0</v>
      </c>
      <c r="AA1028" s="38"/>
      <c r="AB1028" s="36">
        <f t="shared" si="351"/>
        <v>0</v>
      </c>
      <c r="AC1028" s="35"/>
      <c r="AD1028" s="36">
        <f t="shared" si="341"/>
        <v>0</v>
      </c>
      <c r="AE1028" s="38"/>
      <c r="AF1028" s="36">
        <f t="shared" si="352"/>
        <v>0</v>
      </c>
      <c r="AG1028" s="35"/>
      <c r="AH1028" s="36">
        <f t="shared" si="342"/>
        <v>0</v>
      </c>
      <c r="AI1028" s="38"/>
      <c r="AJ1028" s="36">
        <f t="shared" si="353"/>
        <v>0</v>
      </c>
      <c r="AK1028" s="35"/>
      <c r="AL1028" s="36">
        <f t="shared" si="343"/>
        <v>0</v>
      </c>
      <c r="AM1028" s="38"/>
      <c r="AN1028" s="36">
        <f t="shared" si="354"/>
        <v>0</v>
      </c>
      <c r="AO1028" s="35"/>
      <c r="AP1028" s="38"/>
    </row>
    <row r="1029" spans="1:42" ht="15.75" customHeight="1" x14ac:dyDescent="0.25">
      <c r="A1029" s="37">
        <v>2017</v>
      </c>
      <c r="B1029" s="35">
        <v>170830</v>
      </c>
      <c r="C1029" s="34" t="s">
        <v>150</v>
      </c>
      <c r="D1029" s="34" t="s">
        <v>59</v>
      </c>
      <c r="E1029" s="35"/>
      <c r="F1029" s="36">
        <f t="shared" si="344"/>
        <v>0</v>
      </c>
      <c r="G1029" s="38"/>
      <c r="H1029" s="36">
        <f t="shared" si="345"/>
        <v>0</v>
      </c>
      <c r="I1029" s="35"/>
      <c r="J1029" s="36">
        <f t="shared" si="346"/>
        <v>0</v>
      </c>
      <c r="K1029" s="38"/>
      <c r="L1029" s="36">
        <f t="shared" si="347"/>
        <v>0</v>
      </c>
      <c r="M1029" s="35"/>
      <c r="N1029" s="36">
        <f t="shared" si="337"/>
        <v>0</v>
      </c>
      <c r="O1029" s="38"/>
      <c r="P1029" s="36">
        <f t="shared" si="348"/>
        <v>0</v>
      </c>
      <c r="Q1029" s="35"/>
      <c r="R1029" s="36">
        <f t="shared" si="338"/>
        <v>0</v>
      </c>
      <c r="S1029" s="38"/>
      <c r="T1029" s="36">
        <f t="shared" si="349"/>
        <v>0</v>
      </c>
      <c r="U1029" s="35"/>
      <c r="V1029" s="36">
        <f t="shared" si="339"/>
        <v>0</v>
      </c>
      <c r="W1029" s="38"/>
      <c r="X1029" s="36">
        <f t="shared" si="350"/>
        <v>0</v>
      </c>
      <c r="Y1029" s="35"/>
      <c r="Z1029" s="36">
        <f t="shared" si="340"/>
        <v>0</v>
      </c>
      <c r="AA1029" s="38"/>
      <c r="AB1029" s="36">
        <f t="shared" si="351"/>
        <v>0</v>
      </c>
      <c r="AC1029" s="35"/>
      <c r="AD1029" s="36">
        <f t="shared" si="341"/>
        <v>0</v>
      </c>
      <c r="AE1029" s="38"/>
      <c r="AF1029" s="36">
        <f t="shared" si="352"/>
        <v>0</v>
      </c>
      <c r="AG1029" s="35"/>
      <c r="AH1029" s="36">
        <f t="shared" si="342"/>
        <v>0</v>
      </c>
      <c r="AI1029" s="38"/>
      <c r="AJ1029" s="36">
        <f t="shared" si="353"/>
        <v>0</v>
      </c>
      <c r="AK1029" s="35"/>
      <c r="AL1029" s="36">
        <f t="shared" si="343"/>
        <v>0</v>
      </c>
      <c r="AM1029" s="38"/>
      <c r="AN1029" s="36">
        <f t="shared" si="354"/>
        <v>0</v>
      </c>
      <c r="AO1029" s="35"/>
      <c r="AP1029" s="38"/>
    </row>
    <row r="1030" spans="1:42" ht="15.75" customHeight="1" x14ac:dyDescent="0.25">
      <c r="A1030" s="37">
        <v>2017</v>
      </c>
      <c r="B1030" s="35">
        <v>170900</v>
      </c>
      <c r="C1030" s="34" t="s">
        <v>149</v>
      </c>
      <c r="D1030" s="34" t="s">
        <v>60</v>
      </c>
      <c r="E1030" s="35"/>
      <c r="F1030" s="36">
        <f t="shared" si="344"/>
        <v>0</v>
      </c>
      <c r="G1030" s="38"/>
      <c r="H1030" s="36">
        <f t="shared" si="345"/>
        <v>0</v>
      </c>
      <c r="I1030" s="35"/>
      <c r="J1030" s="36">
        <f t="shared" si="346"/>
        <v>0</v>
      </c>
      <c r="K1030" s="38"/>
      <c r="L1030" s="36">
        <f t="shared" si="347"/>
        <v>0</v>
      </c>
      <c r="M1030" s="35"/>
      <c r="N1030" s="36">
        <f t="shared" si="337"/>
        <v>0</v>
      </c>
      <c r="O1030" s="38"/>
      <c r="P1030" s="36">
        <f t="shared" si="348"/>
        <v>0</v>
      </c>
      <c r="Q1030" s="35"/>
      <c r="R1030" s="36">
        <f t="shared" si="338"/>
        <v>0</v>
      </c>
      <c r="S1030" s="38"/>
      <c r="T1030" s="36">
        <f t="shared" si="349"/>
        <v>0</v>
      </c>
      <c r="U1030" s="35"/>
      <c r="V1030" s="36">
        <f t="shared" si="339"/>
        <v>0</v>
      </c>
      <c r="W1030" s="38"/>
      <c r="X1030" s="36">
        <f t="shared" si="350"/>
        <v>0</v>
      </c>
      <c r="Y1030" s="35"/>
      <c r="Z1030" s="36">
        <f t="shared" si="340"/>
        <v>0</v>
      </c>
      <c r="AA1030" s="38"/>
      <c r="AB1030" s="36">
        <f t="shared" si="351"/>
        <v>0</v>
      </c>
      <c r="AC1030" s="35"/>
      <c r="AD1030" s="36">
        <f t="shared" si="341"/>
        <v>0</v>
      </c>
      <c r="AE1030" s="38"/>
      <c r="AF1030" s="36">
        <f t="shared" si="352"/>
        <v>0</v>
      </c>
      <c r="AG1030" s="35"/>
      <c r="AH1030" s="36">
        <f t="shared" si="342"/>
        <v>0</v>
      </c>
      <c r="AI1030" s="38"/>
      <c r="AJ1030" s="36">
        <f t="shared" si="353"/>
        <v>0</v>
      </c>
      <c r="AK1030" s="35"/>
      <c r="AL1030" s="36">
        <f t="shared" si="343"/>
        <v>0</v>
      </c>
      <c r="AM1030" s="38"/>
      <c r="AN1030" s="36">
        <f t="shared" si="354"/>
        <v>0</v>
      </c>
      <c r="AO1030" s="35"/>
      <c r="AP1030" s="38"/>
    </row>
    <row r="1031" spans="1:42" ht="15.75" customHeight="1" x14ac:dyDescent="0.25">
      <c r="A1031" s="37">
        <v>2017</v>
      </c>
      <c r="B1031" s="35">
        <v>170930</v>
      </c>
      <c r="C1031" s="34" t="s">
        <v>150</v>
      </c>
      <c r="D1031" s="34" t="s">
        <v>61</v>
      </c>
      <c r="E1031" s="35"/>
      <c r="F1031" s="36">
        <f t="shared" si="344"/>
        <v>0</v>
      </c>
      <c r="G1031" s="38"/>
      <c r="H1031" s="36">
        <f t="shared" si="345"/>
        <v>0</v>
      </c>
      <c r="I1031" s="35"/>
      <c r="J1031" s="36">
        <f t="shared" si="346"/>
        <v>0</v>
      </c>
      <c r="K1031" s="38"/>
      <c r="L1031" s="36">
        <f t="shared" si="347"/>
        <v>0</v>
      </c>
      <c r="M1031" s="35"/>
      <c r="N1031" s="36">
        <f t="shared" si="337"/>
        <v>0</v>
      </c>
      <c r="O1031" s="38"/>
      <c r="P1031" s="36">
        <f t="shared" si="348"/>
        <v>0</v>
      </c>
      <c r="Q1031" s="35"/>
      <c r="R1031" s="36">
        <f t="shared" si="338"/>
        <v>0</v>
      </c>
      <c r="S1031" s="38"/>
      <c r="T1031" s="36">
        <f t="shared" si="349"/>
        <v>0</v>
      </c>
      <c r="U1031" s="35"/>
      <c r="V1031" s="36">
        <f t="shared" si="339"/>
        <v>0</v>
      </c>
      <c r="W1031" s="38"/>
      <c r="X1031" s="36">
        <f t="shared" si="350"/>
        <v>0</v>
      </c>
      <c r="Y1031" s="35"/>
      <c r="Z1031" s="36">
        <f t="shared" si="340"/>
        <v>0</v>
      </c>
      <c r="AA1031" s="38"/>
      <c r="AB1031" s="36">
        <f t="shared" si="351"/>
        <v>0</v>
      </c>
      <c r="AC1031" s="35"/>
      <c r="AD1031" s="36">
        <f t="shared" si="341"/>
        <v>0</v>
      </c>
      <c r="AE1031" s="38"/>
      <c r="AF1031" s="36">
        <f t="shared" si="352"/>
        <v>0</v>
      </c>
      <c r="AG1031" s="35"/>
      <c r="AH1031" s="36">
        <f t="shared" si="342"/>
        <v>0</v>
      </c>
      <c r="AI1031" s="38"/>
      <c r="AJ1031" s="36">
        <f t="shared" si="353"/>
        <v>0</v>
      </c>
      <c r="AK1031" s="35"/>
      <c r="AL1031" s="36">
        <f t="shared" si="343"/>
        <v>0</v>
      </c>
      <c r="AM1031" s="38"/>
      <c r="AN1031" s="36">
        <f t="shared" si="354"/>
        <v>0</v>
      </c>
      <c r="AO1031" s="35"/>
      <c r="AP1031" s="38"/>
    </row>
    <row r="1032" spans="1:42" ht="15.75" customHeight="1" x14ac:dyDescent="0.25">
      <c r="A1032" s="37">
        <v>2017</v>
      </c>
      <c r="B1032" s="35">
        <v>170950</v>
      </c>
      <c r="C1032" s="34" t="s">
        <v>146</v>
      </c>
      <c r="D1032" s="34" t="s">
        <v>62</v>
      </c>
      <c r="E1032" s="35"/>
      <c r="F1032" s="36">
        <f t="shared" si="344"/>
        <v>0</v>
      </c>
      <c r="G1032" s="38"/>
      <c r="H1032" s="36">
        <f t="shared" si="345"/>
        <v>0</v>
      </c>
      <c r="I1032" s="35"/>
      <c r="J1032" s="36">
        <f t="shared" si="346"/>
        <v>0</v>
      </c>
      <c r="K1032" s="38"/>
      <c r="L1032" s="36">
        <f t="shared" si="347"/>
        <v>0</v>
      </c>
      <c r="M1032" s="35"/>
      <c r="N1032" s="36">
        <f t="shared" si="337"/>
        <v>0</v>
      </c>
      <c r="O1032" s="39"/>
      <c r="P1032" s="36">
        <f t="shared" si="348"/>
        <v>0</v>
      </c>
      <c r="Q1032" s="35"/>
      <c r="R1032" s="36">
        <f t="shared" si="338"/>
        <v>0</v>
      </c>
      <c r="S1032" s="38"/>
      <c r="T1032" s="36">
        <f t="shared" si="349"/>
        <v>0</v>
      </c>
      <c r="U1032" s="35"/>
      <c r="V1032" s="36">
        <f t="shared" si="339"/>
        <v>0</v>
      </c>
      <c r="W1032" s="38"/>
      <c r="X1032" s="36">
        <f t="shared" si="350"/>
        <v>0</v>
      </c>
      <c r="Y1032" s="35"/>
      <c r="Z1032" s="36">
        <f t="shared" si="340"/>
        <v>0</v>
      </c>
      <c r="AA1032" s="38"/>
      <c r="AB1032" s="36">
        <f t="shared" si="351"/>
        <v>0</v>
      </c>
      <c r="AC1032" s="35"/>
      <c r="AD1032" s="36">
        <f t="shared" si="341"/>
        <v>0</v>
      </c>
      <c r="AE1032" s="38"/>
      <c r="AF1032" s="36">
        <f t="shared" si="352"/>
        <v>0</v>
      </c>
      <c r="AG1032" s="35"/>
      <c r="AH1032" s="36">
        <f t="shared" si="342"/>
        <v>0</v>
      </c>
      <c r="AI1032" s="38"/>
      <c r="AJ1032" s="36">
        <f t="shared" si="353"/>
        <v>0</v>
      </c>
      <c r="AK1032" s="35"/>
      <c r="AL1032" s="36">
        <f t="shared" si="343"/>
        <v>0</v>
      </c>
      <c r="AM1032" s="38"/>
      <c r="AN1032" s="36">
        <f t="shared" si="354"/>
        <v>0</v>
      </c>
      <c r="AO1032" s="35"/>
      <c r="AP1032" s="39"/>
    </row>
    <row r="1033" spans="1:42" ht="15.75" customHeight="1" x14ac:dyDescent="0.25">
      <c r="A1033" s="37">
        <v>2017</v>
      </c>
      <c r="B1033" s="35">
        <v>170980</v>
      </c>
      <c r="C1033" s="34" t="s">
        <v>151</v>
      </c>
      <c r="D1033" s="34" t="s">
        <v>63</v>
      </c>
      <c r="E1033" s="35"/>
      <c r="F1033" s="36">
        <f t="shared" si="344"/>
        <v>0</v>
      </c>
      <c r="G1033" s="38"/>
      <c r="H1033" s="36">
        <f t="shared" si="345"/>
        <v>0</v>
      </c>
      <c r="I1033" s="35"/>
      <c r="J1033" s="36">
        <f t="shared" si="346"/>
        <v>0</v>
      </c>
      <c r="K1033" s="38"/>
      <c r="L1033" s="36">
        <f t="shared" si="347"/>
        <v>0</v>
      </c>
      <c r="M1033" s="35"/>
      <c r="N1033" s="36">
        <f t="shared" si="337"/>
        <v>0</v>
      </c>
      <c r="O1033" s="38"/>
      <c r="P1033" s="36">
        <f t="shared" si="348"/>
        <v>0</v>
      </c>
      <c r="Q1033" s="35"/>
      <c r="R1033" s="36">
        <f t="shared" si="338"/>
        <v>0</v>
      </c>
      <c r="S1033" s="38"/>
      <c r="T1033" s="36">
        <f t="shared" si="349"/>
        <v>0</v>
      </c>
      <c r="U1033" s="35"/>
      <c r="V1033" s="36">
        <f t="shared" si="339"/>
        <v>0</v>
      </c>
      <c r="W1033" s="38"/>
      <c r="X1033" s="36">
        <f t="shared" si="350"/>
        <v>0</v>
      </c>
      <c r="Y1033" s="35"/>
      <c r="Z1033" s="36">
        <f t="shared" si="340"/>
        <v>0</v>
      </c>
      <c r="AA1033" s="38"/>
      <c r="AB1033" s="36">
        <f t="shared" si="351"/>
        <v>0</v>
      </c>
      <c r="AC1033" s="35"/>
      <c r="AD1033" s="36">
        <f t="shared" si="341"/>
        <v>0</v>
      </c>
      <c r="AE1033" s="38"/>
      <c r="AF1033" s="36">
        <f t="shared" si="352"/>
        <v>0</v>
      </c>
      <c r="AG1033" s="35"/>
      <c r="AH1033" s="36">
        <f t="shared" si="342"/>
        <v>0</v>
      </c>
      <c r="AI1033" s="38"/>
      <c r="AJ1033" s="36">
        <f t="shared" si="353"/>
        <v>0</v>
      </c>
      <c r="AK1033" s="35"/>
      <c r="AL1033" s="36">
        <f t="shared" si="343"/>
        <v>0</v>
      </c>
      <c r="AM1033" s="38"/>
      <c r="AN1033" s="36">
        <f t="shared" si="354"/>
        <v>0</v>
      </c>
      <c r="AO1033" s="35"/>
      <c r="AP1033" s="38"/>
    </row>
    <row r="1034" spans="1:42" ht="15.75" customHeight="1" x14ac:dyDescent="0.25">
      <c r="A1034" s="37">
        <v>2017</v>
      </c>
      <c r="B1034" s="35">
        <v>171050</v>
      </c>
      <c r="C1034" s="34" t="s">
        <v>150</v>
      </c>
      <c r="D1034" s="34" t="s">
        <v>64</v>
      </c>
      <c r="E1034" s="35"/>
      <c r="F1034" s="36">
        <f t="shared" si="344"/>
        <v>0</v>
      </c>
      <c r="G1034" s="38"/>
      <c r="H1034" s="36">
        <f t="shared" si="345"/>
        <v>0</v>
      </c>
      <c r="I1034" s="35"/>
      <c r="J1034" s="36">
        <f t="shared" si="346"/>
        <v>0</v>
      </c>
      <c r="K1034" s="38"/>
      <c r="L1034" s="36">
        <f t="shared" si="347"/>
        <v>0</v>
      </c>
      <c r="M1034" s="35"/>
      <c r="N1034" s="36">
        <f t="shared" si="337"/>
        <v>0</v>
      </c>
      <c r="O1034" s="38"/>
      <c r="P1034" s="36">
        <f t="shared" si="348"/>
        <v>0</v>
      </c>
      <c r="Q1034" s="35"/>
      <c r="R1034" s="36">
        <f t="shared" si="338"/>
        <v>0</v>
      </c>
      <c r="S1034" s="38"/>
      <c r="T1034" s="36">
        <f t="shared" si="349"/>
        <v>0</v>
      </c>
      <c r="U1034" s="35"/>
      <c r="V1034" s="36">
        <f t="shared" si="339"/>
        <v>0</v>
      </c>
      <c r="W1034" s="38"/>
      <c r="X1034" s="36">
        <f t="shared" si="350"/>
        <v>0</v>
      </c>
      <c r="Y1034" s="35"/>
      <c r="Z1034" s="36">
        <f t="shared" si="340"/>
        <v>0</v>
      </c>
      <c r="AA1034" s="38"/>
      <c r="AB1034" s="36">
        <f t="shared" si="351"/>
        <v>0</v>
      </c>
      <c r="AC1034" s="35"/>
      <c r="AD1034" s="36">
        <f t="shared" si="341"/>
        <v>0</v>
      </c>
      <c r="AE1034" s="38"/>
      <c r="AF1034" s="36">
        <f t="shared" si="352"/>
        <v>0</v>
      </c>
      <c r="AG1034" s="35"/>
      <c r="AH1034" s="36">
        <f t="shared" si="342"/>
        <v>0</v>
      </c>
      <c r="AI1034" s="38"/>
      <c r="AJ1034" s="36">
        <f t="shared" si="353"/>
        <v>0</v>
      </c>
      <c r="AK1034" s="35"/>
      <c r="AL1034" s="36">
        <f t="shared" si="343"/>
        <v>0</v>
      </c>
      <c r="AM1034" s="38"/>
      <c r="AN1034" s="36">
        <f t="shared" si="354"/>
        <v>0</v>
      </c>
      <c r="AO1034" s="35"/>
      <c r="AP1034" s="38"/>
    </row>
    <row r="1035" spans="1:42" ht="15.75" customHeight="1" x14ac:dyDescent="0.25">
      <c r="A1035" s="37">
        <v>2017</v>
      </c>
      <c r="B1035" s="35">
        <v>171070</v>
      </c>
      <c r="C1035" s="34" t="s">
        <v>145</v>
      </c>
      <c r="D1035" s="34" t="s">
        <v>65</v>
      </c>
      <c r="E1035" s="35"/>
      <c r="F1035" s="36">
        <f t="shared" si="344"/>
        <v>0</v>
      </c>
      <c r="G1035" s="38"/>
      <c r="H1035" s="36">
        <f t="shared" si="345"/>
        <v>0</v>
      </c>
      <c r="I1035" s="35"/>
      <c r="J1035" s="36">
        <f t="shared" si="346"/>
        <v>0</v>
      </c>
      <c r="K1035" s="38"/>
      <c r="L1035" s="36">
        <f t="shared" si="347"/>
        <v>0</v>
      </c>
      <c r="M1035" s="35"/>
      <c r="N1035" s="36">
        <f t="shared" si="337"/>
        <v>0</v>
      </c>
      <c r="O1035" s="38"/>
      <c r="P1035" s="36">
        <f t="shared" si="348"/>
        <v>0</v>
      </c>
      <c r="Q1035" s="35"/>
      <c r="R1035" s="36">
        <f t="shared" si="338"/>
        <v>0</v>
      </c>
      <c r="S1035" s="38"/>
      <c r="T1035" s="36">
        <f t="shared" si="349"/>
        <v>0</v>
      </c>
      <c r="U1035" s="35"/>
      <c r="V1035" s="36">
        <f t="shared" si="339"/>
        <v>0</v>
      </c>
      <c r="W1035" s="38"/>
      <c r="X1035" s="36">
        <f t="shared" si="350"/>
        <v>0</v>
      </c>
      <c r="Y1035" s="35"/>
      <c r="Z1035" s="36">
        <f t="shared" si="340"/>
        <v>0</v>
      </c>
      <c r="AA1035" s="38"/>
      <c r="AB1035" s="36">
        <f t="shared" si="351"/>
        <v>0</v>
      </c>
      <c r="AC1035" s="35"/>
      <c r="AD1035" s="36">
        <f t="shared" si="341"/>
        <v>0</v>
      </c>
      <c r="AE1035" s="38"/>
      <c r="AF1035" s="36">
        <f t="shared" si="352"/>
        <v>0</v>
      </c>
      <c r="AG1035" s="35"/>
      <c r="AH1035" s="36">
        <f t="shared" si="342"/>
        <v>0</v>
      </c>
      <c r="AI1035" s="38"/>
      <c r="AJ1035" s="36">
        <f t="shared" si="353"/>
        <v>0</v>
      </c>
      <c r="AK1035" s="35"/>
      <c r="AL1035" s="36">
        <f t="shared" si="343"/>
        <v>0</v>
      </c>
      <c r="AM1035" s="38"/>
      <c r="AN1035" s="36">
        <f t="shared" si="354"/>
        <v>0</v>
      </c>
      <c r="AO1035" s="35"/>
      <c r="AP1035" s="38"/>
    </row>
    <row r="1036" spans="1:42" ht="15.75" customHeight="1" x14ac:dyDescent="0.25">
      <c r="A1036" s="37">
        <v>2017</v>
      </c>
      <c r="B1036" s="35">
        <v>171090</v>
      </c>
      <c r="C1036" s="34" t="s">
        <v>150</v>
      </c>
      <c r="D1036" s="34" t="s">
        <v>66</v>
      </c>
      <c r="E1036" s="35"/>
      <c r="F1036" s="36">
        <f t="shared" si="344"/>
        <v>0</v>
      </c>
      <c r="G1036" s="38"/>
      <c r="H1036" s="36">
        <f t="shared" si="345"/>
        <v>0</v>
      </c>
      <c r="I1036" s="35"/>
      <c r="J1036" s="36">
        <f t="shared" si="346"/>
        <v>0</v>
      </c>
      <c r="K1036" s="38"/>
      <c r="L1036" s="36">
        <f t="shared" si="347"/>
        <v>0</v>
      </c>
      <c r="M1036" s="35"/>
      <c r="N1036" s="36">
        <f t="shared" si="337"/>
        <v>0</v>
      </c>
      <c r="O1036" s="38"/>
      <c r="P1036" s="36">
        <f t="shared" si="348"/>
        <v>0</v>
      </c>
      <c r="Q1036" s="35"/>
      <c r="R1036" s="36">
        <f t="shared" si="338"/>
        <v>0</v>
      </c>
      <c r="S1036" s="38"/>
      <c r="T1036" s="36">
        <f t="shared" si="349"/>
        <v>0</v>
      </c>
      <c r="U1036" s="35"/>
      <c r="V1036" s="36">
        <f t="shared" si="339"/>
        <v>0</v>
      </c>
      <c r="W1036" s="38"/>
      <c r="X1036" s="36">
        <f t="shared" si="350"/>
        <v>0</v>
      </c>
      <c r="Y1036" s="35"/>
      <c r="Z1036" s="36">
        <f t="shared" si="340"/>
        <v>0</v>
      </c>
      <c r="AA1036" s="38"/>
      <c r="AB1036" s="36">
        <f t="shared" si="351"/>
        <v>0</v>
      </c>
      <c r="AC1036" s="35"/>
      <c r="AD1036" s="36">
        <f t="shared" si="341"/>
        <v>0</v>
      </c>
      <c r="AE1036" s="38"/>
      <c r="AF1036" s="36">
        <f t="shared" si="352"/>
        <v>0</v>
      </c>
      <c r="AG1036" s="35"/>
      <c r="AH1036" s="36">
        <f t="shared" si="342"/>
        <v>0</v>
      </c>
      <c r="AI1036" s="38"/>
      <c r="AJ1036" s="36">
        <f t="shared" si="353"/>
        <v>0</v>
      </c>
      <c r="AK1036" s="35"/>
      <c r="AL1036" s="36">
        <f t="shared" si="343"/>
        <v>0</v>
      </c>
      <c r="AM1036" s="38"/>
      <c r="AN1036" s="36">
        <f t="shared" si="354"/>
        <v>0</v>
      </c>
      <c r="AO1036" s="35"/>
      <c r="AP1036" s="38"/>
    </row>
    <row r="1037" spans="1:42" ht="15.75" customHeight="1" x14ac:dyDescent="0.25">
      <c r="A1037" s="37">
        <v>2017</v>
      </c>
      <c r="B1037" s="35">
        <v>171110</v>
      </c>
      <c r="C1037" s="34" t="s">
        <v>150</v>
      </c>
      <c r="D1037" s="34" t="s">
        <v>67</v>
      </c>
      <c r="E1037" s="35"/>
      <c r="F1037" s="36">
        <f t="shared" si="344"/>
        <v>0</v>
      </c>
      <c r="G1037" s="38"/>
      <c r="H1037" s="36">
        <f t="shared" si="345"/>
        <v>0</v>
      </c>
      <c r="I1037" s="35"/>
      <c r="J1037" s="36">
        <f t="shared" si="346"/>
        <v>0</v>
      </c>
      <c r="K1037" s="38"/>
      <c r="L1037" s="36">
        <f t="shared" si="347"/>
        <v>0</v>
      </c>
      <c r="M1037" s="35"/>
      <c r="N1037" s="36">
        <f t="shared" si="337"/>
        <v>0</v>
      </c>
      <c r="O1037" s="38"/>
      <c r="P1037" s="36">
        <f t="shared" si="348"/>
        <v>0</v>
      </c>
      <c r="Q1037" s="35"/>
      <c r="R1037" s="36">
        <f t="shared" si="338"/>
        <v>0</v>
      </c>
      <c r="S1037" s="38"/>
      <c r="T1037" s="36">
        <f t="shared" si="349"/>
        <v>0</v>
      </c>
      <c r="U1037" s="35"/>
      <c r="V1037" s="36">
        <f t="shared" si="339"/>
        <v>0</v>
      </c>
      <c r="W1037" s="38"/>
      <c r="X1037" s="36">
        <f t="shared" si="350"/>
        <v>0</v>
      </c>
      <c r="Y1037" s="35"/>
      <c r="Z1037" s="36">
        <f t="shared" si="340"/>
        <v>0</v>
      </c>
      <c r="AA1037" s="38"/>
      <c r="AB1037" s="36">
        <f t="shared" si="351"/>
        <v>0</v>
      </c>
      <c r="AC1037" s="35"/>
      <c r="AD1037" s="36">
        <f t="shared" si="341"/>
        <v>0</v>
      </c>
      <c r="AE1037" s="38"/>
      <c r="AF1037" s="36">
        <f t="shared" si="352"/>
        <v>0</v>
      </c>
      <c r="AG1037" s="35"/>
      <c r="AH1037" s="36">
        <f t="shared" si="342"/>
        <v>0</v>
      </c>
      <c r="AI1037" s="38"/>
      <c r="AJ1037" s="36">
        <f t="shared" si="353"/>
        <v>0</v>
      </c>
      <c r="AK1037" s="35"/>
      <c r="AL1037" s="36">
        <f t="shared" si="343"/>
        <v>0</v>
      </c>
      <c r="AM1037" s="38"/>
      <c r="AN1037" s="36">
        <f t="shared" si="354"/>
        <v>0</v>
      </c>
      <c r="AO1037" s="35"/>
      <c r="AP1037" s="38"/>
    </row>
    <row r="1038" spans="1:42" ht="15.75" customHeight="1" x14ac:dyDescent="0.25">
      <c r="A1038" s="37">
        <v>2017</v>
      </c>
      <c r="B1038" s="35">
        <v>171150</v>
      </c>
      <c r="C1038" s="34" t="s">
        <v>146</v>
      </c>
      <c r="D1038" s="34" t="s">
        <v>68</v>
      </c>
      <c r="E1038" s="35"/>
      <c r="F1038" s="36">
        <f t="shared" si="344"/>
        <v>0</v>
      </c>
      <c r="G1038" s="38"/>
      <c r="H1038" s="36">
        <f t="shared" si="345"/>
        <v>0</v>
      </c>
      <c r="I1038" s="35"/>
      <c r="J1038" s="36">
        <f t="shared" si="346"/>
        <v>0</v>
      </c>
      <c r="K1038" s="38"/>
      <c r="L1038" s="36">
        <f t="shared" si="347"/>
        <v>0</v>
      </c>
      <c r="M1038" s="35"/>
      <c r="N1038" s="36">
        <f t="shared" si="337"/>
        <v>0</v>
      </c>
      <c r="O1038" s="38"/>
      <c r="P1038" s="36">
        <f t="shared" si="348"/>
        <v>0</v>
      </c>
      <c r="Q1038" s="35"/>
      <c r="R1038" s="36">
        <f t="shared" si="338"/>
        <v>0</v>
      </c>
      <c r="S1038" s="38"/>
      <c r="T1038" s="36">
        <f t="shared" si="349"/>
        <v>0</v>
      </c>
      <c r="U1038" s="35"/>
      <c r="V1038" s="36">
        <f t="shared" si="339"/>
        <v>0</v>
      </c>
      <c r="W1038" s="38"/>
      <c r="X1038" s="36">
        <f t="shared" si="350"/>
        <v>0</v>
      </c>
      <c r="Y1038" s="35"/>
      <c r="Z1038" s="36">
        <f t="shared" si="340"/>
        <v>0</v>
      </c>
      <c r="AA1038" s="38"/>
      <c r="AB1038" s="36">
        <f t="shared" si="351"/>
        <v>0</v>
      </c>
      <c r="AC1038" s="35"/>
      <c r="AD1038" s="36">
        <f t="shared" si="341"/>
        <v>0</v>
      </c>
      <c r="AE1038" s="38"/>
      <c r="AF1038" s="36">
        <f t="shared" si="352"/>
        <v>0</v>
      </c>
      <c r="AG1038" s="35"/>
      <c r="AH1038" s="36">
        <f t="shared" si="342"/>
        <v>0</v>
      </c>
      <c r="AI1038" s="38"/>
      <c r="AJ1038" s="36">
        <f t="shared" si="353"/>
        <v>0</v>
      </c>
      <c r="AK1038" s="35"/>
      <c r="AL1038" s="36">
        <f t="shared" si="343"/>
        <v>0</v>
      </c>
      <c r="AM1038" s="38"/>
      <c r="AN1038" s="36">
        <f t="shared" si="354"/>
        <v>0</v>
      </c>
      <c r="AO1038" s="35"/>
      <c r="AP1038" s="38"/>
    </row>
    <row r="1039" spans="1:42" ht="15.75" customHeight="1" x14ac:dyDescent="0.25">
      <c r="A1039" s="37">
        <v>2017</v>
      </c>
      <c r="B1039" s="35">
        <v>171180</v>
      </c>
      <c r="C1039" s="34" t="s">
        <v>150</v>
      </c>
      <c r="D1039" s="34" t="s">
        <v>69</v>
      </c>
      <c r="E1039" s="35"/>
      <c r="F1039" s="36">
        <f t="shared" si="344"/>
        <v>0</v>
      </c>
      <c r="G1039" s="38"/>
      <c r="H1039" s="36">
        <f t="shared" si="345"/>
        <v>0</v>
      </c>
      <c r="I1039" s="35"/>
      <c r="J1039" s="36">
        <f t="shared" si="346"/>
        <v>0</v>
      </c>
      <c r="K1039" s="38"/>
      <c r="L1039" s="36">
        <f t="shared" si="347"/>
        <v>0</v>
      </c>
      <c r="M1039" s="35"/>
      <c r="N1039" s="36">
        <f t="shared" si="337"/>
        <v>0</v>
      </c>
      <c r="O1039" s="38"/>
      <c r="P1039" s="36">
        <f t="shared" si="348"/>
        <v>0</v>
      </c>
      <c r="Q1039" s="35"/>
      <c r="R1039" s="36">
        <f t="shared" si="338"/>
        <v>0</v>
      </c>
      <c r="S1039" s="38"/>
      <c r="T1039" s="36">
        <f t="shared" si="349"/>
        <v>0</v>
      </c>
      <c r="U1039" s="35"/>
      <c r="V1039" s="36">
        <f t="shared" si="339"/>
        <v>0</v>
      </c>
      <c r="W1039" s="38"/>
      <c r="X1039" s="36">
        <f t="shared" si="350"/>
        <v>0</v>
      </c>
      <c r="Y1039" s="35"/>
      <c r="Z1039" s="36">
        <f t="shared" si="340"/>
        <v>0</v>
      </c>
      <c r="AA1039" s="38"/>
      <c r="AB1039" s="36">
        <f t="shared" si="351"/>
        <v>0</v>
      </c>
      <c r="AC1039" s="35"/>
      <c r="AD1039" s="36">
        <f t="shared" si="341"/>
        <v>0</v>
      </c>
      <c r="AE1039" s="38"/>
      <c r="AF1039" s="36">
        <f t="shared" si="352"/>
        <v>0</v>
      </c>
      <c r="AG1039" s="35"/>
      <c r="AH1039" s="36">
        <f t="shared" si="342"/>
        <v>0</v>
      </c>
      <c r="AI1039" s="38"/>
      <c r="AJ1039" s="36">
        <f t="shared" si="353"/>
        <v>0</v>
      </c>
      <c r="AK1039" s="35"/>
      <c r="AL1039" s="36">
        <f t="shared" si="343"/>
        <v>0</v>
      </c>
      <c r="AM1039" s="38"/>
      <c r="AN1039" s="36">
        <f t="shared" si="354"/>
        <v>0</v>
      </c>
      <c r="AO1039" s="35"/>
      <c r="AP1039" s="38"/>
    </row>
    <row r="1040" spans="1:42" ht="15.75" customHeight="1" x14ac:dyDescent="0.25">
      <c r="A1040" s="37">
        <v>2017</v>
      </c>
      <c r="B1040" s="35">
        <v>171190</v>
      </c>
      <c r="C1040" s="34" t="s">
        <v>144</v>
      </c>
      <c r="D1040" s="34" t="s">
        <v>70</v>
      </c>
      <c r="E1040" s="35"/>
      <c r="F1040" s="36">
        <f t="shared" si="344"/>
        <v>0</v>
      </c>
      <c r="G1040" s="38"/>
      <c r="H1040" s="36">
        <f t="shared" si="345"/>
        <v>0</v>
      </c>
      <c r="I1040" s="35"/>
      <c r="J1040" s="36">
        <f t="shared" si="346"/>
        <v>0</v>
      </c>
      <c r="K1040" s="38"/>
      <c r="L1040" s="36">
        <f t="shared" si="347"/>
        <v>0</v>
      </c>
      <c r="M1040" s="35"/>
      <c r="N1040" s="36">
        <f t="shared" si="337"/>
        <v>0</v>
      </c>
      <c r="O1040" s="38"/>
      <c r="P1040" s="36">
        <f t="shared" si="348"/>
        <v>0</v>
      </c>
      <c r="Q1040" s="35"/>
      <c r="R1040" s="36">
        <f t="shared" si="338"/>
        <v>0</v>
      </c>
      <c r="S1040" s="38"/>
      <c r="T1040" s="36">
        <f t="shared" si="349"/>
        <v>0</v>
      </c>
      <c r="U1040" s="35"/>
      <c r="V1040" s="36">
        <f t="shared" si="339"/>
        <v>0</v>
      </c>
      <c r="W1040" s="38"/>
      <c r="X1040" s="36">
        <f t="shared" si="350"/>
        <v>0</v>
      </c>
      <c r="Y1040" s="35"/>
      <c r="Z1040" s="36">
        <f t="shared" si="340"/>
        <v>0</v>
      </c>
      <c r="AA1040" s="38"/>
      <c r="AB1040" s="36">
        <f t="shared" si="351"/>
        <v>0</v>
      </c>
      <c r="AC1040" s="35"/>
      <c r="AD1040" s="36">
        <f t="shared" si="341"/>
        <v>0</v>
      </c>
      <c r="AE1040" s="38"/>
      <c r="AF1040" s="36">
        <f t="shared" si="352"/>
        <v>0</v>
      </c>
      <c r="AG1040" s="35"/>
      <c r="AH1040" s="36">
        <f t="shared" si="342"/>
        <v>0</v>
      </c>
      <c r="AI1040" s="38"/>
      <c r="AJ1040" s="36">
        <f t="shared" si="353"/>
        <v>0</v>
      </c>
      <c r="AK1040" s="35"/>
      <c r="AL1040" s="36">
        <f t="shared" si="343"/>
        <v>0</v>
      </c>
      <c r="AM1040" s="38"/>
      <c r="AN1040" s="36">
        <f t="shared" si="354"/>
        <v>0</v>
      </c>
      <c r="AO1040" s="35"/>
      <c r="AP1040" s="38"/>
    </row>
    <row r="1041" spans="1:42" ht="15.75" customHeight="1" x14ac:dyDescent="0.25">
      <c r="A1041" s="37">
        <v>2017</v>
      </c>
      <c r="B1041" s="35">
        <v>171195</v>
      </c>
      <c r="C1041" s="34" t="s">
        <v>148</v>
      </c>
      <c r="D1041" s="34" t="s">
        <v>71</v>
      </c>
      <c r="E1041" s="35"/>
      <c r="F1041" s="36">
        <f t="shared" si="344"/>
        <v>0</v>
      </c>
      <c r="G1041" s="38"/>
      <c r="H1041" s="36">
        <f t="shared" si="345"/>
        <v>0</v>
      </c>
      <c r="I1041" s="35"/>
      <c r="J1041" s="36">
        <f t="shared" si="346"/>
        <v>0</v>
      </c>
      <c r="K1041" s="38"/>
      <c r="L1041" s="36">
        <f t="shared" si="347"/>
        <v>0</v>
      </c>
      <c r="M1041" s="35"/>
      <c r="N1041" s="36">
        <f t="shared" si="337"/>
        <v>0</v>
      </c>
      <c r="O1041" s="38"/>
      <c r="P1041" s="36">
        <f t="shared" si="348"/>
        <v>0</v>
      </c>
      <c r="Q1041" s="35"/>
      <c r="R1041" s="36">
        <f t="shared" si="338"/>
        <v>0</v>
      </c>
      <c r="S1041" s="38"/>
      <c r="T1041" s="36">
        <f t="shared" si="349"/>
        <v>0</v>
      </c>
      <c r="U1041" s="35"/>
      <c r="V1041" s="36">
        <f t="shared" si="339"/>
        <v>0</v>
      </c>
      <c r="W1041" s="38"/>
      <c r="X1041" s="36">
        <f t="shared" si="350"/>
        <v>0</v>
      </c>
      <c r="Y1041" s="35"/>
      <c r="Z1041" s="36">
        <f t="shared" si="340"/>
        <v>0</v>
      </c>
      <c r="AA1041" s="38"/>
      <c r="AB1041" s="36">
        <f t="shared" si="351"/>
        <v>0</v>
      </c>
      <c r="AC1041" s="35"/>
      <c r="AD1041" s="36">
        <f t="shared" si="341"/>
        <v>0</v>
      </c>
      <c r="AE1041" s="38"/>
      <c r="AF1041" s="36">
        <f t="shared" si="352"/>
        <v>0</v>
      </c>
      <c r="AG1041" s="35"/>
      <c r="AH1041" s="36">
        <f t="shared" si="342"/>
        <v>0</v>
      </c>
      <c r="AI1041" s="38"/>
      <c r="AJ1041" s="36">
        <f t="shared" si="353"/>
        <v>0</v>
      </c>
      <c r="AK1041" s="35"/>
      <c r="AL1041" s="36">
        <f t="shared" si="343"/>
        <v>0</v>
      </c>
      <c r="AM1041" s="38"/>
      <c r="AN1041" s="36">
        <f t="shared" si="354"/>
        <v>0</v>
      </c>
      <c r="AO1041" s="35"/>
      <c r="AP1041" s="38"/>
    </row>
    <row r="1042" spans="1:42" ht="15.75" customHeight="1" x14ac:dyDescent="0.25">
      <c r="A1042" s="37">
        <v>2017</v>
      </c>
      <c r="B1042" s="35">
        <v>171200</v>
      </c>
      <c r="C1042" s="34" t="s">
        <v>148</v>
      </c>
      <c r="D1042" s="34" t="s">
        <v>72</v>
      </c>
      <c r="E1042" s="35"/>
      <c r="F1042" s="36">
        <f t="shared" si="344"/>
        <v>0</v>
      </c>
      <c r="G1042" s="38"/>
      <c r="H1042" s="36">
        <f t="shared" si="345"/>
        <v>0</v>
      </c>
      <c r="I1042" s="35"/>
      <c r="J1042" s="36">
        <f t="shared" si="346"/>
        <v>0</v>
      </c>
      <c r="K1042" s="38"/>
      <c r="L1042" s="36">
        <f t="shared" si="347"/>
        <v>0</v>
      </c>
      <c r="M1042" s="35"/>
      <c r="N1042" s="36">
        <f t="shared" si="337"/>
        <v>0</v>
      </c>
      <c r="O1042" s="38"/>
      <c r="P1042" s="36">
        <f t="shared" si="348"/>
        <v>0</v>
      </c>
      <c r="Q1042" s="35"/>
      <c r="R1042" s="36">
        <f t="shared" si="338"/>
        <v>0</v>
      </c>
      <c r="S1042" s="38"/>
      <c r="T1042" s="36">
        <f t="shared" si="349"/>
        <v>0</v>
      </c>
      <c r="U1042" s="35"/>
      <c r="V1042" s="36">
        <f t="shared" si="339"/>
        <v>0</v>
      </c>
      <c r="W1042" s="38"/>
      <c r="X1042" s="36">
        <f t="shared" si="350"/>
        <v>0</v>
      </c>
      <c r="Y1042" s="35"/>
      <c r="Z1042" s="36">
        <f t="shared" si="340"/>
        <v>0</v>
      </c>
      <c r="AA1042" s="38"/>
      <c r="AB1042" s="36">
        <f t="shared" si="351"/>
        <v>0</v>
      </c>
      <c r="AC1042" s="35"/>
      <c r="AD1042" s="36">
        <f t="shared" si="341"/>
        <v>0</v>
      </c>
      <c r="AE1042" s="38"/>
      <c r="AF1042" s="36">
        <f t="shared" si="352"/>
        <v>0</v>
      </c>
      <c r="AG1042" s="35"/>
      <c r="AH1042" s="36">
        <f t="shared" si="342"/>
        <v>0</v>
      </c>
      <c r="AI1042" s="38"/>
      <c r="AJ1042" s="36">
        <f t="shared" si="353"/>
        <v>0</v>
      </c>
      <c r="AK1042" s="35"/>
      <c r="AL1042" s="36">
        <f t="shared" si="343"/>
        <v>0</v>
      </c>
      <c r="AM1042" s="38"/>
      <c r="AN1042" s="36">
        <f t="shared" si="354"/>
        <v>0</v>
      </c>
      <c r="AO1042" s="35"/>
      <c r="AP1042" s="38"/>
    </row>
    <row r="1043" spans="1:42" ht="15.75" customHeight="1" x14ac:dyDescent="0.25">
      <c r="A1043" s="37">
        <v>2017</v>
      </c>
      <c r="B1043" s="35">
        <v>171215</v>
      </c>
      <c r="C1043" s="34" t="s">
        <v>147</v>
      </c>
      <c r="D1043" s="34" t="s">
        <v>73</v>
      </c>
      <c r="E1043" s="35"/>
      <c r="F1043" s="36">
        <f t="shared" si="344"/>
        <v>0</v>
      </c>
      <c r="G1043" s="38"/>
      <c r="H1043" s="36">
        <f t="shared" si="345"/>
        <v>0</v>
      </c>
      <c r="I1043" s="35"/>
      <c r="J1043" s="36">
        <f t="shared" si="346"/>
        <v>0</v>
      </c>
      <c r="K1043" s="38"/>
      <c r="L1043" s="36">
        <f t="shared" si="347"/>
        <v>0</v>
      </c>
      <c r="M1043" s="35"/>
      <c r="N1043" s="36">
        <f t="shared" si="337"/>
        <v>0</v>
      </c>
      <c r="O1043" s="38"/>
      <c r="P1043" s="36">
        <f t="shared" si="348"/>
        <v>0</v>
      </c>
      <c r="Q1043" s="35"/>
      <c r="R1043" s="36">
        <f t="shared" si="338"/>
        <v>0</v>
      </c>
      <c r="S1043" s="38"/>
      <c r="T1043" s="36">
        <f t="shared" si="349"/>
        <v>0</v>
      </c>
      <c r="U1043" s="35"/>
      <c r="V1043" s="36">
        <f t="shared" si="339"/>
        <v>0</v>
      </c>
      <c r="W1043" s="38"/>
      <c r="X1043" s="36">
        <f t="shared" si="350"/>
        <v>0</v>
      </c>
      <c r="Y1043" s="35"/>
      <c r="Z1043" s="36">
        <f t="shared" si="340"/>
        <v>0</v>
      </c>
      <c r="AA1043" s="38"/>
      <c r="AB1043" s="36">
        <f t="shared" si="351"/>
        <v>0</v>
      </c>
      <c r="AC1043" s="35"/>
      <c r="AD1043" s="36">
        <f t="shared" si="341"/>
        <v>0</v>
      </c>
      <c r="AE1043" s="38"/>
      <c r="AF1043" s="36">
        <f t="shared" si="352"/>
        <v>0</v>
      </c>
      <c r="AG1043" s="35"/>
      <c r="AH1043" s="36">
        <f t="shared" si="342"/>
        <v>0</v>
      </c>
      <c r="AI1043" s="38"/>
      <c r="AJ1043" s="36">
        <f t="shared" si="353"/>
        <v>0</v>
      </c>
      <c r="AK1043" s="35"/>
      <c r="AL1043" s="36">
        <f t="shared" si="343"/>
        <v>0</v>
      </c>
      <c r="AM1043" s="38"/>
      <c r="AN1043" s="36">
        <f t="shared" si="354"/>
        <v>0</v>
      </c>
      <c r="AO1043" s="35"/>
      <c r="AP1043" s="38"/>
    </row>
    <row r="1044" spans="1:42" ht="15.75" customHeight="1" x14ac:dyDescent="0.25">
      <c r="A1044" s="37">
        <v>2017</v>
      </c>
      <c r="B1044" s="35">
        <v>171240</v>
      </c>
      <c r="C1044" s="34" t="s">
        <v>148</v>
      </c>
      <c r="D1044" s="34" t="s">
        <v>74</v>
      </c>
      <c r="E1044" s="35"/>
      <c r="F1044" s="36">
        <f t="shared" si="344"/>
        <v>0</v>
      </c>
      <c r="G1044" s="38"/>
      <c r="H1044" s="36">
        <f t="shared" si="345"/>
        <v>0</v>
      </c>
      <c r="I1044" s="35"/>
      <c r="J1044" s="36">
        <f t="shared" si="346"/>
        <v>0</v>
      </c>
      <c r="K1044" s="38"/>
      <c r="L1044" s="36">
        <f t="shared" si="347"/>
        <v>0</v>
      </c>
      <c r="M1044" s="35"/>
      <c r="N1044" s="36">
        <f t="shared" si="337"/>
        <v>0</v>
      </c>
      <c r="O1044" s="38"/>
      <c r="P1044" s="36">
        <f t="shared" si="348"/>
        <v>0</v>
      </c>
      <c r="Q1044" s="35"/>
      <c r="R1044" s="36">
        <f t="shared" si="338"/>
        <v>0</v>
      </c>
      <c r="S1044" s="38"/>
      <c r="T1044" s="36">
        <f t="shared" si="349"/>
        <v>0</v>
      </c>
      <c r="U1044" s="35"/>
      <c r="V1044" s="36">
        <f t="shared" si="339"/>
        <v>0</v>
      </c>
      <c r="W1044" s="38"/>
      <c r="X1044" s="36">
        <f t="shared" si="350"/>
        <v>0</v>
      </c>
      <c r="Y1044" s="35"/>
      <c r="Z1044" s="36">
        <f t="shared" si="340"/>
        <v>0</v>
      </c>
      <c r="AA1044" s="38"/>
      <c r="AB1044" s="36">
        <f t="shared" si="351"/>
        <v>0</v>
      </c>
      <c r="AC1044" s="35"/>
      <c r="AD1044" s="36">
        <f t="shared" si="341"/>
        <v>0</v>
      </c>
      <c r="AE1044" s="38"/>
      <c r="AF1044" s="36">
        <f t="shared" si="352"/>
        <v>0</v>
      </c>
      <c r="AG1044" s="35"/>
      <c r="AH1044" s="36">
        <f t="shared" si="342"/>
        <v>0</v>
      </c>
      <c r="AI1044" s="38"/>
      <c r="AJ1044" s="36">
        <f t="shared" si="353"/>
        <v>0</v>
      </c>
      <c r="AK1044" s="35"/>
      <c r="AL1044" s="36">
        <f t="shared" si="343"/>
        <v>0</v>
      </c>
      <c r="AM1044" s="38"/>
      <c r="AN1044" s="36">
        <f t="shared" si="354"/>
        <v>0</v>
      </c>
      <c r="AO1044" s="35"/>
      <c r="AP1044" s="38"/>
    </row>
    <row r="1045" spans="1:42" ht="15.75" customHeight="1" x14ac:dyDescent="0.25">
      <c r="A1045" s="37">
        <v>2017</v>
      </c>
      <c r="B1045" s="35">
        <v>171245</v>
      </c>
      <c r="C1045" s="34" t="s">
        <v>145</v>
      </c>
      <c r="D1045" s="34" t="s">
        <v>75</v>
      </c>
      <c r="E1045" s="35"/>
      <c r="F1045" s="36">
        <f t="shared" si="344"/>
        <v>0</v>
      </c>
      <c r="G1045" s="38"/>
      <c r="H1045" s="36">
        <f t="shared" si="345"/>
        <v>0</v>
      </c>
      <c r="I1045" s="35"/>
      <c r="J1045" s="36">
        <f t="shared" si="346"/>
        <v>0</v>
      </c>
      <c r="K1045" s="38"/>
      <c r="L1045" s="36">
        <f t="shared" si="347"/>
        <v>0</v>
      </c>
      <c r="M1045" s="35"/>
      <c r="N1045" s="36">
        <f t="shared" si="337"/>
        <v>0</v>
      </c>
      <c r="O1045" s="38"/>
      <c r="P1045" s="36">
        <f t="shared" si="348"/>
        <v>0</v>
      </c>
      <c r="Q1045" s="35"/>
      <c r="R1045" s="36">
        <f t="shared" si="338"/>
        <v>0</v>
      </c>
      <c r="S1045" s="38"/>
      <c r="T1045" s="36">
        <f t="shared" si="349"/>
        <v>0</v>
      </c>
      <c r="U1045" s="35"/>
      <c r="V1045" s="36">
        <f t="shared" si="339"/>
        <v>0</v>
      </c>
      <c r="W1045" s="38"/>
      <c r="X1045" s="36">
        <f t="shared" si="350"/>
        <v>0</v>
      </c>
      <c r="Y1045" s="35"/>
      <c r="Z1045" s="36">
        <f t="shared" si="340"/>
        <v>0</v>
      </c>
      <c r="AA1045" s="38"/>
      <c r="AB1045" s="36">
        <f t="shared" si="351"/>
        <v>0</v>
      </c>
      <c r="AC1045" s="35"/>
      <c r="AD1045" s="36">
        <f t="shared" si="341"/>
        <v>0</v>
      </c>
      <c r="AE1045" s="38"/>
      <c r="AF1045" s="36">
        <f t="shared" si="352"/>
        <v>0</v>
      </c>
      <c r="AG1045" s="35"/>
      <c r="AH1045" s="36">
        <f t="shared" si="342"/>
        <v>0</v>
      </c>
      <c r="AI1045" s="38"/>
      <c r="AJ1045" s="36">
        <f t="shared" si="353"/>
        <v>0</v>
      </c>
      <c r="AK1045" s="35"/>
      <c r="AL1045" s="36">
        <f t="shared" si="343"/>
        <v>0</v>
      </c>
      <c r="AM1045" s="38"/>
      <c r="AN1045" s="36">
        <f t="shared" si="354"/>
        <v>0</v>
      </c>
      <c r="AO1045" s="35"/>
      <c r="AP1045" s="38"/>
    </row>
    <row r="1046" spans="1:42" ht="15.75" customHeight="1" x14ac:dyDescent="0.25">
      <c r="A1046" s="37">
        <v>2017</v>
      </c>
      <c r="B1046" s="35">
        <v>171250</v>
      </c>
      <c r="C1046" s="34" t="s">
        <v>144</v>
      </c>
      <c r="D1046" s="34" t="s">
        <v>76</v>
      </c>
      <c r="E1046" s="35"/>
      <c r="F1046" s="36">
        <f t="shared" si="344"/>
        <v>0</v>
      </c>
      <c r="G1046" s="38"/>
      <c r="H1046" s="36">
        <f t="shared" si="345"/>
        <v>0</v>
      </c>
      <c r="I1046" s="35"/>
      <c r="J1046" s="36">
        <f t="shared" si="346"/>
        <v>0</v>
      </c>
      <c r="K1046" s="38"/>
      <c r="L1046" s="36">
        <f t="shared" si="347"/>
        <v>0</v>
      </c>
      <c r="M1046" s="35"/>
      <c r="N1046" s="36">
        <f t="shared" si="337"/>
        <v>0</v>
      </c>
      <c r="O1046" s="38"/>
      <c r="P1046" s="36">
        <f t="shared" si="348"/>
        <v>0</v>
      </c>
      <c r="Q1046" s="35"/>
      <c r="R1046" s="36">
        <f t="shared" si="338"/>
        <v>0</v>
      </c>
      <c r="S1046" s="38"/>
      <c r="T1046" s="36">
        <f t="shared" si="349"/>
        <v>0</v>
      </c>
      <c r="U1046" s="35"/>
      <c r="V1046" s="36">
        <f t="shared" si="339"/>
        <v>0</v>
      </c>
      <c r="W1046" s="38"/>
      <c r="X1046" s="36">
        <f t="shared" si="350"/>
        <v>0</v>
      </c>
      <c r="Y1046" s="35"/>
      <c r="Z1046" s="36">
        <f t="shared" si="340"/>
        <v>0</v>
      </c>
      <c r="AA1046" s="38"/>
      <c r="AB1046" s="36">
        <f t="shared" si="351"/>
        <v>0</v>
      </c>
      <c r="AC1046" s="35"/>
      <c r="AD1046" s="36">
        <f t="shared" si="341"/>
        <v>0</v>
      </c>
      <c r="AE1046" s="38"/>
      <c r="AF1046" s="36">
        <f t="shared" si="352"/>
        <v>0</v>
      </c>
      <c r="AG1046" s="35"/>
      <c r="AH1046" s="36">
        <f t="shared" si="342"/>
        <v>0</v>
      </c>
      <c r="AI1046" s="38"/>
      <c r="AJ1046" s="36">
        <f t="shared" si="353"/>
        <v>0</v>
      </c>
      <c r="AK1046" s="35"/>
      <c r="AL1046" s="36">
        <f t="shared" si="343"/>
        <v>0</v>
      </c>
      <c r="AM1046" s="38"/>
      <c r="AN1046" s="36">
        <f t="shared" si="354"/>
        <v>0</v>
      </c>
      <c r="AO1046" s="35"/>
      <c r="AP1046" s="38"/>
    </row>
    <row r="1047" spans="1:42" ht="15.75" customHeight="1" x14ac:dyDescent="0.25">
      <c r="A1047" s="37">
        <v>2017</v>
      </c>
      <c r="B1047" s="35">
        <v>171270</v>
      </c>
      <c r="C1047" s="34" t="s">
        <v>151</v>
      </c>
      <c r="D1047" s="34" t="s">
        <v>77</v>
      </c>
      <c r="E1047" s="35"/>
      <c r="F1047" s="36">
        <f t="shared" si="344"/>
        <v>0</v>
      </c>
      <c r="G1047" s="38"/>
      <c r="H1047" s="36">
        <f t="shared" si="345"/>
        <v>0</v>
      </c>
      <c r="I1047" s="35"/>
      <c r="J1047" s="36">
        <f t="shared" si="346"/>
        <v>0</v>
      </c>
      <c r="K1047" s="38"/>
      <c r="L1047" s="36">
        <f t="shared" si="347"/>
        <v>0</v>
      </c>
      <c r="M1047" s="35"/>
      <c r="N1047" s="36">
        <f t="shared" si="337"/>
        <v>0</v>
      </c>
      <c r="O1047" s="38"/>
      <c r="P1047" s="36">
        <f t="shared" si="348"/>
        <v>0</v>
      </c>
      <c r="Q1047" s="35"/>
      <c r="R1047" s="36">
        <f t="shared" si="338"/>
        <v>0</v>
      </c>
      <c r="S1047" s="38"/>
      <c r="T1047" s="36">
        <f t="shared" si="349"/>
        <v>0</v>
      </c>
      <c r="U1047" s="35"/>
      <c r="V1047" s="36">
        <f t="shared" si="339"/>
        <v>0</v>
      </c>
      <c r="W1047" s="38"/>
      <c r="X1047" s="36">
        <f t="shared" si="350"/>
        <v>0</v>
      </c>
      <c r="Y1047" s="35"/>
      <c r="Z1047" s="36">
        <f t="shared" si="340"/>
        <v>0</v>
      </c>
      <c r="AA1047" s="38"/>
      <c r="AB1047" s="36">
        <f t="shared" si="351"/>
        <v>0</v>
      </c>
      <c r="AC1047" s="35"/>
      <c r="AD1047" s="36">
        <f t="shared" si="341"/>
        <v>0</v>
      </c>
      <c r="AE1047" s="38"/>
      <c r="AF1047" s="36">
        <f t="shared" si="352"/>
        <v>0</v>
      </c>
      <c r="AG1047" s="35"/>
      <c r="AH1047" s="36">
        <f t="shared" si="342"/>
        <v>0</v>
      </c>
      <c r="AI1047" s="38"/>
      <c r="AJ1047" s="36">
        <f t="shared" si="353"/>
        <v>0</v>
      </c>
      <c r="AK1047" s="35"/>
      <c r="AL1047" s="36">
        <f t="shared" si="343"/>
        <v>0</v>
      </c>
      <c r="AM1047" s="38"/>
      <c r="AN1047" s="36">
        <f t="shared" si="354"/>
        <v>0</v>
      </c>
      <c r="AO1047" s="35"/>
      <c r="AP1047" s="38"/>
    </row>
    <row r="1048" spans="1:42" ht="15.75" customHeight="1" x14ac:dyDescent="0.25">
      <c r="A1048" s="37">
        <v>2017</v>
      </c>
      <c r="B1048" s="35">
        <v>171280</v>
      </c>
      <c r="C1048" s="34" t="s">
        <v>145</v>
      </c>
      <c r="D1048" s="34" t="s">
        <v>78</v>
      </c>
      <c r="E1048" s="35"/>
      <c r="F1048" s="36">
        <f t="shared" si="344"/>
        <v>0</v>
      </c>
      <c r="G1048" s="38"/>
      <c r="H1048" s="36">
        <f t="shared" si="345"/>
        <v>0</v>
      </c>
      <c r="I1048" s="35"/>
      <c r="J1048" s="36">
        <f t="shared" si="346"/>
        <v>0</v>
      </c>
      <c r="K1048" s="38"/>
      <c r="L1048" s="36">
        <f t="shared" si="347"/>
        <v>0</v>
      </c>
      <c r="M1048" s="35"/>
      <c r="N1048" s="36">
        <f t="shared" si="337"/>
        <v>0</v>
      </c>
      <c r="O1048" s="38"/>
      <c r="P1048" s="36">
        <f t="shared" si="348"/>
        <v>0</v>
      </c>
      <c r="Q1048" s="35"/>
      <c r="R1048" s="36">
        <f t="shared" si="338"/>
        <v>0</v>
      </c>
      <c r="S1048" s="38"/>
      <c r="T1048" s="36">
        <f t="shared" si="349"/>
        <v>0</v>
      </c>
      <c r="U1048" s="35"/>
      <c r="V1048" s="36">
        <f t="shared" si="339"/>
        <v>0</v>
      </c>
      <c r="W1048" s="38"/>
      <c r="X1048" s="36">
        <f t="shared" si="350"/>
        <v>0</v>
      </c>
      <c r="Y1048" s="35"/>
      <c r="Z1048" s="36">
        <f t="shared" si="340"/>
        <v>0</v>
      </c>
      <c r="AA1048" s="38"/>
      <c r="AB1048" s="36">
        <f t="shared" si="351"/>
        <v>0</v>
      </c>
      <c r="AC1048" s="35"/>
      <c r="AD1048" s="36">
        <f t="shared" si="341"/>
        <v>0</v>
      </c>
      <c r="AE1048" s="38"/>
      <c r="AF1048" s="36">
        <f t="shared" si="352"/>
        <v>0</v>
      </c>
      <c r="AG1048" s="35"/>
      <c r="AH1048" s="36">
        <f t="shared" si="342"/>
        <v>0</v>
      </c>
      <c r="AI1048" s="38"/>
      <c r="AJ1048" s="36">
        <f t="shared" si="353"/>
        <v>0</v>
      </c>
      <c r="AK1048" s="35"/>
      <c r="AL1048" s="36">
        <f t="shared" si="343"/>
        <v>0</v>
      </c>
      <c r="AM1048" s="38"/>
      <c r="AN1048" s="36">
        <f t="shared" si="354"/>
        <v>0</v>
      </c>
      <c r="AO1048" s="35"/>
      <c r="AP1048" s="38"/>
    </row>
    <row r="1049" spans="1:42" ht="15.75" customHeight="1" x14ac:dyDescent="0.25">
      <c r="A1049" s="37">
        <v>2017</v>
      </c>
      <c r="B1049" s="35">
        <v>171320</v>
      </c>
      <c r="C1049" s="34" t="s">
        <v>148</v>
      </c>
      <c r="D1049" s="34" t="s">
        <v>79</v>
      </c>
      <c r="E1049" s="35"/>
      <c r="F1049" s="36">
        <f t="shared" si="344"/>
        <v>0</v>
      </c>
      <c r="G1049" s="38"/>
      <c r="H1049" s="36">
        <f t="shared" si="345"/>
        <v>0</v>
      </c>
      <c r="I1049" s="35"/>
      <c r="J1049" s="36">
        <f t="shared" si="346"/>
        <v>0</v>
      </c>
      <c r="K1049" s="38"/>
      <c r="L1049" s="36">
        <f t="shared" si="347"/>
        <v>0</v>
      </c>
      <c r="M1049" s="35"/>
      <c r="N1049" s="36">
        <f t="shared" si="337"/>
        <v>0</v>
      </c>
      <c r="O1049" s="38"/>
      <c r="P1049" s="36">
        <f t="shared" si="348"/>
        <v>0</v>
      </c>
      <c r="Q1049" s="35"/>
      <c r="R1049" s="36">
        <f t="shared" si="338"/>
        <v>0</v>
      </c>
      <c r="S1049" s="38"/>
      <c r="T1049" s="36">
        <f t="shared" si="349"/>
        <v>0</v>
      </c>
      <c r="U1049" s="35"/>
      <c r="V1049" s="36">
        <f t="shared" si="339"/>
        <v>0</v>
      </c>
      <c r="W1049" s="38"/>
      <c r="X1049" s="36">
        <f t="shared" si="350"/>
        <v>0</v>
      </c>
      <c r="Y1049" s="35"/>
      <c r="Z1049" s="36">
        <f t="shared" si="340"/>
        <v>0</v>
      </c>
      <c r="AA1049" s="38"/>
      <c r="AB1049" s="36">
        <f t="shared" si="351"/>
        <v>0</v>
      </c>
      <c r="AC1049" s="35"/>
      <c r="AD1049" s="36">
        <f t="shared" si="341"/>
        <v>0</v>
      </c>
      <c r="AE1049" s="38"/>
      <c r="AF1049" s="36">
        <f t="shared" si="352"/>
        <v>0</v>
      </c>
      <c r="AG1049" s="35"/>
      <c r="AH1049" s="36">
        <f t="shared" si="342"/>
        <v>0</v>
      </c>
      <c r="AI1049" s="38"/>
      <c r="AJ1049" s="36">
        <f t="shared" si="353"/>
        <v>0</v>
      </c>
      <c r="AK1049" s="35"/>
      <c r="AL1049" s="36">
        <f t="shared" si="343"/>
        <v>0</v>
      </c>
      <c r="AM1049" s="38"/>
      <c r="AN1049" s="36">
        <f t="shared" si="354"/>
        <v>0</v>
      </c>
      <c r="AO1049" s="35"/>
      <c r="AP1049" s="38"/>
    </row>
    <row r="1050" spans="1:42" ht="15.75" customHeight="1" x14ac:dyDescent="0.25">
      <c r="A1050" s="37">
        <v>2017</v>
      </c>
      <c r="B1050" s="35">
        <v>171330</v>
      </c>
      <c r="C1050" s="34" t="s">
        <v>148</v>
      </c>
      <c r="D1050" s="34" t="s">
        <v>80</v>
      </c>
      <c r="E1050" s="35"/>
      <c r="F1050" s="36">
        <f t="shared" si="344"/>
        <v>0</v>
      </c>
      <c r="G1050" s="38"/>
      <c r="H1050" s="36">
        <f t="shared" si="345"/>
        <v>0</v>
      </c>
      <c r="I1050" s="35"/>
      <c r="J1050" s="36">
        <f t="shared" si="346"/>
        <v>0</v>
      </c>
      <c r="K1050" s="38"/>
      <c r="L1050" s="36">
        <f t="shared" si="347"/>
        <v>0</v>
      </c>
      <c r="M1050" s="35"/>
      <c r="N1050" s="36">
        <f t="shared" si="337"/>
        <v>0</v>
      </c>
      <c r="O1050" s="38"/>
      <c r="P1050" s="36">
        <f t="shared" si="348"/>
        <v>0</v>
      </c>
      <c r="Q1050" s="35"/>
      <c r="R1050" s="36">
        <f t="shared" si="338"/>
        <v>0</v>
      </c>
      <c r="S1050" s="38"/>
      <c r="T1050" s="36">
        <f t="shared" si="349"/>
        <v>0</v>
      </c>
      <c r="U1050" s="35"/>
      <c r="V1050" s="36">
        <f t="shared" si="339"/>
        <v>0</v>
      </c>
      <c r="W1050" s="38"/>
      <c r="X1050" s="36">
        <f t="shared" si="350"/>
        <v>0</v>
      </c>
      <c r="Y1050" s="35"/>
      <c r="Z1050" s="36">
        <f t="shared" si="340"/>
        <v>0</v>
      </c>
      <c r="AA1050" s="38"/>
      <c r="AB1050" s="36">
        <f t="shared" si="351"/>
        <v>0</v>
      </c>
      <c r="AC1050" s="35"/>
      <c r="AD1050" s="36">
        <f t="shared" si="341"/>
        <v>0</v>
      </c>
      <c r="AE1050" s="38"/>
      <c r="AF1050" s="36">
        <f t="shared" si="352"/>
        <v>0</v>
      </c>
      <c r="AG1050" s="35"/>
      <c r="AH1050" s="36">
        <f t="shared" si="342"/>
        <v>0</v>
      </c>
      <c r="AI1050" s="38"/>
      <c r="AJ1050" s="36">
        <f t="shared" si="353"/>
        <v>0</v>
      </c>
      <c r="AK1050" s="35"/>
      <c r="AL1050" s="36">
        <f t="shared" si="343"/>
        <v>0</v>
      </c>
      <c r="AM1050" s="38"/>
      <c r="AN1050" s="36">
        <f t="shared" si="354"/>
        <v>0</v>
      </c>
      <c r="AO1050" s="35"/>
      <c r="AP1050" s="38"/>
    </row>
    <row r="1051" spans="1:42" ht="15.75" customHeight="1" x14ac:dyDescent="0.25">
      <c r="A1051" s="37">
        <v>2017</v>
      </c>
      <c r="B1051" s="35">
        <v>171360</v>
      </c>
      <c r="C1051" s="34" t="s">
        <v>151</v>
      </c>
      <c r="D1051" s="34" t="s">
        <v>81</v>
      </c>
      <c r="E1051" s="35"/>
      <c r="F1051" s="36">
        <f t="shared" si="344"/>
        <v>0</v>
      </c>
      <c r="G1051" s="38"/>
      <c r="H1051" s="36">
        <f t="shared" si="345"/>
        <v>0</v>
      </c>
      <c r="I1051" s="35"/>
      <c r="J1051" s="36">
        <f t="shared" si="346"/>
        <v>0</v>
      </c>
      <c r="K1051" s="38"/>
      <c r="L1051" s="36">
        <f t="shared" si="347"/>
        <v>0</v>
      </c>
      <c r="M1051" s="35"/>
      <c r="N1051" s="36">
        <f t="shared" si="337"/>
        <v>0</v>
      </c>
      <c r="O1051" s="38"/>
      <c r="P1051" s="36">
        <f t="shared" si="348"/>
        <v>0</v>
      </c>
      <c r="Q1051" s="35"/>
      <c r="R1051" s="36">
        <f t="shared" si="338"/>
        <v>0</v>
      </c>
      <c r="S1051" s="38"/>
      <c r="T1051" s="36">
        <f t="shared" si="349"/>
        <v>0</v>
      </c>
      <c r="U1051" s="35"/>
      <c r="V1051" s="36">
        <f t="shared" si="339"/>
        <v>0</v>
      </c>
      <c r="W1051" s="38"/>
      <c r="X1051" s="36">
        <f t="shared" si="350"/>
        <v>0</v>
      </c>
      <c r="Y1051" s="35"/>
      <c r="Z1051" s="36">
        <f t="shared" si="340"/>
        <v>0</v>
      </c>
      <c r="AA1051" s="38"/>
      <c r="AB1051" s="36">
        <f t="shared" si="351"/>
        <v>0</v>
      </c>
      <c r="AC1051" s="35"/>
      <c r="AD1051" s="36">
        <f t="shared" si="341"/>
        <v>0</v>
      </c>
      <c r="AE1051" s="38"/>
      <c r="AF1051" s="36">
        <f t="shared" si="352"/>
        <v>0</v>
      </c>
      <c r="AG1051" s="35"/>
      <c r="AH1051" s="36">
        <f t="shared" si="342"/>
        <v>0</v>
      </c>
      <c r="AI1051" s="38"/>
      <c r="AJ1051" s="36">
        <f t="shared" si="353"/>
        <v>0</v>
      </c>
      <c r="AK1051" s="35"/>
      <c r="AL1051" s="36">
        <f t="shared" si="343"/>
        <v>0</v>
      </c>
      <c r="AM1051" s="38"/>
      <c r="AN1051" s="36">
        <f t="shared" si="354"/>
        <v>0</v>
      </c>
      <c r="AO1051" s="35"/>
      <c r="AP1051" s="38"/>
    </row>
    <row r="1052" spans="1:42" ht="15.75" customHeight="1" x14ac:dyDescent="0.25">
      <c r="A1052" s="37">
        <v>2017</v>
      </c>
      <c r="B1052" s="35">
        <v>171370</v>
      </c>
      <c r="C1052" s="34" t="s">
        <v>144</v>
      </c>
      <c r="D1052" s="34" t="s">
        <v>82</v>
      </c>
      <c r="E1052" s="35"/>
      <c r="F1052" s="36">
        <f t="shared" si="344"/>
        <v>0</v>
      </c>
      <c r="G1052" s="38"/>
      <c r="H1052" s="36">
        <f t="shared" si="345"/>
        <v>0</v>
      </c>
      <c r="I1052" s="35"/>
      <c r="J1052" s="36">
        <f t="shared" si="346"/>
        <v>0</v>
      </c>
      <c r="K1052" s="38"/>
      <c r="L1052" s="36">
        <f t="shared" si="347"/>
        <v>0</v>
      </c>
      <c r="M1052" s="35"/>
      <c r="N1052" s="36">
        <f t="shared" si="337"/>
        <v>0</v>
      </c>
      <c r="O1052" s="38"/>
      <c r="P1052" s="36">
        <f t="shared" si="348"/>
        <v>0</v>
      </c>
      <c r="Q1052" s="35"/>
      <c r="R1052" s="36">
        <f t="shared" si="338"/>
        <v>0</v>
      </c>
      <c r="S1052" s="38"/>
      <c r="T1052" s="36">
        <f t="shared" si="349"/>
        <v>0</v>
      </c>
      <c r="U1052" s="35"/>
      <c r="V1052" s="36">
        <f t="shared" si="339"/>
        <v>0</v>
      </c>
      <c r="W1052" s="38"/>
      <c r="X1052" s="36">
        <f t="shared" si="350"/>
        <v>0</v>
      </c>
      <c r="Y1052" s="35"/>
      <c r="Z1052" s="36">
        <f t="shared" si="340"/>
        <v>0</v>
      </c>
      <c r="AA1052" s="38"/>
      <c r="AB1052" s="36">
        <f t="shared" si="351"/>
        <v>0</v>
      </c>
      <c r="AC1052" s="35"/>
      <c r="AD1052" s="36">
        <f t="shared" si="341"/>
        <v>0</v>
      </c>
      <c r="AE1052" s="38"/>
      <c r="AF1052" s="36">
        <f t="shared" si="352"/>
        <v>0</v>
      </c>
      <c r="AG1052" s="35"/>
      <c r="AH1052" s="36">
        <f t="shared" si="342"/>
        <v>0</v>
      </c>
      <c r="AI1052" s="38"/>
      <c r="AJ1052" s="36">
        <f t="shared" si="353"/>
        <v>0</v>
      </c>
      <c r="AK1052" s="35"/>
      <c r="AL1052" s="36">
        <f t="shared" si="343"/>
        <v>0</v>
      </c>
      <c r="AM1052" s="38"/>
      <c r="AN1052" s="36">
        <f t="shared" si="354"/>
        <v>0</v>
      </c>
      <c r="AO1052" s="35"/>
      <c r="AP1052" s="38"/>
    </row>
    <row r="1053" spans="1:42" ht="15.75" customHeight="1" x14ac:dyDescent="0.25">
      <c r="A1053" s="37">
        <v>2017</v>
      </c>
      <c r="B1053" s="35">
        <v>171395</v>
      </c>
      <c r="C1053" s="34" t="s">
        <v>149</v>
      </c>
      <c r="D1053" s="34" t="s">
        <v>83</v>
      </c>
      <c r="E1053" s="35"/>
      <c r="F1053" s="36">
        <f t="shared" si="344"/>
        <v>0</v>
      </c>
      <c r="G1053" s="38"/>
      <c r="H1053" s="36">
        <f t="shared" si="345"/>
        <v>0</v>
      </c>
      <c r="I1053" s="35"/>
      <c r="J1053" s="36">
        <f t="shared" si="346"/>
        <v>0</v>
      </c>
      <c r="K1053" s="38"/>
      <c r="L1053" s="36">
        <f t="shared" si="347"/>
        <v>0</v>
      </c>
      <c r="M1053" s="35"/>
      <c r="N1053" s="36">
        <f t="shared" si="337"/>
        <v>0</v>
      </c>
      <c r="O1053" s="38"/>
      <c r="P1053" s="36">
        <f t="shared" si="348"/>
        <v>0</v>
      </c>
      <c r="Q1053" s="35"/>
      <c r="R1053" s="36">
        <f t="shared" si="338"/>
        <v>0</v>
      </c>
      <c r="S1053" s="38"/>
      <c r="T1053" s="36">
        <f t="shared" si="349"/>
        <v>0</v>
      </c>
      <c r="U1053" s="35"/>
      <c r="V1053" s="36">
        <f t="shared" si="339"/>
        <v>0</v>
      </c>
      <c r="W1053" s="38"/>
      <c r="X1053" s="36">
        <f t="shared" si="350"/>
        <v>0</v>
      </c>
      <c r="Y1053" s="35"/>
      <c r="Z1053" s="36">
        <f t="shared" si="340"/>
        <v>0</v>
      </c>
      <c r="AA1053" s="38"/>
      <c r="AB1053" s="36">
        <f t="shared" si="351"/>
        <v>0</v>
      </c>
      <c r="AC1053" s="35"/>
      <c r="AD1053" s="36">
        <f t="shared" si="341"/>
        <v>0</v>
      </c>
      <c r="AE1053" s="38"/>
      <c r="AF1053" s="36">
        <f t="shared" si="352"/>
        <v>0</v>
      </c>
      <c r="AG1053" s="35"/>
      <c r="AH1053" s="36">
        <f t="shared" si="342"/>
        <v>0</v>
      </c>
      <c r="AI1053" s="38"/>
      <c r="AJ1053" s="36">
        <f t="shared" si="353"/>
        <v>0</v>
      </c>
      <c r="AK1053" s="35"/>
      <c r="AL1053" s="36">
        <f t="shared" si="343"/>
        <v>0</v>
      </c>
      <c r="AM1053" s="38"/>
      <c r="AN1053" s="36">
        <f t="shared" si="354"/>
        <v>0</v>
      </c>
      <c r="AO1053" s="35"/>
      <c r="AP1053" s="38"/>
    </row>
    <row r="1054" spans="1:42" ht="15.75" customHeight="1" x14ac:dyDescent="0.25">
      <c r="A1054" s="37">
        <v>2017</v>
      </c>
      <c r="B1054" s="35">
        <v>171420</v>
      </c>
      <c r="C1054" s="34" t="s">
        <v>151</v>
      </c>
      <c r="D1054" s="34" t="s">
        <v>84</v>
      </c>
      <c r="E1054" s="35"/>
      <c r="F1054" s="36">
        <f t="shared" si="344"/>
        <v>0</v>
      </c>
      <c r="G1054" s="38"/>
      <c r="H1054" s="36">
        <f t="shared" si="345"/>
        <v>0</v>
      </c>
      <c r="I1054" s="35"/>
      <c r="J1054" s="36">
        <f t="shared" si="346"/>
        <v>0</v>
      </c>
      <c r="K1054" s="38"/>
      <c r="L1054" s="36">
        <f t="shared" si="347"/>
        <v>0</v>
      </c>
      <c r="M1054" s="35"/>
      <c r="N1054" s="36">
        <f t="shared" si="337"/>
        <v>0</v>
      </c>
      <c r="O1054" s="38"/>
      <c r="P1054" s="36">
        <f t="shared" si="348"/>
        <v>0</v>
      </c>
      <c r="Q1054" s="35"/>
      <c r="R1054" s="36">
        <f t="shared" si="338"/>
        <v>0</v>
      </c>
      <c r="S1054" s="38"/>
      <c r="T1054" s="36">
        <f t="shared" si="349"/>
        <v>0</v>
      </c>
      <c r="U1054" s="35"/>
      <c r="V1054" s="36">
        <f t="shared" si="339"/>
        <v>0</v>
      </c>
      <c r="W1054" s="38"/>
      <c r="X1054" s="36">
        <f t="shared" si="350"/>
        <v>0</v>
      </c>
      <c r="Y1054" s="35"/>
      <c r="Z1054" s="36">
        <f t="shared" si="340"/>
        <v>0</v>
      </c>
      <c r="AA1054" s="38"/>
      <c r="AB1054" s="36">
        <f t="shared" si="351"/>
        <v>0</v>
      </c>
      <c r="AC1054" s="35"/>
      <c r="AD1054" s="36">
        <f t="shared" si="341"/>
        <v>0</v>
      </c>
      <c r="AE1054" s="38"/>
      <c r="AF1054" s="36">
        <f t="shared" si="352"/>
        <v>0</v>
      </c>
      <c r="AG1054" s="35"/>
      <c r="AH1054" s="36">
        <f t="shared" si="342"/>
        <v>0</v>
      </c>
      <c r="AI1054" s="38"/>
      <c r="AJ1054" s="36">
        <f t="shared" si="353"/>
        <v>0</v>
      </c>
      <c r="AK1054" s="35"/>
      <c r="AL1054" s="36">
        <f t="shared" si="343"/>
        <v>0</v>
      </c>
      <c r="AM1054" s="38"/>
      <c r="AN1054" s="36">
        <f t="shared" si="354"/>
        <v>0</v>
      </c>
      <c r="AO1054" s="35"/>
      <c r="AP1054" s="38"/>
    </row>
    <row r="1055" spans="1:42" ht="15.75" customHeight="1" x14ac:dyDescent="0.25">
      <c r="A1055" s="37">
        <v>2017</v>
      </c>
      <c r="B1055" s="35">
        <v>171430</v>
      </c>
      <c r="C1055" s="34" t="s">
        <v>145</v>
      </c>
      <c r="D1055" s="34" t="s">
        <v>85</v>
      </c>
      <c r="E1055" s="35"/>
      <c r="F1055" s="36">
        <f t="shared" si="344"/>
        <v>0</v>
      </c>
      <c r="G1055" s="38"/>
      <c r="H1055" s="36">
        <f t="shared" si="345"/>
        <v>0</v>
      </c>
      <c r="I1055" s="35"/>
      <c r="J1055" s="36">
        <f t="shared" si="346"/>
        <v>0</v>
      </c>
      <c r="K1055" s="38"/>
      <c r="L1055" s="36">
        <f t="shared" si="347"/>
        <v>0</v>
      </c>
      <c r="M1055" s="35"/>
      <c r="N1055" s="36">
        <f t="shared" si="337"/>
        <v>0</v>
      </c>
      <c r="O1055" s="38"/>
      <c r="P1055" s="36">
        <f t="shared" si="348"/>
        <v>0</v>
      </c>
      <c r="Q1055" s="35"/>
      <c r="R1055" s="36">
        <f t="shared" si="338"/>
        <v>0</v>
      </c>
      <c r="S1055" s="38"/>
      <c r="T1055" s="36">
        <f t="shared" si="349"/>
        <v>0</v>
      </c>
      <c r="U1055" s="35"/>
      <c r="V1055" s="36">
        <f t="shared" si="339"/>
        <v>0</v>
      </c>
      <c r="W1055" s="38"/>
      <c r="X1055" s="36">
        <f t="shared" si="350"/>
        <v>0</v>
      </c>
      <c r="Y1055" s="35"/>
      <c r="Z1055" s="36">
        <f t="shared" si="340"/>
        <v>0</v>
      </c>
      <c r="AA1055" s="38"/>
      <c r="AB1055" s="36">
        <f t="shared" si="351"/>
        <v>0</v>
      </c>
      <c r="AC1055" s="35"/>
      <c r="AD1055" s="36">
        <f t="shared" si="341"/>
        <v>0</v>
      </c>
      <c r="AE1055" s="38"/>
      <c r="AF1055" s="36">
        <f t="shared" si="352"/>
        <v>0</v>
      </c>
      <c r="AG1055" s="35"/>
      <c r="AH1055" s="36">
        <f t="shared" si="342"/>
        <v>0</v>
      </c>
      <c r="AI1055" s="38"/>
      <c r="AJ1055" s="36">
        <f t="shared" si="353"/>
        <v>0</v>
      </c>
      <c r="AK1055" s="35"/>
      <c r="AL1055" s="36">
        <f t="shared" si="343"/>
        <v>0</v>
      </c>
      <c r="AM1055" s="38"/>
      <c r="AN1055" s="36">
        <f t="shared" si="354"/>
        <v>0</v>
      </c>
      <c r="AO1055" s="35"/>
      <c r="AP1055" s="38"/>
    </row>
    <row r="1056" spans="1:42" ht="15.75" customHeight="1" x14ac:dyDescent="0.25">
      <c r="A1056" s="37">
        <v>2017</v>
      </c>
      <c r="B1056" s="35">
        <v>171488</v>
      </c>
      <c r="C1056" s="34" t="s">
        <v>149</v>
      </c>
      <c r="D1056" s="34" t="s">
        <v>86</v>
      </c>
      <c r="E1056" s="35"/>
      <c r="F1056" s="36">
        <f t="shared" si="344"/>
        <v>0</v>
      </c>
      <c r="G1056" s="38"/>
      <c r="H1056" s="36">
        <f t="shared" si="345"/>
        <v>0</v>
      </c>
      <c r="I1056" s="35"/>
      <c r="J1056" s="36">
        <f t="shared" si="346"/>
        <v>0</v>
      </c>
      <c r="K1056" s="38"/>
      <c r="L1056" s="36">
        <f t="shared" si="347"/>
        <v>0</v>
      </c>
      <c r="M1056" s="35"/>
      <c r="N1056" s="36">
        <f t="shared" si="337"/>
        <v>0</v>
      </c>
      <c r="O1056" s="38"/>
      <c r="P1056" s="36">
        <f t="shared" si="348"/>
        <v>0</v>
      </c>
      <c r="Q1056" s="35"/>
      <c r="R1056" s="36">
        <f t="shared" si="338"/>
        <v>0</v>
      </c>
      <c r="S1056" s="38"/>
      <c r="T1056" s="36">
        <f t="shared" si="349"/>
        <v>0</v>
      </c>
      <c r="U1056" s="35"/>
      <c r="V1056" s="36">
        <f t="shared" si="339"/>
        <v>0</v>
      </c>
      <c r="W1056" s="38"/>
      <c r="X1056" s="36">
        <f t="shared" si="350"/>
        <v>0</v>
      </c>
      <c r="Y1056" s="35"/>
      <c r="Z1056" s="36">
        <f t="shared" si="340"/>
        <v>0</v>
      </c>
      <c r="AA1056" s="38"/>
      <c r="AB1056" s="36">
        <f t="shared" si="351"/>
        <v>0</v>
      </c>
      <c r="AC1056" s="35"/>
      <c r="AD1056" s="36">
        <f t="shared" si="341"/>
        <v>0</v>
      </c>
      <c r="AE1056" s="38"/>
      <c r="AF1056" s="36">
        <f t="shared" si="352"/>
        <v>0</v>
      </c>
      <c r="AG1056" s="35"/>
      <c r="AH1056" s="36">
        <f t="shared" si="342"/>
        <v>0</v>
      </c>
      <c r="AI1056" s="38"/>
      <c r="AJ1056" s="36">
        <f t="shared" si="353"/>
        <v>0</v>
      </c>
      <c r="AK1056" s="35"/>
      <c r="AL1056" s="36">
        <f t="shared" si="343"/>
        <v>0</v>
      </c>
      <c r="AM1056" s="38"/>
      <c r="AN1056" s="36">
        <f t="shared" si="354"/>
        <v>0</v>
      </c>
      <c r="AO1056" s="35"/>
      <c r="AP1056" s="38"/>
    </row>
    <row r="1057" spans="1:42" ht="15.75" customHeight="1" x14ac:dyDescent="0.25">
      <c r="A1057" s="37">
        <v>2017</v>
      </c>
      <c r="B1057" s="35">
        <v>171500</v>
      </c>
      <c r="C1057" s="34" t="s">
        <v>144</v>
      </c>
      <c r="D1057" s="34" t="s">
        <v>87</v>
      </c>
      <c r="E1057" s="35"/>
      <c r="F1057" s="36">
        <f t="shared" si="344"/>
        <v>0</v>
      </c>
      <c r="G1057" s="38"/>
      <c r="H1057" s="36">
        <f t="shared" si="345"/>
        <v>0</v>
      </c>
      <c r="I1057" s="35"/>
      <c r="J1057" s="36">
        <f t="shared" si="346"/>
        <v>0</v>
      </c>
      <c r="K1057" s="38"/>
      <c r="L1057" s="36">
        <f t="shared" si="347"/>
        <v>0</v>
      </c>
      <c r="M1057" s="35"/>
      <c r="N1057" s="36">
        <f t="shared" si="337"/>
        <v>0</v>
      </c>
      <c r="O1057" s="38"/>
      <c r="P1057" s="36">
        <f t="shared" si="348"/>
        <v>0</v>
      </c>
      <c r="Q1057" s="35"/>
      <c r="R1057" s="36">
        <f t="shared" si="338"/>
        <v>0</v>
      </c>
      <c r="S1057" s="38"/>
      <c r="T1057" s="36">
        <f t="shared" si="349"/>
        <v>0</v>
      </c>
      <c r="U1057" s="35"/>
      <c r="V1057" s="36">
        <f t="shared" si="339"/>
        <v>0</v>
      </c>
      <c r="W1057" s="38"/>
      <c r="X1057" s="36">
        <f t="shared" si="350"/>
        <v>0</v>
      </c>
      <c r="Y1057" s="35"/>
      <c r="Z1057" s="36">
        <f t="shared" si="340"/>
        <v>0</v>
      </c>
      <c r="AA1057" s="38"/>
      <c r="AB1057" s="36">
        <f t="shared" si="351"/>
        <v>0</v>
      </c>
      <c r="AC1057" s="35"/>
      <c r="AD1057" s="36">
        <f t="shared" si="341"/>
        <v>0</v>
      </c>
      <c r="AE1057" s="38"/>
      <c r="AF1057" s="36">
        <f t="shared" si="352"/>
        <v>0</v>
      </c>
      <c r="AG1057" s="35"/>
      <c r="AH1057" s="36">
        <f t="shared" si="342"/>
        <v>0</v>
      </c>
      <c r="AI1057" s="38"/>
      <c r="AJ1057" s="36">
        <f t="shared" si="353"/>
        <v>0</v>
      </c>
      <c r="AK1057" s="35"/>
      <c r="AL1057" s="36">
        <f t="shared" si="343"/>
        <v>0</v>
      </c>
      <c r="AM1057" s="38"/>
      <c r="AN1057" s="36">
        <f t="shared" si="354"/>
        <v>0</v>
      </c>
      <c r="AO1057" s="35"/>
      <c r="AP1057" s="38"/>
    </row>
    <row r="1058" spans="1:42" ht="15.75" customHeight="1" x14ac:dyDescent="0.25">
      <c r="A1058" s="37">
        <v>2017</v>
      </c>
      <c r="B1058" s="35">
        <v>171510</v>
      </c>
      <c r="C1058" s="34" t="s">
        <v>148</v>
      </c>
      <c r="D1058" s="34" t="s">
        <v>88</v>
      </c>
      <c r="E1058" s="35"/>
      <c r="F1058" s="36">
        <f t="shared" si="344"/>
        <v>0</v>
      </c>
      <c r="G1058" s="38"/>
      <c r="H1058" s="36">
        <f t="shared" si="345"/>
        <v>0</v>
      </c>
      <c r="I1058" s="35"/>
      <c r="J1058" s="36">
        <f t="shared" si="346"/>
        <v>0</v>
      </c>
      <c r="K1058" s="38"/>
      <c r="L1058" s="36">
        <f t="shared" si="347"/>
        <v>0</v>
      </c>
      <c r="M1058" s="35"/>
      <c r="N1058" s="36">
        <f t="shared" si="337"/>
        <v>0</v>
      </c>
      <c r="O1058" s="38"/>
      <c r="P1058" s="36">
        <f t="shared" si="348"/>
        <v>0</v>
      </c>
      <c r="Q1058" s="35"/>
      <c r="R1058" s="36">
        <f t="shared" si="338"/>
        <v>0</v>
      </c>
      <c r="S1058" s="38"/>
      <c r="T1058" s="36">
        <f t="shared" si="349"/>
        <v>0</v>
      </c>
      <c r="U1058" s="35"/>
      <c r="V1058" s="36">
        <f t="shared" si="339"/>
        <v>0</v>
      </c>
      <c r="W1058" s="38"/>
      <c r="X1058" s="36">
        <f t="shared" si="350"/>
        <v>0</v>
      </c>
      <c r="Y1058" s="35"/>
      <c r="Z1058" s="36">
        <f t="shared" si="340"/>
        <v>0</v>
      </c>
      <c r="AA1058" s="38"/>
      <c r="AB1058" s="36">
        <f t="shared" si="351"/>
        <v>0</v>
      </c>
      <c r="AC1058" s="35"/>
      <c r="AD1058" s="36">
        <f t="shared" si="341"/>
        <v>0</v>
      </c>
      <c r="AE1058" s="38"/>
      <c r="AF1058" s="36">
        <f t="shared" si="352"/>
        <v>0</v>
      </c>
      <c r="AG1058" s="35"/>
      <c r="AH1058" s="36">
        <f t="shared" si="342"/>
        <v>0</v>
      </c>
      <c r="AI1058" s="38"/>
      <c r="AJ1058" s="36">
        <f t="shared" si="353"/>
        <v>0</v>
      </c>
      <c r="AK1058" s="35"/>
      <c r="AL1058" s="36">
        <f t="shared" si="343"/>
        <v>0</v>
      </c>
      <c r="AM1058" s="38"/>
      <c r="AN1058" s="36">
        <f t="shared" si="354"/>
        <v>0</v>
      </c>
      <c r="AO1058" s="35"/>
      <c r="AP1058" s="38"/>
    </row>
    <row r="1059" spans="1:42" ht="15.75" customHeight="1" x14ac:dyDescent="0.25">
      <c r="A1059" s="37">
        <v>2017</v>
      </c>
      <c r="B1059" s="35">
        <v>171515</v>
      </c>
      <c r="C1059" s="34" t="s">
        <v>147</v>
      </c>
      <c r="D1059" s="34" t="s">
        <v>89</v>
      </c>
      <c r="E1059" s="35"/>
      <c r="F1059" s="36">
        <f t="shared" si="344"/>
        <v>0</v>
      </c>
      <c r="G1059" s="38"/>
      <c r="H1059" s="36">
        <f t="shared" si="345"/>
        <v>0</v>
      </c>
      <c r="I1059" s="35"/>
      <c r="J1059" s="36">
        <f t="shared" si="346"/>
        <v>0</v>
      </c>
      <c r="K1059" s="38"/>
      <c r="L1059" s="36">
        <f t="shared" si="347"/>
        <v>0</v>
      </c>
      <c r="M1059" s="35"/>
      <c r="N1059" s="36">
        <f t="shared" si="337"/>
        <v>0</v>
      </c>
      <c r="O1059" s="38"/>
      <c r="P1059" s="36">
        <f t="shared" si="348"/>
        <v>0</v>
      </c>
      <c r="Q1059" s="35"/>
      <c r="R1059" s="36">
        <f t="shared" si="338"/>
        <v>0</v>
      </c>
      <c r="S1059" s="38"/>
      <c r="T1059" s="36">
        <f t="shared" si="349"/>
        <v>0</v>
      </c>
      <c r="U1059" s="35"/>
      <c r="V1059" s="36">
        <f t="shared" si="339"/>
        <v>0</v>
      </c>
      <c r="W1059" s="38"/>
      <c r="X1059" s="36">
        <f t="shared" si="350"/>
        <v>0</v>
      </c>
      <c r="Y1059" s="35"/>
      <c r="Z1059" s="36">
        <f t="shared" si="340"/>
        <v>0</v>
      </c>
      <c r="AA1059" s="38"/>
      <c r="AB1059" s="36">
        <f t="shared" si="351"/>
        <v>0</v>
      </c>
      <c r="AC1059" s="35"/>
      <c r="AD1059" s="36">
        <f t="shared" si="341"/>
        <v>0</v>
      </c>
      <c r="AE1059" s="38"/>
      <c r="AF1059" s="36">
        <f t="shared" si="352"/>
        <v>0</v>
      </c>
      <c r="AG1059" s="35"/>
      <c r="AH1059" s="36">
        <f t="shared" si="342"/>
        <v>0</v>
      </c>
      <c r="AI1059" s="38"/>
      <c r="AJ1059" s="36">
        <f t="shared" si="353"/>
        <v>0</v>
      </c>
      <c r="AK1059" s="35"/>
      <c r="AL1059" s="36">
        <f t="shared" si="343"/>
        <v>0</v>
      </c>
      <c r="AM1059" s="38"/>
      <c r="AN1059" s="36">
        <f t="shared" si="354"/>
        <v>0</v>
      </c>
      <c r="AO1059" s="35"/>
      <c r="AP1059" s="38"/>
    </row>
    <row r="1060" spans="1:42" ht="15.75" customHeight="1" x14ac:dyDescent="0.25">
      <c r="A1060" s="37">
        <v>2017</v>
      </c>
      <c r="B1060" s="35">
        <v>171525</v>
      </c>
      <c r="C1060" s="34" t="s">
        <v>147</v>
      </c>
      <c r="D1060" s="34" t="s">
        <v>90</v>
      </c>
      <c r="E1060" s="35"/>
      <c r="F1060" s="36">
        <f t="shared" si="344"/>
        <v>0</v>
      </c>
      <c r="G1060" s="38"/>
      <c r="H1060" s="36">
        <f t="shared" si="345"/>
        <v>0</v>
      </c>
      <c r="I1060" s="35"/>
      <c r="J1060" s="36">
        <f t="shared" si="346"/>
        <v>0</v>
      </c>
      <c r="K1060" s="38"/>
      <c r="L1060" s="36">
        <f t="shared" si="347"/>
        <v>0</v>
      </c>
      <c r="M1060" s="35"/>
      <c r="N1060" s="36">
        <f t="shared" si="337"/>
        <v>0</v>
      </c>
      <c r="O1060" s="38"/>
      <c r="P1060" s="36">
        <f t="shared" si="348"/>
        <v>0</v>
      </c>
      <c r="Q1060" s="35"/>
      <c r="R1060" s="36">
        <f t="shared" si="338"/>
        <v>0</v>
      </c>
      <c r="S1060" s="38"/>
      <c r="T1060" s="36">
        <f t="shared" si="349"/>
        <v>0</v>
      </c>
      <c r="U1060" s="35"/>
      <c r="V1060" s="36">
        <f t="shared" si="339"/>
        <v>0</v>
      </c>
      <c r="W1060" s="38"/>
      <c r="X1060" s="36">
        <f t="shared" si="350"/>
        <v>0</v>
      </c>
      <c r="Y1060" s="35"/>
      <c r="Z1060" s="36">
        <f t="shared" si="340"/>
        <v>0</v>
      </c>
      <c r="AA1060" s="38"/>
      <c r="AB1060" s="36">
        <f t="shared" si="351"/>
        <v>0</v>
      </c>
      <c r="AC1060" s="35"/>
      <c r="AD1060" s="36">
        <f t="shared" si="341"/>
        <v>0</v>
      </c>
      <c r="AE1060" s="38"/>
      <c r="AF1060" s="36">
        <f t="shared" si="352"/>
        <v>0</v>
      </c>
      <c r="AG1060" s="35"/>
      <c r="AH1060" s="36">
        <f t="shared" si="342"/>
        <v>0</v>
      </c>
      <c r="AI1060" s="38"/>
      <c r="AJ1060" s="36">
        <f t="shared" si="353"/>
        <v>0</v>
      </c>
      <c r="AK1060" s="35"/>
      <c r="AL1060" s="36">
        <f t="shared" si="343"/>
        <v>0</v>
      </c>
      <c r="AM1060" s="38"/>
      <c r="AN1060" s="36">
        <f t="shared" si="354"/>
        <v>0</v>
      </c>
      <c r="AO1060" s="35"/>
      <c r="AP1060" s="38"/>
    </row>
    <row r="1061" spans="1:42" ht="15.75" customHeight="1" x14ac:dyDescent="0.25">
      <c r="A1061" s="37">
        <v>2017</v>
      </c>
      <c r="B1061" s="35">
        <v>171550</v>
      </c>
      <c r="C1061" s="34" t="s">
        <v>151</v>
      </c>
      <c r="D1061" s="34" t="s">
        <v>91</v>
      </c>
      <c r="E1061" s="35"/>
      <c r="F1061" s="36">
        <f t="shared" si="344"/>
        <v>0</v>
      </c>
      <c r="G1061" s="38"/>
      <c r="H1061" s="36">
        <f t="shared" si="345"/>
        <v>0</v>
      </c>
      <c r="I1061" s="35"/>
      <c r="J1061" s="36">
        <f t="shared" si="346"/>
        <v>0</v>
      </c>
      <c r="K1061" s="38"/>
      <c r="L1061" s="36">
        <f t="shared" si="347"/>
        <v>0</v>
      </c>
      <c r="M1061" s="35"/>
      <c r="N1061" s="36">
        <f t="shared" si="337"/>
        <v>0</v>
      </c>
      <c r="O1061" s="38"/>
      <c r="P1061" s="36">
        <f t="shared" si="348"/>
        <v>0</v>
      </c>
      <c r="Q1061" s="35"/>
      <c r="R1061" s="36">
        <f t="shared" si="338"/>
        <v>0</v>
      </c>
      <c r="S1061" s="38"/>
      <c r="T1061" s="36">
        <f t="shared" si="349"/>
        <v>0</v>
      </c>
      <c r="U1061" s="35"/>
      <c r="V1061" s="36">
        <f t="shared" si="339"/>
        <v>0</v>
      </c>
      <c r="W1061" s="38"/>
      <c r="X1061" s="36">
        <f t="shared" si="350"/>
        <v>0</v>
      </c>
      <c r="Y1061" s="35"/>
      <c r="Z1061" s="36">
        <f t="shared" si="340"/>
        <v>0</v>
      </c>
      <c r="AA1061" s="38"/>
      <c r="AB1061" s="36">
        <f t="shared" si="351"/>
        <v>0</v>
      </c>
      <c r="AC1061" s="35"/>
      <c r="AD1061" s="36">
        <f t="shared" si="341"/>
        <v>0</v>
      </c>
      <c r="AE1061" s="38"/>
      <c r="AF1061" s="36">
        <f t="shared" si="352"/>
        <v>0</v>
      </c>
      <c r="AG1061" s="35"/>
      <c r="AH1061" s="36">
        <f t="shared" si="342"/>
        <v>0</v>
      </c>
      <c r="AI1061" s="38"/>
      <c r="AJ1061" s="36">
        <f t="shared" si="353"/>
        <v>0</v>
      </c>
      <c r="AK1061" s="35"/>
      <c r="AL1061" s="36">
        <f t="shared" si="343"/>
        <v>0</v>
      </c>
      <c r="AM1061" s="38"/>
      <c r="AN1061" s="36">
        <f t="shared" si="354"/>
        <v>0</v>
      </c>
      <c r="AO1061" s="35"/>
      <c r="AP1061" s="38"/>
    </row>
    <row r="1062" spans="1:42" ht="15.75" customHeight="1" x14ac:dyDescent="0.25">
      <c r="A1062" s="37">
        <v>2017</v>
      </c>
      <c r="B1062" s="35">
        <v>172100</v>
      </c>
      <c r="C1062" s="34" t="s">
        <v>148</v>
      </c>
      <c r="D1062" s="34" t="s">
        <v>92</v>
      </c>
      <c r="E1062" s="35"/>
      <c r="F1062" s="36">
        <f t="shared" si="344"/>
        <v>0</v>
      </c>
      <c r="G1062" s="38"/>
      <c r="H1062" s="36">
        <f t="shared" si="345"/>
        <v>0</v>
      </c>
      <c r="I1062" s="35"/>
      <c r="J1062" s="36">
        <f t="shared" si="346"/>
        <v>0</v>
      </c>
      <c r="K1062" s="38"/>
      <c r="L1062" s="36">
        <f t="shared" si="347"/>
        <v>0</v>
      </c>
      <c r="M1062" s="35"/>
      <c r="N1062" s="36">
        <f t="shared" si="337"/>
        <v>0</v>
      </c>
      <c r="O1062" s="39"/>
      <c r="P1062" s="36">
        <f t="shared" si="348"/>
        <v>0</v>
      </c>
      <c r="Q1062" s="35"/>
      <c r="R1062" s="36">
        <f t="shared" si="338"/>
        <v>0</v>
      </c>
      <c r="S1062" s="38"/>
      <c r="T1062" s="36">
        <f t="shared" si="349"/>
        <v>0</v>
      </c>
      <c r="U1062" s="35"/>
      <c r="V1062" s="36">
        <f t="shared" si="339"/>
        <v>0</v>
      </c>
      <c r="W1062" s="38"/>
      <c r="X1062" s="36">
        <f t="shared" si="350"/>
        <v>0</v>
      </c>
      <c r="Y1062" s="35"/>
      <c r="Z1062" s="36">
        <f t="shared" si="340"/>
        <v>0</v>
      </c>
      <c r="AA1062" s="39"/>
      <c r="AB1062" s="36">
        <f t="shared" si="351"/>
        <v>0</v>
      </c>
      <c r="AC1062" s="35"/>
      <c r="AD1062" s="36">
        <f t="shared" si="341"/>
        <v>0</v>
      </c>
      <c r="AE1062" s="38"/>
      <c r="AF1062" s="36">
        <f t="shared" si="352"/>
        <v>0</v>
      </c>
      <c r="AG1062" s="35"/>
      <c r="AH1062" s="36">
        <f t="shared" si="342"/>
        <v>0</v>
      </c>
      <c r="AI1062" s="38"/>
      <c r="AJ1062" s="36">
        <f t="shared" si="353"/>
        <v>0</v>
      </c>
      <c r="AK1062" s="35"/>
      <c r="AL1062" s="36">
        <f t="shared" si="343"/>
        <v>0</v>
      </c>
      <c r="AM1062" s="38"/>
      <c r="AN1062" s="36">
        <f t="shared" si="354"/>
        <v>0</v>
      </c>
      <c r="AO1062" s="35"/>
      <c r="AP1062" s="39"/>
    </row>
    <row r="1063" spans="1:42" ht="15.75" customHeight="1" x14ac:dyDescent="0.25">
      <c r="A1063" s="37">
        <v>2017</v>
      </c>
      <c r="B1063" s="35">
        <v>171570</v>
      </c>
      <c r="C1063" s="34" t="s">
        <v>150</v>
      </c>
      <c r="D1063" s="34" t="s">
        <v>93</v>
      </c>
      <c r="E1063" s="35"/>
      <c r="F1063" s="36">
        <f t="shared" si="344"/>
        <v>0</v>
      </c>
      <c r="G1063" s="38"/>
      <c r="H1063" s="36">
        <f t="shared" si="345"/>
        <v>0</v>
      </c>
      <c r="I1063" s="35"/>
      <c r="J1063" s="36">
        <f t="shared" si="346"/>
        <v>0</v>
      </c>
      <c r="K1063" s="38"/>
      <c r="L1063" s="36">
        <f t="shared" si="347"/>
        <v>0</v>
      </c>
      <c r="M1063" s="35"/>
      <c r="N1063" s="36">
        <f t="shared" si="337"/>
        <v>0</v>
      </c>
      <c r="O1063" s="38"/>
      <c r="P1063" s="36">
        <f t="shared" si="348"/>
        <v>0</v>
      </c>
      <c r="Q1063" s="35"/>
      <c r="R1063" s="36">
        <f t="shared" si="338"/>
        <v>0</v>
      </c>
      <c r="S1063" s="38"/>
      <c r="T1063" s="36">
        <f t="shared" si="349"/>
        <v>0</v>
      </c>
      <c r="U1063" s="35"/>
      <c r="V1063" s="36">
        <f t="shared" si="339"/>
        <v>0</v>
      </c>
      <c r="W1063" s="38"/>
      <c r="X1063" s="36">
        <f t="shared" si="350"/>
        <v>0</v>
      </c>
      <c r="Y1063" s="35"/>
      <c r="Z1063" s="36">
        <f t="shared" si="340"/>
        <v>0</v>
      </c>
      <c r="AA1063" s="38"/>
      <c r="AB1063" s="36">
        <f t="shared" si="351"/>
        <v>0</v>
      </c>
      <c r="AC1063" s="35"/>
      <c r="AD1063" s="36">
        <f t="shared" si="341"/>
        <v>0</v>
      </c>
      <c r="AE1063" s="38"/>
      <c r="AF1063" s="36">
        <f t="shared" si="352"/>
        <v>0</v>
      </c>
      <c r="AG1063" s="35"/>
      <c r="AH1063" s="36">
        <f t="shared" si="342"/>
        <v>0</v>
      </c>
      <c r="AI1063" s="38"/>
      <c r="AJ1063" s="36">
        <f t="shared" si="353"/>
        <v>0</v>
      </c>
      <c r="AK1063" s="35"/>
      <c r="AL1063" s="36">
        <f t="shared" si="343"/>
        <v>0</v>
      </c>
      <c r="AM1063" s="38"/>
      <c r="AN1063" s="36">
        <f t="shared" si="354"/>
        <v>0</v>
      </c>
      <c r="AO1063" s="35"/>
      <c r="AP1063" s="38"/>
    </row>
    <row r="1064" spans="1:42" ht="15.75" customHeight="1" x14ac:dyDescent="0.25">
      <c r="A1064" s="37">
        <v>2017</v>
      </c>
      <c r="B1064" s="35">
        <v>171380</v>
      </c>
      <c r="C1064" s="34" t="s">
        <v>145</v>
      </c>
      <c r="D1064" s="34" t="s">
        <v>94</v>
      </c>
      <c r="E1064" s="35"/>
      <c r="F1064" s="36">
        <f t="shared" si="344"/>
        <v>0</v>
      </c>
      <c r="G1064" s="38"/>
      <c r="H1064" s="36">
        <f t="shared" si="345"/>
        <v>0</v>
      </c>
      <c r="I1064" s="35"/>
      <c r="J1064" s="36">
        <f t="shared" si="346"/>
        <v>0</v>
      </c>
      <c r="K1064" s="38"/>
      <c r="L1064" s="36">
        <f t="shared" si="347"/>
        <v>0</v>
      </c>
      <c r="M1064" s="35"/>
      <c r="N1064" s="36">
        <f t="shared" si="337"/>
        <v>0</v>
      </c>
      <c r="O1064" s="38"/>
      <c r="P1064" s="36">
        <f t="shared" si="348"/>
        <v>0</v>
      </c>
      <c r="Q1064" s="35"/>
      <c r="R1064" s="36">
        <f t="shared" si="338"/>
        <v>0</v>
      </c>
      <c r="S1064" s="38"/>
      <c r="T1064" s="36">
        <f t="shared" si="349"/>
        <v>0</v>
      </c>
      <c r="U1064" s="35"/>
      <c r="V1064" s="36">
        <f t="shared" si="339"/>
        <v>0</v>
      </c>
      <c r="W1064" s="38"/>
      <c r="X1064" s="36">
        <f t="shared" si="350"/>
        <v>0</v>
      </c>
      <c r="Y1064" s="35"/>
      <c r="Z1064" s="36">
        <f t="shared" si="340"/>
        <v>0</v>
      </c>
      <c r="AA1064" s="38"/>
      <c r="AB1064" s="36">
        <f t="shared" si="351"/>
        <v>0</v>
      </c>
      <c r="AC1064" s="35"/>
      <c r="AD1064" s="36">
        <f t="shared" si="341"/>
        <v>0</v>
      </c>
      <c r="AE1064" s="38"/>
      <c r="AF1064" s="36">
        <f t="shared" si="352"/>
        <v>0</v>
      </c>
      <c r="AG1064" s="35"/>
      <c r="AH1064" s="36">
        <f t="shared" si="342"/>
        <v>0</v>
      </c>
      <c r="AI1064" s="38"/>
      <c r="AJ1064" s="36">
        <f t="shared" si="353"/>
        <v>0</v>
      </c>
      <c r="AK1064" s="35"/>
      <c r="AL1064" s="36">
        <f t="shared" si="343"/>
        <v>0</v>
      </c>
      <c r="AM1064" s="38"/>
      <c r="AN1064" s="36">
        <f t="shared" si="354"/>
        <v>0</v>
      </c>
      <c r="AO1064" s="35"/>
      <c r="AP1064" s="38"/>
    </row>
    <row r="1065" spans="1:42" ht="15.75" customHeight="1" x14ac:dyDescent="0.25">
      <c r="A1065" s="37">
        <v>2017</v>
      </c>
      <c r="B1065" s="35">
        <v>171575</v>
      </c>
      <c r="C1065" s="34" t="s">
        <v>146</v>
      </c>
      <c r="D1065" s="34" t="s">
        <v>95</v>
      </c>
      <c r="E1065" s="35"/>
      <c r="F1065" s="36">
        <f t="shared" si="344"/>
        <v>0</v>
      </c>
      <c r="G1065" s="38"/>
      <c r="H1065" s="36">
        <f t="shared" si="345"/>
        <v>0</v>
      </c>
      <c r="I1065" s="35"/>
      <c r="J1065" s="36">
        <f t="shared" si="346"/>
        <v>0</v>
      </c>
      <c r="K1065" s="38"/>
      <c r="L1065" s="36">
        <f t="shared" si="347"/>
        <v>0</v>
      </c>
      <c r="M1065" s="35"/>
      <c r="N1065" s="36">
        <f t="shared" si="337"/>
        <v>0</v>
      </c>
      <c r="O1065" s="38"/>
      <c r="P1065" s="36">
        <f t="shared" si="348"/>
        <v>0</v>
      </c>
      <c r="Q1065" s="35"/>
      <c r="R1065" s="36">
        <f t="shared" si="338"/>
        <v>0</v>
      </c>
      <c r="S1065" s="38"/>
      <c r="T1065" s="36">
        <f t="shared" si="349"/>
        <v>0</v>
      </c>
      <c r="U1065" s="35"/>
      <c r="V1065" s="36">
        <f t="shared" si="339"/>
        <v>0</v>
      </c>
      <c r="W1065" s="38"/>
      <c r="X1065" s="36">
        <f t="shared" si="350"/>
        <v>0</v>
      </c>
      <c r="Y1065" s="35"/>
      <c r="Z1065" s="36">
        <f t="shared" si="340"/>
        <v>0</v>
      </c>
      <c r="AA1065" s="38"/>
      <c r="AB1065" s="36">
        <f t="shared" si="351"/>
        <v>0</v>
      </c>
      <c r="AC1065" s="35"/>
      <c r="AD1065" s="36">
        <f t="shared" si="341"/>
        <v>0</v>
      </c>
      <c r="AE1065" s="38"/>
      <c r="AF1065" s="36">
        <f t="shared" si="352"/>
        <v>0</v>
      </c>
      <c r="AG1065" s="35"/>
      <c r="AH1065" s="36">
        <f t="shared" si="342"/>
        <v>0</v>
      </c>
      <c r="AI1065" s="38"/>
      <c r="AJ1065" s="36">
        <f t="shared" si="353"/>
        <v>0</v>
      </c>
      <c r="AK1065" s="35"/>
      <c r="AL1065" s="36">
        <f t="shared" si="343"/>
        <v>0</v>
      </c>
      <c r="AM1065" s="38"/>
      <c r="AN1065" s="36">
        <f t="shared" si="354"/>
        <v>0</v>
      </c>
      <c r="AO1065" s="35"/>
      <c r="AP1065" s="38"/>
    </row>
    <row r="1066" spans="1:42" ht="15.75" customHeight="1" x14ac:dyDescent="0.25">
      <c r="A1066" s="37">
        <v>2017</v>
      </c>
      <c r="B1066" s="35">
        <v>171610</v>
      </c>
      <c r="C1066" s="34" t="s">
        <v>144</v>
      </c>
      <c r="D1066" s="34" t="s">
        <v>96</v>
      </c>
      <c r="E1066" s="35"/>
      <c r="F1066" s="36">
        <f t="shared" si="344"/>
        <v>0</v>
      </c>
      <c r="G1066" s="38"/>
      <c r="H1066" s="36">
        <f t="shared" si="345"/>
        <v>0</v>
      </c>
      <c r="I1066" s="35"/>
      <c r="J1066" s="36">
        <f t="shared" si="346"/>
        <v>0</v>
      </c>
      <c r="K1066" s="38"/>
      <c r="L1066" s="36">
        <f t="shared" si="347"/>
        <v>0</v>
      </c>
      <c r="M1066" s="35"/>
      <c r="N1066" s="36">
        <f t="shared" si="337"/>
        <v>0</v>
      </c>
      <c r="O1066" s="38"/>
      <c r="P1066" s="36">
        <f t="shared" si="348"/>
        <v>0</v>
      </c>
      <c r="Q1066" s="35"/>
      <c r="R1066" s="36">
        <f t="shared" si="338"/>
        <v>0</v>
      </c>
      <c r="S1066" s="38"/>
      <c r="T1066" s="36">
        <f t="shared" si="349"/>
        <v>0</v>
      </c>
      <c r="U1066" s="35"/>
      <c r="V1066" s="36">
        <f t="shared" si="339"/>
        <v>0</v>
      </c>
      <c r="W1066" s="38"/>
      <c r="X1066" s="36">
        <f t="shared" si="350"/>
        <v>0</v>
      </c>
      <c r="Y1066" s="35"/>
      <c r="Z1066" s="36">
        <f t="shared" si="340"/>
        <v>0</v>
      </c>
      <c r="AA1066" s="38"/>
      <c r="AB1066" s="36">
        <f t="shared" si="351"/>
        <v>0</v>
      </c>
      <c r="AC1066" s="35"/>
      <c r="AD1066" s="36">
        <f t="shared" si="341"/>
        <v>0</v>
      </c>
      <c r="AE1066" s="38"/>
      <c r="AF1066" s="36">
        <f t="shared" si="352"/>
        <v>0</v>
      </c>
      <c r="AG1066" s="35"/>
      <c r="AH1066" s="36">
        <f t="shared" si="342"/>
        <v>0</v>
      </c>
      <c r="AI1066" s="38"/>
      <c r="AJ1066" s="36">
        <f t="shared" si="353"/>
        <v>0</v>
      </c>
      <c r="AK1066" s="35"/>
      <c r="AL1066" s="36">
        <f t="shared" si="343"/>
        <v>0</v>
      </c>
      <c r="AM1066" s="38"/>
      <c r="AN1066" s="36">
        <f t="shared" si="354"/>
        <v>0</v>
      </c>
      <c r="AO1066" s="35"/>
      <c r="AP1066" s="38"/>
    </row>
    <row r="1067" spans="1:42" ht="15.75" customHeight="1" x14ac:dyDescent="0.25">
      <c r="A1067" s="37">
        <v>2017</v>
      </c>
      <c r="B1067" s="35">
        <v>171620</v>
      </c>
      <c r="C1067" s="34" t="s">
        <v>147</v>
      </c>
      <c r="D1067" s="34" t="s">
        <v>97</v>
      </c>
      <c r="E1067" s="35"/>
      <c r="F1067" s="36">
        <f t="shared" si="344"/>
        <v>0</v>
      </c>
      <c r="G1067" s="38"/>
      <c r="H1067" s="36">
        <f t="shared" si="345"/>
        <v>0</v>
      </c>
      <c r="I1067" s="35"/>
      <c r="J1067" s="36">
        <f t="shared" si="346"/>
        <v>0</v>
      </c>
      <c r="K1067" s="38"/>
      <c r="L1067" s="36">
        <f t="shared" si="347"/>
        <v>0</v>
      </c>
      <c r="M1067" s="35"/>
      <c r="N1067" s="36">
        <f t="shared" si="337"/>
        <v>0</v>
      </c>
      <c r="O1067" s="38"/>
      <c r="P1067" s="36">
        <f t="shared" si="348"/>
        <v>0</v>
      </c>
      <c r="Q1067" s="35"/>
      <c r="R1067" s="36">
        <f t="shared" si="338"/>
        <v>0</v>
      </c>
      <c r="S1067" s="38"/>
      <c r="T1067" s="36">
        <f t="shared" si="349"/>
        <v>0</v>
      </c>
      <c r="U1067" s="35"/>
      <c r="V1067" s="36">
        <f t="shared" si="339"/>
        <v>0</v>
      </c>
      <c r="W1067" s="38"/>
      <c r="X1067" s="36">
        <f t="shared" si="350"/>
        <v>0</v>
      </c>
      <c r="Y1067" s="35"/>
      <c r="Z1067" s="36">
        <f t="shared" si="340"/>
        <v>0</v>
      </c>
      <c r="AA1067" s="38"/>
      <c r="AB1067" s="36">
        <f t="shared" si="351"/>
        <v>0</v>
      </c>
      <c r="AC1067" s="35"/>
      <c r="AD1067" s="36">
        <f t="shared" si="341"/>
        <v>0</v>
      </c>
      <c r="AE1067" s="38"/>
      <c r="AF1067" s="36">
        <f t="shared" si="352"/>
        <v>0</v>
      </c>
      <c r="AG1067" s="35"/>
      <c r="AH1067" s="36">
        <f t="shared" si="342"/>
        <v>0</v>
      </c>
      <c r="AI1067" s="38"/>
      <c r="AJ1067" s="36">
        <f t="shared" si="353"/>
        <v>0</v>
      </c>
      <c r="AK1067" s="35"/>
      <c r="AL1067" s="36">
        <f t="shared" si="343"/>
        <v>0</v>
      </c>
      <c r="AM1067" s="38"/>
      <c r="AN1067" s="36">
        <f t="shared" si="354"/>
        <v>0</v>
      </c>
      <c r="AO1067" s="35"/>
      <c r="AP1067" s="38"/>
    </row>
    <row r="1068" spans="1:42" ht="15.75" customHeight="1" x14ac:dyDescent="0.25">
      <c r="A1068" s="37">
        <v>2017</v>
      </c>
      <c r="B1068" s="35">
        <v>171630</v>
      </c>
      <c r="C1068" s="34" t="s">
        <v>149</v>
      </c>
      <c r="D1068" s="34" t="s">
        <v>98</v>
      </c>
      <c r="E1068" s="35"/>
      <c r="F1068" s="36">
        <f t="shared" si="344"/>
        <v>0</v>
      </c>
      <c r="G1068" s="38"/>
      <c r="H1068" s="36">
        <f t="shared" si="345"/>
        <v>0</v>
      </c>
      <c r="I1068" s="35"/>
      <c r="J1068" s="36">
        <f t="shared" si="346"/>
        <v>0</v>
      </c>
      <c r="K1068" s="38"/>
      <c r="L1068" s="36">
        <f t="shared" si="347"/>
        <v>0</v>
      </c>
      <c r="M1068" s="35"/>
      <c r="N1068" s="36">
        <f t="shared" si="337"/>
        <v>0</v>
      </c>
      <c r="O1068" s="38"/>
      <c r="P1068" s="36">
        <f t="shared" si="348"/>
        <v>0</v>
      </c>
      <c r="Q1068" s="35"/>
      <c r="R1068" s="36">
        <f t="shared" si="338"/>
        <v>0</v>
      </c>
      <c r="S1068" s="38"/>
      <c r="T1068" s="36">
        <f t="shared" si="349"/>
        <v>0</v>
      </c>
      <c r="U1068" s="35"/>
      <c r="V1068" s="36">
        <f t="shared" si="339"/>
        <v>0</v>
      </c>
      <c r="W1068" s="38"/>
      <c r="X1068" s="36">
        <f t="shared" si="350"/>
        <v>0</v>
      </c>
      <c r="Y1068" s="35"/>
      <c r="Z1068" s="36">
        <f t="shared" si="340"/>
        <v>0</v>
      </c>
      <c r="AA1068" s="38"/>
      <c r="AB1068" s="36">
        <f t="shared" si="351"/>
        <v>0</v>
      </c>
      <c r="AC1068" s="35"/>
      <c r="AD1068" s="36">
        <f t="shared" si="341"/>
        <v>0</v>
      </c>
      <c r="AE1068" s="38"/>
      <c r="AF1068" s="36">
        <f t="shared" si="352"/>
        <v>0</v>
      </c>
      <c r="AG1068" s="35"/>
      <c r="AH1068" s="36">
        <f t="shared" si="342"/>
        <v>0</v>
      </c>
      <c r="AI1068" s="38"/>
      <c r="AJ1068" s="36">
        <f t="shared" si="353"/>
        <v>0</v>
      </c>
      <c r="AK1068" s="35"/>
      <c r="AL1068" s="36">
        <f t="shared" si="343"/>
        <v>0</v>
      </c>
      <c r="AM1068" s="38"/>
      <c r="AN1068" s="36">
        <f t="shared" si="354"/>
        <v>0</v>
      </c>
      <c r="AO1068" s="35"/>
      <c r="AP1068" s="38"/>
    </row>
    <row r="1069" spans="1:42" ht="15.75" customHeight="1" x14ac:dyDescent="0.25">
      <c r="A1069" s="37">
        <v>2017</v>
      </c>
      <c r="B1069" s="35">
        <v>171650</v>
      </c>
      <c r="C1069" s="34" t="s">
        <v>150</v>
      </c>
      <c r="D1069" s="34" t="s">
        <v>99</v>
      </c>
      <c r="E1069" s="35"/>
      <c r="F1069" s="36">
        <f t="shared" si="344"/>
        <v>0</v>
      </c>
      <c r="G1069" s="38"/>
      <c r="H1069" s="36">
        <f t="shared" si="345"/>
        <v>0</v>
      </c>
      <c r="I1069" s="35"/>
      <c r="J1069" s="36">
        <f t="shared" si="346"/>
        <v>0</v>
      </c>
      <c r="K1069" s="38"/>
      <c r="L1069" s="36">
        <f t="shared" si="347"/>
        <v>0</v>
      </c>
      <c r="M1069" s="35"/>
      <c r="N1069" s="36">
        <f t="shared" si="337"/>
        <v>0</v>
      </c>
      <c r="O1069" s="38"/>
      <c r="P1069" s="36">
        <f t="shared" si="348"/>
        <v>0</v>
      </c>
      <c r="Q1069" s="35"/>
      <c r="R1069" s="36">
        <f t="shared" si="338"/>
        <v>0</v>
      </c>
      <c r="S1069" s="38"/>
      <c r="T1069" s="36">
        <f t="shared" si="349"/>
        <v>0</v>
      </c>
      <c r="U1069" s="35"/>
      <c r="V1069" s="36">
        <f t="shared" si="339"/>
        <v>0</v>
      </c>
      <c r="W1069" s="38"/>
      <c r="X1069" s="36">
        <f t="shared" si="350"/>
        <v>0</v>
      </c>
      <c r="Y1069" s="35"/>
      <c r="Z1069" s="36">
        <f t="shared" si="340"/>
        <v>0</v>
      </c>
      <c r="AA1069" s="38"/>
      <c r="AB1069" s="36">
        <f t="shared" si="351"/>
        <v>0</v>
      </c>
      <c r="AC1069" s="35"/>
      <c r="AD1069" s="36">
        <f t="shared" si="341"/>
        <v>0</v>
      </c>
      <c r="AE1069" s="38"/>
      <c r="AF1069" s="36">
        <f t="shared" si="352"/>
        <v>0</v>
      </c>
      <c r="AG1069" s="35"/>
      <c r="AH1069" s="36">
        <f t="shared" si="342"/>
        <v>0</v>
      </c>
      <c r="AI1069" s="38"/>
      <c r="AJ1069" s="36">
        <f t="shared" si="353"/>
        <v>0</v>
      </c>
      <c r="AK1069" s="35"/>
      <c r="AL1069" s="36">
        <f t="shared" si="343"/>
        <v>0</v>
      </c>
      <c r="AM1069" s="38"/>
      <c r="AN1069" s="36">
        <f t="shared" si="354"/>
        <v>0</v>
      </c>
      <c r="AO1069" s="35"/>
      <c r="AP1069" s="38"/>
    </row>
    <row r="1070" spans="1:42" ht="15.75" customHeight="1" x14ac:dyDescent="0.25">
      <c r="A1070" s="37">
        <v>2017</v>
      </c>
      <c r="B1070" s="35">
        <v>171660</v>
      </c>
      <c r="C1070" s="34" t="s">
        <v>146</v>
      </c>
      <c r="D1070" s="34" t="s">
        <v>100</v>
      </c>
      <c r="E1070" s="35"/>
      <c r="F1070" s="36">
        <f t="shared" si="344"/>
        <v>0</v>
      </c>
      <c r="G1070" s="38"/>
      <c r="H1070" s="36">
        <f t="shared" si="345"/>
        <v>0</v>
      </c>
      <c r="I1070" s="35"/>
      <c r="J1070" s="36">
        <f t="shared" si="346"/>
        <v>0</v>
      </c>
      <c r="K1070" s="38"/>
      <c r="L1070" s="36">
        <f t="shared" si="347"/>
        <v>0</v>
      </c>
      <c r="M1070" s="35"/>
      <c r="N1070" s="36">
        <f t="shared" ref="N1070:N1101" si="355">IFERROR(M1070/$AO1070,0)</f>
        <v>0</v>
      </c>
      <c r="O1070" s="38"/>
      <c r="P1070" s="36">
        <f t="shared" si="348"/>
        <v>0</v>
      </c>
      <c r="Q1070" s="35"/>
      <c r="R1070" s="36">
        <f t="shared" ref="R1070:R1101" si="356">IFERROR(Q1070/$AO1070,0)</f>
        <v>0</v>
      </c>
      <c r="S1070" s="38"/>
      <c r="T1070" s="36">
        <f t="shared" si="349"/>
        <v>0</v>
      </c>
      <c r="U1070" s="35"/>
      <c r="V1070" s="36">
        <f t="shared" ref="V1070:V1101" si="357">IFERROR(U1070/$AO1070,0)</f>
        <v>0</v>
      </c>
      <c r="W1070" s="38"/>
      <c r="X1070" s="36">
        <f t="shared" si="350"/>
        <v>0</v>
      </c>
      <c r="Y1070" s="35"/>
      <c r="Z1070" s="36">
        <f t="shared" ref="Z1070:Z1101" si="358">IFERROR(Y1070/$AO1070,0)</f>
        <v>0</v>
      </c>
      <c r="AA1070" s="38"/>
      <c r="AB1070" s="36">
        <f t="shared" si="351"/>
        <v>0</v>
      </c>
      <c r="AC1070" s="35"/>
      <c r="AD1070" s="36">
        <f t="shared" ref="AD1070:AD1101" si="359">IFERROR(AC1070/$AO1070,0)</f>
        <v>0</v>
      </c>
      <c r="AE1070" s="38"/>
      <c r="AF1070" s="36">
        <f t="shared" si="352"/>
        <v>0</v>
      </c>
      <c r="AG1070" s="35"/>
      <c r="AH1070" s="36">
        <f t="shared" ref="AH1070:AH1101" si="360">IFERROR(AG1070/$AO1070,0)</f>
        <v>0</v>
      </c>
      <c r="AI1070" s="38"/>
      <c r="AJ1070" s="36">
        <f t="shared" si="353"/>
        <v>0</v>
      </c>
      <c r="AK1070" s="35"/>
      <c r="AL1070" s="36">
        <f t="shared" ref="AL1070:AL1101" si="361">IFERROR(AK1070/$AO1070,0)</f>
        <v>0</v>
      </c>
      <c r="AM1070" s="38"/>
      <c r="AN1070" s="36">
        <f t="shared" si="354"/>
        <v>0</v>
      </c>
      <c r="AO1070" s="35"/>
      <c r="AP1070" s="38"/>
    </row>
    <row r="1071" spans="1:42" ht="15.75" customHeight="1" x14ac:dyDescent="0.25">
      <c r="A1071" s="37">
        <v>2017</v>
      </c>
      <c r="B1071" s="35">
        <v>171665</v>
      </c>
      <c r="C1071" s="34" t="s">
        <v>150</v>
      </c>
      <c r="D1071" s="34" t="s">
        <v>101</v>
      </c>
      <c r="E1071" s="35"/>
      <c r="F1071" s="36">
        <f t="shared" si="344"/>
        <v>0</v>
      </c>
      <c r="G1071" s="38"/>
      <c r="H1071" s="36">
        <f t="shared" si="345"/>
        <v>0</v>
      </c>
      <c r="I1071" s="35"/>
      <c r="J1071" s="36">
        <f t="shared" si="346"/>
        <v>0</v>
      </c>
      <c r="K1071" s="38"/>
      <c r="L1071" s="36">
        <f t="shared" si="347"/>
        <v>0</v>
      </c>
      <c r="M1071" s="35"/>
      <c r="N1071" s="36">
        <f t="shared" si="355"/>
        <v>0</v>
      </c>
      <c r="O1071" s="38"/>
      <c r="P1071" s="36">
        <f t="shared" si="348"/>
        <v>0</v>
      </c>
      <c r="Q1071" s="35"/>
      <c r="R1071" s="36">
        <f t="shared" si="356"/>
        <v>0</v>
      </c>
      <c r="S1071" s="38"/>
      <c r="T1071" s="36">
        <f t="shared" si="349"/>
        <v>0</v>
      </c>
      <c r="U1071" s="35"/>
      <c r="V1071" s="36">
        <f t="shared" si="357"/>
        <v>0</v>
      </c>
      <c r="W1071" s="38"/>
      <c r="X1071" s="36">
        <f t="shared" si="350"/>
        <v>0</v>
      </c>
      <c r="Y1071" s="35"/>
      <c r="Z1071" s="36">
        <f t="shared" si="358"/>
        <v>0</v>
      </c>
      <c r="AA1071" s="38"/>
      <c r="AB1071" s="36">
        <f t="shared" si="351"/>
        <v>0</v>
      </c>
      <c r="AC1071" s="35"/>
      <c r="AD1071" s="36">
        <f t="shared" si="359"/>
        <v>0</v>
      </c>
      <c r="AE1071" s="38"/>
      <c r="AF1071" s="36">
        <f t="shared" si="352"/>
        <v>0</v>
      </c>
      <c r="AG1071" s="35"/>
      <c r="AH1071" s="36">
        <f t="shared" si="360"/>
        <v>0</v>
      </c>
      <c r="AI1071" s="38"/>
      <c r="AJ1071" s="36">
        <f t="shared" si="353"/>
        <v>0</v>
      </c>
      <c r="AK1071" s="35"/>
      <c r="AL1071" s="36">
        <f t="shared" si="361"/>
        <v>0</v>
      </c>
      <c r="AM1071" s="38"/>
      <c r="AN1071" s="36">
        <f t="shared" si="354"/>
        <v>0</v>
      </c>
      <c r="AO1071" s="35"/>
      <c r="AP1071" s="38"/>
    </row>
    <row r="1072" spans="1:42" ht="15.75" customHeight="1" x14ac:dyDescent="0.25">
      <c r="A1072" s="37">
        <v>2017</v>
      </c>
      <c r="B1072" s="35">
        <v>171700</v>
      </c>
      <c r="C1072" s="34" t="s">
        <v>151</v>
      </c>
      <c r="D1072" s="34" t="s">
        <v>102</v>
      </c>
      <c r="E1072" s="35"/>
      <c r="F1072" s="36">
        <f t="shared" si="344"/>
        <v>0</v>
      </c>
      <c r="G1072" s="38"/>
      <c r="H1072" s="36">
        <f t="shared" si="345"/>
        <v>0</v>
      </c>
      <c r="I1072" s="35"/>
      <c r="J1072" s="36">
        <f t="shared" si="346"/>
        <v>0</v>
      </c>
      <c r="K1072" s="38"/>
      <c r="L1072" s="36">
        <f t="shared" si="347"/>
        <v>0</v>
      </c>
      <c r="M1072" s="35"/>
      <c r="N1072" s="36">
        <f t="shared" si="355"/>
        <v>0</v>
      </c>
      <c r="O1072" s="38"/>
      <c r="P1072" s="36">
        <f t="shared" si="348"/>
        <v>0</v>
      </c>
      <c r="Q1072" s="35"/>
      <c r="R1072" s="36">
        <f t="shared" si="356"/>
        <v>0</v>
      </c>
      <c r="S1072" s="38"/>
      <c r="T1072" s="36">
        <f t="shared" si="349"/>
        <v>0</v>
      </c>
      <c r="U1072" s="35"/>
      <c r="V1072" s="36">
        <f t="shared" si="357"/>
        <v>0</v>
      </c>
      <c r="W1072" s="38"/>
      <c r="X1072" s="36">
        <f t="shared" si="350"/>
        <v>0</v>
      </c>
      <c r="Y1072" s="35"/>
      <c r="Z1072" s="36">
        <f t="shared" si="358"/>
        <v>0</v>
      </c>
      <c r="AA1072" s="38"/>
      <c r="AB1072" s="36">
        <f t="shared" si="351"/>
        <v>0</v>
      </c>
      <c r="AC1072" s="35"/>
      <c r="AD1072" s="36">
        <f t="shared" si="359"/>
        <v>0</v>
      </c>
      <c r="AE1072" s="38"/>
      <c r="AF1072" s="36">
        <f t="shared" si="352"/>
        <v>0</v>
      </c>
      <c r="AG1072" s="35"/>
      <c r="AH1072" s="36">
        <f t="shared" si="360"/>
        <v>0</v>
      </c>
      <c r="AI1072" s="38"/>
      <c r="AJ1072" s="36">
        <f t="shared" si="353"/>
        <v>0</v>
      </c>
      <c r="AK1072" s="35"/>
      <c r="AL1072" s="36">
        <f t="shared" si="361"/>
        <v>0</v>
      </c>
      <c r="AM1072" s="38"/>
      <c r="AN1072" s="36">
        <f t="shared" si="354"/>
        <v>0</v>
      </c>
      <c r="AO1072" s="35"/>
      <c r="AP1072" s="38"/>
    </row>
    <row r="1073" spans="1:42" ht="15.75" customHeight="1" x14ac:dyDescent="0.25">
      <c r="A1073" s="37">
        <v>2017</v>
      </c>
      <c r="B1073" s="35">
        <v>171720</v>
      </c>
      <c r="C1073" s="34" t="s">
        <v>149</v>
      </c>
      <c r="D1073" s="34" t="s">
        <v>103</v>
      </c>
      <c r="E1073" s="35"/>
      <c r="F1073" s="36">
        <f t="shared" si="344"/>
        <v>0</v>
      </c>
      <c r="G1073" s="38"/>
      <c r="H1073" s="36">
        <f t="shared" si="345"/>
        <v>0</v>
      </c>
      <c r="I1073" s="35"/>
      <c r="J1073" s="36">
        <f t="shared" si="346"/>
        <v>0</v>
      </c>
      <c r="K1073" s="38"/>
      <c r="L1073" s="36">
        <f t="shared" si="347"/>
        <v>0</v>
      </c>
      <c r="M1073" s="35"/>
      <c r="N1073" s="36">
        <f t="shared" si="355"/>
        <v>0</v>
      </c>
      <c r="O1073" s="38"/>
      <c r="P1073" s="36">
        <f t="shared" si="348"/>
        <v>0</v>
      </c>
      <c r="Q1073" s="35"/>
      <c r="R1073" s="36">
        <f t="shared" si="356"/>
        <v>0</v>
      </c>
      <c r="S1073" s="38"/>
      <c r="T1073" s="36">
        <f t="shared" si="349"/>
        <v>0</v>
      </c>
      <c r="U1073" s="35"/>
      <c r="V1073" s="36">
        <f t="shared" si="357"/>
        <v>0</v>
      </c>
      <c r="W1073" s="38"/>
      <c r="X1073" s="36">
        <f t="shared" si="350"/>
        <v>0</v>
      </c>
      <c r="Y1073" s="35"/>
      <c r="Z1073" s="36">
        <f t="shared" si="358"/>
        <v>0</v>
      </c>
      <c r="AA1073" s="38"/>
      <c r="AB1073" s="36">
        <f t="shared" si="351"/>
        <v>0</v>
      </c>
      <c r="AC1073" s="35"/>
      <c r="AD1073" s="36">
        <f t="shared" si="359"/>
        <v>0</v>
      </c>
      <c r="AE1073" s="38"/>
      <c r="AF1073" s="36">
        <f t="shared" si="352"/>
        <v>0</v>
      </c>
      <c r="AG1073" s="35"/>
      <c r="AH1073" s="36">
        <f t="shared" si="360"/>
        <v>0</v>
      </c>
      <c r="AI1073" s="38"/>
      <c r="AJ1073" s="36">
        <f t="shared" si="353"/>
        <v>0</v>
      </c>
      <c r="AK1073" s="35"/>
      <c r="AL1073" s="36">
        <f t="shared" si="361"/>
        <v>0</v>
      </c>
      <c r="AM1073" s="38"/>
      <c r="AN1073" s="36">
        <f t="shared" si="354"/>
        <v>0</v>
      </c>
      <c r="AO1073" s="35"/>
      <c r="AP1073" s="38"/>
    </row>
    <row r="1074" spans="1:42" ht="15.75" customHeight="1" x14ac:dyDescent="0.25">
      <c r="A1074" s="37">
        <v>2017</v>
      </c>
      <c r="B1074" s="35">
        <v>171750</v>
      </c>
      <c r="C1074" s="34" t="s">
        <v>144</v>
      </c>
      <c r="D1074" s="34" t="s">
        <v>104</v>
      </c>
      <c r="E1074" s="35"/>
      <c r="F1074" s="36">
        <f t="shared" si="344"/>
        <v>0</v>
      </c>
      <c r="G1074" s="38"/>
      <c r="H1074" s="36">
        <f t="shared" si="345"/>
        <v>0</v>
      </c>
      <c r="I1074" s="35"/>
      <c r="J1074" s="36">
        <f t="shared" si="346"/>
        <v>0</v>
      </c>
      <c r="K1074" s="38"/>
      <c r="L1074" s="36">
        <f t="shared" si="347"/>
        <v>0</v>
      </c>
      <c r="M1074" s="35"/>
      <c r="N1074" s="36">
        <f t="shared" si="355"/>
        <v>0</v>
      </c>
      <c r="O1074" s="38"/>
      <c r="P1074" s="36">
        <f t="shared" si="348"/>
        <v>0</v>
      </c>
      <c r="Q1074" s="35"/>
      <c r="R1074" s="36">
        <f t="shared" si="356"/>
        <v>0</v>
      </c>
      <c r="S1074" s="38"/>
      <c r="T1074" s="36">
        <f t="shared" si="349"/>
        <v>0</v>
      </c>
      <c r="U1074" s="35"/>
      <c r="V1074" s="36">
        <f t="shared" si="357"/>
        <v>0</v>
      </c>
      <c r="W1074" s="38"/>
      <c r="X1074" s="36">
        <f t="shared" si="350"/>
        <v>0</v>
      </c>
      <c r="Y1074" s="35"/>
      <c r="Z1074" s="36">
        <f t="shared" si="358"/>
        <v>0</v>
      </c>
      <c r="AA1074" s="38"/>
      <c r="AB1074" s="36">
        <f t="shared" si="351"/>
        <v>0</v>
      </c>
      <c r="AC1074" s="35"/>
      <c r="AD1074" s="36">
        <f t="shared" si="359"/>
        <v>0</v>
      </c>
      <c r="AE1074" s="38"/>
      <c r="AF1074" s="36">
        <f t="shared" si="352"/>
        <v>0</v>
      </c>
      <c r="AG1074" s="35"/>
      <c r="AH1074" s="36">
        <f t="shared" si="360"/>
        <v>0</v>
      </c>
      <c r="AI1074" s="38"/>
      <c r="AJ1074" s="36">
        <f t="shared" si="353"/>
        <v>0</v>
      </c>
      <c r="AK1074" s="35"/>
      <c r="AL1074" s="36">
        <f t="shared" si="361"/>
        <v>0</v>
      </c>
      <c r="AM1074" s="38"/>
      <c r="AN1074" s="36">
        <f t="shared" si="354"/>
        <v>0</v>
      </c>
      <c r="AO1074" s="35"/>
      <c r="AP1074" s="38"/>
    </row>
    <row r="1075" spans="1:42" ht="15.75" customHeight="1" x14ac:dyDescent="0.25">
      <c r="A1075" s="37">
        <v>2017</v>
      </c>
      <c r="B1075" s="35">
        <v>171780</v>
      </c>
      <c r="C1075" s="34" t="s">
        <v>147</v>
      </c>
      <c r="D1075" s="34" t="s">
        <v>105</v>
      </c>
      <c r="E1075" s="35"/>
      <c r="F1075" s="36">
        <f t="shared" si="344"/>
        <v>0</v>
      </c>
      <c r="G1075" s="38"/>
      <c r="H1075" s="36">
        <f t="shared" si="345"/>
        <v>0</v>
      </c>
      <c r="I1075" s="35"/>
      <c r="J1075" s="36">
        <f t="shared" si="346"/>
        <v>0</v>
      </c>
      <c r="K1075" s="38"/>
      <c r="L1075" s="36">
        <f t="shared" si="347"/>
        <v>0</v>
      </c>
      <c r="M1075" s="35"/>
      <c r="N1075" s="36">
        <f t="shared" si="355"/>
        <v>0</v>
      </c>
      <c r="O1075" s="38"/>
      <c r="P1075" s="36">
        <f t="shared" si="348"/>
        <v>0</v>
      </c>
      <c r="Q1075" s="35"/>
      <c r="R1075" s="36">
        <f t="shared" si="356"/>
        <v>0</v>
      </c>
      <c r="S1075" s="38"/>
      <c r="T1075" s="36">
        <f t="shared" si="349"/>
        <v>0</v>
      </c>
      <c r="U1075" s="35"/>
      <c r="V1075" s="36">
        <f t="shared" si="357"/>
        <v>0</v>
      </c>
      <c r="W1075" s="38"/>
      <c r="X1075" s="36">
        <f t="shared" si="350"/>
        <v>0</v>
      </c>
      <c r="Y1075" s="35"/>
      <c r="Z1075" s="36">
        <f t="shared" si="358"/>
        <v>0</v>
      </c>
      <c r="AA1075" s="38"/>
      <c r="AB1075" s="36">
        <f t="shared" si="351"/>
        <v>0</v>
      </c>
      <c r="AC1075" s="35"/>
      <c r="AD1075" s="36">
        <f t="shared" si="359"/>
        <v>0</v>
      </c>
      <c r="AE1075" s="38"/>
      <c r="AF1075" s="36">
        <f t="shared" si="352"/>
        <v>0</v>
      </c>
      <c r="AG1075" s="35"/>
      <c r="AH1075" s="36">
        <f t="shared" si="360"/>
        <v>0</v>
      </c>
      <c r="AI1075" s="38"/>
      <c r="AJ1075" s="36">
        <f t="shared" si="353"/>
        <v>0</v>
      </c>
      <c r="AK1075" s="35"/>
      <c r="AL1075" s="36">
        <f t="shared" si="361"/>
        <v>0</v>
      </c>
      <c r="AM1075" s="38"/>
      <c r="AN1075" s="36">
        <f t="shared" si="354"/>
        <v>0</v>
      </c>
      <c r="AO1075" s="35"/>
      <c r="AP1075" s="38"/>
    </row>
    <row r="1076" spans="1:42" ht="15.75" customHeight="1" x14ac:dyDescent="0.25">
      <c r="A1076" s="37">
        <v>2017</v>
      </c>
      <c r="B1076" s="35">
        <v>171790</v>
      </c>
      <c r="C1076" s="34" t="s">
        <v>151</v>
      </c>
      <c r="D1076" s="34" t="s">
        <v>106</v>
      </c>
      <c r="E1076" s="35"/>
      <c r="F1076" s="36">
        <f t="shared" si="344"/>
        <v>0</v>
      </c>
      <c r="G1076" s="38"/>
      <c r="H1076" s="36">
        <f t="shared" si="345"/>
        <v>0</v>
      </c>
      <c r="I1076" s="35"/>
      <c r="J1076" s="36">
        <f t="shared" si="346"/>
        <v>0</v>
      </c>
      <c r="K1076" s="38"/>
      <c r="L1076" s="36">
        <f t="shared" si="347"/>
        <v>0</v>
      </c>
      <c r="M1076" s="35"/>
      <c r="N1076" s="36">
        <f t="shared" si="355"/>
        <v>0</v>
      </c>
      <c r="O1076" s="38"/>
      <c r="P1076" s="36">
        <f t="shared" si="348"/>
        <v>0</v>
      </c>
      <c r="Q1076" s="35"/>
      <c r="R1076" s="36">
        <f t="shared" si="356"/>
        <v>0</v>
      </c>
      <c r="S1076" s="38"/>
      <c r="T1076" s="36">
        <f t="shared" si="349"/>
        <v>0</v>
      </c>
      <c r="U1076" s="35"/>
      <c r="V1076" s="36">
        <f t="shared" si="357"/>
        <v>0</v>
      </c>
      <c r="W1076" s="38"/>
      <c r="X1076" s="36">
        <f t="shared" si="350"/>
        <v>0</v>
      </c>
      <c r="Y1076" s="35"/>
      <c r="Z1076" s="36">
        <f t="shared" si="358"/>
        <v>0</v>
      </c>
      <c r="AA1076" s="38"/>
      <c r="AB1076" s="36">
        <f t="shared" si="351"/>
        <v>0</v>
      </c>
      <c r="AC1076" s="35"/>
      <c r="AD1076" s="36">
        <f t="shared" si="359"/>
        <v>0</v>
      </c>
      <c r="AE1076" s="38"/>
      <c r="AF1076" s="36">
        <f t="shared" si="352"/>
        <v>0</v>
      </c>
      <c r="AG1076" s="35"/>
      <c r="AH1076" s="36">
        <f t="shared" si="360"/>
        <v>0</v>
      </c>
      <c r="AI1076" s="38"/>
      <c r="AJ1076" s="36">
        <f t="shared" si="353"/>
        <v>0</v>
      </c>
      <c r="AK1076" s="35"/>
      <c r="AL1076" s="36">
        <f t="shared" si="361"/>
        <v>0</v>
      </c>
      <c r="AM1076" s="38"/>
      <c r="AN1076" s="36">
        <f t="shared" si="354"/>
        <v>0</v>
      </c>
      <c r="AO1076" s="35"/>
      <c r="AP1076" s="38"/>
    </row>
    <row r="1077" spans="1:42" ht="15.75" customHeight="1" x14ac:dyDescent="0.25">
      <c r="A1077" s="37">
        <v>2017</v>
      </c>
      <c r="B1077" s="35">
        <v>171800</v>
      </c>
      <c r="C1077" s="34" t="s">
        <v>147</v>
      </c>
      <c r="D1077" s="34" t="s">
        <v>107</v>
      </c>
      <c r="E1077" s="35"/>
      <c r="F1077" s="36">
        <f t="shared" si="344"/>
        <v>0</v>
      </c>
      <c r="G1077" s="38"/>
      <c r="H1077" s="36">
        <f t="shared" si="345"/>
        <v>0</v>
      </c>
      <c r="I1077" s="35"/>
      <c r="J1077" s="36">
        <f t="shared" si="346"/>
        <v>0</v>
      </c>
      <c r="K1077" s="38"/>
      <c r="L1077" s="36">
        <f t="shared" si="347"/>
        <v>0</v>
      </c>
      <c r="M1077" s="35"/>
      <c r="N1077" s="36">
        <f t="shared" si="355"/>
        <v>0</v>
      </c>
      <c r="O1077" s="38"/>
      <c r="P1077" s="36">
        <f t="shared" si="348"/>
        <v>0</v>
      </c>
      <c r="Q1077" s="35"/>
      <c r="R1077" s="36">
        <f t="shared" si="356"/>
        <v>0</v>
      </c>
      <c r="S1077" s="38"/>
      <c r="T1077" s="36">
        <f t="shared" si="349"/>
        <v>0</v>
      </c>
      <c r="U1077" s="35"/>
      <c r="V1077" s="36">
        <f t="shared" si="357"/>
        <v>0</v>
      </c>
      <c r="W1077" s="38"/>
      <c r="X1077" s="36">
        <f t="shared" si="350"/>
        <v>0</v>
      </c>
      <c r="Y1077" s="35"/>
      <c r="Z1077" s="36">
        <f t="shared" si="358"/>
        <v>0</v>
      </c>
      <c r="AA1077" s="38"/>
      <c r="AB1077" s="36">
        <f t="shared" si="351"/>
        <v>0</v>
      </c>
      <c r="AC1077" s="35"/>
      <c r="AD1077" s="36">
        <f t="shared" si="359"/>
        <v>0</v>
      </c>
      <c r="AE1077" s="38"/>
      <c r="AF1077" s="36">
        <f t="shared" si="352"/>
        <v>0</v>
      </c>
      <c r="AG1077" s="35"/>
      <c r="AH1077" s="36">
        <f t="shared" si="360"/>
        <v>0</v>
      </c>
      <c r="AI1077" s="38"/>
      <c r="AJ1077" s="36">
        <f t="shared" si="353"/>
        <v>0</v>
      </c>
      <c r="AK1077" s="35"/>
      <c r="AL1077" s="36">
        <f t="shared" si="361"/>
        <v>0</v>
      </c>
      <c r="AM1077" s="38"/>
      <c r="AN1077" s="36">
        <f t="shared" si="354"/>
        <v>0</v>
      </c>
      <c r="AO1077" s="35"/>
      <c r="AP1077" s="38"/>
    </row>
    <row r="1078" spans="1:42" ht="15.75" customHeight="1" x14ac:dyDescent="0.25">
      <c r="A1078" s="37">
        <v>2017</v>
      </c>
      <c r="B1078" s="35">
        <v>171820</v>
      </c>
      <c r="C1078" s="34" t="s">
        <v>151</v>
      </c>
      <c r="D1078" s="34" t="s">
        <v>108</v>
      </c>
      <c r="E1078" s="35"/>
      <c r="F1078" s="36">
        <f t="shared" si="344"/>
        <v>0</v>
      </c>
      <c r="G1078" s="38"/>
      <c r="H1078" s="36">
        <f t="shared" si="345"/>
        <v>0</v>
      </c>
      <c r="I1078" s="35"/>
      <c r="J1078" s="36">
        <f t="shared" si="346"/>
        <v>0</v>
      </c>
      <c r="K1078" s="38"/>
      <c r="L1078" s="36">
        <f t="shared" si="347"/>
        <v>0</v>
      </c>
      <c r="M1078" s="35"/>
      <c r="N1078" s="36">
        <f t="shared" si="355"/>
        <v>0</v>
      </c>
      <c r="O1078" s="39"/>
      <c r="P1078" s="36">
        <f t="shared" si="348"/>
        <v>0</v>
      </c>
      <c r="Q1078" s="35"/>
      <c r="R1078" s="36">
        <f t="shared" si="356"/>
        <v>0</v>
      </c>
      <c r="S1078" s="38"/>
      <c r="T1078" s="36">
        <f t="shared" si="349"/>
        <v>0</v>
      </c>
      <c r="U1078" s="35"/>
      <c r="V1078" s="36">
        <f t="shared" si="357"/>
        <v>0</v>
      </c>
      <c r="W1078" s="38"/>
      <c r="X1078" s="36">
        <f t="shared" si="350"/>
        <v>0</v>
      </c>
      <c r="Y1078" s="35"/>
      <c r="Z1078" s="36">
        <f t="shared" si="358"/>
        <v>0</v>
      </c>
      <c r="AA1078" s="38"/>
      <c r="AB1078" s="36">
        <f t="shared" si="351"/>
        <v>0</v>
      </c>
      <c r="AC1078" s="35"/>
      <c r="AD1078" s="36">
        <f t="shared" si="359"/>
        <v>0</v>
      </c>
      <c r="AE1078" s="38"/>
      <c r="AF1078" s="36">
        <f t="shared" si="352"/>
        <v>0</v>
      </c>
      <c r="AG1078" s="35"/>
      <c r="AH1078" s="36">
        <f t="shared" si="360"/>
        <v>0</v>
      </c>
      <c r="AI1078" s="38"/>
      <c r="AJ1078" s="36">
        <f t="shared" si="353"/>
        <v>0</v>
      </c>
      <c r="AK1078" s="35"/>
      <c r="AL1078" s="36">
        <f t="shared" si="361"/>
        <v>0</v>
      </c>
      <c r="AM1078" s="38"/>
      <c r="AN1078" s="36">
        <f t="shared" si="354"/>
        <v>0</v>
      </c>
      <c r="AO1078" s="35"/>
      <c r="AP1078" s="39"/>
    </row>
    <row r="1079" spans="1:42" ht="15.75" customHeight="1" x14ac:dyDescent="0.25">
      <c r="A1079" s="37">
        <v>2017</v>
      </c>
      <c r="B1079" s="35">
        <v>171830</v>
      </c>
      <c r="C1079" s="34" t="s">
        <v>145</v>
      </c>
      <c r="D1079" s="34" t="s">
        <v>109</v>
      </c>
      <c r="E1079" s="35"/>
      <c r="F1079" s="36">
        <f t="shared" si="344"/>
        <v>0</v>
      </c>
      <c r="G1079" s="38"/>
      <c r="H1079" s="36">
        <f t="shared" si="345"/>
        <v>0</v>
      </c>
      <c r="I1079" s="35"/>
      <c r="J1079" s="36">
        <f t="shared" si="346"/>
        <v>0</v>
      </c>
      <c r="K1079" s="38"/>
      <c r="L1079" s="36">
        <f t="shared" si="347"/>
        <v>0</v>
      </c>
      <c r="M1079" s="35"/>
      <c r="N1079" s="36">
        <f t="shared" si="355"/>
        <v>0</v>
      </c>
      <c r="O1079" s="38"/>
      <c r="P1079" s="36">
        <f t="shared" si="348"/>
        <v>0</v>
      </c>
      <c r="Q1079" s="35"/>
      <c r="R1079" s="36">
        <f t="shared" si="356"/>
        <v>0</v>
      </c>
      <c r="S1079" s="38"/>
      <c r="T1079" s="36">
        <f t="shared" si="349"/>
        <v>0</v>
      </c>
      <c r="U1079" s="35"/>
      <c r="V1079" s="36">
        <f t="shared" si="357"/>
        <v>0</v>
      </c>
      <c r="W1079" s="38"/>
      <c r="X1079" s="36">
        <f t="shared" si="350"/>
        <v>0</v>
      </c>
      <c r="Y1079" s="35"/>
      <c r="Z1079" s="36">
        <f t="shared" si="358"/>
        <v>0</v>
      </c>
      <c r="AA1079" s="38"/>
      <c r="AB1079" s="36">
        <f t="shared" si="351"/>
        <v>0</v>
      </c>
      <c r="AC1079" s="35"/>
      <c r="AD1079" s="36">
        <f t="shared" si="359"/>
        <v>0</v>
      </c>
      <c r="AE1079" s="38"/>
      <c r="AF1079" s="36">
        <f t="shared" si="352"/>
        <v>0</v>
      </c>
      <c r="AG1079" s="35"/>
      <c r="AH1079" s="36">
        <f t="shared" si="360"/>
        <v>0</v>
      </c>
      <c r="AI1079" s="38"/>
      <c r="AJ1079" s="36">
        <f t="shared" si="353"/>
        <v>0</v>
      </c>
      <c r="AK1079" s="35"/>
      <c r="AL1079" s="36">
        <f t="shared" si="361"/>
        <v>0</v>
      </c>
      <c r="AM1079" s="38"/>
      <c r="AN1079" s="36">
        <f t="shared" si="354"/>
        <v>0</v>
      </c>
      <c r="AO1079" s="35"/>
      <c r="AP1079" s="38"/>
    </row>
    <row r="1080" spans="1:42" ht="15.75" customHeight="1" x14ac:dyDescent="0.25">
      <c r="A1080" s="37">
        <v>2017</v>
      </c>
      <c r="B1080" s="35">
        <v>171840</v>
      </c>
      <c r="C1080" s="34" t="s">
        <v>150</v>
      </c>
      <c r="D1080" s="34" t="s">
        <v>110</v>
      </c>
      <c r="E1080" s="35"/>
      <c r="F1080" s="36">
        <f t="shared" si="344"/>
        <v>0</v>
      </c>
      <c r="G1080" s="38"/>
      <c r="H1080" s="36">
        <f t="shared" si="345"/>
        <v>0</v>
      </c>
      <c r="I1080" s="35"/>
      <c r="J1080" s="36">
        <f t="shared" si="346"/>
        <v>0</v>
      </c>
      <c r="K1080" s="38"/>
      <c r="L1080" s="36">
        <f t="shared" si="347"/>
        <v>0</v>
      </c>
      <c r="M1080" s="35"/>
      <c r="N1080" s="36">
        <f t="shared" si="355"/>
        <v>0</v>
      </c>
      <c r="O1080" s="38"/>
      <c r="P1080" s="36">
        <f t="shared" si="348"/>
        <v>0</v>
      </c>
      <c r="Q1080" s="35"/>
      <c r="R1080" s="36">
        <f t="shared" si="356"/>
        <v>0</v>
      </c>
      <c r="S1080" s="38"/>
      <c r="T1080" s="36">
        <f t="shared" si="349"/>
        <v>0</v>
      </c>
      <c r="U1080" s="35"/>
      <c r="V1080" s="36">
        <f t="shared" si="357"/>
        <v>0</v>
      </c>
      <c r="W1080" s="38"/>
      <c r="X1080" s="36">
        <f t="shared" si="350"/>
        <v>0</v>
      </c>
      <c r="Y1080" s="35"/>
      <c r="Z1080" s="36">
        <f t="shared" si="358"/>
        <v>0</v>
      </c>
      <c r="AA1080" s="38"/>
      <c r="AB1080" s="36">
        <f t="shared" si="351"/>
        <v>0</v>
      </c>
      <c r="AC1080" s="35"/>
      <c r="AD1080" s="36">
        <f t="shared" si="359"/>
        <v>0</v>
      </c>
      <c r="AE1080" s="38"/>
      <c r="AF1080" s="36">
        <f t="shared" si="352"/>
        <v>0</v>
      </c>
      <c r="AG1080" s="35"/>
      <c r="AH1080" s="36">
        <f t="shared" si="360"/>
        <v>0</v>
      </c>
      <c r="AI1080" s="38"/>
      <c r="AJ1080" s="36">
        <f t="shared" si="353"/>
        <v>0</v>
      </c>
      <c r="AK1080" s="35"/>
      <c r="AL1080" s="36">
        <f t="shared" si="361"/>
        <v>0</v>
      </c>
      <c r="AM1080" s="38"/>
      <c r="AN1080" s="36">
        <f t="shared" si="354"/>
        <v>0</v>
      </c>
      <c r="AO1080" s="35"/>
      <c r="AP1080" s="38"/>
    </row>
    <row r="1081" spans="1:42" ht="15.75" customHeight="1" x14ac:dyDescent="0.25">
      <c r="A1081" s="37">
        <v>2017</v>
      </c>
      <c r="B1081" s="35">
        <v>171845</v>
      </c>
      <c r="C1081" s="34" t="s">
        <v>144</v>
      </c>
      <c r="D1081" s="34" t="s">
        <v>111</v>
      </c>
      <c r="E1081" s="35"/>
      <c r="F1081" s="36">
        <f t="shared" si="344"/>
        <v>0</v>
      </c>
      <c r="G1081" s="38"/>
      <c r="H1081" s="36">
        <f t="shared" si="345"/>
        <v>0</v>
      </c>
      <c r="I1081" s="35"/>
      <c r="J1081" s="36">
        <f t="shared" si="346"/>
        <v>0</v>
      </c>
      <c r="K1081" s="38"/>
      <c r="L1081" s="36">
        <f t="shared" si="347"/>
        <v>0</v>
      </c>
      <c r="M1081" s="35"/>
      <c r="N1081" s="36">
        <f t="shared" si="355"/>
        <v>0</v>
      </c>
      <c r="O1081" s="38"/>
      <c r="P1081" s="36">
        <f t="shared" si="348"/>
        <v>0</v>
      </c>
      <c r="Q1081" s="35"/>
      <c r="R1081" s="36">
        <f t="shared" si="356"/>
        <v>0</v>
      </c>
      <c r="S1081" s="38"/>
      <c r="T1081" s="36">
        <f t="shared" si="349"/>
        <v>0</v>
      </c>
      <c r="U1081" s="35"/>
      <c r="V1081" s="36">
        <f t="shared" si="357"/>
        <v>0</v>
      </c>
      <c r="W1081" s="38"/>
      <c r="X1081" s="36">
        <f t="shared" si="350"/>
        <v>0</v>
      </c>
      <c r="Y1081" s="35"/>
      <c r="Z1081" s="36">
        <f t="shared" si="358"/>
        <v>0</v>
      </c>
      <c r="AA1081" s="38"/>
      <c r="AB1081" s="36">
        <f t="shared" si="351"/>
        <v>0</v>
      </c>
      <c r="AC1081" s="35"/>
      <c r="AD1081" s="36">
        <f t="shared" si="359"/>
        <v>0</v>
      </c>
      <c r="AE1081" s="38"/>
      <c r="AF1081" s="36">
        <f t="shared" si="352"/>
        <v>0</v>
      </c>
      <c r="AG1081" s="35"/>
      <c r="AH1081" s="36">
        <f t="shared" si="360"/>
        <v>0</v>
      </c>
      <c r="AI1081" s="38"/>
      <c r="AJ1081" s="36">
        <f t="shared" si="353"/>
        <v>0</v>
      </c>
      <c r="AK1081" s="35"/>
      <c r="AL1081" s="36">
        <f t="shared" si="361"/>
        <v>0</v>
      </c>
      <c r="AM1081" s="38"/>
      <c r="AN1081" s="36">
        <f t="shared" si="354"/>
        <v>0</v>
      </c>
      <c r="AO1081" s="35"/>
      <c r="AP1081" s="38"/>
    </row>
    <row r="1082" spans="1:42" ht="15.75" customHeight="1" x14ac:dyDescent="0.25">
      <c r="A1082" s="37">
        <v>2017</v>
      </c>
      <c r="B1082" s="35">
        <v>171850</v>
      </c>
      <c r="C1082" s="34" t="s">
        <v>150</v>
      </c>
      <c r="D1082" s="34" t="s">
        <v>112</v>
      </c>
      <c r="E1082" s="35"/>
      <c r="F1082" s="36">
        <f t="shared" si="344"/>
        <v>0</v>
      </c>
      <c r="G1082" s="38"/>
      <c r="H1082" s="36">
        <f t="shared" si="345"/>
        <v>0</v>
      </c>
      <c r="I1082" s="35"/>
      <c r="J1082" s="36">
        <f t="shared" si="346"/>
        <v>0</v>
      </c>
      <c r="K1082" s="38"/>
      <c r="L1082" s="36">
        <f t="shared" si="347"/>
        <v>0</v>
      </c>
      <c r="M1082" s="35"/>
      <c r="N1082" s="36">
        <f t="shared" si="355"/>
        <v>0</v>
      </c>
      <c r="O1082" s="38"/>
      <c r="P1082" s="36">
        <f t="shared" si="348"/>
        <v>0</v>
      </c>
      <c r="Q1082" s="35"/>
      <c r="R1082" s="36">
        <f t="shared" si="356"/>
        <v>0</v>
      </c>
      <c r="S1082" s="38"/>
      <c r="T1082" s="36">
        <f t="shared" si="349"/>
        <v>0</v>
      </c>
      <c r="U1082" s="35"/>
      <c r="V1082" s="36">
        <f t="shared" si="357"/>
        <v>0</v>
      </c>
      <c r="W1082" s="38"/>
      <c r="X1082" s="36">
        <f t="shared" si="350"/>
        <v>0</v>
      </c>
      <c r="Y1082" s="35"/>
      <c r="Z1082" s="36">
        <f t="shared" si="358"/>
        <v>0</v>
      </c>
      <c r="AA1082" s="38"/>
      <c r="AB1082" s="36">
        <f t="shared" si="351"/>
        <v>0</v>
      </c>
      <c r="AC1082" s="35"/>
      <c r="AD1082" s="36">
        <f t="shared" si="359"/>
        <v>0</v>
      </c>
      <c r="AE1082" s="38"/>
      <c r="AF1082" s="36">
        <f t="shared" si="352"/>
        <v>0</v>
      </c>
      <c r="AG1082" s="35"/>
      <c r="AH1082" s="36">
        <f t="shared" si="360"/>
        <v>0</v>
      </c>
      <c r="AI1082" s="38"/>
      <c r="AJ1082" s="36">
        <f t="shared" si="353"/>
        <v>0</v>
      </c>
      <c r="AK1082" s="35"/>
      <c r="AL1082" s="36">
        <f t="shared" si="361"/>
        <v>0</v>
      </c>
      <c r="AM1082" s="38"/>
      <c r="AN1082" s="36">
        <f t="shared" si="354"/>
        <v>0</v>
      </c>
      <c r="AO1082" s="35"/>
      <c r="AP1082" s="38"/>
    </row>
    <row r="1083" spans="1:42" ht="15.75" customHeight="1" x14ac:dyDescent="0.25">
      <c r="A1083" s="37">
        <v>2017</v>
      </c>
      <c r="B1083" s="35">
        <v>171855</v>
      </c>
      <c r="C1083" s="34" t="s">
        <v>145</v>
      </c>
      <c r="D1083" s="34" t="s">
        <v>113</v>
      </c>
      <c r="E1083" s="35"/>
      <c r="F1083" s="36">
        <f t="shared" si="344"/>
        <v>0</v>
      </c>
      <c r="G1083" s="38"/>
      <c r="H1083" s="36">
        <f t="shared" si="345"/>
        <v>0</v>
      </c>
      <c r="I1083" s="35"/>
      <c r="J1083" s="36">
        <f t="shared" si="346"/>
        <v>0</v>
      </c>
      <c r="K1083" s="38"/>
      <c r="L1083" s="36">
        <f t="shared" si="347"/>
        <v>0</v>
      </c>
      <c r="M1083" s="35"/>
      <c r="N1083" s="36">
        <f t="shared" si="355"/>
        <v>0</v>
      </c>
      <c r="O1083" s="38"/>
      <c r="P1083" s="36">
        <f t="shared" si="348"/>
        <v>0</v>
      </c>
      <c r="Q1083" s="35"/>
      <c r="R1083" s="36">
        <f t="shared" si="356"/>
        <v>0</v>
      </c>
      <c r="S1083" s="38"/>
      <c r="T1083" s="36">
        <f t="shared" si="349"/>
        <v>0</v>
      </c>
      <c r="U1083" s="35"/>
      <c r="V1083" s="36">
        <f t="shared" si="357"/>
        <v>0</v>
      </c>
      <c r="W1083" s="38"/>
      <c r="X1083" s="36">
        <f t="shared" si="350"/>
        <v>0</v>
      </c>
      <c r="Y1083" s="35"/>
      <c r="Z1083" s="36">
        <f t="shared" si="358"/>
        <v>0</v>
      </c>
      <c r="AA1083" s="38"/>
      <c r="AB1083" s="36">
        <f t="shared" si="351"/>
        <v>0</v>
      </c>
      <c r="AC1083" s="35"/>
      <c r="AD1083" s="36">
        <f t="shared" si="359"/>
        <v>0</v>
      </c>
      <c r="AE1083" s="38"/>
      <c r="AF1083" s="36">
        <f t="shared" si="352"/>
        <v>0</v>
      </c>
      <c r="AG1083" s="35"/>
      <c r="AH1083" s="36">
        <f t="shared" si="360"/>
        <v>0</v>
      </c>
      <c r="AI1083" s="38"/>
      <c r="AJ1083" s="36">
        <f t="shared" si="353"/>
        <v>0</v>
      </c>
      <c r="AK1083" s="35"/>
      <c r="AL1083" s="36">
        <f t="shared" si="361"/>
        <v>0</v>
      </c>
      <c r="AM1083" s="38"/>
      <c r="AN1083" s="36">
        <f t="shared" si="354"/>
        <v>0</v>
      </c>
      <c r="AO1083" s="35"/>
      <c r="AP1083" s="38"/>
    </row>
    <row r="1084" spans="1:42" ht="15.75" customHeight="1" x14ac:dyDescent="0.25">
      <c r="A1084" s="37">
        <v>2017</v>
      </c>
      <c r="B1084" s="35">
        <v>171865</v>
      </c>
      <c r="C1084" s="34" t="s">
        <v>147</v>
      </c>
      <c r="D1084" s="34" t="s">
        <v>114</v>
      </c>
      <c r="E1084" s="35"/>
      <c r="F1084" s="36">
        <f t="shared" si="344"/>
        <v>0</v>
      </c>
      <c r="G1084" s="38"/>
      <c r="H1084" s="36">
        <f t="shared" si="345"/>
        <v>0</v>
      </c>
      <c r="I1084" s="35"/>
      <c r="J1084" s="36">
        <f t="shared" si="346"/>
        <v>0</v>
      </c>
      <c r="K1084" s="38"/>
      <c r="L1084" s="36">
        <f t="shared" si="347"/>
        <v>0</v>
      </c>
      <c r="M1084" s="35"/>
      <c r="N1084" s="36">
        <f t="shared" si="355"/>
        <v>0</v>
      </c>
      <c r="O1084" s="38"/>
      <c r="P1084" s="36">
        <f t="shared" si="348"/>
        <v>0</v>
      </c>
      <c r="Q1084" s="35"/>
      <c r="R1084" s="36">
        <f t="shared" si="356"/>
        <v>0</v>
      </c>
      <c r="S1084" s="38"/>
      <c r="T1084" s="36">
        <f t="shared" si="349"/>
        <v>0</v>
      </c>
      <c r="U1084" s="35"/>
      <c r="V1084" s="36">
        <f t="shared" si="357"/>
        <v>0</v>
      </c>
      <c r="W1084" s="38"/>
      <c r="X1084" s="36">
        <f t="shared" si="350"/>
        <v>0</v>
      </c>
      <c r="Y1084" s="35"/>
      <c r="Z1084" s="36">
        <f t="shared" si="358"/>
        <v>0</v>
      </c>
      <c r="AA1084" s="38"/>
      <c r="AB1084" s="36">
        <f t="shared" si="351"/>
        <v>0</v>
      </c>
      <c r="AC1084" s="35"/>
      <c r="AD1084" s="36">
        <f t="shared" si="359"/>
        <v>0</v>
      </c>
      <c r="AE1084" s="38"/>
      <c r="AF1084" s="36">
        <f t="shared" si="352"/>
        <v>0</v>
      </c>
      <c r="AG1084" s="35"/>
      <c r="AH1084" s="36">
        <f t="shared" si="360"/>
        <v>0</v>
      </c>
      <c r="AI1084" s="38"/>
      <c r="AJ1084" s="36">
        <f t="shared" si="353"/>
        <v>0</v>
      </c>
      <c r="AK1084" s="35"/>
      <c r="AL1084" s="36">
        <f t="shared" si="361"/>
        <v>0</v>
      </c>
      <c r="AM1084" s="38"/>
      <c r="AN1084" s="36">
        <f t="shared" si="354"/>
        <v>0</v>
      </c>
      <c r="AO1084" s="35"/>
      <c r="AP1084" s="38"/>
    </row>
    <row r="1085" spans="1:42" ht="15.75" customHeight="1" x14ac:dyDescent="0.25">
      <c r="A1085" s="37">
        <v>2017</v>
      </c>
      <c r="B1085" s="35">
        <v>171870</v>
      </c>
      <c r="C1085" s="34" t="s">
        <v>148</v>
      </c>
      <c r="D1085" s="34" t="s">
        <v>115</v>
      </c>
      <c r="E1085" s="35"/>
      <c r="F1085" s="36">
        <f t="shared" si="344"/>
        <v>0</v>
      </c>
      <c r="G1085" s="38"/>
      <c r="H1085" s="36">
        <f t="shared" si="345"/>
        <v>0</v>
      </c>
      <c r="I1085" s="35"/>
      <c r="J1085" s="36">
        <f t="shared" si="346"/>
        <v>0</v>
      </c>
      <c r="K1085" s="38"/>
      <c r="L1085" s="36">
        <f t="shared" si="347"/>
        <v>0</v>
      </c>
      <c r="M1085" s="35"/>
      <c r="N1085" s="36">
        <f t="shared" si="355"/>
        <v>0</v>
      </c>
      <c r="O1085" s="38"/>
      <c r="P1085" s="36">
        <f t="shared" si="348"/>
        <v>0</v>
      </c>
      <c r="Q1085" s="35"/>
      <c r="R1085" s="36">
        <f t="shared" si="356"/>
        <v>0</v>
      </c>
      <c r="S1085" s="38"/>
      <c r="T1085" s="36">
        <f t="shared" si="349"/>
        <v>0</v>
      </c>
      <c r="U1085" s="35"/>
      <c r="V1085" s="36">
        <f t="shared" si="357"/>
        <v>0</v>
      </c>
      <c r="W1085" s="38"/>
      <c r="X1085" s="36">
        <f t="shared" si="350"/>
        <v>0</v>
      </c>
      <c r="Y1085" s="35"/>
      <c r="Z1085" s="36">
        <f t="shared" si="358"/>
        <v>0</v>
      </c>
      <c r="AA1085" s="38"/>
      <c r="AB1085" s="36">
        <f t="shared" si="351"/>
        <v>0</v>
      </c>
      <c r="AC1085" s="35"/>
      <c r="AD1085" s="36">
        <f t="shared" si="359"/>
        <v>0</v>
      </c>
      <c r="AE1085" s="38"/>
      <c r="AF1085" s="36">
        <f t="shared" si="352"/>
        <v>0</v>
      </c>
      <c r="AG1085" s="35"/>
      <c r="AH1085" s="36">
        <f t="shared" si="360"/>
        <v>0</v>
      </c>
      <c r="AI1085" s="38"/>
      <c r="AJ1085" s="36">
        <f t="shared" si="353"/>
        <v>0</v>
      </c>
      <c r="AK1085" s="35"/>
      <c r="AL1085" s="36">
        <f t="shared" si="361"/>
        <v>0</v>
      </c>
      <c r="AM1085" s="38"/>
      <c r="AN1085" s="36">
        <f t="shared" si="354"/>
        <v>0</v>
      </c>
      <c r="AO1085" s="35"/>
      <c r="AP1085" s="38"/>
    </row>
    <row r="1086" spans="1:42" ht="15.75" customHeight="1" x14ac:dyDescent="0.25">
      <c r="A1086" s="37">
        <v>2017</v>
      </c>
      <c r="B1086" s="35">
        <v>171875</v>
      </c>
      <c r="C1086" s="34" t="s">
        <v>148</v>
      </c>
      <c r="D1086" s="34" t="s">
        <v>116</v>
      </c>
      <c r="E1086" s="35"/>
      <c r="F1086" s="36">
        <f t="shared" si="344"/>
        <v>0</v>
      </c>
      <c r="G1086" s="38"/>
      <c r="H1086" s="36">
        <f t="shared" si="345"/>
        <v>0</v>
      </c>
      <c r="I1086" s="35"/>
      <c r="J1086" s="36">
        <f t="shared" si="346"/>
        <v>0</v>
      </c>
      <c r="K1086" s="38"/>
      <c r="L1086" s="36">
        <f t="shared" si="347"/>
        <v>0</v>
      </c>
      <c r="M1086" s="35"/>
      <c r="N1086" s="36">
        <f t="shared" si="355"/>
        <v>0</v>
      </c>
      <c r="O1086" s="38"/>
      <c r="P1086" s="36">
        <f t="shared" si="348"/>
        <v>0</v>
      </c>
      <c r="Q1086" s="35"/>
      <c r="R1086" s="36">
        <f t="shared" si="356"/>
        <v>0</v>
      </c>
      <c r="S1086" s="38"/>
      <c r="T1086" s="36">
        <f t="shared" si="349"/>
        <v>0</v>
      </c>
      <c r="U1086" s="35"/>
      <c r="V1086" s="36">
        <f t="shared" si="357"/>
        <v>0</v>
      </c>
      <c r="W1086" s="38"/>
      <c r="X1086" s="36">
        <f t="shared" si="350"/>
        <v>0</v>
      </c>
      <c r="Y1086" s="35"/>
      <c r="Z1086" s="36">
        <f t="shared" si="358"/>
        <v>0</v>
      </c>
      <c r="AA1086" s="38"/>
      <c r="AB1086" s="36">
        <f t="shared" si="351"/>
        <v>0</v>
      </c>
      <c r="AC1086" s="35"/>
      <c r="AD1086" s="36">
        <f t="shared" si="359"/>
        <v>0</v>
      </c>
      <c r="AE1086" s="38"/>
      <c r="AF1086" s="36">
        <f t="shared" si="352"/>
        <v>0</v>
      </c>
      <c r="AG1086" s="35"/>
      <c r="AH1086" s="36">
        <f t="shared" si="360"/>
        <v>0</v>
      </c>
      <c r="AI1086" s="38"/>
      <c r="AJ1086" s="36">
        <f t="shared" si="353"/>
        <v>0</v>
      </c>
      <c r="AK1086" s="35"/>
      <c r="AL1086" s="36">
        <f t="shared" si="361"/>
        <v>0</v>
      </c>
      <c r="AM1086" s="38"/>
      <c r="AN1086" s="36">
        <f t="shared" si="354"/>
        <v>0</v>
      </c>
      <c r="AO1086" s="35"/>
      <c r="AP1086" s="38"/>
    </row>
    <row r="1087" spans="1:42" ht="15.75" customHeight="1" x14ac:dyDescent="0.25">
      <c r="A1087" s="37">
        <v>2017</v>
      </c>
      <c r="B1087" s="35">
        <v>171880</v>
      </c>
      <c r="C1087" s="34" t="s">
        <v>145</v>
      </c>
      <c r="D1087" s="34" t="s">
        <v>117</v>
      </c>
      <c r="E1087" s="35"/>
      <c r="F1087" s="36">
        <f t="shared" si="344"/>
        <v>0</v>
      </c>
      <c r="G1087" s="38"/>
      <c r="H1087" s="36">
        <f t="shared" si="345"/>
        <v>0</v>
      </c>
      <c r="I1087" s="35"/>
      <c r="J1087" s="36">
        <f t="shared" si="346"/>
        <v>0</v>
      </c>
      <c r="K1087" s="38"/>
      <c r="L1087" s="36">
        <f t="shared" si="347"/>
        <v>0</v>
      </c>
      <c r="M1087" s="35"/>
      <c r="N1087" s="36">
        <f t="shared" si="355"/>
        <v>0</v>
      </c>
      <c r="O1087" s="38"/>
      <c r="P1087" s="36">
        <f t="shared" si="348"/>
        <v>0</v>
      </c>
      <c r="Q1087" s="35"/>
      <c r="R1087" s="36">
        <f t="shared" si="356"/>
        <v>0</v>
      </c>
      <c r="S1087" s="38"/>
      <c r="T1087" s="36">
        <f t="shared" si="349"/>
        <v>0</v>
      </c>
      <c r="U1087" s="35"/>
      <c r="V1087" s="36">
        <f t="shared" si="357"/>
        <v>0</v>
      </c>
      <c r="W1087" s="38"/>
      <c r="X1087" s="36">
        <f t="shared" si="350"/>
        <v>0</v>
      </c>
      <c r="Y1087" s="35"/>
      <c r="Z1087" s="36">
        <f t="shared" si="358"/>
        <v>0</v>
      </c>
      <c r="AA1087" s="38"/>
      <c r="AB1087" s="36">
        <f t="shared" si="351"/>
        <v>0</v>
      </c>
      <c r="AC1087" s="35"/>
      <c r="AD1087" s="36">
        <f t="shared" si="359"/>
        <v>0</v>
      </c>
      <c r="AE1087" s="38"/>
      <c r="AF1087" s="36">
        <f t="shared" si="352"/>
        <v>0</v>
      </c>
      <c r="AG1087" s="35"/>
      <c r="AH1087" s="36">
        <f t="shared" si="360"/>
        <v>0</v>
      </c>
      <c r="AI1087" s="38"/>
      <c r="AJ1087" s="36">
        <f t="shared" si="353"/>
        <v>0</v>
      </c>
      <c r="AK1087" s="35"/>
      <c r="AL1087" s="36">
        <f t="shared" si="361"/>
        <v>0</v>
      </c>
      <c r="AM1087" s="38"/>
      <c r="AN1087" s="36">
        <f t="shared" si="354"/>
        <v>0</v>
      </c>
      <c r="AO1087" s="35"/>
      <c r="AP1087" s="38"/>
    </row>
    <row r="1088" spans="1:42" ht="15.75" customHeight="1" x14ac:dyDescent="0.25">
      <c r="A1088" s="37">
        <v>2017</v>
      </c>
      <c r="B1088" s="35">
        <v>171884</v>
      </c>
      <c r="C1088" s="34" t="s">
        <v>146</v>
      </c>
      <c r="D1088" s="34" t="s">
        <v>118</v>
      </c>
      <c r="E1088" s="35"/>
      <c r="F1088" s="36">
        <f t="shared" si="344"/>
        <v>0</v>
      </c>
      <c r="G1088" s="38"/>
      <c r="H1088" s="36">
        <f t="shared" si="345"/>
        <v>0</v>
      </c>
      <c r="I1088" s="35"/>
      <c r="J1088" s="36">
        <f t="shared" si="346"/>
        <v>0</v>
      </c>
      <c r="K1088" s="38"/>
      <c r="L1088" s="36">
        <f t="shared" si="347"/>
        <v>0</v>
      </c>
      <c r="M1088" s="35"/>
      <c r="N1088" s="36">
        <f t="shared" si="355"/>
        <v>0</v>
      </c>
      <c r="O1088" s="38"/>
      <c r="P1088" s="36">
        <f t="shared" si="348"/>
        <v>0</v>
      </c>
      <c r="Q1088" s="35"/>
      <c r="R1088" s="36">
        <f t="shared" si="356"/>
        <v>0</v>
      </c>
      <c r="S1088" s="38"/>
      <c r="T1088" s="36">
        <f t="shared" si="349"/>
        <v>0</v>
      </c>
      <c r="U1088" s="35"/>
      <c r="V1088" s="36">
        <f t="shared" si="357"/>
        <v>0</v>
      </c>
      <c r="W1088" s="38"/>
      <c r="X1088" s="36">
        <f t="shared" si="350"/>
        <v>0</v>
      </c>
      <c r="Y1088" s="35"/>
      <c r="Z1088" s="36">
        <f t="shared" si="358"/>
        <v>0</v>
      </c>
      <c r="AA1088" s="38"/>
      <c r="AB1088" s="36">
        <f t="shared" si="351"/>
        <v>0</v>
      </c>
      <c r="AC1088" s="35"/>
      <c r="AD1088" s="36">
        <f t="shared" si="359"/>
        <v>0</v>
      </c>
      <c r="AE1088" s="38"/>
      <c r="AF1088" s="36">
        <f t="shared" si="352"/>
        <v>0</v>
      </c>
      <c r="AG1088" s="35"/>
      <c r="AH1088" s="36">
        <f t="shared" si="360"/>
        <v>0</v>
      </c>
      <c r="AI1088" s="38"/>
      <c r="AJ1088" s="36">
        <f t="shared" si="353"/>
        <v>0</v>
      </c>
      <c r="AK1088" s="35"/>
      <c r="AL1088" s="36">
        <f t="shared" si="361"/>
        <v>0</v>
      </c>
      <c r="AM1088" s="38"/>
      <c r="AN1088" s="36">
        <f t="shared" si="354"/>
        <v>0</v>
      </c>
      <c r="AO1088" s="35"/>
      <c r="AP1088" s="38"/>
    </row>
    <row r="1089" spans="1:42" ht="15.75" customHeight="1" x14ac:dyDescent="0.25">
      <c r="A1089" s="37">
        <v>2017</v>
      </c>
      <c r="B1089" s="35">
        <v>171886</v>
      </c>
      <c r="C1089" s="34" t="s">
        <v>149</v>
      </c>
      <c r="D1089" s="34" t="s">
        <v>119</v>
      </c>
      <c r="E1089" s="35"/>
      <c r="F1089" s="36">
        <f t="shared" si="344"/>
        <v>0</v>
      </c>
      <c r="G1089" s="38"/>
      <c r="H1089" s="36">
        <f t="shared" si="345"/>
        <v>0</v>
      </c>
      <c r="I1089" s="35"/>
      <c r="J1089" s="36">
        <f t="shared" si="346"/>
        <v>0</v>
      </c>
      <c r="K1089" s="38"/>
      <c r="L1089" s="36">
        <f t="shared" si="347"/>
        <v>0</v>
      </c>
      <c r="M1089" s="35"/>
      <c r="N1089" s="36">
        <f t="shared" si="355"/>
        <v>0</v>
      </c>
      <c r="O1089" s="38"/>
      <c r="P1089" s="36">
        <f t="shared" si="348"/>
        <v>0</v>
      </c>
      <c r="Q1089" s="35"/>
      <c r="R1089" s="36">
        <f t="shared" si="356"/>
        <v>0</v>
      </c>
      <c r="S1089" s="38"/>
      <c r="T1089" s="36">
        <f t="shared" si="349"/>
        <v>0</v>
      </c>
      <c r="U1089" s="35"/>
      <c r="V1089" s="36">
        <f t="shared" si="357"/>
        <v>0</v>
      </c>
      <c r="W1089" s="38"/>
      <c r="X1089" s="36">
        <f t="shared" si="350"/>
        <v>0</v>
      </c>
      <c r="Y1089" s="35"/>
      <c r="Z1089" s="36">
        <f t="shared" si="358"/>
        <v>0</v>
      </c>
      <c r="AA1089" s="38"/>
      <c r="AB1089" s="36">
        <f t="shared" si="351"/>
        <v>0</v>
      </c>
      <c r="AC1089" s="35"/>
      <c r="AD1089" s="36">
        <f t="shared" si="359"/>
        <v>0</v>
      </c>
      <c r="AE1089" s="38"/>
      <c r="AF1089" s="36">
        <f t="shared" si="352"/>
        <v>0</v>
      </c>
      <c r="AG1089" s="35"/>
      <c r="AH1089" s="36">
        <f t="shared" si="360"/>
        <v>0</v>
      </c>
      <c r="AI1089" s="38"/>
      <c r="AJ1089" s="36">
        <f t="shared" si="353"/>
        <v>0</v>
      </c>
      <c r="AK1089" s="35"/>
      <c r="AL1089" s="36">
        <f t="shared" si="361"/>
        <v>0</v>
      </c>
      <c r="AM1089" s="38"/>
      <c r="AN1089" s="36">
        <f t="shared" si="354"/>
        <v>0</v>
      </c>
      <c r="AO1089" s="35"/>
      <c r="AP1089" s="38"/>
    </row>
    <row r="1090" spans="1:42" ht="15.75" customHeight="1" x14ac:dyDescent="0.25">
      <c r="A1090" s="37">
        <v>2017</v>
      </c>
      <c r="B1090" s="35">
        <v>171888</v>
      </c>
      <c r="C1090" s="34" t="s">
        <v>150</v>
      </c>
      <c r="D1090" s="34" t="s">
        <v>120</v>
      </c>
      <c r="E1090" s="35"/>
      <c r="F1090" s="36">
        <f t="shared" ref="F1090:F1153" si="362">IFERROR(E1090/$AO1090,0)</f>
        <v>0</v>
      </c>
      <c r="G1090" s="38"/>
      <c r="H1090" s="36">
        <f t="shared" ref="H1090:H1153" si="363">IFERROR(G1090/$AP1090,0)</f>
        <v>0</v>
      </c>
      <c r="I1090" s="35"/>
      <c r="J1090" s="36">
        <f t="shared" ref="J1090:J1153" si="364">IFERROR(I1090/$AO1090,0)</f>
        <v>0</v>
      </c>
      <c r="K1090" s="38"/>
      <c r="L1090" s="36">
        <f t="shared" ref="L1090:L1153" si="365">IFERROR(K1090/$AP1090,0)</f>
        <v>0</v>
      </c>
      <c r="M1090" s="35"/>
      <c r="N1090" s="36">
        <f t="shared" si="355"/>
        <v>0</v>
      </c>
      <c r="O1090" s="38"/>
      <c r="P1090" s="36">
        <f t="shared" ref="P1090:P1153" si="366">IFERROR(O1090/$AP1090,0)</f>
        <v>0</v>
      </c>
      <c r="Q1090" s="35"/>
      <c r="R1090" s="36">
        <f t="shared" si="356"/>
        <v>0</v>
      </c>
      <c r="S1090" s="38"/>
      <c r="T1090" s="36">
        <f t="shared" ref="T1090:T1153" si="367">IFERROR(S1090/$AP1090,0)</f>
        <v>0</v>
      </c>
      <c r="U1090" s="35"/>
      <c r="V1090" s="36">
        <f t="shared" si="357"/>
        <v>0</v>
      </c>
      <c r="W1090" s="38"/>
      <c r="X1090" s="36">
        <f t="shared" ref="X1090:X1153" si="368">IFERROR(W1090/$AP1090,0)</f>
        <v>0</v>
      </c>
      <c r="Y1090" s="35"/>
      <c r="Z1090" s="36">
        <f t="shared" si="358"/>
        <v>0</v>
      </c>
      <c r="AA1090" s="38"/>
      <c r="AB1090" s="36">
        <f t="shared" ref="AB1090:AB1153" si="369">IFERROR(AA1090/$AP1090,0)</f>
        <v>0</v>
      </c>
      <c r="AC1090" s="35"/>
      <c r="AD1090" s="36">
        <f t="shared" si="359"/>
        <v>0</v>
      </c>
      <c r="AE1090" s="38"/>
      <c r="AF1090" s="36">
        <f t="shared" ref="AF1090:AF1153" si="370">IFERROR(AE1090/$AP1090,0)</f>
        <v>0</v>
      </c>
      <c r="AG1090" s="35"/>
      <c r="AH1090" s="36">
        <f t="shared" si="360"/>
        <v>0</v>
      </c>
      <c r="AI1090" s="38"/>
      <c r="AJ1090" s="36">
        <f t="shared" ref="AJ1090:AJ1153" si="371">IFERROR(AI1090/$AP1090,0)</f>
        <v>0</v>
      </c>
      <c r="AK1090" s="35"/>
      <c r="AL1090" s="36">
        <f t="shared" si="361"/>
        <v>0</v>
      </c>
      <c r="AM1090" s="38"/>
      <c r="AN1090" s="36">
        <f t="shared" ref="AN1090:AN1153" si="372">IFERROR(AM1090/$AP1090,0)</f>
        <v>0</v>
      </c>
      <c r="AO1090" s="35"/>
      <c r="AP1090" s="38"/>
    </row>
    <row r="1091" spans="1:42" ht="15.75" customHeight="1" x14ac:dyDescent="0.25">
      <c r="A1091" s="37">
        <v>2017</v>
      </c>
      <c r="B1091" s="35">
        <v>171889</v>
      </c>
      <c r="C1091" s="34" t="s">
        <v>146</v>
      </c>
      <c r="D1091" s="34" t="s">
        <v>121</v>
      </c>
      <c r="E1091" s="35"/>
      <c r="F1091" s="36">
        <f t="shared" si="362"/>
        <v>0</v>
      </c>
      <c r="G1091" s="38"/>
      <c r="H1091" s="36">
        <f t="shared" si="363"/>
        <v>0</v>
      </c>
      <c r="I1091" s="35"/>
      <c r="J1091" s="36">
        <f t="shared" si="364"/>
        <v>0</v>
      </c>
      <c r="K1091" s="38"/>
      <c r="L1091" s="36">
        <f t="shared" si="365"/>
        <v>0</v>
      </c>
      <c r="M1091" s="35"/>
      <c r="N1091" s="36">
        <f t="shared" si="355"/>
        <v>0</v>
      </c>
      <c r="O1091" s="38"/>
      <c r="P1091" s="36">
        <f t="shared" si="366"/>
        <v>0</v>
      </c>
      <c r="Q1091" s="35"/>
      <c r="R1091" s="36">
        <f t="shared" si="356"/>
        <v>0</v>
      </c>
      <c r="S1091" s="38"/>
      <c r="T1091" s="36">
        <f t="shared" si="367"/>
        <v>0</v>
      </c>
      <c r="U1091" s="35"/>
      <c r="V1091" s="36">
        <f t="shared" si="357"/>
        <v>0</v>
      </c>
      <c r="W1091" s="38"/>
      <c r="X1091" s="36">
        <f t="shared" si="368"/>
        <v>0</v>
      </c>
      <c r="Y1091" s="35"/>
      <c r="Z1091" s="36">
        <f t="shared" si="358"/>
        <v>0</v>
      </c>
      <c r="AA1091" s="38"/>
      <c r="AB1091" s="36">
        <f t="shared" si="369"/>
        <v>0</v>
      </c>
      <c r="AC1091" s="35"/>
      <c r="AD1091" s="36">
        <f t="shared" si="359"/>
        <v>0</v>
      </c>
      <c r="AE1091" s="38"/>
      <c r="AF1091" s="36">
        <f t="shared" si="370"/>
        <v>0</v>
      </c>
      <c r="AG1091" s="35"/>
      <c r="AH1091" s="36">
        <f t="shared" si="360"/>
        <v>0</v>
      </c>
      <c r="AI1091" s="38"/>
      <c r="AJ1091" s="36">
        <f t="shared" si="371"/>
        <v>0</v>
      </c>
      <c r="AK1091" s="35"/>
      <c r="AL1091" s="36">
        <f t="shared" si="361"/>
        <v>0</v>
      </c>
      <c r="AM1091" s="38"/>
      <c r="AN1091" s="36">
        <f t="shared" si="372"/>
        <v>0</v>
      </c>
      <c r="AO1091" s="35"/>
      <c r="AP1091" s="38"/>
    </row>
    <row r="1092" spans="1:42" ht="15.75" customHeight="1" x14ac:dyDescent="0.25">
      <c r="A1092" s="37">
        <v>2017</v>
      </c>
      <c r="B1092" s="35">
        <v>171890</v>
      </c>
      <c r="C1092" s="34" t="s">
        <v>151</v>
      </c>
      <c r="D1092" s="34" t="s">
        <v>122</v>
      </c>
      <c r="E1092" s="35"/>
      <c r="F1092" s="36">
        <f t="shared" si="362"/>
        <v>0</v>
      </c>
      <c r="G1092" s="38"/>
      <c r="H1092" s="36">
        <f t="shared" si="363"/>
        <v>0</v>
      </c>
      <c r="I1092" s="35"/>
      <c r="J1092" s="36">
        <f t="shared" si="364"/>
        <v>0</v>
      </c>
      <c r="K1092" s="38"/>
      <c r="L1092" s="36">
        <f t="shared" si="365"/>
        <v>0</v>
      </c>
      <c r="M1092" s="35"/>
      <c r="N1092" s="36">
        <f t="shared" si="355"/>
        <v>0</v>
      </c>
      <c r="O1092" s="38"/>
      <c r="P1092" s="36">
        <f t="shared" si="366"/>
        <v>0</v>
      </c>
      <c r="Q1092" s="35"/>
      <c r="R1092" s="36">
        <f t="shared" si="356"/>
        <v>0</v>
      </c>
      <c r="S1092" s="38"/>
      <c r="T1092" s="36">
        <f t="shared" si="367"/>
        <v>0</v>
      </c>
      <c r="U1092" s="35"/>
      <c r="V1092" s="36">
        <f t="shared" si="357"/>
        <v>0</v>
      </c>
      <c r="W1092" s="38"/>
      <c r="X1092" s="36">
        <f t="shared" si="368"/>
        <v>0</v>
      </c>
      <c r="Y1092" s="35"/>
      <c r="Z1092" s="36">
        <f t="shared" si="358"/>
        <v>0</v>
      </c>
      <c r="AA1092" s="38"/>
      <c r="AB1092" s="36">
        <f t="shared" si="369"/>
        <v>0</v>
      </c>
      <c r="AC1092" s="35"/>
      <c r="AD1092" s="36">
        <f t="shared" si="359"/>
        <v>0</v>
      </c>
      <c r="AE1092" s="38"/>
      <c r="AF1092" s="36">
        <f t="shared" si="370"/>
        <v>0</v>
      </c>
      <c r="AG1092" s="35"/>
      <c r="AH1092" s="36">
        <f t="shared" si="360"/>
        <v>0</v>
      </c>
      <c r="AI1092" s="38"/>
      <c r="AJ1092" s="36">
        <f t="shared" si="371"/>
        <v>0</v>
      </c>
      <c r="AK1092" s="35"/>
      <c r="AL1092" s="36">
        <f t="shared" si="361"/>
        <v>0</v>
      </c>
      <c r="AM1092" s="38"/>
      <c r="AN1092" s="36">
        <f t="shared" si="372"/>
        <v>0</v>
      </c>
      <c r="AO1092" s="35"/>
      <c r="AP1092" s="38"/>
    </row>
    <row r="1093" spans="1:42" ht="15.75" customHeight="1" x14ac:dyDescent="0.25">
      <c r="A1093" s="37">
        <v>2017</v>
      </c>
      <c r="B1093" s="35">
        <v>171900</v>
      </c>
      <c r="C1093" s="34" t="s">
        <v>148</v>
      </c>
      <c r="D1093" s="34" t="s">
        <v>123</v>
      </c>
      <c r="E1093" s="35"/>
      <c r="F1093" s="36">
        <f t="shared" si="362"/>
        <v>0</v>
      </c>
      <c r="G1093" s="38"/>
      <c r="H1093" s="36">
        <f t="shared" si="363"/>
        <v>0</v>
      </c>
      <c r="I1093" s="35"/>
      <c r="J1093" s="36">
        <f t="shared" si="364"/>
        <v>0</v>
      </c>
      <c r="K1093" s="38"/>
      <c r="L1093" s="36">
        <f t="shared" si="365"/>
        <v>0</v>
      </c>
      <c r="M1093" s="35"/>
      <c r="N1093" s="36">
        <f t="shared" si="355"/>
        <v>0</v>
      </c>
      <c r="O1093" s="38"/>
      <c r="P1093" s="36">
        <f t="shared" si="366"/>
        <v>0</v>
      </c>
      <c r="Q1093" s="35"/>
      <c r="R1093" s="36">
        <f t="shared" si="356"/>
        <v>0</v>
      </c>
      <c r="S1093" s="38"/>
      <c r="T1093" s="36">
        <f t="shared" si="367"/>
        <v>0</v>
      </c>
      <c r="U1093" s="35"/>
      <c r="V1093" s="36">
        <f t="shared" si="357"/>
        <v>0</v>
      </c>
      <c r="W1093" s="38"/>
      <c r="X1093" s="36">
        <f t="shared" si="368"/>
        <v>0</v>
      </c>
      <c r="Y1093" s="35"/>
      <c r="Z1093" s="36">
        <f t="shared" si="358"/>
        <v>0</v>
      </c>
      <c r="AA1093" s="38"/>
      <c r="AB1093" s="36">
        <f t="shared" si="369"/>
        <v>0</v>
      </c>
      <c r="AC1093" s="35"/>
      <c r="AD1093" s="36">
        <f t="shared" si="359"/>
        <v>0</v>
      </c>
      <c r="AE1093" s="38"/>
      <c r="AF1093" s="36">
        <f t="shared" si="370"/>
        <v>0</v>
      </c>
      <c r="AG1093" s="35"/>
      <c r="AH1093" s="36">
        <f t="shared" si="360"/>
        <v>0</v>
      </c>
      <c r="AI1093" s="38"/>
      <c r="AJ1093" s="36">
        <f t="shared" si="371"/>
        <v>0</v>
      </c>
      <c r="AK1093" s="35"/>
      <c r="AL1093" s="36">
        <f t="shared" si="361"/>
        <v>0</v>
      </c>
      <c r="AM1093" s="38"/>
      <c r="AN1093" s="36">
        <f t="shared" si="372"/>
        <v>0</v>
      </c>
      <c r="AO1093" s="35"/>
      <c r="AP1093" s="38"/>
    </row>
    <row r="1094" spans="1:42" ht="15.75" customHeight="1" x14ac:dyDescent="0.25">
      <c r="A1094" s="37">
        <v>2017</v>
      </c>
      <c r="B1094" s="35">
        <v>172000</v>
      </c>
      <c r="C1094" s="34" t="s">
        <v>145</v>
      </c>
      <c r="D1094" s="34" t="s">
        <v>124</v>
      </c>
      <c r="E1094" s="35"/>
      <c r="F1094" s="36">
        <f t="shared" si="362"/>
        <v>0</v>
      </c>
      <c r="G1094" s="38"/>
      <c r="H1094" s="36">
        <f t="shared" si="363"/>
        <v>0</v>
      </c>
      <c r="I1094" s="35"/>
      <c r="J1094" s="36">
        <f t="shared" si="364"/>
        <v>0</v>
      </c>
      <c r="K1094" s="38"/>
      <c r="L1094" s="36">
        <f t="shared" si="365"/>
        <v>0</v>
      </c>
      <c r="M1094" s="35"/>
      <c r="N1094" s="36">
        <f t="shared" si="355"/>
        <v>0</v>
      </c>
      <c r="O1094" s="38"/>
      <c r="P1094" s="36">
        <f t="shared" si="366"/>
        <v>0</v>
      </c>
      <c r="Q1094" s="35"/>
      <c r="R1094" s="36">
        <f t="shared" si="356"/>
        <v>0</v>
      </c>
      <c r="S1094" s="38"/>
      <c r="T1094" s="36">
        <f t="shared" si="367"/>
        <v>0</v>
      </c>
      <c r="U1094" s="35"/>
      <c r="V1094" s="36">
        <f t="shared" si="357"/>
        <v>0</v>
      </c>
      <c r="W1094" s="38"/>
      <c r="X1094" s="36">
        <f t="shared" si="368"/>
        <v>0</v>
      </c>
      <c r="Y1094" s="35"/>
      <c r="Z1094" s="36">
        <f t="shared" si="358"/>
        <v>0</v>
      </c>
      <c r="AA1094" s="38"/>
      <c r="AB1094" s="36">
        <f t="shared" si="369"/>
        <v>0</v>
      </c>
      <c r="AC1094" s="35"/>
      <c r="AD1094" s="36">
        <f t="shared" si="359"/>
        <v>0</v>
      </c>
      <c r="AE1094" s="38"/>
      <c r="AF1094" s="36">
        <f t="shared" si="370"/>
        <v>0</v>
      </c>
      <c r="AG1094" s="35"/>
      <c r="AH1094" s="36">
        <f t="shared" si="360"/>
        <v>0</v>
      </c>
      <c r="AI1094" s="38"/>
      <c r="AJ1094" s="36">
        <f t="shared" si="371"/>
        <v>0</v>
      </c>
      <c r="AK1094" s="35"/>
      <c r="AL1094" s="36">
        <f t="shared" si="361"/>
        <v>0</v>
      </c>
      <c r="AM1094" s="38"/>
      <c r="AN1094" s="36">
        <f t="shared" si="372"/>
        <v>0</v>
      </c>
      <c r="AO1094" s="35"/>
      <c r="AP1094" s="38"/>
    </row>
    <row r="1095" spans="1:42" ht="15.75" customHeight="1" x14ac:dyDescent="0.25">
      <c r="A1095" s="37">
        <v>2017</v>
      </c>
      <c r="B1095" s="35">
        <v>172010</v>
      </c>
      <c r="C1095" s="34" t="s">
        <v>145</v>
      </c>
      <c r="D1095" s="34" t="s">
        <v>125</v>
      </c>
      <c r="E1095" s="35"/>
      <c r="F1095" s="36">
        <f t="shared" si="362"/>
        <v>0</v>
      </c>
      <c r="G1095" s="38"/>
      <c r="H1095" s="36">
        <f t="shared" si="363"/>
        <v>0</v>
      </c>
      <c r="I1095" s="35"/>
      <c r="J1095" s="36">
        <f t="shared" si="364"/>
        <v>0</v>
      </c>
      <c r="K1095" s="38"/>
      <c r="L1095" s="36">
        <f t="shared" si="365"/>
        <v>0</v>
      </c>
      <c r="M1095" s="35"/>
      <c r="N1095" s="36">
        <f t="shared" si="355"/>
        <v>0</v>
      </c>
      <c r="O1095" s="38"/>
      <c r="P1095" s="36">
        <f t="shared" si="366"/>
        <v>0</v>
      </c>
      <c r="Q1095" s="35"/>
      <c r="R1095" s="36">
        <f t="shared" si="356"/>
        <v>0</v>
      </c>
      <c r="S1095" s="38"/>
      <c r="T1095" s="36">
        <f t="shared" si="367"/>
        <v>0</v>
      </c>
      <c r="U1095" s="35"/>
      <c r="V1095" s="36">
        <f t="shared" si="357"/>
        <v>0</v>
      </c>
      <c r="W1095" s="38"/>
      <c r="X1095" s="36">
        <f t="shared" si="368"/>
        <v>0</v>
      </c>
      <c r="Y1095" s="35"/>
      <c r="Z1095" s="36">
        <f t="shared" si="358"/>
        <v>0</v>
      </c>
      <c r="AA1095" s="38"/>
      <c r="AB1095" s="36">
        <f t="shared" si="369"/>
        <v>0</v>
      </c>
      <c r="AC1095" s="35"/>
      <c r="AD1095" s="36">
        <f t="shared" si="359"/>
        <v>0</v>
      </c>
      <c r="AE1095" s="38"/>
      <c r="AF1095" s="36">
        <f t="shared" si="370"/>
        <v>0</v>
      </c>
      <c r="AG1095" s="35"/>
      <c r="AH1095" s="36">
        <f t="shared" si="360"/>
        <v>0</v>
      </c>
      <c r="AI1095" s="38"/>
      <c r="AJ1095" s="36">
        <f t="shared" si="371"/>
        <v>0</v>
      </c>
      <c r="AK1095" s="35"/>
      <c r="AL1095" s="36">
        <f t="shared" si="361"/>
        <v>0</v>
      </c>
      <c r="AM1095" s="38"/>
      <c r="AN1095" s="36">
        <f t="shared" si="372"/>
        <v>0</v>
      </c>
      <c r="AO1095" s="35"/>
      <c r="AP1095" s="38"/>
    </row>
    <row r="1096" spans="1:42" ht="15.75" customHeight="1" x14ac:dyDescent="0.25">
      <c r="A1096" s="37">
        <v>2017</v>
      </c>
      <c r="B1096" s="35">
        <v>172015</v>
      </c>
      <c r="C1096" s="34" t="s">
        <v>148</v>
      </c>
      <c r="D1096" s="34" t="s">
        <v>126</v>
      </c>
      <c r="E1096" s="35"/>
      <c r="F1096" s="36">
        <f t="shared" si="362"/>
        <v>0</v>
      </c>
      <c r="G1096" s="38"/>
      <c r="H1096" s="36">
        <f t="shared" si="363"/>
        <v>0</v>
      </c>
      <c r="I1096" s="35"/>
      <c r="J1096" s="36">
        <f t="shared" si="364"/>
        <v>0</v>
      </c>
      <c r="K1096" s="38"/>
      <c r="L1096" s="36">
        <f t="shared" si="365"/>
        <v>0</v>
      </c>
      <c r="M1096" s="35"/>
      <c r="N1096" s="36">
        <f t="shared" si="355"/>
        <v>0</v>
      </c>
      <c r="O1096" s="38"/>
      <c r="P1096" s="36">
        <f t="shared" si="366"/>
        <v>0</v>
      </c>
      <c r="Q1096" s="35"/>
      <c r="R1096" s="36">
        <f t="shared" si="356"/>
        <v>0</v>
      </c>
      <c r="S1096" s="38"/>
      <c r="T1096" s="36">
        <f t="shared" si="367"/>
        <v>0</v>
      </c>
      <c r="U1096" s="35"/>
      <c r="V1096" s="36">
        <f t="shared" si="357"/>
        <v>0</v>
      </c>
      <c r="W1096" s="38"/>
      <c r="X1096" s="36">
        <f t="shared" si="368"/>
        <v>0</v>
      </c>
      <c r="Y1096" s="35"/>
      <c r="Z1096" s="36">
        <f t="shared" si="358"/>
        <v>0</v>
      </c>
      <c r="AA1096" s="38"/>
      <c r="AB1096" s="36">
        <f t="shared" si="369"/>
        <v>0</v>
      </c>
      <c r="AC1096" s="35"/>
      <c r="AD1096" s="36">
        <f t="shared" si="359"/>
        <v>0</v>
      </c>
      <c r="AE1096" s="38"/>
      <c r="AF1096" s="36">
        <f t="shared" si="370"/>
        <v>0</v>
      </c>
      <c r="AG1096" s="35"/>
      <c r="AH1096" s="36">
        <f t="shared" si="360"/>
        <v>0</v>
      </c>
      <c r="AI1096" s="38"/>
      <c r="AJ1096" s="36">
        <f t="shared" si="371"/>
        <v>0</v>
      </c>
      <c r="AK1096" s="35"/>
      <c r="AL1096" s="36">
        <f t="shared" si="361"/>
        <v>0</v>
      </c>
      <c r="AM1096" s="38"/>
      <c r="AN1096" s="36">
        <f t="shared" si="372"/>
        <v>0</v>
      </c>
      <c r="AO1096" s="35"/>
      <c r="AP1096" s="38"/>
    </row>
    <row r="1097" spans="1:42" ht="15.75" customHeight="1" x14ac:dyDescent="0.25">
      <c r="A1097" s="37">
        <v>2017</v>
      </c>
      <c r="B1097" s="35">
        <v>172020</v>
      </c>
      <c r="C1097" s="34" t="s">
        <v>145</v>
      </c>
      <c r="D1097" s="34" t="s">
        <v>127</v>
      </c>
      <c r="E1097" s="35"/>
      <c r="F1097" s="36">
        <f t="shared" si="362"/>
        <v>0</v>
      </c>
      <c r="G1097" s="38"/>
      <c r="H1097" s="36">
        <f t="shared" si="363"/>
        <v>0</v>
      </c>
      <c r="I1097" s="35"/>
      <c r="J1097" s="36">
        <f t="shared" si="364"/>
        <v>0</v>
      </c>
      <c r="K1097" s="38"/>
      <c r="L1097" s="36">
        <f t="shared" si="365"/>
        <v>0</v>
      </c>
      <c r="M1097" s="35"/>
      <c r="N1097" s="36">
        <f t="shared" si="355"/>
        <v>0</v>
      </c>
      <c r="O1097" s="38"/>
      <c r="P1097" s="36">
        <f t="shared" si="366"/>
        <v>0</v>
      </c>
      <c r="Q1097" s="35"/>
      <c r="R1097" s="36">
        <f t="shared" si="356"/>
        <v>0</v>
      </c>
      <c r="S1097" s="38"/>
      <c r="T1097" s="36">
        <f t="shared" si="367"/>
        <v>0</v>
      </c>
      <c r="U1097" s="35"/>
      <c r="V1097" s="36">
        <f t="shared" si="357"/>
        <v>0</v>
      </c>
      <c r="W1097" s="38"/>
      <c r="X1097" s="36">
        <f t="shared" si="368"/>
        <v>0</v>
      </c>
      <c r="Y1097" s="35"/>
      <c r="Z1097" s="36">
        <f t="shared" si="358"/>
        <v>0</v>
      </c>
      <c r="AA1097" s="38"/>
      <c r="AB1097" s="36">
        <f t="shared" si="369"/>
        <v>0</v>
      </c>
      <c r="AC1097" s="35"/>
      <c r="AD1097" s="36">
        <f t="shared" si="359"/>
        <v>0</v>
      </c>
      <c r="AE1097" s="38"/>
      <c r="AF1097" s="36">
        <f t="shared" si="370"/>
        <v>0</v>
      </c>
      <c r="AG1097" s="35"/>
      <c r="AH1097" s="36">
        <f t="shared" si="360"/>
        <v>0</v>
      </c>
      <c r="AI1097" s="38"/>
      <c r="AJ1097" s="36">
        <f t="shared" si="371"/>
        <v>0</v>
      </c>
      <c r="AK1097" s="35"/>
      <c r="AL1097" s="36">
        <f t="shared" si="361"/>
        <v>0</v>
      </c>
      <c r="AM1097" s="38"/>
      <c r="AN1097" s="36">
        <f t="shared" si="372"/>
        <v>0</v>
      </c>
      <c r="AO1097" s="35"/>
      <c r="AP1097" s="38"/>
    </row>
    <row r="1098" spans="1:42" ht="15.75" customHeight="1" x14ac:dyDescent="0.25">
      <c r="A1098" s="37">
        <v>2017</v>
      </c>
      <c r="B1098" s="35">
        <v>172025</v>
      </c>
      <c r="C1098" s="34" t="s">
        <v>146</v>
      </c>
      <c r="D1098" s="34" t="s">
        <v>128</v>
      </c>
      <c r="E1098" s="35"/>
      <c r="F1098" s="36">
        <f t="shared" si="362"/>
        <v>0</v>
      </c>
      <c r="G1098" s="38"/>
      <c r="H1098" s="36">
        <f t="shared" si="363"/>
        <v>0</v>
      </c>
      <c r="I1098" s="35"/>
      <c r="J1098" s="36">
        <f t="shared" si="364"/>
        <v>0</v>
      </c>
      <c r="K1098" s="38"/>
      <c r="L1098" s="36">
        <f t="shared" si="365"/>
        <v>0</v>
      </c>
      <c r="M1098" s="35"/>
      <c r="N1098" s="36">
        <f t="shared" si="355"/>
        <v>0</v>
      </c>
      <c r="O1098" s="38"/>
      <c r="P1098" s="36">
        <f t="shared" si="366"/>
        <v>0</v>
      </c>
      <c r="Q1098" s="35"/>
      <c r="R1098" s="36">
        <f t="shared" si="356"/>
        <v>0</v>
      </c>
      <c r="S1098" s="38"/>
      <c r="T1098" s="36">
        <f t="shared" si="367"/>
        <v>0</v>
      </c>
      <c r="U1098" s="35"/>
      <c r="V1098" s="36">
        <f t="shared" si="357"/>
        <v>0</v>
      </c>
      <c r="W1098" s="38"/>
      <c r="X1098" s="36">
        <f t="shared" si="368"/>
        <v>0</v>
      </c>
      <c r="Y1098" s="35"/>
      <c r="Z1098" s="36">
        <f t="shared" si="358"/>
        <v>0</v>
      </c>
      <c r="AA1098" s="38"/>
      <c r="AB1098" s="36">
        <f t="shared" si="369"/>
        <v>0</v>
      </c>
      <c r="AC1098" s="35"/>
      <c r="AD1098" s="36">
        <f t="shared" si="359"/>
        <v>0</v>
      </c>
      <c r="AE1098" s="38"/>
      <c r="AF1098" s="36">
        <f t="shared" si="370"/>
        <v>0</v>
      </c>
      <c r="AG1098" s="35"/>
      <c r="AH1098" s="36">
        <f t="shared" si="360"/>
        <v>0</v>
      </c>
      <c r="AI1098" s="38"/>
      <c r="AJ1098" s="36">
        <f t="shared" si="371"/>
        <v>0</v>
      </c>
      <c r="AK1098" s="35"/>
      <c r="AL1098" s="36">
        <f t="shared" si="361"/>
        <v>0</v>
      </c>
      <c r="AM1098" s="38"/>
      <c r="AN1098" s="36">
        <f t="shared" si="372"/>
        <v>0</v>
      </c>
      <c r="AO1098" s="35"/>
      <c r="AP1098" s="38"/>
    </row>
    <row r="1099" spans="1:42" ht="15.75" customHeight="1" x14ac:dyDescent="0.25">
      <c r="A1099" s="37">
        <v>2017</v>
      </c>
      <c r="B1099" s="35">
        <v>172030</v>
      </c>
      <c r="C1099" s="34" t="s">
        <v>145</v>
      </c>
      <c r="D1099" s="34" t="s">
        <v>129</v>
      </c>
      <c r="E1099" s="35"/>
      <c r="F1099" s="36">
        <f t="shared" si="362"/>
        <v>0</v>
      </c>
      <c r="G1099" s="38"/>
      <c r="H1099" s="36">
        <f t="shared" si="363"/>
        <v>0</v>
      </c>
      <c r="I1099" s="35"/>
      <c r="J1099" s="36">
        <f t="shared" si="364"/>
        <v>0</v>
      </c>
      <c r="K1099" s="38"/>
      <c r="L1099" s="36">
        <f t="shared" si="365"/>
        <v>0</v>
      </c>
      <c r="M1099" s="35"/>
      <c r="N1099" s="36">
        <f t="shared" si="355"/>
        <v>0</v>
      </c>
      <c r="O1099" s="38"/>
      <c r="P1099" s="36">
        <f t="shared" si="366"/>
        <v>0</v>
      </c>
      <c r="Q1099" s="35"/>
      <c r="R1099" s="36">
        <f t="shared" si="356"/>
        <v>0</v>
      </c>
      <c r="S1099" s="38"/>
      <c r="T1099" s="36">
        <f t="shared" si="367"/>
        <v>0</v>
      </c>
      <c r="U1099" s="35"/>
      <c r="V1099" s="36">
        <f t="shared" si="357"/>
        <v>0</v>
      </c>
      <c r="W1099" s="38"/>
      <c r="X1099" s="36">
        <f t="shared" si="368"/>
        <v>0</v>
      </c>
      <c r="Y1099" s="35"/>
      <c r="Z1099" s="36">
        <f t="shared" si="358"/>
        <v>0</v>
      </c>
      <c r="AA1099" s="38"/>
      <c r="AB1099" s="36">
        <f t="shared" si="369"/>
        <v>0</v>
      </c>
      <c r="AC1099" s="35"/>
      <c r="AD1099" s="36">
        <f t="shared" si="359"/>
        <v>0</v>
      </c>
      <c r="AE1099" s="38"/>
      <c r="AF1099" s="36">
        <f t="shared" si="370"/>
        <v>0</v>
      </c>
      <c r="AG1099" s="35"/>
      <c r="AH1099" s="36">
        <f t="shared" si="360"/>
        <v>0</v>
      </c>
      <c r="AI1099" s="38"/>
      <c r="AJ1099" s="36">
        <f t="shared" si="371"/>
        <v>0</v>
      </c>
      <c r="AK1099" s="35"/>
      <c r="AL1099" s="36">
        <f t="shared" si="361"/>
        <v>0</v>
      </c>
      <c r="AM1099" s="38"/>
      <c r="AN1099" s="36">
        <f t="shared" si="372"/>
        <v>0</v>
      </c>
      <c r="AO1099" s="35"/>
      <c r="AP1099" s="38"/>
    </row>
    <row r="1100" spans="1:42" ht="15.75" customHeight="1" x14ac:dyDescent="0.25">
      <c r="A1100" s="37">
        <v>2017</v>
      </c>
      <c r="B1100" s="35">
        <v>172049</v>
      </c>
      <c r="C1100" s="34" t="s">
        <v>146</v>
      </c>
      <c r="D1100" s="34" t="s">
        <v>130</v>
      </c>
      <c r="E1100" s="35"/>
      <c r="F1100" s="36">
        <f t="shared" si="362"/>
        <v>0</v>
      </c>
      <c r="G1100" s="38"/>
      <c r="H1100" s="36">
        <f t="shared" si="363"/>
        <v>0</v>
      </c>
      <c r="I1100" s="35"/>
      <c r="J1100" s="36">
        <f t="shared" si="364"/>
        <v>0</v>
      </c>
      <c r="K1100" s="38"/>
      <c r="L1100" s="36">
        <f t="shared" si="365"/>
        <v>0</v>
      </c>
      <c r="M1100" s="35"/>
      <c r="N1100" s="36">
        <f t="shared" si="355"/>
        <v>0</v>
      </c>
      <c r="O1100" s="38"/>
      <c r="P1100" s="36">
        <f t="shared" si="366"/>
        <v>0</v>
      </c>
      <c r="Q1100" s="35"/>
      <c r="R1100" s="36">
        <f t="shared" si="356"/>
        <v>0</v>
      </c>
      <c r="S1100" s="38"/>
      <c r="T1100" s="36">
        <f t="shared" si="367"/>
        <v>0</v>
      </c>
      <c r="U1100" s="35"/>
      <c r="V1100" s="36">
        <f t="shared" si="357"/>
        <v>0</v>
      </c>
      <c r="W1100" s="38"/>
      <c r="X1100" s="36">
        <f t="shared" si="368"/>
        <v>0</v>
      </c>
      <c r="Y1100" s="35"/>
      <c r="Z1100" s="36">
        <f t="shared" si="358"/>
        <v>0</v>
      </c>
      <c r="AA1100" s="38"/>
      <c r="AB1100" s="36">
        <f t="shared" si="369"/>
        <v>0</v>
      </c>
      <c r="AC1100" s="35"/>
      <c r="AD1100" s="36">
        <f t="shared" si="359"/>
        <v>0</v>
      </c>
      <c r="AE1100" s="38"/>
      <c r="AF1100" s="36">
        <f t="shared" si="370"/>
        <v>0</v>
      </c>
      <c r="AG1100" s="35"/>
      <c r="AH1100" s="36">
        <f t="shared" si="360"/>
        <v>0</v>
      </c>
      <c r="AI1100" s="38"/>
      <c r="AJ1100" s="36">
        <f t="shared" si="371"/>
        <v>0</v>
      </c>
      <c r="AK1100" s="35"/>
      <c r="AL1100" s="36">
        <f t="shared" si="361"/>
        <v>0</v>
      </c>
      <c r="AM1100" s="38"/>
      <c r="AN1100" s="36">
        <f t="shared" si="372"/>
        <v>0</v>
      </c>
      <c r="AO1100" s="35"/>
      <c r="AP1100" s="38"/>
    </row>
    <row r="1101" spans="1:42" ht="15.75" customHeight="1" x14ac:dyDescent="0.25">
      <c r="A1101" s="37">
        <v>2017</v>
      </c>
      <c r="B1101" s="35">
        <v>172065</v>
      </c>
      <c r="C1101" s="34" t="s">
        <v>151</v>
      </c>
      <c r="D1101" s="34" t="s">
        <v>131</v>
      </c>
      <c r="E1101" s="35"/>
      <c r="F1101" s="36">
        <f t="shared" si="362"/>
        <v>0</v>
      </c>
      <c r="G1101" s="38"/>
      <c r="H1101" s="36">
        <f t="shared" si="363"/>
        <v>0</v>
      </c>
      <c r="I1101" s="35"/>
      <c r="J1101" s="36">
        <f t="shared" si="364"/>
        <v>0</v>
      </c>
      <c r="K1101" s="38"/>
      <c r="L1101" s="36">
        <f t="shared" si="365"/>
        <v>0</v>
      </c>
      <c r="M1101" s="35"/>
      <c r="N1101" s="36">
        <f t="shared" si="355"/>
        <v>0</v>
      </c>
      <c r="O1101" s="38"/>
      <c r="P1101" s="36">
        <f t="shared" si="366"/>
        <v>0</v>
      </c>
      <c r="Q1101" s="35"/>
      <c r="R1101" s="36">
        <f t="shared" si="356"/>
        <v>0</v>
      </c>
      <c r="S1101" s="38"/>
      <c r="T1101" s="36">
        <f t="shared" si="367"/>
        <v>0</v>
      </c>
      <c r="U1101" s="35"/>
      <c r="V1101" s="36">
        <f t="shared" si="357"/>
        <v>0</v>
      </c>
      <c r="W1101" s="38"/>
      <c r="X1101" s="36">
        <f t="shared" si="368"/>
        <v>0</v>
      </c>
      <c r="Y1101" s="35"/>
      <c r="Z1101" s="36">
        <f t="shared" si="358"/>
        <v>0</v>
      </c>
      <c r="AA1101" s="38"/>
      <c r="AB1101" s="36">
        <f t="shared" si="369"/>
        <v>0</v>
      </c>
      <c r="AC1101" s="35"/>
      <c r="AD1101" s="36">
        <f t="shared" si="359"/>
        <v>0</v>
      </c>
      <c r="AE1101" s="38"/>
      <c r="AF1101" s="36">
        <f t="shared" si="370"/>
        <v>0</v>
      </c>
      <c r="AG1101" s="35"/>
      <c r="AH1101" s="36">
        <f t="shared" si="360"/>
        <v>0</v>
      </c>
      <c r="AI1101" s="38"/>
      <c r="AJ1101" s="36">
        <f t="shared" si="371"/>
        <v>0</v>
      </c>
      <c r="AK1101" s="35"/>
      <c r="AL1101" s="36">
        <f t="shared" si="361"/>
        <v>0</v>
      </c>
      <c r="AM1101" s="38"/>
      <c r="AN1101" s="36">
        <f t="shared" si="372"/>
        <v>0</v>
      </c>
      <c r="AO1101" s="35"/>
      <c r="AP1101" s="38"/>
    </row>
    <row r="1102" spans="1:42" ht="15.75" customHeight="1" x14ac:dyDescent="0.25">
      <c r="A1102" s="37">
        <v>2017</v>
      </c>
      <c r="B1102" s="35">
        <v>172080</v>
      </c>
      <c r="C1102" s="34" t="s">
        <v>145</v>
      </c>
      <c r="D1102" s="34" t="s">
        <v>132</v>
      </c>
      <c r="E1102" s="35"/>
      <c r="F1102" s="36">
        <f t="shared" si="362"/>
        <v>0</v>
      </c>
      <c r="G1102" s="38"/>
      <c r="H1102" s="36">
        <f t="shared" si="363"/>
        <v>0</v>
      </c>
      <c r="I1102" s="35"/>
      <c r="J1102" s="36">
        <f t="shared" si="364"/>
        <v>0</v>
      </c>
      <c r="K1102" s="38"/>
      <c r="L1102" s="36">
        <f t="shared" si="365"/>
        <v>0</v>
      </c>
      <c r="M1102" s="35"/>
      <c r="N1102" s="36">
        <f t="shared" ref="N1102:N1130" si="373">IFERROR(M1102/$AO1102,0)</f>
        <v>0</v>
      </c>
      <c r="O1102" s="38"/>
      <c r="P1102" s="36">
        <f t="shared" si="366"/>
        <v>0</v>
      </c>
      <c r="Q1102" s="35"/>
      <c r="R1102" s="36">
        <f t="shared" ref="R1102:R1130" si="374">IFERROR(Q1102/$AO1102,0)</f>
        <v>0</v>
      </c>
      <c r="S1102" s="38"/>
      <c r="T1102" s="36">
        <f t="shared" si="367"/>
        <v>0</v>
      </c>
      <c r="U1102" s="35"/>
      <c r="V1102" s="36">
        <f t="shared" ref="V1102:V1130" si="375">IFERROR(U1102/$AO1102,0)</f>
        <v>0</v>
      </c>
      <c r="W1102" s="38"/>
      <c r="X1102" s="36">
        <f t="shared" si="368"/>
        <v>0</v>
      </c>
      <c r="Y1102" s="35"/>
      <c r="Z1102" s="36">
        <f t="shared" ref="Z1102:Z1130" si="376">IFERROR(Y1102/$AO1102,0)</f>
        <v>0</v>
      </c>
      <c r="AA1102" s="38"/>
      <c r="AB1102" s="36">
        <f t="shared" si="369"/>
        <v>0</v>
      </c>
      <c r="AC1102" s="35"/>
      <c r="AD1102" s="36">
        <f t="shared" ref="AD1102:AD1130" si="377">IFERROR(AC1102/$AO1102,0)</f>
        <v>0</v>
      </c>
      <c r="AE1102" s="38"/>
      <c r="AF1102" s="36">
        <f t="shared" si="370"/>
        <v>0</v>
      </c>
      <c r="AG1102" s="35"/>
      <c r="AH1102" s="36">
        <f t="shared" ref="AH1102:AH1130" si="378">IFERROR(AG1102/$AO1102,0)</f>
        <v>0</v>
      </c>
      <c r="AI1102" s="38"/>
      <c r="AJ1102" s="36">
        <f t="shared" si="371"/>
        <v>0</v>
      </c>
      <c r="AK1102" s="35"/>
      <c r="AL1102" s="36">
        <f t="shared" ref="AL1102:AL1130" si="379">IFERROR(AK1102/$AO1102,0)</f>
        <v>0</v>
      </c>
      <c r="AM1102" s="38"/>
      <c r="AN1102" s="36">
        <f t="shared" si="372"/>
        <v>0</v>
      </c>
      <c r="AO1102" s="35"/>
      <c r="AP1102" s="38"/>
    </row>
    <row r="1103" spans="1:42" ht="15.75" customHeight="1" x14ac:dyDescent="0.25">
      <c r="A1103" s="37">
        <v>2017</v>
      </c>
      <c r="B1103" s="35">
        <v>172085</v>
      </c>
      <c r="C1103" s="34" t="s">
        <v>146</v>
      </c>
      <c r="D1103" s="34" t="s">
        <v>133</v>
      </c>
      <c r="E1103" s="35"/>
      <c r="F1103" s="36">
        <f t="shared" si="362"/>
        <v>0</v>
      </c>
      <c r="G1103" s="38"/>
      <c r="H1103" s="36">
        <f t="shared" si="363"/>
        <v>0</v>
      </c>
      <c r="I1103" s="35"/>
      <c r="J1103" s="36">
        <f t="shared" si="364"/>
        <v>0</v>
      </c>
      <c r="K1103" s="38"/>
      <c r="L1103" s="36">
        <f t="shared" si="365"/>
        <v>0</v>
      </c>
      <c r="M1103" s="35"/>
      <c r="N1103" s="36">
        <f t="shared" si="373"/>
        <v>0</v>
      </c>
      <c r="O1103" s="38"/>
      <c r="P1103" s="36">
        <f t="shared" si="366"/>
        <v>0</v>
      </c>
      <c r="Q1103" s="35"/>
      <c r="R1103" s="36">
        <f t="shared" si="374"/>
        <v>0</v>
      </c>
      <c r="S1103" s="38"/>
      <c r="T1103" s="36">
        <f t="shared" si="367"/>
        <v>0</v>
      </c>
      <c r="U1103" s="35"/>
      <c r="V1103" s="36">
        <f t="shared" si="375"/>
        <v>0</v>
      </c>
      <c r="W1103" s="38"/>
      <c r="X1103" s="36">
        <f t="shared" si="368"/>
        <v>0</v>
      </c>
      <c r="Y1103" s="35"/>
      <c r="Z1103" s="36">
        <f t="shared" si="376"/>
        <v>0</v>
      </c>
      <c r="AA1103" s="38"/>
      <c r="AB1103" s="36">
        <f t="shared" si="369"/>
        <v>0</v>
      </c>
      <c r="AC1103" s="35"/>
      <c r="AD1103" s="36">
        <f t="shared" si="377"/>
        <v>0</v>
      </c>
      <c r="AE1103" s="38"/>
      <c r="AF1103" s="36">
        <f t="shared" si="370"/>
        <v>0</v>
      </c>
      <c r="AG1103" s="35"/>
      <c r="AH1103" s="36">
        <f t="shared" si="378"/>
        <v>0</v>
      </c>
      <c r="AI1103" s="38"/>
      <c r="AJ1103" s="36">
        <f t="shared" si="371"/>
        <v>0</v>
      </c>
      <c r="AK1103" s="35"/>
      <c r="AL1103" s="36">
        <f t="shared" si="379"/>
        <v>0</v>
      </c>
      <c r="AM1103" s="38"/>
      <c r="AN1103" s="36">
        <f t="shared" si="372"/>
        <v>0</v>
      </c>
      <c r="AO1103" s="35"/>
      <c r="AP1103" s="38"/>
    </row>
    <row r="1104" spans="1:42" ht="15.75" customHeight="1" x14ac:dyDescent="0.25">
      <c r="A1104" s="37">
        <v>2017</v>
      </c>
      <c r="B1104" s="35">
        <v>170825</v>
      </c>
      <c r="C1104" s="34" t="s">
        <v>148</v>
      </c>
      <c r="D1104" s="34" t="s">
        <v>134</v>
      </c>
      <c r="E1104" s="35"/>
      <c r="F1104" s="36">
        <f t="shared" si="362"/>
        <v>0</v>
      </c>
      <c r="G1104" s="38"/>
      <c r="H1104" s="36">
        <f t="shared" si="363"/>
        <v>0</v>
      </c>
      <c r="I1104" s="35"/>
      <c r="J1104" s="36">
        <f t="shared" si="364"/>
        <v>0</v>
      </c>
      <c r="K1104" s="38"/>
      <c r="L1104" s="36">
        <f t="shared" si="365"/>
        <v>0</v>
      </c>
      <c r="M1104" s="35"/>
      <c r="N1104" s="36">
        <f t="shared" si="373"/>
        <v>0</v>
      </c>
      <c r="O1104" s="38"/>
      <c r="P1104" s="36">
        <f t="shared" si="366"/>
        <v>0</v>
      </c>
      <c r="Q1104" s="35"/>
      <c r="R1104" s="36">
        <f t="shared" si="374"/>
        <v>0</v>
      </c>
      <c r="S1104" s="38"/>
      <c r="T1104" s="36">
        <f t="shared" si="367"/>
        <v>0</v>
      </c>
      <c r="U1104" s="35"/>
      <c r="V1104" s="36">
        <f t="shared" si="375"/>
        <v>0</v>
      </c>
      <c r="W1104" s="38"/>
      <c r="X1104" s="36">
        <f t="shared" si="368"/>
        <v>0</v>
      </c>
      <c r="Y1104" s="35"/>
      <c r="Z1104" s="36">
        <f t="shared" si="376"/>
        <v>0</v>
      </c>
      <c r="AA1104" s="38"/>
      <c r="AB1104" s="36">
        <f t="shared" si="369"/>
        <v>0</v>
      </c>
      <c r="AC1104" s="35"/>
      <c r="AD1104" s="36">
        <f t="shared" si="377"/>
        <v>0</v>
      </c>
      <c r="AE1104" s="38"/>
      <c r="AF1104" s="36">
        <f t="shared" si="370"/>
        <v>0</v>
      </c>
      <c r="AG1104" s="35"/>
      <c r="AH1104" s="36">
        <f t="shared" si="378"/>
        <v>0</v>
      </c>
      <c r="AI1104" s="38"/>
      <c r="AJ1104" s="36">
        <f t="shared" si="371"/>
        <v>0</v>
      </c>
      <c r="AK1104" s="35"/>
      <c r="AL1104" s="36">
        <f t="shared" si="379"/>
        <v>0</v>
      </c>
      <c r="AM1104" s="38"/>
      <c r="AN1104" s="36">
        <f t="shared" si="372"/>
        <v>0</v>
      </c>
      <c r="AO1104" s="35"/>
      <c r="AP1104" s="38"/>
    </row>
    <row r="1105" spans="1:42" ht="15.75" customHeight="1" x14ac:dyDescent="0.25">
      <c r="A1105" s="37">
        <v>2017</v>
      </c>
      <c r="B1105" s="35">
        <v>172090</v>
      </c>
      <c r="C1105" s="34" t="s">
        <v>147</v>
      </c>
      <c r="D1105" s="34" t="s">
        <v>135</v>
      </c>
      <c r="E1105" s="35"/>
      <c r="F1105" s="36">
        <f t="shared" si="362"/>
        <v>0</v>
      </c>
      <c r="G1105" s="38"/>
      <c r="H1105" s="36">
        <f t="shared" si="363"/>
        <v>0</v>
      </c>
      <c r="I1105" s="35"/>
      <c r="J1105" s="36">
        <f t="shared" si="364"/>
        <v>0</v>
      </c>
      <c r="K1105" s="38"/>
      <c r="L1105" s="36">
        <f t="shared" si="365"/>
        <v>0</v>
      </c>
      <c r="M1105" s="35"/>
      <c r="N1105" s="36">
        <f t="shared" si="373"/>
        <v>0</v>
      </c>
      <c r="O1105" s="38"/>
      <c r="P1105" s="36">
        <f t="shared" si="366"/>
        <v>0</v>
      </c>
      <c r="Q1105" s="35"/>
      <c r="R1105" s="36">
        <f t="shared" si="374"/>
        <v>0</v>
      </c>
      <c r="S1105" s="38"/>
      <c r="T1105" s="36">
        <f t="shared" si="367"/>
        <v>0</v>
      </c>
      <c r="U1105" s="35"/>
      <c r="V1105" s="36">
        <f t="shared" si="375"/>
        <v>0</v>
      </c>
      <c r="W1105" s="38"/>
      <c r="X1105" s="36">
        <f t="shared" si="368"/>
        <v>0</v>
      </c>
      <c r="Y1105" s="35"/>
      <c r="Z1105" s="36">
        <f t="shared" si="376"/>
        <v>0</v>
      </c>
      <c r="AA1105" s="38"/>
      <c r="AB1105" s="36">
        <f t="shared" si="369"/>
        <v>0</v>
      </c>
      <c r="AC1105" s="35"/>
      <c r="AD1105" s="36">
        <f t="shared" si="377"/>
        <v>0</v>
      </c>
      <c r="AE1105" s="38"/>
      <c r="AF1105" s="36">
        <f t="shared" si="370"/>
        <v>0</v>
      </c>
      <c r="AG1105" s="35"/>
      <c r="AH1105" s="36">
        <f t="shared" si="378"/>
        <v>0</v>
      </c>
      <c r="AI1105" s="38"/>
      <c r="AJ1105" s="36">
        <f t="shared" si="371"/>
        <v>0</v>
      </c>
      <c r="AK1105" s="35"/>
      <c r="AL1105" s="36">
        <f t="shared" si="379"/>
        <v>0</v>
      </c>
      <c r="AM1105" s="38"/>
      <c r="AN1105" s="36">
        <f t="shared" si="372"/>
        <v>0</v>
      </c>
      <c r="AO1105" s="35"/>
      <c r="AP1105" s="38"/>
    </row>
    <row r="1106" spans="1:42" ht="15.75" customHeight="1" x14ac:dyDescent="0.25">
      <c r="A1106" s="37">
        <v>2017</v>
      </c>
      <c r="B1106" s="35">
        <v>172093</v>
      </c>
      <c r="C1106" s="34" t="s">
        <v>147</v>
      </c>
      <c r="D1106" s="34" t="s">
        <v>136</v>
      </c>
      <c r="E1106" s="35"/>
      <c r="F1106" s="36">
        <f t="shared" si="362"/>
        <v>0</v>
      </c>
      <c r="G1106" s="38"/>
      <c r="H1106" s="36">
        <f t="shared" si="363"/>
        <v>0</v>
      </c>
      <c r="I1106" s="35"/>
      <c r="J1106" s="36">
        <f t="shared" si="364"/>
        <v>0</v>
      </c>
      <c r="K1106" s="38"/>
      <c r="L1106" s="36">
        <f t="shared" si="365"/>
        <v>0</v>
      </c>
      <c r="M1106" s="35"/>
      <c r="N1106" s="36">
        <f t="shared" si="373"/>
        <v>0</v>
      </c>
      <c r="O1106" s="38"/>
      <c r="P1106" s="36">
        <f t="shared" si="366"/>
        <v>0</v>
      </c>
      <c r="Q1106" s="35"/>
      <c r="R1106" s="36">
        <f t="shared" si="374"/>
        <v>0</v>
      </c>
      <c r="S1106" s="38"/>
      <c r="T1106" s="36">
        <f t="shared" si="367"/>
        <v>0</v>
      </c>
      <c r="U1106" s="35"/>
      <c r="V1106" s="36">
        <f t="shared" si="375"/>
        <v>0</v>
      </c>
      <c r="W1106" s="38"/>
      <c r="X1106" s="36">
        <f t="shared" si="368"/>
        <v>0</v>
      </c>
      <c r="Y1106" s="35"/>
      <c r="Z1106" s="36">
        <f t="shared" si="376"/>
        <v>0</v>
      </c>
      <c r="AA1106" s="38"/>
      <c r="AB1106" s="36">
        <f t="shared" si="369"/>
        <v>0</v>
      </c>
      <c r="AC1106" s="35"/>
      <c r="AD1106" s="36">
        <f t="shared" si="377"/>
        <v>0</v>
      </c>
      <c r="AE1106" s="38"/>
      <c r="AF1106" s="36">
        <f t="shared" si="370"/>
        <v>0</v>
      </c>
      <c r="AG1106" s="35"/>
      <c r="AH1106" s="36">
        <f t="shared" si="378"/>
        <v>0</v>
      </c>
      <c r="AI1106" s="38"/>
      <c r="AJ1106" s="36">
        <f t="shared" si="371"/>
        <v>0</v>
      </c>
      <c r="AK1106" s="35"/>
      <c r="AL1106" s="36">
        <f t="shared" si="379"/>
        <v>0</v>
      </c>
      <c r="AM1106" s="38"/>
      <c r="AN1106" s="36">
        <f t="shared" si="372"/>
        <v>0</v>
      </c>
      <c r="AO1106" s="35"/>
      <c r="AP1106" s="38"/>
    </row>
    <row r="1107" spans="1:42" ht="15.75" customHeight="1" x14ac:dyDescent="0.25">
      <c r="A1107" s="37">
        <v>2017</v>
      </c>
      <c r="B1107" s="35">
        <v>172097</v>
      </c>
      <c r="C1107" s="34" t="s">
        <v>146</v>
      </c>
      <c r="D1107" s="34" t="s">
        <v>137</v>
      </c>
      <c r="E1107" s="35"/>
      <c r="F1107" s="36">
        <f t="shared" si="362"/>
        <v>0</v>
      </c>
      <c r="G1107" s="38"/>
      <c r="H1107" s="36">
        <f t="shared" si="363"/>
        <v>0</v>
      </c>
      <c r="I1107" s="35"/>
      <c r="J1107" s="36">
        <f t="shared" si="364"/>
        <v>0</v>
      </c>
      <c r="K1107" s="38"/>
      <c r="L1107" s="36">
        <f t="shared" si="365"/>
        <v>0</v>
      </c>
      <c r="M1107" s="35"/>
      <c r="N1107" s="36">
        <f t="shared" si="373"/>
        <v>0</v>
      </c>
      <c r="O1107" s="38"/>
      <c r="P1107" s="36">
        <f t="shared" si="366"/>
        <v>0</v>
      </c>
      <c r="Q1107" s="35"/>
      <c r="R1107" s="36">
        <f t="shared" si="374"/>
        <v>0</v>
      </c>
      <c r="S1107" s="38"/>
      <c r="T1107" s="36">
        <f t="shared" si="367"/>
        <v>0</v>
      </c>
      <c r="U1107" s="35"/>
      <c r="V1107" s="36">
        <f t="shared" si="375"/>
        <v>0</v>
      </c>
      <c r="W1107" s="38"/>
      <c r="X1107" s="36">
        <f t="shared" si="368"/>
        <v>0</v>
      </c>
      <c r="Y1107" s="35"/>
      <c r="Z1107" s="36">
        <f t="shared" si="376"/>
        <v>0</v>
      </c>
      <c r="AA1107" s="38"/>
      <c r="AB1107" s="36">
        <f t="shared" si="369"/>
        <v>0</v>
      </c>
      <c r="AC1107" s="35"/>
      <c r="AD1107" s="36">
        <f t="shared" si="377"/>
        <v>0</v>
      </c>
      <c r="AE1107" s="38"/>
      <c r="AF1107" s="36">
        <f t="shared" si="370"/>
        <v>0</v>
      </c>
      <c r="AG1107" s="35"/>
      <c r="AH1107" s="36">
        <f t="shared" si="378"/>
        <v>0</v>
      </c>
      <c r="AI1107" s="38"/>
      <c r="AJ1107" s="36">
        <f t="shared" si="371"/>
        <v>0</v>
      </c>
      <c r="AK1107" s="35"/>
      <c r="AL1107" s="36">
        <f t="shared" si="379"/>
        <v>0</v>
      </c>
      <c r="AM1107" s="38"/>
      <c r="AN1107" s="36">
        <f t="shared" si="372"/>
        <v>0</v>
      </c>
      <c r="AO1107" s="35"/>
      <c r="AP1107" s="38"/>
    </row>
    <row r="1108" spans="1:42" ht="15.75" customHeight="1" x14ac:dyDescent="0.25">
      <c r="A1108" s="37">
        <v>2017</v>
      </c>
      <c r="B1108" s="35">
        <v>172110</v>
      </c>
      <c r="C1108" s="34" t="s">
        <v>148</v>
      </c>
      <c r="D1108" s="34" t="s">
        <v>138</v>
      </c>
      <c r="E1108" s="35"/>
      <c r="F1108" s="36">
        <f t="shared" si="362"/>
        <v>0</v>
      </c>
      <c r="G1108" s="38"/>
      <c r="H1108" s="36">
        <f t="shared" si="363"/>
        <v>0</v>
      </c>
      <c r="I1108" s="35"/>
      <c r="J1108" s="36">
        <f t="shared" si="364"/>
        <v>0</v>
      </c>
      <c r="K1108" s="38"/>
      <c r="L1108" s="36">
        <f t="shared" si="365"/>
        <v>0</v>
      </c>
      <c r="M1108" s="35"/>
      <c r="N1108" s="36">
        <f t="shared" si="373"/>
        <v>0</v>
      </c>
      <c r="O1108" s="38"/>
      <c r="P1108" s="36">
        <f t="shared" si="366"/>
        <v>0</v>
      </c>
      <c r="Q1108" s="35"/>
      <c r="R1108" s="36">
        <f t="shared" si="374"/>
        <v>0</v>
      </c>
      <c r="S1108" s="38"/>
      <c r="T1108" s="36">
        <f t="shared" si="367"/>
        <v>0</v>
      </c>
      <c r="U1108" s="35"/>
      <c r="V1108" s="36">
        <f t="shared" si="375"/>
        <v>0</v>
      </c>
      <c r="W1108" s="38"/>
      <c r="X1108" s="36">
        <f t="shared" si="368"/>
        <v>0</v>
      </c>
      <c r="Y1108" s="35"/>
      <c r="Z1108" s="36">
        <f t="shared" si="376"/>
        <v>0</v>
      </c>
      <c r="AA1108" s="38"/>
      <c r="AB1108" s="36">
        <f t="shared" si="369"/>
        <v>0</v>
      </c>
      <c r="AC1108" s="35"/>
      <c r="AD1108" s="36">
        <f t="shared" si="377"/>
        <v>0</v>
      </c>
      <c r="AE1108" s="38"/>
      <c r="AF1108" s="36">
        <f t="shared" si="370"/>
        <v>0</v>
      </c>
      <c r="AG1108" s="35"/>
      <c r="AH1108" s="36">
        <f t="shared" si="378"/>
        <v>0</v>
      </c>
      <c r="AI1108" s="38"/>
      <c r="AJ1108" s="36">
        <f t="shared" si="371"/>
        <v>0</v>
      </c>
      <c r="AK1108" s="35"/>
      <c r="AL1108" s="36">
        <f t="shared" si="379"/>
        <v>0</v>
      </c>
      <c r="AM1108" s="38"/>
      <c r="AN1108" s="36">
        <f t="shared" si="372"/>
        <v>0</v>
      </c>
      <c r="AO1108" s="35"/>
      <c r="AP1108" s="38"/>
    </row>
    <row r="1109" spans="1:42" ht="15.75" customHeight="1" x14ac:dyDescent="0.25">
      <c r="A1109" s="37">
        <v>2017</v>
      </c>
      <c r="B1109" s="35">
        <v>172120</v>
      </c>
      <c r="C1109" s="34" t="s">
        <v>145</v>
      </c>
      <c r="D1109" s="34" t="s">
        <v>139</v>
      </c>
      <c r="E1109" s="35"/>
      <c r="F1109" s="36">
        <f t="shared" si="362"/>
        <v>0</v>
      </c>
      <c r="G1109" s="38"/>
      <c r="H1109" s="36">
        <f t="shared" si="363"/>
        <v>0</v>
      </c>
      <c r="I1109" s="35"/>
      <c r="J1109" s="36">
        <f t="shared" si="364"/>
        <v>0</v>
      </c>
      <c r="K1109" s="38"/>
      <c r="L1109" s="36">
        <f t="shared" si="365"/>
        <v>0</v>
      </c>
      <c r="M1109" s="35"/>
      <c r="N1109" s="36">
        <f t="shared" si="373"/>
        <v>0</v>
      </c>
      <c r="O1109" s="38"/>
      <c r="P1109" s="36">
        <f t="shared" si="366"/>
        <v>0</v>
      </c>
      <c r="Q1109" s="35"/>
      <c r="R1109" s="36">
        <f t="shared" si="374"/>
        <v>0</v>
      </c>
      <c r="S1109" s="38"/>
      <c r="T1109" s="36">
        <f t="shared" si="367"/>
        <v>0</v>
      </c>
      <c r="U1109" s="35"/>
      <c r="V1109" s="36">
        <f t="shared" si="375"/>
        <v>0</v>
      </c>
      <c r="W1109" s="38"/>
      <c r="X1109" s="36">
        <f t="shared" si="368"/>
        <v>0</v>
      </c>
      <c r="Y1109" s="35"/>
      <c r="Z1109" s="36">
        <f t="shared" si="376"/>
        <v>0</v>
      </c>
      <c r="AA1109" s="38"/>
      <c r="AB1109" s="36">
        <f t="shared" si="369"/>
        <v>0</v>
      </c>
      <c r="AC1109" s="35"/>
      <c r="AD1109" s="36">
        <f t="shared" si="377"/>
        <v>0</v>
      </c>
      <c r="AE1109" s="38"/>
      <c r="AF1109" s="36">
        <f t="shared" si="370"/>
        <v>0</v>
      </c>
      <c r="AG1109" s="35"/>
      <c r="AH1109" s="36">
        <f t="shared" si="378"/>
        <v>0</v>
      </c>
      <c r="AI1109" s="38"/>
      <c r="AJ1109" s="36">
        <f t="shared" si="371"/>
        <v>0</v>
      </c>
      <c r="AK1109" s="35"/>
      <c r="AL1109" s="36">
        <f t="shared" si="379"/>
        <v>0</v>
      </c>
      <c r="AM1109" s="38"/>
      <c r="AN1109" s="36">
        <f t="shared" si="372"/>
        <v>0</v>
      </c>
      <c r="AO1109" s="35"/>
      <c r="AP1109" s="38"/>
    </row>
    <row r="1110" spans="1:42" ht="15.75" customHeight="1" x14ac:dyDescent="0.25">
      <c r="A1110" s="37">
        <v>2017</v>
      </c>
      <c r="B1110" s="35">
        <v>172125</v>
      </c>
      <c r="C1110" s="34" t="s">
        <v>150</v>
      </c>
      <c r="D1110" s="34" t="s">
        <v>140</v>
      </c>
      <c r="E1110" s="35"/>
      <c r="F1110" s="36">
        <f t="shared" si="362"/>
        <v>0</v>
      </c>
      <c r="G1110" s="38"/>
      <c r="H1110" s="36">
        <f t="shared" si="363"/>
        <v>0</v>
      </c>
      <c r="I1110" s="35"/>
      <c r="J1110" s="36">
        <f t="shared" si="364"/>
        <v>0</v>
      </c>
      <c r="K1110" s="38"/>
      <c r="L1110" s="36">
        <f t="shared" si="365"/>
        <v>0</v>
      </c>
      <c r="M1110" s="35"/>
      <c r="N1110" s="36">
        <f t="shared" si="373"/>
        <v>0</v>
      </c>
      <c r="O1110" s="38"/>
      <c r="P1110" s="36">
        <f t="shared" si="366"/>
        <v>0</v>
      </c>
      <c r="Q1110" s="35"/>
      <c r="R1110" s="36">
        <f t="shared" si="374"/>
        <v>0</v>
      </c>
      <c r="S1110" s="38"/>
      <c r="T1110" s="36">
        <f t="shared" si="367"/>
        <v>0</v>
      </c>
      <c r="U1110" s="35"/>
      <c r="V1110" s="36">
        <f t="shared" si="375"/>
        <v>0</v>
      </c>
      <c r="W1110" s="38"/>
      <c r="X1110" s="36">
        <f t="shared" si="368"/>
        <v>0</v>
      </c>
      <c r="Y1110" s="35"/>
      <c r="Z1110" s="36">
        <f t="shared" si="376"/>
        <v>0</v>
      </c>
      <c r="AA1110" s="38"/>
      <c r="AB1110" s="36">
        <f t="shared" si="369"/>
        <v>0</v>
      </c>
      <c r="AC1110" s="35"/>
      <c r="AD1110" s="36">
        <f t="shared" si="377"/>
        <v>0</v>
      </c>
      <c r="AE1110" s="38"/>
      <c r="AF1110" s="36">
        <f t="shared" si="370"/>
        <v>0</v>
      </c>
      <c r="AG1110" s="35"/>
      <c r="AH1110" s="36">
        <f t="shared" si="378"/>
        <v>0</v>
      </c>
      <c r="AI1110" s="38"/>
      <c r="AJ1110" s="36">
        <f t="shared" si="371"/>
        <v>0</v>
      </c>
      <c r="AK1110" s="35"/>
      <c r="AL1110" s="36">
        <f t="shared" si="379"/>
        <v>0</v>
      </c>
      <c r="AM1110" s="38"/>
      <c r="AN1110" s="36">
        <f t="shared" si="372"/>
        <v>0</v>
      </c>
      <c r="AO1110" s="35"/>
      <c r="AP1110" s="38"/>
    </row>
    <row r="1111" spans="1:42" ht="15.75" customHeight="1" x14ac:dyDescent="0.25">
      <c r="A1111" s="37">
        <v>2017</v>
      </c>
      <c r="B1111" s="35">
        <v>172130</v>
      </c>
      <c r="C1111" s="34" t="s">
        <v>150</v>
      </c>
      <c r="D1111" s="34" t="s">
        <v>141</v>
      </c>
      <c r="E1111" s="35"/>
      <c r="F1111" s="36">
        <f t="shared" si="362"/>
        <v>0</v>
      </c>
      <c r="G1111" s="38"/>
      <c r="H1111" s="36">
        <f t="shared" si="363"/>
        <v>0</v>
      </c>
      <c r="I1111" s="35"/>
      <c r="J1111" s="36">
        <f t="shared" si="364"/>
        <v>0</v>
      </c>
      <c r="K1111" s="38"/>
      <c r="L1111" s="36">
        <f t="shared" si="365"/>
        <v>0</v>
      </c>
      <c r="M1111" s="35"/>
      <c r="N1111" s="36">
        <f t="shared" si="373"/>
        <v>0</v>
      </c>
      <c r="O1111" s="38"/>
      <c r="P1111" s="36">
        <f t="shared" si="366"/>
        <v>0</v>
      </c>
      <c r="Q1111" s="35"/>
      <c r="R1111" s="36">
        <f t="shared" si="374"/>
        <v>0</v>
      </c>
      <c r="S1111" s="38"/>
      <c r="T1111" s="36">
        <f t="shared" si="367"/>
        <v>0</v>
      </c>
      <c r="U1111" s="35"/>
      <c r="V1111" s="36">
        <f t="shared" si="375"/>
        <v>0</v>
      </c>
      <c r="W1111" s="38"/>
      <c r="X1111" s="36">
        <f t="shared" si="368"/>
        <v>0</v>
      </c>
      <c r="Y1111" s="35"/>
      <c r="Z1111" s="36">
        <f t="shared" si="376"/>
        <v>0</v>
      </c>
      <c r="AA1111" s="38"/>
      <c r="AB1111" s="36">
        <f t="shared" si="369"/>
        <v>0</v>
      </c>
      <c r="AC1111" s="35"/>
      <c r="AD1111" s="36">
        <f t="shared" si="377"/>
        <v>0</v>
      </c>
      <c r="AE1111" s="38"/>
      <c r="AF1111" s="36">
        <f t="shared" si="370"/>
        <v>0</v>
      </c>
      <c r="AG1111" s="35"/>
      <c r="AH1111" s="36">
        <f t="shared" si="378"/>
        <v>0</v>
      </c>
      <c r="AI1111" s="38"/>
      <c r="AJ1111" s="36">
        <f t="shared" si="371"/>
        <v>0</v>
      </c>
      <c r="AK1111" s="35"/>
      <c r="AL1111" s="36">
        <f t="shared" si="379"/>
        <v>0</v>
      </c>
      <c r="AM1111" s="38"/>
      <c r="AN1111" s="36">
        <f t="shared" si="372"/>
        <v>0</v>
      </c>
      <c r="AO1111" s="35"/>
      <c r="AP1111" s="38"/>
    </row>
    <row r="1112" spans="1:42" ht="15.75" customHeight="1" x14ac:dyDescent="0.25">
      <c r="A1112" s="37">
        <v>2017</v>
      </c>
      <c r="B1112" s="35">
        <v>172208</v>
      </c>
      <c r="C1112" s="34" t="s">
        <v>149</v>
      </c>
      <c r="D1112" s="34" t="s">
        <v>142</v>
      </c>
      <c r="E1112" s="35"/>
      <c r="F1112" s="36">
        <f t="shared" si="362"/>
        <v>0</v>
      </c>
      <c r="G1112" s="38"/>
      <c r="H1112" s="36">
        <f t="shared" si="363"/>
        <v>0</v>
      </c>
      <c r="I1112" s="35"/>
      <c r="J1112" s="36">
        <f t="shared" si="364"/>
        <v>0</v>
      </c>
      <c r="K1112" s="38"/>
      <c r="L1112" s="36">
        <f t="shared" si="365"/>
        <v>0</v>
      </c>
      <c r="M1112" s="35"/>
      <c r="N1112" s="36">
        <f t="shared" si="373"/>
        <v>0</v>
      </c>
      <c r="O1112" s="38"/>
      <c r="P1112" s="36">
        <f t="shared" si="366"/>
        <v>0</v>
      </c>
      <c r="Q1112" s="35"/>
      <c r="R1112" s="36">
        <f t="shared" si="374"/>
        <v>0</v>
      </c>
      <c r="S1112" s="38"/>
      <c r="T1112" s="36">
        <f t="shared" si="367"/>
        <v>0</v>
      </c>
      <c r="U1112" s="35"/>
      <c r="V1112" s="36">
        <f t="shared" si="375"/>
        <v>0</v>
      </c>
      <c r="W1112" s="38"/>
      <c r="X1112" s="36">
        <f t="shared" si="368"/>
        <v>0</v>
      </c>
      <c r="Y1112" s="35"/>
      <c r="Z1112" s="36">
        <f t="shared" si="376"/>
        <v>0</v>
      </c>
      <c r="AA1112" s="38"/>
      <c r="AB1112" s="36">
        <f t="shared" si="369"/>
        <v>0</v>
      </c>
      <c r="AC1112" s="35"/>
      <c r="AD1112" s="36">
        <f t="shared" si="377"/>
        <v>0</v>
      </c>
      <c r="AE1112" s="38"/>
      <c r="AF1112" s="36">
        <f t="shared" si="370"/>
        <v>0</v>
      </c>
      <c r="AG1112" s="35"/>
      <c r="AH1112" s="36">
        <f t="shared" si="378"/>
        <v>0</v>
      </c>
      <c r="AI1112" s="38"/>
      <c r="AJ1112" s="36">
        <f t="shared" si="371"/>
        <v>0</v>
      </c>
      <c r="AK1112" s="35"/>
      <c r="AL1112" s="36">
        <f t="shared" si="379"/>
        <v>0</v>
      </c>
      <c r="AM1112" s="38"/>
      <c r="AN1112" s="36">
        <f t="shared" si="372"/>
        <v>0</v>
      </c>
      <c r="AO1112" s="35"/>
      <c r="AP1112" s="38"/>
    </row>
    <row r="1113" spans="1:42" ht="15.75" customHeight="1" x14ac:dyDescent="0.25">
      <c r="A1113" s="37">
        <v>2017</v>
      </c>
      <c r="B1113" s="35">
        <v>172210</v>
      </c>
      <c r="C1113" s="34" t="s">
        <v>149</v>
      </c>
      <c r="D1113" s="34" t="s">
        <v>143</v>
      </c>
      <c r="E1113" s="35"/>
      <c r="F1113" s="36">
        <f t="shared" si="362"/>
        <v>0</v>
      </c>
      <c r="G1113" s="38"/>
      <c r="H1113" s="36">
        <f t="shared" si="363"/>
        <v>0</v>
      </c>
      <c r="I1113" s="35"/>
      <c r="J1113" s="36">
        <f t="shared" si="364"/>
        <v>0</v>
      </c>
      <c r="K1113" s="38"/>
      <c r="L1113" s="36">
        <f t="shared" si="365"/>
        <v>0</v>
      </c>
      <c r="M1113" s="35"/>
      <c r="N1113" s="36">
        <f t="shared" si="373"/>
        <v>0</v>
      </c>
      <c r="O1113" s="38"/>
      <c r="P1113" s="36">
        <f t="shared" si="366"/>
        <v>0</v>
      </c>
      <c r="Q1113" s="35"/>
      <c r="R1113" s="36">
        <f t="shared" si="374"/>
        <v>0</v>
      </c>
      <c r="S1113" s="38"/>
      <c r="T1113" s="36">
        <f t="shared" si="367"/>
        <v>0</v>
      </c>
      <c r="U1113" s="35"/>
      <c r="V1113" s="36">
        <f t="shared" si="375"/>
        <v>0</v>
      </c>
      <c r="W1113" s="38"/>
      <c r="X1113" s="36">
        <f t="shared" si="368"/>
        <v>0</v>
      </c>
      <c r="Y1113" s="35"/>
      <c r="Z1113" s="36">
        <f t="shared" si="376"/>
        <v>0</v>
      </c>
      <c r="AA1113" s="38"/>
      <c r="AB1113" s="36">
        <f t="shared" si="369"/>
        <v>0</v>
      </c>
      <c r="AC1113" s="35"/>
      <c r="AD1113" s="36">
        <f t="shared" si="377"/>
        <v>0</v>
      </c>
      <c r="AE1113" s="38"/>
      <c r="AF1113" s="36">
        <f t="shared" si="370"/>
        <v>0</v>
      </c>
      <c r="AG1113" s="35"/>
      <c r="AH1113" s="36">
        <f t="shared" si="378"/>
        <v>0</v>
      </c>
      <c r="AI1113" s="38"/>
      <c r="AJ1113" s="36">
        <f t="shared" si="371"/>
        <v>0</v>
      </c>
      <c r="AK1113" s="35"/>
      <c r="AL1113" s="36">
        <f t="shared" si="379"/>
        <v>0</v>
      </c>
      <c r="AM1113" s="38"/>
      <c r="AN1113" s="36">
        <f t="shared" si="372"/>
        <v>0</v>
      </c>
      <c r="AO1113" s="35"/>
      <c r="AP1113" s="38"/>
    </row>
    <row r="1114" spans="1:42" ht="15.75" customHeight="1" x14ac:dyDescent="0.25">
      <c r="A1114" s="37">
        <v>2016</v>
      </c>
      <c r="B1114" s="35">
        <v>170025</v>
      </c>
      <c r="C1114" s="34" t="s">
        <v>144</v>
      </c>
      <c r="D1114" s="34" t="s">
        <v>5</v>
      </c>
      <c r="E1114" s="35"/>
      <c r="F1114" s="36">
        <f t="shared" si="362"/>
        <v>0</v>
      </c>
      <c r="G1114" s="38"/>
      <c r="H1114" s="36">
        <f t="shared" si="363"/>
        <v>0</v>
      </c>
      <c r="I1114" s="35"/>
      <c r="J1114" s="36">
        <f t="shared" si="364"/>
        <v>0</v>
      </c>
      <c r="K1114" s="38"/>
      <c r="L1114" s="36">
        <f t="shared" si="365"/>
        <v>0</v>
      </c>
      <c r="M1114" s="35"/>
      <c r="N1114" s="36">
        <f t="shared" si="373"/>
        <v>0</v>
      </c>
      <c r="O1114" s="38"/>
      <c r="P1114" s="36">
        <f t="shared" si="366"/>
        <v>0</v>
      </c>
      <c r="Q1114" s="35"/>
      <c r="R1114" s="36">
        <f t="shared" si="374"/>
        <v>0</v>
      </c>
      <c r="S1114" s="38"/>
      <c r="T1114" s="36">
        <f t="shared" si="367"/>
        <v>0</v>
      </c>
      <c r="U1114" s="35"/>
      <c r="V1114" s="36">
        <f t="shared" si="375"/>
        <v>0</v>
      </c>
      <c r="W1114" s="38"/>
      <c r="X1114" s="36">
        <f t="shared" si="368"/>
        <v>0</v>
      </c>
      <c r="Y1114" s="35"/>
      <c r="Z1114" s="36">
        <f t="shared" si="376"/>
        <v>0</v>
      </c>
      <c r="AA1114" s="38"/>
      <c r="AB1114" s="36">
        <f t="shared" si="369"/>
        <v>0</v>
      </c>
      <c r="AC1114" s="35"/>
      <c r="AD1114" s="36">
        <f t="shared" si="377"/>
        <v>0</v>
      </c>
      <c r="AE1114" s="38"/>
      <c r="AF1114" s="36">
        <f t="shared" si="370"/>
        <v>0</v>
      </c>
      <c r="AG1114" s="35"/>
      <c r="AH1114" s="36">
        <f t="shared" si="378"/>
        <v>0</v>
      </c>
      <c r="AI1114" s="38"/>
      <c r="AJ1114" s="36">
        <f t="shared" si="371"/>
        <v>0</v>
      </c>
      <c r="AK1114" s="35"/>
      <c r="AL1114" s="36">
        <f t="shared" si="379"/>
        <v>0</v>
      </c>
      <c r="AM1114" s="38"/>
      <c r="AN1114" s="36">
        <f t="shared" si="372"/>
        <v>0</v>
      </c>
      <c r="AO1114" s="35"/>
      <c r="AP1114" s="38"/>
    </row>
    <row r="1115" spans="1:42" ht="15.75" customHeight="1" x14ac:dyDescent="0.25">
      <c r="A1115" s="37">
        <v>2016</v>
      </c>
      <c r="B1115" s="35">
        <v>170030</v>
      </c>
      <c r="C1115" s="34" t="s">
        <v>145</v>
      </c>
      <c r="D1115" s="34" t="s">
        <v>6</v>
      </c>
      <c r="E1115" s="35"/>
      <c r="F1115" s="36">
        <f t="shared" si="362"/>
        <v>0</v>
      </c>
      <c r="G1115" s="38"/>
      <c r="H1115" s="36">
        <f t="shared" si="363"/>
        <v>0</v>
      </c>
      <c r="I1115" s="35"/>
      <c r="J1115" s="36">
        <f t="shared" si="364"/>
        <v>0</v>
      </c>
      <c r="K1115" s="38"/>
      <c r="L1115" s="36">
        <f t="shared" si="365"/>
        <v>0</v>
      </c>
      <c r="M1115" s="35"/>
      <c r="N1115" s="36">
        <f t="shared" si="373"/>
        <v>0</v>
      </c>
      <c r="O1115" s="38"/>
      <c r="P1115" s="36">
        <f t="shared" si="366"/>
        <v>0</v>
      </c>
      <c r="Q1115" s="35"/>
      <c r="R1115" s="36">
        <f t="shared" si="374"/>
        <v>0</v>
      </c>
      <c r="S1115" s="38"/>
      <c r="T1115" s="36">
        <f t="shared" si="367"/>
        <v>0</v>
      </c>
      <c r="U1115" s="35"/>
      <c r="V1115" s="36">
        <f t="shared" si="375"/>
        <v>0</v>
      </c>
      <c r="W1115" s="38"/>
      <c r="X1115" s="36">
        <f t="shared" si="368"/>
        <v>0</v>
      </c>
      <c r="Y1115" s="35"/>
      <c r="Z1115" s="36">
        <f t="shared" si="376"/>
        <v>0</v>
      </c>
      <c r="AA1115" s="38"/>
      <c r="AB1115" s="36">
        <f t="shared" si="369"/>
        <v>0</v>
      </c>
      <c r="AC1115" s="35"/>
      <c r="AD1115" s="36">
        <f t="shared" si="377"/>
        <v>0</v>
      </c>
      <c r="AE1115" s="38"/>
      <c r="AF1115" s="36">
        <f t="shared" si="370"/>
        <v>0</v>
      </c>
      <c r="AG1115" s="35"/>
      <c r="AH1115" s="36">
        <f t="shared" si="378"/>
        <v>0</v>
      </c>
      <c r="AI1115" s="38"/>
      <c r="AJ1115" s="36">
        <f t="shared" si="371"/>
        <v>0</v>
      </c>
      <c r="AK1115" s="35"/>
      <c r="AL1115" s="36">
        <f t="shared" si="379"/>
        <v>0</v>
      </c>
      <c r="AM1115" s="38"/>
      <c r="AN1115" s="36">
        <f t="shared" si="372"/>
        <v>0</v>
      </c>
      <c r="AO1115" s="35"/>
      <c r="AP1115" s="38"/>
    </row>
    <row r="1116" spans="1:42" ht="15.75" customHeight="1" x14ac:dyDescent="0.25">
      <c r="A1116" s="37">
        <v>2016</v>
      </c>
      <c r="B1116" s="35">
        <v>170035</v>
      </c>
      <c r="C1116" s="34" t="s">
        <v>146</v>
      </c>
      <c r="D1116" s="34" t="s">
        <v>7</v>
      </c>
      <c r="E1116" s="35"/>
      <c r="F1116" s="36">
        <f t="shared" si="362"/>
        <v>0</v>
      </c>
      <c r="G1116" s="38"/>
      <c r="H1116" s="36">
        <f t="shared" si="363"/>
        <v>0</v>
      </c>
      <c r="I1116" s="35"/>
      <c r="J1116" s="36">
        <f t="shared" si="364"/>
        <v>0</v>
      </c>
      <c r="K1116" s="38"/>
      <c r="L1116" s="36">
        <f t="shared" si="365"/>
        <v>0</v>
      </c>
      <c r="M1116" s="35"/>
      <c r="N1116" s="36">
        <f t="shared" si="373"/>
        <v>0</v>
      </c>
      <c r="O1116" s="38"/>
      <c r="P1116" s="36">
        <f t="shared" si="366"/>
        <v>0</v>
      </c>
      <c r="Q1116" s="35"/>
      <c r="R1116" s="36">
        <f t="shared" si="374"/>
        <v>0</v>
      </c>
      <c r="S1116" s="38"/>
      <c r="T1116" s="36">
        <f t="shared" si="367"/>
        <v>0</v>
      </c>
      <c r="U1116" s="35"/>
      <c r="V1116" s="36">
        <f t="shared" si="375"/>
        <v>0</v>
      </c>
      <c r="W1116" s="38"/>
      <c r="X1116" s="36">
        <f t="shared" si="368"/>
        <v>0</v>
      </c>
      <c r="Y1116" s="35"/>
      <c r="Z1116" s="36">
        <f t="shared" si="376"/>
        <v>0</v>
      </c>
      <c r="AA1116" s="38"/>
      <c r="AB1116" s="36">
        <f t="shared" si="369"/>
        <v>0</v>
      </c>
      <c r="AC1116" s="35"/>
      <c r="AD1116" s="36">
        <f t="shared" si="377"/>
        <v>0</v>
      </c>
      <c r="AE1116" s="38"/>
      <c r="AF1116" s="36">
        <f t="shared" si="370"/>
        <v>0</v>
      </c>
      <c r="AG1116" s="35"/>
      <c r="AH1116" s="36">
        <f t="shared" si="378"/>
        <v>0</v>
      </c>
      <c r="AI1116" s="38"/>
      <c r="AJ1116" s="36">
        <f t="shared" si="371"/>
        <v>0</v>
      </c>
      <c r="AK1116" s="35"/>
      <c r="AL1116" s="36">
        <f t="shared" si="379"/>
        <v>0</v>
      </c>
      <c r="AM1116" s="38"/>
      <c r="AN1116" s="36">
        <f t="shared" si="372"/>
        <v>0</v>
      </c>
      <c r="AO1116" s="35"/>
      <c r="AP1116" s="38"/>
    </row>
    <row r="1117" spans="1:42" ht="15.75" customHeight="1" x14ac:dyDescent="0.25">
      <c r="A1117" s="37">
        <v>2016</v>
      </c>
      <c r="B1117" s="35">
        <v>170040</v>
      </c>
      <c r="C1117" s="34" t="s">
        <v>147</v>
      </c>
      <c r="D1117" s="34" t="s">
        <v>8</v>
      </c>
      <c r="E1117" s="35"/>
      <c r="F1117" s="36">
        <f t="shared" si="362"/>
        <v>0</v>
      </c>
      <c r="G1117" s="38"/>
      <c r="H1117" s="36">
        <f t="shared" si="363"/>
        <v>0</v>
      </c>
      <c r="I1117" s="35"/>
      <c r="J1117" s="36">
        <f t="shared" si="364"/>
        <v>0</v>
      </c>
      <c r="K1117" s="38"/>
      <c r="L1117" s="36">
        <f t="shared" si="365"/>
        <v>0</v>
      </c>
      <c r="M1117" s="35"/>
      <c r="N1117" s="36">
        <f t="shared" si="373"/>
        <v>0</v>
      </c>
      <c r="O1117" s="38"/>
      <c r="P1117" s="36">
        <f t="shared" si="366"/>
        <v>0</v>
      </c>
      <c r="Q1117" s="35"/>
      <c r="R1117" s="36">
        <f t="shared" si="374"/>
        <v>0</v>
      </c>
      <c r="S1117" s="38"/>
      <c r="T1117" s="36">
        <f t="shared" si="367"/>
        <v>0</v>
      </c>
      <c r="U1117" s="35"/>
      <c r="V1117" s="36">
        <f t="shared" si="375"/>
        <v>0</v>
      </c>
      <c r="W1117" s="38"/>
      <c r="X1117" s="36">
        <f t="shared" si="368"/>
        <v>0</v>
      </c>
      <c r="Y1117" s="35"/>
      <c r="Z1117" s="36">
        <f t="shared" si="376"/>
        <v>0</v>
      </c>
      <c r="AA1117" s="38"/>
      <c r="AB1117" s="36">
        <f t="shared" si="369"/>
        <v>0</v>
      </c>
      <c r="AC1117" s="35"/>
      <c r="AD1117" s="36">
        <f t="shared" si="377"/>
        <v>0</v>
      </c>
      <c r="AE1117" s="38"/>
      <c r="AF1117" s="36">
        <f t="shared" si="370"/>
        <v>0</v>
      </c>
      <c r="AG1117" s="35"/>
      <c r="AH1117" s="36">
        <f t="shared" si="378"/>
        <v>0</v>
      </c>
      <c r="AI1117" s="38"/>
      <c r="AJ1117" s="36">
        <f t="shared" si="371"/>
        <v>0</v>
      </c>
      <c r="AK1117" s="35"/>
      <c r="AL1117" s="36">
        <f t="shared" si="379"/>
        <v>0</v>
      </c>
      <c r="AM1117" s="38"/>
      <c r="AN1117" s="36">
        <f t="shared" si="372"/>
        <v>0</v>
      </c>
      <c r="AO1117" s="35"/>
      <c r="AP1117" s="38"/>
    </row>
    <row r="1118" spans="1:42" ht="15.75" customHeight="1" x14ac:dyDescent="0.25">
      <c r="A1118" s="37">
        <v>2016</v>
      </c>
      <c r="B1118" s="35">
        <v>170070</v>
      </c>
      <c r="C1118" s="34" t="s">
        <v>146</v>
      </c>
      <c r="D1118" s="34" t="s">
        <v>9</v>
      </c>
      <c r="E1118" s="35"/>
      <c r="F1118" s="36">
        <f t="shared" si="362"/>
        <v>0</v>
      </c>
      <c r="G1118" s="38"/>
      <c r="H1118" s="36">
        <f t="shared" si="363"/>
        <v>0</v>
      </c>
      <c r="I1118" s="35"/>
      <c r="J1118" s="36">
        <f t="shared" si="364"/>
        <v>0</v>
      </c>
      <c r="K1118" s="38"/>
      <c r="L1118" s="36">
        <f t="shared" si="365"/>
        <v>0</v>
      </c>
      <c r="M1118" s="35"/>
      <c r="N1118" s="36">
        <f t="shared" si="373"/>
        <v>0</v>
      </c>
      <c r="O1118" s="38"/>
      <c r="P1118" s="36">
        <f t="shared" si="366"/>
        <v>0</v>
      </c>
      <c r="Q1118" s="35"/>
      <c r="R1118" s="36">
        <f t="shared" si="374"/>
        <v>0</v>
      </c>
      <c r="S1118" s="38"/>
      <c r="T1118" s="36">
        <f t="shared" si="367"/>
        <v>0</v>
      </c>
      <c r="U1118" s="35"/>
      <c r="V1118" s="36">
        <f t="shared" si="375"/>
        <v>0</v>
      </c>
      <c r="W1118" s="38"/>
      <c r="X1118" s="36">
        <f t="shared" si="368"/>
        <v>0</v>
      </c>
      <c r="Y1118" s="35"/>
      <c r="Z1118" s="36">
        <f t="shared" si="376"/>
        <v>0</v>
      </c>
      <c r="AA1118" s="38"/>
      <c r="AB1118" s="36">
        <f t="shared" si="369"/>
        <v>0</v>
      </c>
      <c r="AC1118" s="35"/>
      <c r="AD1118" s="36">
        <f t="shared" si="377"/>
        <v>0</v>
      </c>
      <c r="AE1118" s="38"/>
      <c r="AF1118" s="36">
        <f t="shared" si="370"/>
        <v>0</v>
      </c>
      <c r="AG1118" s="35"/>
      <c r="AH1118" s="36">
        <f t="shared" si="378"/>
        <v>0</v>
      </c>
      <c r="AI1118" s="38"/>
      <c r="AJ1118" s="36">
        <f t="shared" si="371"/>
        <v>0</v>
      </c>
      <c r="AK1118" s="35"/>
      <c r="AL1118" s="36">
        <f t="shared" si="379"/>
        <v>0</v>
      </c>
      <c r="AM1118" s="38"/>
      <c r="AN1118" s="36">
        <f t="shared" si="372"/>
        <v>0</v>
      </c>
      <c r="AO1118" s="35"/>
      <c r="AP1118" s="38"/>
    </row>
    <row r="1119" spans="1:42" ht="15.75" customHeight="1" x14ac:dyDescent="0.25">
      <c r="A1119" s="37">
        <v>2016</v>
      </c>
      <c r="B1119" s="35">
        <v>170100</v>
      </c>
      <c r="C1119" s="34" t="s">
        <v>145</v>
      </c>
      <c r="D1119" s="34" t="s">
        <v>10</v>
      </c>
      <c r="E1119" s="35"/>
      <c r="F1119" s="36">
        <f t="shared" si="362"/>
        <v>0</v>
      </c>
      <c r="G1119" s="38"/>
      <c r="H1119" s="36">
        <f t="shared" si="363"/>
        <v>0</v>
      </c>
      <c r="I1119" s="35"/>
      <c r="J1119" s="36">
        <f t="shared" si="364"/>
        <v>0</v>
      </c>
      <c r="K1119" s="38"/>
      <c r="L1119" s="36">
        <f t="shared" si="365"/>
        <v>0</v>
      </c>
      <c r="M1119" s="35"/>
      <c r="N1119" s="36">
        <f t="shared" si="373"/>
        <v>0</v>
      </c>
      <c r="O1119" s="38"/>
      <c r="P1119" s="36">
        <f t="shared" si="366"/>
        <v>0</v>
      </c>
      <c r="Q1119" s="35"/>
      <c r="R1119" s="36">
        <f t="shared" si="374"/>
        <v>0</v>
      </c>
      <c r="S1119" s="38"/>
      <c r="T1119" s="36">
        <f t="shared" si="367"/>
        <v>0</v>
      </c>
      <c r="U1119" s="35"/>
      <c r="V1119" s="36">
        <f t="shared" si="375"/>
        <v>0</v>
      </c>
      <c r="W1119" s="38"/>
      <c r="X1119" s="36">
        <f t="shared" si="368"/>
        <v>0</v>
      </c>
      <c r="Y1119" s="35"/>
      <c r="Z1119" s="36">
        <f t="shared" si="376"/>
        <v>0</v>
      </c>
      <c r="AA1119" s="38"/>
      <c r="AB1119" s="36">
        <f t="shared" si="369"/>
        <v>0</v>
      </c>
      <c r="AC1119" s="35"/>
      <c r="AD1119" s="36">
        <f t="shared" si="377"/>
        <v>0</v>
      </c>
      <c r="AE1119" s="38"/>
      <c r="AF1119" s="36">
        <f t="shared" si="370"/>
        <v>0</v>
      </c>
      <c r="AG1119" s="35"/>
      <c r="AH1119" s="36">
        <f t="shared" si="378"/>
        <v>0</v>
      </c>
      <c r="AI1119" s="38"/>
      <c r="AJ1119" s="36">
        <f t="shared" si="371"/>
        <v>0</v>
      </c>
      <c r="AK1119" s="35"/>
      <c r="AL1119" s="36">
        <f t="shared" si="379"/>
        <v>0</v>
      </c>
      <c r="AM1119" s="38"/>
      <c r="AN1119" s="36">
        <f t="shared" si="372"/>
        <v>0</v>
      </c>
      <c r="AO1119" s="35"/>
      <c r="AP1119" s="38"/>
    </row>
    <row r="1120" spans="1:42" ht="15.75" customHeight="1" x14ac:dyDescent="0.25">
      <c r="A1120" s="37">
        <v>2016</v>
      </c>
      <c r="B1120" s="35">
        <v>170105</v>
      </c>
      <c r="C1120" s="34" t="s">
        <v>145</v>
      </c>
      <c r="D1120" s="34" t="s">
        <v>11</v>
      </c>
      <c r="E1120" s="35"/>
      <c r="F1120" s="36">
        <f t="shared" si="362"/>
        <v>0</v>
      </c>
      <c r="G1120" s="38"/>
      <c r="H1120" s="36">
        <f t="shared" si="363"/>
        <v>0</v>
      </c>
      <c r="I1120" s="35"/>
      <c r="J1120" s="36">
        <f t="shared" si="364"/>
        <v>0</v>
      </c>
      <c r="K1120" s="38"/>
      <c r="L1120" s="36">
        <f t="shared" si="365"/>
        <v>0</v>
      </c>
      <c r="M1120" s="35"/>
      <c r="N1120" s="36">
        <f t="shared" si="373"/>
        <v>0</v>
      </c>
      <c r="O1120" s="38"/>
      <c r="P1120" s="36">
        <f t="shared" si="366"/>
        <v>0</v>
      </c>
      <c r="Q1120" s="35"/>
      <c r="R1120" s="36">
        <f t="shared" si="374"/>
        <v>0</v>
      </c>
      <c r="S1120" s="38"/>
      <c r="T1120" s="36">
        <f t="shared" si="367"/>
        <v>0</v>
      </c>
      <c r="U1120" s="35"/>
      <c r="V1120" s="36">
        <f t="shared" si="375"/>
        <v>0</v>
      </c>
      <c r="W1120" s="38"/>
      <c r="X1120" s="36">
        <f t="shared" si="368"/>
        <v>0</v>
      </c>
      <c r="Y1120" s="35"/>
      <c r="Z1120" s="36">
        <f t="shared" si="376"/>
        <v>0</v>
      </c>
      <c r="AA1120" s="38"/>
      <c r="AB1120" s="36">
        <f t="shared" si="369"/>
        <v>0</v>
      </c>
      <c r="AC1120" s="35"/>
      <c r="AD1120" s="36">
        <f t="shared" si="377"/>
        <v>0</v>
      </c>
      <c r="AE1120" s="38"/>
      <c r="AF1120" s="36">
        <f t="shared" si="370"/>
        <v>0</v>
      </c>
      <c r="AG1120" s="35"/>
      <c r="AH1120" s="36">
        <f t="shared" si="378"/>
        <v>0</v>
      </c>
      <c r="AI1120" s="38"/>
      <c r="AJ1120" s="36">
        <f t="shared" si="371"/>
        <v>0</v>
      </c>
      <c r="AK1120" s="35"/>
      <c r="AL1120" s="36">
        <f t="shared" si="379"/>
        <v>0</v>
      </c>
      <c r="AM1120" s="38"/>
      <c r="AN1120" s="36">
        <f t="shared" si="372"/>
        <v>0</v>
      </c>
      <c r="AO1120" s="35"/>
      <c r="AP1120" s="38"/>
    </row>
    <row r="1121" spans="1:42" ht="15.75" customHeight="1" x14ac:dyDescent="0.25">
      <c r="A1121" s="37">
        <v>2016</v>
      </c>
      <c r="B1121" s="35">
        <v>170110</v>
      </c>
      <c r="C1121" s="34" t="s">
        <v>148</v>
      </c>
      <c r="D1121" s="34" t="s">
        <v>12</v>
      </c>
      <c r="E1121" s="35"/>
      <c r="F1121" s="36">
        <f t="shared" si="362"/>
        <v>0</v>
      </c>
      <c r="G1121" s="38"/>
      <c r="H1121" s="36">
        <f t="shared" si="363"/>
        <v>0</v>
      </c>
      <c r="I1121" s="35"/>
      <c r="J1121" s="36">
        <f t="shared" si="364"/>
        <v>0</v>
      </c>
      <c r="K1121" s="38"/>
      <c r="L1121" s="36">
        <f t="shared" si="365"/>
        <v>0</v>
      </c>
      <c r="M1121" s="35"/>
      <c r="N1121" s="36">
        <f t="shared" si="373"/>
        <v>0</v>
      </c>
      <c r="O1121" s="38"/>
      <c r="P1121" s="36">
        <f t="shared" si="366"/>
        <v>0</v>
      </c>
      <c r="Q1121" s="35"/>
      <c r="R1121" s="36">
        <f t="shared" si="374"/>
        <v>0</v>
      </c>
      <c r="S1121" s="38"/>
      <c r="T1121" s="36">
        <f t="shared" si="367"/>
        <v>0</v>
      </c>
      <c r="U1121" s="35"/>
      <c r="V1121" s="36">
        <f t="shared" si="375"/>
        <v>0</v>
      </c>
      <c r="W1121" s="38"/>
      <c r="X1121" s="36">
        <f t="shared" si="368"/>
        <v>0</v>
      </c>
      <c r="Y1121" s="35"/>
      <c r="Z1121" s="36">
        <f t="shared" si="376"/>
        <v>0</v>
      </c>
      <c r="AA1121" s="38"/>
      <c r="AB1121" s="36">
        <f t="shared" si="369"/>
        <v>0</v>
      </c>
      <c r="AC1121" s="35"/>
      <c r="AD1121" s="36">
        <f t="shared" si="377"/>
        <v>0</v>
      </c>
      <c r="AE1121" s="38"/>
      <c r="AF1121" s="36">
        <f t="shared" si="370"/>
        <v>0</v>
      </c>
      <c r="AG1121" s="35"/>
      <c r="AH1121" s="36">
        <f t="shared" si="378"/>
        <v>0</v>
      </c>
      <c r="AI1121" s="38"/>
      <c r="AJ1121" s="36">
        <f t="shared" si="371"/>
        <v>0</v>
      </c>
      <c r="AK1121" s="35"/>
      <c r="AL1121" s="36">
        <f t="shared" si="379"/>
        <v>0</v>
      </c>
      <c r="AM1121" s="38"/>
      <c r="AN1121" s="36">
        <f t="shared" si="372"/>
        <v>0</v>
      </c>
      <c r="AO1121" s="35"/>
      <c r="AP1121" s="38"/>
    </row>
    <row r="1122" spans="1:42" ht="15.75" customHeight="1" x14ac:dyDescent="0.25">
      <c r="A1122" s="37">
        <v>2016</v>
      </c>
      <c r="B1122" s="35">
        <v>170130</v>
      </c>
      <c r="C1122" s="34" t="s">
        <v>149</v>
      </c>
      <c r="D1122" s="34" t="s">
        <v>13</v>
      </c>
      <c r="E1122" s="35"/>
      <c r="F1122" s="36">
        <f t="shared" si="362"/>
        <v>0</v>
      </c>
      <c r="G1122" s="38"/>
      <c r="H1122" s="36">
        <f t="shared" si="363"/>
        <v>0</v>
      </c>
      <c r="I1122" s="35"/>
      <c r="J1122" s="36">
        <f t="shared" si="364"/>
        <v>0</v>
      </c>
      <c r="K1122" s="38"/>
      <c r="L1122" s="36">
        <f t="shared" si="365"/>
        <v>0</v>
      </c>
      <c r="M1122" s="35"/>
      <c r="N1122" s="36">
        <f t="shared" si="373"/>
        <v>0</v>
      </c>
      <c r="O1122" s="38"/>
      <c r="P1122" s="36">
        <f t="shared" si="366"/>
        <v>0</v>
      </c>
      <c r="Q1122" s="35"/>
      <c r="R1122" s="36">
        <f t="shared" si="374"/>
        <v>0</v>
      </c>
      <c r="S1122" s="38"/>
      <c r="T1122" s="36">
        <f t="shared" si="367"/>
        <v>0</v>
      </c>
      <c r="U1122" s="35"/>
      <c r="V1122" s="36">
        <f t="shared" si="375"/>
        <v>0</v>
      </c>
      <c r="W1122" s="38"/>
      <c r="X1122" s="36">
        <f t="shared" si="368"/>
        <v>0</v>
      </c>
      <c r="Y1122" s="35"/>
      <c r="Z1122" s="36">
        <f t="shared" si="376"/>
        <v>0</v>
      </c>
      <c r="AA1122" s="38"/>
      <c r="AB1122" s="36">
        <f t="shared" si="369"/>
        <v>0</v>
      </c>
      <c r="AC1122" s="35"/>
      <c r="AD1122" s="36">
        <f t="shared" si="377"/>
        <v>0</v>
      </c>
      <c r="AE1122" s="38"/>
      <c r="AF1122" s="36">
        <f t="shared" si="370"/>
        <v>0</v>
      </c>
      <c r="AG1122" s="35"/>
      <c r="AH1122" s="36">
        <f t="shared" si="378"/>
        <v>0</v>
      </c>
      <c r="AI1122" s="38"/>
      <c r="AJ1122" s="36">
        <f t="shared" si="371"/>
        <v>0</v>
      </c>
      <c r="AK1122" s="35"/>
      <c r="AL1122" s="36">
        <f t="shared" si="379"/>
        <v>0</v>
      </c>
      <c r="AM1122" s="38"/>
      <c r="AN1122" s="36">
        <f t="shared" si="372"/>
        <v>0</v>
      </c>
      <c r="AO1122" s="35"/>
      <c r="AP1122" s="38"/>
    </row>
    <row r="1123" spans="1:42" ht="15.75" customHeight="1" x14ac:dyDescent="0.25">
      <c r="A1123" s="37">
        <v>2016</v>
      </c>
      <c r="B1123" s="35">
        <v>170190</v>
      </c>
      <c r="C1123" s="34" t="s">
        <v>144</v>
      </c>
      <c r="D1123" s="34" t="s">
        <v>14</v>
      </c>
      <c r="E1123" s="35"/>
      <c r="F1123" s="36">
        <f t="shared" si="362"/>
        <v>0</v>
      </c>
      <c r="G1123" s="38"/>
      <c r="H1123" s="36">
        <f t="shared" si="363"/>
        <v>0</v>
      </c>
      <c r="I1123" s="35"/>
      <c r="J1123" s="36">
        <f t="shared" si="364"/>
        <v>0</v>
      </c>
      <c r="K1123" s="38"/>
      <c r="L1123" s="36">
        <f t="shared" si="365"/>
        <v>0</v>
      </c>
      <c r="M1123" s="35"/>
      <c r="N1123" s="36">
        <f t="shared" si="373"/>
        <v>0</v>
      </c>
      <c r="O1123" s="38"/>
      <c r="P1123" s="36">
        <f t="shared" si="366"/>
        <v>0</v>
      </c>
      <c r="Q1123" s="35"/>
      <c r="R1123" s="36">
        <f t="shared" si="374"/>
        <v>0</v>
      </c>
      <c r="S1123" s="38"/>
      <c r="T1123" s="36">
        <f t="shared" si="367"/>
        <v>0</v>
      </c>
      <c r="U1123" s="35"/>
      <c r="V1123" s="36">
        <f t="shared" si="375"/>
        <v>0</v>
      </c>
      <c r="W1123" s="38"/>
      <c r="X1123" s="36">
        <f t="shared" si="368"/>
        <v>0</v>
      </c>
      <c r="Y1123" s="35"/>
      <c r="Z1123" s="36">
        <f t="shared" si="376"/>
        <v>0</v>
      </c>
      <c r="AA1123" s="38"/>
      <c r="AB1123" s="36">
        <f t="shared" si="369"/>
        <v>0</v>
      </c>
      <c r="AC1123" s="35"/>
      <c r="AD1123" s="36">
        <f t="shared" si="377"/>
        <v>0</v>
      </c>
      <c r="AE1123" s="38"/>
      <c r="AF1123" s="36">
        <f t="shared" si="370"/>
        <v>0</v>
      </c>
      <c r="AG1123" s="35"/>
      <c r="AH1123" s="36">
        <f t="shared" si="378"/>
        <v>0</v>
      </c>
      <c r="AI1123" s="38"/>
      <c r="AJ1123" s="36">
        <f t="shared" si="371"/>
        <v>0</v>
      </c>
      <c r="AK1123" s="35"/>
      <c r="AL1123" s="36">
        <f t="shared" si="379"/>
        <v>0</v>
      </c>
      <c r="AM1123" s="38"/>
      <c r="AN1123" s="36">
        <f t="shared" si="372"/>
        <v>0</v>
      </c>
      <c r="AO1123" s="35"/>
      <c r="AP1123" s="38"/>
    </row>
    <row r="1124" spans="1:42" ht="15.75" customHeight="1" x14ac:dyDescent="0.25">
      <c r="A1124" s="37">
        <v>2016</v>
      </c>
      <c r="B1124" s="35">
        <v>170200</v>
      </c>
      <c r="C1124" s="34" t="s">
        <v>146</v>
      </c>
      <c r="D1124" s="34" t="s">
        <v>15</v>
      </c>
      <c r="E1124" s="35"/>
      <c r="F1124" s="36">
        <f t="shared" si="362"/>
        <v>0</v>
      </c>
      <c r="G1124" s="38"/>
      <c r="H1124" s="36">
        <f t="shared" si="363"/>
        <v>0</v>
      </c>
      <c r="I1124" s="35"/>
      <c r="J1124" s="36">
        <f t="shared" si="364"/>
        <v>0</v>
      </c>
      <c r="K1124" s="38"/>
      <c r="L1124" s="36">
        <f t="shared" si="365"/>
        <v>0</v>
      </c>
      <c r="M1124" s="35"/>
      <c r="N1124" s="36">
        <f t="shared" si="373"/>
        <v>0</v>
      </c>
      <c r="O1124" s="38"/>
      <c r="P1124" s="36">
        <f t="shared" si="366"/>
        <v>0</v>
      </c>
      <c r="Q1124" s="35"/>
      <c r="R1124" s="36">
        <f t="shared" si="374"/>
        <v>0</v>
      </c>
      <c r="S1124" s="38"/>
      <c r="T1124" s="36">
        <f t="shared" si="367"/>
        <v>0</v>
      </c>
      <c r="U1124" s="35"/>
      <c r="V1124" s="36">
        <f t="shared" si="375"/>
        <v>0</v>
      </c>
      <c r="W1124" s="38"/>
      <c r="X1124" s="36">
        <f t="shared" si="368"/>
        <v>0</v>
      </c>
      <c r="Y1124" s="35"/>
      <c r="Z1124" s="36">
        <f t="shared" si="376"/>
        <v>0</v>
      </c>
      <c r="AA1124" s="38"/>
      <c r="AB1124" s="36">
        <f t="shared" si="369"/>
        <v>0</v>
      </c>
      <c r="AC1124" s="35"/>
      <c r="AD1124" s="36">
        <f t="shared" si="377"/>
        <v>0</v>
      </c>
      <c r="AE1124" s="38"/>
      <c r="AF1124" s="36">
        <f t="shared" si="370"/>
        <v>0</v>
      </c>
      <c r="AG1124" s="35"/>
      <c r="AH1124" s="36">
        <f t="shared" si="378"/>
        <v>0</v>
      </c>
      <c r="AI1124" s="38"/>
      <c r="AJ1124" s="36">
        <f t="shared" si="371"/>
        <v>0</v>
      </c>
      <c r="AK1124" s="35"/>
      <c r="AL1124" s="36">
        <f t="shared" si="379"/>
        <v>0</v>
      </c>
      <c r="AM1124" s="38"/>
      <c r="AN1124" s="36">
        <f t="shared" si="372"/>
        <v>0</v>
      </c>
      <c r="AO1124" s="35"/>
      <c r="AP1124" s="38"/>
    </row>
    <row r="1125" spans="1:42" ht="15.75" customHeight="1" x14ac:dyDescent="0.25">
      <c r="A1125" s="37">
        <v>2016</v>
      </c>
      <c r="B1125" s="35">
        <v>170210</v>
      </c>
      <c r="C1125" s="34" t="s">
        <v>149</v>
      </c>
      <c r="D1125" s="34" t="s">
        <v>16</v>
      </c>
      <c r="E1125" s="35"/>
      <c r="F1125" s="36">
        <f t="shared" si="362"/>
        <v>0</v>
      </c>
      <c r="G1125" s="38"/>
      <c r="H1125" s="36">
        <f t="shared" si="363"/>
        <v>0</v>
      </c>
      <c r="I1125" s="35"/>
      <c r="J1125" s="36">
        <f t="shared" si="364"/>
        <v>0</v>
      </c>
      <c r="K1125" s="38"/>
      <c r="L1125" s="36">
        <f t="shared" si="365"/>
        <v>0</v>
      </c>
      <c r="M1125" s="35"/>
      <c r="N1125" s="36">
        <f t="shared" si="373"/>
        <v>0</v>
      </c>
      <c r="O1125" s="39"/>
      <c r="P1125" s="36">
        <f t="shared" si="366"/>
        <v>0</v>
      </c>
      <c r="Q1125" s="35"/>
      <c r="R1125" s="36">
        <f t="shared" si="374"/>
        <v>0</v>
      </c>
      <c r="S1125" s="38"/>
      <c r="T1125" s="36">
        <f t="shared" si="367"/>
        <v>0</v>
      </c>
      <c r="U1125" s="35"/>
      <c r="V1125" s="36">
        <f t="shared" si="375"/>
        <v>0</v>
      </c>
      <c r="W1125" s="38"/>
      <c r="X1125" s="36">
        <f t="shared" si="368"/>
        <v>0</v>
      </c>
      <c r="Y1125" s="35"/>
      <c r="Z1125" s="36">
        <f t="shared" si="376"/>
        <v>0</v>
      </c>
      <c r="AA1125" s="39"/>
      <c r="AB1125" s="36">
        <f t="shared" si="369"/>
        <v>0</v>
      </c>
      <c r="AC1125" s="35"/>
      <c r="AD1125" s="36">
        <f t="shared" si="377"/>
        <v>0</v>
      </c>
      <c r="AE1125" s="38"/>
      <c r="AF1125" s="36">
        <f t="shared" si="370"/>
        <v>0</v>
      </c>
      <c r="AG1125" s="35"/>
      <c r="AH1125" s="36">
        <f t="shared" si="378"/>
        <v>0</v>
      </c>
      <c r="AI1125" s="38"/>
      <c r="AJ1125" s="36">
        <f t="shared" si="371"/>
        <v>0</v>
      </c>
      <c r="AK1125" s="35"/>
      <c r="AL1125" s="36">
        <f t="shared" si="379"/>
        <v>0</v>
      </c>
      <c r="AM1125" s="38"/>
      <c r="AN1125" s="36">
        <f t="shared" si="372"/>
        <v>0</v>
      </c>
      <c r="AO1125" s="35"/>
      <c r="AP1125" s="39"/>
    </row>
    <row r="1126" spans="1:42" ht="15.75" customHeight="1" x14ac:dyDescent="0.25">
      <c r="A1126" s="37">
        <v>2016</v>
      </c>
      <c r="B1126" s="35">
        <v>170215</v>
      </c>
      <c r="C1126" s="34" t="s">
        <v>149</v>
      </c>
      <c r="D1126" s="34" t="s">
        <v>17</v>
      </c>
      <c r="E1126" s="35"/>
      <c r="F1126" s="36">
        <f t="shared" si="362"/>
        <v>0</v>
      </c>
      <c r="G1126" s="38"/>
      <c r="H1126" s="36">
        <f t="shared" si="363"/>
        <v>0</v>
      </c>
      <c r="I1126" s="35"/>
      <c r="J1126" s="36">
        <f t="shared" si="364"/>
        <v>0</v>
      </c>
      <c r="K1126" s="38"/>
      <c r="L1126" s="36">
        <f t="shared" si="365"/>
        <v>0</v>
      </c>
      <c r="M1126" s="35"/>
      <c r="N1126" s="36">
        <f t="shared" si="373"/>
        <v>0</v>
      </c>
      <c r="O1126" s="38"/>
      <c r="P1126" s="36">
        <f t="shared" si="366"/>
        <v>0</v>
      </c>
      <c r="Q1126" s="35"/>
      <c r="R1126" s="36">
        <f t="shared" si="374"/>
        <v>0</v>
      </c>
      <c r="S1126" s="38"/>
      <c r="T1126" s="36">
        <f t="shared" si="367"/>
        <v>0</v>
      </c>
      <c r="U1126" s="35"/>
      <c r="V1126" s="36">
        <f t="shared" si="375"/>
        <v>0</v>
      </c>
      <c r="W1126" s="38"/>
      <c r="X1126" s="36">
        <f t="shared" si="368"/>
        <v>0</v>
      </c>
      <c r="Y1126" s="35"/>
      <c r="Z1126" s="36">
        <f t="shared" si="376"/>
        <v>0</v>
      </c>
      <c r="AA1126" s="38"/>
      <c r="AB1126" s="36">
        <f t="shared" si="369"/>
        <v>0</v>
      </c>
      <c r="AC1126" s="35"/>
      <c r="AD1126" s="36">
        <f t="shared" si="377"/>
        <v>0</v>
      </c>
      <c r="AE1126" s="38"/>
      <c r="AF1126" s="36">
        <f t="shared" si="370"/>
        <v>0</v>
      </c>
      <c r="AG1126" s="35"/>
      <c r="AH1126" s="36">
        <f t="shared" si="378"/>
        <v>0</v>
      </c>
      <c r="AI1126" s="38"/>
      <c r="AJ1126" s="36">
        <f t="shared" si="371"/>
        <v>0</v>
      </c>
      <c r="AK1126" s="35"/>
      <c r="AL1126" s="36">
        <f t="shared" si="379"/>
        <v>0</v>
      </c>
      <c r="AM1126" s="38"/>
      <c r="AN1126" s="36">
        <f t="shared" si="372"/>
        <v>0</v>
      </c>
      <c r="AO1126" s="35"/>
      <c r="AP1126" s="38"/>
    </row>
    <row r="1127" spans="1:42" ht="15.75" customHeight="1" x14ac:dyDescent="0.25">
      <c r="A1127" s="37">
        <v>2016</v>
      </c>
      <c r="B1127" s="35">
        <v>170220</v>
      </c>
      <c r="C1127" s="34" t="s">
        <v>145</v>
      </c>
      <c r="D1127" s="34" t="s">
        <v>18</v>
      </c>
      <c r="E1127" s="35"/>
      <c r="F1127" s="36">
        <f t="shared" si="362"/>
        <v>0</v>
      </c>
      <c r="G1127" s="38"/>
      <c r="H1127" s="36">
        <f t="shared" si="363"/>
        <v>0</v>
      </c>
      <c r="I1127" s="35"/>
      <c r="J1127" s="36">
        <f t="shared" si="364"/>
        <v>0</v>
      </c>
      <c r="K1127" s="38"/>
      <c r="L1127" s="36">
        <f t="shared" si="365"/>
        <v>0</v>
      </c>
      <c r="M1127" s="35"/>
      <c r="N1127" s="36">
        <f t="shared" si="373"/>
        <v>0</v>
      </c>
      <c r="O1127" s="39"/>
      <c r="P1127" s="36">
        <f t="shared" si="366"/>
        <v>0</v>
      </c>
      <c r="Q1127" s="35"/>
      <c r="R1127" s="36">
        <f t="shared" si="374"/>
        <v>0</v>
      </c>
      <c r="S1127" s="38"/>
      <c r="T1127" s="36">
        <f t="shared" si="367"/>
        <v>0</v>
      </c>
      <c r="U1127" s="35"/>
      <c r="V1127" s="36">
        <f t="shared" si="375"/>
        <v>0</v>
      </c>
      <c r="W1127" s="38"/>
      <c r="X1127" s="36">
        <f t="shared" si="368"/>
        <v>0</v>
      </c>
      <c r="Y1127" s="35"/>
      <c r="Z1127" s="36">
        <f t="shared" si="376"/>
        <v>0</v>
      </c>
      <c r="AA1127" s="38"/>
      <c r="AB1127" s="36">
        <f t="shared" si="369"/>
        <v>0</v>
      </c>
      <c r="AC1127" s="35"/>
      <c r="AD1127" s="36">
        <f t="shared" si="377"/>
        <v>0</v>
      </c>
      <c r="AE1127" s="38"/>
      <c r="AF1127" s="36">
        <f t="shared" si="370"/>
        <v>0</v>
      </c>
      <c r="AG1127" s="35"/>
      <c r="AH1127" s="36">
        <f t="shared" si="378"/>
        <v>0</v>
      </c>
      <c r="AI1127" s="38"/>
      <c r="AJ1127" s="36">
        <f t="shared" si="371"/>
        <v>0</v>
      </c>
      <c r="AK1127" s="35"/>
      <c r="AL1127" s="36">
        <f t="shared" si="379"/>
        <v>0</v>
      </c>
      <c r="AM1127" s="38"/>
      <c r="AN1127" s="36">
        <f t="shared" si="372"/>
        <v>0</v>
      </c>
      <c r="AO1127" s="35"/>
      <c r="AP1127" s="39"/>
    </row>
    <row r="1128" spans="1:42" ht="15.75" customHeight="1" x14ac:dyDescent="0.25">
      <c r="A1128" s="37">
        <v>2016</v>
      </c>
      <c r="B1128" s="35">
        <v>170230</v>
      </c>
      <c r="C1128" s="34" t="s">
        <v>150</v>
      </c>
      <c r="D1128" s="34" t="s">
        <v>19</v>
      </c>
      <c r="E1128" s="35"/>
      <c r="F1128" s="36">
        <f t="shared" si="362"/>
        <v>0</v>
      </c>
      <c r="G1128" s="38"/>
      <c r="H1128" s="36">
        <f t="shared" si="363"/>
        <v>0</v>
      </c>
      <c r="I1128" s="35"/>
      <c r="J1128" s="36">
        <f t="shared" si="364"/>
        <v>0</v>
      </c>
      <c r="K1128" s="38"/>
      <c r="L1128" s="36">
        <f t="shared" si="365"/>
        <v>0</v>
      </c>
      <c r="M1128" s="35"/>
      <c r="N1128" s="36">
        <f t="shared" si="373"/>
        <v>0</v>
      </c>
      <c r="O1128" s="38"/>
      <c r="P1128" s="36">
        <f t="shared" si="366"/>
        <v>0</v>
      </c>
      <c r="Q1128" s="35"/>
      <c r="R1128" s="36">
        <f t="shared" si="374"/>
        <v>0</v>
      </c>
      <c r="S1128" s="38"/>
      <c r="T1128" s="36">
        <f t="shared" si="367"/>
        <v>0</v>
      </c>
      <c r="U1128" s="35"/>
      <c r="V1128" s="36">
        <f t="shared" si="375"/>
        <v>0</v>
      </c>
      <c r="W1128" s="38"/>
      <c r="X1128" s="36">
        <f t="shared" si="368"/>
        <v>0</v>
      </c>
      <c r="Y1128" s="35"/>
      <c r="Z1128" s="36">
        <f t="shared" si="376"/>
        <v>0</v>
      </c>
      <c r="AA1128" s="38"/>
      <c r="AB1128" s="36">
        <f t="shared" si="369"/>
        <v>0</v>
      </c>
      <c r="AC1128" s="35"/>
      <c r="AD1128" s="36">
        <f t="shared" si="377"/>
        <v>0</v>
      </c>
      <c r="AE1128" s="38"/>
      <c r="AF1128" s="36">
        <f t="shared" si="370"/>
        <v>0</v>
      </c>
      <c r="AG1128" s="35"/>
      <c r="AH1128" s="36">
        <f t="shared" si="378"/>
        <v>0</v>
      </c>
      <c r="AI1128" s="38"/>
      <c r="AJ1128" s="36">
        <f t="shared" si="371"/>
        <v>0</v>
      </c>
      <c r="AK1128" s="35"/>
      <c r="AL1128" s="36">
        <f t="shared" si="379"/>
        <v>0</v>
      </c>
      <c r="AM1128" s="38"/>
      <c r="AN1128" s="36">
        <f t="shared" si="372"/>
        <v>0</v>
      </c>
      <c r="AO1128" s="35"/>
      <c r="AP1128" s="38"/>
    </row>
    <row r="1129" spans="1:42" ht="15.75" customHeight="1" x14ac:dyDescent="0.25">
      <c r="A1129" s="37">
        <v>2016</v>
      </c>
      <c r="B1129" s="35">
        <v>170240</v>
      </c>
      <c r="C1129" s="34" t="s">
        <v>147</v>
      </c>
      <c r="D1129" s="34" t="s">
        <v>20</v>
      </c>
      <c r="E1129" s="35"/>
      <c r="F1129" s="36">
        <f t="shared" si="362"/>
        <v>0</v>
      </c>
      <c r="G1129" s="38"/>
      <c r="H1129" s="36">
        <f t="shared" si="363"/>
        <v>0</v>
      </c>
      <c r="I1129" s="35"/>
      <c r="J1129" s="36">
        <f t="shared" si="364"/>
        <v>0</v>
      </c>
      <c r="K1129" s="38"/>
      <c r="L1129" s="36">
        <f t="shared" si="365"/>
        <v>0</v>
      </c>
      <c r="M1129" s="35"/>
      <c r="N1129" s="36">
        <f t="shared" si="373"/>
        <v>0</v>
      </c>
      <c r="O1129" s="38"/>
      <c r="P1129" s="36">
        <f t="shared" si="366"/>
        <v>0</v>
      </c>
      <c r="Q1129" s="35"/>
      <c r="R1129" s="36">
        <f t="shared" si="374"/>
        <v>0</v>
      </c>
      <c r="S1129" s="38"/>
      <c r="T1129" s="36">
        <f t="shared" si="367"/>
        <v>0</v>
      </c>
      <c r="U1129" s="35"/>
      <c r="V1129" s="36">
        <f t="shared" si="375"/>
        <v>0</v>
      </c>
      <c r="W1129" s="38"/>
      <c r="X1129" s="36">
        <f t="shared" si="368"/>
        <v>0</v>
      </c>
      <c r="Y1129" s="35"/>
      <c r="Z1129" s="36">
        <f t="shared" si="376"/>
        <v>0</v>
      </c>
      <c r="AA1129" s="38"/>
      <c r="AB1129" s="36">
        <f t="shared" si="369"/>
        <v>0</v>
      </c>
      <c r="AC1129" s="35"/>
      <c r="AD1129" s="36">
        <f t="shared" si="377"/>
        <v>0</v>
      </c>
      <c r="AE1129" s="38"/>
      <c r="AF1129" s="36">
        <f t="shared" si="370"/>
        <v>0</v>
      </c>
      <c r="AG1129" s="35"/>
      <c r="AH1129" s="36">
        <f t="shared" si="378"/>
        <v>0</v>
      </c>
      <c r="AI1129" s="38"/>
      <c r="AJ1129" s="36">
        <f t="shared" si="371"/>
        <v>0</v>
      </c>
      <c r="AK1129" s="35"/>
      <c r="AL1129" s="36">
        <f t="shared" si="379"/>
        <v>0</v>
      </c>
      <c r="AM1129" s="38"/>
      <c r="AN1129" s="36">
        <f t="shared" si="372"/>
        <v>0</v>
      </c>
      <c r="AO1129" s="35"/>
      <c r="AP1129" s="38"/>
    </row>
    <row r="1130" spans="1:42" ht="15.75" customHeight="1" x14ac:dyDescent="0.25">
      <c r="A1130" s="37">
        <v>2016</v>
      </c>
      <c r="B1130" s="35">
        <v>170255</v>
      </c>
      <c r="C1130" s="34" t="s">
        <v>145</v>
      </c>
      <c r="D1130" s="34" t="s">
        <v>21</v>
      </c>
      <c r="E1130" s="35"/>
      <c r="F1130" s="36">
        <f t="shared" si="362"/>
        <v>0</v>
      </c>
      <c r="G1130" s="38"/>
      <c r="H1130" s="36">
        <f t="shared" si="363"/>
        <v>0</v>
      </c>
      <c r="I1130" s="35"/>
      <c r="J1130" s="36">
        <f t="shared" si="364"/>
        <v>0</v>
      </c>
      <c r="K1130" s="38"/>
      <c r="L1130" s="36">
        <f t="shared" si="365"/>
        <v>0</v>
      </c>
      <c r="M1130" s="35"/>
      <c r="N1130" s="36">
        <f t="shared" si="373"/>
        <v>0</v>
      </c>
      <c r="O1130" s="38"/>
      <c r="P1130" s="36">
        <f t="shared" si="366"/>
        <v>0</v>
      </c>
      <c r="Q1130" s="35"/>
      <c r="R1130" s="36">
        <f t="shared" si="374"/>
        <v>0</v>
      </c>
      <c r="S1130" s="38"/>
      <c r="T1130" s="36">
        <f t="shared" si="367"/>
        <v>0</v>
      </c>
      <c r="U1130" s="35"/>
      <c r="V1130" s="36">
        <f t="shared" si="375"/>
        <v>0</v>
      </c>
      <c r="W1130" s="38"/>
      <c r="X1130" s="36">
        <f t="shared" si="368"/>
        <v>0</v>
      </c>
      <c r="Y1130" s="35"/>
      <c r="Z1130" s="36">
        <f t="shared" si="376"/>
        <v>0</v>
      </c>
      <c r="AA1130" s="38"/>
      <c r="AB1130" s="36">
        <f t="shared" si="369"/>
        <v>0</v>
      </c>
      <c r="AC1130" s="35"/>
      <c r="AD1130" s="36">
        <f t="shared" si="377"/>
        <v>0</v>
      </c>
      <c r="AE1130" s="38"/>
      <c r="AF1130" s="36">
        <f t="shared" si="370"/>
        <v>0</v>
      </c>
      <c r="AG1130" s="35"/>
      <c r="AH1130" s="36">
        <f t="shared" si="378"/>
        <v>0</v>
      </c>
      <c r="AI1130" s="38"/>
      <c r="AJ1130" s="36">
        <f t="shared" si="371"/>
        <v>0</v>
      </c>
      <c r="AK1130" s="35"/>
      <c r="AL1130" s="36">
        <f t="shared" si="379"/>
        <v>0</v>
      </c>
      <c r="AM1130" s="38"/>
      <c r="AN1130" s="36">
        <f t="shared" si="372"/>
        <v>0</v>
      </c>
      <c r="AO1130" s="35"/>
      <c r="AP1130" s="38"/>
    </row>
    <row r="1131" spans="1:42" ht="15.75" customHeight="1" x14ac:dyDescent="0.25">
      <c r="A1131" s="37">
        <v>2016</v>
      </c>
      <c r="B1131" s="35">
        <v>170270</v>
      </c>
      <c r="C1131" s="34" t="s">
        <v>147</v>
      </c>
      <c r="D1131" s="34" t="s">
        <v>22</v>
      </c>
      <c r="E1131" s="35"/>
      <c r="F1131" s="36">
        <f t="shared" si="362"/>
        <v>0</v>
      </c>
      <c r="G1131" s="38"/>
      <c r="H1131" s="36">
        <f t="shared" si="363"/>
        <v>0</v>
      </c>
      <c r="I1131" s="35"/>
      <c r="J1131" s="36">
        <f t="shared" si="364"/>
        <v>0</v>
      </c>
      <c r="K1131" s="38"/>
      <c r="L1131" s="36">
        <f t="shared" si="365"/>
        <v>0</v>
      </c>
      <c r="M1131" s="35"/>
      <c r="N1131" s="36">
        <f t="shared" ref="N1131:N1194" si="380">IFERROR(M1131/$AO1131,0)</f>
        <v>0</v>
      </c>
      <c r="O1131" s="38"/>
      <c r="P1131" s="36">
        <f t="shared" si="366"/>
        <v>0</v>
      </c>
      <c r="Q1131" s="35"/>
      <c r="R1131" s="36">
        <f t="shared" ref="R1131:R1194" si="381">IFERROR(Q1131/$AO1131,0)</f>
        <v>0</v>
      </c>
      <c r="S1131" s="38"/>
      <c r="T1131" s="36">
        <f t="shared" si="367"/>
        <v>0</v>
      </c>
      <c r="U1131" s="35"/>
      <c r="V1131" s="36">
        <f t="shared" ref="V1131:V1194" si="382">IFERROR(U1131/$AO1131,0)</f>
        <v>0</v>
      </c>
      <c r="W1131" s="38"/>
      <c r="X1131" s="36">
        <f t="shared" si="368"/>
        <v>0</v>
      </c>
      <c r="Y1131" s="35"/>
      <c r="Z1131" s="36">
        <f t="shared" ref="Z1131:Z1194" si="383">IFERROR(Y1131/$AO1131,0)</f>
        <v>0</v>
      </c>
      <c r="AA1131" s="38"/>
      <c r="AB1131" s="36">
        <f t="shared" si="369"/>
        <v>0</v>
      </c>
      <c r="AC1131" s="35"/>
      <c r="AD1131" s="36">
        <f t="shared" ref="AD1131:AD1194" si="384">IFERROR(AC1131/$AO1131,0)</f>
        <v>0</v>
      </c>
      <c r="AE1131" s="38"/>
      <c r="AF1131" s="36">
        <f t="shared" si="370"/>
        <v>0</v>
      </c>
      <c r="AG1131" s="35"/>
      <c r="AH1131" s="36">
        <f t="shared" ref="AH1131:AH1194" si="385">IFERROR(AG1131/$AO1131,0)</f>
        <v>0</v>
      </c>
      <c r="AI1131" s="38"/>
      <c r="AJ1131" s="36">
        <f t="shared" si="371"/>
        <v>0</v>
      </c>
      <c r="AK1131" s="35"/>
      <c r="AL1131" s="36">
        <f t="shared" ref="AL1131:AL1194" si="386">IFERROR(AK1131/$AO1131,0)</f>
        <v>0</v>
      </c>
      <c r="AM1131" s="38"/>
      <c r="AN1131" s="36">
        <f t="shared" si="372"/>
        <v>0</v>
      </c>
      <c r="AO1131" s="35"/>
      <c r="AP1131" s="38"/>
    </row>
    <row r="1132" spans="1:42" ht="15.75" customHeight="1" x14ac:dyDescent="0.25">
      <c r="A1132" s="37">
        <v>2016</v>
      </c>
      <c r="B1132" s="35">
        <v>170290</v>
      </c>
      <c r="C1132" s="34" t="s">
        <v>145</v>
      </c>
      <c r="D1132" s="34" t="s">
        <v>23</v>
      </c>
      <c r="E1132" s="35"/>
      <c r="F1132" s="36">
        <f t="shared" si="362"/>
        <v>0</v>
      </c>
      <c r="G1132" s="38"/>
      <c r="H1132" s="36">
        <f t="shared" si="363"/>
        <v>0</v>
      </c>
      <c r="I1132" s="35"/>
      <c r="J1132" s="36">
        <f t="shared" si="364"/>
        <v>0</v>
      </c>
      <c r="K1132" s="38"/>
      <c r="L1132" s="36">
        <f t="shared" si="365"/>
        <v>0</v>
      </c>
      <c r="M1132" s="35"/>
      <c r="N1132" s="36">
        <f t="shared" si="380"/>
        <v>0</v>
      </c>
      <c r="O1132" s="38"/>
      <c r="P1132" s="36">
        <f t="shared" si="366"/>
        <v>0</v>
      </c>
      <c r="Q1132" s="35"/>
      <c r="R1132" s="36">
        <f t="shared" si="381"/>
        <v>0</v>
      </c>
      <c r="S1132" s="38"/>
      <c r="T1132" s="36">
        <f t="shared" si="367"/>
        <v>0</v>
      </c>
      <c r="U1132" s="35"/>
      <c r="V1132" s="36">
        <f t="shared" si="382"/>
        <v>0</v>
      </c>
      <c r="W1132" s="38"/>
      <c r="X1132" s="36">
        <f t="shared" si="368"/>
        <v>0</v>
      </c>
      <c r="Y1132" s="35"/>
      <c r="Z1132" s="36">
        <f t="shared" si="383"/>
        <v>0</v>
      </c>
      <c r="AA1132" s="38"/>
      <c r="AB1132" s="36">
        <f t="shared" si="369"/>
        <v>0</v>
      </c>
      <c r="AC1132" s="35"/>
      <c r="AD1132" s="36">
        <f t="shared" si="384"/>
        <v>0</v>
      </c>
      <c r="AE1132" s="38"/>
      <c r="AF1132" s="36">
        <f t="shared" si="370"/>
        <v>0</v>
      </c>
      <c r="AG1132" s="35"/>
      <c r="AH1132" s="36">
        <f t="shared" si="385"/>
        <v>0</v>
      </c>
      <c r="AI1132" s="38"/>
      <c r="AJ1132" s="36">
        <f t="shared" si="371"/>
        <v>0</v>
      </c>
      <c r="AK1132" s="35"/>
      <c r="AL1132" s="36">
        <f t="shared" si="386"/>
        <v>0</v>
      </c>
      <c r="AM1132" s="38"/>
      <c r="AN1132" s="36">
        <f t="shared" si="372"/>
        <v>0</v>
      </c>
      <c r="AO1132" s="35"/>
      <c r="AP1132" s="38"/>
    </row>
    <row r="1133" spans="1:42" ht="15.75" customHeight="1" x14ac:dyDescent="0.25">
      <c r="A1133" s="37">
        <v>2016</v>
      </c>
      <c r="B1133" s="35">
        <v>170300</v>
      </c>
      <c r="C1133" s="34" t="s">
        <v>149</v>
      </c>
      <c r="D1133" s="34" t="s">
        <v>24</v>
      </c>
      <c r="E1133" s="35"/>
      <c r="F1133" s="36">
        <f t="shared" si="362"/>
        <v>0</v>
      </c>
      <c r="G1133" s="38"/>
      <c r="H1133" s="36">
        <f t="shared" si="363"/>
        <v>0</v>
      </c>
      <c r="I1133" s="35"/>
      <c r="J1133" s="36">
        <f t="shared" si="364"/>
        <v>0</v>
      </c>
      <c r="K1133" s="38"/>
      <c r="L1133" s="36">
        <f t="shared" si="365"/>
        <v>0</v>
      </c>
      <c r="M1133" s="35"/>
      <c r="N1133" s="36">
        <f t="shared" si="380"/>
        <v>0</v>
      </c>
      <c r="O1133" s="38"/>
      <c r="P1133" s="36">
        <f t="shared" si="366"/>
        <v>0</v>
      </c>
      <c r="Q1133" s="35"/>
      <c r="R1133" s="36">
        <f t="shared" si="381"/>
        <v>0</v>
      </c>
      <c r="S1133" s="38"/>
      <c r="T1133" s="36">
        <f t="shared" si="367"/>
        <v>0</v>
      </c>
      <c r="U1133" s="35"/>
      <c r="V1133" s="36">
        <f t="shared" si="382"/>
        <v>0</v>
      </c>
      <c r="W1133" s="38"/>
      <c r="X1133" s="36">
        <f t="shared" si="368"/>
        <v>0</v>
      </c>
      <c r="Y1133" s="35"/>
      <c r="Z1133" s="36">
        <f t="shared" si="383"/>
        <v>0</v>
      </c>
      <c r="AA1133" s="38"/>
      <c r="AB1133" s="36">
        <f t="shared" si="369"/>
        <v>0</v>
      </c>
      <c r="AC1133" s="35"/>
      <c r="AD1133" s="36">
        <f t="shared" si="384"/>
        <v>0</v>
      </c>
      <c r="AE1133" s="38"/>
      <c r="AF1133" s="36">
        <f t="shared" si="370"/>
        <v>0</v>
      </c>
      <c r="AG1133" s="35"/>
      <c r="AH1133" s="36">
        <f t="shared" si="385"/>
        <v>0</v>
      </c>
      <c r="AI1133" s="38"/>
      <c r="AJ1133" s="36">
        <f t="shared" si="371"/>
        <v>0</v>
      </c>
      <c r="AK1133" s="35"/>
      <c r="AL1133" s="36">
        <f t="shared" si="386"/>
        <v>0</v>
      </c>
      <c r="AM1133" s="38"/>
      <c r="AN1133" s="36">
        <f t="shared" si="372"/>
        <v>0</v>
      </c>
      <c r="AO1133" s="35"/>
      <c r="AP1133" s="38"/>
    </row>
    <row r="1134" spans="1:42" ht="15.75" customHeight="1" x14ac:dyDescent="0.25">
      <c r="A1134" s="37">
        <v>2016</v>
      </c>
      <c r="B1134" s="35">
        <v>170305</v>
      </c>
      <c r="C1134" s="34" t="s">
        <v>150</v>
      </c>
      <c r="D1134" s="34" t="s">
        <v>25</v>
      </c>
      <c r="E1134" s="35"/>
      <c r="F1134" s="36">
        <f t="shared" si="362"/>
        <v>0</v>
      </c>
      <c r="G1134" s="38"/>
      <c r="H1134" s="36">
        <f t="shared" si="363"/>
        <v>0</v>
      </c>
      <c r="I1134" s="35"/>
      <c r="J1134" s="36">
        <f t="shared" si="364"/>
        <v>0</v>
      </c>
      <c r="K1134" s="38"/>
      <c r="L1134" s="36">
        <f t="shared" si="365"/>
        <v>0</v>
      </c>
      <c r="M1134" s="35"/>
      <c r="N1134" s="36">
        <f t="shared" si="380"/>
        <v>0</v>
      </c>
      <c r="O1134" s="38"/>
      <c r="P1134" s="36">
        <f t="shared" si="366"/>
        <v>0</v>
      </c>
      <c r="Q1134" s="35"/>
      <c r="R1134" s="36">
        <f t="shared" si="381"/>
        <v>0</v>
      </c>
      <c r="S1134" s="38"/>
      <c r="T1134" s="36">
        <f t="shared" si="367"/>
        <v>0</v>
      </c>
      <c r="U1134" s="35"/>
      <c r="V1134" s="36">
        <f t="shared" si="382"/>
        <v>0</v>
      </c>
      <c r="W1134" s="38"/>
      <c r="X1134" s="36">
        <f t="shared" si="368"/>
        <v>0</v>
      </c>
      <c r="Y1134" s="35"/>
      <c r="Z1134" s="36">
        <f t="shared" si="383"/>
        <v>0</v>
      </c>
      <c r="AA1134" s="38"/>
      <c r="AB1134" s="36">
        <f t="shared" si="369"/>
        <v>0</v>
      </c>
      <c r="AC1134" s="35"/>
      <c r="AD1134" s="36">
        <f t="shared" si="384"/>
        <v>0</v>
      </c>
      <c r="AE1134" s="38"/>
      <c r="AF1134" s="36">
        <f t="shared" si="370"/>
        <v>0</v>
      </c>
      <c r="AG1134" s="35"/>
      <c r="AH1134" s="36">
        <f t="shared" si="385"/>
        <v>0</v>
      </c>
      <c r="AI1134" s="38"/>
      <c r="AJ1134" s="36">
        <f t="shared" si="371"/>
        <v>0</v>
      </c>
      <c r="AK1134" s="35"/>
      <c r="AL1134" s="36">
        <f t="shared" si="386"/>
        <v>0</v>
      </c>
      <c r="AM1134" s="38"/>
      <c r="AN1134" s="36">
        <f t="shared" si="372"/>
        <v>0</v>
      </c>
      <c r="AO1134" s="35"/>
      <c r="AP1134" s="38"/>
    </row>
    <row r="1135" spans="1:42" ht="15.75" customHeight="1" x14ac:dyDescent="0.25">
      <c r="A1135" s="37">
        <v>2016</v>
      </c>
      <c r="B1135" s="35">
        <v>170307</v>
      </c>
      <c r="C1135" s="34" t="s">
        <v>149</v>
      </c>
      <c r="D1135" s="34" t="s">
        <v>26</v>
      </c>
      <c r="E1135" s="35"/>
      <c r="F1135" s="36">
        <f t="shared" si="362"/>
        <v>0</v>
      </c>
      <c r="G1135" s="38"/>
      <c r="H1135" s="36">
        <f t="shared" si="363"/>
        <v>0</v>
      </c>
      <c r="I1135" s="35"/>
      <c r="J1135" s="36">
        <f t="shared" si="364"/>
        <v>0</v>
      </c>
      <c r="K1135" s="38"/>
      <c r="L1135" s="36">
        <f t="shared" si="365"/>
        <v>0</v>
      </c>
      <c r="M1135" s="35"/>
      <c r="N1135" s="36">
        <f t="shared" si="380"/>
        <v>0</v>
      </c>
      <c r="O1135" s="38"/>
      <c r="P1135" s="36">
        <f t="shared" si="366"/>
        <v>0</v>
      </c>
      <c r="Q1135" s="35"/>
      <c r="R1135" s="36">
        <f t="shared" si="381"/>
        <v>0</v>
      </c>
      <c r="S1135" s="38"/>
      <c r="T1135" s="36">
        <f t="shared" si="367"/>
        <v>0</v>
      </c>
      <c r="U1135" s="35"/>
      <c r="V1135" s="36">
        <f t="shared" si="382"/>
        <v>0</v>
      </c>
      <c r="W1135" s="38"/>
      <c r="X1135" s="36">
        <f t="shared" si="368"/>
        <v>0</v>
      </c>
      <c r="Y1135" s="35"/>
      <c r="Z1135" s="36">
        <f t="shared" si="383"/>
        <v>0</v>
      </c>
      <c r="AA1135" s="38"/>
      <c r="AB1135" s="36">
        <f t="shared" si="369"/>
        <v>0</v>
      </c>
      <c r="AC1135" s="35"/>
      <c r="AD1135" s="36">
        <f t="shared" si="384"/>
        <v>0</v>
      </c>
      <c r="AE1135" s="38"/>
      <c r="AF1135" s="36">
        <f t="shared" si="370"/>
        <v>0</v>
      </c>
      <c r="AG1135" s="35"/>
      <c r="AH1135" s="36">
        <f t="shared" si="385"/>
        <v>0</v>
      </c>
      <c r="AI1135" s="38"/>
      <c r="AJ1135" s="36">
        <f t="shared" si="371"/>
        <v>0</v>
      </c>
      <c r="AK1135" s="35"/>
      <c r="AL1135" s="36">
        <f t="shared" si="386"/>
        <v>0</v>
      </c>
      <c r="AM1135" s="38"/>
      <c r="AN1135" s="36">
        <f t="shared" si="372"/>
        <v>0</v>
      </c>
      <c r="AO1135" s="35"/>
      <c r="AP1135" s="38"/>
    </row>
    <row r="1136" spans="1:42" ht="15.75" customHeight="1" x14ac:dyDescent="0.25">
      <c r="A1136" s="37">
        <v>2016</v>
      </c>
      <c r="B1136" s="35">
        <v>170310</v>
      </c>
      <c r="C1136" s="34" t="s">
        <v>144</v>
      </c>
      <c r="D1136" s="34" t="s">
        <v>27</v>
      </c>
      <c r="E1136" s="35"/>
      <c r="F1136" s="36">
        <f t="shared" si="362"/>
        <v>0</v>
      </c>
      <c r="G1136" s="38"/>
      <c r="H1136" s="36">
        <f t="shared" si="363"/>
        <v>0</v>
      </c>
      <c r="I1136" s="35"/>
      <c r="J1136" s="36">
        <f t="shared" si="364"/>
        <v>0</v>
      </c>
      <c r="K1136" s="38"/>
      <c r="L1136" s="36">
        <f t="shared" si="365"/>
        <v>0</v>
      </c>
      <c r="M1136" s="35"/>
      <c r="N1136" s="36">
        <f t="shared" si="380"/>
        <v>0</v>
      </c>
      <c r="O1136" s="38"/>
      <c r="P1136" s="36">
        <f t="shared" si="366"/>
        <v>0</v>
      </c>
      <c r="Q1136" s="35"/>
      <c r="R1136" s="36">
        <f t="shared" si="381"/>
        <v>0</v>
      </c>
      <c r="S1136" s="38"/>
      <c r="T1136" s="36">
        <f t="shared" si="367"/>
        <v>0</v>
      </c>
      <c r="U1136" s="35"/>
      <c r="V1136" s="36">
        <f t="shared" si="382"/>
        <v>0</v>
      </c>
      <c r="W1136" s="38"/>
      <c r="X1136" s="36">
        <f t="shared" si="368"/>
        <v>0</v>
      </c>
      <c r="Y1136" s="35"/>
      <c r="Z1136" s="36">
        <f t="shared" si="383"/>
        <v>0</v>
      </c>
      <c r="AA1136" s="38"/>
      <c r="AB1136" s="36">
        <f t="shared" si="369"/>
        <v>0</v>
      </c>
      <c r="AC1136" s="35"/>
      <c r="AD1136" s="36">
        <f t="shared" si="384"/>
        <v>0</v>
      </c>
      <c r="AE1136" s="38"/>
      <c r="AF1136" s="36">
        <f t="shared" si="370"/>
        <v>0</v>
      </c>
      <c r="AG1136" s="35"/>
      <c r="AH1136" s="36">
        <f t="shared" si="385"/>
        <v>0</v>
      </c>
      <c r="AI1136" s="38"/>
      <c r="AJ1136" s="36">
        <f t="shared" si="371"/>
        <v>0</v>
      </c>
      <c r="AK1136" s="35"/>
      <c r="AL1136" s="36">
        <f t="shared" si="386"/>
        <v>0</v>
      </c>
      <c r="AM1136" s="38"/>
      <c r="AN1136" s="36">
        <f t="shared" si="372"/>
        <v>0</v>
      </c>
      <c r="AO1136" s="35"/>
      <c r="AP1136" s="38"/>
    </row>
    <row r="1137" spans="1:42" ht="15.75" customHeight="1" x14ac:dyDescent="0.25">
      <c r="A1137" s="37">
        <v>2016</v>
      </c>
      <c r="B1137" s="35">
        <v>170320</v>
      </c>
      <c r="C1137" s="34" t="s">
        <v>150</v>
      </c>
      <c r="D1137" s="34" t="s">
        <v>28</v>
      </c>
      <c r="E1137" s="35"/>
      <c r="F1137" s="36">
        <f t="shared" si="362"/>
        <v>0</v>
      </c>
      <c r="G1137" s="38"/>
      <c r="H1137" s="36">
        <f t="shared" si="363"/>
        <v>0</v>
      </c>
      <c r="I1137" s="35"/>
      <c r="J1137" s="36">
        <f t="shared" si="364"/>
        <v>0</v>
      </c>
      <c r="K1137" s="38"/>
      <c r="L1137" s="36">
        <f t="shared" si="365"/>
        <v>0</v>
      </c>
      <c r="M1137" s="35"/>
      <c r="N1137" s="36">
        <f t="shared" si="380"/>
        <v>0</v>
      </c>
      <c r="O1137" s="38"/>
      <c r="P1137" s="36">
        <f t="shared" si="366"/>
        <v>0</v>
      </c>
      <c r="Q1137" s="35"/>
      <c r="R1137" s="36">
        <f t="shared" si="381"/>
        <v>0</v>
      </c>
      <c r="S1137" s="38"/>
      <c r="T1137" s="36">
        <f t="shared" si="367"/>
        <v>0</v>
      </c>
      <c r="U1137" s="35"/>
      <c r="V1137" s="36">
        <f t="shared" si="382"/>
        <v>0</v>
      </c>
      <c r="W1137" s="38"/>
      <c r="X1137" s="36">
        <f t="shared" si="368"/>
        <v>0</v>
      </c>
      <c r="Y1137" s="35"/>
      <c r="Z1137" s="36">
        <f t="shared" si="383"/>
        <v>0</v>
      </c>
      <c r="AA1137" s="38"/>
      <c r="AB1137" s="36">
        <f t="shared" si="369"/>
        <v>0</v>
      </c>
      <c r="AC1137" s="35"/>
      <c r="AD1137" s="36">
        <f t="shared" si="384"/>
        <v>0</v>
      </c>
      <c r="AE1137" s="38"/>
      <c r="AF1137" s="36">
        <f t="shared" si="370"/>
        <v>0</v>
      </c>
      <c r="AG1137" s="35"/>
      <c r="AH1137" s="36">
        <f t="shared" si="385"/>
        <v>0</v>
      </c>
      <c r="AI1137" s="38"/>
      <c r="AJ1137" s="36">
        <f t="shared" si="371"/>
        <v>0</v>
      </c>
      <c r="AK1137" s="35"/>
      <c r="AL1137" s="36">
        <f t="shared" si="386"/>
        <v>0</v>
      </c>
      <c r="AM1137" s="38"/>
      <c r="AN1137" s="36">
        <f t="shared" si="372"/>
        <v>0</v>
      </c>
      <c r="AO1137" s="35"/>
      <c r="AP1137" s="38"/>
    </row>
    <row r="1138" spans="1:42" ht="15.75" customHeight="1" x14ac:dyDescent="0.25">
      <c r="A1138" s="37">
        <v>2016</v>
      </c>
      <c r="B1138" s="35">
        <v>170330</v>
      </c>
      <c r="C1138" s="34" t="s">
        <v>150</v>
      </c>
      <c r="D1138" s="34" t="s">
        <v>29</v>
      </c>
      <c r="E1138" s="35"/>
      <c r="F1138" s="36">
        <f t="shared" si="362"/>
        <v>0</v>
      </c>
      <c r="G1138" s="38"/>
      <c r="H1138" s="36">
        <f t="shared" si="363"/>
        <v>0</v>
      </c>
      <c r="I1138" s="35"/>
      <c r="J1138" s="36">
        <f t="shared" si="364"/>
        <v>0</v>
      </c>
      <c r="K1138" s="38"/>
      <c r="L1138" s="36">
        <f t="shared" si="365"/>
        <v>0</v>
      </c>
      <c r="M1138" s="35"/>
      <c r="N1138" s="36">
        <f t="shared" si="380"/>
        <v>0</v>
      </c>
      <c r="O1138" s="38"/>
      <c r="P1138" s="36">
        <f t="shared" si="366"/>
        <v>0</v>
      </c>
      <c r="Q1138" s="35"/>
      <c r="R1138" s="36">
        <f t="shared" si="381"/>
        <v>0</v>
      </c>
      <c r="S1138" s="38"/>
      <c r="T1138" s="36">
        <f t="shared" si="367"/>
        <v>0</v>
      </c>
      <c r="U1138" s="35"/>
      <c r="V1138" s="36">
        <f t="shared" si="382"/>
        <v>0</v>
      </c>
      <c r="W1138" s="38"/>
      <c r="X1138" s="36">
        <f t="shared" si="368"/>
        <v>0</v>
      </c>
      <c r="Y1138" s="35"/>
      <c r="Z1138" s="36">
        <f t="shared" si="383"/>
        <v>0</v>
      </c>
      <c r="AA1138" s="38"/>
      <c r="AB1138" s="36">
        <f t="shared" si="369"/>
        <v>0</v>
      </c>
      <c r="AC1138" s="35"/>
      <c r="AD1138" s="36">
        <f t="shared" si="384"/>
        <v>0</v>
      </c>
      <c r="AE1138" s="38"/>
      <c r="AF1138" s="36">
        <f t="shared" si="370"/>
        <v>0</v>
      </c>
      <c r="AG1138" s="35"/>
      <c r="AH1138" s="36">
        <f t="shared" si="385"/>
        <v>0</v>
      </c>
      <c r="AI1138" s="38"/>
      <c r="AJ1138" s="36">
        <f t="shared" si="371"/>
        <v>0</v>
      </c>
      <c r="AK1138" s="35"/>
      <c r="AL1138" s="36">
        <f t="shared" si="386"/>
        <v>0</v>
      </c>
      <c r="AM1138" s="38"/>
      <c r="AN1138" s="36">
        <f t="shared" si="372"/>
        <v>0</v>
      </c>
      <c r="AO1138" s="35"/>
      <c r="AP1138" s="38"/>
    </row>
    <row r="1139" spans="1:42" ht="15.75" customHeight="1" x14ac:dyDescent="0.25">
      <c r="A1139" s="37">
        <v>2016</v>
      </c>
      <c r="B1139" s="35">
        <v>170360</v>
      </c>
      <c r="C1139" s="34" t="s">
        <v>150</v>
      </c>
      <c r="D1139" s="34" t="s">
        <v>30</v>
      </c>
      <c r="E1139" s="35"/>
      <c r="F1139" s="36">
        <f t="shared" si="362"/>
        <v>0</v>
      </c>
      <c r="G1139" s="38"/>
      <c r="H1139" s="36">
        <f t="shared" si="363"/>
        <v>0</v>
      </c>
      <c r="I1139" s="35"/>
      <c r="J1139" s="36">
        <f t="shared" si="364"/>
        <v>0</v>
      </c>
      <c r="K1139" s="38"/>
      <c r="L1139" s="36">
        <f t="shared" si="365"/>
        <v>0</v>
      </c>
      <c r="M1139" s="35"/>
      <c r="N1139" s="36">
        <f t="shared" si="380"/>
        <v>0</v>
      </c>
      <c r="O1139" s="38"/>
      <c r="P1139" s="36">
        <f t="shared" si="366"/>
        <v>0</v>
      </c>
      <c r="Q1139" s="35"/>
      <c r="R1139" s="36">
        <f t="shared" si="381"/>
        <v>0</v>
      </c>
      <c r="S1139" s="38"/>
      <c r="T1139" s="36">
        <f t="shared" si="367"/>
        <v>0</v>
      </c>
      <c r="U1139" s="35"/>
      <c r="V1139" s="36">
        <f t="shared" si="382"/>
        <v>0</v>
      </c>
      <c r="W1139" s="38"/>
      <c r="X1139" s="36">
        <f t="shared" si="368"/>
        <v>0</v>
      </c>
      <c r="Y1139" s="35"/>
      <c r="Z1139" s="36">
        <f t="shared" si="383"/>
        <v>0</v>
      </c>
      <c r="AA1139" s="38"/>
      <c r="AB1139" s="36">
        <f t="shared" si="369"/>
        <v>0</v>
      </c>
      <c r="AC1139" s="35"/>
      <c r="AD1139" s="36">
        <f t="shared" si="384"/>
        <v>0</v>
      </c>
      <c r="AE1139" s="38"/>
      <c r="AF1139" s="36">
        <f t="shared" si="370"/>
        <v>0</v>
      </c>
      <c r="AG1139" s="35"/>
      <c r="AH1139" s="36">
        <f t="shared" si="385"/>
        <v>0</v>
      </c>
      <c r="AI1139" s="38"/>
      <c r="AJ1139" s="36">
        <f t="shared" si="371"/>
        <v>0</v>
      </c>
      <c r="AK1139" s="35"/>
      <c r="AL1139" s="36">
        <f t="shared" si="386"/>
        <v>0</v>
      </c>
      <c r="AM1139" s="38"/>
      <c r="AN1139" s="36">
        <f t="shared" si="372"/>
        <v>0</v>
      </c>
      <c r="AO1139" s="35"/>
      <c r="AP1139" s="38"/>
    </row>
    <row r="1140" spans="1:42" ht="15.75" customHeight="1" x14ac:dyDescent="0.25">
      <c r="A1140" s="37">
        <v>2016</v>
      </c>
      <c r="B1140" s="35">
        <v>170370</v>
      </c>
      <c r="C1140" s="34" t="s">
        <v>151</v>
      </c>
      <c r="D1140" s="34" t="s">
        <v>31</v>
      </c>
      <c r="E1140" s="35"/>
      <c r="F1140" s="36">
        <f t="shared" si="362"/>
        <v>0</v>
      </c>
      <c r="G1140" s="38"/>
      <c r="H1140" s="36">
        <f t="shared" si="363"/>
        <v>0</v>
      </c>
      <c r="I1140" s="35"/>
      <c r="J1140" s="36">
        <f t="shared" si="364"/>
        <v>0</v>
      </c>
      <c r="K1140" s="38"/>
      <c r="L1140" s="36">
        <f t="shared" si="365"/>
        <v>0</v>
      </c>
      <c r="M1140" s="35"/>
      <c r="N1140" s="36">
        <f t="shared" si="380"/>
        <v>0</v>
      </c>
      <c r="O1140" s="38"/>
      <c r="P1140" s="36">
        <f t="shared" si="366"/>
        <v>0</v>
      </c>
      <c r="Q1140" s="35"/>
      <c r="R1140" s="36">
        <f t="shared" si="381"/>
        <v>0</v>
      </c>
      <c r="S1140" s="38"/>
      <c r="T1140" s="36">
        <f t="shared" si="367"/>
        <v>0</v>
      </c>
      <c r="U1140" s="35"/>
      <c r="V1140" s="36">
        <f t="shared" si="382"/>
        <v>0</v>
      </c>
      <c r="W1140" s="38"/>
      <c r="X1140" s="36">
        <f t="shared" si="368"/>
        <v>0</v>
      </c>
      <c r="Y1140" s="35"/>
      <c r="Z1140" s="36">
        <f t="shared" si="383"/>
        <v>0</v>
      </c>
      <c r="AA1140" s="38"/>
      <c r="AB1140" s="36">
        <f t="shared" si="369"/>
        <v>0</v>
      </c>
      <c r="AC1140" s="35"/>
      <c r="AD1140" s="36">
        <f t="shared" si="384"/>
        <v>0</v>
      </c>
      <c r="AE1140" s="38"/>
      <c r="AF1140" s="36">
        <f t="shared" si="370"/>
        <v>0</v>
      </c>
      <c r="AG1140" s="35"/>
      <c r="AH1140" s="36">
        <f t="shared" si="385"/>
        <v>0</v>
      </c>
      <c r="AI1140" s="38"/>
      <c r="AJ1140" s="36">
        <f t="shared" si="371"/>
        <v>0</v>
      </c>
      <c r="AK1140" s="35"/>
      <c r="AL1140" s="36">
        <f t="shared" si="386"/>
        <v>0</v>
      </c>
      <c r="AM1140" s="38"/>
      <c r="AN1140" s="36">
        <f t="shared" si="372"/>
        <v>0</v>
      </c>
      <c r="AO1140" s="35"/>
      <c r="AP1140" s="38"/>
    </row>
    <row r="1141" spans="1:42" ht="15.75" customHeight="1" x14ac:dyDescent="0.25">
      <c r="A1141" s="37">
        <v>2016</v>
      </c>
      <c r="B1141" s="35">
        <v>170380</v>
      </c>
      <c r="C1141" s="34" t="s">
        <v>145</v>
      </c>
      <c r="D1141" s="34" t="s">
        <v>32</v>
      </c>
      <c r="E1141" s="35"/>
      <c r="F1141" s="36">
        <f t="shared" si="362"/>
        <v>0</v>
      </c>
      <c r="G1141" s="38"/>
      <c r="H1141" s="36">
        <f t="shared" si="363"/>
        <v>0</v>
      </c>
      <c r="I1141" s="35"/>
      <c r="J1141" s="36">
        <f t="shared" si="364"/>
        <v>0</v>
      </c>
      <c r="K1141" s="38"/>
      <c r="L1141" s="36">
        <f t="shared" si="365"/>
        <v>0</v>
      </c>
      <c r="M1141" s="35"/>
      <c r="N1141" s="36">
        <f t="shared" si="380"/>
        <v>0</v>
      </c>
      <c r="O1141" s="38"/>
      <c r="P1141" s="36">
        <f t="shared" si="366"/>
        <v>0</v>
      </c>
      <c r="Q1141" s="35"/>
      <c r="R1141" s="36">
        <f t="shared" si="381"/>
        <v>0</v>
      </c>
      <c r="S1141" s="38"/>
      <c r="T1141" s="36">
        <f t="shared" si="367"/>
        <v>0</v>
      </c>
      <c r="U1141" s="35"/>
      <c r="V1141" s="36">
        <f t="shared" si="382"/>
        <v>0</v>
      </c>
      <c r="W1141" s="38"/>
      <c r="X1141" s="36">
        <f t="shared" si="368"/>
        <v>0</v>
      </c>
      <c r="Y1141" s="35"/>
      <c r="Z1141" s="36">
        <f t="shared" si="383"/>
        <v>0</v>
      </c>
      <c r="AA1141" s="38"/>
      <c r="AB1141" s="36">
        <f t="shared" si="369"/>
        <v>0</v>
      </c>
      <c r="AC1141" s="35"/>
      <c r="AD1141" s="36">
        <f t="shared" si="384"/>
        <v>0</v>
      </c>
      <c r="AE1141" s="38"/>
      <c r="AF1141" s="36">
        <f t="shared" si="370"/>
        <v>0</v>
      </c>
      <c r="AG1141" s="35"/>
      <c r="AH1141" s="36">
        <f t="shared" si="385"/>
        <v>0</v>
      </c>
      <c r="AI1141" s="38"/>
      <c r="AJ1141" s="36">
        <f t="shared" si="371"/>
        <v>0</v>
      </c>
      <c r="AK1141" s="35"/>
      <c r="AL1141" s="36">
        <f t="shared" si="386"/>
        <v>0</v>
      </c>
      <c r="AM1141" s="38"/>
      <c r="AN1141" s="36">
        <f t="shared" si="372"/>
        <v>0</v>
      </c>
      <c r="AO1141" s="35"/>
      <c r="AP1141" s="38"/>
    </row>
    <row r="1142" spans="1:42" ht="15.75" customHeight="1" x14ac:dyDescent="0.25">
      <c r="A1142" s="37">
        <v>2016</v>
      </c>
      <c r="B1142" s="35">
        <v>170382</v>
      </c>
      <c r="C1142" s="34" t="s">
        <v>145</v>
      </c>
      <c r="D1142" s="34" t="s">
        <v>33</v>
      </c>
      <c r="E1142" s="35"/>
      <c r="F1142" s="36">
        <f t="shared" si="362"/>
        <v>0</v>
      </c>
      <c r="G1142" s="38"/>
      <c r="H1142" s="36">
        <f t="shared" si="363"/>
        <v>0</v>
      </c>
      <c r="I1142" s="35"/>
      <c r="J1142" s="36">
        <f t="shared" si="364"/>
        <v>0</v>
      </c>
      <c r="K1142" s="38"/>
      <c r="L1142" s="36">
        <f t="shared" si="365"/>
        <v>0</v>
      </c>
      <c r="M1142" s="35"/>
      <c r="N1142" s="36">
        <f t="shared" si="380"/>
        <v>0</v>
      </c>
      <c r="O1142" s="38"/>
      <c r="P1142" s="36">
        <f t="shared" si="366"/>
        <v>0</v>
      </c>
      <c r="Q1142" s="35"/>
      <c r="R1142" s="36">
        <f t="shared" si="381"/>
        <v>0</v>
      </c>
      <c r="S1142" s="38"/>
      <c r="T1142" s="36">
        <f t="shared" si="367"/>
        <v>0</v>
      </c>
      <c r="U1142" s="35"/>
      <c r="V1142" s="36">
        <f t="shared" si="382"/>
        <v>0</v>
      </c>
      <c r="W1142" s="38"/>
      <c r="X1142" s="36">
        <f t="shared" si="368"/>
        <v>0</v>
      </c>
      <c r="Y1142" s="35"/>
      <c r="Z1142" s="36">
        <f t="shared" si="383"/>
        <v>0</v>
      </c>
      <c r="AA1142" s="38"/>
      <c r="AB1142" s="36">
        <f t="shared" si="369"/>
        <v>0</v>
      </c>
      <c r="AC1142" s="35"/>
      <c r="AD1142" s="36">
        <f t="shared" si="384"/>
        <v>0</v>
      </c>
      <c r="AE1142" s="38"/>
      <c r="AF1142" s="36">
        <f t="shared" si="370"/>
        <v>0</v>
      </c>
      <c r="AG1142" s="35"/>
      <c r="AH1142" s="36">
        <f t="shared" si="385"/>
        <v>0</v>
      </c>
      <c r="AI1142" s="38"/>
      <c r="AJ1142" s="36">
        <f t="shared" si="371"/>
        <v>0</v>
      </c>
      <c r="AK1142" s="35"/>
      <c r="AL1142" s="36">
        <f t="shared" si="386"/>
        <v>0</v>
      </c>
      <c r="AM1142" s="38"/>
      <c r="AN1142" s="36">
        <f t="shared" si="372"/>
        <v>0</v>
      </c>
      <c r="AO1142" s="35"/>
      <c r="AP1142" s="38"/>
    </row>
    <row r="1143" spans="1:42" ht="15.75" customHeight="1" x14ac:dyDescent="0.25">
      <c r="A1143" s="37">
        <v>2016</v>
      </c>
      <c r="B1143" s="35">
        <v>170384</v>
      </c>
      <c r="C1143" s="34" t="s">
        <v>149</v>
      </c>
      <c r="D1143" s="34" t="s">
        <v>34</v>
      </c>
      <c r="E1143" s="35"/>
      <c r="F1143" s="36">
        <f t="shared" si="362"/>
        <v>0</v>
      </c>
      <c r="G1143" s="38"/>
      <c r="H1143" s="36">
        <f t="shared" si="363"/>
        <v>0</v>
      </c>
      <c r="I1143" s="35"/>
      <c r="J1143" s="36">
        <f t="shared" si="364"/>
        <v>0</v>
      </c>
      <c r="K1143" s="38"/>
      <c r="L1143" s="36">
        <f t="shared" si="365"/>
        <v>0</v>
      </c>
      <c r="M1143" s="35"/>
      <c r="N1143" s="36">
        <f t="shared" si="380"/>
        <v>0</v>
      </c>
      <c r="O1143" s="38"/>
      <c r="P1143" s="36">
        <f t="shared" si="366"/>
        <v>0</v>
      </c>
      <c r="Q1143" s="35"/>
      <c r="R1143" s="36">
        <f t="shared" si="381"/>
        <v>0</v>
      </c>
      <c r="S1143" s="38"/>
      <c r="T1143" s="36">
        <f t="shared" si="367"/>
        <v>0</v>
      </c>
      <c r="U1143" s="35"/>
      <c r="V1143" s="36">
        <f t="shared" si="382"/>
        <v>0</v>
      </c>
      <c r="W1143" s="38"/>
      <c r="X1143" s="36">
        <f t="shared" si="368"/>
        <v>0</v>
      </c>
      <c r="Y1143" s="35"/>
      <c r="Z1143" s="36">
        <f t="shared" si="383"/>
        <v>0</v>
      </c>
      <c r="AA1143" s="38"/>
      <c r="AB1143" s="36">
        <f t="shared" si="369"/>
        <v>0</v>
      </c>
      <c r="AC1143" s="35"/>
      <c r="AD1143" s="36">
        <f t="shared" si="384"/>
        <v>0</v>
      </c>
      <c r="AE1143" s="38"/>
      <c r="AF1143" s="36">
        <f t="shared" si="370"/>
        <v>0</v>
      </c>
      <c r="AG1143" s="35"/>
      <c r="AH1143" s="36">
        <f t="shared" si="385"/>
        <v>0</v>
      </c>
      <c r="AI1143" s="38"/>
      <c r="AJ1143" s="36">
        <f t="shared" si="371"/>
        <v>0</v>
      </c>
      <c r="AK1143" s="35"/>
      <c r="AL1143" s="36">
        <f t="shared" si="386"/>
        <v>0</v>
      </c>
      <c r="AM1143" s="38"/>
      <c r="AN1143" s="36">
        <f t="shared" si="372"/>
        <v>0</v>
      </c>
      <c r="AO1143" s="35"/>
      <c r="AP1143" s="38"/>
    </row>
    <row r="1144" spans="1:42" ht="15.75" customHeight="1" x14ac:dyDescent="0.25">
      <c r="A1144" s="37">
        <v>2016</v>
      </c>
      <c r="B1144" s="35">
        <v>170386</v>
      </c>
      <c r="C1144" s="34" t="s">
        <v>146</v>
      </c>
      <c r="D1144" s="34" t="s">
        <v>35</v>
      </c>
      <c r="E1144" s="35"/>
      <c r="F1144" s="36">
        <f t="shared" si="362"/>
        <v>0</v>
      </c>
      <c r="G1144" s="38"/>
      <c r="H1144" s="36">
        <f t="shared" si="363"/>
        <v>0</v>
      </c>
      <c r="I1144" s="35"/>
      <c r="J1144" s="36">
        <f t="shared" si="364"/>
        <v>0</v>
      </c>
      <c r="K1144" s="38"/>
      <c r="L1144" s="36">
        <f t="shared" si="365"/>
        <v>0</v>
      </c>
      <c r="M1144" s="35"/>
      <c r="N1144" s="36">
        <f t="shared" si="380"/>
        <v>0</v>
      </c>
      <c r="O1144" s="38"/>
      <c r="P1144" s="36">
        <f t="shared" si="366"/>
        <v>0</v>
      </c>
      <c r="Q1144" s="35"/>
      <c r="R1144" s="36">
        <f t="shared" si="381"/>
        <v>0</v>
      </c>
      <c r="S1144" s="38"/>
      <c r="T1144" s="36">
        <f t="shared" si="367"/>
        <v>0</v>
      </c>
      <c r="U1144" s="35"/>
      <c r="V1144" s="36">
        <f t="shared" si="382"/>
        <v>0</v>
      </c>
      <c r="W1144" s="38"/>
      <c r="X1144" s="36">
        <f t="shared" si="368"/>
        <v>0</v>
      </c>
      <c r="Y1144" s="35"/>
      <c r="Z1144" s="36">
        <f t="shared" si="383"/>
        <v>0</v>
      </c>
      <c r="AA1144" s="38"/>
      <c r="AB1144" s="36">
        <f t="shared" si="369"/>
        <v>0</v>
      </c>
      <c r="AC1144" s="35"/>
      <c r="AD1144" s="36">
        <f t="shared" si="384"/>
        <v>0</v>
      </c>
      <c r="AE1144" s="38"/>
      <c r="AF1144" s="36">
        <f t="shared" si="370"/>
        <v>0</v>
      </c>
      <c r="AG1144" s="35"/>
      <c r="AH1144" s="36">
        <f t="shared" si="385"/>
        <v>0</v>
      </c>
      <c r="AI1144" s="38"/>
      <c r="AJ1144" s="36">
        <f t="shared" si="371"/>
        <v>0</v>
      </c>
      <c r="AK1144" s="35"/>
      <c r="AL1144" s="36">
        <f t="shared" si="386"/>
        <v>0</v>
      </c>
      <c r="AM1144" s="38"/>
      <c r="AN1144" s="36">
        <f t="shared" si="372"/>
        <v>0</v>
      </c>
      <c r="AO1144" s="35"/>
      <c r="AP1144" s="38"/>
    </row>
    <row r="1145" spans="1:42" ht="15.75" customHeight="1" x14ac:dyDescent="0.25">
      <c r="A1145" s="37">
        <v>2016</v>
      </c>
      <c r="B1145" s="35">
        <v>170388</v>
      </c>
      <c r="C1145" s="34" t="s">
        <v>149</v>
      </c>
      <c r="D1145" s="34" t="s">
        <v>36</v>
      </c>
      <c r="E1145" s="35"/>
      <c r="F1145" s="36">
        <f t="shared" si="362"/>
        <v>0</v>
      </c>
      <c r="G1145" s="38"/>
      <c r="H1145" s="36">
        <f t="shared" si="363"/>
        <v>0</v>
      </c>
      <c r="I1145" s="35"/>
      <c r="J1145" s="36">
        <f t="shared" si="364"/>
        <v>0</v>
      </c>
      <c r="K1145" s="38"/>
      <c r="L1145" s="36">
        <f t="shared" si="365"/>
        <v>0</v>
      </c>
      <c r="M1145" s="35"/>
      <c r="N1145" s="36">
        <f t="shared" si="380"/>
        <v>0</v>
      </c>
      <c r="O1145" s="38"/>
      <c r="P1145" s="36">
        <f t="shared" si="366"/>
        <v>0</v>
      </c>
      <c r="Q1145" s="35"/>
      <c r="R1145" s="36">
        <f t="shared" si="381"/>
        <v>0</v>
      </c>
      <c r="S1145" s="38"/>
      <c r="T1145" s="36">
        <f t="shared" si="367"/>
        <v>0</v>
      </c>
      <c r="U1145" s="35"/>
      <c r="V1145" s="36">
        <f t="shared" si="382"/>
        <v>0</v>
      </c>
      <c r="W1145" s="38"/>
      <c r="X1145" s="36">
        <f t="shared" si="368"/>
        <v>0</v>
      </c>
      <c r="Y1145" s="35"/>
      <c r="Z1145" s="36">
        <f t="shared" si="383"/>
        <v>0</v>
      </c>
      <c r="AA1145" s="38"/>
      <c r="AB1145" s="36">
        <f t="shared" si="369"/>
        <v>0</v>
      </c>
      <c r="AC1145" s="35"/>
      <c r="AD1145" s="36">
        <f t="shared" si="384"/>
        <v>0</v>
      </c>
      <c r="AE1145" s="38"/>
      <c r="AF1145" s="36">
        <f t="shared" si="370"/>
        <v>0</v>
      </c>
      <c r="AG1145" s="35"/>
      <c r="AH1145" s="36">
        <f t="shared" si="385"/>
        <v>0</v>
      </c>
      <c r="AI1145" s="38"/>
      <c r="AJ1145" s="36">
        <f t="shared" si="371"/>
        <v>0</v>
      </c>
      <c r="AK1145" s="35"/>
      <c r="AL1145" s="36">
        <f t="shared" si="386"/>
        <v>0</v>
      </c>
      <c r="AM1145" s="38"/>
      <c r="AN1145" s="36">
        <f t="shared" si="372"/>
        <v>0</v>
      </c>
      <c r="AO1145" s="35"/>
      <c r="AP1145" s="38"/>
    </row>
    <row r="1146" spans="1:42" ht="15.75" customHeight="1" x14ac:dyDescent="0.25">
      <c r="A1146" s="37">
        <v>2016</v>
      </c>
      <c r="B1146" s="35">
        <v>170389</v>
      </c>
      <c r="C1146" s="34" t="s">
        <v>145</v>
      </c>
      <c r="D1146" s="34" t="s">
        <v>37</v>
      </c>
      <c r="E1146" s="35"/>
      <c r="F1146" s="36">
        <f t="shared" si="362"/>
        <v>0</v>
      </c>
      <c r="G1146" s="38"/>
      <c r="H1146" s="36">
        <f t="shared" si="363"/>
        <v>0</v>
      </c>
      <c r="I1146" s="35"/>
      <c r="J1146" s="36">
        <f t="shared" si="364"/>
        <v>0</v>
      </c>
      <c r="K1146" s="38"/>
      <c r="L1146" s="36">
        <f t="shared" si="365"/>
        <v>0</v>
      </c>
      <c r="M1146" s="35"/>
      <c r="N1146" s="36">
        <f t="shared" si="380"/>
        <v>0</v>
      </c>
      <c r="O1146" s="38"/>
      <c r="P1146" s="36">
        <f t="shared" si="366"/>
        <v>0</v>
      </c>
      <c r="Q1146" s="35"/>
      <c r="R1146" s="36">
        <f t="shared" si="381"/>
        <v>0</v>
      </c>
      <c r="S1146" s="38"/>
      <c r="T1146" s="36">
        <f t="shared" si="367"/>
        <v>0</v>
      </c>
      <c r="U1146" s="35"/>
      <c r="V1146" s="36">
        <f t="shared" si="382"/>
        <v>0</v>
      </c>
      <c r="W1146" s="38"/>
      <c r="X1146" s="36">
        <f t="shared" si="368"/>
        <v>0</v>
      </c>
      <c r="Y1146" s="35"/>
      <c r="Z1146" s="36">
        <f t="shared" si="383"/>
        <v>0</v>
      </c>
      <c r="AA1146" s="38"/>
      <c r="AB1146" s="36">
        <f t="shared" si="369"/>
        <v>0</v>
      </c>
      <c r="AC1146" s="35"/>
      <c r="AD1146" s="36">
        <f t="shared" si="384"/>
        <v>0</v>
      </c>
      <c r="AE1146" s="38"/>
      <c r="AF1146" s="36">
        <f t="shared" si="370"/>
        <v>0</v>
      </c>
      <c r="AG1146" s="35"/>
      <c r="AH1146" s="36">
        <f t="shared" si="385"/>
        <v>0</v>
      </c>
      <c r="AI1146" s="38"/>
      <c r="AJ1146" s="36">
        <f t="shared" si="371"/>
        <v>0</v>
      </c>
      <c r="AK1146" s="35"/>
      <c r="AL1146" s="36">
        <f t="shared" si="386"/>
        <v>0</v>
      </c>
      <c r="AM1146" s="38"/>
      <c r="AN1146" s="36">
        <f t="shared" si="372"/>
        <v>0</v>
      </c>
      <c r="AO1146" s="35"/>
      <c r="AP1146" s="38"/>
    </row>
    <row r="1147" spans="1:42" ht="15.75" customHeight="1" x14ac:dyDescent="0.25">
      <c r="A1147" s="37">
        <v>2016</v>
      </c>
      <c r="B1147" s="35">
        <v>170390</v>
      </c>
      <c r="C1147" s="34" t="s">
        <v>144</v>
      </c>
      <c r="D1147" s="34" t="s">
        <v>38</v>
      </c>
      <c r="E1147" s="35"/>
      <c r="F1147" s="36">
        <f t="shared" si="362"/>
        <v>0</v>
      </c>
      <c r="G1147" s="38"/>
      <c r="H1147" s="36">
        <f t="shared" si="363"/>
        <v>0</v>
      </c>
      <c r="I1147" s="35"/>
      <c r="J1147" s="36">
        <f t="shared" si="364"/>
        <v>0</v>
      </c>
      <c r="K1147" s="38"/>
      <c r="L1147" s="36">
        <f t="shared" si="365"/>
        <v>0</v>
      </c>
      <c r="M1147" s="35"/>
      <c r="N1147" s="36">
        <f t="shared" si="380"/>
        <v>0</v>
      </c>
      <c r="O1147" s="38"/>
      <c r="P1147" s="36">
        <f t="shared" si="366"/>
        <v>0</v>
      </c>
      <c r="Q1147" s="35"/>
      <c r="R1147" s="36">
        <f t="shared" si="381"/>
        <v>0</v>
      </c>
      <c r="S1147" s="38"/>
      <c r="T1147" s="36">
        <f t="shared" si="367"/>
        <v>0</v>
      </c>
      <c r="U1147" s="35"/>
      <c r="V1147" s="36">
        <f t="shared" si="382"/>
        <v>0</v>
      </c>
      <c r="W1147" s="38"/>
      <c r="X1147" s="36">
        <f t="shared" si="368"/>
        <v>0</v>
      </c>
      <c r="Y1147" s="35"/>
      <c r="Z1147" s="36">
        <f t="shared" si="383"/>
        <v>0</v>
      </c>
      <c r="AA1147" s="38"/>
      <c r="AB1147" s="36">
        <f t="shared" si="369"/>
        <v>0</v>
      </c>
      <c r="AC1147" s="35"/>
      <c r="AD1147" s="36">
        <f t="shared" si="384"/>
        <v>0</v>
      </c>
      <c r="AE1147" s="38"/>
      <c r="AF1147" s="36">
        <f t="shared" si="370"/>
        <v>0</v>
      </c>
      <c r="AG1147" s="35"/>
      <c r="AH1147" s="36">
        <f t="shared" si="385"/>
        <v>0</v>
      </c>
      <c r="AI1147" s="38"/>
      <c r="AJ1147" s="36">
        <f t="shared" si="371"/>
        <v>0</v>
      </c>
      <c r="AK1147" s="35"/>
      <c r="AL1147" s="36">
        <f t="shared" si="386"/>
        <v>0</v>
      </c>
      <c r="AM1147" s="38"/>
      <c r="AN1147" s="36">
        <f t="shared" si="372"/>
        <v>0</v>
      </c>
      <c r="AO1147" s="35"/>
      <c r="AP1147" s="38"/>
    </row>
    <row r="1148" spans="1:42" ht="15.75" customHeight="1" x14ac:dyDescent="0.25">
      <c r="A1148" s="37">
        <v>2016</v>
      </c>
      <c r="B1148" s="35">
        <v>170410</v>
      </c>
      <c r="C1148" s="34" t="s">
        <v>150</v>
      </c>
      <c r="D1148" s="34" t="s">
        <v>39</v>
      </c>
      <c r="E1148" s="35"/>
      <c r="F1148" s="36">
        <f t="shared" si="362"/>
        <v>0</v>
      </c>
      <c r="G1148" s="38"/>
      <c r="H1148" s="36">
        <f t="shared" si="363"/>
        <v>0</v>
      </c>
      <c r="I1148" s="35"/>
      <c r="J1148" s="36">
        <f t="shared" si="364"/>
        <v>0</v>
      </c>
      <c r="K1148" s="38"/>
      <c r="L1148" s="36">
        <f t="shared" si="365"/>
        <v>0</v>
      </c>
      <c r="M1148" s="35"/>
      <c r="N1148" s="36">
        <f t="shared" si="380"/>
        <v>0</v>
      </c>
      <c r="O1148" s="38"/>
      <c r="P1148" s="36">
        <f t="shared" si="366"/>
        <v>0</v>
      </c>
      <c r="Q1148" s="35"/>
      <c r="R1148" s="36">
        <f t="shared" si="381"/>
        <v>0</v>
      </c>
      <c r="S1148" s="38"/>
      <c r="T1148" s="36">
        <f t="shared" si="367"/>
        <v>0</v>
      </c>
      <c r="U1148" s="35"/>
      <c r="V1148" s="36">
        <f t="shared" si="382"/>
        <v>0</v>
      </c>
      <c r="W1148" s="38"/>
      <c r="X1148" s="36">
        <f t="shared" si="368"/>
        <v>0</v>
      </c>
      <c r="Y1148" s="35"/>
      <c r="Z1148" s="36">
        <f t="shared" si="383"/>
        <v>0</v>
      </c>
      <c r="AA1148" s="38"/>
      <c r="AB1148" s="36">
        <f t="shared" si="369"/>
        <v>0</v>
      </c>
      <c r="AC1148" s="35"/>
      <c r="AD1148" s="36">
        <f t="shared" si="384"/>
        <v>0</v>
      </c>
      <c r="AE1148" s="38"/>
      <c r="AF1148" s="36">
        <f t="shared" si="370"/>
        <v>0</v>
      </c>
      <c r="AG1148" s="35"/>
      <c r="AH1148" s="36">
        <f t="shared" si="385"/>
        <v>0</v>
      </c>
      <c r="AI1148" s="38"/>
      <c r="AJ1148" s="36">
        <f t="shared" si="371"/>
        <v>0</v>
      </c>
      <c r="AK1148" s="35"/>
      <c r="AL1148" s="36">
        <f t="shared" si="386"/>
        <v>0</v>
      </c>
      <c r="AM1148" s="38"/>
      <c r="AN1148" s="36">
        <f t="shared" si="372"/>
        <v>0</v>
      </c>
      <c r="AO1148" s="35"/>
      <c r="AP1148" s="38"/>
    </row>
    <row r="1149" spans="1:42" ht="15.75" customHeight="1" x14ac:dyDescent="0.25">
      <c r="A1149" s="37">
        <v>2016</v>
      </c>
      <c r="B1149" s="35">
        <v>170510</v>
      </c>
      <c r="C1149" s="34" t="s">
        <v>151</v>
      </c>
      <c r="D1149" s="34" t="s">
        <v>40</v>
      </c>
      <c r="E1149" s="35"/>
      <c r="F1149" s="36">
        <f t="shared" si="362"/>
        <v>0</v>
      </c>
      <c r="G1149" s="38"/>
      <c r="H1149" s="36">
        <f t="shared" si="363"/>
        <v>0</v>
      </c>
      <c r="I1149" s="35"/>
      <c r="J1149" s="36">
        <f t="shared" si="364"/>
        <v>0</v>
      </c>
      <c r="K1149" s="38"/>
      <c r="L1149" s="36">
        <f t="shared" si="365"/>
        <v>0</v>
      </c>
      <c r="M1149" s="35"/>
      <c r="N1149" s="36">
        <f t="shared" si="380"/>
        <v>0</v>
      </c>
      <c r="O1149" s="38"/>
      <c r="P1149" s="36">
        <f t="shared" si="366"/>
        <v>0</v>
      </c>
      <c r="Q1149" s="35"/>
      <c r="R1149" s="36">
        <f t="shared" si="381"/>
        <v>0</v>
      </c>
      <c r="S1149" s="38"/>
      <c r="T1149" s="36">
        <f t="shared" si="367"/>
        <v>0</v>
      </c>
      <c r="U1149" s="35"/>
      <c r="V1149" s="36">
        <f t="shared" si="382"/>
        <v>0</v>
      </c>
      <c r="W1149" s="38"/>
      <c r="X1149" s="36">
        <f t="shared" si="368"/>
        <v>0</v>
      </c>
      <c r="Y1149" s="35"/>
      <c r="Z1149" s="36">
        <f t="shared" si="383"/>
        <v>0</v>
      </c>
      <c r="AA1149" s="38"/>
      <c r="AB1149" s="36">
        <f t="shared" si="369"/>
        <v>0</v>
      </c>
      <c r="AC1149" s="35"/>
      <c r="AD1149" s="36">
        <f t="shared" si="384"/>
        <v>0</v>
      </c>
      <c r="AE1149" s="38"/>
      <c r="AF1149" s="36">
        <f t="shared" si="370"/>
        <v>0</v>
      </c>
      <c r="AG1149" s="35"/>
      <c r="AH1149" s="36">
        <f t="shared" si="385"/>
        <v>0</v>
      </c>
      <c r="AI1149" s="38"/>
      <c r="AJ1149" s="36">
        <f t="shared" si="371"/>
        <v>0</v>
      </c>
      <c r="AK1149" s="35"/>
      <c r="AL1149" s="36">
        <f t="shared" si="386"/>
        <v>0</v>
      </c>
      <c r="AM1149" s="38"/>
      <c r="AN1149" s="36">
        <f t="shared" si="372"/>
        <v>0</v>
      </c>
      <c r="AO1149" s="35"/>
      <c r="AP1149" s="38"/>
    </row>
    <row r="1150" spans="1:42" ht="15.75" customHeight="1" x14ac:dyDescent="0.25">
      <c r="A1150" s="37">
        <v>2016</v>
      </c>
      <c r="B1150" s="35">
        <v>170460</v>
      </c>
      <c r="C1150" s="34" t="s">
        <v>144</v>
      </c>
      <c r="D1150" s="34" t="s">
        <v>41</v>
      </c>
      <c r="E1150" s="35"/>
      <c r="F1150" s="36">
        <f t="shared" si="362"/>
        <v>0</v>
      </c>
      <c r="G1150" s="38"/>
      <c r="H1150" s="36">
        <f t="shared" si="363"/>
        <v>0</v>
      </c>
      <c r="I1150" s="35"/>
      <c r="J1150" s="36">
        <f t="shared" si="364"/>
        <v>0</v>
      </c>
      <c r="K1150" s="38"/>
      <c r="L1150" s="36">
        <f t="shared" si="365"/>
        <v>0</v>
      </c>
      <c r="M1150" s="35"/>
      <c r="N1150" s="36">
        <f t="shared" si="380"/>
        <v>0</v>
      </c>
      <c r="O1150" s="38"/>
      <c r="P1150" s="36">
        <f t="shared" si="366"/>
        <v>0</v>
      </c>
      <c r="Q1150" s="35"/>
      <c r="R1150" s="36">
        <f t="shared" si="381"/>
        <v>0</v>
      </c>
      <c r="S1150" s="38"/>
      <c r="T1150" s="36">
        <f t="shared" si="367"/>
        <v>0</v>
      </c>
      <c r="U1150" s="35"/>
      <c r="V1150" s="36">
        <f t="shared" si="382"/>
        <v>0</v>
      </c>
      <c r="W1150" s="38"/>
      <c r="X1150" s="36">
        <f t="shared" si="368"/>
        <v>0</v>
      </c>
      <c r="Y1150" s="35"/>
      <c r="Z1150" s="36">
        <f t="shared" si="383"/>
        <v>0</v>
      </c>
      <c r="AA1150" s="38"/>
      <c r="AB1150" s="36">
        <f t="shared" si="369"/>
        <v>0</v>
      </c>
      <c r="AC1150" s="35"/>
      <c r="AD1150" s="36">
        <f t="shared" si="384"/>
        <v>0</v>
      </c>
      <c r="AE1150" s="38"/>
      <c r="AF1150" s="36">
        <f t="shared" si="370"/>
        <v>0</v>
      </c>
      <c r="AG1150" s="35"/>
      <c r="AH1150" s="36">
        <f t="shared" si="385"/>
        <v>0</v>
      </c>
      <c r="AI1150" s="38"/>
      <c r="AJ1150" s="36">
        <f t="shared" si="371"/>
        <v>0</v>
      </c>
      <c r="AK1150" s="35"/>
      <c r="AL1150" s="36">
        <f t="shared" si="386"/>
        <v>0</v>
      </c>
      <c r="AM1150" s="38"/>
      <c r="AN1150" s="36">
        <f t="shared" si="372"/>
        <v>0</v>
      </c>
      <c r="AO1150" s="35"/>
      <c r="AP1150" s="38"/>
    </row>
    <row r="1151" spans="1:42" ht="15.75" customHeight="1" x14ac:dyDescent="0.25">
      <c r="A1151" s="37">
        <v>2016</v>
      </c>
      <c r="B1151" s="35">
        <v>170550</v>
      </c>
      <c r="C1151" s="34" t="s">
        <v>150</v>
      </c>
      <c r="D1151" s="34" t="s">
        <v>42</v>
      </c>
      <c r="E1151" s="35"/>
      <c r="F1151" s="36">
        <f t="shared" si="362"/>
        <v>0</v>
      </c>
      <c r="G1151" s="38"/>
      <c r="H1151" s="36">
        <f t="shared" si="363"/>
        <v>0</v>
      </c>
      <c r="I1151" s="35"/>
      <c r="J1151" s="36">
        <f t="shared" si="364"/>
        <v>0</v>
      </c>
      <c r="K1151" s="38"/>
      <c r="L1151" s="36">
        <f t="shared" si="365"/>
        <v>0</v>
      </c>
      <c r="M1151" s="35"/>
      <c r="N1151" s="36">
        <f t="shared" si="380"/>
        <v>0</v>
      </c>
      <c r="O1151" s="38"/>
      <c r="P1151" s="36">
        <f t="shared" si="366"/>
        <v>0</v>
      </c>
      <c r="Q1151" s="35"/>
      <c r="R1151" s="36">
        <f t="shared" si="381"/>
        <v>0</v>
      </c>
      <c r="S1151" s="38"/>
      <c r="T1151" s="36">
        <f t="shared" si="367"/>
        <v>0</v>
      </c>
      <c r="U1151" s="35"/>
      <c r="V1151" s="36">
        <f t="shared" si="382"/>
        <v>0</v>
      </c>
      <c r="W1151" s="38"/>
      <c r="X1151" s="36">
        <f t="shared" si="368"/>
        <v>0</v>
      </c>
      <c r="Y1151" s="35"/>
      <c r="Z1151" s="36">
        <f t="shared" si="383"/>
        <v>0</v>
      </c>
      <c r="AA1151" s="38"/>
      <c r="AB1151" s="36">
        <f t="shared" si="369"/>
        <v>0</v>
      </c>
      <c r="AC1151" s="35"/>
      <c r="AD1151" s="36">
        <f t="shared" si="384"/>
        <v>0</v>
      </c>
      <c r="AE1151" s="38"/>
      <c r="AF1151" s="36">
        <f t="shared" si="370"/>
        <v>0</v>
      </c>
      <c r="AG1151" s="35"/>
      <c r="AH1151" s="36">
        <f t="shared" si="385"/>
        <v>0</v>
      </c>
      <c r="AI1151" s="38"/>
      <c r="AJ1151" s="36">
        <f t="shared" si="371"/>
        <v>0</v>
      </c>
      <c r="AK1151" s="35"/>
      <c r="AL1151" s="36">
        <f t="shared" si="386"/>
        <v>0</v>
      </c>
      <c r="AM1151" s="38"/>
      <c r="AN1151" s="36">
        <f t="shared" si="372"/>
        <v>0</v>
      </c>
      <c r="AO1151" s="35"/>
      <c r="AP1151" s="38"/>
    </row>
    <row r="1152" spans="1:42" ht="15.75" customHeight="1" x14ac:dyDescent="0.25">
      <c r="A1152" s="37">
        <v>2016</v>
      </c>
      <c r="B1152" s="35">
        <v>171670</v>
      </c>
      <c r="C1152" s="34" t="s">
        <v>150</v>
      </c>
      <c r="D1152" s="34" t="s">
        <v>43</v>
      </c>
      <c r="E1152" s="35"/>
      <c r="F1152" s="36">
        <f t="shared" si="362"/>
        <v>0</v>
      </c>
      <c r="G1152" s="38"/>
      <c r="H1152" s="36">
        <f t="shared" si="363"/>
        <v>0</v>
      </c>
      <c r="I1152" s="35"/>
      <c r="J1152" s="36">
        <f t="shared" si="364"/>
        <v>0</v>
      </c>
      <c r="K1152" s="38"/>
      <c r="L1152" s="36">
        <f t="shared" si="365"/>
        <v>0</v>
      </c>
      <c r="M1152" s="35"/>
      <c r="N1152" s="36">
        <f t="shared" si="380"/>
        <v>0</v>
      </c>
      <c r="O1152" s="38"/>
      <c r="P1152" s="36">
        <f t="shared" si="366"/>
        <v>0</v>
      </c>
      <c r="Q1152" s="35"/>
      <c r="R1152" s="36">
        <f t="shared" si="381"/>
        <v>0</v>
      </c>
      <c r="S1152" s="38"/>
      <c r="T1152" s="36">
        <f t="shared" si="367"/>
        <v>0</v>
      </c>
      <c r="U1152" s="35"/>
      <c r="V1152" s="36">
        <f t="shared" si="382"/>
        <v>0</v>
      </c>
      <c r="W1152" s="38"/>
      <c r="X1152" s="36">
        <f t="shared" si="368"/>
        <v>0</v>
      </c>
      <c r="Y1152" s="35"/>
      <c r="Z1152" s="36">
        <f t="shared" si="383"/>
        <v>0</v>
      </c>
      <c r="AA1152" s="38"/>
      <c r="AB1152" s="36">
        <f t="shared" si="369"/>
        <v>0</v>
      </c>
      <c r="AC1152" s="35"/>
      <c r="AD1152" s="36">
        <f t="shared" si="384"/>
        <v>0</v>
      </c>
      <c r="AE1152" s="38"/>
      <c r="AF1152" s="36">
        <f t="shared" si="370"/>
        <v>0</v>
      </c>
      <c r="AG1152" s="35"/>
      <c r="AH1152" s="36">
        <f t="shared" si="385"/>
        <v>0</v>
      </c>
      <c r="AI1152" s="38"/>
      <c r="AJ1152" s="36">
        <f t="shared" si="371"/>
        <v>0</v>
      </c>
      <c r="AK1152" s="35"/>
      <c r="AL1152" s="36">
        <f t="shared" si="386"/>
        <v>0</v>
      </c>
      <c r="AM1152" s="38"/>
      <c r="AN1152" s="36">
        <f t="shared" si="372"/>
        <v>0</v>
      </c>
      <c r="AO1152" s="35"/>
      <c r="AP1152" s="38"/>
    </row>
    <row r="1153" spans="1:42" ht="15.75" customHeight="1" x14ac:dyDescent="0.25">
      <c r="A1153" s="37">
        <v>2016</v>
      </c>
      <c r="B1153" s="35">
        <v>170555</v>
      </c>
      <c r="C1153" s="34" t="s">
        <v>147</v>
      </c>
      <c r="D1153" s="34" t="s">
        <v>44</v>
      </c>
      <c r="E1153" s="35"/>
      <c r="F1153" s="36">
        <f t="shared" si="362"/>
        <v>0</v>
      </c>
      <c r="G1153" s="38"/>
      <c r="H1153" s="36">
        <f t="shared" si="363"/>
        <v>0</v>
      </c>
      <c r="I1153" s="35"/>
      <c r="J1153" s="36">
        <f t="shared" si="364"/>
        <v>0</v>
      </c>
      <c r="K1153" s="38"/>
      <c r="L1153" s="36">
        <f t="shared" si="365"/>
        <v>0</v>
      </c>
      <c r="M1153" s="35"/>
      <c r="N1153" s="36">
        <f t="shared" si="380"/>
        <v>0</v>
      </c>
      <c r="O1153" s="38"/>
      <c r="P1153" s="36">
        <f t="shared" si="366"/>
        <v>0</v>
      </c>
      <c r="Q1153" s="35"/>
      <c r="R1153" s="36">
        <f t="shared" si="381"/>
        <v>0</v>
      </c>
      <c r="S1153" s="38"/>
      <c r="T1153" s="36">
        <f t="shared" si="367"/>
        <v>0</v>
      </c>
      <c r="U1153" s="35"/>
      <c r="V1153" s="36">
        <f t="shared" si="382"/>
        <v>0</v>
      </c>
      <c r="W1153" s="38"/>
      <c r="X1153" s="36">
        <f t="shared" si="368"/>
        <v>0</v>
      </c>
      <c r="Y1153" s="35"/>
      <c r="Z1153" s="36">
        <f t="shared" si="383"/>
        <v>0</v>
      </c>
      <c r="AA1153" s="38"/>
      <c r="AB1153" s="36">
        <f t="shared" si="369"/>
        <v>0</v>
      </c>
      <c r="AC1153" s="35"/>
      <c r="AD1153" s="36">
        <f t="shared" si="384"/>
        <v>0</v>
      </c>
      <c r="AE1153" s="38"/>
      <c r="AF1153" s="36">
        <f t="shared" si="370"/>
        <v>0</v>
      </c>
      <c r="AG1153" s="35"/>
      <c r="AH1153" s="36">
        <f t="shared" si="385"/>
        <v>0</v>
      </c>
      <c r="AI1153" s="38"/>
      <c r="AJ1153" s="36">
        <f t="shared" si="371"/>
        <v>0</v>
      </c>
      <c r="AK1153" s="35"/>
      <c r="AL1153" s="36">
        <f t="shared" si="386"/>
        <v>0</v>
      </c>
      <c r="AM1153" s="38"/>
      <c r="AN1153" s="36">
        <f t="shared" si="372"/>
        <v>0</v>
      </c>
      <c r="AO1153" s="35"/>
      <c r="AP1153" s="38"/>
    </row>
    <row r="1154" spans="1:42" ht="15.75" customHeight="1" x14ac:dyDescent="0.25">
      <c r="A1154" s="37">
        <v>2016</v>
      </c>
      <c r="B1154" s="35">
        <v>170560</v>
      </c>
      <c r="C1154" s="34" t="s">
        <v>147</v>
      </c>
      <c r="D1154" s="34" t="s">
        <v>45</v>
      </c>
      <c r="E1154" s="35"/>
      <c r="F1154" s="36">
        <f t="shared" ref="F1154:F1217" si="387">IFERROR(E1154/$AO1154,0)</f>
        <v>0</v>
      </c>
      <c r="G1154" s="38"/>
      <c r="H1154" s="36">
        <f t="shared" ref="H1154:H1217" si="388">IFERROR(G1154/$AP1154,0)</f>
        <v>0</v>
      </c>
      <c r="I1154" s="35"/>
      <c r="J1154" s="36">
        <f t="shared" ref="J1154:J1217" si="389">IFERROR(I1154/$AO1154,0)</f>
        <v>0</v>
      </c>
      <c r="K1154" s="38"/>
      <c r="L1154" s="36">
        <f t="shared" ref="L1154:L1217" si="390">IFERROR(K1154/$AP1154,0)</f>
        <v>0</v>
      </c>
      <c r="M1154" s="35"/>
      <c r="N1154" s="36">
        <f t="shared" si="380"/>
        <v>0</v>
      </c>
      <c r="O1154" s="38"/>
      <c r="P1154" s="36">
        <f t="shared" ref="P1154:P1217" si="391">IFERROR(O1154/$AP1154,0)</f>
        <v>0</v>
      </c>
      <c r="Q1154" s="35"/>
      <c r="R1154" s="36">
        <f t="shared" si="381"/>
        <v>0</v>
      </c>
      <c r="S1154" s="38"/>
      <c r="T1154" s="36">
        <f t="shared" ref="T1154:T1217" si="392">IFERROR(S1154/$AP1154,0)</f>
        <v>0</v>
      </c>
      <c r="U1154" s="35"/>
      <c r="V1154" s="36">
        <f t="shared" si="382"/>
        <v>0</v>
      </c>
      <c r="W1154" s="38"/>
      <c r="X1154" s="36">
        <f t="shared" ref="X1154:X1217" si="393">IFERROR(W1154/$AP1154,0)</f>
        <v>0</v>
      </c>
      <c r="Y1154" s="35"/>
      <c r="Z1154" s="36">
        <f t="shared" si="383"/>
        <v>0</v>
      </c>
      <c r="AA1154" s="38"/>
      <c r="AB1154" s="36">
        <f t="shared" ref="AB1154:AB1217" si="394">IFERROR(AA1154/$AP1154,0)</f>
        <v>0</v>
      </c>
      <c r="AC1154" s="35"/>
      <c r="AD1154" s="36">
        <f t="shared" si="384"/>
        <v>0</v>
      </c>
      <c r="AE1154" s="38"/>
      <c r="AF1154" s="36">
        <f t="shared" ref="AF1154:AF1217" si="395">IFERROR(AE1154/$AP1154,0)</f>
        <v>0</v>
      </c>
      <c r="AG1154" s="35"/>
      <c r="AH1154" s="36">
        <f t="shared" si="385"/>
        <v>0</v>
      </c>
      <c r="AI1154" s="38"/>
      <c r="AJ1154" s="36">
        <f t="shared" ref="AJ1154:AJ1217" si="396">IFERROR(AI1154/$AP1154,0)</f>
        <v>0</v>
      </c>
      <c r="AK1154" s="35"/>
      <c r="AL1154" s="36">
        <f t="shared" si="386"/>
        <v>0</v>
      </c>
      <c r="AM1154" s="38"/>
      <c r="AN1154" s="36">
        <f t="shared" ref="AN1154:AN1217" si="397">IFERROR(AM1154/$AP1154,0)</f>
        <v>0</v>
      </c>
      <c r="AO1154" s="35"/>
      <c r="AP1154" s="38"/>
    </row>
    <row r="1155" spans="1:42" ht="15.75" customHeight="1" x14ac:dyDescent="0.25">
      <c r="A1155" s="37">
        <v>2016</v>
      </c>
      <c r="B1155" s="35">
        <v>170600</v>
      </c>
      <c r="C1155" s="34" t="s">
        <v>150</v>
      </c>
      <c r="D1155" s="34" t="s">
        <v>46</v>
      </c>
      <c r="E1155" s="35"/>
      <c r="F1155" s="36">
        <f t="shared" si="387"/>
        <v>0</v>
      </c>
      <c r="G1155" s="38"/>
      <c r="H1155" s="36">
        <f t="shared" si="388"/>
        <v>0</v>
      </c>
      <c r="I1155" s="35"/>
      <c r="J1155" s="36">
        <f t="shared" si="389"/>
        <v>0</v>
      </c>
      <c r="K1155" s="38"/>
      <c r="L1155" s="36">
        <f t="shared" si="390"/>
        <v>0</v>
      </c>
      <c r="M1155" s="35"/>
      <c r="N1155" s="36">
        <f t="shared" si="380"/>
        <v>0</v>
      </c>
      <c r="O1155" s="38"/>
      <c r="P1155" s="36">
        <f t="shared" si="391"/>
        <v>0</v>
      </c>
      <c r="Q1155" s="35"/>
      <c r="R1155" s="36">
        <f t="shared" si="381"/>
        <v>0</v>
      </c>
      <c r="S1155" s="38"/>
      <c r="T1155" s="36">
        <f t="shared" si="392"/>
        <v>0</v>
      </c>
      <c r="U1155" s="35"/>
      <c r="V1155" s="36">
        <f t="shared" si="382"/>
        <v>0</v>
      </c>
      <c r="W1155" s="38"/>
      <c r="X1155" s="36">
        <f t="shared" si="393"/>
        <v>0</v>
      </c>
      <c r="Y1155" s="35"/>
      <c r="Z1155" s="36">
        <f t="shared" si="383"/>
        <v>0</v>
      </c>
      <c r="AA1155" s="38"/>
      <c r="AB1155" s="36">
        <f t="shared" si="394"/>
        <v>0</v>
      </c>
      <c r="AC1155" s="35"/>
      <c r="AD1155" s="36">
        <f t="shared" si="384"/>
        <v>0</v>
      </c>
      <c r="AE1155" s="38"/>
      <c r="AF1155" s="36">
        <f t="shared" si="395"/>
        <v>0</v>
      </c>
      <c r="AG1155" s="35"/>
      <c r="AH1155" s="36">
        <f t="shared" si="385"/>
        <v>0</v>
      </c>
      <c r="AI1155" s="38"/>
      <c r="AJ1155" s="36">
        <f t="shared" si="396"/>
        <v>0</v>
      </c>
      <c r="AK1155" s="35"/>
      <c r="AL1155" s="36">
        <f t="shared" si="386"/>
        <v>0</v>
      </c>
      <c r="AM1155" s="38"/>
      <c r="AN1155" s="36">
        <f t="shared" si="397"/>
        <v>0</v>
      </c>
      <c r="AO1155" s="35"/>
      <c r="AP1155" s="38"/>
    </row>
    <row r="1156" spans="1:42" ht="15.75" customHeight="1" x14ac:dyDescent="0.25">
      <c r="A1156" s="37">
        <v>2016</v>
      </c>
      <c r="B1156" s="35">
        <v>170610</v>
      </c>
      <c r="C1156" s="34" t="s">
        <v>144</v>
      </c>
      <c r="D1156" s="34" t="s">
        <v>47</v>
      </c>
      <c r="E1156" s="35"/>
      <c r="F1156" s="36">
        <f t="shared" si="387"/>
        <v>0</v>
      </c>
      <c r="G1156" s="38"/>
      <c r="H1156" s="36">
        <f t="shared" si="388"/>
        <v>0</v>
      </c>
      <c r="I1156" s="35"/>
      <c r="J1156" s="36">
        <f t="shared" si="389"/>
        <v>0</v>
      </c>
      <c r="K1156" s="38"/>
      <c r="L1156" s="36">
        <f t="shared" si="390"/>
        <v>0</v>
      </c>
      <c r="M1156" s="35"/>
      <c r="N1156" s="36">
        <f t="shared" si="380"/>
        <v>0</v>
      </c>
      <c r="O1156" s="38"/>
      <c r="P1156" s="36">
        <f t="shared" si="391"/>
        <v>0</v>
      </c>
      <c r="Q1156" s="35"/>
      <c r="R1156" s="36">
        <f t="shared" si="381"/>
        <v>0</v>
      </c>
      <c r="S1156" s="38"/>
      <c r="T1156" s="36">
        <f t="shared" si="392"/>
        <v>0</v>
      </c>
      <c r="U1156" s="35"/>
      <c r="V1156" s="36">
        <f t="shared" si="382"/>
        <v>0</v>
      </c>
      <c r="W1156" s="38"/>
      <c r="X1156" s="36">
        <f t="shared" si="393"/>
        <v>0</v>
      </c>
      <c r="Y1156" s="35"/>
      <c r="Z1156" s="36">
        <f t="shared" si="383"/>
        <v>0</v>
      </c>
      <c r="AA1156" s="38"/>
      <c r="AB1156" s="36">
        <f t="shared" si="394"/>
        <v>0</v>
      </c>
      <c r="AC1156" s="35"/>
      <c r="AD1156" s="36">
        <f t="shared" si="384"/>
        <v>0</v>
      </c>
      <c r="AE1156" s="38"/>
      <c r="AF1156" s="36">
        <f t="shared" si="395"/>
        <v>0</v>
      </c>
      <c r="AG1156" s="35"/>
      <c r="AH1156" s="36">
        <f t="shared" si="385"/>
        <v>0</v>
      </c>
      <c r="AI1156" s="38"/>
      <c r="AJ1156" s="36">
        <f t="shared" si="396"/>
        <v>0</v>
      </c>
      <c r="AK1156" s="35"/>
      <c r="AL1156" s="36">
        <f t="shared" si="386"/>
        <v>0</v>
      </c>
      <c r="AM1156" s="38"/>
      <c r="AN1156" s="36">
        <f t="shared" si="397"/>
        <v>0</v>
      </c>
      <c r="AO1156" s="35"/>
      <c r="AP1156" s="38"/>
    </row>
    <row r="1157" spans="1:42" ht="15.75" customHeight="1" x14ac:dyDescent="0.25">
      <c r="A1157" s="37">
        <v>2016</v>
      </c>
      <c r="B1157" s="35">
        <v>170625</v>
      </c>
      <c r="C1157" s="34" t="s">
        <v>146</v>
      </c>
      <c r="D1157" s="34" t="s">
        <v>48</v>
      </c>
      <c r="E1157" s="35"/>
      <c r="F1157" s="36">
        <f t="shared" si="387"/>
        <v>0</v>
      </c>
      <c r="G1157" s="38"/>
      <c r="H1157" s="36">
        <f t="shared" si="388"/>
        <v>0</v>
      </c>
      <c r="I1157" s="35"/>
      <c r="J1157" s="36">
        <f t="shared" si="389"/>
        <v>0</v>
      </c>
      <c r="K1157" s="38"/>
      <c r="L1157" s="36">
        <f t="shared" si="390"/>
        <v>0</v>
      </c>
      <c r="M1157" s="35"/>
      <c r="N1157" s="36">
        <f t="shared" si="380"/>
        <v>0</v>
      </c>
      <c r="O1157" s="38"/>
      <c r="P1157" s="36">
        <f t="shared" si="391"/>
        <v>0</v>
      </c>
      <c r="Q1157" s="35"/>
      <c r="R1157" s="36">
        <f t="shared" si="381"/>
        <v>0</v>
      </c>
      <c r="S1157" s="38"/>
      <c r="T1157" s="36">
        <f t="shared" si="392"/>
        <v>0</v>
      </c>
      <c r="U1157" s="35"/>
      <c r="V1157" s="36">
        <f t="shared" si="382"/>
        <v>0</v>
      </c>
      <c r="W1157" s="38"/>
      <c r="X1157" s="36">
        <f t="shared" si="393"/>
        <v>0</v>
      </c>
      <c r="Y1157" s="35"/>
      <c r="Z1157" s="36">
        <f t="shared" si="383"/>
        <v>0</v>
      </c>
      <c r="AA1157" s="38"/>
      <c r="AB1157" s="36">
        <f t="shared" si="394"/>
        <v>0</v>
      </c>
      <c r="AC1157" s="35"/>
      <c r="AD1157" s="36">
        <f t="shared" si="384"/>
        <v>0</v>
      </c>
      <c r="AE1157" s="38"/>
      <c r="AF1157" s="36">
        <f t="shared" si="395"/>
        <v>0</v>
      </c>
      <c r="AG1157" s="35"/>
      <c r="AH1157" s="36">
        <f t="shared" si="385"/>
        <v>0</v>
      </c>
      <c r="AI1157" s="38"/>
      <c r="AJ1157" s="36">
        <f t="shared" si="396"/>
        <v>0</v>
      </c>
      <c r="AK1157" s="35"/>
      <c r="AL1157" s="36">
        <f t="shared" si="386"/>
        <v>0</v>
      </c>
      <c r="AM1157" s="38"/>
      <c r="AN1157" s="36">
        <f t="shared" si="397"/>
        <v>0</v>
      </c>
      <c r="AO1157" s="35"/>
      <c r="AP1157" s="38"/>
    </row>
    <row r="1158" spans="1:42" ht="15.75" customHeight="1" x14ac:dyDescent="0.25">
      <c r="A1158" s="37">
        <v>2016</v>
      </c>
      <c r="B1158" s="35">
        <v>170650</v>
      </c>
      <c r="C1158" s="34" t="s">
        <v>149</v>
      </c>
      <c r="D1158" s="34" t="s">
        <v>49</v>
      </c>
      <c r="E1158" s="35"/>
      <c r="F1158" s="36">
        <f t="shared" si="387"/>
        <v>0</v>
      </c>
      <c r="G1158" s="38"/>
      <c r="H1158" s="36">
        <f t="shared" si="388"/>
        <v>0</v>
      </c>
      <c r="I1158" s="35"/>
      <c r="J1158" s="36">
        <f t="shared" si="389"/>
        <v>0</v>
      </c>
      <c r="K1158" s="38"/>
      <c r="L1158" s="36">
        <f t="shared" si="390"/>
        <v>0</v>
      </c>
      <c r="M1158" s="35"/>
      <c r="N1158" s="36">
        <f t="shared" si="380"/>
        <v>0</v>
      </c>
      <c r="O1158" s="38"/>
      <c r="P1158" s="36">
        <f t="shared" si="391"/>
        <v>0</v>
      </c>
      <c r="Q1158" s="35"/>
      <c r="R1158" s="36">
        <f t="shared" si="381"/>
        <v>0</v>
      </c>
      <c r="S1158" s="38"/>
      <c r="T1158" s="36">
        <f t="shared" si="392"/>
        <v>0</v>
      </c>
      <c r="U1158" s="35"/>
      <c r="V1158" s="36">
        <f t="shared" si="382"/>
        <v>0</v>
      </c>
      <c r="W1158" s="38"/>
      <c r="X1158" s="36">
        <f t="shared" si="393"/>
        <v>0</v>
      </c>
      <c r="Y1158" s="35"/>
      <c r="Z1158" s="36">
        <f t="shared" si="383"/>
        <v>0</v>
      </c>
      <c r="AA1158" s="38"/>
      <c r="AB1158" s="36">
        <f t="shared" si="394"/>
        <v>0</v>
      </c>
      <c r="AC1158" s="35"/>
      <c r="AD1158" s="36">
        <f t="shared" si="384"/>
        <v>0</v>
      </c>
      <c r="AE1158" s="38"/>
      <c r="AF1158" s="36">
        <f t="shared" si="395"/>
        <v>0</v>
      </c>
      <c r="AG1158" s="35"/>
      <c r="AH1158" s="36">
        <f t="shared" si="385"/>
        <v>0</v>
      </c>
      <c r="AI1158" s="38"/>
      <c r="AJ1158" s="36">
        <f t="shared" si="396"/>
        <v>0</v>
      </c>
      <c r="AK1158" s="35"/>
      <c r="AL1158" s="36">
        <f t="shared" si="386"/>
        <v>0</v>
      </c>
      <c r="AM1158" s="38"/>
      <c r="AN1158" s="36">
        <f t="shared" si="397"/>
        <v>0</v>
      </c>
      <c r="AO1158" s="35"/>
      <c r="AP1158" s="38"/>
    </row>
    <row r="1159" spans="1:42" ht="15.75" customHeight="1" x14ac:dyDescent="0.25">
      <c r="A1159" s="37">
        <v>2016</v>
      </c>
      <c r="B1159" s="35">
        <v>170700</v>
      </c>
      <c r="C1159" s="34" t="s">
        <v>147</v>
      </c>
      <c r="D1159" s="34" t="s">
        <v>50</v>
      </c>
      <c r="E1159" s="35"/>
      <c r="F1159" s="36">
        <f t="shared" si="387"/>
        <v>0</v>
      </c>
      <c r="G1159" s="38"/>
      <c r="H1159" s="36">
        <f t="shared" si="388"/>
        <v>0</v>
      </c>
      <c r="I1159" s="35"/>
      <c r="J1159" s="36">
        <f t="shared" si="389"/>
        <v>0</v>
      </c>
      <c r="K1159" s="38"/>
      <c r="L1159" s="36">
        <f t="shared" si="390"/>
        <v>0</v>
      </c>
      <c r="M1159" s="35"/>
      <c r="N1159" s="36">
        <f t="shared" si="380"/>
        <v>0</v>
      </c>
      <c r="O1159" s="38"/>
      <c r="P1159" s="36">
        <f t="shared" si="391"/>
        <v>0</v>
      </c>
      <c r="Q1159" s="35"/>
      <c r="R1159" s="36">
        <f t="shared" si="381"/>
        <v>0</v>
      </c>
      <c r="S1159" s="38"/>
      <c r="T1159" s="36">
        <f t="shared" si="392"/>
        <v>0</v>
      </c>
      <c r="U1159" s="35"/>
      <c r="V1159" s="36">
        <f t="shared" si="382"/>
        <v>0</v>
      </c>
      <c r="W1159" s="38"/>
      <c r="X1159" s="36">
        <f t="shared" si="393"/>
        <v>0</v>
      </c>
      <c r="Y1159" s="35"/>
      <c r="Z1159" s="36">
        <f t="shared" si="383"/>
        <v>0</v>
      </c>
      <c r="AA1159" s="38"/>
      <c r="AB1159" s="36">
        <f t="shared" si="394"/>
        <v>0</v>
      </c>
      <c r="AC1159" s="35"/>
      <c r="AD1159" s="36">
        <f t="shared" si="384"/>
        <v>0</v>
      </c>
      <c r="AE1159" s="38"/>
      <c r="AF1159" s="36">
        <f t="shared" si="395"/>
        <v>0</v>
      </c>
      <c r="AG1159" s="35"/>
      <c r="AH1159" s="36">
        <f t="shared" si="385"/>
        <v>0</v>
      </c>
      <c r="AI1159" s="38"/>
      <c r="AJ1159" s="36">
        <f t="shared" si="396"/>
        <v>0</v>
      </c>
      <c r="AK1159" s="35"/>
      <c r="AL1159" s="36">
        <f t="shared" si="386"/>
        <v>0</v>
      </c>
      <c r="AM1159" s="38"/>
      <c r="AN1159" s="36">
        <f t="shared" si="397"/>
        <v>0</v>
      </c>
      <c r="AO1159" s="35"/>
      <c r="AP1159" s="38"/>
    </row>
    <row r="1160" spans="1:42" ht="15.75" customHeight="1" x14ac:dyDescent="0.25">
      <c r="A1160" s="37">
        <v>2016</v>
      </c>
      <c r="B1160" s="35">
        <v>170710</v>
      </c>
      <c r="C1160" s="34" t="s">
        <v>144</v>
      </c>
      <c r="D1160" s="34" t="s">
        <v>51</v>
      </c>
      <c r="E1160" s="35"/>
      <c r="F1160" s="36">
        <f t="shared" si="387"/>
        <v>0</v>
      </c>
      <c r="G1160" s="38"/>
      <c r="H1160" s="36">
        <f t="shared" si="388"/>
        <v>0</v>
      </c>
      <c r="I1160" s="35"/>
      <c r="J1160" s="36">
        <f t="shared" si="389"/>
        <v>0</v>
      </c>
      <c r="K1160" s="38"/>
      <c r="L1160" s="36">
        <f t="shared" si="390"/>
        <v>0</v>
      </c>
      <c r="M1160" s="35"/>
      <c r="N1160" s="36">
        <f t="shared" si="380"/>
        <v>0</v>
      </c>
      <c r="O1160" s="38"/>
      <c r="P1160" s="36">
        <f t="shared" si="391"/>
        <v>0</v>
      </c>
      <c r="Q1160" s="35"/>
      <c r="R1160" s="36">
        <f t="shared" si="381"/>
        <v>0</v>
      </c>
      <c r="S1160" s="38"/>
      <c r="T1160" s="36">
        <f t="shared" si="392"/>
        <v>0</v>
      </c>
      <c r="U1160" s="35"/>
      <c r="V1160" s="36">
        <f t="shared" si="382"/>
        <v>0</v>
      </c>
      <c r="W1160" s="38"/>
      <c r="X1160" s="36">
        <f t="shared" si="393"/>
        <v>0</v>
      </c>
      <c r="Y1160" s="35"/>
      <c r="Z1160" s="36">
        <f t="shared" si="383"/>
        <v>0</v>
      </c>
      <c r="AA1160" s="38"/>
      <c r="AB1160" s="36">
        <f t="shared" si="394"/>
        <v>0</v>
      </c>
      <c r="AC1160" s="35"/>
      <c r="AD1160" s="36">
        <f t="shared" si="384"/>
        <v>0</v>
      </c>
      <c r="AE1160" s="38"/>
      <c r="AF1160" s="36">
        <f t="shared" si="395"/>
        <v>0</v>
      </c>
      <c r="AG1160" s="35"/>
      <c r="AH1160" s="36">
        <f t="shared" si="385"/>
        <v>0</v>
      </c>
      <c r="AI1160" s="38"/>
      <c r="AJ1160" s="36">
        <f t="shared" si="396"/>
        <v>0</v>
      </c>
      <c r="AK1160" s="35"/>
      <c r="AL1160" s="36">
        <f t="shared" si="386"/>
        <v>0</v>
      </c>
      <c r="AM1160" s="38"/>
      <c r="AN1160" s="36">
        <f t="shared" si="397"/>
        <v>0</v>
      </c>
      <c r="AO1160" s="35"/>
      <c r="AP1160" s="38"/>
    </row>
    <row r="1161" spans="1:42" ht="15.75" customHeight="1" x14ac:dyDescent="0.25">
      <c r="A1161" s="37">
        <v>2016</v>
      </c>
      <c r="B1161" s="35">
        <v>170720</v>
      </c>
      <c r="C1161" s="34" t="s">
        <v>144</v>
      </c>
      <c r="D1161" s="34" t="s">
        <v>52</v>
      </c>
      <c r="E1161" s="35"/>
      <c r="F1161" s="36">
        <f t="shared" si="387"/>
        <v>0</v>
      </c>
      <c r="G1161" s="38"/>
      <c r="H1161" s="36">
        <f t="shared" si="388"/>
        <v>0</v>
      </c>
      <c r="I1161" s="35"/>
      <c r="J1161" s="36">
        <f t="shared" si="389"/>
        <v>0</v>
      </c>
      <c r="K1161" s="38"/>
      <c r="L1161" s="36">
        <f t="shared" si="390"/>
        <v>0</v>
      </c>
      <c r="M1161" s="35"/>
      <c r="N1161" s="36">
        <f t="shared" si="380"/>
        <v>0</v>
      </c>
      <c r="O1161" s="38"/>
      <c r="P1161" s="36">
        <f t="shared" si="391"/>
        <v>0</v>
      </c>
      <c r="Q1161" s="35"/>
      <c r="R1161" s="36">
        <f t="shared" si="381"/>
        <v>0</v>
      </c>
      <c r="S1161" s="38"/>
      <c r="T1161" s="36">
        <f t="shared" si="392"/>
        <v>0</v>
      </c>
      <c r="U1161" s="35"/>
      <c r="V1161" s="36">
        <f t="shared" si="382"/>
        <v>0</v>
      </c>
      <c r="W1161" s="38"/>
      <c r="X1161" s="36">
        <f t="shared" si="393"/>
        <v>0</v>
      </c>
      <c r="Y1161" s="35"/>
      <c r="Z1161" s="36">
        <f t="shared" si="383"/>
        <v>0</v>
      </c>
      <c r="AA1161" s="38"/>
      <c r="AB1161" s="36">
        <f t="shared" si="394"/>
        <v>0</v>
      </c>
      <c r="AC1161" s="35"/>
      <c r="AD1161" s="36">
        <f t="shared" si="384"/>
        <v>0</v>
      </c>
      <c r="AE1161" s="38"/>
      <c r="AF1161" s="36">
        <f t="shared" si="395"/>
        <v>0</v>
      </c>
      <c r="AG1161" s="35"/>
      <c r="AH1161" s="36">
        <f t="shared" si="385"/>
        <v>0</v>
      </c>
      <c r="AI1161" s="38"/>
      <c r="AJ1161" s="36">
        <f t="shared" si="396"/>
        <v>0</v>
      </c>
      <c r="AK1161" s="35"/>
      <c r="AL1161" s="36">
        <f t="shared" si="386"/>
        <v>0</v>
      </c>
      <c r="AM1161" s="38"/>
      <c r="AN1161" s="36">
        <f t="shared" si="397"/>
        <v>0</v>
      </c>
      <c r="AO1161" s="35"/>
      <c r="AP1161" s="38"/>
    </row>
    <row r="1162" spans="1:42" ht="15.75" customHeight="1" x14ac:dyDescent="0.25">
      <c r="A1162" s="37">
        <v>2016</v>
      </c>
      <c r="B1162" s="35">
        <v>170730</v>
      </c>
      <c r="C1162" s="34" t="s">
        <v>146</v>
      </c>
      <c r="D1162" s="34" t="s">
        <v>53</v>
      </c>
      <c r="E1162" s="35"/>
      <c r="F1162" s="36">
        <f t="shared" si="387"/>
        <v>0</v>
      </c>
      <c r="G1162" s="38"/>
      <c r="H1162" s="36">
        <f t="shared" si="388"/>
        <v>0</v>
      </c>
      <c r="I1162" s="35"/>
      <c r="J1162" s="36">
        <f t="shared" si="389"/>
        <v>0</v>
      </c>
      <c r="K1162" s="38"/>
      <c r="L1162" s="36">
        <f t="shared" si="390"/>
        <v>0</v>
      </c>
      <c r="M1162" s="35"/>
      <c r="N1162" s="36">
        <f t="shared" si="380"/>
        <v>0</v>
      </c>
      <c r="O1162" s="38"/>
      <c r="P1162" s="36">
        <f t="shared" si="391"/>
        <v>0</v>
      </c>
      <c r="Q1162" s="35"/>
      <c r="R1162" s="36">
        <f t="shared" si="381"/>
        <v>0</v>
      </c>
      <c r="S1162" s="38"/>
      <c r="T1162" s="36">
        <f t="shared" si="392"/>
        <v>0</v>
      </c>
      <c r="U1162" s="35"/>
      <c r="V1162" s="36">
        <f t="shared" si="382"/>
        <v>0</v>
      </c>
      <c r="W1162" s="38"/>
      <c r="X1162" s="36">
        <f t="shared" si="393"/>
        <v>0</v>
      </c>
      <c r="Y1162" s="35"/>
      <c r="Z1162" s="36">
        <f t="shared" si="383"/>
        <v>0</v>
      </c>
      <c r="AA1162" s="38"/>
      <c r="AB1162" s="36">
        <f t="shared" si="394"/>
        <v>0</v>
      </c>
      <c r="AC1162" s="35"/>
      <c r="AD1162" s="36">
        <f t="shared" si="384"/>
        <v>0</v>
      </c>
      <c r="AE1162" s="38"/>
      <c r="AF1162" s="36">
        <f t="shared" si="395"/>
        <v>0</v>
      </c>
      <c r="AG1162" s="35"/>
      <c r="AH1162" s="36">
        <f t="shared" si="385"/>
        <v>0</v>
      </c>
      <c r="AI1162" s="38"/>
      <c r="AJ1162" s="36">
        <f t="shared" si="396"/>
        <v>0</v>
      </c>
      <c r="AK1162" s="35"/>
      <c r="AL1162" s="36">
        <f t="shared" si="386"/>
        <v>0</v>
      </c>
      <c r="AM1162" s="38"/>
      <c r="AN1162" s="36">
        <f t="shared" si="397"/>
        <v>0</v>
      </c>
      <c r="AO1162" s="35"/>
      <c r="AP1162" s="38"/>
    </row>
    <row r="1163" spans="1:42" ht="15.75" customHeight="1" x14ac:dyDescent="0.25">
      <c r="A1163" s="37">
        <v>2016</v>
      </c>
      <c r="B1163" s="35">
        <v>170740</v>
      </c>
      <c r="C1163" s="34" t="s">
        <v>145</v>
      </c>
      <c r="D1163" s="34" t="s">
        <v>54</v>
      </c>
      <c r="E1163" s="35"/>
      <c r="F1163" s="36">
        <f t="shared" si="387"/>
        <v>0</v>
      </c>
      <c r="G1163" s="38"/>
      <c r="H1163" s="36">
        <f t="shared" si="388"/>
        <v>0</v>
      </c>
      <c r="I1163" s="35"/>
      <c r="J1163" s="36">
        <f t="shared" si="389"/>
        <v>0</v>
      </c>
      <c r="K1163" s="38"/>
      <c r="L1163" s="36">
        <f t="shared" si="390"/>
        <v>0</v>
      </c>
      <c r="M1163" s="35"/>
      <c r="N1163" s="36">
        <f t="shared" si="380"/>
        <v>0</v>
      </c>
      <c r="O1163" s="38"/>
      <c r="P1163" s="36">
        <f t="shared" si="391"/>
        <v>0</v>
      </c>
      <c r="Q1163" s="35"/>
      <c r="R1163" s="36">
        <f t="shared" si="381"/>
        <v>0</v>
      </c>
      <c r="S1163" s="38"/>
      <c r="T1163" s="36">
        <f t="shared" si="392"/>
        <v>0</v>
      </c>
      <c r="U1163" s="35"/>
      <c r="V1163" s="36">
        <f t="shared" si="382"/>
        <v>0</v>
      </c>
      <c r="W1163" s="38"/>
      <c r="X1163" s="36">
        <f t="shared" si="393"/>
        <v>0</v>
      </c>
      <c r="Y1163" s="35"/>
      <c r="Z1163" s="36">
        <f t="shared" si="383"/>
        <v>0</v>
      </c>
      <c r="AA1163" s="38"/>
      <c r="AB1163" s="36">
        <f t="shared" si="394"/>
        <v>0</v>
      </c>
      <c r="AC1163" s="35"/>
      <c r="AD1163" s="36">
        <f t="shared" si="384"/>
        <v>0</v>
      </c>
      <c r="AE1163" s="38"/>
      <c r="AF1163" s="36">
        <f t="shared" si="395"/>
        <v>0</v>
      </c>
      <c r="AG1163" s="35"/>
      <c r="AH1163" s="36">
        <f t="shared" si="385"/>
        <v>0</v>
      </c>
      <c r="AI1163" s="38"/>
      <c r="AJ1163" s="36">
        <f t="shared" si="396"/>
        <v>0</v>
      </c>
      <c r="AK1163" s="35"/>
      <c r="AL1163" s="36">
        <f t="shared" si="386"/>
        <v>0</v>
      </c>
      <c r="AM1163" s="38"/>
      <c r="AN1163" s="36">
        <f t="shared" si="397"/>
        <v>0</v>
      </c>
      <c r="AO1163" s="35"/>
      <c r="AP1163" s="38"/>
    </row>
    <row r="1164" spans="1:42" ht="15.75" customHeight="1" x14ac:dyDescent="0.25">
      <c r="A1164" s="37">
        <v>2016</v>
      </c>
      <c r="B1164" s="35">
        <v>170755</v>
      </c>
      <c r="C1164" s="34" t="s">
        <v>151</v>
      </c>
      <c r="D1164" s="34" t="s">
        <v>55</v>
      </c>
      <c r="E1164" s="35"/>
      <c r="F1164" s="36">
        <f t="shared" si="387"/>
        <v>0</v>
      </c>
      <c r="G1164" s="38"/>
      <c r="H1164" s="36">
        <f t="shared" si="388"/>
        <v>0</v>
      </c>
      <c r="I1164" s="35"/>
      <c r="J1164" s="36">
        <f t="shared" si="389"/>
        <v>0</v>
      </c>
      <c r="K1164" s="38"/>
      <c r="L1164" s="36">
        <f t="shared" si="390"/>
        <v>0</v>
      </c>
      <c r="M1164" s="35"/>
      <c r="N1164" s="36">
        <f t="shared" si="380"/>
        <v>0</v>
      </c>
      <c r="O1164" s="38"/>
      <c r="P1164" s="36">
        <f t="shared" si="391"/>
        <v>0</v>
      </c>
      <c r="Q1164" s="35"/>
      <c r="R1164" s="36">
        <f t="shared" si="381"/>
        <v>0</v>
      </c>
      <c r="S1164" s="38"/>
      <c r="T1164" s="36">
        <f t="shared" si="392"/>
        <v>0</v>
      </c>
      <c r="U1164" s="35"/>
      <c r="V1164" s="36">
        <f t="shared" si="382"/>
        <v>0</v>
      </c>
      <c r="W1164" s="38"/>
      <c r="X1164" s="36">
        <f t="shared" si="393"/>
        <v>0</v>
      </c>
      <c r="Y1164" s="35"/>
      <c r="Z1164" s="36">
        <f t="shared" si="383"/>
        <v>0</v>
      </c>
      <c r="AA1164" s="38"/>
      <c r="AB1164" s="36">
        <f t="shared" si="394"/>
        <v>0</v>
      </c>
      <c r="AC1164" s="35"/>
      <c r="AD1164" s="36">
        <f t="shared" si="384"/>
        <v>0</v>
      </c>
      <c r="AE1164" s="38"/>
      <c r="AF1164" s="36">
        <f t="shared" si="395"/>
        <v>0</v>
      </c>
      <c r="AG1164" s="35"/>
      <c r="AH1164" s="36">
        <f t="shared" si="385"/>
        <v>0</v>
      </c>
      <c r="AI1164" s="38"/>
      <c r="AJ1164" s="36">
        <f t="shared" si="396"/>
        <v>0</v>
      </c>
      <c r="AK1164" s="35"/>
      <c r="AL1164" s="36">
        <f t="shared" si="386"/>
        <v>0</v>
      </c>
      <c r="AM1164" s="38"/>
      <c r="AN1164" s="36">
        <f t="shared" si="397"/>
        <v>0</v>
      </c>
      <c r="AO1164" s="35"/>
      <c r="AP1164" s="38"/>
    </row>
    <row r="1165" spans="1:42" ht="15.75" customHeight="1" x14ac:dyDescent="0.25">
      <c r="A1165" s="37">
        <v>2016</v>
      </c>
      <c r="B1165" s="35">
        <v>170765</v>
      </c>
      <c r="C1165" s="34" t="s">
        <v>146</v>
      </c>
      <c r="D1165" s="34" t="s">
        <v>56</v>
      </c>
      <c r="E1165" s="35"/>
      <c r="F1165" s="36">
        <f t="shared" si="387"/>
        <v>0</v>
      </c>
      <c r="G1165" s="38"/>
      <c r="H1165" s="36">
        <f t="shared" si="388"/>
        <v>0</v>
      </c>
      <c r="I1165" s="35"/>
      <c r="J1165" s="36">
        <f t="shared" si="389"/>
        <v>0</v>
      </c>
      <c r="K1165" s="38"/>
      <c r="L1165" s="36">
        <f t="shared" si="390"/>
        <v>0</v>
      </c>
      <c r="M1165" s="35"/>
      <c r="N1165" s="36">
        <f t="shared" si="380"/>
        <v>0</v>
      </c>
      <c r="O1165" s="38"/>
      <c r="P1165" s="36">
        <f t="shared" si="391"/>
        <v>0</v>
      </c>
      <c r="Q1165" s="35"/>
      <c r="R1165" s="36">
        <f t="shared" si="381"/>
        <v>0</v>
      </c>
      <c r="S1165" s="38"/>
      <c r="T1165" s="36">
        <f t="shared" si="392"/>
        <v>0</v>
      </c>
      <c r="U1165" s="35"/>
      <c r="V1165" s="36">
        <f t="shared" si="382"/>
        <v>0</v>
      </c>
      <c r="W1165" s="38"/>
      <c r="X1165" s="36">
        <f t="shared" si="393"/>
        <v>0</v>
      </c>
      <c r="Y1165" s="35"/>
      <c r="Z1165" s="36">
        <f t="shared" si="383"/>
        <v>0</v>
      </c>
      <c r="AA1165" s="38"/>
      <c r="AB1165" s="36">
        <f t="shared" si="394"/>
        <v>0</v>
      </c>
      <c r="AC1165" s="35"/>
      <c r="AD1165" s="36">
        <f t="shared" si="384"/>
        <v>0</v>
      </c>
      <c r="AE1165" s="38"/>
      <c r="AF1165" s="36">
        <f t="shared" si="395"/>
        <v>0</v>
      </c>
      <c r="AG1165" s="35"/>
      <c r="AH1165" s="36">
        <f t="shared" si="385"/>
        <v>0</v>
      </c>
      <c r="AI1165" s="38"/>
      <c r="AJ1165" s="36">
        <f t="shared" si="396"/>
        <v>0</v>
      </c>
      <c r="AK1165" s="35"/>
      <c r="AL1165" s="36">
        <f t="shared" si="386"/>
        <v>0</v>
      </c>
      <c r="AM1165" s="38"/>
      <c r="AN1165" s="36">
        <f t="shared" si="397"/>
        <v>0</v>
      </c>
      <c r="AO1165" s="35"/>
      <c r="AP1165" s="38"/>
    </row>
    <row r="1166" spans="1:42" ht="15.75" customHeight="1" x14ac:dyDescent="0.25">
      <c r="A1166" s="37">
        <v>2016</v>
      </c>
      <c r="B1166" s="35">
        <v>170770</v>
      </c>
      <c r="C1166" s="34" t="s">
        <v>149</v>
      </c>
      <c r="D1166" s="34" t="s">
        <v>57</v>
      </c>
      <c r="E1166" s="35"/>
      <c r="F1166" s="36">
        <f t="shared" si="387"/>
        <v>0</v>
      </c>
      <c r="G1166" s="38"/>
      <c r="H1166" s="36">
        <f t="shared" si="388"/>
        <v>0</v>
      </c>
      <c r="I1166" s="35"/>
      <c r="J1166" s="36">
        <f t="shared" si="389"/>
        <v>0</v>
      </c>
      <c r="K1166" s="38"/>
      <c r="L1166" s="36">
        <f t="shared" si="390"/>
        <v>0</v>
      </c>
      <c r="M1166" s="35"/>
      <c r="N1166" s="36">
        <f t="shared" si="380"/>
        <v>0</v>
      </c>
      <c r="O1166" s="38"/>
      <c r="P1166" s="36">
        <f t="shared" si="391"/>
        <v>0</v>
      </c>
      <c r="Q1166" s="35"/>
      <c r="R1166" s="36">
        <f t="shared" si="381"/>
        <v>0</v>
      </c>
      <c r="S1166" s="38"/>
      <c r="T1166" s="36">
        <f t="shared" si="392"/>
        <v>0</v>
      </c>
      <c r="U1166" s="35"/>
      <c r="V1166" s="36">
        <f t="shared" si="382"/>
        <v>0</v>
      </c>
      <c r="W1166" s="38"/>
      <c r="X1166" s="36">
        <f t="shared" si="393"/>
        <v>0</v>
      </c>
      <c r="Y1166" s="35"/>
      <c r="Z1166" s="36">
        <f t="shared" si="383"/>
        <v>0</v>
      </c>
      <c r="AA1166" s="38"/>
      <c r="AB1166" s="36">
        <f t="shared" si="394"/>
        <v>0</v>
      </c>
      <c r="AC1166" s="35"/>
      <c r="AD1166" s="36">
        <f t="shared" si="384"/>
        <v>0</v>
      </c>
      <c r="AE1166" s="38"/>
      <c r="AF1166" s="36">
        <f t="shared" si="395"/>
        <v>0</v>
      </c>
      <c r="AG1166" s="35"/>
      <c r="AH1166" s="36">
        <f t="shared" si="385"/>
        <v>0</v>
      </c>
      <c r="AI1166" s="38"/>
      <c r="AJ1166" s="36">
        <f t="shared" si="396"/>
        <v>0</v>
      </c>
      <c r="AK1166" s="35"/>
      <c r="AL1166" s="36">
        <f t="shared" si="386"/>
        <v>0</v>
      </c>
      <c r="AM1166" s="38"/>
      <c r="AN1166" s="36">
        <f t="shared" si="397"/>
        <v>0</v>
      </c>
      <c r="AO1166" s="35"/>
      <c r="AP1166" s="38"/>
    </row>
    <row r="1167" spans="1:42" ht="15.75" customHeight="1" x14ac:dyDescent="0.25">
      <c r="A1167" s="37">
        <v>2016</v>
      </c>
      <c r="B1167" s="35">
        <v>170820</v>
      </c>
      <c r="C1167" s="34" t="s">
        <v>146</v>
      </c>
      <c r="D1167" s="34" t="s">
        <v>58</v>
      </c>
      <c r="E1167" s="35"/>
      <c r="F1167" s="36">
        <f t="shared" si="387"/>
        <v>0</v>
      </c>
      <c r="G1167" s="38"/>
      <c r="H1167" s="36">
        <f t="shared" si="388"/>
        <v>0</v>
      </c>
      <c r="I1167" s="35"/>
      <c r="J1167" s="36">
        <f t="shared" si="389"/>
        <v>0</v>
      </c>
      <c r="K1167" s="38"/>
      <c r="L1167" s="36">
        <f t="shared" si="390"/>
        <v>0</v>
      </c>
      <c r="M1167" s="35"/>
      <c r="N1167" s="36">
        <f t="shared" si="380"/>
        <v>0</v>
      </c>
      <c r="O1167" s="38"/>
      <c r="P1167" s="36">
        <f t="shared" si="391"/>
        <v>0</v>
      </c>
      <c r="Q1167" s="35"/>
      <c r="R1167" s="36">
        <f t="shared" si="381"/>
        <v>0</v>
      </c>
      <c r="S1167" s="38"/>
      <c r="T1167" s="36">
        <f t="shared" si="392"/>
        <v>0</v>
      </c>
      <c r="U1167" s="35"/>
      <c r="V1167" s="36">
        <f t="shared" si="382"/>
        <v>0</v>
      </c>
      <c r="W1167" s="38"/>
      <c r="X1167" s="36">
        <f t="shared" si="393"/>
        <v>0</v>
      </c>
      <c r="Y1167" s="35"/>
      <c r="Z1167" s="36">
        <f t="shared" si="383"/>
        <v>0</v>
      </c>
      <c r="AA1167" s="38"/>
      <c r="AB1167" s="36">
        <f t="shared" si="394"/>
        <v>0</v>
      </c>
      <c r="AC1167" s="35"/>
      <c r="AD1167" s="36">
        <f t="shared" si="384"/>
        <v>0</v>
      </c>
      <c r="AE1167" s="38"/>
      <c r="AF1167" s="36">
        <f t="shared" si="395"/>
        <v>0</v>
      </c>
      <c r="AG1167" s="35"/>
      <c r="AH1167" s="36">
        <f t="shared" si="385"/>
        <v>0</v>
      </c>
      <c r="AI1167" s="38"/>
      <c r="AJ1167" s="36">
        <f t="shared" si="396"/>
        <v>0</v>
      </c>
      <c r="AK1167" s="35"/>
      <c r="AL1167" s="36">
        <f t="shared" si="386"/>
        <v>0</v>
      </c>
      <c r="AM1167" s="38"/>
      <c r="AN1167" s="36">
        <f t="shared" si="397"/>
        <v>0</v>
      </c>
      <c r="AO1167" s="35"/>
      <c r="AP1167" s="38"/>
    </row>
    <row r="1168" spans="1:42" ht="15.75" customHeight="1" x14ac:dyDescent="0.25">
      <c r="A1168" s="37">
        <v>2016</v>
      </c>
      <c r="B1168" s="35">
        <v>170830</v>
      </c>
      <c r="C1168" s="34" t="s">
        <v>150</v>
      </c>
      <c r="D1168" s="34" t="s">
        <v>59</v>
      </c>
      <c r="E1168" s="35"/>
      <c r="F1168" s="36">
        <f t="shared" si="387"/>
        <v>0</v>
      </c>
      <c r="G1168" s="38"/>
      <c r="H1168" s="36">
        <f t="shared" si="388"/>
        <v>0</v>
      </c>
      <c r="I1168" s="35"/>
      <c r="J1168" s="36">
        <f t="shared" si="389"/>
        <v>0</v>
      </c>
      <c r="K1168" s="38"/>
      <c r="L1168" s="36">
        <f t="shared" si="390"/>
        <v>0</v>
      </c>
      <c r="M1168" s="35"/>
      <c r="N1168" s="36">
        <f t="shared" si="380"/>
        <v>0</v>
      </c>
      <c r="O1168" s="38"/>
      <c r="P1168" s="36">
        <f t="shared" si="391"/>
        <v>0</v>
      </c>
      <c r="Q1168" s="35"/>
      <c r="R1168" s="36">
        <f t="shared" si="381"/>
        <v>0</v>
      </c>
      <c r="S1168" s="38"/>
      <c r="T1168" s="36">
        <f t="shared" si="392"/>
        <v>0</v>
      </c>
      <c r="U1168" s="35"/>
      <c r="V1168" s="36">
        <f t="shared" si="382"/>
        <v>0</v>
      </c>
      <c r="W1168" s="38"/>
      <c r="X1168" s="36">
        <f t="shared" si="393"/>
        <v>0</v>
      </c>
      <c r="Y1168" s="35"/>
      <c r="Z1168" s="36">
        <f t="shared" si="383"/>
        <v>0</v>
      </c>
      <c r="AA1168" s="38"/>
      <c r="AB1168" s="36">
        <f t="shared" si="394"/>
        <v>0</v>
      </c>
      <c r="AC1168" s="35"/>
      <c r="AD1168" s="36">
        <f t="shared" si="384"/>
        <v>0</v>
      </c>
      <c r="AE1168" s="38"/>
      <c r="AF1168" s="36">
        <f t="shared" si="395"/>
        <v>0</v>
      </c>
      <c r="AG1168" s="35"/>
      <c r="AH1168" s="36">
        <f t="shared" si="385"/>
        <v>0</v>
      </c>
      <c r="AI1168" s="38"/>
      <c r="AJ1168" s="36">
        <f t="shared" si="396"/>
        <v>0</v>
      </c>
      <c r="AK1168" s="35"/>
      <c r="AL1168" s="36">
        <f t="shared" si="386"/>
        <v>0</v>
      </c>
      <c r="AM1168" s="38"/>
      <c r="AN1168" s="36">
        <f t="shared" si="397"/>
        <v>0</v>
      </c>
      <c r="AO1168" s="35"/>
      <c r="AP1168" s="38"/>
    </row>
    <row r="1169" spans="1:42" ht="15.75" customHeight="1" x14ac:dyDescent="0.25">
      <c r="A1169" s="37">
        <v>2016</v>
      </c>
      <c r="B1169" s="35">
        <v>170900</v>
      </c>
      <c r="C1169" s="34" t="s">
        <v>149</v>
      </c>
      <c r="D1169" s="34" t="s">
        <v>60</v>
      </c>
      <c r="E1169" s="35"/>
      <c r="F1169" s="36">
        <f t="shared" si="387"/>
        <v>0</v>
      </c>
      <c r="G1169" s="38"/>
      <c r="H1169" s="36">
        <f t="shared" si="388"/>
        <v>0</v>
      </c>
      <c r="I1169" s="35"/>
      <c r="J1169" s="36">
        <f t="shared" si="389"/>
        <v>0</v>
      </c>
      <c r="K1169" s="38"/>
      <c r="L1169" s="36">
        <f t="shared" si="390"/>
        <v>0</v>
      </c>
      <c r="M1169" s="35"/>
      <c r="N1169" s="36">
        <f t="shared" si="380"/>
        <v>0</v>
      </c>
      <c r="O1169" s="38"/>
      <c r="P1169" s="36">
        <f t="shared" si="391"/>
        <v>0</v>
      </c>
      <c r="Q1169" s="35"/>
      <c r="R1169" s="36">
        <f t="shared" si="381"/>
        <v>0</v>
      </c>
      <c r="S1169" s="38"/>
      <c r="T1169" s="36">
        <f t="shared" si="392"/>
        <v>0</v>
      </c>
      <c r="U1169" s="35"/>
      <c r="V1169" s="36">
        <f t="shared" si="382"/>
        <v>0</v>
      </c>
      <c r="W1169" s="38"/>
      <c r="X1169" s="36">
        <f t="shared" si="393"/>
        <v>0</v>
      </c>
      <c r="Y1169" s="35"/>
      <c r="Z1169" s="36">
        <f t="shared" si="383"/>
        <v>0</v>
      </c>
      <c r="AA1169" s="38"/>
      <c r="AB1169" s="36">
        <f t="shared" si="394"/>
        <v>0</v>
      </c>
      <c r="AC1169" s="35"/>
      <c r="AD1169" s="36">
        <f t="shared" si="384"/>
        <v>0</v>
      </c>
      <c r="AE1169" s="38"/>
      <c r="AF1169" s="36">
        <f t="shared" si="395"/>
        <v>0</v>
      </c>
      <c r="AG1169" s="35"/>
      <c r="AH1169" s="36">
        <f t="shared" si="385"/>
        <v>0</v>
      </c>
      <c r="AI1169" s="38"/>
      <c r="AJ1169" s="36">
        <f t="shared" si="396"/>
        <v>0</v>
      </c>
      <c r="AK1169" s="35"/>
      <c r="AL1169" s="36">
        <f t="shared" si="386"/>
        <v>0</v>
      </c>
      <c r="AM1169" s="38"/>
      <c r="AN1169" s="36">
        <f t="shared" si="397"/>
        <v>0</v>
      </c>
      <c r="AO1169" s="35"/>
      <c r="AP1169" s="38"/>
    </row>
    <row r="1170" spans="1:42" ht="15.75" customHeight="1" x14ac:dyDescent="0.25">
      <c r="A1170" s="37">
        <v>2016</v>
      </c>
      <c r="B1170" s="35">
        <v>170930</v>
      </c>
      <c r="C1170" s="34" t="s">
        <v>150</v>
      </c>
      <c r="D1170" s="34" t="s">
        <v>61</v>
      </c>
      <c r="E1170" s="35"/>
      <c r="F1170" s="36">
        <f t="shared" si="387"/>
        <v>0</v>
      </c>
      <c r="G1170" s="38"/>
      <c r="H1170" s="36">
        <f t="shared" si="388"/>
        <v>0</v>
      </c>
      <c r="I1170" s="35"/>
      <c r="J1170" s="36">
        <f t="shared" si="389"/>
        <v>0</v>
      </c>
      <c r="K1170" s="38"/>
      <c r="L1170" s="36">
        <f t="shared" si="390"/>
        <v>0</v>
      </c>
      <c r="M1170" s="35"/>
      <c r="N1170" s="36">
        <f t="shared" si="380"/>
        <v>0</v>
      </c>
      <c r="O1170" s="38"/>
      <c r="P1170" s="36">
        <f t="shared" si="391"/>
        <v>0</v>
      </c>
      <c r="Q1170" s="35"/>
      <c r="R1170" s="36">
        <f t="shared" si="381"/>
        <v>0</v>
      </c>
      <c r="S1170" s="38"/>
      <c r="T1170" s="36">
        <f t="shared" si="392"/>
        <v>0</v>
      </c>
      <c r="U1170" s="35"/>
      <c r="V1170" s="36">
        <f t="shared" si="382"/>
        <v>0</v>
      </c>
      <c r="W1170" s="38"/>
      <c r="X1170" s="36">
        <f t="shared" si="393"/>
        <v>0</v>
      </c>
      <c r="Y1170" s="35"/>
      <c r="Z1170" s="36">
        <f t="shared" si="383"/>
        <v>0</v>
      </c>
      <c r="AA1170" s="38"/>
      <c r="AB1170" s="36">
        <f t="shared" si="394"/>
        <v>0</v>
      </c>
      <c r="AC1170" s="35"/>
      <c r="AD1170" s="36">
        <f t="shared" si="384"/>
        <v>0</v>
      </c>
      <c r="AE1170" s="38"/>
      <c r="AF1170" s="36">
        <f t="shared" si="395"/>
        <v>0</v>
      </c>
      <c r="AG1170" s="35"/>
      <c r="AH1170" s="36">
        <f t="shared" si="385"/>
        <v>0</v>
      </c>
      <c r="AI1170" s="38"/>
      <c r="AJ1170" s="36">
        <f t="shared" si="396"/>
        <v>0</v>
      </c>
      <c r="AK1170" s="35"/>
      <c r="AL1170" s="36">
        <f t="shared" si="386"/>
        <v>0</v>
      </c>
      <c r="AM1170" s="38"/>
      <c r="AN1170" s="36">
        <f t="shared" si="397"/>
        <v>0</v>
      </c>
      <c r="AO1170" s="35"/>
      <c r="AP1170" s="38"/>
    </row>
    <row r="1171" spans="1:42" ht="15.75" customHeight="1" x14ac:dyDescent="0.25">
      <c r="A1171" s="37">
        <v>2016</v>
      </c>
      <c r="B1171" s="35">
        <v>170950</v>
      </c>
      <c r="C1171" s="34" t="s">
        <v>146</v>
      </c>
      <c r="D1171" s="34" t="s">
        <v>62</v>
      </c>
      <c r="E1171" s="35"/>
      <c r="F1171" s="36">
        <f t="shared" si="387"/>
        <v>0</v>
      </c>
      <c r="G1171" s="38"/>
      <c r="H1171" s="36">
        <f t="shared" si="388"/>
        <v>0</v>
      </c>
      <c r="I1171" s="35"/>
      <c r="J1171" s="36">
        <f t="shared" si="389"/>
        <v>0</v>
      </c>
      <c r="K1171" s="38"/>
      <c r="L1171" s="36">
        <f t="shared" si="390"/>
        <v>0</v>
      </c>
      <c r="M1171" s="35"/>
      <c r="N1171" s="36">
        <f t="shared" si="380"/>
        <v>0</v>
      </c>
      <c r="O1171" s="39"/>
      <c r="P1171" s="36">
        <f t="shared" si="391"/>
        <v>0</v>
      </c>
      <c r="Q1171" s="35"/>
      <c r="R1171" s="36">
        <f t="shared" si="381"/>
        <v>0</v>
      </c>
      <c r="S1171" s="38"/>
      <c r="T1171" s="36">
        <f t="shared" si="392"/>
        <v>0</v>
      </c>
      <c r="U1171" s="35"/>
      <c r="V1171" s="36">
        <f t="shared" si="382"/>
        <v>0</v>
      </c>
      <c r="W1171" s="38"/>
      <c r="X1171" s="36">
        <f t="shared" si="393"/>
        <v>0</v>
      </c>
      <c r="Y1171" s="35"/>
      <c r="Z1171" s="36">
        <f t="shared" si="383"/>
        <v>0</v>
      </c>
      <c r="AA1171" s="38"/>
      <c r="AB1171" s="36">
        <f t="shared" si="394"/>
        <v>0</v>
      </c>
      <c r="AC1171" s="35"/>
      <c r="AD1171" s="36">
        <f t="shared" si="384"/>
        <v>0</v>
      </c>
      <c r="AE1171" s="38"/>
      <c r="AF1171" s="36">
        <f t="shared" si="395"/>
        <v>0</v>
      </c>
      <c r="AG1171" s="35"/>
      <c r="AH1171" s="36">
        <f t="shared" si="385"/>
        <v>0</v>
      </c>
      <c r="AI1171" s="38"/>
      <c r="AJ1171" s="36">
        <f t="shared" si="396"/>
        <v>0</v>
      </c>
      <c r="AK1171" s="35"/>
      <c r="AL1171" s="36">
        <f t="shared" si="386"/>
        <v>0</v>
      </c>
      <c r="AM1171" s="38"/>
      <c r="AN1171" s="36">
        <f t="shared" si="397"/>
        <v>0</v>
      </c>
      <c r="AO1171" s="35"/>
      <c r="AP1171" s="39"/>
    </row>
    <row r="1172" spans="1:42" ht="15.75" customHeight="1" x14ac:dyDescent="0.25">
      <c r="A1172" s="37">
        <v>2016</v>
      </c>
      <c r="B1172" s="35">
        <v>170980</v>
      </c>
      <c r="C1172" s="34" t="s">
        <v>151</v>
      </c>
      <c r="D1172" s="34" t="s">
        <v>63</v>
      </c>
      <c r="E1172" s="35"/>
      <c r="F1172" s="36">
        <f t="shared" si="387"/>
        <v>0</v>
      </c>
      <c r="G1172" s="38"/>
      <c r="H1172" s="36">
        <f t="shared" si="388"/>
        <v>0</v>
      </c>
      <c r="I1172" s="35"/>
      <c r="J1172" s="36">
        <f t="shared" si="389"/>
        <v>0</v>
      </c>
      <c r="K1172" s="38"/>
      <c r="L1172" s="36">
        <f t="shared" si="390"/>
        <v>0</v>
      </c>
      <c r="M1172" s="35"/>
      <c r="N1172" s="36">
        <f t="shared" si="380"/>
        <v>0</v>
      </c>
      <c r="O1172" s="38"/>
      <c r="P1172" s="36">
        <f t="shared" si="391"/>
        <v>0</v>
      </c>
      <c r="Q1172" s="35"/>
      <c r="R1172" s="36">
        <f t="shared" si="381"/>
        <v>0</v>
      </c>
      <c r="S1172" s="38"/>
      <c r="T1172" s="36">
        <f t="shared" si="392"/>
        <v>0</v>
      </c>
      <c r="U1172" s="35"/>
      <c r="V1172" s="36">
        <f t="shared" si="382"/>
        <v>0</v>
      </c>
      <c r="W1172" s="38"/>
      <c r="X1172" s="36">
        <f t="shared" si="393"/>
        <v>0</v>
      </c>
      <c r="Y1172" s="35"/>
      <c r="Z1172" s="36">
        <f t="shared" si="383"/>
        <v>0</v>
      </c>
      <c r="AA1172" s="38"/>
      <c r="AB1172" s="36">
        <f t="shared" si="394"/>
        <v>0</v>
      </c>
      <c r="AC1172" s="35"/>
      <c r="AD1172" s="36">
        <f t="shared" si="384"/>
        <v>0</v>
      </c>
      <c r="AE1172" s="38"/>
      <c r="AF1172" s="36">
        <f t="shared" si="395"/>
        <v>0</v>
      </c>
      <c r="AG1172" s="35"/>
      <c r="AH1172" s="36">
        <f t="shared" si="385"/>
        <v>0</v>
      </c>
      <c r="AI1172" s="38"/>
      <c r="AJ1172" s="36">
        <f t="shared" si="396"/>
        <v>0</v>
      </c>
      <c r="AK1172" s="35"/>
      <c r="AL1172" s="36">
        <f t="shared" si="386"/>
        <v>0</v>
      </c>
      <c r="AM1172" s="38"/>
      <c r="AN1172" s="36">
        <f t="shared" si="397"/>
        <v>0</v>
      </c>
      <c r="AO1172" s="35"/>
      <c r="AP1172" s="38"/>
    </row>
    <row r="1173" spans="1:42" ht="15.75" customHeight="1" x14ac:dyDescent="0.25">
      <c r="A1173" s="37">
        <v>2016</v>
      </c>
      <c r="B1173" s="35">
        <v>171050</v>
      </c>
      <c r="C1173" s="34" t="s">
        <v>150</v>
      </c>
      <c r="D1173" s="34" t="s">
        <v>64</v>
      </c>
      <c r="E1173" s="35"/>
      <c r="F1173" s="36">
        <f t="shared" si="387"/>
        <v>0</v>
      </c>
      <c r="G1173" s="38"/>
      <c r="H1173" s="36">
        <f t="shared" si="388"/>
        <v>0</v>
      </c>
      <c r="I1173" s="35"/>
      <c r="J1173" s="36">
        <f t="shared" si="389"/>
        <v>0</v>
      </c>
      <c r="K1173" s="38"/>
      <c r="L1173" s="36">
        <f t="shared" si="390"/>
        <v>0</v>
      </c>
      <c r="M1173" s="35"/>
      <c r="N1173" s="36">
        <f t="shared" si="380"/>
        <v>0</v>
      </c>
      <c r="O1173" s="38"/>
      <c r="P1173" s="36">
        <f t="shared" si="391"/>
        <v>0</v>
      </c>
      <c r="Q1173" s="35"/>
      <c r="R1173" s="36">
        <f t="shared" si="381"/>
        <v>0</v>
      </c>
      <c r="S1173" s="38"/>
      <c r="T1173" s="36">
        <f t="shared" si="392"/>
        <v>0</v>
      </c>
      <c r="U1173" s="35"/>
      <c r="V1173" s="36">
        <f t="shared" si="382"/>
        <v>0</v>
      </c>
      <c r="W1173" s="38"/>
      <c r="X1173" s="36">
        <f t="shared" si="393"/>
        <v>0</v>
      </c>
      <c r="Y1173" s="35"/>
      <c r="Z1173" s="36">
        <f t="shared" si="383"/>
        <v>0</v>
      </c>
      <c r="AA1173" s="38"/>
      <c r="AB1173" s="36">
        <f t="shared" si="394"/>
        <v>0</v>
      </c>
      <c r="AC1173" s="35"/>
      <c r="AD1173" s="36">
        <f t="shared" si="384"/>
        <v>0</v>
      </c>
      <c r="AE1173" s="38"/>
      <c r="AF1173" s="36">
        <f t="shared" si="395"/>
        <v>0</v>
      </c>
      <c r="AG1173" s="35"/>
      <c r="AH1173" s="36">
        <f t="shared" si="385"/>
        <v>0</v>
      </c>
      <c r="AI1173" s="38"/>
      <c r="AJ1173" s="36">
        <f t="shared" si="396"/>
        <v>0</v>
      </c>
      <c r="AK1173" s="35"/>
      <c r="AL1173" s="36">
        <f t="shared" si="386"/>
        <v>0</v>
      </c>
      <c r="AM1173" s="38"/>
      <c r="AN1173" s="36">
        <f t="shared" si="397"/>
        <v>0</v>
      </c>
      <c r="AO1173" s="35"/>
      <c r="AP1173" s="38"/>
    </row>
    <row r="1174" spans="1:42" ht="15.75" customHeight="1" x14ac:dyDescent="0.25">
      <c r="A1174" s="37">
        <v>2016</v>
      </c>
      <c r="B1174" s="35">
        <v>171070</v>
      </c>
      <c r="C1174" s="34" t="s">
        <v>145</v>
      </c>
      <c r="D1174" s="34" t="s">
        <v>65</v>
      </c>
      <c r="E1174" s="35"/>
      <c r="F1174" s="36">
        <f t="shared" si="387"/>
        <v>0</v>
      </c>
      <c r="G1174" s="38"/>
      <c r="H1174" s="36">
        <f t="shared" si="388"/>
        <v>0</v>
      </c>
      <c r="I1174" s="35"/>
      <c r="J1174" s="36">
        <f t="shared" si="389"/>
        <v>0</v>
      </c>
      <c r="K1174" s="38"/>
      <c r="L1174" s="36">
        <f t="shared" si="390"/>
        <v>0</v>
      </c>
      <c r="M1174" s="35"/>
      <c r="N1174" s="36">
        <f t="shared" si="380"/>
        <v>0</v>
      </c>
      <c r="O1174" s="38"/>
      <c r="P1174" s="36">
        <f t="shared" si="391"/>
        <v>0</v>
      </c>
      <c r="Q1174" s="35"/>
      <c r="R1174" s="36">
        <f t="shared" si="381"/>
        <v>0</v>
      </c>
      <c r="S1174" s="38"/>
      <c r="T1174" s="36">
        <f t="shared" si="392"/>
        <v>0</v>
      </c>
      <c r="U1174" s="35"/>
      <c r="V1174" s="36">
        <f t="shared" si="382"/>
        <v>0</v>
      </c>
      <c r="W1174" s="38"/>
      <c r="X1174" s="36">
        <f t="shared" si="393"/>
        <v>0</v>
      </c>
      <c r="Y1174" s="35"/>
      <c r="Z1174" s="36">
        <f t="shared" si="383"/>
        <v>0</v>
      </c>
      <c r="AA1174" s="38"/>
      <c r="AB1174" s="36">
        <f t="shared" si="394"/>
        <v>0</v>
      </c>
      <c r="AC1174" s="35"/>
      <c r="AD1174" s="36">
        <f t="shared" si="384"/>
        <v>0</v>
      </c>
      <c r="AE1174" s="38"/>
      <c r="AF1174" s="36">
        <f t="shared" si="395"/>
        <v>0</v>
      </c>
      <c r="AG1174" s="35"/>
      <c r="AH1174" s="36">
        <f t="shared" si="385"/>
        <v>0</v>
      </c>
      <c r="AI1174" s="38"/>
      <c r="AJ1174" s="36">
        <f t="shared" si="396"/>
        <v>0</v>
      </c>
      <c r="AK1174" s="35"/>
      <c r="AL1174" s="36">
        <f t="shared" si="386"/>
        <v>0</v>
      </c>
      <c r="AM1174" s="38"/>
      <c r="AN1174" s="36">
        <f t="shared" si="397"/>
        <v>0</v>
      </c>
      <c r="AO1174" s="35"/>
      <c r="AP1174" s="38"/>
    </row>
    <row r="1175" spans="1:42" ht="15.75" customHeight="1" x14ac:dyDescent="0.25">
      <c r="A1175" s="37">
        <v>2016</v>
      </c>
      <c r="B1175" s="35">
        <v>171090</v>
      </c>
      <c r="C1175" s="34" t="s">
        <v>150</v>
      </c>
      <c r="D1175" s="34" t="s">
        <v>66</v>
      </c>
      <c r="E1175" s="35"/>
      <c r="F1175" s="36">
        <f t="shared" si="387"/>
        <v>0</v>
      </c>
      <c r="G1175" s="38"/>
      <c r="H1175" s="36">
        <f t="shared" si="388"/>
        <v>0</v>
      </c>
      <c r="I1175" s="35"/>
      <c r="J1175" s="36">
        <f t="shared" si="389"/>
        <v>0</v>
      </c>
      <c r="K1175" s="38"/>
      <c r="L1175" s="36">
        <f t="shared" si="390"/>
        <v>0</v>
      </c>
      <c r="M1175" s="35"/>
      <c r="N1175" s="36">
        <f t="shared" si="380"/>
        <v>0</v>
      </c>
      <c r="O1175" s="38"/>
      <c r="P1175" s="36">
        <f t="shared" si="391"/>
        <v>0</v>
      </c>
      <c r="Q1175" s="35"/>
      <c r="R1175" s="36">
        <f t="shared" si="381"/>
        <v>0</v>
      </c>
      <c r="S1175" s="38"/>
      <c r="T1175" s="36">
        <f t="shared" si="392"/>
        <v>0</v>
      </c>
      <c r="U1175" s="35"/>
      <c r="V1175" s="36">
        <f t="shared" si="382"/>
        <v>0</v>
      </c>
      <c r="W1175" s="38"/>
      <c r="X1175" s="36">
        <f t="shared" si="393"/>
        <v>0</v>
      </c>
      <c r="Y1175" s="35"/>
      <c r="Z1175" s="36">
        <f t="shared" si="383"/>
        <v>0</v>
      </c>
      <c r="AA1175" s="38"/>
      <c r="AB1175" s="36">
        <f t="shared" si="394"/>
        <v>0</v>
      </c>
      <c r="AC1175" s="35"/>
      <c r="AD1175" s="36">
        <f t="shared" si="384"/>
        <v>0</v>
      </c>
      <c r="AE1175" s="38"/>
      <c r="AF1175" s="36">
        <f t="shared" si="395"/>
        <v>0</v>
      </c>
      <c r="AG1175" s="35"/>
      <c r="AH1175" s="36">
        <f t="shared" si="385"/>
        <v>0</v>
      </c>
      <c r="AI1175" s="38"/>
      <c r="AJ1175" s="36">
        <f t="shared" si="396"/>
        <v>0</v>
      </c>
      <c r="AK1175" s="35"/>
      <c r="AL1175" s="36">
        <f t="shared" si="386"/>
        <v>0</v>
      </c>
      <c r="AM1175" s="38"/>
      <c r="AN1175" s="36">
        <f t="shared" si="397"/>
        <v>0</v>
      </c>
      <c r="AO1175" s="35"/>
      <c r="AP1175" s="38"/>
    </row>
    <row r="1176" spans="1:42" ht="15.75" customHeight="1" x14ac:dyDescent="0.25">
      <c r="A1176" s="37">
        <v>2016</v>
      </c>
      <c r="B1176" s="35">
        <v>171110</v>
      </c>
      <c r="C1176" s="34" t="s">
        <v>150</v>
      </c>
      <c r="D1176" s="34" t="s">
        <v>67</v>
      </c>
      <c r="E1176" s="35"/>
      <c r="F1176" s="36">
        <f t="shared" si="387"/>
        <v>0</v>
      </c>
      <c r="G1176" s="38"/>
      <c r="H1176" s="36">
        <f t="shared" si="388"/>
        <v>0</v>
      </c>
      <c r="I1176" s="35"/>
      <c r="J1176" s="36">
        <f t="shared" si="389"/>
        <v>0</v>
      </c>
      <c r="K1176" s="38"/>
      <c r="L1176" s="36">
        <f t="shared" si="390"/>
        <v>0</v>
      </c>
      <c r="M1176" s="35"/>
      <c r="N1176" s="36">
        <f t="shared" si="380"/>
        <v>0</v>
      </c>
      <c r="O1176" s="38"/>
      <c r="P1176" s="36">
        <f t="shared" si="391"/>
        <v>0</v>
      </c>
      <c r="Q1176" s="35"/>
      <c r="R1176" s="36">
        <f t="shared" si="381"/>
        <v>0</v>
      </c>
      <c r="S1176" s="38"/>
      <c r="T1176" s="36">
        <f t="shared" si="392"/>
        <v>0</v>
      </c>
      <c r="U1176" s="35"/>
      <c r="V1176" s="36">
        <f t="shared" si="382"/>
        <v>0</v>
      </c>
      <c r="W1176" s="38"/>
      <c r="X1176" s="36">
        <f t="shared" si="393"/>
        <v>0</v>
      </c>
      <c r="Y1176" s="35"/>
      <c r="Z1176" s="36">
        <f t="shared" si="383"/>
        <v>0</v>
      </c>
      <c r="AA1176" s="38"/>
      <c r="AB1176" s="36">
        <f t="shared" si="394"/>
        <v>0</v>
      </c>
      <c r="AC1176" s="35"/>
      <c r="AD1176" s="36">
        <f t="shared" si="384"/>
        <v>0</v>
      </c>
      <c r="AE1176" s="38"/>
      <c r="AF1176" s="36">
        <f t="shared" si="395"/>
        <v>0</v>
      </c>
      <c r="AG1176" s="35"/>
      <c r="AH1176" s="36">
        <f t="shared" si="385"/>
        <v>0</v>
      </c>
      <c r="AI1176" s="38"/>
      <c r="AJ1176" s="36">
        <f t="shared" si="396"/>
        <v>0</v>
      </c>
      <c r="AK1176" s="35"/>
      <c r="AL1176" s="36">
        <f t="shared" si="386"/>
        <v>0</v>
      </c>
      <c r="AM1176" s="38"/>
      <c r="AN1176" s="36">
        <f t="shared" si="397"/>
        <v>0</v>
      </c>
      <c r="AO1176" s="35"/>
      <c r="AP1176" s="38"/>
    </row>
    <row r="1177" spans="1:42" ht="15.75" customHeight="1" x14ac:dyDescent="0.25">
      <c r="A1177" s="37">
        <v>2016</v>
      </c>
      <c r="B1177" s="35">
        <v>171150</v>
      </c>
      <c r="C1177" s="34" t="s">
        <v>146</v>
      </c>
      <c r="D1177" s="34" t="s">
        <v>68</v>
      </c>
      <c r="E1177" s="35"/>
      <c r="F1177" s="36">
        <f t="shared" si="387"/>
        <v>0</v>
      </c>
      <c r="G1177" s="38"/>
      <c r="H1177" s="36">
        <f t="shared" si="388"/>
        <v>0</v>
      </c>
      <c r="I1177" s="35"/>
      <c r="J1177" s="36">
        <f t="shared" si="389"/>
        <v>0</v>
      </c>
      <c r="K1177" s="38"/>
      <c r="L1177" s="36">
        <f t="shared" si="390"/>
        <v>0</v>
      </c>
      <c r="M1177" s="35"/>
      <c r="N1177" s="36">
        <f t="shared" si="380"/>
        <v>0</v>
      </c>
      <c r="O1177" s="38"/>
      <c r="P1177" s="36">
        <f t="shared" si="391"/>
        <v>0</v>
      </c>
      <c r="Q1177" s="35"/>
      <c r="R1177" s="36">
        <f t="shared" si="381"/>
        <v>0</v>
      </c>
      <c r="S1177" s="38"/>
      <c r="T1177" s="36">
        <f t="shared" si="392"/>
        <v>0</v>
      </c>
      <c r="U1177" s="35"/>
      <c r="V1177" s="36">
        <f t="shared" si="382"/>
        <v>0</v>
      </c>
      <c r="W1177" s="38"/>
      <c r="X1177" s="36">
        <f t="shared" si="393"/>
        <v>0</v>
      </c>
      <c r="Y1177" s="35"/>
      <c r="Z1177" s="36">
        <f t="shared" si="383"/>
        <v>0</v>
      </c>
      <c r="AA1177" s="38"/>
      <c r="AB1177" s="36">
        <f t="shared" si="394"/>
        <v>0</v>
      </c>
      <c r="AC1177" s="35"/>
      <c r="AD1177" s="36">
        <f t="shared" si="384"/>
        <v>0</v>
      </c>
      <c r="AE1177" s="38"/>
      <c r="AF1177" s="36">
        <f t="shared" si="395"/>
        <v>0</v>
      </c>
      <c r="AG1177" s="35"/>
      <c r="AH1177" s="36">
        <f t="shared" si="385"/>
        <v>0</v>
      </c>
      <c r="AI1177" s="38"/>
      <c r="AJ1177" s="36">
        <f t="shared" si="396"/>
        <v>0</v>
      </c>
      <c r="AK1177" s="35"/>
      <c r="AL1177" s="36">
        <f t="shared" si="386"/>
        <v>0</v>
      </c>
      <c r="AM1177" s="38"/>
      <c r="AN1177" s="36">
        <f t="shared" si="397"/>
        <v>0</v>
      </c>
      <c r="AO1177" s="35"/>
      <c r="AP1177" s="38"/>
    </row>
    <row r="1178" spans="1:42" ht="15.75" customHeight="1" x14ac:dyDescent="0.25">
      <c r="A1178" s="37">
        <v>2016</v>
      </c>
      <c r="B1178" s="35">
        <v>171180</v>
      </c>
      <c r="C1178" s="34" t="s">
        <v>150</v>
      </c>
      <c r="D1178" s="34" t="s">
        <v>69</v>
      </c>
      <c r="E1178" s="35"/>
      <c r="F1178" s="36">
        <f t="shared" si="387"/>
        <v>0</v>
      </c>
      <c r="G1178" s="38"/>
      <c r="H1178" s="36">
        <f t="shared" si="388"/>
        <v>0</v>
      </c>
      <c r="I1178" s="35"/>
      <c r="J1178" s="36">
        <f t="shared" si="389"/>
        <v>0</v>
      </c>
      <c r="K1178" s="38"/>
      <c r="L1178" s="36">
        <f t="shared" si="390"/>
        <v>0</v>
      </c>
      <c r="M1178" s="35"/>
      <c r="N1178" s="36">
        <f t="shared" si="380"/>
        <v>0</v>
      </c>
      <c r="O1178" s="38"/>
      <c r="P1178" s="36">
        <f t="shared" si="391"/>
        <v>0</v>
      </c>
      <c r="Q1178" s="35"/>
      <c r="R1178" s="36">
        <f t="shared" si="381"/>
        <v>0</v>
      </c>
      <c r="S1178" s="38"/>
      <c r="T1178" s="36">
        <f t="shared" si="392"/>
        <v>0</v>
      </c>
      <c r="U1178" s="35"/>
      <c r="V1178" s="36">
        <f t="shared" si="382"/>
        <v>0</v>
      </c>
      <c r="W1178" s="38"/>
      <c r="X1178" s="36">
        <f t="shared" si="393"/>
        <v>0</v>
      </c>
      <c r="Y1178" s="35"/>
      <c r="Z1178" s="36">
        <f t="shared" si="383"/>
        <v>0</v>
      </c>
      <c r="AA1178" s="38"/>
      <c r="AB1178" s="36">
        <f t="shared" si="394"/>
        <v>0</v>
      </c>
      <c r="AC1178" s="35"/>
      <c r="AD1178" s="36">
        <f t="shared" si="384"/>
        <v>0</v>
      </c>
      <c r="AE1178" s="38"/>
      <c r="AF1178" s="36">
        <f t="shared" si="395"/>
        <v>0</v>
      </c>
      <c r="AG1178" s="35"/>
      <c r="AH1178" s="36">
        <f t="shared" si="385"/>
        <v>0</v>
      </c>
      <c r="AI1178" s="38"/>
      <c r="AJ1178" s="36">
        <f t="shared" si="396"/>
        <v>0</v>
      </c>
      <c r="AK1178" s="35"/>
      <c r="AL1178" s="36">
        <f t="shared" si="386"/>
        <v>0</v>
      </c>
      <c r="AM1178" s="38"/>
      <c r="AN1178" s="36">
        <f t="shared" si="397"/>
        <v>0</v>
      </c>
      <c r="AO1178" s="35"/>
      <c r="AP1178" s="38"/>
    </row>
    <row r="1179" spans="1:42" ht="15.75" customHeight="1" x14ac:dyDescent="0.25">
      <c r="A1179" s="37">
        <v>2016</v>
      </c>
      <c r="B1179" s="35">
        <v>171190</v>
      </c>
      <c r="C1179" s="34" t="s">
        <v>144</v>
      </c>
      <c r="D1179" s="34" t="s">
        <v>70</v>
      </c>
      <c r="E1179" s="35"/>
      <c r="F1179" s="36">
        <f t="shared" si="387"/>
        <v>0</v>
      </c>
      <c r="G1179" s="38"/>
      <c r="H1179" s="36">
        <f t="shared" si="388"/>
        <v>0</v>
      </c>
      <c r="I1179" s="35"/>
      <c r="J1179" s="36">
        <f t="shared" si="389"/>
        <v>0</v>
      </c>
      <c r="K1179" s="38"/>
      <c r="L1179" s="36">
        <f t="shared" si="390"/>
        <v>0</v>
      </c>
      <c r="M1179" s="35"/>
      <c r="N1179" s="36">
        <f t="shared" si="380"/>
        <v>0</v>
      </c>
      <c r="O1179" s="38"/>
      <c r="P1179" s="36">
        <f t="shared" si="391"/>
        <v>0</v>
      </c>
      <c r="Q1179" s="35"/>
      <c r="R1179" s="36">
        <f t="shared" si="381"/>
        <v>0</v>
      </c>
      <c r="S1179" s="38"/>
      <c r="T1179" s="36">
        <f t="shared" si="392"/>
        <v>0</v>
      </c>
      <c r="U1179" s="35"/>
      <c r="V1179" s="36">
        <f t="shared" si="382"/>
        <v>0</v>
      </c>
      <c r="W1179" s="38"/>
      <c r="X1179" s="36">
        <f t="shared" si="393"/>
        <v>0</v>
      </c>
      <c r="Y1179" s="35"/>
      <c r="Z1179" s="36">
        <f t="shared" si="383"/>
        <v>0</v>
      </c>
      <c r="AA1179" s="38"/>
      <c r="AB1179" s="36">
        <f t="shared" si="394"/>
        <v>0</v>
      </c>
      <c r="AC1179" s="35"/>
      <c r="AD1179" s="36">
        <f t="shared" si="384"/>
        <v>0</v>
      </c>
      <c r="AE1179" s="38"/>
      <c r="AF1179" s="36">
        <f t="shared" si="395"/>
        <v>0</v>
      </c>
      <c r="AG1179" s="35"/>
      <c r="AH1179" s="36">
        <f t="shared" si="385"/>
        <v>0</v>
      </c>
      <c r="AI1179" s="38"/>
      <c r="AJ1179" s="36">
        <f t="shared" si="396"/>
        <v>0</v>
      </c>
      <c r="AK1179" s="35"/>
      <c r="AL1179" s="36">
        <f t="shared" si="386"/>
        <v>0</v>
      </c>
      <c r="AM1179" s="38"/>
      <c r="AN1179" s="36">
        <f t="shared" si="397"/>
        <v>0</v>
      </c>
      <c r="AO1179" s="35"/>
      <c r="AP1179" s="38"/>
    </row>
    <row r="1180" spans="1:42" ht="15.75" customHeight="1" x14ac:dyDescent="0.25">
      <c r="A1180" s="37">
        <v>2016</v>
      </c>
      <c r="B1180" s="35">
        <v>171195</v>
      </c>
      <c r="C1180" s="34" t="s">
        <v>148</v>
      </c>
      <c r="D1180" s="34" t="s">
        <v>71</v>
      </c>
      <c r="E1180" s="35"/>
      <c r="F1180" s="36">
        <f t="shared" si="387"/>
        <v>0</v>
      </c>
      <c r="G1180" s="38"/>
      <c r="H1180" s="36">
        <f t="shared" si="388"/>
        <v>0</v>
      </c>
      <c r="I1180" s="35"/>
      <c r="J1180" s="36">
        <f t="shared" si="389"/>
        <v>0</v>
      </c>
      <c r="K1180" s="38"/>
      <c r="L1180" s="36">
        <f t="shared" si="390"/>
        <v>0</v>
      </c>
      <c r="M1180" s="35"/>
      <c r="N1180" s="36">
        <f t="shared" si="380"/>
        <v>0</v>
      </c>
      <c r="O1180" s="38"/>
      <c r="P1180" s="36">
        <f t="shared" si="391"/>
        <v>0</v>
      </c>
      <c r="Q1180" s="35"/>
      <c r="R1180" s="36">
        <f t="shared" si="381"/>
        <v>0</v>
      </c>
      <c r="S1180" s="38"/>
      <c r="T1180" s="36">
        <f t="shared" si="392"/>
        <v>0</v>
      </c>
      <c r="U1180" s="35"/>
      <c r="V1180" s="36">
        <f t="shared" si="382"/>
        <v>0</v>
      </c>
      <c r="W1180" s="38"/>
      <c r="X1180" s="36">
        <f t="shared" si="393"/>
        <v>0</v>
      </c>
      <c r="Y1180" s="35"/>
      <c r="Z1180" s="36">
        <f t="shared" si="383"/>
        <v>0</v>
      </c>
      <c r="AA1180" s="38"/>
      <c r="AB1180" s="36">
        <f t="shared" si="394"/>
        <v>0</v>
      </c>
      <c r="AC1180" s="35"/>
      <c r="AD1180" s="36">
        <f t="shared" si="384"/>
        <v>0</v>
      </c>
      <c r="AE1180" s="38"/>
      <c r="AF1180" s="36">
        <f t="shared" si="395"/>
        <v>0</v>
      </c>
      <c r="AG1180" s="35"/>
      <c r="AH1180" s="36">
        <f t="shared" si="385"/>
        <v>0</v>
      </c>
      <c r="AI1180" s="38"/>
      <c r="AJ1180" s="36">
        <f t="shared" si="396"/>
        <v>0</v>
      </c>
      <c r="AK1180" s="35"/>
      <c r="AL1180" s="36">
        <f t="shared" si="386"/>
        <v>0</v>
      </c>
      <c r="AM1180" s="38"/>
      <c r="AN1180" s="36">
        <f t="shared" si="397"/>
        <v>0</v>
      </c>
      <c r="AO1180" s="35"/>
      <c r="AP1180" s="38"/>
    </row>
    <row r="1181" spans="1:42" ht="15.75" customHeight="1" x14ac:dyDescent="0.25">
      <c r="A1181" s="37">
        <v>2016</v>
      </c>
      <c r="B1181" s="35">
        <v>171200</v>
      </c>
      <c r="C1181" s="34" t="s">
        <v>148</v>
      </c>
      <c r="D1181" s="34" t="s">
        <v>72</v>
      </c>
      <c r="E1181" s="35"/>
      <c r="F1181" s="36">
        <f t="shared" si="387"/>
        <v>0</v>
      </c>
      <c r="G1181" s="38"/>
      <c r="H1181" s="36">
        <f t="shared" si="388"/>
        <v>0</v>
      </c>
      <c r="I1181" s="35"/>
      <c r="J1181" s="36">
        <f t="shared" si="389"/>
        <v>0</v>
      </c>
      <c r="K1181" s="38"/>
      <c r="L1181" s="36">
        <f t="shared" si="390"/>
        <v>0</v>
      </c>
      <c r="M1181" s="35"/>
      <c r="N1181" s="36">
        <f t="shared" si="380"/>
        <v>0</v>
      </c>
      <c r="O1181" s="38"/>
      <c r="P1181" s="36">
        <f t="shared" si="391"/>
        <v>0</v>
      </c>
      <c r="Q1181" s="35"/>
      <c r="R1181" s="36">
        <f t="shared" si="381"/>
        <v>0</v>
      </c>
      <c r="S1181" s="38"/>
      <c r="T1181" s="36">
        <f t="shared" si="392"/>
        <v>0</v>
      </c>
      <c r="U1181" s="35"/>
      <c r="V1181" s="36">
        <f t="shared" si="382"/>
        <v>0</v>
      </c>
      <c r="W1181" s="38"/>
      <c r="X1181" s="36">
        <f t="shared" si="393"/>
        <v>0</v>
      </c>
      <c r="Y1181" s="35"/>
      <c r="Z1181" s="36">
        <f t="shared" si="383"/>
        <v>0</v>
      </c>
      <c r="AA1181" s="38"/>
      <c r="AB1181" s="36">
        <f t="shared" si="394"/>
        <v>0</v>
      </c>
      <c r="AC1181" s="35"/>
      <c r="AD1181" s="36">
        <f t="shared" si="384"/>
        <v>0</v>
      </c>
      <c r="AE1181" s="38"/>
      <c r="AF1181" s="36">
        <f t="shared" si="395"/>
        <v>0</v>
      </c>
      <c r="AG1181" s="35"/>
      <c r="AH1181" s="36">
        <f t="shared" si="385"/>
        <v>0</v>
      </c>
      <c r="AI1181" s="38"/>
      <c r="AJ1181" s="36">
        <f t="shared" si="396"/>
        <v>0</v>
      </c>
      <c r="AK1181" s="35"/>
      <c r="AL1181" s="36">
        <f t="shared" si="386"/>
        <v>0</v>
      </c>
      <c r="AM1181" s="38"/>
      <c r="AN1181" s="36">
        <f t="shared" si="397"/>
        <v>0</v>
      </c>
      <c r="AO1181" s="35"/>
      <c r="AP1181" s="38"/>
    </row>
    <row r="1182" spans="1:42" ht="15.75" customHeight="1" x14ac:dyDescent="0.25">
      <c r="A1182" s="37">
        <v>2016</v>
      </c>
      <c r="B1182" s="35">
        <v>171215</v>
      </c>
      <c r="C1182" s="34" t="s">
        <v>147</v>
      </c>
      <c r="D1182" s="34" t="s">
        <v>73</v>
      </c>
      <c r="E1182" s="35"/>
      <c r="F1182" s="36">
        <f t="shared" si="387"/>
        <v>0</v>
      </c>
      <c r="G1182" s="38"/>
      <c r="H1182" s="36">
        <f t="shared" si="388"/>
        <v>0</v>
      </c>
      <c r="I1182" s="35"/>
      <c r="J1182" s="36">
        <f t="shared" si="389"/>
        <v>0</v>
      </c>
      <c r="K1182" s="38"/>
      <c r="L1182" s="36">
        <f t="shared" si="390"/>
        <v>0</v>
      </c>
      <c r="M1182" s="35"/>
      <c r="N1182" s="36">
        <f t="shared" si="380"/>
        <v>0</v>
      </c>
      <c r="O1182" s="38"/>
      <c r="P1182" s="36">
        <f t="shared" si="391"/>
        <v>0</v>
      </c>
      <c r="Q1182" s="35"/>
      <c r="R1182" s="36">
        <f t="shared" si="381"/>
        <v>0</v>
      </c>
      <c r="S1182" s="38"/>
      <c r="T1182" s="36">
        <f t="shared" si="392"/>
        <v>0</v>
      </c>
      <c r="U1182" s="35"/>
      <c r="V1182" s="36">
        <f t="shared" si="382"/>
        <v>0</v>
      </c>
      <c r="W1182" s="38"/>
      <c r="X1182" s="36">
        <f t="shared" si="393"/>
        <v>0</v>
      </c>
      <c r="Y1182" s="35"/>
      <c r="Z1182" s="36">
        <f t="shared" si="383"/>
        <v>0</v>
      </c>
      <c r="AA1182" s="38"/>
      <c r="AB1182" s="36">
        <f t="shared" si="394"/>
        <v>0</v>
      </c>
      <c r="AC1182" s="35"/>
      <c r="AD1182" s="36">
        <f t="shared" si="384"/>
        <v>0</v>
      </c>
      <c r="AE1182" s="38"/>
      <c r="AF1182" s="36">
        <f t="shared" si="395"/>
        <v>0</v>
      </c>
      <c r="AG1182" s="35"/>
      <c r="AH1182" s="36">
        <f t="shared" si="385"/>
        <v>0</v>
      </c>
      <c r="AI1182" s="38"/>
      <c r="AJ1182" s="36">
        <f t="shared" si="396"/>
        <v>0</v>
      </c>
      <c r="AK1182" s="35"/>
      <c r="AL1182" s="36">
        <f t="shared" si="386"/>
        <v>0</v>
      </c>
      <c r="AM1182" s="38"/>
      <c r="AN1182" s="36">
        <f t="shared" si="397"/>
        <v>0</v>
      </c>
      <c r="AO1182" s="35"/>
      <c r="AP1182" s="38"/>
    </row>
    <row r="1183" spans="1:42" ht="15.75" customHeight="1" x14ac:dyDescent="0.25">
      <c r="A1183" s="37">
        <v>2016</v>
      </c>
      <c r="B1183" s="35">
        <v>171240</v>
      </c>
      <c r="C1183" s="34" t="s">
        <v>148</v>
      </c>
      <c r="D1183" s="34" t="s">
        <v>74</v>
      </c>
      <c r="E1183" s="35"/>
      <c r="F1183" s="36">
        <f t="shared" si="387"/>
        <v>0</v>
      </c>
      <c r="G1183" s="38"/>
      <c r="H1183" s="36">
        <f t="shared" si="388"/>
        <v>0</v>
      </c>
      <c r="I1183" s="35"/>
      <c r="J1183" s="36">
        <f t="shared" si="389"/>
        <v>0</v>
      </c>
      <c r="K1183" s="38"/>
      <c r="L1183" s="36">
        <f t="shared" si="390"/>
        <v>0</v>
      </c>
      <c r="M1183" s="35"/>
      <c r="N1183" s="36">
        <f t="shared" si="380"/>
        <v>0</v>
      </c>
      <c r="O1183" s="38"/>
      <c r="P1183" s="36">
        <f t="shared" si="391"/>
        <v>0</v>
      </c>
      <c r="Q1183" s="35"/>
      <c r="R1183" s="36">
        <f t="shared" si="381"/>
        <v>0</v>
      </c>
      <c r="S1183" s="38"/>
      <c r="T1183" s="36">
        <f t="shared" si="392"/>
        <v>0</v>
      </c>
      <c r="U1183" s="35"/>
      <c r="V1183" s="36">
        <f t="shared" si="382"/>
        <v>0</v>
      </c>
      <c r="W1183" s="38"/>
      <c r="X1183" s="36">
        <f t="shared" si="393"/>
        <v>0</v>
      </c>
      <c r="Y1183" s="35"/>
      <c r="Z1183" s="36">
        <f t="shared" si="383"/>
        <v>0</v>
      </c>
      <c r="AA1183" s="38"/>
      <c r="AB1183" s="36">
        <f t="shared" si="394"/>
        <v>0</v>
      </c>
      <c r="AC1183" s="35"/>
      <c r="AD1183" s="36">
        <f t="shared" si="384"/>
        <v>0</v>
      </c>
      <c r="AE1183" s="38"/>
      <c r="AF1183" s="36">
        <f t="shared" si="395"/>
        <v>0</v>
      </c>
      <c r="AG1183" s="35"/>
      <c r="AH1183" s="36">
        <f t="shared" si="385"/>
        <v>0</v>
      </c>
      <c r="AI1183" s="38"/>
      <c r="AJ1183" s="36">
        <f t="shared" si="396"/>
        <v>0</v>
      </c>
      <c r="AK1183" s="35"/>
      <c r="AL1183" s="36">
        <f t="shared" si="386"/>
        <v>0</v>
      </c>
      <c r="AM1183" s="38"/>
      <c r="AN1183" s="36">
        <f t="shared" si="397"/>
        <v>0</v>
      </c>
      <c r="AO1183" s="35"/>
      <c r="AP1183" s="38"/>
    </row>
    <row r="1184" spans="1:42" ht="15.75" customHeight="1" x14ac:dyDescent="0.25">
      <c r="A1184" s="37">
        <v>2016</v>
      </c>
      <c r="B1184" s="35">
        <v>171245</v>
      </c>
      <c r="C1184" s="34" t="s">
        <v>145</v>
      </c>
      <c r="D1184" s="34" t="s">
        <v>75</v>
      </c>
      <c r="E1184" s="35"/>
      <c r="F1184" s="36">
        <f t="shared" si="387"/>
        <v>0</v>
      </c>
      <c r="G1184" s="38"/>
      <c r="H1184" s="36">
        <f t="shared" si="388"/>
        <v>0</v>
      </c>
      <c r="I1184" s="35"/>
      <c r="J1184" s="36">
        <f t="shared" si="389"/>
        <v>0</v>
      </c>
      <c r="K1184" s="38"/>
      <c r="L1184" s="36">
        <f t="shared" si="390"/>
        <v>0</v>
      </c>
      <c r="M1184" s="35"/>
      <c r="N1184" s="36">
        <f t="shared" si="380"/>
        <v>0</v>
      </c>
      <c r="O1184" s="38"/>
      <c r="P1184" s="36">
        <f t="shared" si="391"/>
        <v>0</v>
      </c>
      <c r="Q1184" s="35"/>
      <c r="R1184" s="36">
        <f t="shared" si="381"/>
        <v>0</v>
      </c>
      <c r="S1184" s="38"/>
      <c r="T1184" s="36">
        <f t="shared" si="392"/>
        <v>0</v>
      </c>
      <c r="U1184" s="35"/>
      <c r="V1184" s="36">
        <f t="shared" si="382"/>
        <v>0</v>
      </c>
      <c r="W1184" s="38"/>
      <c r="X1184" s="36">
        <f t="shared" si="393"/>
        <v>0</v>
      </c>
      <c r="Y1184" s="35"/>
      <c r="Z1184" s="36">
        <f t="shared" si="383"/>
        <v>0</v>
      </c>
      <c r="AA1184" s="38"/>
      <c r="AB1184" s="36">
        <f t="shared" si="394"/>
        <v>0</v>
      </c>
      <c r="AC1184" s="35"/>
      <c r="AD1184" s="36">
        <f t="shared" si="384"/>
        <v>0</v>
      </c>
      <c r="AE1184" s="38"/>
      <c r="AF1184" s="36">
        <f t="shared" si="395"/>
        <v>0</v>
      </c>
      <c r="AG1184" s="35"/>
      <c r="AH1184" s="36">
        <f t="shared" si="385"/>
        <v>0</v>
      </c>
      <c r="AI1184" s="38"/>
      <c r="AJ1184" s="36">
        <f t="shared" si="396"/>
        <v>0</v>
      </c>
      <c r="AK1184" s="35"/>
      <c r="AL1184" s="36">
        <f t="shared" si="386"/>
        <v>0</v>
      </c>
      <c r="AM1184" s="38"/>
      <c r="AN1184" s="36">
        <f t="shared" si="397"/>
        <v>0</v>
      </c>
      <c r="AO1184" s="35"/>
      <c r="AP1184" s="38"/>
    </row>
    <row r="1185" spans="1:42" ht="15.75" customHeight="1" x14ac:dyDescent="0.25">
      <c r="A1185" s="37">
        <v>2016</v>
      </c>
      <c r="B1185" s="35">
        <v>171250</v>
      </c>
      <c r="C1185" s="34" t="s">
        <v>144</v>
      </c>
      <c r="D1185" s="34" t="s">
        <v>76</v>
      </c>
      <c r="E1185" s="35"/>
      <c r="F1185" s="36">
        <f t="shared" si="387"/>
        <v>0</v>
      </c>
      <c r="G1185" s="38"/>
      <c r="H1185" s="36">
        <f t="shared" si="388"/>
        <v>0</v>
      </c>
      <c r="I1185" s="35"/>
      <c r="J1185" s="36">
        <f t="shared" si="389"/>
        <v>0</v>
      </c>
      <c r="K1185" s="38"/>
      <c r="L1185" s="36">
        <f t="shared" si="390"/>
        <v>0</v>
      </c>
      <c r="M1185" s="35"/>
      <c r="N1185" s="36">
        <f t="shared" si="380"/>
        <v>0</v>
      </c>
      <c r="O1185" s="38"/>
      <c r="P1185" s="36">
        <f t="shared" si="391"/>
        <v>0</v>
      </c>
      <c r="Q1185" s="35"/>
      <c r="R1185" s="36">
        <f t="shared" si="381"/>
        <v>0</v>
      </c>
      <c r="S1185" s="38"/>
      <c r="T1185" s="36">
        <f t="shared" si="392"/>
        <v>0</v>
      </c>
      <c r="U1185" s="35"/>
      <c r="V1185" s="36">
        <f t="shared" si="382"/>
        <v>0</v>
      </c>
      <c r="W1185" s="38"/>
      <c r="X1185" s="36">
        <f t="shared" si="393"/>
        <v>0</v>
      </c>
      <c r="Y1185" s="35"/>
      <c r="Z1185" s="36">
        <f t="shared" si="383"/>
        <v>0</v>
      </c>
      <c r="AA1185" s="38"/>
      <c r="AB1185" s="36">
        <f t="shared" si="394"/>
        <v>0</v>
      </c>
      <c r="AC1185" s="35"/>
      <c r="AD1185" s="36">
        <f t="shared" si="384"/>
        <v>0</v>
      </c>
      <c r="AE1185" s="38"/>
      <c r="AF1185" s="36">
        <f t="shared" si="395"/>
        <v>0</v>
      </c>
      <c r="AG1185" s="35"/>
      <c r="AH1185" s="36">
        <f t="shared" si="385"/>
        <v>0</v>
      </c>
      <c r="AI1185" s="38"/>
      <c r="AJ1185" s="36">
        <f t="shared" si="396"/>
        <v>0</v>
      </c>
      <c r="AK1185" s="35"/>
      <c r="AL1185" s="36">
        <f t="shared" si="386"/>
        <v>0</v>
      </c>
      <c r="AM1185" s="38"/>
      <c r="AN1185" s="36">
        <f t="shared" si="397"/>
        <v>0</v>
      </c>
      <c r="AO1185" s="35"/>
      <c r="AP1185" s="38"/>
    </row>
    <row r="1186" spans="1:42" ht="15.75" customHeight="1" x14ac:dyDescent="0.25">
      <c r="A1186" s="37">
        <v>2016</v>
      </c>
      <c r="B1186" s="35">
        <v>171270</v>
      </c>
      <c r="C1186" s="34" t="s">
        <v>151</v>
      </c>
      <c r="D1186" s="34" t="s">
        <v>77</v>
      </c>
      <c r="E1186" s="35"/>
      <c r="F1186" s="36">
        <f t="shared" si="387"/>
        <v>0</v>
      </c>
      <c r="G1186" s="38"/>
      <c r="H1186" s="36">
        <f t="shared" si="388"/>
        <v>0</v>
      </c>
      <c r="I1186" s="35"/>
      <c r="J1186" s="36">
        <f t="shared" si="389"/>
        <v>0</v>
      </c>
      <c r="K1186" s="38"/>
      <c r="L1186" s="36">
        <f t="shared" si="390"/>
        <v>0</v>
      </c>
      <c r="M1186" s="35"/>
      <c r="N1186" s="36">
        <f t="shared" si="380"/>
        <v>0</v>
      </c>
      <c r="O1186" s="38"/>
      <c r="P1186" s="36">
        <f t="shared" si="391"/>
        <v>0</v>
      </c>
      <c r="Q1186" s="35"/>
      <c r="R1186" s="36">
        <f t="shared" si="381"/>
        <v>0</v>
      </c>
      <c r="S1186" s="38"/>
      <c r="T1186" s="36">
        <f t="shared" si="392"/>
        <v>0</v>
      </c>
      <c r="U1186" s="35"/>
      <c r="V1186" s="36">
        <f t="shared" si="382"/>
        <v>0</v>
      </c>
      <c r="W1186" s="38"/>
      <c r="X1186" s="36">
        <f t="shared" si="393"/>
        <v>0</v>
      </c>
      <c r="Y1186" s="35"/>
      <c r="Z1186" s="36">
        <f t="shared" si="383"/>
        <v>0</v>
      </c>
      <c r="AA1186" s="38"/>
      <c r="AB1186" s="36">
        <f t="shared" si="394"/>
        <v>0</v>
      </c>
      <c r="AC1186" s="35"/>
      <c r="AD1186" s="36">
        <f t="shared" si="384"/>
        <v>0</v>
      </c>
      <c r="AE1186" s="38"/>
      <c r="AF1186" s="36">
        <f t="shared" si="395"/>
        <v>0</v>
      </c>
      <c r="AG1186" s="35"/>
      <c r="AH1186" s="36">
        <f t="shared" si="385"/>
        <v>0</v>
      </c>
      <c r="AI1186" s="38"/>
      <c r="AJ1186" s="36">
        <f t="shared" si="396"/>
        <v>0</v>
      </c>
      <c r="AK1186" s="35"/>
      <c r="AL1186" s="36">
        <f t="shared" si="386"/>
        <v>0</v>
      </c>
      <c r="AM1186" s="38"/>
      <c r="AN1186" s="36">
        <f t="shared" si="397"/>
        <v>0</v>
      </c>
      <c r="AO1186" s="35"/>
      <c r="AP1186" s="38"/>
    </row>
    <row r="1187" spans="1:42" ht="15.75" customHeight="1" x14ac:dyDescent="0.25">
      <c r="A1187" s="37">
        <v>2016</v>
      </c>
      <c r="B1187" s="35">
        <v>171280</v>
      </c>
      <c r="C1187" s="34" t="s">
        <v>145</v>
      </c>
      <c r="D1187" s="34" t="s">
        <v>78</v>
      </c>
      <c r="E1187" s="35"/>
      <c r="F1187" s="36">
        <f t="shared" si="387"/>
        <v>0</v>
      </c>
      <c r="G1187" s="38"/>
      <c r="H1187" s="36">
        <f t="shared" si="388"/>
        <v>0</v>
      </c>
      <c r="I1187" s="35"/>
      <c r="J1187" s="36">
        <f t="shared" si="389"/>
        <v>0</v>
      </c>
      <c r="K1187" s="38"/>
      <c r="L1187" s="36">
        <f t="shared" si="390"/>
        <v>0</v>
      </c>
      <c r="M1187" s="35"/>
      <c r="N1187" s="36">
        <f t="shared" si="380"/>
        <v>0</v>
      </c>
      <c r="O1187" s="38"/>
      <c r="P1187" s="36">
        <f t="shared" si="391"/>
        <v>0</v>
      </c>
      <c r="Q1187" s="35"/>
      <c r="R1187" s="36">
        <f t="shared" si="381"/>
        <v>0</v>
      </c>
      <c r="S1187" s="38"/>
      <c r="T1187" s="36">
        <f t="shared" si="392"/>
        <v>0</v>
      </c>
      <c r="U1187" s="35"/>
      <c r="V1187" s="36">
        <f t="shared" si="382"/>
        <v>0</v>
      </c>
      <c r="W1187" s="38"/>
      <c r="X1187" s="36">
        <f t="shared" si="393"/>
        <v>0</v>
      </c>
      <c r="Y1187" s="35"/>
      <c r="Z1187" s="36">
        <f t="shared" si="383"/>
        <v>0</v>
      </c>
      <c r="AA1187" s="38"/>
      <c r="AB1187" s="36">
        <f t="shared" si="394"/>
        <v>0</v>
      </c>
      <c r="AC1187" s="35"/>
      <c r="AD1187" s="36">
        <f t="shared" si="384"/>
        <v>0</v>
      </c>
      <c r="AE1187" s="38"/>
      <c r="AF1187" s="36">
        <f t="shared" si="395"/>
        <v>0</v>
      </c>
      <c r="AG1187" s="35"/>
      <c r="AH1187" s="36">
        <f t="shared" si="385"/>
        <v>0</v>
      </c>
      <c r="AI1187" s="38"/>
      <c r="AJ1187" s="36">
        <f t="shared" si="396"/>
        <v>0</v>
      </c>
      <c r="AK1187" s="35"/>
      <c r="AL1187" s="36">
        <f t="shared" si="386"/>
        <v>0</v>
      </c>
      <c r="AM1187" s="38"/>
      <c r="AN1187" s="36">
        <f t="shared" si="397"/>
        <v>0</v>
      </c>
      <c r="AO1187" s="35"/>
      <c r="AP1187" s="38"/>
    </row>
    <row r="1188" spans="1:42" ht="15.75" customHeight="1" x14ac:dyDescent="0.25">
      <c r="A1188" s="37">
        <v>2016</v>
      </c>
      <c r="B1188" s="35">
        <v>171320</v>
      </c>
      <c r="C1188" s="34" t="s">
        <v>148</v>
      </c>
      <c r="D1188" s="34" t="s">
        <v>79</v>
      </c>
      <c r="E1188" s="35"/>
      <c r="F1188" s="36">
        <f t="shared" si="387"/>
        <v>0</v>
      </c>
      <c r="G1188" s="38"/>
      <c r="H1188" s="36">
        <f t="shared" si="388"/>
        <v>0</v>
      </c>
      <c r="I1188" s="35"/>
      <c r="J1188" s="36">
        <f t="shared" si="389"/>
        <v>0</v>
      </c>
      <c r="K1188" s="38"/>
      <c r="L1188" s="36">
        <f t="shared" si="390"/>
        <v>0</v>
      </c>
      <c r="M1188" s="35"/>
      <c r="N1188" s="36">
        <f t="shared" si="380"/>
        <v>0</v>
      </c>
      <c r="O1188" s="38"/>
      <c r="P1188" s="36">
        <f t="shared" si="391"/>
        <v>0</v>
      </c>
      <c r="Q1188" s="35"/>
      <c r="R1188" s="36">
        <f t="shared" si="381"/>
        <v>0</v>
      </c>
      <c r="S1188" s="38"/>
      <c r="T1188" s="36">
        <f t="shared" si="392"/>
        <v>0</v>
      </c>
      <c r="U1188" s="35"/>
      <c r="V1188" s="36">
        <f t="shared" si="382"/>
        <v>0</v>
      </c>
      <c r="W1188" s="38"/>
      <c r="X1188" s="36">
        <f t="shared" si="393"/>
        <v>0</v>
      </c>
      <c r="Y1188" s="35"/>
      <c r="Z1188" s="36">
        <f t="shared" si="383"/>
        <v>0</v>
      </c>
      <c r="AA1188" s="38"/>
      <c r="AB1188" s="36">
        <f t="shared" si="394"/>
        <v>0</v>
      </c>
      <c r="AC1188" s="35"/>
      <c r="AD1188" s="36">
        <f t="shared" si="384"/>
        <v>0</v>
      </c>
      <c r="AE1188" s="38"/>
      <c r="AF1188" s="36">
        <f t="shared" si="395"/>
        <v>0</v>
      </c>
      <c r="AG1188" s="35"/>
      <c r="AH1188" s="36">
        <f t="shared" si="385"/>
        <v>0</v>
      </c>
      <c r="AI1188" s="38"/>
      <c r="AJ1188" s="36">
        <f t="shared" si="396"/>
        <v>0</v>
      </c>
      <c r="AK1188" s="35"/>
      <c r="AL1188" s="36">
        <f t="shared" si="386"/>
        <v>0</v>
      </c>
      <c r="AM1188" s="38"/>
      <c r="AN1188" s="36">
        <f t="shared" si="397"/>
        <v>0</v>
      </c>
      <c r="AO1188" s="35"/>
      <c r="AP1188" s="38"/>
    </row>
    <row r="1189" spans="1:42" ht="15.75" customHeight="1" x14ac:dyDescent="0.25">
      <c r="A1189" s="37">
        <v>2016</v>
      </c>
      <c r="B1189" s="35">
        <v>171330</v>
      </c>
      <c r="C1189" s="34" t="s">
        <v>148</v>
      </c>
      <c r="D1189" s="34" t="s">
        <v>80</v>
      </c>
      <c r="E1189" s="35"/>
      <c r="F1189" s="36">
        <f t="shared" si="387"/>
        <v>0</v>
      </c>
      <c r="G1189" s="38"/>
      <c r="H1189" s="36">
        <f t="shared" si="388"/>
        <v>0</v>
      </c>
      <c r="I1189" s="35"/>
      <c r="J1189" s="36">
        <f t="shared" si="389"/>
        <v>0</v>
      </c>
      <c r="K1189" s="38"/>
      <c r="L1189" s="36">
        <f t="shared" si="390"/>
        <v>0</v>
      </c>
      <c r="M1189" s="35"/>
      <c r="N1189" s="36">
        <f t="shared" si="380"/>
        <v>0</v>
      </c>
      <c r="O1189" s="38"/>
      <c r="P1189" s="36">
        <f t="shared" si="391"/>
        <v>0</v>
      </c>
      <c r="Q1189" s="35"/>
      <c r="R1189" s="36">
        <f t="shared" si="381"/>
        <v>0</v>
      </c>
      <c r="S1189" s="38"/>
      <c r="T1189" s="36">
        <f t="shared" si="392"/>
        <v>0</v>
      </c>
      <c r="U1189" s="35"/>
      <c r="V1189" s="36">
        <f t="shared" si="382"/>
        <v>0</v>
      </c>
      <c r="W1189" s="38"/>
      <c r="X1189" s="36">
        <f t="shared" si="393"/>
        <v>0</v>
      </c>
      <c r="Y1189" s="35"/>
      <c r="Z1189" s="36">
        <f t="shared" si="383"/>
        <v>0</v>
      </c>
      <c r="AA1189" s="38"/>
      <c r="AB1189" s="36">
        <f t="shared" si="394"/>
        <v>0</v>
      </c>
      <c r="AC1189" s="35"/>
      <c r="AD1189" s="36">
        <f t="shared" si="384"/>
        <v>0</v>
      </c>
      <c r="AE1189" s="38"/>
      <c r="AF1189" s="36">
        <f t="shared" si="395"/>
        <v>0</v>
      </c>
      <c r="AG1189" s="35"/>
      <c r="AH1189" s="36">
        <f t="shared" si="385"/>
        <v>0</v>
      </c>
      <c r="AI1189" s="38"/>
      <c r="AJ1189" s="36">
        <f t="shared" si="396"/>
        <v>0</v>
      </c>
      <c r="AK1189" s="35"/>
      <c r="AL1189" s="36">
        <f t="shared" si="386"/>
        <v>0</v>
      </c>
      <c r="AM1189" s="38"/>
      <c r="AN1189" s="36">
        <f t="shared" si="397"/>
        <v>0</v>
      </c>
      <c r="AO1189" s="35"/>
      <c r="AP1189" s="38"/>
    </row>
    <row r="1190" spans="1:42" ht="15.75" customHeight="1" x14ac:dyDescent="0.25">
      <c r="A1190" s="37">
        <v>2016</v>
      </c>
      <c r="B1190" s="35">
        <v>171360</v>
      </c>
      <c r="C1190" s="34" t="s">
        <v>151</v>
      </c>
      <c r="D1190" s="34" t="s">
        <v>81</v>
      </c>
      <c r="E1190" s="35"/>
      <c r="F1190" s="36">
        <f t="shared" si="387"/>
        <v>0</v>
      </c>
      <c r="G1190" s="38"/>
      <c r="H1190" s="36">
        <f t="shared" si="388"/>
        <v>0</v>
      </c>
      <c r="I1190" s="35"/>
      <c r="J1190" s="36">
        <f t="shared" si="389"/>
        <v>0</v>
      </c>
      <c r="K1190" s="38"/>
      <c r="L1190" s="36">
        <f t="shared" si="390"/>
        <v>0</v>
      </c>
      <c r="M1190" s="35"/>
      <c r="N1190" s="36">
        <f t="shared" si="380"/>
        <v>0</v>
      </c>
      <c r="O1190" s="38"/>
      <c r="P1190" s="36">
        <f t="shared" si="391"/>
        <v>0</v>
      </c>
      <c r="Q1190" s="35"/>
      <c r="R1190" s="36">
        <f t="shared" si="381"/>
        <v>0</v>
      </c>
      <c r="S1190" s="38"/>
      <c r="T1190" s="36">
        <f t="shared" si="392"/>
        <v>0</v>
      </c>
      <c r="U1190" s="35"/>
      <c r="V1190" s="36">
        <f t="shared" si="382"/>
        <v>0</v>
      </c>
      <c r="W1190" s="38"/>
      <c r="X1190" s="36">
        <f t="shared" si="393"/>
        <v>0</v>
      </c>
      <c r="Y1190" s="35"/>
      <c r="Z1190" s="36">
        <f t="shared" si="383"/>
        <v>0</v>
      </c>
      <c r="AA1190" s="38"/>
      <c r="AB1190" s="36">
        <f t="shared" si="394"/>
        <v>0</v>
      </c>
      <c r="AC1190" s="35"/>
      <c r="AD1190" s="36">
        <f t="shared" si="384"/>
        <v>0</v>
      </c>
      <c r="AE1190" s="38"/>
      <c r="AF1190" s="36">
        <f t="shared" si="395"/>
        <v>0</v>
      </c>
      <c r="AG1190" s="35"/>
      <c r="AH1190" s="36">
        <f t="shared" si="385"/>
        <v>0</v>
      </c>
      <c r="AI1190" s="38"/>
      <c r="AJ1190" s="36">
        <f t="shared" si="396"/>
        <v>0</v>
      </c>
      <c r="AK1190" s="35"/>
      <c r="AL1190" s="36">
        <f t="shared" si="386"/>
        <v>0</v>
      </c>
      <c r="AM1190" s="38"/>
      <c r="AN1190" s="36">
        <f t="shared" si="397"/>
        <v>0</v>
      </c>
      <c r="AO1190" s="35"/>
      <c r="AP1190" s="38"/>
    </row>
    <row r="1191" spans="1:42" ht="15.75" customHeight="1" x14ac:dyDescent="0.25">
      <c r="A1191" s="37">
        <v>2016</v>
      </c>
      <c r="B1191" s="35">
        <v>171370</v>
      </c>
      <c r="C1191" s="34" t="s">
        <v>144</v>
      </c>
      <c r="D1191" s="34" t="s">
        <v>82</v>
      </c>
      <c r="E1191" s="35"/>
      <c r="F1191" s="36">
        <f t="shared" si="387"/>
        <v>0</v>
      </c>
      <c r="G1191" s="38"/>
      <c r="H1191" s="36">
        <f t="shared" si="388"/>
        <v>0</v>
      </c>
      <c r="I1191" s="35"/>
      <c r="J1191" s="36">
        <f t="shared" si="389"/>
        <v>0</v>
      </c>
      <c r="K1191" s="38"/>
      <c r="L1191" s="36">
        <f t="shared" si="390"/>
        <v>0</v>
      </c>
      <c r="M1191" s="35"/>
      <c r="N1191" s="36">
        <f t="shared" si="380"/>
        <v>0</v>
      </c>
      <c r="O1191" s="38"/>
      <c r="P1191" s="36">
        <f t="shared" si="391"/>
        <v>0</v>
      </c>
      <c r="Q1191" s="35"/>
      <c r="R1191" s="36">
        <f t="shared" si="381"/>
        <v>0</v>
      </c>
      <c r="S1191" s="38"/>
      <c r="T1191" s="36">
        <f t="shared" si="392"/>
        <v>0</v>
      </c>
      <c r="U1191" s="35"/>
      <c r="V1191" s="36">
        <f t="shared" si="382"/>
        <v>0</v>
      </c>
      <c r="W1191" s="38"/>
      <c r="X1191" s="36">
        <f t="shared" si="393"/>
        <v>0</v>
      </c>
      <c r="Y1191" s="35"/>
      <c r="Z1191" s="36">
        <f t="shared" si="383"/>
        <v>0</v>
      </c>
      <c r="AA1191" s="38"/>
      <c r="AB1191" s="36">
        <f t="shared" si="394"/>
        <v>0</v>
      </c>
      <c r="AC1191" s="35"/>
      <c r="AD1191" s="36">
        <f t="shared" si="384"/>
        <v>0</v>
      </c>
      <c r="AE1191" s="38"/>
      <c r="AF1191" s="36">
        <f t="shared" si="395"/>
        <v>0</v>
      </c>
      <c r="AG1191" s="35"/>
      <c r="AH1191" s="36">
        <f t="shared" si="385"/>
        <v>0</v>
      </c>
      <c r="AI1191" s="38"/>
      <c r="AJ1191" s="36">
        <f t="shared" si="396"/>
        <v>0</v>
      </c>
      <c r="AK1191" s="35"/>
      <c r="AL1191" s="36">
        <f t="shared" si="386"/>
        <v>0</v>
      </c>
      <c r="AM1191" s="38"/>
      <c r="AN1191" s="36">
        <f t="shared" si="397"/>
        <v>0</v>
      </c>
      <c r="AO1191" s="35"/>
      <c r="AP1191" s="38"/>
    </row>
    <row r="1192" spans="1:42" ht="15.75" customHeight="1" x14ac:dyDescent="0.25">
      <c r="A1192" s="37">
        <v>2016</v>
      </c>
      <c r="B1192" s="35">
        <v>171395</v>
      </c>
      <c r="C1192" s="34" t="s">
        <v>149</v>
      </c>
      <c r="D1192" s="34" t="s">
        <v>83</v>
      </c>
      <c r="E1192" s="35"/>
      <c r="F1192" s="36">
        <f t="shared" si="387"/>
        <v>0</v>
      </c>
      <c r="G1192" s="38"/>
      <c r="H1192" s="36">
        <f t="shared" si="388"/>
        <v>0</v>
      </c>
      <c r="I1192" s="35"/>
      <c r="J1192" s="36">
        <f t="shared" si="389"/>
        <v>0</v>
      </c>
      <c r="K1192" s="38"/>
      <c r="L1192" s="36">
        <f t="shared" si="390"/>
        <v>0</v>
      </c>
      <c r="M1192" s="35"/>
      <c r="N1192" s="36">
        <f t="shared" si="380"/>
        <v>0</v>
      </c>
      <c r="O1192" s="38"/>
      <c r="P1192" s="36">
        <f t="shared" si="391"/>
        <v>0</v>
      </c>
      <c r="Q1192" s="35"/>
      <c r="R1192" s="36">
        <f t="shared" si="381"/>
        <v>0</v>
      </c>
      <c r="S1192" s="38"/>
      <c r="T1192" s="36">
        <f t="shared" si="392"/>
        <v>0</v>
      </c>
      <c r="U1192" s="35"/>
      <c r="V1192" s="36">
        <f t="shared" si="382"/>
        <v>0</v>
      </c>
      <c r="W1192" s="38"/>
      <c r="X1192" s="36">
        <f t="shared" si="393"/>
        <v>0</v>
      </c>
      <c r="Y1192" s="35"/>
      <c r="Z1192" s="36">
        <f t="shared" si="383"/>
        <v>0</v>
      </c>
      <c r="AA1192" s="38"/>
      <c r="AB1192" s="36">
        <f t="shared" si="394"/>
        <v>0</v>
      </c>
      <c r="AC1192" s="35"/>
      <c r="AD1192" s="36">
        <f t="shared" si="384"/>
        <v>0</v>
      </c>
      <c r="AE1192" s="38"/>
      <c r="AF1192" s="36">
        <f t="shared" si="395"/>
        <v>0</v>
      </c>
      <c r="AG1192" s="35"/>
      <c r="AH1192" s="36">
        <f t="shared" si="385"/>
        <v>0</v>
      </c>
      <c r="AI1192" s="38"/>
      <c r="AJ1192" s="36">
        <f t="shared" si="396"/>
        <v>0</v>
      </c>
      <c r="AK1192" s="35"/>
      <c r="AL1192" s="36">
        <f t="shared" si="386"/>
        <v>0</v>
      </c>
      <c r="AM1192" s="38"/>
      <c r="AN1192" s="36">
        <f t="shared" si="397"/>
        <v>0</v>
      </c>
      <c r="AO1192" s="35"/>
      <c r="AP1192" s="38"/>
    </row>
    <row r="1193" spans="1:42" ht="15.75" customHeight="1" x14ac:dyDescent="0.25">
      <c r="A1193" s="37">
        <v>2016</v>
      </c>
      <c r="B1193" s="35">
        <v>171420</v>
      </c>
      <c r="C1193" s="34" t="s">
        <v>151</v>
      </c>
      <c r="D1193" s="34" t="s">
        <v>84</v>
      </c>
      <c r="E1193" s="35"/>
      <c r="F1193" s="36">
        <f t="shared" si="387"/>
        <v>0</v>
      </c>
      <c r="G1193" s="38"/>
      <c r="H1193" s="36">
        <f t="shared" si="388"/>
        <v>0</v>
      </c>
      <c r="I1193" s="35"/>
      <c r="J1193" s="36">
        <f t="shared" si="389"/>
        <v>0</v>
      </c>
      <c r="K1193" s="38"/>
      <c r="L1193" s="36">
        <f t="shared" si="390"/>
        <v>0</v>
      </c>
      <c r="M1193" s="35"/>
      <c r="N1193" s="36">
        <f t="shared" si="380"/>
        <v>0</v>
      </c>
      <c r="O1193" s="38"/>
      <c r="P1193" s="36">
        <f t="shared" si="391"/>
        <v>0</v>
      </c>
      <c r="Q1193" s="35"/>
      <c r="R1193" s="36">
        <f t="shared" si="381"/>
        <v>0</v>
      </c>
      <c r="S1193" s="38"/>
      <c r="T1193" s="36">
        <f t="shared" si="392"/>
        <v>0</v>
      </c>
      <c r="U1193" s="35"/>
      <c r="V1193" s="36">
        <f t="shared" si="382"/>
        <v>0</v>
      </c>
      <c r="W1193" s="38"/>
      <c r="X1193" s="36">
        <f t="shared" si="393"/>
        <v>0</v>
      </c>
      <c r="Y1193" s="35"/>
      <c r="Z1193" s="36">
        <f t="shared" si="383"/>
        <v>0</v>
      </c>
      <c r="AA1193" s="38"/>
      <c r="AB1193" s="36">
        <f t="shared" si="394"/>
        <v>0</v>
      </c>
      <c r="AC1193" s="35"/>
      <c r="AD1193" s="36">
        <f t="shared" si="384"/>
        <v>0</v>
      </c>
      <c r="AE1193" s="38"/>
      <c r="AF1193" s="36">
        <f t="shared" si="395"/>
        <v>0</v>
      </c>
      <c r="AG1193" s="35"/>
      <c r="AH1193" s="36">
        <f t="shared" si="385"/>
        <v>0</v>
      </c>
      <c r="AI1193" s="38"/>
      <c r="AJ1193" s="36">
        <f t="shared" si="396"/>
        <v>0</v>
      </c>
      <c r="AK1193" s="35"/>
      <c r="AL1193" s="36">
        <f t="shared" si="386"/>
        <v>0</v>
      </c>
      <c r="AM1193" s="38"/>
      <c r="AN1193" s="36">
        <f t="shared" si="397"/>
        <v>0</v>
      </c>
      <c r="AO1193" s="35"/>
      <c r="AP1193" s="38"/>
    </row>
    <row r="1194" spans="1:42" ht="15.75" customHeight="1" x14ac:dyDescent="0.25">
      <c r="A1194" s="37">
        <v>2016</v>
      </c>
      <c r="B1194" s="35">
        <v>171430</v>
      </c>
      <c r="C1194" s="34" t="s">
        <v>145</v>
      </c>
      <c r="D1194" s="34" t="s">
        <v>85</v>
      </c>
      <c r="E1194" s="35"/>
      <c r="F1194" s="36">
        <f t="shared" si="387"/>
        <v>0</v>
      </c>
      <c r="G1194" s="38"/>
      <c r="H1194" s="36">
        <f t="shared" si="388"/>
        <v>0</v>
      </c>
      <c r="I1194" s="35"/>
      <c r="J1194" s="36">
        <f t="shared" si="389"/>
        <v>0</v>
      </c>
      <c r="K1194" s="38"/>
      <c r="L1194" s="36">
        <f t="shared" si="390"/>
        <v>0</v>
      </c>
      <c r="M1194" s="35"/>
      <c r="N1194" s="36">
        <f t="shared" si="380"/>
        <v>0</v>
      </c>
      <c r="O1194" s="38"/>
      <c r="P1194" s="36">
        <f t="shared" si="391"/>
        <v>0</v>
      </c>
      <c r="Q1194" s="35"/>
      <c r="R1194" s="36">
        <f t="shared" si="381"/>
        <v>0</v>
      </c>
      <c r="S1194" s="38"/>
      <c r="T1194" s="36">
        <f t="shared" si="392"/>
        <v>0</v>
      </c>
      <c r="U1194" s="35"/>
      <c r="V1194" s="36">
        <f t="shared" si="382"/>
        <v>0</v>
      </c>
      <c r="W1194" s="38"/>
      <c r="X1194" s="36">
        <f t="shared" si="393"/>
        <v>0</v>
      </c>
      <c r="Y1194" s="35"/>
      <c r="Z1194" s="36">
        <f t="shared" si="383"/>
        <v>0</v>
      </c>
      <c r="AA1194" s="38"/>
      <c r="AB1194" s="36">
        <f t="shared" si="394"/>
        <v>0</v>
      </c>
      <c r="AC1194" s="35"/>
      <c r="AD1194" s="36">
        <f t="shared" si="384"/>
        <v>0</v>
      </c>
      <c r="AE1194" s="38"/>
      <c r="AF1194" s="36">
        <f t="shared" si="395"/>
        <v>0</v>
      </c>
      <c r="AG1194" s="35"/>
      <c r="AH1194" s="36">
        <f t="shared" si="385"/>
        <v>0</v>
      </c>
      <c r="AI1194" s="38"/>
      <c r="AJ1194" s="36">
        <f t="shared" si="396"/>
        <v>0</v>
      </c>
      <c r="AK1194" s="35"/>
      <c r="AL1194" s="36">
        <f t="shared" si="386"/>
        <v>0</v>
      </c>
      <c r="AM1194" s="38"/>
      <c r="AN1194" s="36">
        <f t="shared" si="397"/>
        <v>0</v>
      </c>
      <c r="AO1194" s="35"/>
      <c r="AP1194" s="38"/>
    </row>
    <row r="1195" spans="1:42" ht="15.75" customHeight="1" x14ac:dyDescent="0.25">
      <c r="A1195" s="37">
        <v>2016</v>
      </c>
      <c r="B1195" s="35">
        <v>171488</v>
      </c>
      <c r="C1195" s="34" t="s">
        <v>149</v>
      </c>
      <c r="D1195" s="34" t="s">
        <v>86</v>
      </c>
      <c r="E1195" s="35"/>
      <c r="F1195" s="36">
        <f t="shared" si="387"/>
        <v>0</v>
      </c>
      <c r="G1195" s="38"/>
      <c r="H1195" s="36">
        <f t="shared" si="388"/>
        <v>0</v>
      </c>
      <c r="I1195" s="35"/>
      <c r="J1195" s="36">
        <f t="shared" si="389"/>
        <v>0</v>
      </c>
      <c r="K1195" s="38"/>
      <c r="L1195" s="36">
        <f t="shared" si="390"/>
        <v>0</v>
      </c>
      <c r="M1195" s="35"/>
      <c r="N1195" s="36">
        <f t="shared" ref="N1195:N1226" si="398">IFERROR(M1195/$AO1195,0)</f>
        <v>0</v>
      </c>
      <c r="O1195" s="38"/>
      <c r="P1195" s="36">
        <f t="shared" si="391"/>
        <v>0</v>
      </c>
      <c r="Q1195" s="35"/>
      <c r="R1195" s="36">
        <f t="shared" ref="R1195:R1226" si="399">IFERROR(Q1195/$AO1195,0)</f>
        <v>0</v>
      </c>
      <c r="S1195" s="38"/>
      <c r="T1195" s="36">
        <f t="shared" si="392"/>
        <v>0</v>
      </c>
      <c r="U1195" s="35"/>
      <c r="V1195" s="36">
        <f t="shared" ref="V1195:V1226" si="400">IFERROR(U1195/$AO1195,0)</f>
        <v>0</v>
      </c>
      <c r="W1195" s="38"/>
      <c r="X1195" s="36">
        <f t="shared" si="393"/>
        <v>0</v>
      </c>
      <c r="Y1195" s="35"/>
      <c r="Z1195" s="36">
        <f t="shared" ref="Z1195:Z1226" si="401">IFERROR(Y1195/$AO1195,0)</f>
        <v>0</v>
      </c>
      <c r="AA1195" s="38"/>
      <c r="AB1195" s="36">
        <f t="shared" si="394"/>
        <v>0</v>
      </c>
      <c r="AC1195" s="35"/>
      <c r="AD1195" s="36">
        <f t="shared" ref="AD1195:AD1226" si="402">IFERROR(AC1195/$AO1195,0)</f>
        <v>0</v>
      </c>
      <c r="AE1195" s="38"/>
      <c r="AF1195" s="36">
        <f t="shared" si="395"/>
        <v>0</v>
      </c>
      <c r="AG1195" s="35"/>
      <c r="AH1195" s="36">
        <f t="shared" ref="AH1195:AH1226" si="403">IFERROR(AG1195/$AO1195,0)</f>
        <v>0</v>
      </c>
      <c r="AI1195" s="38"/>
      <c r="AJ1195" s="36">
        <f t="shared" si="396"/>
        <v>0</v>
      </c>
      <c r="AK1195" s="35"/>
      <c r="AL1195" s="36">
        <f t="shared" ref="AL1195:AL1226" si="404">IFERROR(AK1195/$AO1195,0)</f>
        <v>0</v>
      </c>
      <c r="AM1195" s="38"/>
      <c r="AN1195" s="36">
        <f t="shared" si="397"/>
        <v>0</v>
      </c>
      <c r="AO1195" s="35"/>
      <c r="AP1195" s="38"/>
    </row>
    <row r="1196" spans="1:42" ht="15.75" customHeight="1" x14ac:dyDescent="0.25">
      <c r="A1196" s="37">
        <v>2016</v>
      </c>
      <c r="B1196" s="35">
        <v>171500</v>
      </c>
      <c r="C1196" s="34" t="s">
        <v>144</v>
      </c>
      <c r="D1196" s="34" t="s">
        <v>87</v>
      </c>
      <c r="E1196" s="35"/>
      <c r="F1196" s="36">
        <f t="shared" si="387"/>
        <v>0</v>
      </c>
      <c r="G1196" s="38"/>
      <c r="H1196" s="36">
        <f t="shared" si="388"/>
        <v>0</v>
      </c>
      <c r="I1196" s="35"/>
      <c r="J1196" s="36">
        <f t="shared" si="389"/>
        <v>0</v>
      </c>
      <c r="K1196" s="38"/>
      <c r="L1196" s="36">
        <f t="shared" si="390"/>
        <v>0</v>
      </c>
      <c r="M1196" s="35"/>
      <c r="N1196" s="36">
        <f t="shared" si="398"/>
        <v>0</v>
      </c>
      <c r="O1196" s="38"/>
      <c r="P1196" s="36">
        <f t="shared" si="391"/>
        <v>0</v>
      </c>
      <c r="Q1196" s="35"/>
      <c r="R1196" s="36">
        <f t="shared" si="399"/>
        <v>0</v>
      </c>
      <c r="S1196" s="38"/>
      <c r="T1196" s="36">
        <f t="shared" si="392"/>
        <v>0</v>
      </c>
      <c r="U1196" s="35"/>
      <c r="V1196" s="36">
        <f t="shared" si="400"/>
        <v>0</v>
      </c>
      <c r="W1196" s="38"/>
      <c r="X1196" s="36">
        <f t="shared" si="393"/>
        <v>0</v>
      </c>
      <c r="Y1196" s="35"/>
      <c r="Z1196" s="36">
        <f t="shared" si="401"/>
        <v>0</v>
      </c>
      <c r="AA1196" s="38"/>
      <c r="AB1196" s="36">
        <f t="shared" si="394"/>
        <v>0</v>
      </c>
      <c r="AC1196" s="35"/>
      <c r="AD1196" s="36">
        <f t="shared" si="402"/>
        <v>0</v>
      </c>
      <c r="AE1196" s="38"/>
      <c r="AF1196" s="36">
        <f t="shared" si="395"/>
        <v>0</v>
      </c>
      <c r="AG1196" s="35"/>
      <c r="AH1196" s="36">
        <f t="shared" si="403"/>
        <v>0</v>
      </c>
      <c r="AI1196" s="38"/>
      <c r="AJ1196" s="36">
        <f t="shared" si="396"/>
        <v>0</v>
      </c>
      <c r="AK1196" s="35"/>
      <c r="AL1196" s="36">
        <f t="shared" si="404"/>
        <v>0</v>
      </c>
      <c r="AM1196" s="38"/>
      <c r="AN1196" s="36">
        <f t="shared" si="397"/>
        <v>0</v>
      </c>
      <c r="AO1196" s="35"/>
      <c r="AP1196" s="38"/>
    </row>
    <row r="1197" spans="1:42" ht="15.75" customHeight="1" x14ac:dyDescent="0.25">
      <c r="A1197" s="37">
        <v>2016</v>
      </c>
      <c r="B1197" s="35">
        <v>171510</v>
      </c>
      <c r="C1197" s="34" t="s">
        <v>148</v>
      </c>
      <c r="D1197" s="34" t="s">
        <v>88</v>
      </c>
      <c r="E1197" s="35"/>
      <c r="F1197" s="36">
        <f t="shared" si="387"/>
        <v>0</v>
      </c>
      <c r="G1197" s="38"/>
      <c r="H1197" s="36">
        <f t="shared" si="388"/>
        <v>0</v>
      </c>
      <c r="I1197" s="35"/>
      <c r="J1197" s="36">
        <f t="shared" si="389"/>
        <v>0</v>
      </c>
      <c r="K1197" s="38"/>
      <c r="L1197" s="36">
        <f t="shared" si="390"/>
        <v>0</v>
      </c>
      <c r="M1197" s="35"/>
      <c r="N1197" s="36">
        <f t="shared" si="398"/>
        <v>0</v>
      </c>
      <c r="O1197" s="38"/>
      <c r="P1197" s="36">
        <f t="shared" si="391"/>
        <v>0</v>
      </c>
      <c r="Q1197" s="35"/>
      <c r="R1197" s="36">
        <f t="shared" si="399"/>
        <v>0</v>
      </c>
      <c r="S1197" s="38"/>
      <c r="T1197" s="36">
        <f t="shared" si="392"/>
        <v>0</v>
      </c>
      <c r="U1197" s="35"/>
      <c r="V1197" s="36">
        <f t="shared" si="400"/>
        <v>0</v>
      </c>
      <c r="W1197" s="38"/>
      <c r="X1197" s="36">
        <f t="shared" si="393"/>
        <v>0</v>
      </c>
      <c r="Y1197" s="35"/>
      <c r="Z1197" s="36">
        <f t="shared" si="401"/>
        <v>0</v>
      </c>
      <c r="AA1197" s="38"/>
      <c r="AB1197" s="36">
        <f t="shared" si="394"/>
        <v>0</v>
      </c>
      <c r="AC1197" s="35"/>
      <c r="AD1197" s="36">
        <f t="shared" si="402"/>
        <v>0</v>
      </c>
      <c r="AE1197" s="38"/>
      <c r="AF1197" s="36">
        <f t="shared" si="395"/>
        <v>0</v>
      </c>
      <c r="AG1197" s="35"/>
      <c r="AH1197" s="36">
        <f t="shared" si="403"/>
        <v>0</v>
      </c>
      <c r="AI1197" s="38"/>
      <c r="AJ1197" s="36">
        <f t="shared" si="396"/>
        <v>0</v>
      </c>
      <c r="AK1197" s="35"/>
      <c r="AL1197" s="36">
        <f t="shared" si="404"/>
        <v>0</v>
      </c>
      <c r="AM1197" s="38"/>
      <c r="AN1197" s="36">
        <f t="shared" si="397"/>
        <v>0</v>
      </c>
      <c r="AO1197" s="35"/>
      <c r="AP1197" s="38"/>
    </row>
    <row r="1198" spans="1:42" ht="15.75" customHeight="1" x14ac:dyDescent="0.25">
      <c r="A1198" s="37">
        <v>2016</v>
      </c>
      <c r="B1198" s="35">
        <v>171515</v>
      </c>
      <c r="C1198" s="34" t="s">
        <v>147</v>
      </c>
      <c r="D1198" s="34" t="s">
        <v>89</v>
      </c>
      <c r="E1198" s="35"/>
      <c r="F1198" s="36">
        <f t="shared" si="387"/>
        <v>0</v>
      </c>
      <c r="G1198" s="38"/>
      <c r="H1198" s="36">
        <f t="shared" si="388"/>
        <v>0</v>
      </c>
      <c r="I1198" s="35"/>
      <c r="J1198" s="36">
        <f t="shared" si="389"/>
        <v>0</v>
      </c>
      <c r="K1198" s="38"/>
      <c r="L1198" s="36">
        <f t="shared" si="390"/>
        <v>0</v>
      </c>
      <c r="M1198" s="35"/>
      <c r="N1198" s="36">
        <f t="shared" si="398"/>
        <v>0</v>
      </c>
      <c r="O1198" s="38"/>
      <c r="P1198" s="36">
        <f t="shared" si="391"/>
        <v>0</v>
      </c>
      <c r="Q1198" s="35"/>
      <c r="R1198" s="36">
        <f t="shared" si="399"/>
        <v>0</v>
      </c>
      <c r="S1198" s="38"/>
      <c r="T1198" s="36">
        <f t="shared" si="392"/>
        <v>0</v>
      </c>
      <c r="U1198" s="35"/>
      <c r="V1198" s="36">
        <f t="shared" si="400"/>
        <v>0</v>
      </c>
      <c r="W1198" s="38"/>
      <c r="X1198" s="36">
        <f t="shared" si="393"/>
        <v>0</v>
      </c>
      <c r="Y1198" s="35"/>
      <c r="Z1198" s="36">
        <f t="shared" si="401"/>
        <v>0</v>
      </c>
      <c r="AA1198" s="38"/>
      <c r="AB1198" s="36">
        <f t="shared" si="394"/>
        <v>0</v>
      </c>
      <c r="AC1198" s="35"/>
      <c r="AD1198" s="36">
        <f t="shared" si="402"/>
        <v>0</v>
      </c>
      <c r="AE1198" s="38"/>
      <c r="AF1198" s="36">
        <f t="shared" si="395"/>
        <v>0</v>
      </c>
      <c r="AG1198" s="35"/>
      <c r="AH1198" s="36">
        <f t="shared" si="403"/>
        <v>0</v>
      </c>
      <c r="AI1198" s="38"/>
      <c r="AJ1198" s="36">
        <f t="shared" si="396"/>
        <v>0</v>
      </c>
      <c r="AK1198" s="35"/>
      <c r="AL1198" s="36">
        <f t="shared" si="404"/>
        <v>0</v>
      </c>
      <c r="AM1198" s="38"/>
      <c r="AN1198" s="36">
        <f t="shared" si="397"/>
        <v>0</v>
      </c>
      <c r="AO1198" s="35"/>
      <c r="AP1198" s="38"/>
    </row>
    <row r="1199" spans="1:42" ht="15.75" customHeight="1" x14ac:dyDescent="0.25">
      <c r="A1199" s="37">
        <v>2016</v>
      </c>
      <c r="B1199" s="35">
        <v>171525</v>
      </c>
      <c r="C1199" s="34" t="s">
        <v>147</v>
      </c>
      <c r="D1199" s="34" t="s">
        <v>90</v>
      </c>
      <c r="E1199" s="35"/>
      <c r="F1199" s="36">
        <f t="shared" si="387"/>
        <v>0</v>
      </c>
      <c r="G1199" s="38"/>
      <c r="H1199" s="36">
        <f t="shared" si="388"/>
        <v>0</v>
      </c>
      <c r="I1199" s="35"/>
      <c r="J1199" s="36">
        <f t="shared" si="389"/>
        <v>0</v>
      </c>
      <c r="K1199" s="38"/>
      <c r="L1199" s="36">
        <f t="shared" si="390"/>
        <v>0</v>
      </c>
      <c r="M1199" s="35"/>
      <c r="N1199" s="36">
        <f t="shared" si="398"/>
        <v>0</v>
      </c>
      <c r="O1199" s="38"/>
      <c r="P1199" s="36">
        <f t="shared" si="391"/>
        <v>0</v>
      </c>
      <c r="Q1199" s="35"/>
      <c r="R1199" s="36">
        <f t="shared" si="399"/>
        <v>0</v>
      </c>
      <c r="S1199" s="38"/>
      <c r="T1199" s="36">
        <f t="shared" si="392"/>
        <v>0</v>
      </c>
      <c r="U1199" s="35"/>
      <c r="V1199" s="36">
        <f t="shared" si="400"/>
        <v>0</v>
      </c>
      <c r="W1199" s="38"/>
      <c r="X1199" s="36">
        <f t="shared" si="393"/>
        <v>0</v>
      </c>
      <c r="Y1199" s="35"/>
      <c r="Z1199" s="36">
        <f t="shared" si="401"/>
        <v>0</v>
      </c>
      <c r="AA1199" s="38"/>
      <c r="AB1199" s="36">
        <f t="shared" si="394"/>
        <v>0</v>
      </c>
      <c r="AC1199" s="35"/>
      <c r="AD1199" s="36">
        <f t="shared" si="402"/>
        <v>0</v>
      </c>
      <c r="AE1199" s="38"/>
      <c r="AF1199" s="36">
        <f t="shared" si="395"/>
        <v>0</v>
      </c>
      <c r="AG1199" s="35"/>
      <c r="AH1199" s="36">
        <f t="shared" si="403"/>
        <v>0</v>
      </c>
      <c r="AI1199" s="38"/>
      <c r="AJ1199" s="36">
        <f t="shared" si="396"/>
        <v>0</v>
      </c>
      <c r="AK1199" s="35"/>
      <c r="AL1199" s="36">
        <f t="shared" si="404"/>
        <v>0</v>
      </c>
      <c r="AM1199" s="38"/>
      <c r="AN1199" s="36">
        <f t="shared" si="397"/>
        <v>0</v>
      </c>
      <c r="AO1199" s="35"/>
      <c r="AP1199" s="38"/>
    </row>
    <row r="1200" spans="1:42" ht="15.75" customHeight="1" x14ac:dyDescent="0.25">
      <c r="A1200" s="37">
        <v>2016</v>
      </c>
      <c r="B1200" s="35">
        <v>171550</v>
      </c>
      <c r="C1200" s="34" t="s">
        <v>151</v>
      </c>
      <c r="D1200" s="34" t="s">
        <v>91</v>
      </c>
      <c r="E1200" s="35"/>
      <c r="F1200" s="36">
        <f t="shared" si="387"/>
        <v>0</v>
      </c>
      <c r="G1200" s="38"/>
      <c r="H1200" s="36">
        <f t="shared" si="388"/>
        <v>0</v>
      </c>
      <c r="I1200" s="35"/>
      <c r="J1200" s="36">
        <f t="shared" si="389"/>
        <v>0</v>
      </c>
      <c r="K1200" s="38"/>
      <c r="L1200" s="36">
        <f t="shared" si="390"/>
        <v>0</v>
      </c>
      <c r="M1200" s="35"/>
      <c r="N1200" s="36">
        <f t="shared" si="398"/>
        <v>0</v>
      </c>
      <c r="O1200" s="38"/>
      <c r="P1200" s="36">
        <f t="shared" si="391"/>
        <v>0</v>
      </c>
      <c r="Q1200" s="35"/>
      <c r="R1200" s="36">
        <f t="shared" si="399"/>
        <v>0</v>
      </c>
      <c r="S1200" s="38"/>
      <c r="T1200" s="36">
        <f t="shared" si="392"/>
        <v>0</v>
      </c>
      <c r="U1200" s="35"/>
      <c r="V1200" s="36">
        <f t="shared" si="400"/>
        <v>0</v>
      </c>
      <c r="W1200" s="38"/>
      <c r="X1200" s="36">
        <f t="shared" si="393"/>
        <v>0</v>
      </c>
      <c r="Y1200" s="35"/>
      <c r="Z1200" s="36">
        <f t="shared" si="401"/>
        <v>0</v>
      </c>
      <c r="AA1200" s="38"/>
      <c r="AB1200" s="36">
        <f t="shared" si="394"/>
        <v>0</v>
      </c>
      <c r="AC1200" s="35"/>
      <c r="AD1200" s="36">
        <f t="shared" si="402"/>
        <v>0</v>
      </c>
      <c r="AE1200" s="38"/>
      <c r="AF1200" s="36">
        <f t="shared" si="395"/>
        <v>0</v>
      </c>
      <c r="AG1200" s="35"/>
      <c r="AH1200" s="36">
        <f t="shared" si="403"/>
        <v>0</v>
      </c>
      <c r="AI1200" s="38"/>
      <c r="AJ1200" s="36">
        <f t="shared" si="396"/>
        <v>0</v>
      </c>
      <c r="AK1200" s="35"/>
      <c r="AL1200" s="36">
        <f t="shared" si="404"/>
        <v>0</v>
      </c>
      <c r="AM1200" s="38"/>
      <c r="AN1200" s="36">
        <f t="shared" si="397"/>
        <v>0</v>
      </c>
      <c r="AO1200" s="35"/>
      <c r="AP1200" s="38"/>
    </row>
    <row r="1201" spans="1:42" ht="15.75" customHeight="1" x14ac:dyDescent="0.25">
      <c r="A1201" s="37">
        <v>2016</v>
      </c>
      <c r="B1201" s="35">
        <v>172100</v>
      </c>
      <c r="C1201" s="34" t="s">
        <v>148</v>
      </c>
      <c r="D1201" s="34" t="s">
        <v>92</v>
      </c>
      <c r="E1201" s="35"/>
      <c r="F1201" s="36">
        <f t="shared" si="387"/>
        <v>0</v>
      </c>
      <c r="G1201" s="38"/>
      <c r="H1201" s="36">
        <f t="shared" si="388"/>
        <v>0</v>
      </c>
      <c r="I1201" s="35"/>
      <c r="J1201" s="36">
        <f t="shared" si="389"/>
        <v>0</v>
      </c>
      <c r="K1201" s="38"/>
      <c r="L1201" s="36">
        <f t="shared" si="390"/>
        <v>0</v>
      </c>
      <c r="M1201" s="35"/>
      <c r="N1201" s="36">
        <f t="shared" si="398"/>
        <v>0</v>
      </c>
      <c r="O1201" s="39"/>
      <c r="P1201" s="36">
        <f t="shared" si="391"/>
        <v>0</v>
      </c>
      <c r="Q1201" s="35"/>
      <c r="R1201" s="36">
        <f t="shared" si="399"/>
        <v>0</v>
      </c>
      <c r="S1201" s="38"/>
      <c r="T1201" s="36">
        <f t="shared" si="392"/>
        <v>0</v>
      </c>
      <c r="U1201" s="35"/>
      <c r="V1201" s="36">
        <f t="shared" si="400"/>
        <v>0</v>
      </c>
      <c r="W1201" s="38"/>
      <c r="X1201" s="36">
        <f t="shared" si="393"/>
        <v>0</v>
      </c>
      <c r="Y1201" s="35"/>
      <c r="Z1201" s="36">
        <f t="shared" si="401"/>
        <v>0</v>
      </c>
      <c r="AA1201" s="39"/>
      <c r="AB1201" s="36">
        <f t="shared" si="394"/>
        <v>0</v>
      </c>
      <c r="AC1201" s="35"/>
      <c r="AD1201" s="36">
        <f t="shared" si="402"/>
        <v>0</v>
      </c>
      <c r="AE1201" s="38"/>
      <c r="AF1201" s="36">
        <f t="shared" si="395"/>
        <v>0</v>
      </c>
      <c r="AG1201" s="35"/>
      <c r="AH1201" s="36">
        <f t="shared" si="403"/>
        <v>0</v>
      </c>
      <c r="AI1201" s="38"/>
      <c r="AJ1201" s="36">
        <f t="shared" si="396"/>
        <v>0</v>
      </c>
      <c r="AK1201" s="35"/>
      <c r="AL1201" s="36">
        <f t="shared" si="404"/>
        <v>0</v>
      </c>
      <c r="AM1201" s="38"/>
      <c r="AN1201" s="36">
        <f t="shared" si="397"/>
        <v>0</v>
      </c>
      <c r="AO1201" s="35"/>
      <c r="AP1201" s="39"/>
    </row>
    <row r="1202" spans="1:42" ht="15.75" customHeight="1" x14ac:dyDescent="0.25">
      <c r="A1202" s="37">
        <v>2016</v>
      </c>
      <c r="B1202" s="35">
        <v>171570</v>
      </c>
      <c r="C1202" s="34" t="s">
        <v>150</v>
      </c>
      <c r="D1202" s="34" t="s">
        <v>93</v>
      </c>
      <c r="E1202" s="35"/>
      <c r="F1202" s="36">
        <f t="shared" si="387"/>
        <v>0</v>
      </c>
      <c r="G1202" s="38"/>
      <c r="H1202" s="36">
        <f t="shared" si="388"/>
        <v>0</v>
      </c>
      <c r="I1202" s="35"/>
      <c r="J1202" s="36">
        <f t="shared" si="389"/>
        <v>0</v>
      </c>
      <c r="K1202" s="38"/>
      <c r="L1202" s="36">
        <f t="shared" si="390"/>
        <v>0</v>
      </c>
      <c r="M1202" s="35"/>
      <c r="N1202" s="36">
        <f t="shared" si="398"/>
        <v>0</v>
      </c>
      <c r="O1202" s="38"/>
      <c r="P1202" s="36">
        <f t="shared" si="391"/>
        <v>0</v>
      </c>
      <c r="Q1202" s="35"/>
      <c r="R1202" s="36">
        <f t="shared" si="399"/>
        <v>0</v>
      </c>
      <c r="S1202" s="38"/>
      <c r="T1202" s="36">
        <f t="shared" si="392"/>
        <v>0</v>
      </c>
      <c r="U1202" s="35"/>
      <c r="V1202" s="36">
        <f t="shared" si="400"/>
        <v>0</v>
      </c>
      <c r="W1202" s="38"/>
      <c r="X1202" s="36">
        <f t="shared" si="393"/>
        <v>0</v>
      </c>
      <c r="Y1202" s="35"/>
      <c r="Z1202" s="36">
        <f t="shared" si="401"/>
        <v>0</v>
      </c>
      <c r="AA1202" s="38"/>
      <c r="AB1202" s="36">
        <f t="shared" si="394"/>
        <v>0</v>
      </c>
      <c r="AC1202" s="35"/>
      <c r="AD1202" s="36">
        <f t="shared" si="402"/>
        <v>0</v>
      </c>
      <c r="AE1202" s="38"/>
      <c r="AF1202" s="36">
        <f t="shared" si="395"/>
        <v>0</v>
      </c>
      <c r="AG1202" s="35"/>
      <c r="AH1202" s="36">
        <f t="shared" si="403"/>
        <v>0</v>
      </c>
      <c r="AI1202" s="38"/>
      <c r="AJ1202" s="36">
        <f t="shared" si="396"/>
        <v>0</v>
      </c>
      <c r="AK1202" s="35"/>
      <c r="AL1202" s="36">
        <f t="shared" si="404"/>
        <v>0</v>
      </c>
      <c r="AM1202" s="38"/>
      <c r="AN1202" s="36">
        <f t="shared" si="397"/>
        <v>0</v>
      </c>
      <c r="AO1202" s="35"/>
      <c r="AP1202" s="38"/>
    </row>
    <row r="1203" spans="1:42" ht="15.75" customHeight="1" x14ac:dyDescent="0.25">
      <c r="A1203" s="37">
        <v>2016</v>
      </c>
      <c r="B1203" s="35">
        <v>171380</v>
      </c>
      <c r="C1203" s="34" t="s">
        <v>145</v>
      </c>
      <c r="D1203" s="34" t="s">
        <v>94</v>
      </c>
      <c r="E1203" s="35"/>
      <c r="F1203" s="36">
        <f t="shared" si="387"/>
        <v>0</v>
      </c>
      <c r="G1203" s="38"/>
      <c r="H1203" s="36">
        <f t="shared" si="388"/>
        <v>0</v>
      </c>
      <c r="I1203" s="35"/>
      <c r="J1203" s="36">
        <f t="shared" si="389"/>
        <v>0</v>
      </c>
      <c r="K1203" s="38"/>
      <c r="L1203" s="36">
        <f t="shared" si="390"/>
        <v>0</v>
      </c>
      <c r="M1203" s="35"/>
      <c r="N1203" s="36">
        <f t="shared" si="398"/>
        <v>0</v>
      </c>
      <c r="O1203" s="38"/>
      <c r="P1203" s="36">
        <f t="shared" si="391"/>
        <v>0</v>
      </c>
      <c r="Q1203" s="35"/>
      <c r="R1203" s="36">
        <f t="shared" si="399"/>
        <v>0</v>
      </c>
      <c r="S1203" s="38"/>
      <c r="T1203" s="36">
        <f t="shared" si="392"/>
        <v>0</v>
      </c>
      <c r="U1203" s="35"/>
      <c r="V1203" s="36">
        <f t="shared" si="400"/>
        <v>0</v>
      </c>
      <c r="W1203" s="38"/>
      <c r="X1203" s="36">
        <f t="shared" si="393"/>
        <v>0</v>
      </c>
      <c r="Y1203" s="35"/>
      <c r="Z1203" s="36">
        <f t="shared" si="401"/>
        <v>0</v>
      </c>
      <c r="AA1203" s="38"/>
      <c r="AB1203" s="36">
        <f t="shared" si="394"/>
        <v>0</v>
      </c>
      <c r="AC1203" s="35"/>
      <c r="AD1203" s="36">
        <f t="shared" si="402"/>
        <v>0</v>
      </c>
      <c r="AE1203" s="38"/>
      <c r="AF1203" s="36">
        <f t="shared" si="395"/>
        <v>0</v>
      </c>
      <c r="AG1203" s="35"/>
      <c r="AH1203" s="36">
        <f t="shared" si="403"/>
        <v>0</v>
      </c>
      <c r="AI1203" s="38"/>
      <c r="AJ1203" s="36">
        <f t="shared" si="396"/>
        <v>0</v>
      </c>
      <c r="AK1203" s="35"/>
      <c r="AL1203" s="36">
        <f t="shared" si="404"/>
        <v>0</v>
      </c>
      <c r="AM1203" s="38"/>
      <c r="AN1203" s="36">
        <f t="shared" si="397"/>
        <v>0</v>
      </c>
      <c r="AO1203" s="35"/>
      <c r="AP1203" s="38"/>
    </row>
    <row r="1204" spans="1:42" ht="15.75" customHeight="1" x14ac:dyDescent="0.25">
      <c r="A1204" s="37">
        <v>2016</v>
      </c>
      <c r="B1204" s="35">
        <v>171575</v>
      </c>
      <c r="C1204" s="34" t="s">
        <v>146</v>
      </c>
      <c r="D1204" s="34" t="s">
        <v>95</v>
      </c>
      <c r="E1204" s="35"/>
      <c r="F1204" s="36">
        <f t="shared" si="387"/>
        <v>0</v>
      </c>
      <c r="G1204" s="38"/>
      <c r="H1204" s="36">
        <f t="shared" si="388"/>
        <v>0</v>
      </c>
      <c r="I1204" s="35"/>
      <c r="J1204" s="36">
        <f t="shared" si="389"/>
        <v>0</v>
      </c>
      <c r="K1204" s="38"/>
      <c r="L1204" s="36">
        <f t="shared" si="390"/>
        <v>0</v>
      </c>
      <c r="M1204" s="35"/>
      <c r="N1204" s="36">
        <f t="shared" si="398"/>
        <v>0</v>
      </c>
      <c r="O1204" s="38"/>
      <c r="P1204" s="36">
        <f t="shared" si="391"/>
        <v>0</v>
      </c>
      <c r="Q1204" s="35"/>
      <c r="R1204" s="36">
        <f t="shared" si="399"/>
        <v>0</v>
      </c>
      <c r="S1204" s="38"/>
      <c r="T1204" s="36">
        <f t="shared" si="392"/>
        <v>0</v>
      </c>
      <c r="U1204" s="35"/>
      <c r="V1204" s="36">
        <f t="shared" si="400"/>
        <v>0</v>
      </c>
      <c r="W1204" s="38"/>
      <c r="X1204" s="36">
        <f t="shared" si="393"/>
        <v>0</v>
      </c>
      <c r="Y1204" s="35"/>
      <c r="Z1204" s="36">
        <f t="shared" si="401"/>
        <v>0</v>
      </c>
      <c r="AA1204" s="38"/>
      <c r="AB1204" s="36">
        <f t="shared" si="394"/>
        <v>0</v>
      </c>
      <c r="AC1204" s="35"/>
      <c r="AD1204" s="36">
        <f t="shared" si="402"/>
        <v>0</v>
      </c>
      <c r="AE1204" s="38"/>
      <c r="AF1204" s="36">
        <f t="shared" si="395"/>
        <v>0</v>
      </c>
      <c r="AG1204" s="35"/>
      <c r="AH1204" s="36">
        <f t="shared" si="403"/>
        <v>0</v>
      </c>
      <c r="AI1204" s="38"/>
      <c r="AJ1204" s="36">
        <f t="shared" si="396"/>
        <v>0</v>
      </c>
      <c r="AK1204" s="35"/>
      <c r="AL1204" s="36">
        <f t="shared" si="404"/>
        <v>0</v>
      </c>
      <c r="AM1204" s="38"/>
      <c r="AN1204" s="36">
        <f t="shared" si="397"/>
        <v>0</v>
      </c>
      <c r="AO1204" s="35"/>
      <c r="AP1204" s="38"/>
    </row>
    <row r="1205" spans="1:42" ht="15.75" customHeight="1" x14ac:dyDescent="0.25">
      <c r="A1205" s="37">
        <v>2016</v>
      </c>
      <c r="B1205" s="35">
        <v>171610</v>
      </c>
      <c r="C1205" s="34" t="s">
        <v>144</v>
      </c>
      <c r="D1205" s="34" t="s">
        <v>96</v>
      </c>
      <c r="E1205" s="35"/>
      <c r="F1205" s="36">
        <f t="shared" si="387"/>
        <v>0</v>
      </c>
      <c r="G1205" s="38"/>
      <c r="H1205" s="36">
        <f t="shared" si="388"/>
        <v>0</v>
      </c>
      <c r="I1205" s="35"/>
      <c r="J1205" s="36">
        <f t="shared" si="389"/>
        <v>0</v>
      </c>
      <c r="K1205" s="38"/>
      <c r="L1205" s="36">
        <f t="shared" si="390"/>
        <v>0</v>
      </c>
      <c r="M1205" s="35"/>
      <c r="N1205" s="36">
        <f t="shared" si="398"/>
        <v>0</v>
      </c>
      <c r="O1205" s="38"/>
      <c r="P1205" s="36">
        <f t="shared" si="391"/>
        <v>0</v>
      </c>
      <c r="Q1205" s="35"/>
      <c r="R1205" s="36">
        <f t="shared" si="399"/>
        <v>0</v>
      </c>
      <c r="S1205" s="38"/>
      <c r="T1205" s="36">
        <f t="shared" si="392"/>
        <v>0</v>
      </c>
      <c r="U1205" s="35"/>
      <c r="V1205" s="36">
        <f t="shared" si="400"/>
        <v>0</v>
      </c>
      <c r="W1205" s="38"/>
      <c r="X1205" s="36">
        <f t="shared" si="393"/>
        <v>0</v>
      </c>
      <c r="Y1205" s="35"/>
      <c r="Z1205" s="36">
        <f t="shared" si="401"/>
        <v>0</v>
      </c>
      <c r="AA1205" s="38"/>
      <c r="AB1205" s="36">
        <f t="shared" si="394"/>
        <v>0</v>
      </c>
      <c r="AC1205" s="35"/>
      <c r="AD1205" s="36">
        <f t="shared" si="402"/>
        <v>0</v>
      </c>
      <c r="AE1205" s="38"/>
      <c r="AF1205" s="36">
        <f t="shared" si="395"/>
        <v>0</v>
      </c>
      <c r="AG1205" s="35"/>
      <c r="AH1205" s="36">
        <f t="shared" si="403"/>
        <v>0</v>
      </c>
      <c r="AI1205" s="38"/>
      <c r="AJ1205" s="36">
        <f t="shared" si="396"/>
        <v>0</v>
      </c>
      <c r="AK1205" s="35"/>
      <c r="AL1205" s="36">
        <f t="shared" si="404"/>
        <v>0</v>
      </c>
      <c r="AM1205" s="38"/>
      <c r="AN1205" s="36">
        <f t="shared" si="397"/>
        <v>0</v>
      </c>
      <c r="AO1205" s="35"/>
      <c r="AP1205" s="38"/>
    </row>
    <row r="1206" spans="1:42" ht="15.75" customHeight="1" x14ac:dyDescent="0.25">
      <c r="A1206" s="37">
        <v>2016</v>
      </c>
      <c r="B1206" s="35">
        <v>171620</v>
      </c>
      <c r="C1206" s="34" t="s">
        <v>147</v>
      </c>
      <c r="D1206" s="34" t="s">
        <v>97</v>
      </c>
      <c r="E1206" s="35"/>
      <c r="F1206" s="36">
        <f t="shared" si="387"/>
        <v>0</v>
      </c>
      <c r="G1206" s="38"/>
      <c r="H1206" s="36">
        <f t="shared" si="388"/>
        <v>0</v>
      </c>
      <c r="I1206" s="35"/>
      <c r="J1206" s="36">
        <f t="shared" si="389"/>
        <v>0</v>
      </c>
      <c r="K1206" s="38"/>
      <c r="L1206" s="36">
        <f t="shared" si="390"/>
        <v>0</v>
      </c>
      <c r="M1206" s="35"/>
      <c r="N1206" s="36">
        <f t="shared" si="398"/>
        <v>0</v>
      </c>
      <c r="O1206" s="38"/>
      <c r="P1206" s="36">
        <f t="shared" si="391"/>
        <v>0</v>
      </c>
      <c r="Q1206" s="35"/>
      <c r="R1206" s="36">
        <f t="shared" si="399"/>
        <v>0</v>
      </c>
      <c r="S1206" s="38"/>
      <c r="T1206" s="36">
        <f t="shared" si="392"/>
        <v>0</v>
      </c>
      <c r="U1206" s="35"/>
      <c r="V1206" s="36">
        <f t="shared" si="400"/>
        <v>0</v>
      </c>
      <c r="W1206" s="38"/>
      <c r="X1206" s="36">
        <f t="shared" si="393"/>
        <v>0</v>
      </c>
      <c r="Y1206" s="35"/>
      <c r="Z1206" s="36">
        <f t="shared" si="401"/>
        <v>0</v>
      </c>
      <c r="AA1206" s="38"/>
      <c r="AB1206" s="36">
        <f t="shared" si="394"/>
        <v>0</v>
      </c>
      <c r="AC1206" s="35"/>
      <c r="AD1206" s="36">
        <f t="shared" si="402"/>
        <v>0</v>
      </c>
      <c r="AE1206" s="38"/>
      <c r="AF1206" s="36">
        <f t="shared" si="395"/>
        <v>0</v>
      </c>
      <c r="AG1206" s="35"/>
      <c r="AH1206" s="36">
        <f t="shared" si="403"/>
        <v>0</v>
      </c>
      <c r="AI1206" s="38"/>
      <c r="AJ1206" s="36">
        <f t="shared" si="396"/>
        <v>0</v>
      </c>
      <c r="AK1206" s="35"/>
      <c r="AL1206" s="36">
        <f t="shared" si="404"/>
        <v>0</v>
      </c>
      <c r="AM1206" s="38"/>
      <c r="AN1206" s="36">
        <f t="shared" si="397"/>
        <v>0</v>
      </c>
      <c r="AO1206" s="35"/>
      <c r="AP1206" s="38"/>
    </row>
    <row r="1207" spans="1:42" ht="15.75" customHeight="1" x14ac:dyDescent="0.25">
      <c r="A1207" s="37">
        <v>2016</v>
      </c>
      <c r="B1207" s="35">
        <v>171630</v>
      </c>
      <c r="C1207" s="34" t="s">
        <v>149</v>
      </c>
      <c r="D1207" s="34" t="s">
        <v>98</v>
      </c>
      <c r="E1207" s="35"/>
      <c r="F1207" s="36">
        <f t="shared" si="387"/>
        <v>0</v>
      </c>
      <c r="G1207" s="38"/>
      <c r="H1207" s="36">
        <f t="shared" si="388"/>
        <v>0</v>
      </c>
      <c r="I1207" s="35"/>
      <c r="J1207" s="36">
        <f t="shared" si="389"/>
        <v>0</v>
      </c>
      <c r="K1207" s="38"/>
      <c r="L1207" s="36">
        <f t="shared" si="390"/>
        <v>0</v>
      </c>
      <c r="M1207" s="35"/>
      <c r="N1207" s="36">
        <f t="shared" si="398"/>
        <v>0</v>
      </c>
      <c r="O1207" s="38"/>
      <c r="P1207" s="36">
        <f t="shared" si="391"/>
        <v>0</v>
      </c>
      <c r="Q1207" s="35"/>
      <c r="R1207" s="36">
        <f t="shared" si="399"/>
        <v>0</v>
      </c>
      <c r="S1207" s="38"/>
      <c r="T1207" s="36">
        <f t="shared" si="392"/>
        <v>0</v>
      </c>
      <c r="U1207" s="35"/>
      <c r="V1207" s="36">
        <f t="shared" si="400"/>
        <v>0</v>
      </c>
      <c r="W1207" s="38"/>
      <c r="X1207" s="36">
        <f t="shared" si="393"/>
        <v>0</v>
      </c>
      <c r="Y1207" s="35"/>
      <c r="Z1207" s="36">
        <f t="shared" si="401"/>
        <v>0</v>
      </c>
      <c r="AA1207" s="38"/>
      <c r="AB1207" s="36">
        <f t="shared" si="394"/>
        <v>0</v>
      </c>
      <c r="AC1207" s="35"/>
      <c r="AD1207" s="36">
        <f t="shared" si="402"/>
        <v>0</v>
      </c>
      <c r="AE1207" s="38"/>
      <c r="AF1207" s="36">
        <f t="shared" si="395"/>
        <v>0</v>
      </c>
      <c r="AG1207" s="35"/>
      <c r="AH1207" s="36">
        <f t="shared" si="403"/>
        <v>0</v>
      </c>
      <c r="AI1207" s="38"/>
      <c r="AJ1207" s="36">
        <f t="shared" si="396"/>
        <v>0</v>
      </c>
      <c r="AK1207" s="35"/>
      <c r="AL1207" s="36">
        <f t="shared" si="404"/>
        <v>0</v>
      </c>
      <c r="AM1207" s="38"/>
      <c r="AN1207" s="36">
        <f t="shared" si="397"/>
        <v>0</v>
      </c>
      <c r="AO1207" s="35"/>
      <c r="AP1207" s="38"/>
    </row>
    <row r="1208" spans="1:42" ht="15.75" customHeight="1" x14ac:dyDescent="0.25">
      <c r="A1208" s="37">
        <v>2016</v>
      </c>
      <c r="B1208" s="35">
        <v>171650</v>
      </c>
      <c r="C1208" s="34" t="s">
        <v>150</v>
      </c>
      <c r="D1208" s="34" t="s">
        <v>99</v>
      </c>
      <c r="E1208" s="35"/>
      <c r="F1208" s="36">
        <f t="shared" si="387"/>
        <v>0</v>
      </c>
      <c r="G1208" s="38"/>
      <c r="H1208" s="36">
        <f t="shared" si="388"/>
        <v>0</v>
      </c>
      <c r="I1208" s="35"/>
      <c r="J1208" s="36">
        <f t="shared" si="389"/>
        <v>0</v>
      </c>
      <c r="K1208" s="38"/>
      <c r="L1208" s="36">
        <f t="shared" si="390"/>
        <v>0</v>
      </c>
      <c r="M1208" s="35"/>
      <c r="N1208" s="36">
        <f t="shared" si="398"/>
        <v>0</v>
      </c>
      <c r="O1208" s="38"/>
      <c r="P1208" s="36">
        <f t="shared" si="391"/>
        <v>0</v>
      </c>
      <c r="Q1208" s="35"/>
      <c r="R1208" s="36">
        <f t="shared" si="399"/>
        <v>0</v>
      </c>
      <c r="S1208" s="38"/>
      <c r="T1208" s="36">
        <f t="shared" si="392"/>
        <v>0</v>
      </c>
      <c r="U1208" s="35"/>
      <c r="V1208" s="36">
        <f t="shared" si="400"/>
        <v>0</v>
      </c>
      <c r="W1208" s="38"/>
      <c r="X1208" s="36">
        <f t="shared" si="393"/>
        <v>0</v>
      </c>
      <c r="Y1208" s="35"/>
      <c r="Z1208" s="36">
        <f t="shared" si="401"/>
        <v>0</v>
      </c>
      <c r="AA1208" s="38"/>
      <c r="AB1208" s="36">
        <f t="shared" si="394"/>
        <v>0</v>
      </c>
      <c r="AC1208" s="35"/>
      <c r="AD1208" s="36">
        <f t="shared" si="402"/>
        <v>0</v>
      </c>
      <c r="AE1208" s="38"/>
      <c r="AF1208" s="36">
        <f t="shared" si="395"/>
        <v>0</v>
      </c>
      <c r="AG1208" s="35"/>
      <c r="AH1208" s="36">
        <f t="shared" si="403"/>
        <v>0</v>
      </c>
      <c r="AI1208" s="38"/>
      <c r="AJ1208" s="36">
        <f t="shared" si="396"/>
        <v>0</v>
      </c>
      <c r="AK1208" s="35"/>
      <c r="AL1208" s="36">
        <f t="shared" si="404"/>
        <v>0</v>
      </c>
      <c r="AM1208" s="38"/>
      <c r="AN1208" s="36">
        <f t="shared" si="397"/>
        <v>0</v>
      </c>
      <c r="AO1208" s="35"/>
      <c r="AP1208" s="38"/>
    </row>
    <row r="1209" spans="1:42" ht="15.75" customHeight="1" x14ac:dyDescent="0.25">
      <c r="A1209" s="37">
        <v>2016</v>
      </c>
      <c r="B1209" s="35">
        <v>171660</v>
      </c>
      <c r="C1209" s="34" t="s">
        <v>146</v>
      </c>
      <c r="D1209" s="34" t="s">
        <v>100</v>
      </c>
      <c r="E1209" s="35"/>
      <c r="F1209" s="36">
        <f t="shared" si="387"/>
        <v>0</v>
      </c>
      <c r="G1209" s="38"/>
      <c r="H1209" s="36">
        <f t="shared" si="388"/>
        <v>0</v>
      </c>
      <c r="I1209" s="35"/>
      <c r="J1209" s="36">
        <f t="shared" si="389"/>
        <v>0</v>
      </c>
      <c r="K1209" s="38"/>
      <c r="L1209" s="36">
        <f t="shared" si="390"/>
        <v>0</v>
      </c>
      <c r="M1209" s="35"/>
      <c r="N1209" s="36">
        <f t="shared" si="398"/>
        <v>0</v>
      </c>
      <c r="O1209" s="38"/>
      <c r="P1209" s="36">
        <f t="shared" si="391"/>
        <v>0</v>
      </c>
      <c r="Q1209" s="35"/>
      <c r="R1209" s="36">
        <f t="shared" si="399"/>
        <v>0</v>
      </c>
      <c r="S1209" s="38"/>
      <c r="T1209" s="36">
        <f t="shared" si="392"/>
        <v>0</v>
      </c>
      <c r="U1209" s="35"/>
      <c r="V1209" s="36">
        <f t="shared" si="400"/>
        <v>0</v>
      </c>
      <c r="W1209" s="38"/>
      <c r="X1209" s="36">
        <f t="shared" si="393"/>
        <v>0</v>
      </c>
      <c r="Y1209" s="35"/>
      <c r="Z1209" s="36">
        <f t="shared" si="401"/>
        <v>0</v>
      </c>
      <c r="AA1209" s="38"/>
      <c r="AB1209" s="36">
        <f t="shared" si="394"/>
        <v>0</v>
      </c>
      <c r="AC1209" s="35"/>
      <c r="AD1209" s="36">
        <f t="shared" si="402"/>
        <v>0</v>
      </c>
      <c r="AE1209" s="38"/>
      <c r="AF1209" s="36">
        <f t="shared" si="395"/>
        <v>0</v>
      </c>
      <c r="AG1209" s="35"/>
      <c r="AH1209" s="36">
        <f t="shared" si="403"/>
        <v>0</v>
      </c>
      <c r="AI1209" s="38"/>
      <c r="AJ1209" s="36">
        <f t="shared" si="396"/>
        <v>0</v>
      </c>
      <c r="AK1209" s="35"/>
      <c r="AL1209" s="36">
        <f t="shared" si="404"/>
        <v>0</v>
      </c>
      <c r="AM1209" s="38"/>
      <c r="AN1209" s="36">
        <f t="shared" si="397"/>
        <v>0</v>
      </c>
      <c r="AO1209" s="35"/>
      <c r="AP1209" s="38"/>
    </row>
    <row r="1210" spans="1:42" ht="15.75" customHeight="1" x14ac:dyDescent="0.25">
      <c r="A1210" s="37">
        <v>2016</v>
      </c>
      <c r="B1210" s="35">
        <v>171665</v>
      </c>
      <c r="C1210" s="34" t="s">
        <v>150</v>
      </c>
      <c r="D1210" s="34" t="s">
        <v>101</v>
      </c>
      <c r="E1210" s="35"/>
      <c r="F1210" s="36">
        <f t="shared" si="387"/>
        <v>0</v>
      </c>
      <c r="G1210" s="38"/>
      <c r="H1210" s="36">
        <f t="shared" si="388"/>
        <v>0</v>
      </c>
      <c r="I1210" s="35"/>
      <c r="J1210" s="36">
        <f t="shared" si="389"/>
        <v>0</v>
      </c>
      <c r="K1210" s="38"/>
      <c r="L1210" s="36">
        <f t="shared" si="390"/>
        <v>0</v>
      </c>
      <c r="M1210" s="35"/>
      <c r="N1210" s="36">
        <f t="shared" si="398"/>
        <v>0</v>
      </c>
      <c r="O1210" s="38"/>
      <c r="P1210" s="36">
        <f t="shared" si="391"/>
        <v>0</v>
      </c>
      <c r="Q1210" s="35"/>
      <c r="R1210" s="36">
        <f t="shared" si="399"/>
        <v>0</v>
      </c>
      <c r="S1210" s="38"/>
      <c r="T1210" s="36">
        <f t="shared" si="392"/>
        <v>0</v>
      </c>
      <c r="U1210" s="35"/>
      <c r="V1210" s="36">
        <f t="shared" si="400"/>
        <v>0</v>
      </c>
      <c r="W1210" s="38"/>
      <c r="X1210" s="36">
        <f t="shared" si="393"/>
        <v>0</v>
      </c>
      <c r="Y1210" s="35"/>
      <c r="Z1210" s="36">
        <f t="shared" si="401"/>
        <v>0</v>
      </c>
      <c r="AA1210" s="38"/>
      <c r="AB1210" s="36">
        <f t="shared" si="394"/>
        <v>0</v>
      </c>
      <c r="AC1210" s="35"/>
      <c r="AD1210" s="36">
        <f t="shared" si="402"/>
        <v>0</v>
      </c>
      <c r="AE1210" s="38"/>
      <c r="AF1210" s="36">
        <f t="shared" si="395"/>
        <v>0</v>
      </c>
      <c r="AG1210" s="35"/>
      <c r="AH1210" s="36">
        <f t="shared" si="403"/>
        <v>0</v>
      </c>
      <c r="AI1210" s="38"/>
      <c r="AJ1210" s="36">
        <f t="shared" si="396"/>
        <v>0</v>
      </c>
      <c r="AK1210" s="35"/>
      <c r="AL1210" s="36">
        <f t="shared" si="404"/>
        <v>0</v>
      </c>
      <c r="AM1210" s="38"/>
      <c r="AN1210" s="36">
        <f t="shared" si="397"/>
        <v>0</v>
      </c>
      <c r="AO1210" s="35"/>
      <c r="AP1210" s="38"/>
    </row>
    <row r="1211" spans="1:42" ht="15.75" customHeight="1" x14ac:dyDescent="0.25">
      <c r="A1211" s="37">
        <v>2016</v>
      </c>
      <c r="B1211" s="35">
        <v>171700</v>
      </c>
      <c r="C1211" s="34" t="s">
        <v>151</v>
      </c>
      <c r="D1211" s="34" t="s">
        <v>102</v>
      </c>
      <c r="E1211" s="35"/>
      <c r="F1211" s="36">
        <f t="shared" si="387"/>
        <v>0</v>
      </c>
      <c r="G1211" s="38"/>
      <c r="H1211" s="36">
        <f t="shared" si="388"/>
        <v>0</v>
      </c>
      <c r="I1211" s="35"/>
      <c r="J1211" s="36">
        <f t="shared" si="389"/>
        <v>0</v>
      </c>
      <c r="K1211" s="38"/>
      <c r="L1211" s="36">
        <f t="shared" si="390"/>
        <v>0</v>
      </c>
      <c r="M1211" s="35"/>
      <c r="N1211" s="36">
        <f t="shared" si="398"/>
        <v>0</v>
      </c>
      <c r="O1211" s="38"/>
      <c r="P1211" s="36">
        <f t="shared" si="391"/>
        <v>0</v>
      </c>
      <c r="Q1211" s="35"/>
      <c r="R1211" s="36">
        <f t="shared" si="399"/>
        <v>0</v>
      </c>
      <c r="S1211" s="38"/>
      <c r="T1211" s="36">
        <f t="shared" si="392"/>
        <v>0</v>
      </c>
      <c r="U1211" s="35"/>
      <c r="V1211" s="36">
        <f t="shared" si="400"/>
        <v>0</v>
      </c>
      <c r="W1211" s="38"/>
      <c r="X1211" s="36">
        <f t="shared" si="393"/>
        <v>0</v>
      </c>
      <c r="Y1211" s="35"/>
      <c r="Z1211" s="36">
        <f t="shared" si="401"/>
        <v>0</v>
      </c>
      <c r="AA1211" s="38"/>
      <c r="AB1211" s="36">
        <f t="shared" si="394"/>
        <v>0</v>
      </c>
      <c r="AC1211" s="35"/>
      <c r="AD1211" s="36">
        <f t="shared" si="402"/>
        <v>0</v>
      </c>
      <c r="AE1211" s="38"/>
      <c r="AF1211" s="36">
        <f t="shared" si="395"/>
        <v>0</v>
      </c>
      <c r="AG1211" s="35"/>
      <c r="AH1211" s="36">
        <f t="shared" si="403"/>
        <v>0</v>
      </c>
      <c r="AI1211" s="38"/>
      <c r="AJ1211" s="36">
        <f t="shared" si="396"/>
        <v>0</v>
      </c>
      <c r="AK1211" s="35"/>
      <c r="AL1211" s="36">
        <f t="shared" si="404"/>
        <v>0</v>
      </c>
      <c r="AM1211" s="38"/>
      <c r="AN1211" s="36">
        <f t="shared" si="397"/>
        <v>0</v>
      </c>
      <c r="AO1211" s="35"/>
      <c r="AP1211" s="38"/>
    </row>
    <row r="1212" spans="1:42" ht="15.75" customHeight="1" x14ac:dyDescent="0.25">
      <c r="A1212" s="37">
        <v>2016</v>
      </c>
      <c r="B1212" s="35">
        <v>171720</v>
      </c>
      <c r="C1212" s="34" t="s">
        <v>149</v>
      </c>
      <c r="D1212" s="34" t="s">
        <v>103</v>
      </c>
      <c r="E1212" s="35"/>
      <c r="F1212" s="36">
        <f t="shared" si="387"/>
        <v>0</v>
      </c>
      <c r="G1212" s="38"/>
      <c r="H1212" s="36">
        <f t="shared" si="388"/>
        <v>0</v>
      </c>
      <c r="I1212" s="35"/>
      <c r="J1212" s="36">
        <f t="shared" si="389"/>
        <v>0</v>
      </c>
      <c r="K1212" s="38"/>
      <c r="L1212" s="36">
        <f t="shared" si="390"/>
        <v>0</v>
      </c>
      <c r="M1212" s="35"/>
      <c r="N1212" s="36">
        <f t="shared" si="398"/>
        <v>0</v>
      </c>
      <c r="O1212" s="38"/>
      <c r="P1212" s="36">
        <f t="shared" si="391"/>
        <v>0</v>
      </c>
      <c r="Q1212" s="35"/>
      <c r="R1212" s="36">
        <f t="shared" si="399"/>
        <v>0</v>
      </c>
      <c r="S1212" s="38"/>
      <c r="T1212" s="36">
        <f t="shared" si="392"/>
        <v>0</v>
      </c>
      <c r="U1212" s="35"/>
      <c r="V1212" s="36">
        <f t="shared" si="400"/>
        <v>0</v>
      </c>
      <c r="W1212" s="38"/>
      <c r="X1212" s="36">
        <f t="shared" si="393"/>
        <v>0</v>
      </c>
      <c r="Y1212" s="35"/>
      <c r="Z1212" s="36">
        <f t="shared" si="401"/>
        <v>0</v>
      </c>
      <c r="AA1212" s="38"/>
      <c r="AB1212" s="36">
        <f t="shared" si="394"/>
        <v>0</v>
      </c>
      <c r="AC1212" s="35"/>
      <c r="AD1212" s="36">
        <f t="shared" si="402"/>
        <v>0</v>
      </c>
      <c r="AE1212" s="38"/>
      <c r="AF1212" s="36">
        <f t="shared" si="395"/>
        <v>0</v>
      </c>
      <c r="AG1212" s="35"/>
      <c r="AH1212" s="36">
        <f t="shared" si="403"/>
        <v>0</v>
      </c>
      <c r="AI1212" s="38"/>
      <c r="AJ1212" s="36">
        <f t="shared" si="396"/>
        <v>0</v>
      </c>
      <c r="AK1212" s="35"/>
      <c r="AL1212" s="36">
        <f t="shared" si="404"/>
        <v>0</v>
      </c>
      <c r="AM1212" s="38"/>
      <c r="AN1212" s="36">
        <f t="shared" si="397"/>
        <v>0</v>
      </c>
      <c r="AO1212" s="35"/>
      <c r="AP1212" s="38"/>
    </row>
    <row r="1213" spans="1:42" ht="15.75" customHeight="1" x14ac:dyDescent="0.25">
      <c r="A1213" s="37">
        <v>2016</v>
      </c>
      <c r="B1213" s="35">
        <v>171750</v>
      </c>
      <c r="C1213" s="34" t="s">
        <v>144</v>
      </c>
      <c r="D1213" s="34" t="s">
        <v>104</v>
      </c>
      <c r="E1213" s="35"/>
      <c r="F1213" s="36">
        <f t="shared" si="387"/>
        <v>0</v>
      </c>
      <c r="G1213" s="38"/>
      <c r="H1213" s="36">
        <f t="shared" si="388"/>
        <v>0</v>
      </c>
      <c r="I1213" s="35"/>
      <c r="J1213" s="36">
        <f t="shared" si="389"/>
        <v>0</v>
      </c>
      <c r="K1213" s="38"/>
      <c r="L1213" s="36">
        <f t="shared" si="390"/>
        <v>0</v>
      </c>
      <c r="M1213" s="35"/>
      <c r="N1213" s="36">
        <f t="shared" si="398"/>
        <v>0</v>
      </c>
      <c r="O1213" s="38"/>
      <c r="P1213" s="36">
        <f t="shared" si="391"/>
        <v>0</v>
      </c>
      <c r="Q1213" s="35"/>
      <c r="R1213" s="36">
        <f t="shared" si="399"/>
        <v>0</v>
      </c>
      <c r="S1213" s="38"/>
      <c r="T1213" s="36">
        <f t="shared" si="392"/>
        <v>0</v>
      </c>
      <c r="U1213" s="35"/>
      <c r="V1213" s="36">
        <f t="shared" si="400"/>
        <v>0</v>
      </c>
      <c r="W1213" s="38"/>
      <c r="X1213" s="36">
        <f t="shared" si="393"/>
        <v>0</v>
      </c>
      <c r="Y1213" s="35"/>
      <c r="Z1213" s="36">
        <f t="shared" si="401"/>
        <v>0</v>
      </c>
      <c r="AA1213" s="38"/>
      <c r="AB1213" s="36">
        <f t="shared" si="394"/>
        <v>0</v>
      </c>
      <c r="AC1213" s="35"/>
      <c r="AD1213" s="36">
        <f t="shared" si="402"/>
        <v>0</v>
      </c>
      <c r="AE1213" s="38"/>
      <c r="AF1213" s="36">
        <f t="shared" si="395"/>
        <v>0</v>
      </c>
      <c r="AG1213" s="35"/>
      <c r="AH1213" s="36">
        <f t="shared" si="403"/>
        <v>0</v>
      </c>
      <c r="AI1213" s="38"/>
      <c r="AJ1213" s="36">
        <f t="shared" si="396"/>
        <v>0</v>
      </c>
      <c r="AK1213" s="35"/>
      <c r="AL1213" s="36">
        <f t="shared" si="404"/>
        <v>0</v>
      </c>
      <c r="AM1213" s="38"/>
      <c r="AN1213" s="36">
        <f t="shared" si="397"/>
        <v>0</v>
      </c>
      <c r="AO1213" s="35"/>
      <c r="AP1213" s="38"/>
    </row>
    <row r="1214" spans="1:42" ht="15.75" customHeight="1" x14ac:dyDescent="0.25">
      <c r="A1214" s="37">
        <v>2016</v>
      </c>
      <c r="B1214" s="35">
        <v>171780</v>
      </c>
      <c r="C1214" s="34" t="s">
        <v>147</v>
      </c>
      <c r="D1214" s="34" t="s">
        <v>105</v>
      </c>
      <c r="E1214" s="35"/>
      <c r="F1214" s="36">
        <f t="shared" si="387"/>
        <v>0</v>
      </c>
      <c r="G1214" s="38"/>
      <c r="H1214" s="36">
        <f t="shared" si="388"/>
        <v>0</v>
      </c>
      <c r="I1214" s="35"/>
      <c r="J1214" s="36">
        <f t="shared" si="389"/>
        <v>0</v>
      </c>
      <c r="K1214" s="38"/>
      <c r="L1214" s="36">
        <f t="shared" si="390"/>
        <v>0</v>
      </c>
      <c r="M1214" s="35"/>
      <c r="N1214" s="36">
        <f t="shared" si="398"/>
        <v>0</v>
      </c>
      <c r="O1214" s="38"/>
      <c r="P1214" s="36">
        <f t="shared" si="391"/>
        <v>0</v>
      </c>
      <c r="Q1214" s="35"/>
      <c r="R1214" s="36">
        <f t="shared" si="399"/>
        <v>0</v>
      </c>
      <c r="S1214" s="38"/>
      <c r="T1214" s="36">
        <f t="shared" si="392"/>
        <v>0</v>
      </c>
      <c r="U1214" s="35"/>
      <c r="V1214" s="36">
        <f t="shared" si="400"/>
        <v>0</v>
      </c>
      <c r="W1214" s="38"/>
      <c r="X1214" s="36">
        <f t="shared" si="393"/>
        <v>0</v>
      </c>
      <c r="Y1214" s="35"/>
      <c r="Z1214" s="36">
        <f t="shared" si="401"/>
        <v>0</v>
      </c>
      <c r="AA1214" s="38"/>
      <c r="AB1214" s="36">
        <f t="shared" si="394"/>
        <v>0</v>
      </c>
      <c r="AC1214" s="35"/>
      <c r="AD1214" s="36">
        <f t="shared" si="402"/>
        <v>0</v>
      </c>
      <c r="AE1214" s="38"/>
      <c r="AF1214" s="36">
        <f t="shared" si="395"/>
        <v>0</v>
      </c>
      <c r="AG1214" s="35"/>
      <c r="AH1214" s="36">
        <f t="shared" si="403"/>
        <v>0</v>
      </c>
      <c r="AI1214" s="38"/>
      <c r="AJ1214" s="36">
        <f t="shared" si="396"/>
        <v>0</v>
      </c>
      <c r="AK1214" s="35"/>
      <c r="AL1214" s="36">
        <f t="shared" si="404"/>
        <v>0</v>
      </c>
      <c r="AM1214" s="38"/>
      <c r="AN1214" s="36">
        <f t="shared" si="397"/>
        <v>0</v>
      </c>
      <c r="AO1214" s="35"/>
      <c r="AP1214" s="38"/>
    </row>
    <row r="1215" spans="1:42" ht="15.75" customHeight="1" x14ac:dyDescent="0.25">
      <c r="A1215" s="37">
        <v>2016</v>
      </c>
      <c r="B1215" s="35">
        <v>171790</v>
      </c>
      <c r="C1215" s="34" t="s">
        <v>151</v>
      </c>
      <c r="D1215" s="34" t="s">
        <v>106</v>
      </c>
      <c r="E1215" s="35"/>
      <c r="F1215" s="36">
        <f t="shared" si="387"/>
        <v>0</v>
      </c>
      <c r="G1215" s="38"/>
      <c r="H1215" s="36">
        <f t="shared" si="388"/>
        <v>0</v>
      </c>
      <c r="I1215" s="35"/>
      <c r="J1215" s="36">
        <f t="shared" si="389"/>
        <v>0</v>
      </c>
      <c r="K1215" s="38"/>
      <c r="L1215" s="36">
        <f t="shared" si="390"/>
        <v>0</v>
      </c>
      <c r="M1215" s="35"/>
      <c r="N1215" s="36">
        <f t="shared" si="398"/>
        <v>0</v>
      </c>
      <c r="O1215" s="38"/>
      <c r="P1215" s="36">
        <f t="shared" si="391"/>
        <v>0</v>
      </c>
      <c r="Q1215" s="35"/>
      <c r="R1215" s="36">
        <f t="shared" si="399"/>
        <v>0</v>
      </c>
      <c r="S1215" s="38"/>
      <c r="T1215" s="36">
        <f t="shared" si="392"/>
        <v>0</v>
      </c>
      <c r="U1215" s="35"/>
      <c r="V1215" s="36">
        <f t="shared" si="400"/>
        <v>0</v>
      </c>
      <c r="W1215" s="38"/>
      <c r="X1215" s="36">
        <f t="shared" si="393"/>
        <v>0</v>
      </c>
      <c r="Y1215" s="35"/>
      <c r="Z1215" s="36">
        <f t="shared" si="401"/>
        <v>0</v>
      </c>
      <c r="AA1215" s="38"/>
      <c r="AB1215" s="36">
        <f t="shared" si="394"/>
        <v>0</v>
      </c>
      <c r="AC1215" s="35"/>
      <c r="AD1215" s="36">
        <f t="shared" si="402"/>
        <v>0</v>
      </c>
      <c r="AE1215" s="38"/>
      <c r="AF1215" s="36">
        <f t="shared" si="395"/>
        <v>0</v>
      </c>
      <c r="AG1215" s="35"/>
      <c r="AH1215" s="36">
        <f t="shared" si="403"/>
        <v>0</v>
      </c>
      <c r="AI1215" s="38"/>
      <c r="AJ1215" s="36">
        <f t="shared" si="396"/>
        <v>0</v>
      </c>
      <c r="AK1215" s="35"/>
      <c r="AL1215" s="36">
        <f t="shared" si="404"/>
        <v>0</v>
      </c>
      <c r="AM1215" s="38"/>
      <c r="AN1215" s="36">
        <f t="shared" si="397"/>
        <v>0</v>
      </c>
      <c r="AO1215" s="35"/>
      <c r="AP1215" s="38"/>
    </row>
    <row r="1216" spans="1:42" ht="15.75" customHeight="1" x14ac:dyDescent="0.25">
      <c r="A1216" s="37">
        <v>2016</v>
      </c>
      <c r="B1216" s="35">
        <v>171800</v>
      </c>
      <c r="C1216" s="34" t="s">
        <v>147</v>
      </c>
      <c r="D1216" s="34" t="s">
        <v>107</v>
      </c>
      <c r="E1216" s="35"/>
      <c r="F1216" s="36">
        <f t="shared" si="387"/>
        <v>0</v>
      </c>
      <c r="G1216" s="38"/>
      <c r="H1216" s="36">
        <f t="shared" si="388"/>
        <v>0</v>
      </c>
      <c r="I1216" s="35"/>
      <c r="J1216" s="36">
        <f t="shared" si="389"/>
        <v>0</v>
      </c>
      <c r="K1216" s="38"/>
      <c r="L1216" s="36">
        <f t="shared" si="390"/>
        <v>0</v>
      </c>
      <c r="M1216" s="35"/>
      <c r="N1216" s="36">
        <f t="shared" si="398"/>
        <v>0</v>
      </c>
      <c r="O1216" s="38"/>
      <c r="P1216" s="36">
        <f t="shared" si="391"/>
        <v>0</v>
      </c>
      <c r="Q1216" s="35"/>
      <c r="R1216" s="36">
        <f t="shared" si="399"/>
        <v>0</v>
      </c>
      <c r="S1216" s="38"/>
      <c r="T1216" s="36">
        <f t="shared" si="392"/>
        <v>0</v>
      </c>
      <c r="U1216" s="35"/>
      <c r="V1216" s="36">
        <f t="shared" si="400"/>
        <v>0</v>
      </c>
      <c r="W1216" s="38"/>
      <c r="X1216" s="36">
        <f t="shared" si="393"/>
        <v>0</v>
      </c>
      <c r="Y1216" s="35"/>
      <c r="Z1216" s="36">
        <f t="shared" si="401"/>
        <v>0</v>
      </c>
      <c r="AA1216" s="38"/>
      <c r="AB1216" s="36">
        <f t="shared" si="394"/>
        <v>0</v>
      </c>
      <c r="AC1216" s="35"/>
      <c r="AD1216" s="36">
        <f t="shared" si="402"/>
        <v>0</v>
      </c>
      <c r="AE1216" s="38"/>
      <c r="AF1216" s="36">
        <f t="shared" si="395"/>
        <v>0</v>
      </c>
      <c r="AG1216" s="35"/>
      <c r="AH1216" s="36">
        <f t="shared" si="403"/>
        <v>0</v>
      </c>
      <c r="AI1216" s="38"/>
      <c r="AJ1216" s="36">
        <f t="shared" si="396"/>
        <v>0</v>
      </c>
      <c r="AK1216" s="35"/>
      <c r="AL1216" s="36">
        <f t="shared" si="404"/>
        <v>0</v>
      </c>
      <c r="AM1216" s="38"/>
      <c r="AN1216" s="36">
        <f t="shared" si="397"/>
        <v>0</v>
      </c>
      <c r="AO1216" s="35"/>
      <c r="AP1216" s="38"/>
    </row>
    <row r="1217" spans="1:42" ht="15.75" customHeight="1" x14ac:dyDescent="0.25">
      <c r="A1217" s="37">
        <v>2016</v>
      </c>
      <c r="B1217" s="35">
        <v>171820</v>
      </c>
      <c r="C1217" s="34" t="s">
        <v>151</v>
      </c>
      <c r="D1217" s="34" t="s">
        <v>108</v>
      </c>
      <c r="E1217" s="35"/>
      <c r="F1217" s="36">
        <f t="shared" si="387"/>
        <v>0</v>
      </c>
      <c r="G1217" s="38"/>
      <c r="H1217" s="36">
        <f t="shared" si="388"/>
        <v>0</v>
      </c>
      <c r="I1217" s="35"/>
      <c r="J1217" s="36">
        <f t="shared" si="389"/>
        <v>0</v>
      </c>
      <c r="K1217" s="38"/>
      <c r="L1217" s="36">
        <f t="shared" si="390"/>
        <v>0</v>
      </c>
      <c r="M1217" s="35"/>
      <c r="N1217" s="36">
        <f t="shared" si="398"/>
        <v>0</v>
      </c>
      <c r="O1217" s="38"/>
      <c r="P1217" s="36">
        <f t="shared" si="391"/>
        <v>0</v>
      </c>
      <c r="Q1217" s="35"/>
      <c r="R1217" s="36">
        <f t="shared" si="399"/>
        <v>0</v>
      </c>
      <c r="S1217" s="38"/>
      <c r="T1217" s="36">
        <f t="shared" si="392"/>
        <v>0</v>
      </c>
      <c r="U1217" s="35"/>
      <c r="V1217" s="36">
        <f t="shared" si="400"/>
        <v>0</v>
      </c>
      <c r="W1217" s="38"/>
      <c r="X1217" s="36">
        <f t="shared" si="393"/>
        <v>0</v>
      </c>
      <c r="Y1217" s="35"/>
      <c r="Z1217" s="36">
        <f t="shared" si="401"/>
        <v>0</v>
      </c>
      <c r="AA1217" s="38"/>
      <c r="AB1217" s="36">
        <f t="shared" si="394"/>
        <v>0</v>
      </c>
      <c r="AC1217" s="35"/>
      <c r="AD1217" s="36">
        <f t="shared" si="402"/>
        <v>0</v>
      </c>
      <c r="AE1217" s="38"/>
      <c r="AF1217" s="36">
        <f t="shared" si="395"/>
        <v>0</v>
      </c>
      <c r="AG1217" s="35"/>
      <c r="AH1217" s="36">
        <f t="shared" si="403"/>
        <v>0</v>
      </c>
      <c r="AI1217" s="38"/>
      <c r="AJ1217" s="36">
        <f t="shared" si="396"/>
        <v>0</v>
      </c>
      <c r="AK1217" s="35"/>
      <c r="AL1217" s="36">
        <f t="shared" si="404"/>
        <v>0</v>
      </c>
      <c r="AM1217" s="38"/>
      <c r="AN1217" s="36">
        <f t="shared" si="397"/>
        <v>0</v>
      </c>
      <c r="AO1217" s="35"/>
      <c r="AP1217" s="38"/>
    </row>
    <row r="1218" spans="1:42" ht="15.75" customHeight="1" x14ac:dyDescent="0.25">
      <c r="A1218" s="37">
        <v>2016</v>
      </c>
      <c r="B1218" s="35">
        <v>171830</v>
      </c>
      <c r="C1218" s="34" t="s">
        <v>145</v>
      </c>
      <c r="D1218" s="34" t="s">
        <v>109</v>
      </c>
      <c r="E1218" s="35"/>
      <c r="F1218" s="36">
        <f t="shared" ref="F1218:F1281" si="405">IFERROR(E1218/$AO1218,0)</f>
        <v>0</v>
      </c>
      <c r="G1218" s="38"/>
      <c r="H1218" s="36">
        <f t="shared" ref="H1218:H1281" si="406">IFERROR(G1218/$AP1218,0)</f>
        <v>0</v>
      </c>
      <c r="I1218" s="35"/>
      <c r="J1218" s="36">
        <f t="shared" ref="J1218:J1281" si="407">IFERROR(I1218/$AO1218,0)</f>
        <v>0</v>
      </c>
      <c r="K1218" s="38"/>
      <c r="L1218" s="36">
        <f t="shared" ref="L1218:L1281" si="408">IFERROR(K1218/$AP1218,0)</f>
        <v>0</v>
      </c>
      <c r="M1218" s="35"/>
      <c r="N1218" s="36">
        <f t="shared" si="398"/>
        <v>0</v>
      </c>
      <c r="O1218" s="38"/>
      <c r="P1218" s="36">
        <f t="shared" ref="P1218:P1281" si="409">IFERROR(O1218/$AP1218,0)</f>
        <v>0</v>
      </c>
      <c r="Q1218" s="35"/>
      <c r="R1218" s="36">
        <f t="shared" si="399"/>
        <v>0</v>
      </c>
      <c r="S1218" s="38"/>
      <c r="T1218" s="36">
        <f t="shared" ref="T1218:T1281" si="410">IFERROR(S1218/$AP1218,0)</f>
        <v>0</v>
      </c>
      <c r="U1218" s="35"/>
      <c r="V1218" s="36">
        <f t="shared" si="400"/>
        <v>0</v>
      </c>
      <c r="W1218" s="38"/>
      <c r="X1218" s="36">
        <f t="shared" ref="X1218:X1281" si="411">IFERROR(W1218/$AP1218,0)</f>
        <v>0</v>
      </c>
      <c r="Y1218" s="35"/>
      <c r="Z1218" s="36">
        <f t="shared" si="401"/>
        <v>0</v>
      </c>
      <c r="AA1218" s="38"/>
      <c r="AB1218" s="36">
        <f t="shared" ref="AB1218:AB1281" si="412">IFERROR(AA1218/$AP1218,0)</f>
        <v>0</v>
      </c>
      <c r="AC1218" s="35"/>
      <c r="AD1218" s="36">
        <f t="shared" si="402"/>
        <v>0</v>
      </c>
      <c r="AE1218" s="38"/>
      <c r="AF1218" s="36">
        <f t="shared" ref="AF1218:AF1281" si="413">IFERROR(AE1218/$AP1218,0)</f>
        <v>0</v>
      </c>
      <c r="AG1218" s="35"/>
      <c r="AH1218" s="36">
        <f t="shared" si="403"/>
        <v>0</v>
      </c>
      <c r="AI1218" s="38"/>
      <c r="AJ1218" s="36">
        <f t="shared" ref="AJ1218:AJ1281" si="414">IFERROR(AI1218/$AP1218,0)</f>
        <v>0</v>
      </c>
      <c r="AK1218" s="35"/>
      <c r="AL1218" s="36">
        <f t="shared" si="404"/>
        <v>0</v>
      </c>
      <c r="AM1218" s="38"/>
      <c r="AN1218" s="36">
        <f t="shared" ref="AN1218:AN1281" si="415">IFERROR(AM1218/$AP1218,0)</f>
        <v>0</v>
      </c>
      <c r="AO1218" s="35"/>
      <c r="AP1218" s="38"/>
    </row>
    <row r="1219" spans="1:42" ht="15.75" customHeight="1" x14ac:dyDescent="0.25">
      <c r="A1219" s="37">
        <v>2016</v>
      </c>
      <c r="B1219" s="35">
        <v>171840</v>
      </c>
      <c r="C1219" s="34" t="s">
        <v>150</v>
      </c>
      <c r="D1219" s="34" t="s">
        <v>110</v>
      </c>
      <c r="E1219" s="35"/>
      <c r="F1219" s="36">
        <f t="shared" si="405"/>
        <v>0</v>
      </c>
      <c r="G1219" s="38"/>
      <c r="H1219" s="36">
        <f t="shared" si="406"/>
        <v>0</v>
      </c>
      <c r="I1219" s="35"/>
      <c r="J1219" s="36">
        <f t="shared" si="407"/>
        <v>0</v>
      </c>
      <c r="K1219" s="38"/>
      <c r="L1219" s="36">
        <f t="shared" si="408"/>
        <v>0</v>
      </c>
      <c r="M1219" s="35"/>
      <c r="N1219" s="36">
        <f t="shared" si="398"/>
        <v>0</v>
      </c>
      <c r="O1219" s="38"/>
      <c r="P1219" s="36">
        <f t="shared" si="409"/>
        <v>0</v>
      </c>
      <c r="Q1219" s="35"/>
      <c r="R1219" s="36">
        <f t="shared" si="399"/>
        <v>0</v>
      </c>
      <c r="S1219" s="38"/>
      <c r="T1219" s="36">
        <f t="shared" si="410"/>
        <v>0</v>
      </c>
      <c r="U1219" s="35"/>
      <c r="V1219" s="36">
        <f t="shared" si="400"/>
        <v>0</v>
      </c>
      <c r="W1219" s="38"/>
      <c r="X1219" s="36">
        <f t="shared" si="411"/>
        <v>0</v>
      </c>
      <c r="Y1219" s="35"/>
      <c r="Z1219" s="36">
        <f t="shared" si="401"/>
        <v>0</v>
      </c>
      <c r="AA1219" s="38"/>
      <c r="AB1219" s="36">
        <f t="shared" si="412"/>
        <v>0</v>
      </c>
      <c r="AC1219" s="35"/>
      <c r="AD1219" s="36">
        <f t="shared" si="402"/>
        <v>0</v>
      </c>
      <c r="AE1219" s="38"/>
      <c r="AF1219" s="36">
        <f t="shared" si="413"/>
        <v>0</v>
      </c>
      <c r="AG1219" s="35"/>
      <c r="AH1219" s="36">
        <f t="shared" si="403"/>
        <v>0</v>
      </c>
      <c r="AI1219" s="38"/>
      <c r="AJ1219" s="36">
        <f t="shared" si="414"/>
        <v>0</v>
      </c>
      <c r="AK1219" s="35"/>
      <c r="AL1219" s="36">
        <f t="shared" si="404"/>
        <v>0</v>
      </c>
      <c r="AM1219" s="38"/>
      <c r="AN1219" s="36">
        <f t="shared" si="415"/>
        <v>0</v>
      </c>
      <c r="AO1219" s="35"/>
      <c r="AP1219" s="38"/>
    </row>
    <row r="1220" spans="1:42" ht="15.75" customHeight="1" x14ac:dyDescent="0.25">
      <c r="A1220" s="37">
        <v>2016</v>
      </c>
      <c r="B1220" s="35">
        <v>171845</v>
      </c>
      <c r="C1220" s="34" t="s">
        <v>144</v>
      </c>
      <c r="D1220" s="34" t="s">
        <v>111</v>
      </c>
      <c r="E1220" s="35"/>
      <c r="F1220" s="36">
        <f t="shared" si="405"/>
        <v>0</v>
      </c>
      <c r="G1220" s="38"/>
      <c r="H1220" s="36">
        <f t="shared" si="406"/>
        <v>0</v>
      </c>
      <c r="I1220" s="35"/>
      <c r="J1220" s="36">
        <f t="shared" si="407"/>
        <v>0</v>
      </c>
      <c r="K1220" s="38"/>
      <c r="L1220" s="36">
        <f t="shared" si="408"/>
        <v>0</v>
      </c>
      <c r="M1220" s="35"/>
      <c r="N1220" s="36">
        <f t="shared" si="398"/>
        <v>0</v>
      </c>
      <c r="O1220" s="38"/>
      <c r="P1220" s="36">
        <f t="shared" si="409"/>
        <v>0</v>
      </c>
      <c r="Q1220" s="35"/>
      <c r="R1220" s="36">
        <f t="shared" si="399"/>
        <v>0</v>
      </c>
      <c r="S1220" s="38"/>
      <c r="T1220" s="36">
        <f t="shared" si="410"/>
        <v>0</v>
      </c>
      <c r="U1220" s="35"/>
      <c r="V1220" s="36">
        <f t="shared" si="400"/>
        <v>0</v>
      </c>
      <c r="W1220" s="38"/>
      <c r="X1220" s="36">
        <f t="shared" si="411"/>
        <v>0</v>
      </c>
      <c r="Y1220" s="35"/>
      <c r="Z1220" s="36">
        <f t="shared" si="401"/>
        <v>0</v>
      </c>
      <c r="AA1220" s="38"/>
      <c r="AB1220" s="36">
        <f t="shared" si="412"/>
        <v>0</v>
      </c>
      <c r="AC1220" s="35"/>
      <c r="AD1220" s="36">
        <f t="shared" si="402"/>
        <v>0</v>
      </c>
      <c r="AE1220" s="38"/>
      <c r="AF1220" s="36">
        <f t="shared" si="413"/>
        <v>0</v>
      </c>
      <c r="AG1220" s="35"/>
      <c r="AH1220" s="36">
        <f t="shared" si="403"/>
        <v>0</v>
      </c>
      <c r="AI1220" s="38"/>
      <c r="AJ1220" s="36">
        <f t="shared" si="414"/>
        <v>0</v>
      </c>
      <c r="AK1220" s="35"/>
      <c r="AL1220" s="36">
        <f t="shared" si="404"/>
        <v>0</v>
      </c>
      <c r="AM1220" s="38"/>
      <c r="AN1220" s="36">
        <f t="shared" si="415"/>
        <v>0</v>
      </c>
      <c r="AO1220" s="35"/>
      <c r="AP1220" s="38"/>
    </row>
    <row r="1221" spans="1:42" ht="15.75" customHeight="1" x14ac:dyDescent="0.25">
      <c r="A1221" s="37">
        <v>2016</v>
      </c>
      <c r="B1221" s="35">
        <v>171850</v>
      </c>
      <c r="C1221" s="34" t="s">
        <v>150</v>
      </c>
      <c r="D1221" s="34" t="s">
        <v>112</v>
      </c>
      <c r="E1221" s="35"/>
      <c r="F1221" s="36">
        <f t="shared" si="405"/>
        <v>0</v>
      </c>
      <c r="G1221" s="38"/>
      <c r="H1221" s="36">
        <f t="shared" si="406"/>
        <v>0</v>
      </c>
      <c r="I1221" s="35"/>
      <c r="J1221" s="36">
        <f t="shared" si="407"/>
        <v>0</v>
      </c>
      <c r="K1221" s="38"/>
      <c r="L1221" s="36">
        <f t="shared" si="408"/>
        <v>0</v>
      </c>
      <c r="M1221" s="35"/>
      <c r="N1221" s="36">
        <f t="shared" si="398"/>
        <v>0</v>
      </c>
      <c r="O1221" s="38"/>
      <c r="P1221" s="36">
        <f t="shared" si="409"/>
        <v>0</v>
      </c>
      <c r="Q1221" s="35"/>
      <c r="R1221" s="36">
        <f t="shared" si="399"/>
        <v>0</v>
      </c>
      <c r="S1221" s="38"/>
      <c r="T1221" s="36">
        <f t="shared" si="410"/>
        <v>0</v>
      </c>
      <c r="U1221" s="35"/>
      <c r="V1221" s="36">
        <f t="shared" si="400"/>
        <v>0</v>
      </c>
      <c r="W1221" s="38"/>
      <c r="X1221" s="36">
        <f t="shared" si="411"/>
        <v>0</v>
      </c>
      <c r="Y1221" s="35"/>
      <c r="Z1221" s="36">
        <f t="shared" si="401"/>
        <v>0</v>
      </c>
      <c r="AA1221" s="38"/>
      <c r="AB1221" s="36">
        <f t="shared" si="412"/>
        <v>0</v>
      </c>
      <c r="AC1221" s="35"/>
      <c r="AD1221" s="36">
        <f t="shared" si="402"/>
        <v>0</v>
      </c>
      <c r="AE1221" s="38"/>
      <c r="AF1221" s="36">
        <f t="shared" si="413"/>
        <v>0</v>
      </c>
      <c r="AG1221" s="35"/>
      <c r="AH1221" s="36">
        <f t="shared" si="403"/>
        <v>0</v>
      </c>
      <c r="AI1221" s="38"/>
      <c r="AJ1221" s="36">
        <f t="shared" si="414"/>
        <v>0</v>
      </c>
      <c r="AK1221" s="35"/>
      <c r="AL1221" s="36">
        <f t="shared" si="404"/>
        <v>0</v>
      </c>
      <c r="AM1221" s="38"/>
      <c r="AN1221" s="36">
        <f t="shared" si="415"/>
        <v>0</v>
      </c>
      <c r="AO1221" s="35"/>
      <c r="AP1221" s="38"/>
    </row>
    <row r="1222" spans="1:42" ht="15.75" customHeight="1" x14ac:dyDescent="0.25">
      <c r="A1222" s="37">
        <v>2016</v>
      </c>
      <c r="B1222" s="35">
        <v>171855</v>
      </c>
      <c r="C1222" s="34" t="s">
        <v>145</v>
      </c>
      <c r="D1222" s="34" t="s">
        <v>113</v>
      </c>
      <c r="E1222" s="35"/>
      <c r="F1222" s="36">
        <f t="shared" si="405"/>
        <v>0</v>
      </c>
      <c r="G1222" s="38"/>
      <c r="H1222" s="36">
        <f t="shared" si="406"/>
        <v>0</v>
      </c>
      <c r="I1222" s="35"/>
      <c r="J1222" s="36">
        <f t="shared" si="407"/>
        <v>0</v>
      </c>
      <c r="K1222" s="38"/>
      <c r="L1222" s="36">
        <f t="shared" si="408"/>
        <v>0</v>
      </c>
      <c r="M1222" s="35"/>
      <c r="N1222" s="36">
        <f t="shared" si="398"/>
        <v>0</v>
      </c>
      <c r="O1222" s="38"/>
      <c r="P1222" s="36">
        <f t="shared" si="409"/>
        <v>0</v>
      </c>
      <c r="Q1222" s="35"/>
      <c r="R1222" s="36">
        <f t="shared" si="399"/>
        <v>0</v>
      </c>
      <c r="S1222" s="38"/>
      <c r="T1222" s="36">
        <f t="shared" si="410"/>
        <v>0</v>
      </c>
      <c r="U1222" s="35"/>
      <c r="V1222" s="36">
        <f t="shared" si="400"/>
        <v>0</v>
      </c>
      <c r="W1222" s="38"/>
      <c r="X1222" s="36">
        <f t="shared" si="411"/>
        <v>0</v>
      </c>
      <c r="Y1222" s="35"/>
      <c r="Z1222" s="36">
        <f t="shared" si="401"/>
        <v>0</v>
      </c>
      <c r="AA1222" s="38"/>
      <c r="AB1222" s="36">
        <f t="shared" si="412"/>
        <v>0</v>
      </c>
      <c r="AC1222" s="35"/>
      <c r="AD1222" s="36">
        <f t="shared" si="402"/>
        <v>0</v>
      </c>
      <c r="AE1222" s="38"/>
      <c r="AF1222" s="36">
        <f t="shared" si="413"/>
        <v>0</v>
      </c>
      <c r="AG1222" s="35"/>
      <c r="AH1222" s="36">
        <f t="shared" si="403"/>
        <v>0</v>
      </c>
      <c r="AI1222" s="38"/>
      <c r="AJ1222" s="36">
        <f t="shared" si="414"/>
        <v>0</v>
      </c>
      <c r="AK1222" s="35"/>
      <c r="AL1222" s="36">
        <f t="shared" si="404"/>
        <v>0</v>
      </c>
      <c r="AM1222" s="38"/>
      <c r="AN1222" s="36">
        <f t="shared" si="415"/>
        <v>0</v>
      </c>
      <c r="AO1222" s="35"/>
      <c r="AP1222" s="38"/>
    </row>
    <row r="1223" spans="1:42" ht="15.75" customHeight="1" x14ac:dyDescent="0.25">
      <c r="A1223" s="37">
        <v>2016</v>
      </c>
      <c r="B1223" s="35">
        <v>171865</v>
      </c>
      <c r="C1223" s="34" t="s">
        <v>147</v>
      </c>
      <c r="D1223" s="34" t="s">
        <v>114</v>
      </c>
      <c r="E1223" s="35"/>
      <c r="F1223" s="36">
        <f t="shared" si="405"/>
        <v>0</v>
      </c>
      <c r="G1223" s="38"/>
      <c r="H1223" s="36">
        <f t="shared" si="406"/>
        <v>0</v>
      </c>
      <c r="I1223" s="35"/>
      <c r="J1223" s="36">
        <f t="shared" si="407"/>
        <v>0</v>
      </c>
      <c r="K1223" s="38"/>
      <c r="L1223" s="36">
        <f t="shared" si="408"/>
        <v>0</v>
      </c>
      <c r="M1223" s="35"/>
      <c r="N1223" s="36">
        <f t="shared" si="398"/>
        <v>0</v>
      </c>
      <c r="O1223" s="38"/>
      <c r="P1223" s="36">
        <f t="shared" si="409"/>
        <v>0</v>
      </c>
      <c r="Q1223" s="35"/>
      <c r="R1223" s="36">
        <f t="shared" si="399"/>
        <v>0</v>
      </c>
      <c r="S1223" s="38"/>
      <c r="T1223" s="36">
        <f t="shared" si="410"/>
        <v>0</v>
      </c>
      <c r="U1223" s="35"/>
      <c r="V1223" s="36">
        <f t="shared" si="400"/>
        <v>0</v>
      </c>
      <c r="W1223" s="38"/>
      <c r="X1223" s="36">
        <f t="shared" si="411"/>
        <v>0</v>
      </c>
      <c r="Y1223" s="35"/>
      <c r="Z1223" s="36">
        <f t="shared" si="401"/>
        <v>0</v>
      </c>
      <c r="AA1223" s="38"/>
      <c r="AB1223" s="36">
        <f t="shared" si="412"/>
        <v>0</v>
      </c>
      <c r="AC1223" s="35"/>
      <c r="AD1223" s="36">
        <f t="shared" si="402"/>
        <v>0</v>
      </c>
      <c r="AE1223" s="38"/>
      <c r="AF1223" s="36">
        <f t="shared" si="413"/>
        <v>0</v>
      </c>
      <c r="AG1223" s="35"/>
      <c r="AH1223" s="36">
        <f t="shared" si="403"/>
        <v>0</v>
      </c>
      <c r="AI1223" s="38"/>
      <c r="AJ1223" s="36">
        <f t="shared" si="414"/>
        <v>0</v>
      </c>
      <c r="AK1223" s="35"/>
      <c r="AL1223" s="36">
        <f t="shared" si="404"/>
        <v>0</v>
      </c>
      <c r="AM1223" s="38"/>
      <c r="AN1223" s="36">
        <f t="shared" si="415"/>
        <v>0</v>
      </c>
      <c r="AO1223" s="35"/>
      <c r="AP1223" s="38"/>
    </row>
    <row r="1224" spans="1:42" ht="15.75" customHeight="1" x14ac:dyDescent="0.25">
      <c r="A1224" s="37">
        <v>2016</v>
      </c>
      <c r="B1224" s="35">
        <v>171870</v>
      </c>
      <c r="C1224" s="34" t="s">
        <v>148</v>
      </c>
      <c r="D1224" s="34" t="s">
        <v>115</v>
      </c>
      <c r="E1224" s="35"/>
      <c r="F1224" s="36">
        <f t="shared" si="405"/>
        <v>0</v>
      </c>
      <c r="G1224" s="38"/>
      <c r="H1224" s="36">
        <f t="shared" si="406"/>
        <v>0</v>
      </c>
      <c r="I1224" s="35"/>
      <c r="J1224" s="36">
        <f t="shared" si="407"/>
        <v>0</v>
      </c>
      <c r="K1224" s="38"/>
      <c r="L1224" s="36">
        <f t="shared" si="408"/>
        <v>0</v>
      </c>
      <c r="M1224" s="35"/>
      <c r="N1224" s="36">
        <f t="shared" si="398"/>
        <v>0</v>
      </c>
      <c r="O1224" s="38"/>
      <c r="P1224" s="36">
        <f t="shared" si="409"/>
        <v>0</v>
      </c>
      <c r="Q1224" s="35"/>
      <c r="R1224" s="36">
        <f t="shared" si="399"/>
        <v>0</v>
      </c>
      <c r="S1224" s="38"/>
      <c r="T1224" s="36">
        <f t="shared" si="410"/>
        <v>0</v>
      </c>
      <c r="U1224" s="35"/>
      <c r="V1224" s="36">
        <f t="shared" si="400"/>
        <v>0</v>
      </c>
      <c r="W1224" s="38"/>
      <c r="X1224" s="36">
        <f t="shared" si="411"/>
        <v>0</v>
      </c>
      <c r="Y1224" s="35"/>
      <c r="Z1224" s="36">
        <f t="shared" si="401"/>
        <v>0</v>
      </c>
      <c r="AA1224" s="38"/>
      <c r="AB1224" s="36">
        <f t="shared" si="412"/>
        <v>0</v>
      </c>
      <c r="AC1224" s="35"/>
      <c r="AD1224" s="36">
        <f t="shared" si="402"/>
        <v>0</v>
      </c>
      <c r="AE1224" s="38"/>
      <c r="AF1224" s="36">
        <f t="shared" si="413"/>
        <v>0</v>
      </c>
      <c r="AG1224" s="35"/>
      <c r="AH1224" s="36">
        <f t="shared" si="403"/>
        <v>0</v>
      </c>
      <c r="AI1224" s="38"/>
      <c r="AJ1224" s="36">
        <f t="shared" si="414"/>
        <v>0</v>
      </c>
      <c r="AK1224" s="35"/>
      <c r="AL1224" s="36">
        <f t="shared" si="404"/>
        <v>0</v>
      </c>
      <c r="AM1224" s="38"/>
      <c r="AN1224" s="36">
        <f t="shared" si="415"/>
        <v>0</v>
      </c>
      <c r="AO1224" s="35"/>
      <c r="AP1224" s="38"/>
    </row>
    <row r="1225" spans="1:42" ht="15.75" customHeight="1" x14ac:dyDescent="0.25">
      <c r="A1225" s="37">
        <v>2016</v>
      </c>
      <c r="B1225" s="35">
        <v>171875</v>
      </c>
      <c r="C1225" s="34" t="s">
        <v>148</v>
      </c>
      <c r="D1225" s="34" t="s">
        <v>116</v>
      </c>
      <c r="E1225" s="35"/>
      <c r="F1225" s="36">
        <f t="shared" si="405"/>
        <v>0</v>
      </c>
      <c r="G1225" s="38"/>
      <c r="H1225" s="36">
        <f t="shared" si="406"/>
        <v>0</v>
      </c>
      <c r="I1225" s="35"/>
      <c r="J1225" s="36">
        <f t="shared" si="407"/>
        <v>0</v>
      </c>
      <c r="K1225" s="38"/>
      <c r="L1225" s="36">
        <f t="shared" si="408"/>
        <v>0</v>
      </c>
      <c r="M1225" s="35"/>
      <c r="N1225" s="36">
        <f t="shared" si="398"/>
        <v>0</v>
      </c>
      <c r="O1225" s="38"/>
      <c r="P1225" s="36">
        <f t="shared" si="409"/>
        <v>0</v>
      </c>
      <c r="Q1225" s="35"/>
      <c r="R1225" s="36">
        <f t="shared" si="399"/>
        <v>0</v>
      </c>
      <c r="S1225" s="38"/>
      <c r="T1225" s="36">
        <f t="shared" si="410"/>
        <v>0</v>
      </c>
      <c r="U1225" s="35"/>
      <c r="V1225" s="36">
        <f t="shared" si="400"/>
        <v>0</v>
      </c>
      <c r="W1225" s="38"/>
      <c r="X1225" s="36">
        <f t="shared" si="411"/>
        <v>0</v>
      </c>
      <c r="Y1225" s="35"/>
      <c r="Z1225" s="36">
        <f t="shared" si="401"/>
        <v>0</v>
      </c>
      <c r="AA1225" s="38"/>
      <c r="AB1225" s="36">
        <f t="shared" si="412"/>
        <v>0</v>
      </c>
      <c r="AC1225" s="35"/>
      <c r="AD1225" s="36">
        <f t="shared" si="402"/>
        <v>0</v>
      </c>
      <c r="AE1225" s="38"/>
      <c r="AF1225" s="36">
        <f t="shared" si="413"/>
        <v>0</v>
      </c>
      <c r="AG1225" s="35"/>
      <c r="AH1225" s="36">
        <f t="shared" si="403"/>
        <v>0</v>
      </c>
      <c r="AI1225" s="38"/>
      <c r="AJ1225" s="36">
        <f t="shared" si="414"/>
        <v>0</v>
      </c>
      <c r="AK1225" s="35"/>
      <c r="AL1225" s="36">
        <f t="shared" si="404"/>
        <v>0</v>
      </c>
      <c r="AM1225" s="38"/>
      <c r="AN1225" s="36">
        <f t="shared" si="415"/>
        <v>0</v>
      </c>
      <c r="AO1225" s="35"/>
      <c r="AP1225" s="38"/>
    </row>
    <row r="1226" spans="1:42" ht="15.75" customHeight="1" x14ac:dyDescent="0.25">
      <c r="A1226" s="37">
        <v>2016</v>
      </c>
      <c r="B1226" s="35">
        <v>171880</v>
      </c>
      <c r="C1226" s="34" t="s">
        <v>145</v>
      </c>
      <c r="D1226" s="34" t="s">
        <v>117</v>
      </c>
      <c r="E1226" s="35"/>
      <c r="F1226" s="36">
        <f t="shared" si="405"/>
        <v>0</v>
      </c>
      <c r="G1226" s="38"/>
      <c r="H1226" s="36">
        <f t="shared" si="406"/>
        <v>0</v>
      </c>
      <c r="I1226" s="35"/>
      <c r="J1226" s="36">
        <f t="shared" si="407"/>
        <v>0</v>
      </c>
      <c r="K1226" s="38"/>
      <c r="L1226" s="36">
        <f t="shared" si="408"/>
        <v>0</v>
      </c>
      <c r="M1226" s="35"/>
      <c r="N1226" s="36">
        <f t="shared" si="398"/>
        <v>0</v>
      </c>
      <c r="O1226" s="38"/>
      <c r="P1226" s="36">
        <f t="shared" si="409"/>
        <v>0</v>
      </c>
      <c r="Q1226" s="35"/>
      <c r="R1226" s="36">
        <f t="shared" si="399"/>
        <v>0</v>
      </c>
      <c r="S1226" s="38"/>
      <c r="T1226" s="36">
        <f t="shared" si="410"/>
        <v>0</v>
      </c>
      <c r="U1226" s="35"/>
      <c r="V1226" s="36">
        <f t="shared" si="400"/>
        <v>0</v>
      </c>
      <c r="W1226" s="38"/>
      <c r="X1226" s="36">
        <f t="shared" si="411"/>
        <v>0</v>
      </c>
      <c r="Y1226" s="35"/>
      <c r="Z1226" s="36">
        <f t="shared" si="401"/>
        <v>0</v>
      </c>
      <c r="AA1226" s="38"/>
      <c r="AB1226" s="36">
        <f t="shared" si="412"/>
        <v>0</v>
      </c>
      <c r="AC1226" s="35"/>
      <c r="AD1226" s="36">
        <f t="shared" si="402"/>
        <v>0</v>
      </c>
      <c r="AE1226" s="38"/>
      <c r="AF1226" s="36">
        <f t="shared" si="413"/>
        <v>0</v>
      </c>
      <c r="AG1226" s="35"/>
      <c r="AH1226" s="36">
        <f t="shared" si="403"/>
        <v>0</v>
      </c>
      <c r="AI1226" s="38"/>
      <c r="AJ1226" s="36">
        <f t="shared" si="414"/>
        <v>0</v>
      </c>
      <c r="AK1226" s="35"/>
      <c r="AL1226" s="36">
        <f t="shared" si="404"/>
        <v>0</v>
      </c>
      <c r="AM1226" s="38"/>
      <c r="AN1226" s="36">
        <f t="shared" si="415"/>
        <v>0</v>
      </c>
      <c r="AO1226" s="35"/>
      <c r="AP1226" s="38"/>
    </row>
    <row r="1227" spans="1:42" ht="15.75" customHeight="1" x14ac:dyDescent="0.25">
      <c r="A1227" s="37">
        <v>2016</v>
      </c>
      <c r="B1227" s="35">
        <v>171884</v>
      </c>
      <c r="C1227" s="34" t="s">
        <v>146</v>
      </c>
      <c r="D1227" s="34" t="s">
        <v>118</v>
      </c>
      <c r="E1227" s="35"/>
      <c r="F1227" s="36">
        <f t="shared" si="405"/>
        <v>0</v>
      </c>
      <c r="G1227" s="38"/>
      <c r="H1227" s="36">
        <f t="shared" si="406"/>
        <v>0</v>
      </c>
      <c r="I1227" s="35"/>
      <c r="J1227" s="36">
        <f t="shared" si="407"/>
        <v>0</v>
      </c>
      <c r="K1227" s="38"/>
      <c r="L1227" s="36">
        <f t="shared" si="408"/>
        <v>0</v>
      </c>
      <c r="M1227" s="35"/>
      <c r="N1227" s="36">
        <f t="shared" ref="N1227:N1255" si="416">IFERROR(M1227/$AO1227,0)</f>
        <v>0</v>
      </c>
      <c r="O1227" s="38"/>
      <c r="P1227" s="36">
        <f t="shared" si="409"/>
        <v>0</v>
      </c>
      <c r="Q1227" s="35"/>
      <c r="R1227" s="36">
        <f t="shared" ref="R1227:R1255" si="417">IFERROR(Q1227/$AO1227,0)</f>
        <v>0</v>
      </c>
      <c r="S1227" s="38"/>
      <c r="T1227" s="36">
        <f t="shared" si="410"/>
        <v>0</v>
      </c>
      <c r="U1227" s="35"/>
      <c r="V1227" s="36">
        <f t="shared" ref="V1227:V1255" si="418">IFERROR(U1227/$AO1227,0)</f>
        <v>0</v>
      </c>
      <c r="W1227" s="38"/>
      <c r="X1227" s="36">
        <f t="shared" si="411"/>
        <v>0</v>
      </c>
      <c r="Y1227" s="35"/>
      <c r="Z1227" s="36">
        <f t="shared" ref="Z1227:Z1255" si="419">IFERROR(Y1227/$AO1227,0)</f>
        <v>0</v>
      </c>
      <c r="AA1227" s="38"/>
      <c r="AB1227" s="36">
        <f t="shared" si="412"/>
        <v>0</v>
      </c>
      <c r="AC1227" s="35"/>
      <c r="AD1227" s="36">
        <f t="shared" ref="AD1227:AD1255" si="420">IFERROR(AC1227/$AO1227,0)</f>
        <v>0</v>
      </c>
      <c r="AE1227" s="38"/>
      <c r="AF1227" s="36">
        <f t="shared" si="413"/>
        <v>0</v>
      </c>
      <c r="AG1227" s="35"/>
      <c r="AH1227" s="36">
        <f t="shared" ref="AH1227:AH1255" si="421">IFERROR(AG1227/$AO1227,0)</f>
        <v>0</v>
      </c>
      <c r="AI1227" s="38"/>
      <c r="AJ1227" s="36">
        <f t="shared" si="414"/>
        <v>0</v>
      </c>
      <c r="AK1227" s="35"/>
      <c r="AL1227" s="36">
        <f t="shared" ref="AL1227:AL1255" si="422">IFERROR(AK1227/$AO1227,0)</f>
        <v>0</v>
      </c>
      <c r="AM1227" s="38"/>
      <c r="AN1227" s="36">
        <f t="shared" si="415"/>
        <v>0</v>
      </c>
      <c r="AO1227" s="35"/>
      <c r="AP1227" s="38"/>
    </row>
    <row r="1228" spans="1:42" ht="15.75" customHeight="1" x14ac:dyDescent="0.25">
      <c r="A1228" s="37">
        <v>2016</v>
      </c>
      <c r="B1228" s="35">
        <v>171886</v>
      </c>
      <c r="C1228" s="34" t="s">
        <v>149</v>
      </c>
      <c r="D1228" s="34" t="s">
        <v>119</v>
      </c>
      <c r="E1228" s="35"/>
      <c r="F1228" s="36">
        <f t="shared" si="405"/>
        <v>0</v>
      </c>
      <c r="G1228" s="38"/>
      <c r="H1228" s="36">
        <f t="shared" si="406"/>
        <v>0</v>
      </c>
      <c r="I1228" s="35"/>
      <c r="J1228" s="36">
        <f t="shared" si="407"/>
        <v>0</v>
      </c>
      <c r="K1228" s="38"/>
      <c r="L1228" s="36">
        <f t="shared" si="408"/>
        <v>0</v>
      </c>
      <c r="M1228" s="35"/>
      <c r="N1228" s="36">
        <f t="shared" si="416"/>
        <v>0</v>
      </c>
      <c r="O1228" s="38"/>
      <c r="P1228" s="36">
        <f t="shared" si="409"/>
        <v>0</v>
      </c>
      <c r="Q1228" s="35"/>
      <c r="R1228" s="36">
        <f t="shared" si="417"/>
        <v>0</v>
      </c>
      <c r="S1228" s="38"/>
      <c r="T1228" s="36">
        <f t="shared" si="410"/>
        <v>0</v>
      </c>
      <c r="U1228" s="35"/>
      <c r="V1228" s="36">
        <f t="shared" si="418"/>
        <v>0</v>
      </c>
      <c r="W1228" s="38"/>
      <c r="X1228" s="36">
        <f t="shared" si="411"/>
        <v>0</v>
      </c>
      <c r="Y1228" s="35"/>
      <c r="Z1228" s="36">
        <f t="shared" si="419"/>
        <v>0</v>
      </c>
      <c r="AA1228" s="38"/>
      <c r="AB1228" s="36">
        <f t="shared" si="412"/>
        <v>0</v>
      </c>
      <c r="AC1228" s="35"/>
      <c r="AD1228" s="36">
        <f t="shared" si="420"/>
        <v>0</v>
      </c>
      <c r="AE1228" s="38"/>
      <c r="AF1228" s="36">
        <f t="shared" si="413"/>
        <v>0</v>
      </c>
      <c r="AG1228" s="35"/>
      <c r="AH1228" s="36">
        <f t="shared" si="421"/>
        <v>0</v>
      </c>
      <c r="AI1228" s="38"/>
      <c r="AJ1228" s="36">
        <f t="shared" si="414"/>
        <v>0</v>
      </c>
      <c r="AK1228" s="35"/>
      <c r="AL1228" s="36">
        <f t="shared" si="422"/>
        <v>0</v>
      </c>
      <c r="AM1228" s="38"/>
      <c r="AN1228" s="36">
        <f t="shared" si="415"/>
        <v>0</v>
      </c>
      <c r="AO1228" s="35"/>
      <c r="AP1228" s="38"/>
    </row>
    <row r="1229" spans="1:42" ht="15.75" customHeight="1" x14ac:dyDescent="0.25">
      <c r="A1229" s="37">
        <v>2016</v>
      </c>
      <c r="B1229" s="35">
        <v>171888</v>
      </c>
      <c r="C1229" s="34" t="s">
        <v>150</v>
      </c>
      <c r="D1229" s="34" t="s">
        <v>120</v>
      </c>
      <c r="E1229" s="35"/>
      <c r="F1229" s="36">
        <f t="shared" si="405"/>
        <v>0</v>
      </c>
      <c r="G1229" s="38"/>
      <c r="H1229" s="36">
        <f t="shared" si="406"/>
        <v>0</v>
      </c>
      <c r="I1229" s="35"/>
      <c r="J1229" s="36">
        <f t="shared" si="407"/>
        <v>0</v>
      </c>
      <c r="K1229" s="38"/>
      <c r="L1229" s="36">
        <f t="shared" si="408"/>
        <v>0</v>
      </c>
      <c r="M1229" s="35"/>
      <c r="N1229" s="36">
        <f t="shared" si="416"/>
        <v>0</v>
      </c>
      <c r="O1229" s="38"/>
      <c r="P1229" s="36">
        <f t="shared" si="409"/>
        <v>0</v>
      </c>
      <c r="Q1229" s="35"/>
      <c r="R1229" s="36">
        <f t="shared" si="417"/>
        <v>0</v>
      </c>
      <c r="S1229" s="38"/>
      <c r="T1229" s="36">
        <f t="shared" si="410"/>
        <v>0</v>
      </c>
      <c r="U1229" s="35"/>
      <c r="V1229" s="36">
        <f t="shared" si="418"/>
        <v>0</v>
      </c>
      <c r="W1229" s="38"/>
      <c r="X1229" s="36">
        <f t="shared" si="411"/>
        <v>0</v>
      </c>
      <c r="Y1229" s="35"/>
      <c r="Z1229" s="36">
        <f t="shared" si="419"/>
        <v>0</v>
      </c>
      <c r="AA1229" s="38"/>
      <c r="AB1229" s="36">
        <f t="shared" si="412"/>
        <v>0</v>
      </c>
      <c r="AC1229" s="35"/>
      <c r="AD1229" s="36">
        <f t="shared" si="420"/>
        <v>0</v>
      </c>
      <c r="AE1229" s="38"/>
      <c r="AF1229" s="36">
        <f t="shared" si="413"/>
        <v>0</v>
      </c>
      <c r="AG1229" s="35"/>
      <c r="AH1229" s="36">
        <f t="shared" si="421"/>
        <v>0</v>
      </c>
      <c r="AI1229" s="38"/>
      <c r="AJ1229" s="36">
        <f t="shared" si="414"/>
        <v>0</v>
      </c>
      <c r="AK1229" s="35"/>
      <c r="AL1229" s="36">
        <f t="shared" si="422"/>
        <v>0</v>
      </c>
      <c r="AM1229" s="38"/>
      <c r="AN1229" s="36">
        <f t="shared" si="415"/>
        <v>0</v>
      </c>
      <c r="AO1229" s="35"/>
      <c r="AP1229" s="38"/>
    </row>
    <row r="1230" spans="1:42" ht="15.75" customHeight="1" x14ac:dyDescent="0.25">
      <c r="A1230" s="37">
        <v>2016</v>
      </c>
      <c r="B1230" s="35">
        <v>171889</v>
      </c>
      <c r="C1230" s="34" t="s">
        <v>146</v>
      </c>
      <c r="D1230" s="34" t="s">
        <v>121</v>
      </c>
      <c r="E1230" s="35"/>
      <c r="F1230" s="36">
        <f t="shared" si="405"/>
        <v>0</v>
      </c>
      <c r="G1230" s="38"/>
      <c r="H1230" s="36">
        <f t="shared" si="406"/>
        <v>0</v>
      </c>
      <c r="I1230" s="35"/>
      <c r="J1230" s="36">
        <f t="shared" si="407"/>
        <v>0</v>
      </c>
      <c r="K1230" s="38"/>
      <c r="L1230" s="36">
        <f t="shared" si="408"/>
        <v>0</v>
      </c>
      <c r="M1230" s="35"/>
      <c r="N1230" s="36">
        <f t="shared" si="416"/>
        <v>0</v>
      </c>
      <c r="O1230" s="38"/>
      <c r="P1230" s="36">
        <f t="shared" si="409"/>
        <v>0</v>
      </c>
      <c r="Q1230" s="35"/>
      <c r="R1230" s="36">
        <f t="shared" si="417"/>
        <v>0</v>
      </c>
      <c r="S1230" s="38"/>
      <c r="T1230" s="36">
        <f t="shared" si="410"/>
        <v>0</v>
      </c>
      <c r="U1230" s="35"/>
      <c r="V1230" s="36">
        <f t="shared" si="418"/>
        <v>0</v>
      </c>
      <c r="W1230" s="38"/>
      <c r="X1230" s="36">
        <f t="shared" si="411"/>
        <v>0</v>
      </c>
      <c r="Y1230" s="35"/>
      <c r="Z1230" s="36">
        <f t="shared" si="419"/>
        <v>0</v>
      </c>
      <c r="AA1230" s="38"/>
      <c r="AB1230" s="36">
        <f t="shared" si="412"/>
        <v>0</v>
      </c>
      <c r="AC1230" s="35"/>
      <c r="AD1230" s="36">
        <f t="shared" si="420"/>
        <v>0</v>
      </c>
      <c r="AE1230" s="38"/>
      <c r="AF1230" s="36">
        <f t="shared" si="413"/>
        <v>0</v>
      </c>
      <c r="AG1230" s="35"/>
      <c r="AH1230" s="36">
        <f t="shared" si="421"/>
        <v>0</v>
      </c>
      <c r="AI1230" s="38"/>
      <c r="AJ1230" s="36">
        <f t="shared" si="414"/>
        <v>0</v>
      </c>
      <c r="AK1230" s="35"/>
      <c r="AL1230" s="36">
        <f t="shared" si="422"/>
        <v>0</v>
      </c>
      <c r="AM1230" s="38"/>
      <c r="AN1230" s="36">
        <f t="shared" si="415"/>
        <v>0</v>
      </c>
      <c r="AO1230" s="35"/>
      <c r="AP1230" s="38"/>
    </row>
    <row r="1231" spans="1:42" ht="15.75" customHeight="1" x14ac:dyDescent="0.25">
      <c r="A1231" s="37">
        <v>2016</v>
      </c>
      <c r="B1231" s="35">
        <v>171890</v>
      </c>
      <c r="C1231" s="34" t="s">
        <v>151</v>
      </c>
      <c r="D1231" s="34" t="s">
        <v>122</v>
      </c>
      <c r="E1231" s="35"/>
      <c r="F1231" s="36">
        <f t="shared" si="405"/>
        <v>0</v>
      </c>
      <c r="G1231" s="38"/>
      <c r="H1231" s="36">
        <f t="shared" si="406"/>
        <v>0</v>
      </c>
      <c r="I1231" s="35"/>
      <c r="J1231" s="36">
        <f t="shared" si="407"/>
        <v>0</v>
      </c>
      <c r="K1231" s="38"/>
      <c r="L1231" s="36">
        <f t="shared" si="408"/>
        <v>0</v>
      </c>
      <c r="M1231" s="35"/>
      <c r="N1231" s="36">
        <f t="shared" si="416"/>
        <v>0</v>
      </c>
      <c r="O1231" s="38"/>
      <c r="P1231" s="36">
        <f t="shared" si="409"/>
        <v>0</v>
      </c>
      <c r="Q1231" s="35"/>
      <c r="R1231" s="36">
        <f t="shared" si="417"/>
        <v>0</v>
      </c>
      <c r="S1231" s="38"/>
      <c r="T1231" s="36">
        <f t="shared" si="410"/>
        <v>0</v>
      </c>
      <c r="U1231" s="35"/>
      <c r="V1231" s="36">
        <f t="shared" si="418"/>
        <v>0</v>
      </c>
      <c r="W1231" s="38"/>
      <c r="X1231" s="36">
        <f t="shared" si="411"/>
        <v>0</v>
      </c>
      <c r="Y1231" s="35"/>
      <c r="Z1231" s="36">
        <f t="shared" si="419"/>
        <v>0</v>
      </c>
      <c r="AA1231" s="38"/>
      <c r="AB1231" s="36">
        <f t="shared" si="412"/>
        <v>0</v>
      </c>
      <c r="AC1231" s="35"/>
      <c r="AD1231" s="36">
        <f t="shared" si="420"/>
        <v>0</v>
      </c>
      <c r="AE1231" s="38"/>
      <c r="AF1231" s="36">
        <f t="shared" si="413"/>
        <v>0</v>
      </c>
      <c r="AG1231" s="35"/>
      <c r="AH1231" s="36">
        <f t="shared" si="421"/>
        <v>0</v>
      </c>
      <c r="AI1231" s="38"/>
      <c r="AJ1231" s="36">
        <f t="shared" si="414"/>
        <v>0</v>
      </c>
      <c r="AK1231" s="35"/>
      <c r="AL1231" s="36">
        <f t="shared" si="422"/>
        <v>0</v>
      </c>
      <c r="AM1231" s="38"/>
      <c r="AN1231" s="36">
        <f t="shared" si="415"/>
        <v>0</v>
      </c>
      <c r="AO1231" s="35"/>
      <c r="AP1231" s="38"/>
    </row>
    <row r="1232" spans="1:42" ht="15.75" customHeight="1" x14ac:dyDescent="0.25">
      <c r="A1232" s="37">
        <v>2016</v>
      </c>
      <c r="B1232" s="35">
        <v>171900</v>
      </c>
      <c r="C1232" s="34" t="s">
        <v>148</v>
      </c>
      <c r="D1232" s="34" t="s">
        <v>123</v>
      </c>
      <c r="E1232" s="35"/>
      <c r="F1232" s="36">
        <f t="shared" si="405"/>
        <v>0</v>
      </c>
      <c r="G1232" s="38"/>
      <c r="H1232" s="36">
        <f t="shared" si="406"/>
        <v>0</v>
      </c>
      <c r="I1232" s="35"/>
      <c r="J1232" s="36">
        <f t="shared" si="407"/>
        <v>0</v>
      </c>
      <c r="K1232" s="38"/>
      <c r="L1232" s="36">
        <f t="shared" si="408"/>
        <v>0</v>
      </c>
      <c r="M1232" s="35"/>
      <c r="N1232" s="36">
        <f t="shared" si="416"/>
        <v>0</v>
      </c>
      <c r="O1232" s="38"/>
      <c r="P1232" s="36">
        <f t="shared" si="409"/>
        <v>0</v>
      </c>
      <c r="Q1232" s="35"/>
      <c r="R1232" s="36">
        <f t="shared" si="417"/>
        <v>0</v>
      </c>
      <c r="S1232" s="38"/>
      <c r="T1232" s="36">
        <f t="shared" si="410"/>
        <v>0</v>
      </c>
      <c r="U1232" s="35"/>
      <c r="V1232" s="36">
        <f t="shared" si="418"/>
        <v>0</v>
      </c>
      <c r="W1232" s="38"/>
      <c r="X1232" s="36">
        <f t="shared" si="411"/>
        <v>0</v>
      </c>
      <c r="Y1232" s="35"/>
      <c r="Z1232" s="36">
        <f t="shared" si="419"/>
        <v>0</v>
      </c>
      <c r="AA1232" s="38"/>
      <c r="AB1232" s="36">
        <f t="shared" si="412"/>
        <v>0</v>
      </c>
      <c r="AC1232" s="35"/>
      <c r="AD1232" s="36">
        <f t="shared" si="420"/>
        <v>0</v>
      </c>
      <c r="AE1232" s="38"/>
      <c r="AF1232" s="36">
        <f t="shared" si="413"/>
        <v>0</v>
      </c>
      <c r="AG1232" s="35"/>
      <c r="AH1232" s="36">
        <f t="shared" si="421"/>
        <v>0</v>
      </c>
      <c r="AI1232" s="38"/>
      <c r="AJ1232" s="36">
        <f t="shared" si="414"/>
        <v>0</v>
      </c>
      <c r="AK1232" s="35"/>
      <c r="AL1232" s="36">
        <f t="shared" si="422"/>
        <v>0</v>
      </c>
      <c r="AM1232" s="38"/>
      <c r="AN1232" s="36">
        <f t="shared" si="415"/>
        <v>0</v>
      </c>
      <c r="AO1232" s="35"/>
      <c r="AP1232" s="38"/>
    </row>
    <row r="1233" spans="1:42" ht="15.75" customHeight="1" x14ac:dyDescent="0.25">
      <c r="A1233" s="37">
        <v>2016</v>
      </c>
      <c r="B1233" s="35">
        <v>172000</v>
      </c>
      <c r="C1233" s="34" t="s">
        <v>145</v>
      </c>
      <c r="D1233" s="34" t="s">
        <v>124</v>
      </c>
      <c r="E1233" s="35"/>
      <c r="F1233" s="36">
        <f t="shared" si="405"/>
        <v>0</v>
      </c>
      <c r="G1233" s="38"/>
      <c r="H1233" s="36">
        <f t="shared" si="406"/>
        <v>0</v>
      </c>
      <c r="I1233" s="35"/>
      <c r="J1233" s="36">
        <f t="shared" si="407"/>
        <v>0</v>
      </c>
      <c r="K1233" s="38"/>
      <c r="L1233" s="36">
        <f t="shared" si="408"/>
        <v>0</v>
      </c>
      <c r="M1233" s="35"/>
      <c r="N1233" s="36">
        <f t="shared" si="416"/>
        <v>0</v>
      </c>
      <c r="O1233" s="38"/>
      <c r="P1233" s="36">
        <f t="shared" si="409"/>
        <v>0</v>
      </c>
      <c r="Q1233" s="35"/>
      <c r="R1233" s="36">
        <f t="shared" si="417"/>
        <v>0</v>
      </c>
      <c r="S1233" s="38"/>
      <c r="T1233" s="36">
        <f t="shared" si="410"/>
        <v>0</v>
      </c>
      <c r="U1233" s="35"/>
      <c r="V1233" s="36">
        <f t="shared" si="418"/>
        <v>0</v>
      </c>
      <c r="W1233" s="38"/>
      <c r="X1233" s="36">
        <f t="shared" si="411"/>
        <v>0</v>
      </c>
      <c r="Y1233" s="35"/>
      <c r="Z1233" s="36">
        <f t="shared" si="419"/>
        <v>0</v>
      </c>
      <c r="AA1233" s="38"/>
      <c r="AB1233" s="36">
        <f t="shared" si="412"/>
        <v>0</v>
      </c>
      <c r="AC1233" s="35"/>
      <c r="AD1233" s="36">
        <f t="shared" si="420"/>
        <v>0</v>
      </c>
      <c r="AE1233" s="38"/>
      <c r="AF1233" s="36">
        <f t="shared" si="413"/>
        <v>0</v>
      </c>
      <c r="AG1233" s="35"/>
      <c r="AH1233" s="36">
        <f t="shared" si="421"/>
        <v>0</v>
      </c>
      <c r="AI1233" s="38"/>
      <c r="AJ1233" s="36">
        <f t="shared" si="414"/>
        <v>0</v>
      </c>
      <c r="AK1233" s="35"/>
      <c r="AL1233" s="36">
        <f t="shared" si="422"/>
        <v>0</v>
      </c>
      <c r="AM1233" s="38"/>
      <c r="AN1233" s="36">
        <f t="shared" si="415"/>
        <v>0</v>
      </c>
      <c r="AO1233" s="35"/>
      <c r="AP1233" s="38"/>
    </row>
    <row r="1234" spans="1:42" ht="15.75" customHeight="1" x14ac:dyDescent="0.25">
      <c r="A1234" s="37">
        <v>2016</v>
      </c>
      <c r="B1234" s="35">
        <v>172010</v>
      </c>
      <c r="C1234" s="34" t="s">
        <v>145</v>
      </c>
      <c r="D1234" s="34" t="s">
        <v>125</v>
      </c>
      <c r="E1234" s="35"/>
      <c r="F1234" s="36">
        <f t="shared" si="405"/>
        <v>0</v>
      </c>
      <c r="G1234" s="38"/>
      <c r="H1234" s="36">
        <f t="shared" si="406"/>
        <v>0</v>
      </c>
      <c r="I1234" s="35"/>
      <c r="J1234" s="36">
        <f t="shared" si="407"/>
        <v>0</v>
      </c>
      <c r="K1234" s="38"/>
      <c r="L1234" s="36">
        <f t="shared" si="408"/>
        <v>0</v>
      </c>
      <c r="M1234" s="35"/>
      <c r="N1234" s="36">
        <f t="shared" si="416"/>
        <v>0</v>
      </c>
      <c r="O1234" s="38"/>
      <c r="P1234" s="36">
        <f t="shared" si="409"/>
        <v>0</v>
      </c>
      <c r="Q1234" s="35"/>
      <c r="R1234" s="36">
        <f t="shared" si="417"/>
        <v>0</v>
      </c>
      <c r="S1234" s="38"/>
      <c r="T1234" s="36">
        <f t="shared" si="410"/>
        <v>0</v>
      </c>
      <c r="U1234" s="35"/>
      <c r="V1234" s="36">
        <f t="shared" si="418"/>
        <v>0</v>
      </c>
      <c r="W1234" s="38"/>
      <c r="X1234" s="36">
        <f t="shared" si="411"/>
        <v>0</v>
      </c>
      <c r="Y1234" s="35"/>
      <c r="Z1234" s="36">
        <f t="shared" si="419"/>
        <v>0</v>
      </c>
      <c r="AA1234" s="38"/>
      <c r="AB1234" s="36">
        <f t="shared" si="412"/>
        <v>0</v>
      </c>
      <c r="AC1234" s="35"/>
      <c r="AD1234" s="36">
        <f t="shared" si="420"/>
        <v>0</v>
      </c>
      <c r="AE1234" s="38"/>
      <c r="AF1234" s="36">
        <f t="shared" si="413"/>
        <v>0</v>
      </c>
      <c r="AG1234" s="35"/>
      <c r="AH1234" s="36">
        <f t="shared" si="421"/>
        <v>0</v>
      </c>
      <c r="AI1234" s="38"/>
      <c r="AJ1234" s="36">
        <f t="shared" si="414"/>
        <v>0</v>
      </c>
      <c r="AK1234" s="35"/>
      <c r="AL1234" s="36">
        <f t="shared" si="422"/>
        <v>0</v>
      </c>
      <c r="AM1234" s="38"/>
      <c r="AN1234" s="36">
        <f t="shared" si="415"/>
        <v>0</v>
      </c>
      <c r="AO1234" s="35"/>
      <c r="AP1234" s="38"/>
    </row>
    <row r="1235" spans="1:42" ht="15.75" customHeight="1" x14ac:dyDescent="0.25">
      <c r="A1235" s="37">
        <v>2016</v>
      </c>
      <c r="B1235" s="35">
        <v>172015</v>
      </c>
      <c r="C1235" s="34" t="s">
        <v>148</v>
      </c>
      <c r="D1235" s="34" t="s">
        <v>126</v>
      </c>
      <c r="E1235" s="35"/>
      <c r="F1235" s="36">
        <f t="shared" si="405"/>
        <v>0</v>
      </c>
      <c r="G1235" s="38"/>
      <c r="H1235" s="36">
        <f t="shared" si="406"/>
        <v>0</v>
      </c>
      <c r="I1235" s="35"/>
      <c r="J1235" s="36">
        <f t="shared" si="407"/>
        <v>0</v>
      </c>
      <c r="K1235" s="38"/>
      <c r="L1235" s="36">
        <f t="shared" si="408"/>
        <v>0</v>
      </c>
      <c r="M1235" s="35"/>
      <c r="N1235" s="36">
        <f t="shared" si="416"/>
        <v>0</v>
      </c>
      <c r="O1235" s="38"/>
      <c r="P1235" s="36">
        <f t="shared" si="409"/>
        <v>0</v>
      </c>
      <c r="Q1235" s="35"/>
      <c r="R1235" s="36">
        <f t="shared" si="417"/>
        <v>0</v>
      </c>
      <c r="S1235" s="38"/>
      <c r="T1235" s="36">
        <f t="shared" si="410"/>
        <v>0</v>
      </c>
      <c r="U1235" s="35"/>
      <c r="V1235" s="36">
        <f t="shared" si="418"/>
        <v>0</v>
      </c>
      <c r="W1235" s="38"/>
      <c r="X1235" s="36">
        <f t="shared" si="411"/>
        <v>0</v>
      </c>
      <c r="Y1235" s="35"/>
      <c r="Z1235" s="36">
        <f t="shared" si="419"/>
        <v>0</v>
      </c>
      <c r="AA1235" s="38"/>
      <c r="AB1235" s="36">
        <f t="shared" si="412"/>
        <v>0</v>
      </c>
      <c r="AC1235" s="35"/>
      <c r="AD1235" s="36">
        <f t="shared" si="420"/>
        <v>0</v>
      </c>
      <c r="AE1235" s="38"/>
      <c r="AF1235" s="36">
        <f t="shared" si="413"/>
        <v>0</v>
      </c>
      <c r="AG1235" s="35"/>
      <c r="AH1235" s="36">
        <f t="shared" si="421"/>
        <v>0</v>
      </c>
      <c r="AI1235" s="38"/>
      <c r="AJ1235" s="36">
        <f t="shared" si="414"/>
        <v>0</v>
      </c>
      <c r="AK1235" s="35"/>
      <c r="AL1235" s="36">
        <f t="shared" si="422"/>
        <v>0</v>
      </c>
      <c r="AM1235" s="38"/>
      <c r="AN1235" s="36">
        <f t="shared" si="415"/>
        <v>0</v>
      </c>
      <c r="AO1235" s="35"/>
      <c r="AP1235" s="38"/>
    </row>
    <row r="1236" spans="1:42" ht="15.75" customHeight="1" x14ac:dyDescent="0.25">
      <c r="A1236" s="37">
        <v>2016</v>
      </c>
      <c r="B1236" s="35">
        <v>172020</v>
      </c>
      <c r="C1236" s="34" t="s">
        <v>145</v>
      </c>
      <c r="D1236" s="34" t="s">
        <v>127</v>
      </c>
      <c r="E1236" s="35"/>
      <c r="F1236" s="36">
        <f t="shared" si="405"/>
        <v>0</v>
      </c>
      <c r="G1236" s="38"/>
      <c r="H1236" s="36">
        <f t="shared" si="406"/>
        <v>0</v>
      </c>
      <c r="I1236" s="35"/>
      <c r="J1236" s="36">
        <f t="shared" si="407"/>
        <v>0</v>
      </c>
      <c r="K1236" s="38"/>
      <c r="L1236" s="36">
        <f t="shared" si="408"/>
        <v>0</v>
      </c>
      <c r="M1236" s="35"/>
      <c r="N1236" s="36">
        <f t="shared" si="416"/>
        <v>0</v>
      </c>
      <c r="O1236" s="38"/>
      <c r="P1236" s="36">
        <f t="shared" si="409"/>
        <v>0</v>
      </c>
      <c r="Q1236" s="35"/>
      <c r="R1236" s="36">
        <f t="shared" si="417"/>
        <v>0</v>
      </c>
      <c r="S1236" s="38"/>
      <c r="T1236" s="36">
        <f t="shared" si="410"/>
        <v>0</v>
      </c>
      <c r="U1236" s="35"/>
      <c r="V1236" s="36">
        <f t="shared" si="418"/>
        <v>0</v>
      </c>
      <c r="W1236" s="38"/>
      <c r="X1236" s="36">
        <f t="shared" si="411"/>
        <v>0</v>
      </c>
      <c r="Y1236" s="35"/>
      <c r="Z1236" s="36">
        <f t="shared" si="419"/>
        <v>0</v>
      </c>
      <c r="AA1236" s="38"/>
      <c r="AB1236" s="36">
        <f t="shared" si="412"/>
        <v>0</v>
      </c>
      <c r="AC1236" s="35"/>
      <c r="AD1236" s="36">
        <f t="shared" si="420"/>
        <v>0</v>
      </c>
      <c r="AE1236" s="38"/>
      <c r="AF1236" s="36">
        <f t="shared" si="413"/>
        <v>0</v>
      </c>
      <c r="AG1236" s="35"/>
      <c r="AH1236" s="36">
        <f t="shared" si="421"/>
        <v>0</v>
      </c>
      <c r="AI1236" s="38"/>
      <c r="AJ1236" s="36">
        <f t="shared" si="414"/>
        <v>0</v>
      </c>
      <c r="AK1236" s="35"/>
      <c r="AL1236" s="36">
        <f t="shared" si="422"/>
        <v>0</v>
      </c>
      <c r="AM1236" s="38"/>
      <c r="AN1236" s="36">
        <f t="shared" si="415"/>
        <v>0</v>
      </c>
      <c r="AO1236" s="35"/>
      <c r="AP1236" s="38"/>
    </row>
    <row r="1237" spans="1:42" ht="15.75" customHeight="1" x14ac:dyDescent="0.25">
      <c r="A1237" s="37">
        <v>2016</v>
      </c>
      <c r="B1237" s="35">
        <v>172025</v>
      </c>
      <c r="C1237" s="34" t="s">
        <v>146</v>
      </c>
      <c r="D1237" s="34" t="s">
        <v>128</v>
      </c>
      <c r="E1237" s="35"/>
      <c r="F1237" s="36">
        <f t="shared" si="405"/>
        <v>0</v>
      </c>
      <c r="G1237" s="38"/>
      <c r="H1237" s="36">
        <f t="shared" si="406"/>
        <v>0</v>
      </c>
      <c r="I1237" s="35"/>
      <c r="J1237" s="36">
        <f t="shared" si="407"/>
        <v>0</v>
      </c>
      <c r="K1237" s="38"/>
      <c r="L1237" s="36">
        <f t="shared" si="408"/>
        <v>0</v>
      </c>
      <c r="M1237" s="35"/>
      <c r="N1237" s="36">
        <f t="shared" si="416"/>
        <v>0</v>
      </c>
      <c r="O1237" s="38"/>
      <c r="P1237" s="36">
        <f t="shared" si="409"/>
        <v>0</v>
      </c>
      <c r="Q1237" s="35"/>
      <c r="R1237" s="36">
        <f t="shared" si="417"/>
        <v>0</v>
      </c>
      <c r="S1237" s="38"/>
      <c r="T1237" s="36">
        <f t="shared" si="410"/>
        <v>0</v>
      </c>
      <c r="U1237" s="35"/>
      <c r="V1237" s="36">
        <f t="shared" si="418"/>
        <v>0</v>
      </c>
      <c r="W1237" s="38"/>
      <c r="X1237" s="36">
        <f t="shared" si="411"/>
        <v>0</v>
      </c>
      <c r="Y1237" s="35"/>
      <c r="Z1237" s="36">
        <f t="shared" si="419"/>
        <v>0</v>
      </c>
      <c r="AA1237" s="38"/>
      <c r="AB1237" s="36">
        <f t="shared" si="412"/>
        <v>0</v>
      </c>
      <c r="AC1237" s="35"/>
      <c r="AD1237" s="36">
        <f t="shared" si="420"/>
        <v>0</v>
      </c>
      <c r="AE1237" s="38"/>
      <c r="AF1237" s="36">
        <f t="shared" si="413"/>
        <v>0</v>
      </c>
      <c r="AG1237" s="35"/>
      <c r="AH1237" s="36">
        <f t="shared" si="421"/>
        <v>0</v>
      </c>
      <c r="AI1237" s="38"/>
      <c r="AJ1237" s="36">
        <f t="shared" si="414"/>
        <v>0</v>
      </c>
      <c r="AK1237" s="35"/>
      <c r="AL1237" s="36">
        <f t="shared" si="422"/>
        <v>0</v>
      </c>
      <c r="AM1237" s="38"/>
      <c r="AN1237" s="36">
        <f t="shared" si="415"/>
        <v>0</v>
      </c>
      <c r="AO1237" s="35"/>
      <c r="AP1237" s="38"/>
    </row>
    <row r="1238" spans="1:42" ht="15.75" customHeight="1" x14ac:dyDescent="0.25">
      <c r="A1238" s="37">
        <v>2016</v>
      </c>
      <c r="B1238" s="35">
        <v>172030</v>
      </c>
      <c r="C1238" s="34" t="s">
        <v>145</v>
      </c>
      <c r="D1238" s="34" t="s">
        <v>129</v>
      </c>
      <c r="E1238" s="35"/>
      <c r="F1238" s="36">
        <f t="shared" si="405"/>
        <v>0</v>
      </c>
      <c r="G1238" s="38"/>
      <c r="H1238" s="36">
        <f t="shared" si="406"/>
        <v>0</v>
      </c>
      <c r="I1238" s="35"/>
      <c r="J1238" s="36">
        <f t="shared" si="407"/>
        <v>0</v>
      </c>
      <c r="K1238" s="38"/>
      <c r="L1238" s="36">
        <f t="shared" si="408"/>
        <v>0</v>
      </c>
      <c r="M1238" s="35"/>
      <c r="N1238" s="36">
        <f t="shared" si="416"/>
        <v>0</v>
      </c>
      <c r="O1238" s="38"/>
      <c r="P1238" s="36">
        <f t="shared" si="409"/>
        <v>0</v>
      </c>
      <c r="Q1238" s="35"/>
      <c r="R1238" s="36">
        <f t="shared" si="417"/>
        <v>0</v>
      </c>
      <c r="S1238" s="38"/>
      <c r="T1238" s="36">
        <f t="shared" si="410"/>
        <v>0</v>
      </c>
      <c r="U1238" s="35"/>
      <c r="V1238" s="36">
        <f t="shared" si="418"/>
        <v>0</v>
      </c>
      <c r="W1238" s="38"/>
      <c r="X1238" s="36">
        <f t="shared" si="411"/>
        <v>0</v>
      </c>
      <c r="Y1238" s="35"/>
      <c r="Z1238" s="36">
        <f t="shared" si="419"/>
        <v>0</v>
      </c>
      <c r="AA1238" s="38"/>
      <c r="AB1238" s="36">
        <f t="shared" si="412"/>
        <v>0</v>
      </c>
      <c r="AC1238" s="35"/>
      <c r="AD1238" s="36">
        <f t="shared" si="420"/>
        <v>0</v>
      </c>
      <c r="AE1238" s="38"/>
      <c r="AF1238" s="36">
        <f t="shared" si="413"/>
        <v>0</v>
      </c>
      <c r="AG1238" s="35"/>
      <c r="AH1238" s="36">
        <f t="shared" si="421"/>
        <v>0</v>
      </c>
      <c r="AI1238" s="38"/>
      <c r="AJ1238" s="36">
        <f t="shared" si="414"/>
        <v>0</v>
      </c>
      <c r="AK1238" s="35"/>
      <c r="AL1238" s="36">
        <f t="shared" si="422"/>
        <v>0</v>
      </c>
      <c r="AM1238" s="38"/>
      <c r="AN1238" s="36">
        <f t="shared" si="415"/>
        <v>0</v>
      </c>
      <c r="AO1238" s="35"/>
      <c r="AP1238" s="38"/>
    </row>
    <row r="1239" spans="1:42" ht="15.75" customHeight="1" x14ac:dyDescent="0.25">
      <c r="A1239" s="37">
        <v>2016</v>
      </c>
      <c r="B1239" s="35">
        <v>172049</v>
      </c>
      <c r="C1239" s="34" t="s">
        <v>146</v>
      </c>
      <c r="D1239" s="34" t="s">
        <v>130</v>
      </c>
      <c r="E1239" s="35"/>
      <c r="F1239" s="36">
        <f t="shared" si="405"/>
        <v>0</v>
      </c>
      <c r="G1239" s="38"/>
      <c r="H1239" s="36">
        <f t="shared" si="406"/>
        <v>0</v>
      </c>
      <c r="I1239" s="35"/>
      <c r="J1239" s="36">
        <f t="shared" si="407"/>
        <v>0</v>
      </c>
      <c r="K1239" s="38"/>
      <c r="L1239" s="36">
        <f t="shared" si="408"/>
        <v>0</v>
      </c>
      <c r="M1239" s="35"/>
      <c r="N1239" s="36">
        <f t="shared" si="416"/>
        <v>0</v>
      </c>
      <c r="O1239" s="38"/>
      <c r="P1239" s="36">
        <f t="shared" si="409"/>
        <v>0</v>
      </c>
      <c r="Q1239" s="35"/>
      <c r="R1239" s="36">
        <f t="shared" si="417"/>
        <v>0</v>
      </c>
      <c r="S1239" s="38"/>
      <c r="T1239" s="36">
        <f t="shared" si="410"/>
        <v>0</v>
      </c>
      <c r="U1239" s="35"/>
      <c r="V1239" s="36">
        <f t="shared" si="418"/>
        <v>0</v>
      </c>
      <c r="W1239" s="38"/>
      <c r="X1239" s="36">
        <f t="shared" si="411"/>
        <v>0</v>
      </c>
      <c r="Y1239" s="35"/>
      <c r="Z1239" s="36">
        <f t="shared" si="419"/>
        <v>0</v>
      </c>
      <c r="AA1239" s="38"/>
      <c r="AB1239" s="36">
        <f t="shared" si="412"/>
        <v>0</v>
      </c>
      <c r="AC1239" s="35"/>
      <c r="AD1239" s="36">
        <f t="shared" si="420"/>
        <v>0</v>
      </c>
      <c r="AE1239" s="38"/>
      <c r="AF1239" s="36">
        <f t="shared" si="413"/>
        <v>0</v>
      </c>
      <c r="AG1239" s="35"/>
      <c r="AH1239" s="36">
        <f t="shared" si="421"/>
        <v>0</v>
      </c>
      <c r="AI1239" s="38"/>
      <c r="AJ1239" s="36">
        <f t="shared" si="414"/>
        <v>0</v>
      </c>
      <c r="AK1239" s="35"/>
      <c r="AL1239" s="36">
        <f t="shared" si="422"/>
        <v>0</v>
      </c>
      <c r="AM1239" s="38"/>
      <c r="AN1239" s="36">
        <f t="shared" si="415"/>
        <v>0</v>
      </c>
      <c r="AO1239" s="35"/>
      <c r="AP1239" s="38"/>
    </row>
    <row r="1240" spans="1:42" ht="15.75" customHeight="1" x14ac:dyDescent="0.25">
      <c r="A1240" s="37">
        <v>2016</v>
      </c>
      <c r="B1240" s="35">
        <v>172065</v>
      </c>
      <c r="C1240" s="34" t="s">
        <v>151</v>
      </c>
      <c r="D1240" s="34" t="s">
        <v>131</v>
      </c>
      <c r="E1240" s="35"/>
      <c r="F1240" s="36">
        <f t="shared" si="405"/>
        <v>0</v>
      </c>
      <c r="G1240" s="38"/>
      <c r="H1240" s="36">
        <f t="shared" si="406"/>
        <v>0</v>
      </c>
      <c r="I1240" s="35"/>
      <c r="J1240" s="36">
        <f t="shared" si="407"/>
        <v>0</v>
      </c>
      <c r="K1240" s="38"/>
      <c r="L1240" s="36">
        <f t="shared" si="408"/>
        <v>0</v>
      </c>
      <c r="M1240" s="35"/>
      <c r="N1240" s="36">
        <f t="shared" si="416"/>
        <v>0</v>
      </c>
      <c r="O1240" s="38"/>
      <c r="P1240" s="36">
        <f t="shared" si="409"/>
        <v>0</v>
      </c>
      <c r="Q1240" s="35"/>
      <c r="R1240" s="36">
        <f t="shared" si="417"/>
        <v>0</v>
      </c>
      <c r="S1240" s="38"/>
      <c r="T1240" s="36">
        <f t="shared" si="410"/>
        <v>0</v>
      </c>
      <c r="U1240" s="35"/>
      <c r="V1240" s="36">
        <f t="shared" si="418"/>
        <v>0</v>
      </c>
      <c r="W1240" s="38"/>
      <c r="X1240" s="36">
        <f t="shared" si="411"/>
        <v>0</v>
      </c>
      <c r="Y1240" s="35"/>
      <c r="Z1240" s="36">
        <f t="shared" si="419"/>
        <v>0</v>
      </c>
      <c r="AA1240" s="38"/>
      <c r="AB1240" s="36">
        <f t="shared" si="412"/>
        <v>0</v>
      </c>
      <c r="AC1240" s="35"/>
      <c r="AD1240" s="36">
        <f t="shared" si="420"/>
        <v>0</v>
      </c>
      <c r="AE1240" s="38"/>
      <c r="AF1240" s="36">
        <f t="shared" si="413"/>
        <v>0</v>
      </c>
      <c r="AG1240" s="35"/>
      <c r="AH1240" s="36">
        <f t="shared" si="421"/>
        <v>0</v>
      </c>
      <c r="AI1240" s="38"/>
      <c r="AJ1240" s="36">
        <f t="shared" si="414"/>
        <v>0</v>
      </c>
      <c r="AK1240" s="35"/>
      <c r="AL1240" s="36">
        <f t="shared" si="422"/>
        <v>0</v>
      </c>
      <c r="AM1240" s="38"/>
      <c r="AN1240" s="36">
        <f t="shared" si="415"/>
        <v>0</v>
      </c>
      <c r="AO1240" s="35"/>
      <c r="AP1240" s="38"/>
    </row>
    <row r="1241" spans="1:42" ht="15.75" customHeight="1" x14ac:dyDescent="0.25">
      <c r="A1241" s="37">
        <v>2016</v>
      </c>
      <c r="B1241" s="35">
        <v>172080</v>
      </c>
      <c r="C1241" s="34" t="s">
        <v>145</v>
      </c>
      <c r="D1241" s="34" t="s">
        <v>132</v>
      </c>
      <c r="E1241" s="35"/>
      <c r="F1241" s="36">
        <f t="shared" si="405"/>
        <v>0</v>
      </c>
      <c r="G1241" s="38"/>
      <c r="H1241" s="36">
        <f t="shared" si="406"/>
        <v>0</v>
      </c>
      <c r="I1241" s="35"/>
      <c r="J1241" s="36">
        <f t="shared" si="407"/>
        <v>0</v>
      </c>
      <c r="K1241" s="38"/>
      <c r="L1241" s="36">
        <f t="shared" si="408"/>
        <v>0</v>
      </c>
      <c r="M1241" s="35"/>
      <c r="N1241" s="36">
        <f t="shared" si="416"/>
        <v>0</v>
      </c>
      <c r="O1241" s="38"/>
      <c r="P1241" s="36">
        <f t="shared" si="409"/>
        <v>0</v>
      </c>
      <c r="Q1241" s="35"/>
      <c r="R1241" s="36">
        <f t="shared" si="417"/>
        <v>0</v>
      </c>
      <c r="S1241" s="38"/>
      <c r="T1241" s="36">
        <f t="shared" si="410"/>
        <v>0</v>
      </c>
      <c r="U1241" s="35"/>
      <c r="V1241" s="36">
        <f t="shared" si="418"/>
        <v>0</v>
      </c>
      <c r="W1241" s="38"/>
      <c r="X1241" s="36">
        <f t="shared" si="411"/>
        <v>0</v>
      </c>
      <c r="Y1241" s="35"/>
      <c r="Z1241" s="36">
        <f t="shared" si="419"/>
        <v>0</v>
      </c>
      <c r="AA1241" s="38"/>
      <c r="AB1241" s="36">
        <f t="shared" si="412"/>
        <v>0</v>
      </c>
      <c r="AC1241" s="35"/>
      <c r="AD1241" s="36">
        <f t="shared" si="420"/>
        <v>0</v>
      </c>
      <c r="AE1241" s="38"/>
      <c r="AF1241" s="36">
        <f t="shared" si="413"/>
        <v>0</v>
      </c>
      <c r="AG1241" s="35"/>
      <c r="AH1241" s="36">
        <f t="shared" si="421"/>
        <v>0</v>
      </c>
      <c r="AI1241" s="38"/>
      <c r="AJ1241" s="36">
        <f t="shared" si="414"/>
        <v>0</v>
      </c>
      <c r="AK1241" s="35"/>
      <c r="AL1241" s="36">
        <f t="shared" si="422"/>
        <v>0</v>
      </c>
      <c r="AM1241" s="38"/>
      <c r="AN1241" s="36">
        <f t="shared" si="415"/>
        <v>0</v>
      </c>
      <c r="AO1241" s="35"/>
      <c r="AP1241" s="38"/>
    </row>
    <row r="1242" spans="1:42" ht="15.75" customHeight="1" x14ac:dyDescent="0.25">
      <c r="A1242" s="37">
        <v>2016</v>
      </c>
      <c r="B1242" s="35">
        <v>172085</v>
      </c>
      <c r="C1242" s="34" t="s">
        <v>146</v>
      </c>
      <c r="D1242" s="34" t="s">
        <v>133</v>
      </c>
      <c r="E1242" s="35"/>
      <c r="F1242" s="36">
        <f t="shared" si="405"/>
        <v>0</v>
      </c>
      <c r="G1242" s="38"/>
      <c r="H1242" s="36">
        <f t="shared" si="406"/>
        <v>0</v>
      </c>
      <c r="I1242" s="35"/>
      <c r="J1242" s="36">
        <f t="shared" si="407"/>
        <v>0</v>
      </c>
      <c r="K1242" s="38"/>
      <c r="L1242" s="36">
        <f t="shared" si="408"/>
        <v>0</v>
      </c>
      <c r="M1242" s="35"/>
      <c r="N1242" s="36">
        <f t="shared" si="416"/>
        <v>0</v>
      </c>
      <c r="O1242" s="38"/>
      <c r="P1242" s="36">
        <f t="shared" si="409"/>
        <v>0</v>
      </c>
      <c r="Q1242" s="35"/>
      <c r="R1242" s="36">
        <f t="shared" si="417"/>
        <v>0</v>
      </c>
      <c r="S1242" s="38"/>
      <c r="T1242" s="36">
        <f t="shared" si="410"/>
        <v>0</v>
      </c>
      <c r="U1242" s="35"/>
      <c r="V1242" s="36">
        <f t="shared" si="418"/>
        <v>0</v>
      </c>
      <c r="W1242" s="38"/>
      <c r="X1242" s="36">
        <f t="shared" si="411"/>
        <v>0</v>
      </c>
      <c r="Y1242" s="35"/>
      <c r="Z1242" s="36">
        <f t="shared" si="419"/>
        <v>0</v>
      </c>
      <c r="AA1242" s="38"/>
      <c r="AB1242" s="36">
        <f t="shared" si="412"/>
        <v>0</v>
      </c>
      <c r="AC1242" s="35"/>
      <c r="AD1242" s="36">
        <f t="shared" si="420"/>
        <v>0</v>
      </c>
      <c r="AE1242" s="38"/>
      <c r="AF1242" s="36">
        <f t="shared" si="413"/>
        <v>0</v>
      </c>
      <c r="AG1242" s="35"/>
      <c r="AH1242" s="36">
        <f t="shared" si="421"/>
        <v>0</v>
      </c>
      <c r="AI1242" s="38"/>
      <c r="AJ1242" s="36">
        <f t="shared" si="414"/>
        <v>0</v>
      </c>
      <c r="AK1242" s="35"/>
      <c r="AL1242" s="36">
        <f t="shared" si="422"/>
        <v>0</v>
      </c>
      <c r="AM1242" s="38"/>
      <c r="AN1242" s="36">
        <f t="shared" si="415"/>
        <v>0</v>
      </c>
      <c r="AO1242" s="35"/>
      <c r="AP1242" s="38"/>
    </row>
    <row r="1243" spans="1:42" ht="15.75" customHeight="1" x14ac:dyDescent="0.25">
      <c r="A1243" s="37">
        <v>2016</v>
      </c>
      <c r="B1243" s="35">
        <v>170825</v>
      </c>
      <c r="C1243" s="34" t="s">
        <v>148</v>
      </c>
      <c r="D1243" s="34" t="s">
        <v>134</v>
      </c>
      <c r="E1243" s="35"/>
      <c r="F1243" s="36">
        <f t="shared" si="405"/>
        <v>0</v>
      </c>
      <c r="G1243" s="38"/>
      <c r="H1243" s="36">
        <f t="shared" si="406"/>
        <v>0</v>
      </c>
      <c r="I1243" s="35"/>
      <c r="J1243" s="36">
        <f t="shared" si="407"/>
        <v>0</v>
      </c>
      <c r="K1243" s="38"/>
      <c r="L1243" s="36">
        <f t="shared" si="408"/>
        <v>0</v>
      </c>
      <c r="M1243" s="35"/>
      <c r="N1243" s="36">
        <f t="shared" si="416"/>
        <v>0</v>
      </c>
      <c r="O1243" s="38"/>
      <c r="P1243" s="36">
        <f t="shared" si="409"/>
        <v>0</v>
      </c>
      <c r="Q1243" s="35"/>
      <c r="R1243" s="36">
        <f t="shared" si="417"/>
        <v>0</v>
      </c>
      <c r="S1243" s="38"/>
      <c r="T1243" s="36">
        <f t="shared" si="410"/>
        <v>0</v>
      </c>
      <c r="U1243" s="35"/>
      <c r="V1243" s="36">
        <f t="shared" si="418"/>
        <v>0</v>
      </c>
      <c r="W1243" s="38"/>
      <c r="X1243" s="36">
        <f t="shared" si="411"/>
        <v>0</v>
      </c>
      <c r="Y1243" s="35"/>
      <c r="Z1243" s="36">
        <f t="shared" si="419"/>
        <v>0</v>
      </c>
      <c r="AA1243" s="38"/>
      <c r="AB1243" s="36">
        <f t="shared" si="412"/>
        <v>0</v>
      </c>
      <c r="AC1243" s="35"/>
      <c r="AD1243" s="36">
        <f t="shared" si="420"/>
        <v>0</v>
      </c>
      <c r="AE1243" s="38"/>
      <c r="AF1243" s="36">
        <f t="shared" si="413"/>
        <v>0</v>
      </c>
      <c r="AG1243" s="35"/>
      <c r="AH1243" s="36">
        <f t="shared" si="421"/>
        <v>0</v>
      </c>
      <c r="AI1243" s="38"/>
      <c r="AJ1243" s="36">
        <f t="shared" si="414"/>
        <v>0</v>
      </c>
      <c r="AK1243" s="35"/>
      <c r="AL1243" s="36">
        <f t="shared" si="422"/>
        <v>0</v>
      </c>
      <c r="AM1243" s="38"/>
      <c r="AN1243" s="36">
        <f t="shared" si="415"/>
        <v>0</v>
      </c>
      <c r="AO1243" s="35"/>
      <c r="AP1243" s="38"/>
    </row>
    <row r="1244" spans="1:42" ht="15.75" customHeight="1" x14ac:dyDescent="0.25">
      <c r="A1244" s="37">
        <v>2016</v>
      </c>
      <c r="B1244" s="35">
        <v>172090</v>
      </c>
      <c r="C1244" s="34" t="s">
        <v>147</v>
      </c>
      <c r="D1244" s="34" t="s">
        <v>135</v>
      </c>
      <c r="E1244" s="35"/>
      <c r="F1244" s="36">
        <f t="shared" si="405"/>
        <v>0</v>
      </c>
      <c r="G1244" s="38"/>
      <c r="H1244" s="36">
        <f t="shared" si="406"/>
        <v>0</v>
      </c>
      <c r="I1244" s="35"/>
      <c r="J1244" s="36">
        <f t="shared" si="407"/>
        <v>0</v>
      </c>
      <c r="K1244" s="38"/>
      <c r="L1244" s="36">
        <f t="shared" si="408"/>
        <v>0</v>
      </c>
      <c r="M1244" s="35"/>
      <c r="N1244" s="36">
        <f t="shared" si="416"/>
        <v>0</v>
      </c>
      <c r="O1244" s="38"/>
      <c r="P1244" s="36">
        <f t="shared" si="409"/>
        <v>0</v>
      </c>
      <c r="Q1244" s="35"/>
      <c r="R1244" s="36">
        <f t="shared" si="417"/>
        <v>0</v>
      </c>
      <c r="S1244" s="38"/>
      <c r="T1244" s="36">
        <f t="shared" si="410"/>
        <v>0</v>
      </c>
      <c r="U1244" s="35"/>
      <c r="V1244" s="36">
        <f t="shared" si="418"/>
        <v>0</v>
      </c>
      <c r="W1244" s="38"/>
      <c r="X1244" s="36">
        <f t="shared" si="411"/>
        <v>0</v>
      </c>
      <c r="Y1244" s="35"/>
      <c r="Z1244" s="36">
        <f t="shared" si="419"/>
        <v>0</v>
      </c>
      <c r="AA1244" s="38"/>
      <c r="AB1244" s="36">
        <f t="shared" si="412"/>
        <v>0</v>
      </c>
      <c r="AC1244" s="35"/>
      <c r="AD1244" s="36">
        <f t="shared" si="420"/>
        <v>0</v>
      </c>
      <c r="AE1244" s="38"/>
      <c r="AF1244" s="36">
        <f t="shared" si="413"/>
        <v>0</v>
      </c>
      <c r="AG1244" s="35"/>
      <c r="AH1244" s="36">
        <f t="shared" si="421"/>
        <v>0</v>
      </c>
      <c r="AI1244" s="38"/>
      <c r="AJ1244" s="36">
        <f t="shared" si="414"/>
        <v>0</v>
      </c>
      <c r="AK1244" s="35"/>
      <c r="AL1244" s="36">
        <f t="shared" si="422"/>
        <v>0</v>
      </c>
      <c r="AM1244" s="38"/>
      <c r="AN1244" s="36">
        <f t="shared" si="415"/>
        <v>0</v>
      </c>
      <c r="AO1244" s="35"/>
      <c r="AP1244" s="38"/>
    </row>
    <row r="1245" spans="1:42" ht="15.75" customHeight="1" x14ac:dyDescent="0.25">
      <c r="A1245" s="37">
        <v>2016</v>
      </c>
      <c r="B1245" s="35">
        <v>172093</v>
      </c>
      <c r="C1245" s="34" t="s">
        <v>147</v>
      </c>
      <c r="D1245" s="34" t="s">
        <v>136</v>
      </c>
      <c r="E1245" s="35"/>
      <c r="F1245" s="36">
        <f t="shared" si="405"/>
        <v>0</v>
      </c>
      <c r="G1245" s="38"/>
      <c r="H1245" s="36">
        <f t="shared" si="406"/>
        <v>0</v>
      </c>
      <c r="I1245" s="35"/>
      <c r="J1245" s="36">
        <f t="shared" si="407"/>
        <v>0</v>
      </c>
      <c r="K1245" s="38"/>
      <c r="L1245" s="36">
        <f t="shared" si="408"/>
        <v>0</v>
      </c>
      <c r="M1245" s="35"/>
      <c r="N1245" s="36">
        <f t="shared" si="416"/>
        <v>0</v>
      </c>
      <c r="O1245" s="38"/>
      <c r="P1245" s="36">
        <f t="shared" si="409"/>
        <v>0</v>
      </c>
      <c r="Q1245" s="35"/>
      <c r="R1245" s="36">
        <f t="shared" si="417"/>
        <v>0</v>
      </c>
      <c r="S1245" s="38"/>
      <c r="T1245" s="36">
        <f t="shared" si="410"/>
        <v>0</v>
      </c>
      <c r="U1245" s="35"/>
      <c r="V1245" s="36">
        <f t="shared" si="418"/>
        <v>0</v>
      </c>
      <c r="W1245" s="38"/>
      <c r="X1245" s="36">
        <f t="shared" si="411"/>
        <v>0</v>
      </c>
      <c r="Y1245" s="35"/>
      <c r="Z1245" s="36">
        <f t="shared" si="419"/>
        <v>0</v>
      </c>
      <c r="AA1245" s="38"/>
      <c r="AB1245" s="36">
        <f t="shared" si="412"/>
        <v>0</v>
      </c>
      <c r="AC1245" s="35"/>
      <c r="AD1245" s="36">
        <f t="shared" si="420"/>
        <v>0</v>
      </c>
      <c r="AE1245" s="38"/>
      <c r="AF1245" s="36">
        <f t="shared" si="413"/>
        <v>0</v>
      </c>
      <c r="AG1245" s="35"/>
      <c r="AH1245" s="36">
        <f t="shared" si="421"/>
        <v>0</v>
      </c>
      <c r="AI1245" s="38"/>
      <c r="AJ1245" s="36">
        <f t="shared" si="414"/>
        <v>0</v>
      </c>
      <c r="AK1245" s="35"/>
      <c r="AL1245" s="36">
        <f t="shared" si="422"/>
        <v>0</v>
      </c>
      <c r="AM1245" s="38"/>
      <c r="AN1245" s="36">
        <f t="shared" si="415"/>
        <v>0</v>
      </c>
      <c r="AO1245" s="35"/>
      <c r="AP1245" s="38"/>
    </row>
    <row r="1246" spans="1:42" ht="15.75" customHeight="1" x14ac:dyDescent="0.25">
      <c r="A1246" s="37">
        <v>2016</v>
      </c>
      <c r="B1246" s="35">
        <v>172097</v>
      </c>
      <c r="C1246" s="34" t="s">
        <v>146</v>
      </c>
      <c r="D1246" s="34" t="s">
        <v>137</v>
      </c>
      <c r="E1246" s="35"/>
      <c r="F1246" s="36">
        <f t="shared" si="405"/>
        <v>0</v>
      </c>
      <c r="G1246" s="38"/>
      <c r="H1246" s="36">
        <f t="shared" si="406"/>
        <v>0</v>
      </c>
      <c r="I1246" s="35"/>
      <c r="J1246" s="36">
        <f t="shared" si="407"/>
        <v>0</v>
      </c>
      <c r="K1246" s="38"/>
      <c r="L1246" s="36">
        <f t="shared" si="408"/>
        <v>0</v>
      </c>
      <c r="M1246" s="35"/>
      <c r="N1246" s="36">
        <f t="shared" si="416"/>
        <v>0</v>
      </c>
      <c r="O1246" s="38"/>
      <c r="P1246" s="36">
        <f t="shared" si="409"/>
        <v>0</v>
      </c>
      <c r="Q1246" s="35"/>
      <c r="R1246" s="36">
        <f t="shared" si="417"/>
        <v>0</v>
      </c>
      <c r="S1246" s="38"/>
      <c r="T1246" s="36">
        <f t="shared" si="410"/>
        <v>0</v>
      </c>
      <c r="U1246" s="35"/>
      <c r="V1246" s="36">
        <f t="shared" si="418"/>
        <v>0</v>
      </c>
      <c r="W1246" s="38"/>
      <c r="X1246" s="36">
        <f t="shared" si="411"/>
        <v>0</v>
      </c>
      <c r="Y1246" s="35"/>
      <c r="Z1246" s="36">
        <f t="shared" si="419"/>
        <v>0</v>
      </c>
      <c r="AA1246" s="38"/>
      <c r="AB1246" s="36">
        <f t="shared" si="412"/>
        <v>0</v>
      </c>
      <c r="AC1246" s="35"/>
      <c r="AD1246" s="36">
        <f t="shared" si="420"/>
        <v>0</v>
      </c>
      <c r="AE1246" s="38"/>
      <c r="AF1246" s="36">
        <f t="shared" si="413"/>
        <v>0</v>
      </c>
      <c r="AG1246" s="35"/>
      <c r="AH1246" s="36">
        <f t="shared" si="421"/>
        <v>0</v>
      </c>
      <c r="AI1246" s="38"/>
      <c r="AJ1246" s="36">
        <f t="shared" si="414"/>
        <v>0</v>
      </c>
      <c r="AK1246" s="35"/>
      <c r="AL1246" s="36">
        <f t="shared" si="422"/>
        <v>0</v>
      </c>
      <c r="AM1246" s="38"/>
      <c r="AN1246" s="36">
        <f t="shared" si="415"/>
        <v>0</v>
      </c>
      <c r="AO1246" s="35"/>
      <c r="AP1246" s="38"/>
    </row>
    <row r="1247" spans="1:42" ht="15.75" customHeight="1" x14ac:dyDescent="0.25">
      <c r="A1247" s="37">
        <v>2016</v>
      </c>
      <c r="B1247" s="35">
        <v>172110</v>
      </c>
      <c r="C1247" s="34" t="s">
        <v>148</v>
      </c>
      <c r="D1247" s="34" t="s">
        <v>138</v>
      </c>
      <c r="E1247" s="35"/>
      <c r="F1247" s="36">
        <f t="shared" si="405"/>
        <v>0</v>
      </c>
      <c r="G1247" s="38"/>
      <c r="H1247" s="36">
        <f t="shared" si="406"/>
        <v>0</v>
      </c>
      <c r="I1247" s="35"/>
      <c r="J1247" s="36">
        <f t="shared" si="407"/>
        <v>0</v>
      </c>
      <c r="K1247" s="38"/>
      <c r="L1247" s="36">
        <f t="shared" si="408"/>
        <v>0</v>
      </c>
      <c r="M1247" s="35"/>
      <c r="N1247" s="36">
        <f t="shared" si="416"/>
        <v>0</v>
      </c>
      <c r="O1247" s="38"/>
      <c r="P1247" s="36">
        <f t="shared" si="409"/>
        <v>0</v>
      </c>
      <c r="Q1247" s="35"/>
      <c r="R1247" s="36">
        <f t="shared" si="417"/>
        <v>0</v>
      </c>
      <c r="S1247" s="38"/>
      <c r="T1247" s="36">
        <f t="shared" si="410"/>
        <v>0</v>
      </c>
      <c r="U1247" s="35"/>
      <c r="V1247" s="36">
        <f t="shared" si="418"/>
        <v>0</v>
      </c>
      <c r="W1247" s="38"/>
      <c r="X1247" s="36">
        <f t="shared" si="411"/>
        <v>0</v>
      </c>
      <c r="Y1247" s="35"/>
      <c r="Z1247" s="36">
        <f t="shared" si="419"/>
        <v>0</v>
      </c>
      <c r="AA1247" s="38"/>
      <c r="AB1247" s="36">
        <f t="shared" si="412"/>
        <v>0</v>
      </c>
      <c r="AC1247" s="35"/>
      <c r="AD1247" s="36">
        <f t="shared" si="420"/>
        <v>0</v>
      </c>
      <c r="AE1247" s="38"/>
      <c r="AF1247" s="36">
        <f t="shared" si="413"/>
        <v>0</v>
      </c>
      <c r="AG1247" s="35"/>
      <c r="AH1247" s="36">
        <f t="shared" si="421"/>
        <v>0</v>
      </c>
      <c r="AI1247" s="38"/>
      <c r="AJ1247" s="36">
        <f t="shared" si="414"/>
        <v>0</v>
      </c>
      <c r="AK1247" s="35"/>
      <c r="AL1247" s="36">
        <f t="shared" si="422"/>
        <v>0</v>
      </c>
      <c r="AM1247" s="38"/>
      <c r="AN1247" s="36">
        <f t="shared" si="415"/>
        <v>0</v>
      </c>
      <c r="AO1247" s="35"/>
      <c r="AP1247" s="38"/>
    </row>
    <row r="1248" spans="1:42" ht="15.75" customHeight="1" x14ac:dyDescent="0.25">
      <c r="A1248" s="37">
        <v>2016</v>
      </c>
      <c r="B1248" s="35">
        <v>172120</v>
      </c>
      <c r="C1248" s="34" t="s">
        <v>145</v>
      </c>
      <c r="D1248" s="34" t="s">
        <v>139</v>
      </c>
      <c r="E1248" s="35"/>
      <c r="F1248" s="36">
        <f t="shared" si="405"/>
        <v>0</v>
      </c>
      <c r="G1248" s="38"/>
      <c r="H1248" s="36">
        <f t="shared" si="406"/>
        <v>0</v>
      </c>
      <c r="I1248" s="35"/>
      <c r="J1248" s="36">
        <f t="shared" si="407"/>
        <v>0</v>
      </c>
      <c r="K1248" s="38"/>
      <c r="L1248" s="36">
        <f t="shared" si="408"/>
        <v>0</v>
      </c>
      <c r="M1248" s="35"/>
      <c r="N1248" s="36">
        <f t="shared" si="416"/>
        <v>0</v>
      </c>
      <c r="O1248" s="38"/>
      <c r="P1248" s="36">
        <f t="shared" si="409"/>
        <v>0</v>
      </c>
      <c r="Q1248" s="35"/>
      <c r="R1248" s="36">
        <f t="shared" si="417"/>
        <v>0</v>
      </c>
      <c r="S1248" s="38"/>
      <c r="T1248" s="36">
        <f t="shared" si="410"/>
        <v>0</v>
      </c>
      <c r="U1248" s="35"/>
      <c r="V1248" s="36">
        <f t="shared" si="418"/>
        <v>0</v>
      </c>
      <c r="W1248" s="38"/>
      <c r="X1248" s="36">
        <f t="shared" si="411"/>
        <v>0</v>
      </c>
      <c r="Y1248" s="35"/>
      <c r="Z1248" s="36">
        <f t="shared" si="419"/>
        <v>0</v>
      </c>
      <c r="AA1248" s="38"/>
      <c r="AB1248" s="36">
        <f t="shared" si="412"/>
        <v>0</v>
      </c>
      <c r="AC1248" s="35"/>
      <c r="AD1248" s="36">
        <f t="shared" si="420"/>
        <v>0</v>
      </c>
      <c r="AE1248" s="38"/>
      <c r="AF1248" s="36">
        <f t="shared" si="413"/>
        <v>0</v>
      </c>
      <c r="AG1248" s="35"/>
      <c r="AH1248" s="36">
        <f t="shared" si="421"/>
        <v>0</v>
      </c>
      <c r="AI1248" s="38"/>
      <c r="AJ1248" s="36">
        <f t="shared" si="414"/>
        <v>0</v>
      </c>
      <c r="AK1248" s="35"/>
      <c r="AL1248" s="36">
        <f t="shared" si="422"/>
        <v>0</v>
      </c>
      <c r="AM1248" s="38"/>
      <c r="AN1248" s="36">
        <f t="shared" si="415"/>
        <v>0</v>
      </c>
      <c r="AO1248" s="35"/>
      <c r="AP1248" s="38"/>
    </row>
    <row r="1249" spans="1:42" ht="15.75" customHeight="1" x14ac:dyDescent="0.25">
      <c r="A1249" s="37">
        <v>2016</v>
      </c>
      <c r="B1249" s="35">
        <v>172125</v>
      </c>
      <c r="C1249" s="34" t="s">
        <v>150</v>
      </c>
      <c r="D1249" s="34" t="s">
        <v>140</v>
      </c>
      <c r="E1249" s="35"/>
      <c r="F1249" s="36">
        <f t="shared" si="405"/>
        <v>0</v>
      </c>
      <c r="G1249" s="38"/>
      <c r="H1249" s="36">
        <f t="shared" si="406"/>
        <v>0</v>
      </c>
      <c r="I1249" s="35"/>
      <c r="J1249" s="36">
        <f t="shared" si="407"/>
        <v>0</v>
      </c>
      <c r="K1249" s="38"/>
      <c r="L1249" s="36">
        <f t="shared" si="408"/>
        <v>0</v>
      </c>
      <c r="M1249" s="35"/>
      <c r="N1249" s="36">
        <f t="shared" si="416"/>
        <v>0</v>
      </c>
      <c r="O1249" s="38"/>
      <c r="P1249" s="36">
        <f t="shared" si="409"/>
        <v>0</v>
      </c>
      <c r="Q1249" s="35"/>
      <c r="R1249" s="36">
        <f t="shared" si="417"/>
        <v>0</v>
      </c>
      <c r="S1249" s="38"/>
      <c r="T1249" s="36">
        <f t="shared" si="410"/>
        <v>0</v>
      </c>
      <c r="U1249" s="35"/>
      <c r="V1249" s="36">
        <f t="shared" si="418"/>
        <v>0</v>
      </c>
      <c r="W1249" s="38"/>
      <c r="X1249" s="36">
        <f t="shared" si="411"/>
        <v>0</v>
      </c>
      <c r="Y1249" s="35"/>
      <c r="Z1249" s="36">
        <f t="shared" si="419"/>
        <v>0</v>
      </c>
      <c r="AA1249" s="38"/>
      <c r="AB1249" s="36">
        <f t="shared" si="412"/>
        <v>0</v>
      </c>
      <c r="AC1249" s="35"/>
      <c r="AD1249" s="36">
        <f t="shared" si="420"/>
        <v>0</v>
      </c>
      <c r="AE1249" s="38"/>
      <c r="AF1249" s="36">
        <f t="shared" si="413"/>
        <v>0</v>
      </c>
      <c r="AG1249" s="35"/>
      <c r="AH1249" s="36">
        <f t="shared" si="421"/>
        <v>0</v>
      </c>
      <c r="AI1249" s="38"/>
      <c r="AJ1249" s="36">
        <f t="shared" si="414"/>
        <v>0</v>
      </c>
      <c r="AK1249" s="35"/>
      <c r="AL1249" s="36">
        <f t="shared" si="422"/>
        <v>0</v>
      </c>
      <c r="AM1249" s="38"/>
      <c r="AN1249" s="36">
        <f t="shared" si="415"/>
        <v>0</v>
      </c>
      <c r="AO1249" s="35"/>
      <c r="AP1249" s="38"/>
    </row>
    <row r="1250" spans="1:42" ht="15.75" customHeight="1" x14ac:dyDescent="0.25">
      <c r="A1250" s="37">
        <v>2016</v>
      </c>
      <c r="B1250" s="35">
        <v>172130</v>
      </c>
      <c r="C1250" s="34" t="s">
        <v>150</v>
      </c>
      <c r="D1250" s="34" t="s">
        <v>141</v>
      </c>
      <c r="E1250" s="35"/>
      <c r="F1250" s="36">
        <f t="shared" si="405"/>
        <v>0</v>
      </c>
      <c r="G1250" s="38"/>
      <c r="H1250" s="36">
        <f t="shared" si="406"/>
        <v>0</v>
      </c>
      <c r="I1250" s="35"/>
      <c r="J1250" s="36">
        <f t="shared" si="407"/>
        <v>0</v>
      </c>
      <c r="K1250" s="38"/>
      <c r="L1250" s="36">
        <f t="shared" si="408"/>
        <v>0</v>
      </c>
      <c r="M1250" s="35"/>
      <c r="N1250" s="36">
        <f t="shared" si="416"/>
        <v>0</v>
      </c>
      <c r="O1250" s="38"/>
      <c r="P1250" s="36">
        <f t="shared" si="409"/>
        <v>0</v>
      </c>
      <c r="Q1250" s="35"/>
      <c r="R1250" s="36">
        <f t="shared" si="417"/>
        <v>0</v>
      </c>
      <c r="S1250" s="38"/>
      <c r="T1250" s="36">
        <f t="shared" si="410"/>
        <v>0</v>
      </c>
      <c r="U1250" s="35"/>
      <c r="V1250" s="36">
        <f t="shared" si="418"/>
        <v>0</v>
      </c>
      <c r="W1250" s="38"/>
      <c r="X1250" s="36">
        <f t="shared" si="411"/>
        <v>0</v>
      </c>
      <c r="Y1250" s="35"/>
      <c r="Z1250" s="36">
        <f t="shared" si="419"/>
        <v>0</v>
      </c>
      <c r="AA1250" s="38"/>
      <c r="AB1250" s="36">
        <f t="shared" si="412"/>
        <v>0</v>
      </c>
      <c r="AC1250" s="35"/>
      <c r="AD1250" s="36">
        <f t="shared" si="420"/>
        <v>0</v>
      </c>
      <c r="AE1250" s="38"/>
      <c r="AF1250" s="36">
        <f t="shared" si="413"/>
        <v>0</v>
      </c>
      <c r="AG1250" s="35"/>
      <c r="AH1250" s="36">
        <f t="shared" si="421"/>
        <v>0</v>
      </c>
      <c r="AI1250" s="38"/>
      <c r="AJ1250" s="36">
        <f t="shared" si="414"/>
        <v>0</v>
      </c>
      <c r="AK1250" s="35"/>
      <c r="AL1250" s="36">
        <f t="shared" si="422"/>
        <v>0</v>
      </c>
      <c r="AM1250" s="38"/>
      <c r="AN1250" s="36">
        <f t="shared" si="415"/>
        <v>0</v>
      </c>
      <c r="AO1250" s="35"/>
      <c r="AP1250" s="38"/>
    </row>
    <row r="1251" spans="1:42" ht="15.75" customHeight="1" x14ac:dyDescent="0.25">
      <c r="A1251" s="37">
        <v>2016</v>
      </c>
      <c r="B1251" s="35">
        <v>172208</v>
      </c>
      <c r="C1251" s="34" t="s">
        <v>149</v>
      </c>
      <c r="D1251" s="34" t="s">
        <v>142</v>
      </c>
      <c r="E1251" s="35"/>
      <c r="F1251" s="36">
        <f t="shared" si="405"/>
        <v>0</v>
      </c>
      <c r="G1251" s="38"/>
      <c r="H1251" s="36">
        <f t="shared" si="406"/>
        <v>0</v>
      </c>
      <c r="I1251" s="35"/>
      <c r="J1251" s="36">
        <f t="shared" si="407"/>
        <v>0</v>
      </c>
      <c r="K1251" s="38"/>
      <c r="L1251" s="36">
        <f t="shared" si="408"/>
        <v>0</v>
      </c>
      <c r="M1251" s="35"/>
      <c r="N1251" s="36">
        <f t="shared" si="416"/>
        <v>0</v>
      </c>
      <c r="O1251" s="38"/>
      <c r="P1251" s="36">
        <f t="shared" si="409"/>
        <v>0</v>
      </c>
      <c r="Q1251" s="35"/>
      <c r="R1251" s="36">
        <f t="shared" si="417"/>
        <v>0</v>
      </c>
      <c r="S1251" s="38"/>
      <c r="T1251" s="36">
        <f t="shared" si="410"/>
        <v>0</v>
      </c>
      <c r="U1251" s="35"/>
      <c r="V1251" s="36">
        <f t="shared" si="418"/>
        <v>0</v>
      </c>
      <c r="W1251" s="38"/>
      <c r="X1251" s="36">
        <f t="shared" si="411"/>
        <v>0</v>
      </c>
      <c r="Y1251" s="35"/>
      <c r="Z1251" s="36">
        <f t="shared" si="419"/>
        <v>0</v>
      </c>
      <c r="AA1251" s="38"/>
      <c r="AB1251" s="36">
        <f t="shared" si="412"/>
        <v>0</v>
      </c>
      <c r="AC1251" s="35"/>
      <c r="AD1251" s="36">
        <f t="shared" si="420"/>
        <v>0</v>
      </c>
      <c r="AE1251" s="38"/>
      <c r="AF1251" s="36">
        <f t="shared" si="413"/>
        <v>0</v>
      </c>
      <c r="AG1251" s="35"/>
      <c r="AH1251" s="36">
        <f t="shared" si="421"/>
        <v>0</v>
      </c>
      <c r="AI1251" s="38"/>
      <c r="AJ1251" s="36">
        <f t="shared" si="414"/>
        <v>0</v>
      </c>
      <c r="AK1251" s="35"/>
      <c r="AL1251" s="36">
        <f t="shared" si="422"/>
        <v>0</v>
      </c>
      <c r="AM1251" s="38"/>
      <c r="AN1251" s="36">
        <f t="shared" si="415"/>
        <v>0</v>
      </c>
      <c r="AO1251" s="35"/>
      <c r="AP1251" s="38"/>
    </row>
    <row r="1252" spans="1:42" ht="15.75" customHeight="1" x14ac:dyDescent="0.25">
      <c r="A1252" s="37">
        <v>2016</v>
      </c>
      <c r="B1252" s="35">
        <v>172210</v>
      </c>
      <c r="C1252" s="34" t="s">
        <v>149</v>
      </c>
      <c r="D1252" s="34" t="s">
        <v>143</v>
      </c>
      <c r="E1252" s="35"/>
      <c r="F1252" s="36">
        <f t="shared" si="405"/>
        <v>0</v>
      </c>
      <c r="G1252" s="38"/>
      <c r="H1252" s="36">
        <f t="shared" si="406"/>
        <v>0</v>
      </c>
      <c r="I1252" s="35"/>
      <c r="J1252" s="36">
        <f t="shared" si="407"/>
        <v>0</v>
      </c>
      <c r="K1252" s="38"/>
      <c r="L1252" s="36">
        <f t="shared" si="408"/>
        <v>0</v>
      </c>
      <c r="M1252" s="35"/>
      <c r="N1252" s="36">
        <f t="shared" si="416"/>
        <v>0</v>
      </c>
      <c r="O1252" s="38"/>
      <c r="P1252" s="36">
        <f t="shared" si="409"/>
        <v>0</v>
      </c>
      <c r="Q1252" s="35"/>
      <c r="R1252" s="36">
        <f t="shared" si="417"/>
        <v>0</v>
      </c>
      <c r="S1252" s="38"/>
      <c r="T1252" s="36">
        <f t="shared" si="410"/>
        <v>0</v>
      </c>
      <c r="U1252" s="35"/>
      <c r="V1252" s="36">
        <f t="shared" si="418"/>
        <v>0</v>
      </c>
      <c r="W1252" s="38"/>
      <c r="X1252" s="36">
        <f t="shared" si="411"/>
        <v>0</v>
      </c>
      <c r="Y1252" s="35"/>
      <c r="Z1252" s="36">
        <f t="shared" si="419"/>
        <v>0</v>
      </c>
      <c r="AA1252" s="38"/>
      <c r="AB1252" s="36">
        <f t="shared" si="412"/>
        <v>0</v>
      </c>
      <c r="AC1252" s="35"/>
      <c r="AD1252" s="36">
        <f t="shared" si="420"/>
        <v>0</v>
      </c>
      <c r="AE1252" s="38"/>
      <c r="AF1252" s="36">
        <f t="shared" si="413"/>
        <v>0</v>
      </c>
      <c r="AG1252" s="35"/>
      <c r="AH1252" s="36">
        <f t="shared" si="421"/>
        <v>0</v>
      </c>
      <c r="AI1252" s="38"/>
      <c r="AJ1252" s="36">
        <f t="shared" si="414"/>
        <v>0</v>
      </c>
      <c r="AK1252" s="35"/>
      <c r="AL1252" s="36">
        <f t="shared" si="422"/>
        <v>0</v>
      </c>
      <c r="AM1252" s="38"/>
      <c r="AN1252" s="36">
        <f t="shared" si="415"/>
        <v>0</v>
      </c>
      <c r="AO1252" s="35"/>
      <c r="AP1252" s="38"/>
    </row>
    <row r="1253" spans="1:42" ht="15.75" customHeight="1" x14ac:dyDescent="0.25">
      <c r="A1253" s="37">
        <v>2015</v>
      </c>
      <c r="B1253" s="35">
        <v>170025</v>
      </c>
      <c r="C1253" s="34" t="s">
        <v>144</v>
      </c>
      <c r="D1253" s="34" t="s">
        <v>5</v>
      </c>
      <c r="E1253" s="35"/>
      <c r="F1253" s="36">
        <f t="shared" si="405"/>
        <v>0</v>
      </c>
      <c r="G1253" s="40"/>
      <c r="H1253" s="36">
        <f t="shared" si="406"/>
        <v>0</v>
      </c>
      <c r="I1253" s="35"/>
      <c r="J1253" s="36">
        <f t="shared" si="407"/>
        <v>0</v>
      </c>
      <c r="K1253" s="40"/>
      <c r="L1253" s="36">
        <f t="shared" si="408"/>
        <v>0</v>
      </c>
      <c r="M1253" s="35"/>
      <c r="N1253" s="36">
        <f t="shared" si="416"/>
        <v>0</v>
      </c>
      <c r="O1253" s="40"/>
      <c r="P1253" s="36">
        <f t="shared" si="409"/>
        <v>0</v>
      </c>
      <c r="Q1253" s="35"/>
      <c r="R1253" s="36">
        <f t="shared" si="417"/>
        <v>0</v>
      </c>
      <c r="S1253" s="40"/>
      <c r="T1253" s="36">
        <f t="shared" si="410"/>
        <v>0</v>
      </c>
      <c r="U1253" s="35"/>
      <c r="V1253" s="36">
        <f t="shared" si="418"/>
        <v>0</v>
      </c>
      <c r="W1253" s="40"/>
      <c r="X1253" s="36">
        <f t="shared" si="411"/>
        <v>0</v>
      </c>
      <c r="Y1253" s="35"/>
      <c r="Z1253" s="36">
        <f t="shared" si="419"/>
        <v>0</v>
      </c>
      <c r="AA1253" s="40"/>
      <c r="AB1253" s="36">
        <f t="shared" si="412"/>
        <v>0</v>
      </c>
      <c r="AC1253" s="35"/>
      <c r="AD1253" s="36">
        <f t="shared" si="420"/>
        <v>0</v>
      </c>
      <c r="AE1253" s="40"/>
      <c r="AF1253" s="36">
        <f t="shared" si="413"/>
        <v>0</v>
      </c>
      <c r="AG1253" s="35"/>
      <c r="AH1253" s="36">
        <f t="shared" si="421"/>
        <v>0</v>
      </c>
      <c r="AI1253" s="40"/>
      <c r="AJ1253" s="36">
        <f t="shared" si="414"/>
        <v>0</v>
      </c>
      <c r="AK1253" s="35"/>
      <c r="AL1253" s="36">
        <f t="shared" si="422"/>
        <v>0</v>
      </c>
      <c r="AM1253" s="40"/>
      <c r="AN1253" s="36">
        <f t="shared" si="415"/>
        <v>0</v>
      </c>
      <c r="AO1253" s="35"/>
      <c r="AP1253" s="40"/>
    </row>
    <row r="1254" spans="1:42" ht="15.75" customHeight="1" x14ac:dyDescent="0.25">
      <c r="A1254" s="37">
        <v>2015</v>
      </c>
      <c r="B1254" s="35">
        <v>170030</v>
      </c>
      <c r="C1254" s="34" t="s">
        <v>145</v>
      </c>
      <c r="D1254" s="34" t="s">
        <v>6</v>
      </c>
      <c r="E1254" s="35"/>
      <c r="F1254" s="36">
        <f t="shared" si="405"/>
        <v>0</v>
      </c>
      <c r="G1254" s="40"/>
      <c r="H1254" s="36">
        <f t="shared" si="406"/>
        <v>0</v>
      </c>
      <c r="I1254" s="35"/>
      <c r="J1254" s="36">
        <f t="shared" si="407"/>
        <v>0</v>
      </c>
      <c r="K1254" s="40"/>
      <c r="L1254" s="36">
        <f t="shared" si="408"/>
        <v>0</v>
      </c>
      <c r="M1254" s="35"/>
      <c r="N1254" s="36">
        <f t="shared" si="416"/>
        <v>0</v>
      </c>
      <c r="O1254" s="40"/>
      <c r="P1254" s="36">
        <f t="shared" si="409"/>
        <v>0</v>
      </c>
      <c r="Q1254" s="35"/>
      <c r="R1254" s="36">
        <f t="shared" si="417"/>
        <v>0</v>
      </c>
      <c r="S1254" s="40"/>
      <c r="T1254" s="36">
        <f t="shared" si="410"/>
        <v>0</v>
      </c>
      <c r="U1254" s="35"/>
      <c r="V1254" s="36">
        <f t="shared" si="418"/>
        <v>0</v>
      </c>
      <c r="W1254" s="40"/>
      <c r="X1254" s="36">
        <f t="shared" si="411"/>
        <v>0</v>
      </c>
      <c r="Y1254" s="35"/>
      <c r="Z1254" s="36">
        <f t="shared" si="419"/>
        <v>0</v>
      </c>
      <c r="AA1254" s="40"/>
      <c r="AB1254" s="36">
        <f t="shared" si="412"/>
        <v>0</v>
      </c>
      <c r="AC1254" s="35"/>
      <c r="AD1254" s="36">
        <f t="shared" si="420"/>
        <v>0</v>
      </c>
      <c r="AE1254" s="40"/>
      <c r="AF1254" s="36">
        <f t="shared" si="413"/>
        <v>0</v>
      </c>
      <c r="AG1254" s="35"/>
      <c r="AH1254" s="36">
        <f t="shared" si="421"/>
        <v>0</v>
      </c>
      <c r="AI1254" s="40"/>
      <c r="AJ1254" s="36">
        <f t="shared" si="414"/>
        <v>0</v>
      </c>
      <c r="AK1254" s="35"/>
      <c r="AL1254" s="36">
        <f t="shared" si="422"/>
        <v>0</v>
      </c>
      <c r="AM1254" s="40"/>
      <c r="AN1254" s="36">
        <f t="shared" si="415"/>
        <v>0</v>
      </c>
      <c r="AO1254" s="35"/>
      <c r="AP1254" s="40"/>
    </row>
    <row r="1255" spans="1:42" ht="15.75" customHeight="1" x14ac:dyDescent="0.25">
      <c r="A1255" s="37">
        <v>2015</v>
      </c>
      <c r="B1255" s="35">
        <v>170035</v>
      </c>
      <c r="C1255" s="34" t="s">
        <v>146</v>
      </c>
      <c r="D1255" s="34" t="s">
        <v>7</v>
      </c>
      <c r="E1255" s="35"/>
      <c r="F1255" s="36">
        <f t="shared" si="405"/>
        <v>0</v>
      </c>
      <c r="G1255" s="40"/>
      <c r="H1255" s="36">
        <f t="shared" si="406"/>
        <v>0</v>
      </c>
      <c r="I1255" s="35"/>
      <c r="J1255" s="36">
        <f t="shared" si="407"/>
        <v>0</v>
      </c>
      <c r="K1255" s="40"/>
      <c r="L1255" s="36">
        <f t="shared" si="408"/>
        <v>0</v>
      </c>
      <c r="M1255" s="35"/>
      <c r="N1255" s="36">
        <f t="shared" si="416"/>
        <v>0</v>
      </c>
      <c r="O1255" s="40"/>
      <c r="P1255" s="36">
        <f t="shared" si="409"/>
        <v>0</v>
      </c>
      <c r="Q1255" s="35"/>
      <c r="R1255" s="36">
        <f t="shared" si="417"/>
        <v>0</v>
      </c>
      <c r="S1255" s="40"/>
      <c r="T1255" s="36">
        <f t="shared" si="410"/>
        <v>0</v>
      </c>
      <c r="U1255" s="35"/>
      <c r="V1255" s="36">
        <f t="shared" si="418"/>
        <v>0</v>
      </c>
      <c r="W1255" s="40"/>
      <c r="X1255" s="36">
        <f t="shared" si="411"/>
        <v>0</v>
      </c>
      <c r="Y1255" s="35"/>
      <c r="Z1255" s="36">
        <f t="shared" si="419"/>
        <v>0</v>
      </c>
      <c r="AA1255" s="40"/>
      <c r="AB1255" s="36">
        <f t="shared" si="412"/>
        <v>0</v>
      </c>
      <c r="AC1255" s="35"/>
      <c r="AD1255" s="36">
        <f t="shared" si="420"/>
        <v>0</v>
      </c>
      <c r="AE1255" s="40"/>
      <c r="AF1255" s="36">
        <f t="shared" si="413"/>
        <v>0</v>
      </c>
      <c r="AG1255" s="35"/>
      <c r="AH1255" s="36">
        <f t="shared" si="421"/>
        <v>0</v>
      </c>
      <c r="AI1255" s="40"/>
      <c r="AJ1255" s="36">
        <f t="shared" si="414"/>
        <v>0</v>
      </c>
      <c r="AK1255" s="35"/>
      <c r="AL1255" s="36">
        <f t="shared" si="422"/>
        <v>0</v>
      </c>
      <c r="AM1255" s="40"/>
      <c r="AN1255" s="36">
        <f t="shared" si="415"/>
        <v>0</v>
      </c>
      <c r="AO1255" s="35"/>
      <c r="AP1255" s="40"/>
    </row>
    <row r="1256" spans="1:42" ht="15.75" customHeight="1" x14ac:dyDescent="0.25">
      <c r="A1256" s="37">
        <v>2015</v>
      </c>
      <c r="B1256" s="35">
        <v>170040</v>
      </c>
      <c r="C1256" s="34" t="s">
        <v>147</v>
      </c>
      <c r="D1256" s="34" t="s">
        <v>8</v>
      </c>
      <c r="E1256" s="35"/>
      <c r="F1256" s="36">
        <f t="shared" si="405"/>
        <v>0</v>
      </c>
      <c r="G1256" s="40"/>
      <c r="H1256" s="36">
        <f t="shared" si="406"/>
        <v>0</v>
      </c>
      <c r="I1256" s="35"/>
      <c r="J1256" s="36">
        <f t="shared" si="407"/>
        <v>0</v>
      </c>
      <c r="K1256" s="40"/>
      <c r="L1256" s="36">
        <f t="shared" si="408"/>
        <v>0</v>
      </c>
      <c r="M1256" s="35"/>
      <c r="N1256" s="36">
        <f t="shared" ref="N1256:N1319" si="423">IFERROR(M1256/$AO1256,0)</f>
        <v>0</v>
      </c>
      <c r="O1256" s="40"/>
      <c r="P1256" s="36">
        <f t="shared" si="409"/>
        <v>0</v>
      </c>
      <c r="Q1256" s="35"/>
      <c r="R1256" s="36">
        <f t="shared" ref="R1256:R1319" si="424">IFERROR(Q1256/$AO1256,0)</f>
        <v>0</v>
      </c>
      <c r="S1256" s="40"/>
      <c r="T1256" s="36">
        <f t="shared" si="410"/>
        <v>0</v>
      </c>
      <c r="U1256" s="35"/>
      <c r="V1256" s="36">
        <f t="shared" ref="V1256:V1319" si="425">IFERROR(U1256/$AO1256,0)</f>
        <v>0</v>
      </c>
      <c r="W1256" s="40"/>
      <c r="X1256" s="36">
        <f t="shared" si="411"/>
        <v>0</v>
      </c>
      <c r="Y1256" s="35"/>
      <c r="Z1256" s="36">
        <f t="shared" ref="Z1256:Z1319" si="426">IFERROR(Y1256/$AO1256,0)</f>
        <v>0</v>
      </c>
      <c r="AA1256" s="40"/>
      <c r="AB1256" s="36">
        <f t="shared" si="412"/>
        <v>0</v>
      </c>
      <c r="AC1256" s="35"/>
      <c r="AD1256" s="36">
        <f t="shared" ref="AD1256:AD1319" si="427">IFERROR(AC1256/$AO1256,0)</f>
        <v>0</v>
      </c>
      <c r="AE1256" s="40"/>
      <c r="AF1256" s="36">
        <f t="shared" si="413"/>
        <v>0</v>
      </c>
      <c r="AG1256" s="35"/>
      <c r="AH1256" s="36">
        <f t="shared" ref="AH1256:AH1319" si="428">IFERROR(AG1256/$AO1256,0)</f>
        <v>0</v>
      </c>
      <c r="AI1256" s="40"/>
      <c r="AJ1256" s="36">
        <f t="shared" si="414"/>
        <v>0</v>
      </c>
      <c r="AK1256" s="35"/>
      <c r="AL1256" s="36">
        <f t="shared" ref="AL1256:AL1319" si="429">IFERROR(AK1256/$AO1256,0)</f>
        <v>0</v>
      </c>
      <c r="AM1256" s="40"/>
      <c r="AN1256" s="36">
        <f t="shared" si="415"/>
        <v>0</v>
      </c>
      <c r="AO1256" s="35"/>
      <c r="AP1256" s="40"/>
    </row>
    <row r="1257" spans="1:42" ht="15.75" customHeight="1" x14ac:dyDescent="0.25">
      <c r="A1257" s="37">
        <v>2015</v>
      </c>
      <c r="B1257" s="35">
        <v>170070</v>
      </c>
      <c r="C1257" s="34" t="s">
        <v>146</v>
      </c>
      <c r="D1257" s="34" t="s">
        <v>9</v>
      </c>
      <c r="E1257" s="35"/>
      <c r="F1257" s="36">
        <f t="shared" si="405"/>
        <v>0</v>
      </c>
      <c r="G1257" s="40"/>
      <c r="H1257" s="36">
        <f t="shared" si="406"/>
        <v>0</v>
      </c>
      <c r="I1257" s="35"/>
      <c r="J1257" s="36">
        <f t="shared" si="407"/>
        <v>0</v>
      </c>
      <c r="K1257" s="40"/>
      <c r="L1257" s="36">
        <f t="shared" si="408"/>
        <v>0</v>
      </c>
      <c r="M1257" s="35"/>
      <c r="N1257" s="36">
        <f t="shared" si="423"/>
        <v>0</v>
      </c>
      <c r="O1257" s="40"/>
      <c r="P1257" s="36">
        <f t="shared" si="409"/>
        <v>0</v>
      </c>
      <c r="Q1257" s="35"/>
      <c r="R1257" s="36">
        <f t="shared" si="424"/>
        <v>0</v>
      </c>
      <c r="S1257" s="40"/>
      <c r="T1257" s="36">
        <f t="shared" si="410"/>
        <v>0</v>
      </c>
      <c r="U1257" s="35"/>
      <c r="V1257" s="36">
        <f t="shared" si="425"/>
        <v>0</v>
      </c>
      <c r="W1257" s="40"/>
      <c r="X1257" s="36">
        <f t="shared" si="411"/>
        <v>0</v>
      </c>
      <c r="Y1257" s="35"/>
      <c r="Z1257" s="36">
        <f t="shared" si="426"/>
        <v>0</v>
      </c>
      <c r="AA1257" s="40"/>
      <c r="AB1257" s="36">
        <f t="shared" si="412"/>
        <v>0</v>
      </c>
      <c r="AC1257" s="35"/>
      <c r="AD1257" s="36">
        <f t="shared" si="427"/>
        <v>0</v>
      </c>
      <c r="AE1257" s="40"/>
      <c r="AF1257" s="36">
        <f t="shared" si="413"/>
        <v>0</v>
      </c>
      <c r="AG1257" s="35"/>
      <c r="AH1257" s="36">
        <f t="shared" si="428"/>
        <v>0</v>
      </c>
      <c r="AI1257" s="40"/>
      <c r="AJ1257" s="36">
        <f t="shared" si="414"/>
        <v>0</v>
      </c>
      <c r="AK1257" s="35"/>
      <c r="AL1257" s="36">
        <f t="shared" si="429"/>
        <v>0</v>
      </c>
      <c r="AM1257" s="40"/>
      <c r="AN1257" s="36">
        <f t="shared" si="415"/>
        <v>0</v>
      </c>
      <c r="AO1257" s="35"/>
      <c r="AP1257" s="40"/>
    </row>
    <row r="1258" spans="1:42" ht="15.75" customHeight="1" x14ac:dyDescent="0.25">
      <c r="A1258" s="37">
        <v>2015</v>
      </c>
      <c r="B1258" s="35">
        <v>170100</v>
      </c>
      <c r="C1258" s="34" t="s">
        <v>145</v>
      </c>
      <c r="D1258" s="34" t="s">
        <v>10</v>
      </c>
      <c r="E1258" s="35"/>
      <c r="F1258" s="36">
        <f t="shared" si="405"/>
        <v>0</v>
      </c>
      <c r="G1258" s="40"/>
      <c r="H1258" s="36">
        <f t="shared" si="406"/>
        <v>0</v>
      </c>
      <c r="I1258" s="35"/>
      <c r="J1258" s="36">
        <f t="shared" si="407"/>
        <v>0</v>
      </c>
      <c r="K1258" s="40"/>
      <c r="L1258" s="36">
        <f t="shared" si="408"/>
        <v>0</v>
      </c>
      <c r="M1258" s="35"/>
      <c r="N1258" s="36">
        <f t="shared" si="423"/>
        <v>0</v>
      </c>
      <c r="O1258" s="40"/>
      <c r="P1258" s="36">
        <f t="shared" si="409"/>
        <v>0</v>
      </c>
      <c r="Q1258" s="35"/>
      <c r="R1258" s="36">
        <f t="shared" si="424"/>
        <v>0</v>
      </c>
      <c r="S1258" s="40"/>
      <c r="T1258" s="36">
        <f t="shared" si="410"/>
        <v>0</v>
      </c>
      <c r="U1258" s="35"/>
      <c r="V1258" s="36">
        <f t="shared" si="425"/>
        <v>0</v>
      </c>
      <c r="W1258" s="40"/>
      <c r="X1258" s="36">
        <f t="shared" si="411"/>
        <v>0</v>
      </c>
      <c r="Y1258" s="35"/>
      <c r="Z1258" s="36">
        <f t="shared" si="426"/>
        <v>0</v>
      </c>
      <c r="AA1258" s="40"/>
      <c r="AB1258" s="36">
        <f t="shared" si="412"/>
        <v>0</v>
      </c>
      <c r="AC1258" s="35"/>
      <c r="AD1258" s="36">
        <f t="shared" si="427"/>
        <v>0</v>
      </c>
      <c r="AE1258" s="40"/>
      <c r="AF1258" s="36">
        <f t="shared" si="413"/>
        <v>0</v>
      </c>
      <c r="AG1258" s="35"/>
      <c r="AH1258" s="36">
        <f t="shared" si="428"/>
        <v>0</v>
      </c>
      <c r="AI1258" s="40"/>
      <c r="AJ1258" s="36">
        <f t="shared" si="414"/>
        <v>0</v>
      </c>
      <c r="AK1258" s="35"/>
      <c r="AL1258" s="36">
        <f t="shared" si="429"/>
        <v>0</v>
      </c>
      <c r="AM1258" s="40"/>
      <c r="AN1258" s="36">
        <f t="shared" si="415"/>
        <v>0</v>
      </c>
      <c r="AO1258" s="35"/>
      <c r="AP1258" s="40"/>
    </row>
    <row r="1259" spans="1:42" ht="15.75" customHeight="1" x14ac:dyDescent="0.25">
      <c r="A1259" s="37">
        <v>2015</v>
      </c>
      <c r="B1259" s="35">
        <v>170105</v>
      </c>
      <c r="C1259" s="34" t="s">
        <v>145</v>
      </c>
      <c r="D1259" s="34" t="s">
        <v>11</v>
      </c>
      <c r="E1259" s="35"/>
      <c r="F1259" s="36">
        <f t="shared" si="405"/>
        <v>0</v>
      </c>
      <c r="G1259" s="40"/>
      <c r="H1259" s="36">
        <f t="shared" si="406"/>
        <v>0</v>
      </c>
      <c r="I1259" s="35"/>
      <c r="J1259" s="36">
        <f t="shared" si="407"/>
        <v>0</v>
      </c>
      <c r="K1259" s="40"/>
      <c r="L1259" s="36">
        <f t="shared" si="408"/>
        <v>0</v>
      </c>
      <c r="M1259" s="35"/>
      <c r="N1259" s="36">
        <f t="shared" si="423"/>
        <v>0</v>
      </c>
      <c r="O1259" s="40"/>
      <c r="P1259" s="36">
        <f t="shared" si="409"/>
        <v>0</v>
      </c>
      <c r="Q1259" s="35"/>
      <c r="R1259" s="36">
        <f t="shared" si="424"/>
        <v>0</v>
      </c>
      <c r="S1259" s="40"/>
      <c r="T1259" s="36">
        <f t="shared" si="410"/>
        <v>0</v>
      </c>
      <c r="U1259" s="35"/>
      <c r="V1259" s="36">
        <f t="shared" si="425"/>
        <v>0</v>
      </c>
      <c r="W1259" s="40"/>
      <c r="X1259" s="36">
        <f t="shared" si="411"/>
        <v>0</v>
      </c>
      <c r="Y1259" s="35"/>
      <c r="Z1259" s="36">
        <f t="shared" si="426"/>
        <v>0</v>
      </c>
      <c r="AA1259" s="40"/>
      <c r="AB1259" s="36">
        <f t="shared" si="412"/>
        <v>0</v>
      </c>
      <c r="AC1259" s="35"/>
      <c r="AD1259" s="36">
        <f t="shared" si="427"/>
        <v>0</v>
      </c>
      <c r="AE1259" s="40"/>
      <c r="AF1259" s="36">
        <f t="shared" si="413"/>
        <v>0</v>
      </c>
      <c r="AG1259" s="35"/>
      <c r="AH1259" s="36">
        <f t="shared" si="428"/>
        <v>0</v>
      </c>
      <c r="AI1259" s="40"/>
      <c r="AJ1259" s="36">
        <f t="shared" si="414"/>
        <v>0</v>
      </c>
      <c r="AK1259" s="35"/>
      <c r="AL1259" s="36">
        <f t="shared" si="429"/>
        <v>0</v>
      </c>
      <c r="AM1259" s="40"/>
      <c r="AN1259" s="36">
        <f t="shared" si="415"/>
        <v>0</v>
      </c>
      <c r="AO1259" s="35"/>
      <c r="AP1259" s="40"/>
    </row>
    <row r="1260" spans="1:42" ht="15.75" customHeight="1" x14ac:dyDescent="0.25">
      <c r="A1260" s="37">
        <v>2015</v>
      </c>
      <c r="B1260" s="35">
        <v>170110</v>
      </c>
      <c r="C1260" s="34" t="s">
        <v>148</v>
      </c>
      <c r="D1260" s="34" t="s">
        <v>12</v>
      </c>
      <c r="E1260" s="35"/>
      <c r="F1260" s="36">
        <f t="shared" si="405"/>
        <v>0</v>
      </c>
      <c r="G1260" s="40"/>
      <c r="H1260" s="36">
        <f t="shared" si="406"/>
        <v>0</v>
      </c>
      <c r="I1260" s="35"/>
      <c r="J1260" s="36">
        <f t="shared" si="407"/>
        <v>0</v>
      </c>
      <c r="K1260" s="40"/>
      <c r="L1260" s="36">
        <f t="shared" si="408"/>
        <v>0</v>
      </c>
      <c r="M1260" s="35"/>
      <c r="N1260" s="36">
        <f t="shared" si="423"/>
        <v>0</v>
      </c>
      <c r="O1260" s="40"/>
      <c r="P1260" s="36">
        <f t="shared" si="409"/>
        <v>0</v>
      </c>
      <c r="Q1260" s="35"/>
      <c r="R1260" s="36">
        <f t="shared" si="424"/>
        <v>0</v>
      </c>
      <c r="S1260" s="40"/>
      <c r="T1260" s="36">
        <f t="shared" si="410"/>
        <v>0</v>
      </c>
      <c r="U1260" s="35"/>
      <c r="V1260" s="36">
        <f t="shared" si="425"/>
        <v>0</v>
      </c>
      <c r="W1260" s="40"/>
      <c r="X1260" s="36">
        <f t="shared" si="411"/>
        <v>0</v>
      </c>
      <c r="Y1260" s="35"/>
      <c r="Z1260" s="36">
        <f t="shared" si="426"/>
        <v>0</v>
      </c>
      <c r="AA1260" s="40"/>
      <c r="AB1260" s="36">
        <f t="shared" si="412"/>
        <v>0</v>
      </c>
      <c r="AC1260" s="35"/>
      <c r="AD1260" s="36">
        <f t="shared" si="427"/>
        <v>0</v>
      </c>
      <c r="AE1260" s="40"/>
      <c r="AF1260" s="36">
        <f t="shared" si="413"/>
        <v>0</v>
      </c>
      <c r="AG1260" s="35"/>
      <c r="AH1260" s="36">
        <f t="shared" si="428"/>
        <v>0</v>
      </c>
      <c r="AI1260" s="40"/>
      <c r="AJ1260" s="36">
        <f t="shared" si="414"/>
        <v>0</v>
      </c>
      <c r="AK1260" s="35"/>
      <c r="AL1260" s="36">
        <f t="shared" si="429"/>
        <v>0</v>
      </c>
      <c r="AM1260" s="40"/>
      <c r="AN1260" s="36">
        <f t="shared" si="415"/>
        <v>0</v>
      </c>
      <c r="AO1260" s="35"/>
      <c r="AP1260" s="40"/>
    </row>
    <row r="1261" spans="1:42" ht="15.75" customHeight="1" x14ac:dyDescent="0.25">
      <c r="A1261" s="37">
        <v>2015</v>
      </c>
      <c r="B1261" s="35">
        <v>170130</v>
      </c>
      <c r="C1261" s="34" t="s">
        <v>149</v>
      </c>
      <c r="D1261" s="34" t="s">
        <v>13</v>
      </c>
      <c r="E1261" s="35"/>
      <c r="F1261" s="36">
        <f t="shared" si="405"/>
        <v>0</v>
      </c>
      <c r="G1261" s="40"/>
      <c r="H1261" s="36">
        <f t="shared" si="406"/>
        <v>0</v>
      </c>
      <c r="I1261" s="35"/>
      <c r="J1261" s="36">
        <f t="shared" si="407"/>
        <v>0</v>
      </c>
      <c r="K1261" s="40"/>
      <c r="L1261" s="36">
        <f t="shared" si="408"/>
        <v>0</v>
      </c>
      <c r="M1261" s="35"/>
      <c r="N1261" s="36">
        <f t="shared" si="423"/>
        <v>0</v>
      </c>
      <c r="O1261" s="40"/>
      <c r="P1261" s="36">
        <f t="shared" si="409"/>
        <v>0</v>
      </c>
      <c r="Q1261" s="35"/>
      <c r="R1261" s="36">
        <f t="shared" si="424"/>
        <v>0</v>
      </c>
      <c r="S1261" s="40"/>
      <c r="T1261" s="36">
        <f t="shared" si="410"/>
        <v>0</v>
      </c>
      <c r="U1261" s="35"/>
      <c r="V1261" s="36">
        <f t="shared" si="425"/>
        <v>0</v>
      </c>
      <c r="W1261" s="40"/>
      <c r="X1261" s="36">
        <f t="shared" si="411"/>
        <v>0</v>
      </c>
      <c r="Y1261" s="35"/>
      <c r="Z1261" s="36">
        <f t="shared" si="426"/>
        <v>0</v>
      </c>
      <c r="AA1261" s="40"/>
      <c r="AB1261" s="36">
        <f t="shared" si="412"/>
        <v>0</v>
      </c>
      <c r="AC1261" s="35"/>
      <c r="AD1261" s="36">
        <f t="shared" si="427"/>
        <v>0</v>
      </c>
      <c r="AE1261" s="40"/>
      <c r="AF1261" s="36">
        <f t="shared" si="413"/>
        <v>0</v>
      </c>
      <c r="AG1261" s="35"/>
      <c r="AH1261" s="36">
        <f t="shared" si="428"/>
        <v>0</v>
      </c>
      <c r="AI1261" s="40"/>
      <c r="AJ1261" s="36">
        <f t="shared" si="414"/>
        <v>0</v>
      </c>
      <c r="AK1261" s="35"/>
      <c r="AL1261" s="36">
        <f t="shared" si="429"/>
        <v>0</v>
      </c>
      <c r="AM1261" s="40"/>
      <c r="AN1261" s="36">
        <f t="shared" si="415"/>
        <v>0</v>
      </c>
      <c r="AO1261" s="35"/>
      <c r="AP1261" s="40"/>
    </row>
    <row r="1262" spans="1:42" ht="15.75" customHeight="1" x14ac:dyDescent="0.25">
      <c r="A1262" s="37">
        <v>2015</v>
      </c>
      <c r="B1262" s="35">
        <v>170190</v>
      </c>
      <c r="C1262" s="34" t="s">
        <v>144</v>
      </c>
      <c r="D1262" s="34" t="s">
        <v>14</v>
      </c>
      <c r="E1262" s="35"/>
      <c r="F1262" s="36">
        <f t="shared" si="405"/>
        <v>0</v>
      </c>
      <c r="G1262" s="40"/>
      <c r="H1262" s="36">
        <f t="shared" si="406"/>
        <v>0</v>
      </c>
      <c r="I1262" s="35"/>
      <c r="J1262" s="36">
        <f t="shared" si="407"/>
        <v>0</v>
      </c>
      <c r="K1262" s="40"/>
      <c r="L1262" s="36">
        <f t="shared" si="408"/>
        <v>0</v>
      </c>
      <c r="M1262" s="35"/>
      <c r="N1262" s="36">
        <f t="shared" si="423"/>
        <v>0</v>
      </c>
      <c r="O1262" s="40"/>
      <c r="P1262" s="36">
        <f t="shared" si="409"/>
        <v>0</v>
      </c>
      <c r="Q1262" s="35"/>
      <c r="R1262" s="36">
        <f t="shared" si="424"/>
        <v>0</v>
      </c>
      <c r="S1262" s="40"/>
      <c r="T1262" s="36">
        <f t="shared" si="410"/>
        <v>0</v>
      </c>
      <c r="U1262" s="35"/>
      <c r="V1262" s="36">
        <f t="shared" si="425"/>
        <v>0</v>
      </c>
      <c r="W1262" s="40"/>
      <c r="X1262" s="36">
        <f t="shared" si="411"/>
        <v>0</v>
      </c>
      <c r="Y1262" s="35"/>
      <c r="Z1262" s="36">
        <f t="shared" si="426"/>
        <v>0</v>
      </c>
      <c r="AA1262" s="40"/>
      <c r="AB1262" s="36">
        <f t="shared" si="412"/>
        <v>0</v>
      </c>
      <c r="AC1262" s="35"/>
      <c r="AD1262" s="36">
        <f t="shared" si="427"/>
        <v>0</v>
      </c>
      <c r="AE1262" s="40"/>
      <c r="AF1262" s="36">
        <f t="shared" si="413"/>
        <v>0</v>
      </c>
      <c r="AG1262" s="35"/>
      <c r="AH1262" s="36">
        <f t="shared" si="428"/>
        <v>0</v>
      </c>
      <c r="AI1262" s="40"/>
      <c r="AJ1262" s="36">
        <f t="shared" si="414"/>
        <v>0</v>
      </c>
      <c r="AK1262" s="35"/>
      <c r="AL1262" s="36">
        <f t="shared" si="429"/>
        <v>0</v>
      </c>
      <c r="AM1262" s="40"/>
      <c r="AN1262" s="36">
        <f t="shared" si="415"/>
        <v>0</v>
      </c>
      <c r="AO1262" s="35"/>
      <c r="AP1262" s="40"/>
    </row>
    <row r="1263" spans="1:42" ht="15.75" customHeight="1" x14ac:dyDescent="0.25">
      <c r="A1263" s="37">
        <v>2015</v>
      </c>
      <c r="B1263" s="35">
        <v>170200</v>
      </c>
      <c r="C1263" s="34" t="s">
        <v>146</v>
      </c>
      <c r="D1263" s="34" t="s">
        <v>15</v>
      </c>
      <c r="E1263" s="35"/>
      <c r="F1263" s="36">
        <f t="shared" si="405"/>
        <v>0</v>
      </c>
      <c r="G1263" s="40"/>
      <c r="H1263" s="36">
        <f t="shared" si="406"/>
        <v>0</v>
      </c>
      <c r="I1263" s="35"/>
      <c r="J1263" s="36">
        <f t="shared" si="407"/>
        <v>0</v>
      </c>
      <c r="K1263" s="40"/>
      <c r="L1263" s="36">
        <f t="shared" si="408"/>
        <v>0</v>
      </c>
      <c r="M1263" s="35"/>
      <c r="N1263" s="36">
        <f t="shared" si="423"/>
        <v>0</v>
      </c>
      <c r="O1263" s="40"/>
      <c r="P1263" s="36">
        <f t="shared" si="409"/>
        <v>0</v>
      </c>
      <c r="Q1263" s="35"/>
      <c r="R1263" s="36">
        <f t="shared" si="424"/>
        <v>0</v>
      </c>
      <c r="S1263" s="40"/>
      <c r="T1263" s="36">
        <f t="shared" si="410"/>
        <v>0</v>
      </c>
      <c r="U1263" s="35"/>
      <c r="V1263" s="36">
        <f t="shared" si="425"/>
        <v>0</v>
      </c>
      <c r="W1263" s="40"/>
      <c r="X1263" s="36">
        <f t="shared" si="411"/>
        <v>0</v>
      </c>
      <c r="Y1263" s="35"/>
      <c r="Z1263" s="36">
        <f t="shared" si="426"/>
        <v>0</v>
      </c>
      <c r="AA1263" s="40"/>
      <c r="AB1263" s="36">
        <f t="shared" si="412"/>
        <v>0</v>
      </c>
      <c r="AC1263" s="35"/>
      <c r="AD1263" s="36">
        <f t="shared" si="427"/>
        <v>0</v>
      </c>
      <c r="AE1263" s="40"/>
      <c r="AF1263" s="36">
        <f t="shared" si="413"/>
        <v>0</v>
      </c>
      <c r="AG1263" s="35"/>
      <c r="AH1263" s="36">
        <f t="shared" si="428"/>
        <v>0</v>
      </c>
      <c r="AI1263" s="40"/>
      <c r="AJ1263" s="36">
        <f t="shared" si="414"/>
        <v>0</v>
      </c>
      <c r="AK1263" s="35"/>
      <c r="AL1263" s="36">
        <f t="shared" si="429"/>
        <v>0</v>
      </c>
      <c r="AM1263" s="40"/>
      <c r="AN1263" s="36">
        <f t="shared" si="415"/>
        <v>0</v>
      </c>
      <c r="AO1263" s="35"/>
      <c r="AP1263" s="40"/>
    </row>
    <row r="1264" spans="1:42" ht="15.75" customHeight="1" x14ac:dyDescent="0.25">
      <c r="A1264" s="37">
        <v>2015</v>
      </c>
      <c r="B1264" s="35">
        <v>170210</v>
      </c>
      <c r="C1264" s="34" t="s">
        <v>149</v>
      </c>
      <c r="D1264" s="34" t="s">
        <v>16</v>
      </c>
      <c r="E1264" s="35"/>
      <c r="F1264" s="36">
        <f t="shared" si="405"/>
        <v>0</v>
      </c>
      <c r="G1264" s="40"/>
      <c r="H1264" s="36">
        <f t="shared" si="406"/>
        <v>0</v>
      </c>
      <c r="I1264" s="35"/>
      <c r="J1264" s="36">
        <f t="shared" si="407"/>
        <v>0</v>
      </c>
      <c r="K1264" s="40"/>
      <c r="L1264" s="36">
        <f t="shared" si="408"/>
        <v>0</v>
      </c>
      <c r="M1264" s="35"/>
      <c r="N1264" s="36">
        <f t="shared" si="423"/>
        <v>0</v>
      </c>
      <c r="O1264" s="41"/>
      <c r="P1264" s="36">
        <f t="shared" si="409"/>
        <v>0</v>
      </c>
      <c r="Q1264" s="35"/>
      <c r="R1264" s="36">
        <f t="shared" si="424"/>
        <v>0</v>
      </c>
      <c r="S1264" s="40"/>
      <c r="T1264" s="36">
        <f t="shared" si="410"/>
        <v>0</v>
      </c>
      <c r="U1264" s="35"/>
      <c r="V1264" s="36">
        <f t="shared" si="425"/>
        <v>0</v>
      </c>
      <c r="W1264" s="40"/>
      <c r="X1264" s="36">
        <f t="shared" si="411"/>
        <v>0</v>
      </c>
      <c r="Y1264" s="35"/>
      <c r="Z1264" s="36">
        <f t="shared" si="426"/>
        <v>0</v>
      </c>
      <c r="AA1264" s="41"/>
      <c r="AB1264" s="36">
        <f t="shared" si="412"/>
        <v>0</v>
      </c>
      <c r="AC1264" s="35"/>
      <c r="AD1264" s="36">
        <f t="shared" si="427"/>
        <v>0</v>
      </c>
      <c r="AE1264" s="40"/>
      <c r="AF1264" s="36">
        <f t="shared" si="413"/>
        <v>0</v>
      </c>
      <c r="AG1264" s="35"/>
      <c r="AH1264" s="36">
        <f t="shared" si="428"/>
        <v>0</v>
      </c>
      <c r="AI1264" s="40"/>
      <c r="AJ1264" s="36">
        <f t="shared" si="414"/>
        <v>0</v>
      </c>
      <c r="AK1264" s="35"/>
      <c r="AL1264" s="36">
        <f t="shared" si="429"/>
        <v>0</v>
      </c>
      <c r="AM1264" s="40"/>
      <c r="AN1264" s="36">
        <f t="shared" si="415"/>
        <v>0</v>
      </c>
      <c r="AO1264" s="35"/>
      <c r="AP1264" s="41"/>
    </row>
    <row r="1265" spans="1:42" ht="15.75" customHeight="1" x14ac:dyDescent="0.25">
      <c r="A1265" s="37">
        <v>2015</v>
      </c>
      <c r="B1265" s="35">
        <v>170215</v>
      </c>
      <c r="C1265" s="34" t="s">
        <v>149</v>
      </c>
      <c r="D1265" s="34" t="s">
        <v>17</v>
      </c>
      <c r="E1265" s="35"/>
      <c r="F1265" s="36">
        <f t="shared" si="405"/>
        <v>0</v>
      </c>
      <c r="G1265" s="40"/>
      <c r="H1265" s="36">
        <f t="shared" si="406"/>
        <v>0</v>
      </c>
      <c r="I1265" s="35"/>
      <c r="J1265" s="36">
        <f t="shared" si="407"/>
        <v>0</v>
      </c>
      <c r="K1265" s="40"/>
      <c r="L1265" s="36">
        <f t="shared" si="408"/>
        <v>0</v>
      </c>
      <c r="M1265" s="35"/>
      <c r="N1265" s="36">
        <f t="shared" si="423"/>
        <v>0</v>
      </c>
      <c r="O1265" s="40"/>
      <c r="P1265" s="36">
        <f t="shared" si="409"/>
        <v>0</v>
      </c>
      <c r="Q1265" s="35"/>
      <c r="R1265" s="36">
        <f t="shared" si="424"/>
        <v>0</v>
      </c>
      <c r="S1265" s="40"/>
      <c r="T1265" s="36">
        <f t="shared" si="410"/>
        <v>0</v>
      </c>
      <c r="U1265" s="35"/>
      <c r="V1265" s="36">
        <f t="shared" si="425"/>
        <v>0</v>
      </c>
      <c r="W1265" s="40"/>
      <c r="X1265" s="36">
        <f t="shared" si="411"/>
        <v>0</v>
      </c>
      <c r="Y1265" s="35"/>
      <c r="Z1265" s="36">
        <f t="shared" si="426"/>
        <v>0</v>
      </c>
      <c r="AA1265" s="40"/>
      <c r="AB1265" s="36">
        <f t="shared" si="412"/>
        <v>0</v>
      </c>
      <c r="AC1265" s="35"/>
      <c r="AD1265" s="36">
        <f t="shared" si="427"/>
        <v>0</v>
      </c>
      <c r="AE1265" s="40"/>
      <c r="AF1265" s="36">
        <f t="shared" si="413"/>
        <v>0</v>
      </c>
      <c r="AG1265" s="35"/>
      <c r="AH1265" s="36">
        <f t="shared" si="428"/>
        <v>0</v>
      </c>
      <c r="AI1265" s="40"/>
      <c r="AJ1265" s="36">
        <f t="shared" si="414"/>
        <v>0</v>
      </c>
      <c r="AK1265" s="35"/>
      <c r="AL1265" s="36">
        <f t="shared" si="429"/>
        <v>0</v>
      </c>
      <c r="AM1265" s="40"/>
      <c r="AN1265" s="36">
        <f t="shared" si="415"/>
        <v>0</v>
      </c>
      <c r="AO1265" s="35"/>
      <c r="AP1265" s="40"/>
    </row>
    <row r="1266" spans="1:42" ht="15.75" customHeight="1" x14ac:dyDescent="0.25">
      <c r="A1266" s="37">
        <v>2015</v>
      </c>
      <c r="B1266" s="35">
        <v>170220</v>
      </c>
      <c r="C1266" s="34" t="s">
        <v>145</v>
      </c>
      <c r="D1266" s="34" t="s">
        <v>18</v>
      </c>
      <c r="E1266" s="35"/>
      <c r="F1266" s="36">
        <f t="shared" si="405"/>
        <v>0</v>
      </c>
      <c r="G1266" s="40"/>
      <c r="H1266" s="36">
        <f t="shared" si="406"/>
        <v>0</v>
      </c>
      <c r="I1266" s="35"/>
      <c r="J1266" s="36">
        <f t="shared" si="407"/>
        <v>0</v>
      </c>
      <c r="K1266" s="40"/>
      <c r="L1266" s="36">
        <f t="shared" si="408"/>
        <v>0</v>
      </c>
      <c r="M1266" s="35"/>
      <c r="N1266" s="36">
        <f t="shared" si="423"/>
        <v>0</v>
      </c>
      <c r="O1266" s="41"/>
      <c r="P1266" s="36">
        <f t="shared" si="409"/>
        <v>0</v>
      </c>
      <c r="Q1266" s="35"/>
      <c r="R1266" s="36">
        <f t="shared" si="424"/>
        <v>0</v>
      </c>
      <c r="S1266" s="40"/>
      <c r="T1266" s="36">
        <f t="shared" si="410"/>
        <v>0</v>
      </c>
      <c r="U1266" s="35"/>
      <c r="V1266" s="36">
        <f t="shared" si="425"/>
        <v>0</v>
      </c>
      <c r="W1266" s="40"/>
      <c r="X1266" s="36">
        <f t="shared" si="411"/>
        <v>0</v>
      </c>
      <c r="Y1266" s="35"/>
      <c r="Z1266" s="36">
        <f t="shared" si="426"/>
        <v>0</v>
      </c>
      <c r="AA1266" s="40"/>
      <c r="AB1266" s="36">
        <f t="shared" si="412"/>
        <v>0</v>
      </c>
      <c r="AC1266" s="35"/>
      <c r="AD1266" s="36">
        <f t="shared" si="427"/>
        <v>0</v>
      </c>
      <c r="AE1266" s="40"/>
      <c r="AF1266" s="36">
        <f t="shared" si="413"/>
        <v>0</v>
      </c>
      <c r="AG1266" s="35"/>
      <c r="AH1266" s="36">
        <f t="shared" si="428"/>
        <v>0</v>
      </c>
      <c r="AI1266" s="40"/>
      <c r="AJ1266" s="36">
        <f t="shared" si="414"/>
        <v>0</v>
      </c>
      <c r="AK1266" s="35"/>
      <c r="AL1266" s="36">
        <f t="shared" si="429"/>
        <v>0</v>
      </c>
      <c r="AM1266" s="40"/>
      <c r="AN1266" s="36">
        <f t="shared" si="415"/>
        <v>0</v>
      </c>
      <c r="AO1266" s="35"/>
      <c r="AP1266" s="41"/>
    </row>
    <row r="1267" spans="1:42" ht="15.75" customHeight="1" x14ac:dyDescent="0.25">
      <c r="A1267" s="37">
        <v>2015</v>
      </c>
      <c r="B1267" s="35">
        <v>170230</v>
      </c>
      <c r="C1267" s="34" t="s">
        <v>150</v>
      </c>
      <c r="D1267" s="34" t="s">
        <v>19</v>
      </c>
      <c r="E1267" s="35"/>
      <c r="F1267" s="36">
        <f t="shared" si="405"/>
        <v>0</v>
      </c>
      <c r="G1267" s="40"/>
      <c r="H1267" s="36">
        <f t="shared" si="406"/>
        <v>0</v>
      </c>
      <c r="I1267" s="35"/>
      <c r="J1267" s="36">
        <f t="shared" si="407"/>
        <v>0</v>
      </c>
      <c r="K1267" s="40"/>
      <c r="L1267" s="36">
        <f t="shared" si="408"/>
        <v>0</v>
      </c>
      <c r="M1267" s="35"/>
      <c r="N1267" s="36">
        <f t="shared" si="423"/>
        <v>0</v>
      </c>
      <c r="O1267" s="40"/>
      <c r="P1267" s="36">
        <f t="shared" si="409"/>
        <v>0</v>
      </c>
      <c r="Q1267" s="35"/>
      <c r="R1267" s="36">
        <f t="shared" si="424"/>
        <v>0</v>
      </c>
      <c r="S1267" s="40"/>
      <c r="T1267" s="36">
        <f t="shared" si="410"/>
        <v>0</v>
      </c>
      <c r="U1267" s="35"/>
      <c r="V1267" s="36">
        <f t="shared" si="425"/>
        <v>0</v>
      </c>
      <c r="W1267" s="40"/>
      <c r="X1267" s="36">
        <f t="shared" si="411"/>
        <v>0</v>
      </c>
      <c r="Y1267" s="35"/>
      <c r="Z1267" s="36">
        <f t="shared" si="426"/>
        <v>0</v>
      </c>
      <c r="AA1267" s="40"/>
      <c r="AB1267" s="36">
        <f t="shared" si="412"/>
        <v>0</v>
      </c>
      <c r="AC1267" s="35"/>
      <c r="AD1267" s="36">
        <f t="shared" si="427"/>
        <v>0</v>
      </c>
      <c r="AE1267" s="40"/>
      <c r="AF1267" s="36">
        <f t="shared" si="413"/>
        <v>0</v>
      </c>
      <c r="AG1267" s="35"/>
      <c r="AH1267" s="36">
        <f t="shared" si="428"/>
        <v>0</v>
      </c>
      <c r="AI1267" s="40"/>
      <c r="AJ1267" s="36">
        <f t="shared" si="414"/>
        <v>0</v>
      </c>
      <c r="AK1267" s="35"/>
      <c r="AL1267" s="36">
        <f t="shared" si="429"/>
        <v>0</v>
      </c>
      <c r="AM1267" s="40"/>
      <c r="AN1267" s="36">
        <f t="shared" si="415"/>
        <v>0</v>
      </c>
      <c r="AO1267" s="35"/>
      <c r="AP1267" s="40"/>
    </row>
    <row r="1268" spans="1:42" ht="15.75" customHeight="1" x14ac:dyDescent="0.25">
      <c r="A1268" s="37">
        <v>2015</v>
      </c>
      <c r="B1268" s="35">
        <v>170240</v>
      </c>
      <c r="C1268" s="34" t="s">
        <v>147</v>
      </c>
      <c r="D1268" s="34" t="s">
        <v>20</v>
      </c>
      <c r="E1268" s="35"/>
      <c r="F1268" s="36">
        <f t="shared" si="405"/>
        <v>0</v>
      </c>
      <c r="G1268" s="40"/>
      <c r="H1268" s="36">
        <f t="shared" si="406"/>
        <v>0</v>
      </c>
      <c r="I1268" s="35"/>
      <c r="J1268" s="36">
        <f t="shared" si="407"/>
        <v>0</v>
      </c>
      <c r="K1268" s="40"/>
      <c r="L1268" s="36">
        <f t="shared" si="408"/>
        <v>0</v>
      </c>
      <c r="M1268" s="35"/>
      <c r="N1268" s="36">
        <f t="shared" si="423"/>
        <v>0</v>
      </c>
      <c r="O1268" s="40"/>
      <c r="P1268" s="36">
        <f t="shared" si="409"/>
        <v>0</v>
      </c>
      <c r="Q1268" s="35"/>
      <c r="R1268" s="36">
        <f t="shared" si="424"/>
        <v>0</v>
      </c>
      <c r="S1268" s="40"/>
      <c r="T1268" s="36">
        <f t="shared" si="410"/>
        <v>0</v>
      </c>
      <c r="U1268" s="35"/>
      <c r="V1268" s="36">
        <f t="shared" si="425"/>
        <v>0</v>
      </c>
      <c r="W1268" s="40"/>
      <c r="X1268" s="36">
        <f t="shared" si="411"/>
        <v>0</v>
      </c>
      <c r="Y1268" s="35"/>
      <c r="Z1268" s="36">
        <f t="shared" si="426"/>
        <v>0</v>
      </c>
      <c r="AA1268" s="40"/>
      <c r="AB1268" s="36">
        <f t="shared" si="412"/>
        <v>0</v>
      </c>
      <c r="AC1268" s="35"/>
      <c r="AD1268" s="36">
        <f t="shared" si="427"/>
        <v>0</v>
      </c>
      <c r="AE1268" s="40"/>
      <c r="AF1268" s="36">
        <f t="shared" si="413"/>
        <v>0</v>
      </c>
      <c r="AG1268" s="35"/>
      <c r="AH1268" s="36">
        <f t="shared" si="428"/>
        <v>0</v>
      </c>
      <c r="AI1268" s="40"/>
      <c r="AJ1268" s="36">
        <f t="shared" si="414"/>
        <v>0</v>
      </c>
      <c r="AK1268" s="35"/>
      <c r="AL1268" s="36">
        <f t="shared" si="429"/>
        <v>0</v>
      </c>
      <c r="AM1268" s="40"/>
      <c r="AN1268" s="36">
        <f t="shared" si="415"/>
        <v>0</v>
      </c>
      <c r="AO1268" s="35"/>
      <c r="AP1268" s="40"/>
    </row>
    <row r="1269" spans="1:42" ht="15.75" customHeight="1" x14ac:dyDescent="0.25">
      <c r="A1269" s="37">
        <v>2015</v>
      </c>
      <c r="B1269" s="35">
        <v>170255</v>
      </c>
      <c r="C1269" s="34" t="s">
        <v>145</v>
      </c>
      <c r="D1269" s="34" t="s">
        <v>21</v>
      </c>
      <c r="E1269" s="35"/>
      <c r="F1269" s="36">
        <f t="shared" si="405"/>
        <v>0</v>
      </c>
      <c r="G1269" s="40"/>
      <c r="H1269" s="36">
        <f t="shared" si="406"/>
        <v>0</v>
      </c>
      <c r="I1269" s="35"/>
      <c r="J1269" s="36">
        <f t="shared" si="407"/>
        <v>0</v>
      </c>
      <c r="K1269" s="40"/>
      <c r="L1269" s="36">
        <f t="shared" si="408"/>
        <v>0</v>
      </c>
      <c r="M1269" s="35"/>
      <c r="N1269" s="36">
        <f t="shared" si="423"/>
        <v>0</v>
      </c>
      <c r="O1269" s="40"/>
      <c r="P1269" s="36">
        <f t="shared" si="409"/>
        <v>0</v>
      </c>
      <c r="Q1269" s="35"/>
      <c r="R1269" s="36">
        <f t="shared" si="424"/>
        <v>0</v>
      </c>
      <c r="S1269" s="40"/>
      <c r="T1269" s="36">
        <f t="shared" si="410"/>
        <v>0</v>
      </c>
      <c r="U1269" s="35"/>
      <c r="V1269" s="36">
        <f t="shared" si="425"/>
        <v>0</v>
      </c>
      <c r="W1269" s="40"/>
      <c r="X1269" s="36">
        <f t="shared" si="411"/>
        <v>0</v>
      </c>
      <c r="Y1269" s="35"/>
      <c r="Z1269" s="36">
        <f t="shared" si="426"/>
        <v>0</v>
      </c>
      <c r="AA1269" s="40"/>
      <c r="AB1269" s="36">
        <f t="shared" si="412"/>
        <v>0</v>
      </c>
      <c r="AC1269" s="35"/>
      <c r="AD1269" s="36">
        <f t="shared" si="427"/>
        <v>0</v>
      </c>
      <c r="AE1269" s="40"/>
      <c r="AF1269" s="36">
        <f t="shared" si="413"/>
        <v>0</v>
      </c>
      <c r="AG1269" s="35"/>
      <c r="AH1269" s="36">
        <f t="shared" si="428"/>
        <v>0</v>
      </c>
      <c r="AI1269" s="40"/>
      <c r="AJ1269" s="36">
        <f t="shared" si="414"/>
        <v>0</v>
      </c>
      <c r="AK1269" s="35"/>
      <c r="AL1269" s="36">
        <f t="shared" si="429"/>
        <v>0</v>
      </c>
      <c r="AM1269" s="40"/>
      <c r="AN1269" s="36">
        <f t="shared" si="415"/>
        <v>0</v>
      </c>
      <c r="AO1269" s="35"/>
      <c r="AP1269" s="40"/>
    </row>
    <row r="1270" spans="1:42" ht="15.75" customHeight="1" x14ac:dyDescent="0.25">
      <c r="A1270" s="37">
        <v>2015</v>
      </c>
      <c r="B1270" s="35">
        <v>170270</v>
      </c>
      <c r="C1270" s="34" t="s">
        <v>147</v>
      </c>
      <c r="D1270" s="34" t="s">
        <v>22</v>
      </c>
      <c r="E1270" s="35"/>
      <c r="F1270" s="36">
        <f t="shared" si="405"/>
        <v>0</v>
      </c>
      <c r="G1270" s="40"/>
      <c r="H1270" s="36">
        <f t="shared" si="406"/>
        <v>0</v>
      </c>
      <c r="I1270" s="35"/>
      <c r="J1270" s="36">
        <f t="shared" si="407"/>
        <v>0</v>
      </c>
      <c r="K1270" s="40"/>
      <c r="L1270" s="36">
        <f t="shared" si="408"/>
        <v>0</v>
      </c>
      <c r="M1270" s="35"/>
      <c r="N1270" s="36">
        <f t="shared" si="423"/>
        <v>0</v>
      </c>
      <c r="O1270" s="40"/>
      <c r="P1270" s="36">
        <f t="shared" si="409"/>
        <v>0</v>
      </c>
      <c r="Q1270" s="35"/>
      <c r="R1270" s="36">
        <f t="shared" si="424"/>
        <v>0</v>
      </c>
      <c r="S1270" s="40"/>
      <c r="T1270" s="36">
        <f t="shared" si="410"/>
        <v>0</v>
      </c>
      <c r="U1270" s="35"/>
      <c r="V1270" s="36">
        <f t="shared" si="425"/>
        <v>0</v>
      </c>
      <c r="W1270" s="40"/>
      <c r="X1270" s="36">
        <f t="shared" si="411"/>
        <v>0</v>
      </c>
      <c r="Y1270" s="35"/>
      <c r="Z1270" s="36">
        <f t="shared" si="426"/>
        <v>0</v>
      </c>
      <c r="AA1270" s="40"/>
      <c r="AB1270" s="36">
        <f t="shared" si="412"/>
        <v>0</v>
      </c>
      <c r="AC1270" s="35"/>
      <c r="AD1270" s="36">
        <f t="shared" si="427"/>
        <v>0</v>
      </c>
      <c r="AE1270" s="40"/>
      <c r="AF1270" s="36">
        <f t="shared" si="413"/>
        <v>0</v>
      </c>
      <c r="AG1270" s="35"/>
      <c r="AH1270" s="36">
        <f t="shared" si="428"/>
        <v>0</v>
      </c>
      <c r="AI1270" s="40"/>
      <c r="AJ1270" s="36">
        <f t="shared" si="414"/>
        <v>0</v>
      </c>
      <c r="AK1270" s="35"/>
      <c r="AL1270" s="36">
        <f t="shared" si="429"/>
        <v>0</v>
      </c>
      <c r="AM1270" s="40"/>
      <c r="AN1270" s="36">
        <f t="shared" si="415"/>
        <v>0</v>
      </c>
      <c r="AO1270" s="35"/>
      <c r="AP1270" s="40"/>
    </row>
    <row r="1271" spans="1:42" ht="15.75" customHeight="1" x14ac:dyDescent="0.25">
      <c r="A1271" s="37">
        <v>2015</v>
      </c>
      <c r="B1271" s="35">
        <v>170290</v>
      </c>
      <c r="C1271" s="34" t="s">
        <v>145</v>
      </c>
      <c r="D1271" s="34" t="s">
        <v>23</v>
      </c>
      <c r="E1271" s="35"/>
      <c r="F1271" s="36">
        <f t="shared" si="405"/>
        <v>0</v>
      </c>
      <c r="G1271" s="40"/>
      <c r="H1271" s="36">
        <f t="shared" si="406"/>
        <v>0</v>
      </c>
      <c r="I1271" s="35"/>
      <c r="J1271" s="36">
        <f t="shared" si="407"/>
        <v>0</v>
      </c>
      <c r="K1271" s="40"/>
      <c r="L1271" s="36">
        <f t="shared" si="408"/>
        <v>0</v>
      </c>
      <c r="M1271" s="35"/>
      <c r="N1271" s="36">
        <f t="shared" si="423"/>
        <v>0</v>
      </c>
      <c r="O1271" s="40"/>
      <c r="P1271" s="36">
        <f t="shared" si="409"/>
        <v>0</v>
      </c>
      <c r="Q1271" s="35"/>
      <c r="R1271" s="36">
        <f t="shared" si="424"/>
        <v>0</v>
      </c>
      <c r="S1271" s="40"/>
      <c r="T1271" s="36">
        <f t="shared" si="410"/>
        <v>0</v>
      </c>
      <c r="U1271" s="35"/>
      <c r="V1271" s="36">
        <f t="shared" si="425"/>
        <v>0</v>
      </c>
      <c r="W1271" s="40"/>
      <c r="X1271" s="36">
        <f t="shared" si="411"/>
        <v>0</v>
      </c>
      <c r="Y1271" s="35"/>
      <c r="Z1271" s="36">
        <f t="shared" si="426"/>
        <v>0</v>
      </c>
      <c r="AA1271" s="40"/>
      <c r="AB1271" s="36">
        <f t="shared" si="412"/>
        <v>0</v>
      </c>
      <c r="AC1271" s="35"/>
      <c r="AD1271" s="36">
        <f t="shared" si="427"/>
        <v>0</v>
      </c>
      <c r="AE1271" s="40"/>
      <c r="AF1271" s="36">
        <f t="shared" si="413"/>
        <v>0</v>
      </c>
      <c r="AG1271" s="35"/>
      <c r="AH1271" s="36">
        <f t="shared" si="428"/>
        <v>0</v>
      </c>
      <c r="AI1271" s="40"/>
      <c r="AJ1271" s="36">
        <f t="shared" si="414"/>
        <v>0</v>
      </c>
      <c r="AK1271" s="35"/>
      <c r="AL1271" s="36">
        <f t="shared" si="429"/>
        <v>0</v>
      </c>
      <c r="AM1271" s="40"/>
      <c r="AN1271" s="36">
        <f t="shared" si="415"/>
        <v>0</v>
      </c>
      <c r="AO1271" s="35"/>
      <c r="AP1271" s="40"/>
    </row>
    <row r="1272" spans="1:42" ht="15.75" customHeight="1" x14ac:dyDescent="0.25">
      <c r="A1272" s="37">
        <v>2015</v>
      </c>
      <c r="B1272" s="35">
        <v>170300</v>
      </c>
      <c r="C1272" s="34" t="s">
        <v>149</v>
      </c>
      <c r="D1272" s="34" t="s">
        <v>24</v>
      </c>
      <c r="E1272" s="35"/>
      <c r="F1272" s="36">
        <f t="shared" si="405"/>
        <v>0</v>
      </c>
      <c r="G1272" s="40"/>
      <c r="H1272" s="36">
        <f t="shared" si="406"/>
        <v>0</v>
      </c>
      <c r="I1272" s="35"/>
      <c r="J1272" s="36">
        <f t="shared" si="407"/>
        <v>0</v>
      </c>
      <c r="K1272" s="40"/>
      <c r="L1272" s="36">
        <f t="shared" si="408"/>
        <v>0</v>
      </c>
      <c r="M1272" s="35"/>
      <c r="N1272" s="36">
        <f t="shared" si="423"/>
        <v>0</v>
      </c>
      <c r="O1272" s="40"/>
      <c r="P1272" s="36">
        <f t="shared" si="409"/>
        <v>0</v>
      </c>
      <c r="Q1272" s="35"/>
      <c r="R1272" s="36">
        <f t="shared" si="424"/>
        <v>0</v>
      </c>
      <c r="S1272" s="40"/>
      <c r="T1272" s="36">
        <f t="shared" si="410"/>
        <v>0</v>
      </c>
      <c r="U1272" s="35"/>
      <c r="V1272" s="36">
        <f t="shared" si="425"/>
        <v>0</v>
      </c>
      <c r="W1272" s="40"/>
      <c r="X1272" s="36">
        <f t="shared" si="411"/>
        <v>0</v>
      </c>
      <c r="Y1272" s="35"/>
      <c r="Z1272" s="36">
        <f t="shared" si="426"/>
        <v>0</v>
      </c>
      <c r="AA1272" s="40"/>
      <c r="AB1272" s="36">
        <f t="shared" si="412"/>
        <v>0</v>
      </c>
      <c r="AC1272" s="35"/>
      <c r="AD1272" s="36">
        <f t="shared" si="427"/>
        <v>0</v>
      </c>
      <c r="AE1272" s="40"/>
      <c r="AF1272" s="36">
        <f t="shared" si="413"/>
        <v>0</v>
      </c>
      <c r="AG1272" s="35"/>
      <c r="AH1272" s="36">
        <f t="shared" si="428"/>
        <v>0</v>
      </c>
      <c r="AI1272" s="40"/>
      <c r="AJ1272" s="36">
        <f t="shared" si="414"/>
        <v>0</v>
      </c>
      <c r="AK1272" s="35"/>
      <c r="AL1272" s="36">
        <f t="shared" si="429"/>
        <v>0</v>
      </c>
      <c r="AM1272" s="40"/>
      <c r="AN1272" s="36">
        <f t="shared" si="415"/>
        <v>0</v>
      </c>
      <c r="AO1272" s="35"/>
      <c r="AP1272" s="40"/>
    </row>
    <row r="1273" spans="1:42" ht="15.75" customHeight="1" x14ac:dyDescent="0.25">
      <c r="A1273" s="37">
        <v>2015</v>
      </c>
      <c r="B1273" s="35">
        <v>170305</v>
      </c>
      <c r="C1273" s="34" t="s">
        <v>150</v>
      </c>
      <c r="D1273" s="34" t="s">
        <v>25</v>
      </c>
      <c r="E1273" s="35"/>
      <c r="F1273" s="36">
        <f t="shared" si="405"/>
        <v>0</v>
      </c>
      <c r="G1273" s="40"/>
      <c r="H1273" s="36">
        <f t="shared" si="406"/>
        <v>0</v>
      </c>
      <c r="I1273" s="35"/>
      <c r="J1273" s="36">
        <f t="shared" si="407"/>
        <v>0</v>
      </c>
      <c r="K1273" s="40"/>
      <c r="L1273" s="36">
        <f t="shared" si="408"/>
        <v>0</v>
      </c>
      <c r="M1273" s="35"/>
      <c r="N1273" s="36">
        <f t="shared" si="423"/>
        <v>0</v>
      </c>
      <c r="O1273" s="40"/>
      <c r="P1273" s="36">
        <f t="shared" si="409"/>
        <v>0</v>
      </c>
      <c r="Q1273" s="35"/>
      <c r="R1273" s="36">
        <f t="shared" si="424"/>
        <v>0</v>
      </c>
      <c r="S1273" s="40"/>
      <c r="T1273" s="36">
        <f t="shared" si="410"/>
        <v>0</v>
      </c>
      <c r="U1273" s="35"/>
      <c r="V1273" s="36">
        <f t="shared" si="425"/>
        <v>0</v>
      </c>
      <c r="W1273" s="40"/>
      <c r="X1273" s="36">
        <f t="shared" si="411"/>
        <v>0</v>
      </c>
      <c r="Y1273" s="35"/>
      <c r="Z1273" s="36">
        <f t="shared" si="426"/>
        <v>0</v>
      </c>
      <c r="AA1273" s="40"/>
      <c r="AB1273" s="36">
        <f t="shared" si="412"/>
        <v>0</v>
      </c>
      <c r="AC1273" s="35"/>
      <c r="AD1273" s="36">
        <f t="shared" si="427"/>
        <v>0</v>
      </c>
      <c r="AE1273" s="40"/>
      <c r="AF1273" s="36">
        <f t="shared" si="413"/>
        <v>0</v>
      </c>
      <c r="AG1273" s="35"/>
      <c r="AH1273" s="36">
        <f t="shared" si="428"/>
        <v>0</v>
      </c>
      <c r="AI1273" s="40"/>
      <c r="AJ1273" s="36">
        <f t="shared" si="414"/>
        <v>0</v>
      </c>
      <c r="AK1273" s="35"/>
      <c r="AL1273" s="36">
        <f t="shared" si="429"/>
        <v>0</v>
      </c>
      <c r="AM1273" s="40"/>
      <c r="AN1273" s="36">
        <f t="shared" si="415"/>
        <v>0</v>
      </c>
      <c r="AO1273" s="35"/>
      <c r="AP1273" s="40"/>
    </row>
    <row r="1274" spans="1:42" ht="15.75" customHeight="1" x14ac:dyDescent="0.25">
      <c r="A1274" s="37">
        <v>2015</v>
      </c>
      <c r="B1274" s="35">
        <v>170307</v>
      </c>
      <c r="C1274" s="34" t="s">
        <v>149</v>
      </c>
      <c r="D1274" s="34" t="s">
        <v>26</v>
      </c>
      <c r="E1274" s="35"/>
      <c r="F1274" s="36">
        <f t="shared" si="405"/>
        <v>0</v>
      </c>
      <c r="G1274" s="40"/>
      <c r="H1274" s="36">
        <f t="shared" si="406"/>
        <v>0</v>
      </c>
      <c r="I1274" s="35"/>
      <c r="J1274" s="36">
        <f t="shared" si="407"/>
        <v>0</v>
      </c>
      <c r="K1274" s="40"/>
      <c r="L1274" s="36">
        <f t="shared" si="408"/>
        <v>0</v>
      </c>
      <c r="M1274" s="35"/>
      <c r="N1274" s="36">
        <f t="shared" si="423"/>
        <v>0</v>
      </c>
      <c r="O1274" s="40"/>
      <c r="P1274" s="36">
        <f t="shared" si="409"/>
        <v>0</v>
      </c>
      <c r="Q1274" s="35"/>
      <c r="R1274" s="36">
        <f t="shared" si="424"/>
        <v>0</v>
      </c>
      <c r="S1274" s="40"/>
      <c r="T1274" s="36">
        <f t="shared" si="410"/>
        <v>0</v>
      </c>
      <c r="U1274" s="35"/>
      <c r="V1274" s="36">
        <f t="shared" si="425"/>
        <v>0</v>
      </c>
      <c r="W1274" s="40"/>
      <c r="X1274" s="36">
        <f t="shared" si="411"/>
        <v>0</v>
      </c>
      <c r="Y1274" s="35"/>
      <c r="Z1274" s="36">
        <f t="shared" si="426"/>
        <v>0</v>
      </c>
      <c r="AA1274" s="40"/>
      <c r="AB1274" s="36">
        <f t="shared" si="412"/>
        <v>0</v>
      </c>
      <c r="AC1274" s="35"/>
      <c r="AD1274" s="36">
        <f t="shared" si="427"/>
        <v>0</v>
      </c>
      <c r="AE1274" s="40"/>
      <c r="AF1274" s="36">
        <f t="shared" si="413"/>
        <v>0</v>
      </c>
      <c r="AG1274" s="35"/>
      <c r="AH1274" s="36">
        <f t="shared" si="428"/>
        <v>0</v>
      </c>
      <c r="AI1274" s="40"/>
      <c r="AJ1274" s="36">
        <f t="shared" si="414"/>
        <v>0</v>
      </c>
      <c r="AK1274" s="35"/>
      <c r="AL1274" s="36">
        <f t="shared" si="429"/>
        <v>0</v>
      </c>
      <c r="AM1274" s="40"/>
      <c r="AN1274" s="36">
        <f t="shared" si="415"/>
        <v>0</v>
      </c>
      <c r="AO1274" s="35"/>
      <c r="AP1274" s="40"/>
    </row>
    <row r="1275" spans="1:42" ht="15.75" customHeight="1" x14ac:dyDescent="0.25">
      <c r="A1275" s="37">
        <v>2015</v>
      </c>
      <c r="B1275" s="35">
        <v>170310</v>
      </c>
      <c r="C1275" s="34" t="s">
        <v>144</v>
      </c>
      <c r="D1275" s="34" t="s">
        <v>27</v>
      </c>
      <c r="E1275" s="35"/>
      <c r="F1275" s="36">
        <f t="shared" si="405"/>
        <v>0</v>
      </c>
      <c r="G1275" s="40"/>
      <c r="H1275" s="36">
        <f t="shared" si="406"/>
        <v>0</v>
      </c>
      <c r="I1275" s="35"/>
      <c r="J1275" s="36">
        <f t="shared" si="407"/>
        <v>0</v>
      </c>
      <c r="K1275" s="40"/>
      <c r="L1275" s="36">
        <f t="shared" si="408"/>
        <v>0</v>
      </c>
      <c r="M1275" s="35"/>
      <c r="N1275" s="36">
        <f t="shared" si="423"/>
        <v>0</v>
      </c>
      <c r="O1275" s="40"/>
      <c r="P1275" s="36">
        <f t="shared" si="409"/>
        <v>0</v>
      </c>
      <c r="Q1275" s="35"/>
      <c r="R1275" s="36">
        <f t="shared" si="424"/>
        <v>0</v>
      </c>
      <c r="S1275" s="40"/>
      <c r="T1275" s="36">
        <f t="shared" si="410"/>
        <v>0</v>
      </c>
      <c r="U1275" s="35"/>
      <c r="V1275" s="36">
        <f t="shared" si="425"/>
        <v>0</v>
      </c>
      <c r="W1275" s="40"/>
      <c r="X1275" s="36">
        <f t="shared" si="411"/>
        <v>0</v>
      </c>
      <c r="Y1275" s="35"/>
      <c r="Z1275" s="36">
        <f t="shared" si="426"/>
        <v>0</v>
      </c>
      <c r="AA1275" s="40"/>
      <c r="AB1275" s="36">
        <f t="shared" si="412"/>
        <v>0</v>
      </c>
      <c r="AC1275" s="35"/>
      <c r="AD1275" s="36">
        <f t="shared" si="427"/>
        <v>0</v>
      </c>
      <c r="AE1275" s="40"/>
      <c r="AF1275" s="36">
        <f t="shared" si="413"/>
        <v>0</v>
      </c>
      <c r="AG1275" s="35"/>
      <c r="AH1275" s="36">
        <f t="shared" si="428"/>
        <v>0</v>
      </c>
      <c r="AI1275" s="40"/>
      <c r="AJ1275" s="36">
        <f t="shared" si="414"/>
        <v>0</v>
      </c>
      <c r="AK1275" s="35"/>
      <c r="AL1275" s="36">
        <f t="shared" si="429"/>
        <v>0</v>
      </c>
      <c r="AM1275" s="40"/>
      <c r="AN1275" s="36">
        <f t="shared" si="415"/>
        <v>0</v>
      </c>
      <c r="AO1275" s="35"/>
      <c r="AP1275" s="40"/>
    </row>
    <row r="1276" spans="1:42" ht="15.75" customHeight="1" x14ac:dyDescent="0.25">
      <c r="A1276" s="37">
        <v>2015</v>
      </c>
      <c r="B1276" s="35">
        <v>170320</v>
      </c>
      <c r="C1276" s="34" t="s">
        <v>150</v>
      </c>
      <c r="D1276" s="34" t="s">
        <v>28</v>
      </c>
      <c r="E1276" s="35"/>
      <c r="F1276" s="36">
        <f t="shared" si="405"/>
        <v>0</v>
      </c>
      <c r="G1276" s="40"/>
      <c r="H1276" s="36">
        <f t="shared" si="406"/>
        <v>0</v>
      </c>
      <c r="I1276" s="35"/>
      <c r="J1276" s="36">
        <f t="shared" si="407"/>
        <v>0</v>
      </c>
      <c r="K1276" s="40"/>
      <c r="L1276" s="36">
        <f t="shared" si="408"/>
        <v>0</v>
      </c>
      <c r="M1276" s="35"/>
      <c r="N1276" s="36">
        <f t="shared" si="423"/>
        <v>0</v>
      </c>
      <c r="O1276" s="40"/>
      <c r="P1276" s="36">
        <f t="shared" si="409"/>
        <v>0</v>
      </c>
      <c r="Q1276" s="35"/>
      <c r="R1276" s="36">
        <f t="shared" si="424"/>
        <v>0</v>
      </c>
      <c r="S1276" s="40"/>
      <c r="T1276" s="36">
        <f t="shared" si="410"/>
        <v>0</v>
      </c>
      <c r="U1276" s="35"/>
      <c r="V1276" s="36">
        <f t="shared" si="425"/>
        <v>0</v>
      </c>
      <c r="W1276" s="40"/>
      <c r="X1276" s="36">
        <f t="shared" si="411"/>
        <v>0</v>
      </c>
      <c r="Y1276" s="35"/>
      <c r="Z1276" s="36">
        <f t="shared" si="426"/>
        <v>0</v>
      </c>
      <c r="AA1276" s="40"/>
      <c r="AB1276" s="36">
        <f t="shared" si="412"/>
        <v>0</v>
      </c>
      <c r="AC1276" s="35"/>
      <c r="AD1276" s="36">
        <f t="shared" si="427"/>
        <v>0</v>
      </c>
      <c r="AE1276" s="40"/>
      <c r="AF1276" s="36">
        <f t="shared" si="413"/>
        <v>0</v>
      </c>
      <c r="AG1276" s="35"/>
      <c r="AH1276" s="36">
        <f t="shared" si="428"/>
        <v>0</v>
      </c>
      <c r="AI1276" s="40"/>
      <c r="AJ1276" s="36">
        <f t="shared" si="414"/>
        <v>0</v>
      </c>
      <c r="AK1276" s="35"/>
      <c r="AL1276" s="36">
        <f t="shared" si="429"/>
        <v>0</v>
      </c>
      <c r="AM1276" s="40"/>
      <c r="AN1276" s="36">
        <f t="shared" si="415"/>
        <v>0</v>
      </c>
      <c r="AO1276" s="35"/>
      <c r="AP1276" s="40"/>
    </row>
    <row r="1277" spans="1:42" ht="15.75" customHeight="1" x14ac:dyDescent="0.25">
      <c r="A1277" s="37">
        <v>2015</v>
      </c>
      <c r="B1277" s="35">
        <v>170330</v>
      </c>
      <c r="C1277" s="34" t="s">
        <v>150</v>
      </c>
      <c r="D1277" s="34" t="s">
        <v>29</v>
      </c>
      <c r="E1277" s="35"/>
      <c r="F1277" s="36">
        <f t="shared" si="405"/>
        <v>0</v>
      </c>
      <c r="G1277" s="40"/>
      <c r="H1277" s="36">
        <f t="shared" si="406"/>
        <v>0</v>
      </c>
      <c r="I1277" s="35"/>
      <c r="J1277" s="36">
        <f t="shared" si="407"/>
        <v>0</v>
      </c>
      <c r="K1277" s="40"/>
      <c r="L1277" s="36">
        <f t="shared" si="408"/>
        <v>0</v>
      </c>
      <c r="M1277" s="35"/>
      <c r="N1277" s="36">
        <f t="shared" si="423"/>
        <v>0</v>
      </c>
      <c r="O1277" s="40"/>
      <c r="P1277" s="36">
        <f t="shared" si="409"/>
        <v>0</v>
      </c>
      <c r="Q1277" s="35"/>
      <c r="R1277" s="36">
        <f t="shared" si="424"/>
        <v>0</v>
      </c>
      <c r="S1277" s="40"/>
      <c r="T1277" s="36">
        <f t="shared" si="410"/>
        <v>0</v>
      </c>
      <c r="U1277" s="35"/>
      <c r="V1277" s="36">
        <f t="shared" si="425"/>
        <v>0</v>
      </c>
      <c r="W1277" s="40"/>
      <c r="X1277" s="36">
        <f t="shared" si="411"/>
        <v>0</v>
      </c>
      <c r="Y1277" s="35"/>
      <c r="Z1277" s="36">
        <f t="shared" si="426"/>
        <v>0</v>
      </c>
      <c r="AA1277" s="40"/>
      <c r="AB1277" s="36">
        <f t="shared" si="412"/>
        <v>0</v>
      </c>
      <c r="AC1277" s="35"/>
      <c r="AD1277" s="36">
        <f t="shared" si="427"/>
        <v>0</v>
      </c>
      <c r="AE1277" s="40"/>
      <c r="AF1277" s="36">
        <f t="shared" si="413"/>
        <v>0</v>
      </c>
      <c r="AG1277" s="35"/>
      <c r="AH1277" s="36">
        <f t="shared" si="428"/>
        <v>0</v>
      </c>
      <c r="AI1277" s="40"/>
      <c r="AJ1277" s="36">
        <f t="shared" si="414"/>
        <v>0</v>
      </c>
      <c r="AK1277" s="35"/>
      <c r="AL1277" s="36">
        <f t="shared" si="429"/>
        <v>0</v>
      </c>
      <c r="AM1277" s="40"/>
      <c r="AN1277" s="36">
        <f t="shared" si="415"/>
        <v>0</v>
      </c>
      <c r="AO1277" s="35"/>
      <c r="AP1277" s="40"/>
    </row>
    <row r="1278" spans="1:42" ht="15.75" customHeight="1" x14ac:dyDescent="0.25">
      <c r="A1278" s="37">
        <v>2015</v>
      </c>
      <c r="B1278" s="35">
        <v>170360</v>
      </c>
      <c r="C1278" s="34" t="s">
        <v>150</v>
      </c>
      <c r="D1278" s="34" t="s">
        <v>30</v>
      </c>
      <c r="E1278" s="35"/>
      <c r="F1278" s="36">
        <f t="shared" si="405"/>
        <v>0</v>
      </c>
      <c r="G1278" s="40"/>
      <c r="H1278" s="36">
        <f t="shared" si="406"/>
        <v>0</v>
      </c>
      <c r="I1278" s="35"/>
      <c r="J1278" s="36">
        <f t="shared" si="407"/>
        <v>0</v>
      </c>
      <c r="K1278" s="40"/>
      <c r="L1278" s="36">
        <f t="shared" si="408"/>
        <v>0</v>
      </c>
      <c r="M1278" s="35"/>
      <c r="N1278" s="36">
        <f t="shared" si="423"/>
        <v>0</v>
      </c>
      <c r="O1278" s="40"/>
      <c r="P1278" s="36">
        <f t="shared" si="409"/>
        <v>0</v>
      </c>
      <c r="Q1278" s="35"/>
      <c r="R1278" s="36">
        <f t="shared" si="424"/>
        <v>0</v>
      </c>
      <c r="S1278" s="40"/>
      <c r="T1278" s="36">
        <f t="shared" si="410"/>
        <v>0</v>
      </c>
      <c r="U1278" s="35"/>
      <c r="V1278" s="36">
        <f t="shared" si="425"/>
        <v>0</v>
      </c>
      <c r="W1278" s="40"/>
      <c r="X1278" s="36">
        <f t="shared" si="411"/>
        <v>0</v>
      </c>
      <c r="Y1278" s="35"/>
      <c r="Z1278" s="36">
        <f t="shared" si="426"/>
        <v>0</v>
      </c>
      <c r="AA1278" s="40"/>
      <c r="AB1278" s="36">
        <f t="shared" si="412"/>
        <v>0</v>
      </c>
      <c r="AC1278" s="35"/>
      <c r="AD1278" s="36">
        <f t="shared" si="427"/>
        <v>0</v>
      </c>
      <c r="AE1278" s="40"/>
      <c r="AF1278" s="36">
        <f t="shared" si="413"/>
        <v>0</v>
      </c>
      <c r="AG1278" s="35"/>
      <c r="AH1278" s="36">
        <f t="shared" si="428"/>
        <v>0</v>
      </c>
      <c r="AI1278" s="40"/>
      <c r="AJ1278" s="36">
        <f t="shared" si="414"/>
        <v>0</v>
      </c>
      <c r="AK1278" s="35"/>
      <c r="AL1278" s="36">
        <f t="shared" si="429"/>
        <v>0</v>
      </c>
      <c r="AM1278" s="40"/>
      <c r="AN1278" s="36">
        <f t="shared" si="415"/>
        <v>0</v>
      </c>
      <c r="AO1278" s="35"/>
      <c r="AP1278" s="40"/>
    </row>
    <row r="1279" spans="1:42" ht="15.75" customHeight="1" x14ac:dyDescent="0.25">
      <c r="A1279" s="37">
        <v>2015</v>
      </c>
      <c r="B1279" s="35">
        <v>170370</v>
      </c>
      <c r="C1279" s="34" t="s">
        <v>151</v>
      </c>
      <c r="D1279" s="34" t="s">
        <v>31</v>
      </c>
      <c r="E1279" s="35"/>
      <c r="F1279" s="36">
        <f t="shared" si="405"/>
        <v>0</v>
      </c>
      <c r="G1279" s="40"/>
      <c r="H1279" s="36">
        <f t="shared" si="406"/>
        <v>0</v>
      </c>
      <c r="I1279" s="35"/>
      <c r="J1279" s="36">
        <f t="shared" si="407"/>
        <v>0</v>
      </c>
      <c r="K1279" s="40"/>
      <c r="L1279" s="36">
        <f t="shared" si="408"/>
        <v>0</v>
      </c>
      <c r="M1279" s="35"/>
      <c r="N1279" s="36">
        <f t="shared" si="423"/>
        <v>0</v>
      </c>
      <c r="O1279" s="40"/>
      <c r="P1279" s="36">
        <f t="shared" si="409"/>
        <v>0</v>
      </c>
      <c r="Q1279" s="35"/>
      <c r="R1279" s="36">
        <f t="shared" si="424"/>
        <v>0</v>
      </c>
      <c r="S1279" s="40"/>
      <c r="T1279" s="36">
        <f t="shared" si="410"/>
        <v>0</v>
      </c>
      <c r="U1279" s="35"/>
      <c r="V1279" s="36">
        <f t="shared" si="425"/>
        <v>0</v>
      </c>
      <c r="W1279" s="40"/>
      <c r="X1279" s="36">
        <f t="shared" si="411"/>
        <v>0</v>
      </c>
      <c r="Y1279" s="35"/>
      <c r="Z1279" s="36">
        <f t="shared" si="426"/>
        <v>0</v>
      </c>
      <c r="AA1279" s="40"/>
      <c r="AB1279" s="36">
        <f t="shared" si="412"/>
        <v>0</v>
      </c>
      <c r="AC1279" s="35"/>
      <c r="AD1279" s="36">
        <f t="shared" si="427"/>
        <v>0</v>
      </c>
      <c r="AE1279" s="40"/>
      <c r="AF1279" s="36">
        <f t="shared" si="413"/>
        <v>0</v>
      </c>
      <c r="AG1279" s="35"/>
      <c r="AH1279" s="36">
        <f t="shared" si="428"/>
        <v>0</v>
      </c>
      <c r="AI1279" s="40"/>
      <c r="AJ1279" s="36">
        <f t="shared" si="414"/>
        <v>0</v>
      </c>
      <c r="AK1279" s="35"/>
      <c r="AL1279" s="36">
        <f t="shared" si="429"/>
        <v>0</v>
      </c>
      <c r="AM1279" s="40"/>
      <c r="AN1279" s="36">
        <f t="shared" si="415"/>
        <v>0</v>
      </c>
      <c r="AO1279" s="35"/>
      <c r="AP1279" s="40"/>
    </row>
    <row r="1280" spans="1:42" ht="15.75" customHeight="1" x14ac:dyDescent="0.25">
      <c r="A1280" s="37">
        <v>2015</v>
      </c>
      <c r="B1280" s="35">
        <v>170380</v>
      </c>
      <c r="C1280" s="34" t="s">
        <v>145</v>
      </c>
      <c r="D1280" s="34" t="s">
        <v>32</v>
      </c>
      <c r="E1280" s="35"/>
      <c r="F1280" s="36">
        <f t="shared" si="405"/>
        <v>0</v>
      </c>
      <c r="G1280" s="40"/>
      <c r="H1280" s="36">
        <f t="shared" si="406"/>
        <v>0</v>
      </c>
      <c r="I1280" s="35"/>
      <c r="J1280" s="36">
        <f t="shared" si="407"/>
        <v>0</v>
      </c>
      <c r="K1280" s="40"/>
      <c r="L1280" s="36">
        <f t="shared" si="408"/>
        <v>0</v>
      </c>
      <c r="M1280" s="35"/>
      <c r="N1280" s="36">
        <f t="shared" si="423"/>
        <v>0</v>
      </c>
      <c r="O1280" s="40"/>
      <c r="P1280" s="36">
        <f t="shared" si="409"/>
        <v>0</v>
      </c>
      <c r="Q1280" s="35"/>
      <c r="R1280" s="36">
        <f t="shared" si="424"/>
        <v>0</v>
      </c>
      <c r="S1280" s="40"/>
      <c r="T1280" s="36">
        <f t="shared" si="410"/>
        <v>0</v>
      </c>
      <c r="U1280" s="35"/>
      <c r="V1280" s="36">
        <f t="shared" si="425"/>
        <v>0</v>
      </c>
      <c r="W1280" s="40"/>
      <c r="X1280" s="36">
        <f t="shared" si="411"/>
        <v>0</v>
      </c>
      <c r="Y1280" s="35"/>
      <c r="Z1280" s="36">
        <f t="shared" si="426"/>
        <v>0</v>
      </c>
      <c r="AA1280" s="40"/>
      <c r="AB1280" s="36">
        <f t="shared" si="412"/>
        <v>0</v>
      </c>
      <c r="AC1280" s="35"/>
      <c r="AD1280" s="36">
        <f t="shared" si="427"/>
        <v>0</v>
      </c>
      <c r="AE1280" s="40"/>
      <c r="AF1280" s="36">
        <f t="shared" si="413"/>
        <v>0</v>
      </c>
      <c r="AG1280" s="35"/>
      <c r="AH1280" s="36">
        <f t="shared" si="428"/>
        <v>0</v>
      </c>
      <c r="AI1280" s="40"/>
      <c r="AJ1280" s="36">
        <f t="shared" si="414"/>
        <v>0</v>
      </c>
      <c r="AK1280" s="35"/>
      <c r="AL1280" s="36">
        <f t="shared" si="429"/>
        <v>0</v>
      </c>
      <c r="AM1280" s="40"/>
      <c r="AN1280" s="36">
        <f t="shared" si="415"/>
        <v>0</v>
      </c>
      <c r="AO1280" s="35"/>
      <c r="AP1280" s="40"/>
    </row>
    <row r="1281" spans="1:42" ht="15.75" customHeight="1" x14ac:dyDescent="0.25">
      <c r="A1281" s="37">
        <v>2015</v>
      </c>
      <c r="B1281" s="35">
        <v>170382</v>
      </c>
      <c r="C1281" s="34" t="s">
        <v>145</v>
      </c>
      <c r="D1281" s="34" t="s">
        <v>33</v>
      </c>
      <c r="E1281" s="35"/>
      <c r="F1281" s="36">
        <f t="shared" si="405"/>
        <v>0</v>
      </c>
      <c r="G1281" s="40"/>
      <c r="H1281" s="36">
        <f t="shared" si="406"/>
        <v>0</v>
      </c>
      <c r="I1281" s="35"/>
      <c r="J1281" s="36">
        <f t="shared" si="407"/>
        <v>0</v>
      </c>
      <c r="K1281" s="40"/>
      <c r="L1281" s="36">
        <f t="shared" si="408"/>
        <v>0</v>
      </c>
      <c r="M1281" s="35"/>
      <c r="N1281" s="36">
        <f t="shared" si="423"/>
        <v>0</v>
      </c>
      <c r="O1281" s="40"/>
      <c r="P1281" s="36">
        <f t="shared" si="409"/>
        <v>0</v>
      </c>
      <c r="Q1281" s="35"/>
      <c r="R1281" s="36">
        <f t="shared" si="424"/>
        <v>0</v>
      </c>
      <c r="S1281" s="40"/>
      <c r="T1281" s="36">
        <f t="shared" si="410"/>
        <v>0</v>
      </c>
      <c r="U1281" s="35"/>
      <c r="V1281" s="36">
        <f t="shared" si="425"/>
        <v>0</v>
      </c>
      <c r="W1281" s="40"/>
      <c r="X1281" s="36">
        <f t="shared" si="411"/>
        <v>0</v>
      </c>
      <c r="Y1281" s="35"/>
      <c r="Z1281" s="36">
        <f t="shared" si="426"/>
        <v>0</v>
      </c>
      <c r="AA1281" s="40"/>
      <c r="AB1281" s="36">
        <f t="shared" si="412"/>
        <v>0</v>
      </c>
      <c r="AC1281" s="35"/>
      <c r="AD1281" s="36">
        <f t="shared" si="427"/>
        <v>0</v>
      </c>
      <c r="AE1281" s="40"/>
      <c r="AF1281" s="36">
        <f t="shared" si="413"/>
        <v>0</v>
      </c>
      <c r="AG1281" s="35"/>
      <c r="AH1281" s="36">
        <f t="shared" si="428"/>
        <v>0</v>
      </c>
      <c r="AI1281" s="40"/>
      <c r="AJ1281" s="36">
        <f t="shared" si="414"/>
        <v>0</v>
      </c>
      <c r="AK1281" s="35"/>
      <c r="AL1281" s="36">
        <f t="shared" si="429"/>
        <v>0</v>
      </c>
      <c r="AM1281" s="40"/>
      <c r="AN1281" s="36">
        <f t="shared" si="415"/>
        <v>0</v>
      </c>
      <c r="AO1281" s="35"/>
      <c r="AP1281" s="40"/>
    </row>
    <row r="1282" spans="1:42" ht="15.75" customHeight="1" x14ac:dyDescent="0.25">
      <c r="A1282" s="37">
        <v>2015</v>
      </c>
      <c r="B1282" s="35">
        <v>170384</v>
      </c>
      <c r="C1282" s="34" t="s">
        <v>149</v>
      </c>
      <c r="D1282" s="34" t="s">
        <v>34</v>
      </c>
      <c r="E1282" s="35"/>
      <c r="F1282" s="36">
        <f t="shared" ref="F1282:F1345" si="430">IFERROR(E1282/$AO1282,0)</f>
        <v>0</v>
      </c>
      <c r="G1282" s="40"/>
      <c r="H1282" s="36">
        <f t="shared" ref="H1282:H1345" si="431">IFERROR(G1282/$AP1282,0)</f>
        <v>0</v>
      </c>
      <c r="I1282" s="35"/>
      <c r="J1282" s="36">
        <f t="shared" ref="J1282:J1345" si="432">IFERROR(I1282/$AO1282,0)</f>
        <v>0</v>
      </c>
      <c r="K1282" s="40"/>
      <c r="L1282" s="36">
        <f t="shared" ref="L1282:L1345" si="433">IFERROR(K1282/$AP1282,0)</f>
        <v>0</v>
      </c>
      <c r="M1282" s="35"/>
      <c r="N1282" s="36">
        <f t="shared" si="423"/>
        <v>0</v>
      </c>
      <c r="O1282" s="40"/>
      <c r="P1282" s="36">
        <f t="shared" ref="P1282:P1345" si="434">IFERROR(O1282/$AP1282,0)</f>
        <v>0</v>
      </c>
      <c r="Q1282" s="35"/>
      <c r="R1282" s="36">
        <f t="shared" si="424"/>
        <v>0</v>
      </c>
      <c r="S1282" s="40"/>
      <c r="T1282" s="36">
        <f t="shared" ref="T1282:T1345" si="435">IFERROR(S1282/$AP1282,0)</f>
        <v>0</v>
      </c>
      <c r="U1282" s="35"/>
      <c r="V1282" s="36">
        <f t="shared" si="425"/>
        <v>0</v>
      </c>
      <c r="W1282" s="40"/>
      <c r="X1282" s="36">
        <f t="shared" ref="X1282:X1345" si="436">IFERROR(W1282/$AP1282,0)</f>
        <v>0</v>
      </c>
      <c r="Y1282" s="35"/>
      <c r="Z1282" s="36">
        <f t="shared" si="426"/>
        <v>0</v>
      </c>
      <c r="AA1282" s="40"/>
      <c r="AB1282" s="36">
        <f t="shared" ref="AB1282:AB1345" si="437">IFERROR(AA1282/$AP1282,0)</f>
        <v>0</v>
      </c>
      <c r="AC1282" s="35"/>
      <c r="AD1282" s="36">
        <f t="shared" si="427"/>
        <v>0</v>
      </c>
      <c r="AE1282" s="40"/>
      <c r="AF1282" s="36">
        <f t="shared" ref="AF1282:AF1345" si="438">IFERROR(AE1282/$AP1282,0)</f>
        <v>0</v>
      </c>
      <c r="AG1282" s="35"/>
      <c r="AH1282" s="36">
        <f t="shared" si="428"/>
        <v>0</v>
      </c>
      <c r="AI1282" s="40"/>
      <c r="AJ1282" s="36">
        <f t="shared" ref="AJ1282:AJ1345" si="439">IFERROR(AI1282/$AP1282,0)</f>
        <v>0</v>
      </c>
      <c r="AK1282" s="35"/>
      <c r="AL1282" s="36">
        <f t="shared" si="429"/>
        <v>0</v>
      </c>
      <c r="AM1282" s="40"/>
      <c r="AN1282" s="36">
        <f t="shared" ref="AN1282:AN1345" si="440">IFERROR(AM1282/$AP1282,0)</f>
        <v>0</v>
      </c>
      <c r="AO1282" s="35"/>
      <c r="AP1282" s="40"/>
    </row>
    <row r="1283" spans="1:42" ht="15.75" customHeight="1" x14ac:dyDescent="0.25">
      <c r="A1283" s="37">
        <v>2015</v>
      </c>
      <c r="B1283" s="35">
        <v>170386</v>
      </c>
      <c r="C1283" s="34" t="s">
        <v>146</v>
      </c>
      <c r="D1283" s="34" t="s">
        <v>35</v>
      </c>
      <c r="E1283" s="35"/>
      <c r="F1283" s="36">
        <f t="shared" si="430"/>
        <v>0</v>
      </c>
      <c r="G1283" s="40"/>
      <c r="H1283" s="36">
        <f t="shared" si="431"/>
        <v>0</v>
      </c>
      <c r="I1283" s="35"/>
      <c r="J1283" s="36">
        <f t="shared" si="432"/>
        <v>0</v>
      </c>
      <c r="K1283" s="40"/>
      <c r="L1283" s="36">
        <f t="shared" si="433"/>
        <v>0</v>
      </c>
      <c r="M1283" s="35"/>
      <c r="N1283" s="36">
        <f t="shared" si="423"/>
        <v>0</v>
      </c>
      <c r="O1283" s="40"/>
      <c r="P1283" s="36">
        <f t="shared" si="434"/>
        <v>0</v>
      </c>
      <c r="Q1283" s="35"/>
      <c r="R1283" s="36">
        <f t="shared" si="424"/>
        <v>0</v>
      </c>
      <c r="S1283" s="40"/>
      <c r="T1283" s="36">
        <f t="shared" si="435"/>
        <v>0</v>
      </c>
      <c r="U1283" s="35"/>
      <c r="V1283" s="36">
        <f t="shared" si="425"/>
        <v>0</v>
      </c>
      <c r="W1283" s="40"/>
      <c r="X1283" s="36">
        <f t="shared" si="436"/>
        <v>0</v>
      </c>
      <c r="Y1283" s="35"/>
      <c r="Z1283" s="36">
        <f t="shared" si="426"/>
        <v>0</v>
      </c>
      <c r="AA1283" s="40"/>
      <c r="AB1283" s="36">
        <f t="shared" si="437"/>
        <v>0</v>
      </c>
      <c r="AC1283" s="35"/>
      <c r="AD1283" s="36">
        <f t="shared" si="427"/>
        <v>0</v>
      </c>
      <c r="AE1283" s="40"/>
      <c r="AF1283" s="36">
        <f t="shared" si="438"/>
        <v>0</v>
      </c>
      <c r="AG1283" s="35"/>
      <c r="AH1283" s="36">
        <f t="shared" si="428"/>
        <v>0</v>
      </c>
      <c r="AI1283" s="40"/>
      <c r="AJ1283" s="36">
        <f t="shared" si="439"/>
        <v>0</v>
      </c>
      <c r="AK1283" s="35"/>
      <c r="AL1283" s="36">
        <f t="shared" si="429"/>
        <v>0</v>
      </c>
      <c r="AM1283" s="40"/>
      <c r="AN1283" s="36">
        <f t="shared" si="440"/>
        <v>0</v>
      </c>
      <c r="AO1283" s="35"/>
      <c r="AP1283" s="40"/>
    </row>
    <row r="1284" spans="1:42" ht="15.75" customHeight="1" x14ac:dyDescent="0.25">
      <c r="A1284" s="37">
        <v>2015</v>
      </c>
      <c r="B1284" s="35">
        <v>170388</v>
      </c>
      <c r="C1284" s="34" t="s">
        <v>149</v>
      </c>
      <c r="D1284" s="34" t="s">
        <v>36</v>
      </c>
      <c r="E1284" s="35"/>
      <c r="F1284" s="36">
        <f t="shared" si="430"/>
        <v>0</v>
      </c>
      <c r="G1284" s="40"/>
      <c r="H1284" s="36">
        <f t="shared" si="431"/>
        <v>0</v>
      </c>
      <c r="I1284" s="35"/>
      <c r="J1284" s="36">
        <f t="shared" si="432"/>
        <v>0</v>
      </c>
      <c r="K1284" s="40"/>
      <c r="L1284" s="36">
        <f t="shared" si="433"/>
        <v>0</v>
      </c>
      <c r="M1284" s="35"/>
      <c r="N1284" s="36">
        <f t="shared" si="423"/>
        <v>0</v>
      </c>
      <c r="O1284" s="40"/>
      <c r="P1284" s="36">
        <f t="shared" si="434"/>
        <v>0</v>
      </c>
      <c r="Q1284" s="35"/>
      <c r="R1284" s="36">
        <f t="shared" si="424"/>
        <v>0</v>
      </c>
      <c r="S1284" s="40"/>
      <c r="T1284" s="36">
        <f t="shared" si="435"/>
        <v>0</v>
      </c>
      <c r="U1284" s="35"/>
      <c r="V1284" s="36">
        <f t="shared" si="425"/>
        <v>0</v>
      </c>
      <c r="W1284" s="40"/>
      <c r="X1284" s="36">
        <f t="shared" si="436"/>
        <v>0</v>
      </c>
      <c r="Y1284" s="35"/>
      <c r="Z1284" s="36">
        <f t="shared" si="426"/>
        <v>0</v>
      </c>
      <c r="AA1284" s="40"/>
      <c r="AB1284" s="36">
        <f t="shared" si="437"/>
        <v>0</v>
      </c>
      <c r="AC1284" s="35"/>
      <c r="AD1284" s="36">
        <f t="shared" si="427"/>
        <v>0</v>
      </c>
      <c r="AE1284" s="40"/>
      <c r="AF1284" s="36">
        <f t="shared" si="438"/>
        <v>0</v>
      </c>
      <c r="AG1284" s="35"/>
      <c r="AH1284" s="36">
        <f t="shared" si="428"/>
        <v>0</v>
      </c>
      <c r="AI1284" s="40"/>
      <c r="AJ1284" s="36">
        <f t="shared" si="439"/>
        <v>0</v>
      </c>
      <c r="AK1284" s="35"/>
      <c r="AL1284" s="36">
        <f t="shared" si="429"/>
        <v>0</v>
      </c>
      <c r="AM1284" s="40"/>
      <c r="AN1284" s="36">
        <f t="shared" si="440"/>
        <v>0</v>
      </c>
      <c r="AO1284" s="35"/>
      <c r="AP1284" s="40"/>
    </row>
    <row r="1285" spans="1:42" ht="15.75" customHeight="1" x14ac:dyDescent="0.25">
      <c r="A1285" s="37">
        <v>2015</v>
      </c>
      <c r="B1285" s="35">
        <v>170389</v>
      </c>
      <c r="C1285" s="34" t="s">
        <v>145</v>
      </c>
      <c r="D1285" s="34" t="s">
        <v>37</v>
      </c>
      <c r="E1285" s="35"/>
      <c r="F1285" s="36">
        <f t="shared" si="430"/>
        <v>0</v>
      </c>
      <c r="G1285" s="40"/>
      <c r="H1285" s="36">
        <f t="shared" si="431"/>
        <v>0</v>
      </c>
      <c r="I1285" s="35"/>
      <c r="J1285" s="36">
        <f t="shared" si="432"/>
        <v>0</v>
      </c>
      <c r="K1285" s="40"/>
      <c r="L1285" s="36">
        <f t="shared" si="433"/>
        <v>0</v>
      </c>
      <c r="M1285" s="35"/>
      <c r="N1285" s="36">
        <f t="shared" si="423"/>
        <v>0</v>
      </c>
      <c r="O1285" s="40"/>
      <c r="P1285" s="36">
        <f t="shared" si="434"/>
        <v>0</v>
      </c>
      <c r="Q1285" s="35"/>
      <c r="R1285" s="36">
        <f t="shared" si="424"/>
        <v>0</v>
      </c>
      <c r="S1285" s="40"/>
      <c r="T1285" s="36">
        <f t="shared" si="435"/>
        <v>0</v>
      </c>
      <c r="U1285" s="35"/>
      <c r="V1285" s="36">
        <f t="shared" si="425"/>
        <v>0</v>
      </c>
      <c r="W1285" s="40"/>
      <c r="X1285" s="36">
        <f t="shared" si="436"/>
        <v>0</v>
      </c>
      <c r="Y1285" s="35"/>
      <c r="Z1285" s="36">
        <f t="shared" si="426"/>
        <v>0</v>
      </c>
      <c r="AA1285" s="40"/>
      <c r="AB1285" s="36">
        <f t="shared" si="437"/>
        <v>0</v>
      </c>
      <c r="AC1285" s="35"/>
      <c r="AD1285" s="36">
        <f t="shared" si="427"/>
        <v>0</v>
      </c>
      <c r="AE1285" s="40"/>
      <c r="AF1285" s="36">
        <f t="shared" si="438"/>
        <v>0</v>
      </c>
      <c r="AG1285" s="35"/>
      <c r="AH1285" s="36">
        <f t="shared" si="428"/>
        <v>0</v>
      </c>
      <c r="AI1285" s="40"/>
      <c r="AJ1285" s="36">
        <f t="shared" si="439"/>
        <v>0</v>
      </c>
      <c r="AK1285" s="35"/>
      <c r="AL1285" s="36">
        <f t="shared" si="429"/>
        <v>0</v>
      </c>
      <c r="AM1285" s="40"/>
      <c r="AN1285" s="36">
        <f t="shared" si="440"/>
        <v>0</v>
      </c>
      <c r="AO1285" s="35"/>
      <c r="AP1285" s="40"/>
    </row>
    <row r="1286" spans="1:42" ht="15.75" customHeight="1" x14ac:dyDescent="0.25">
      <c r="A1286" s="37">
        <v>2015</v>
      </c>
      <c r="B1286" s="35">
        <v>170390</v>
      </c>
      <c r="C1286" s="34" t="s">
        <v>144</v>
      </c>
      <c r="D1286" s="34" t="s">
        <v>38</v>
      </c>
      <c r="E1286" s="35"/>
      <c r="F1286" s="36">
        <f t="shared" si="430"/>
        <v>0</v>
      </c>
      <c r="G1286" s="40"/>
      <c r="H1286" s="36">
        <f t="shared" si="431"/>
        <v>0</v>
      </c>
      <c r="I1286" s="35"/>
      <c r="J1286" s="36">
        <f t="shared" si="432"/>
        <v>0</v>
      </c>
      <c r="K1286" s="40"/>
      <c r="L1286" s="36">
        <f t="shared" si="433"/>
        <v>0</v>
      </c>
      <c r="M1286" s="35"/>
      <c r="N1286" s="36">
        <f t="shared" si="423"/>
        <v>0</v>
      </c>
      <c r="O1286" s="40"/>
      <c r="P1286" s="36">
        <f t="shared" si="434"/>
        <v>0</v>
      </c>
      <c r="Q1286" s="35"/>
      <c r="R1286" s="36">
        <f t="shared" si="424"/>
        <v>0</v>
      </c>
      <c r="S1286" s="40"/>
      <c r="T1286" s="36">
        <f t="shared" si="435"/>
        <v>0</v>
      </c>
      <c r="U1286" s="35"/>
      <c r="V1286" s="36">
        <f t="shared" si="425"/>
        <v>0</v>
      </c>
      <c r="W1286" s="40"/>
      <c r="X1286" s="36">
        <f t="shared" si="436"/>
        <v>0</v>
      </c>
      <c r="Y1286" s="35"/>
      <c r="Z1286" s="36">
        <f t="shared" si="426"/>
        <v>0</v>
      </c>
      <c r="AA1286" s="40"/>
      <c r="AB1286" s="36">
        <f t="shared" si="437"/>
        <v>0</v>
      </c>
      <c r="AC1286" s="35"/>
      <c r="AD1286" s="36">
        <f t="shared" si="427"/>
        <v>0</v>
      </c>
      <c r="AE1286" s="40"/>
      <c r="AF1286" s="36">
        <f t="shared" si="438"/>
        <v>0</v>
      </c>
      <c r="AG1286" s="35"/>
      <c r="AH1286" s="36">
        <f t="shared" si="428"/>
        <v>0</v>
      </c>
      <c r="AI1286" s="40"/>
      <c r="AJ1286" s="36">
        <f t="shared" si="439"/>
        <v>0</v>
      </c>
      <c r="AK1286" s="35"/>
      <c r="AL1286" s="36">
        <f t="shared" si="429"/>
        <v>0</v>
      </c>
      <c r="AM1286" s="40"/>
      <c r="AN1286" s="36">
        <f t="shared" si="440"/>
        <v>0</v>
      </c>
      <c r="AO1286" s="35"/>
      <c r="AP1286" s="40"/>
    </row>
    <row r="1287" spans="1:42" ht="15.75" customHeight="1" x14ac:dyDescent="0.25">
      <c r="A1287" s="37">
        <v>2015</v>
      </c>
      <c r="B1287" s="35">
        <v>170410</v>
      </c>
      <c r="C1287" s="34" t="s">
        <v>150</v>
      </c>
      <c r="D1287" s="34" t="s">
        <v>39</v>
      </c>
      <c r="E1287" s="35"/>
      <c r="F1287" s="36">
        <f t="shared" si="430"/>
        <v>0</v>
      </c>
      <c r="G1287" s="40"/>
      <c r="H1287" s="36">
        <f t="shared" si="431"/>
        <v>0</v>
      </c>
      <c r="I1287" s="35"/>
      <c r="J1287" s="36">
        <f t="shared" si="432"/>
        <v>0</v>
      </c>
      <c r="K1287" s="40"/>
      <c r="L1287" s="36">
        <f t="shared" si="433"/>
        <v>0</v>
      </c>
      <c r="M1287" s="35"/>
      <c r="N1287" s="36">
        <f t="shared" si="423"/>
        <v>0</v>
      </c>
      <c r="O1287" s="40"/>
      <c r="P1287" s="36">
        <f t="shared" si="434"/>
        <v>0</v>
      </c>
      <c r="Q1287" s="35"/>
      <c r="R1287" s="36">
        <f t="shared" si="424"/>
        <v>0</v>
      </c>
      <c r="S1287" s="40"/>
      <c r="T1287" s="36">
        <f t="shared" si="435"/>
        <v>0</v>
      </c>
      <c r="U1287" s="35"/>
      <c r="V1287" s="36">
        <f t="shared" si="425"/>
        <v>0</v>
      </c>
      <c r="W1287" s="40"/>
      <c r="X1287" s="36">
        <f t="shared" si="436"/>
        <v>0</v>
      </c>
      <c r="Y1287" s="35"/>
      <c r="Z1287" s="36">
        <f t="shared" si="426"/>
        <v>0</v>
      </c>
      <c r="AA1287" s="40"/>
      <c r="AB1287" s="36">
        <f t="shared" si="437"/>
        <v>0</v>
      </c>
      <c r="AC1287" s="35"/>
      <c r="AD1287" s="36">
        <f t="shared" si="427"/>
        <v>0</v>
      </c>
      <c r="AE1287" s="40"/>
      <c r="AF1287" s="36">
        <f t="shared" si="438"/>
        <v>0</v>
      </c>
      <c r="AG1287" s="35"/>
      <c r="AH1287" s="36">
        <f t="shared" si="428"/>
        <v>0</v>
      </c>
      <c r="AI1287" s="40"/>
      <c r="AJ1287" s="36">
        <f t="shared" si="439"/>
        <v>0</v>
      </c>
      <c r="AK1287" s="35"/>
      <c r="AL1287" s="36">
        <f t="shared" si="429"/>
        <v>0</v>
      </c>
      <c r="AM1287" s="40"/>
      <c r="AN1287" s="36">
        <f t="shared" si="440"/>
        <v>0</v>
      </c>
      <c r="AO1287" s="35"/>
      <c r="AP1287" s="40"/>
    </row>
    <row r="1288" spans="1:42" ht="15.75" customHeight="1" x14ac:dyDescent="0.25">
      <c r="A1288" s="37">
        <v>2015</v>
      </c>
      <c r="B1288" s="35">
        <v>170510</v>
      </c>
      <c r="C1288" s="34" t="s">
        <v>151</v>
      </c>
      <c r="D1288" s="34" t="s">
        <v>40</v>
      </c>
      <c r="E1288" s="35"/>
      <c r="F1288" s="36">
        <f t="shared" si="430"/>
        <v>0</v>
      </c>
      <c r="G1288" s="40"/>
      <c r="H1288" s="36">
        <f t="shared" si="431"/>
        <v>0</v>
      </c>
      <c r="I1288" s="35"/>
      <c r="J1288" s="36">
        <f t="shared" si="432"/>
        <v>0</v>
      </c>
      <c r="K1288" s="40"/>
      <c r="L1288" s="36">
        <f t="shared" si="433"/>
        <v>0</v>
      </c>
      <c r="M1288" s="35"/>
      <c r="N1288" s="36">
        <f t="shared" si="423"/>
        <v>0</v>
      </c>
      <c r="O1288" s="40"/>
      <c r="P1288" s="36">
        <f t="shared" si="434"/>
        <v>0</v>
      </c>
      <c r="Q1288" s="35"/>
      <c r="R1288" s="36">
        <f t="shared" si="424"/>
        <v>0</v>
      </c>
      <c r="S1288" s="40"/>
      <c r="T1288" s="36">
        <f t="shared" si="435"/>
        <v>0</v>
      </c>
      <c r="U1288" s="35"/>
      <c r="V1288" s="36">
        <f t="shared" si="425"/>
        <v>0</v>
      </c>
      <c r="W1288" s="40"/>
      <c r="X1288" s="36">
        <f t="shared" si="436"/>
        <v>0</v>
      </c>
      <c r="Y1288" s="35"/>
      <c r="Z1288" s="36">
        <f t="shared" si="426"/>
        <v>0</v>
      </c>
      <c r="AA1288" s="40"/>
      <c r="AB1288" s="36">
        <f t="shared" si="437"/>
        <v>0</v>
      </c>
      <c r="AC1288" s="35"/>
      <c r="AD1288" s="36">
        <f t="shared" si="427"/>
        <v>0</v>
      </c>
      <c r="AE1288" s="40"/>
      <c r="AF1288" s="36">
        <f t="shared" si="438"/>
        <v>0</v>
      </c>
      <c r="AG1288" s="35"/>
      <c r="AH1288" s="36">
        <f t="shared" si="428"/>
        <v>0</v>
      </c>
      <c r="AI1288" s="40"/>
      <c r="AJ1288" s="36">
        <f t="shared" si="439"/>
        <v>0</v>
      </c>
      <c r="AK1288" s="35"/>
      <c r="AL1288" s="36">
        <f t="shared" si="429"/>
        <v>0</v>
      </c>
      <c r="AM1288" s="40"/>
      <c r="AN1288" s="36">
        <f t="shared" si="440"/>
        <v>0</v>
      </c>
      <c r="AO1288" s="35"/>
      <c r="AP1288" s="40"/>
    </row>
    <row r="1289" spans="1:42" ht="15.75" customHeight="1" x14ac:dyDescent="0.25">
      <c r="A1289" s="37">
        <v>2015</v>
      </c>
      <c r="B1289" s="35">
        <v>170460</v>
      </c>
      <c r="C1289" s="34" t="s">
        <v>144</v>
      </c>
      <c r="D1289" s="34" t="s">
        <v>41</v>
      </c>
      <c r="E1289" s="35"/>
      <c r="F1289" s="36">
        <f t="shared" si="430"/>
        <v>0</v>
      </c>
      <c r="G1289" s="40"/>
      <c r="H1289" s="36">
        <f t="shared" si="431"/>
        <v>0</v>
      </c>
      <c r="I1289" s="35"/>
      <c r="J1289" s="36">
        <f t="shared" si="432"/>
        <v>0</v>
      </c>
      <c r="K1289" s="40"/>
      <c r="L1289" s="36">
        <f t="shared" si="433"/>
        <v>0</v>
      </c>
      <c r="M1289" s="35"/>
      <c r="N1289" s="36">
        <f t="shared" si="423"/>
        <v>0</v>
      </c>
      <c r="O1289" s="40"/>
      <c r="P1289" s="36">
        <f t="shared" si="434"/>
        <v>0</v>
      </c>
      <c r="Q1289" s="35"/>
      <c r="R1289" s="36">
        <f t="shared" si="424"/>
        <v>0</v>
      </c>
      <c r="S1289" s="40"/>
      <c r="T1289" s="36">
        <f t="shared" si="435"/>
        <v>0</v>
      </c>
      <c r="U1289" s="35"/>
      <c r="V1289" s="36">
        <f t="shared" si="425"/>
        <v>0</v>
      </c>
      <c r="W1289" s="40"/>
      <c r="X1289" s="36">
        <f t="shared" si="436"/>
        <v>0</v>
      </c>
      <c r="Y1289" s="35"/>
      <c r="Z1289" s="36">
        <f t="shared" si="426"/>
        <v>0</v>
      </c>
      <c r="AA1289" s="40"/>
      <c r="AB1289" s="36">
        <f t="shared" si="437"/>
        <v>0</v>
      </c>
      <c r="AC1289" s="35"/>
      <c r="AD1289" s="36">
        <f t="shared" si="427"/>
        <v>0</v>
      </c>
      <c r="AE1289" s="40"/>
      <c r="AF1289" s="36">
        <f t="shared" si="438"/>
        <v>0</v>
      </c>
      <c r="AG1289" s="35"/>
      <c r="AH1289" s="36">
        <f t="shared" si="428"/>
        <v>0</v>
      </c>
      <c r="AI1289" s="40"/>
      <c r="AJ1289" s="36">
        <f t="shared" si="439"/>
        <v>0</v>
      </c>
      <c r="AK1289" s="35"/>
      <c r="AL1289" s="36">
        <f t="shared" si="429"/>
        <v>0</v>
      </c>
      <c r="AM1289" s="40"/>
      <c r="AN1289" s="36">
        <f t="shared" si="440"/>
        <v>0</v>
      </c>
      <c r="AO1289" s="35"/>
      <c r="AP1289" s="40"/>
    </row>
    <row r="1290" spans="1:42" ht="15.75" customHeight="1" x14ac:dyDescent="0.25">
      <c r="A1290" s="37">
        <v>2015</v>
      </c>
      <c r="B1290" s="35">
        <v>170550</v>
      </c>
      <c r="C1290" s="34" t="s">
        <v>150</v>
      </c>
      <c r="D1290" s="34" t="s">
        <v>42</v>
      </c>
      <c r="E1290" s="35"/>
      <c r="F1290" s="36">
        <f t="shared" si="430"/>
        <v>0</v>
      </c>
      <c r="G1290" s="40"/>
      <c r="H1290" s="36">
        <f t="shared" si="431"/>
        <v>0</v>
      </c>
      <c r="I1290" s="35"/>
      <c r="J1290" s="36">
        <f t="shared" si="432"/>
        <v>0</v>
      </c>
      <c r="K1290" s="40"/>
      <c r="L1290" s="36">
        <f t="shared" si="433"/>
        <v>0</v>
      </c>
      <c r="M1290" s="35"/>
      <c r="N1290" s="36">
        <f t="shared" si="423"/>
        <v>0</v>
      </c>
      <c r="O1290" s="40"/>
      <c r="P1290" s="36">
        <f t="shared" si="434"/>
        <v>0</v>
      </c>
      <c r="Q1290" s="35"/>
      <c r="R1290" s="36">
        <f t="shared" si="424"/>
        <v>0</v>
      </c>
      <c r="S1290" s="40"/>
      <c r="T1290" s="36">
        <f t="shared" si="435"/>
        <v>0</v>
      </c>
      <c r="U1290" s="35"/>
      <c r="V1290" s="36">
        <f t="shared" si="425"/>
        <v>0</v>
      </c>
      <c r="W1290" s="40"/>
      <c r="X1290" s="36">
        <f t="shared" si="436"/>
        <v>0</v>
      </c>
      <c r="Y1290" s="35"/>
      <c r="Z1290" s="36">
        <f t="shared" si="426"/>
        <v>0</v>
      </c>
      <c r="AA1290" s="40"/>
      <c r="AB1290" s="36">
        <f t="shared" si="437"/>
        <v>0</v>
      </c>
      <c r="AC1290" s="35"/>
      <c r="AD1290" s="36">
        <f t="shared" si="427"/>
        <v>0</v>
      </c>
      <c r="AE1290" s="40"/>
      <c r="AF1290" s="36">
        <f t="shared" si="438"/>
        <v>0</v>
      </c>
      <c r="AG1290" s="35"/>
      <c r="AH1290" s="36">
        <f t="shared" si="428"/>
        <v>0</v>
      </c>
      <c r="AI1290" s="40"/>
      <c r="AJ1290" s="36">
        <f t="shared" si="439"/>
        <v>0</v>
      </c>
      <c r="AK1290" s="35"/>
      <c r="AL1290" s="36">
        <f t="shared" si="429"/>
        <v>0</v>
      </c>
      <c r="AM1290" s="40"/>
      <c r="AN1290" s="36">
        <f t="shared" si="440"/>
        <v>0</v>
      </c>
      <c r="AO1290" s="35"/>
      <c r="AP1290" s="40"/>
    </row>
    <row r="1291" spans="1:42" ht="15.75" customHeight="1" x14ac:dyDescent="0.25">
      <c r="A1291" s="37">
        <v>2015</v>
      </c>
      <c r="B1291" s="35">
        <v>171670</v>
      </c>
      <c r="C1291" s="34" t="s">
        <v>150</v>
      </c>
      <c r="D1291" s="34" t="s">
        <v>43</v>
      </c>
      <c r="E1291" s="35"/>
      <c r="F1291" s="36">
        <f t="shared" si="430"/>
        <v>0</v>
      </c>
      <c r="G1291" s="40"/>
      <c r="H1291" s="36">
        <f t="shared" si="431"/>
        <v>0</v>
      </c>
      <c r="I1291" s="35"/>
      <c r="J1291" s="36">
        <f t="shared" si="432"/>
        <v>0</v>
      </c>
      <c r="K1291" s="40"/>
      <c r="L1291" s="36">
        <f t="shared" si="433"/>
        <v>0</v>
      </c>
      <c r="M1291" s="35"/>
      <c r="N1291" s="36">
        <f t="shared" si="423"/>
        <v>0</v>
      </c>
      <c r="O1291" s="40"/>
      <c r="P1291" s="36">
        <f t="shared" si="434"/>
        <v>0</v>
      </c>
      <c r="Q1291" s="35"/>
      <c r="R1291" s="36">
        <f t="shared" si="424"/>
        <v>0</v>
      </c>
      <c r="S1291" s="40"/>
      <c r="T1291" s="36">
        <f t="shared" si="435"/>
        <v>0</v>
      </c>
      <c r="U1291" s="35"/>
      <c r="V1291" s="36">
        <f t="shared" si="425"/>
        <v>0</v>
      </c>
      <c r="W1291" s="40"/>
      <c r="X1291" s="36">
        <f t="shared" si="436"/>
        <v>0</v>
      </c>
      <c r="Y1291" s="35"/>
      <c r="Z1291" s="36">
        <f t="shared" si="426"/>
        <v>0</v>
      </c>
      <c r="AA1291" s="40"/>
      <c r="AB1291" s="36">
        <f t="shared" si="437"/>
        <v>0</v>
      </c>
      <c r="AC1291" s="35"/>
      <c r="AD1291" s="36">
        <f t="shared" si="427"/>
        <v>0</v>
      </c>
      <c r="AE1291" s="40"/>
      <c r="AF1291" s="36">
        <f t="shared" si="438"/>
        <v>0</v>
      </c>
      <c r="AG1291" s="35"/>
      <c r="AH1291" s="36">
        <f t="shared" si="428"/>
        <v>0</v>
      </c>
      <c r="AI1291" s="40"/>
      <c r="AJ1291" s="36">
        <f t="shared" si="439"/>
        <v>0</v>
      </c>
      <c r="AK1291" s="35"/>
      <c r="AL1291" s="36">
        <f t="shared" si="429"/>
        <v>0</v>
      </c>
      <c r="AM1291" s="40"/>
      <c r="AN1291" s="36">
        <f t="shared" si="440"/>
        <v>0</v>
      </c>
      <c r="AO1291" s="35"/>
      <c r="AP1291" s="40"/>
    </row>
    <row r="1292" spans="1:42" ht="15.75" customHeight="1" x14ac:dyDescent="0.25">
      <c r="A1292" s="37">
        <v>2015</v>
      </c>
      <c r="B1292" s="35">
        <v>170555</v>
      </c>
      <c r="C1292" s="34" t="s">
        <v>147</v>
      </c>
      <c r="D1292" s="34" t="s">
        <v>44</v>
      </c>
      <c r="E1292" s="35"/>
      <c r="F1292" s="36">
        <f t="shared" si="430"/>
        <v>0</v>
      </c>
      <c r="G1292" s="40"/>
      <c r="H1292" s="36">
        <f t="shared" si="431"/>
        <v>0</v>
      </c>
      <c r="I1292" s="35"/>
      <c r="J1292" s="36">
        <f t="shared" si="432"/>
        <v>0</v>
      </c>
      <c r="K1292" s="40"/>
      <c r="L1292" s="36">
        <f t="shared" si="433"/>
        <v>0</v>
      </c>
      <c r="M1292" s="35"/>
      <c r="N1292" s="36">
        <f t="shared" si="423"/>
        <v>0</v>
      </c>
      <c r="O1292" s="40"/>
      <c r="P1292" s="36">
        <f t="shared" si="434"/>
        <v>0</v>
      </c>
      <c r="Q1292" s="35"/>
      <c r="R1292" s="36">
        <f t="shared" si="424"/>
        <v>0</v>
      </c>
      <c r="S1292" s="40"/>
      <c r="T1292" s="36">
        <f t="shared" si="435"/>
        <v>0</v>
      </c>
      <c r="U1292" s="35"/>
      <c r="V1292" s="36">
        <f t="shared" si="425"/>
        <v>0</v>
      </c>
      <c r="W1292" s="40"/>
      <c r="X1292" s="36">
        <f t="shared" si="436"/>
        <v>0</v>
      </c>
      <c r="Y1292" s="35"/>
      <c r="Z1292" s="36">
        <f t="shared" si="426"/>
        <v>0</v>
      </c>
      <c r="AA1292" s="40"/>
      <c r="AB1292" s="36">
        <f t="shared" si="437"/>
        <v>0</v>
      </c>
      <c r="AC1292" s="35"/>
      <c r="AD1292" s="36">
        <f t="shared" si="427"/>
        <v>0</v>
      </c>
      <c r="AE1292" s="40"/>
      <c r="AF1292" s="36">
        <f t="shared" si="438"/>
        <v>0</v>
      </c>
      <c r="AG1292" s="35"/>
      <c r="AH1292" s="36">
        <f t="shared" si="428"/>
        <v>0</v>
      </c>
      <c r="AI1292" s="40"/>
      <c r="AJ1292" s="36">
        <f t="shared" si="439"/>
        <v>0</v>
      </c>
      <c r="AK1292" s="35"/>
      <c r="AL1292" s="36">
        <f t="shared" si="429"/>
        <v>0</v>
      </c>
      <c r="AM1292" s="40"/>
      <c r="AN1292" s="36">
        <f t="shared" si="440"/>
        <v>0</v>
      </c>
      <c r="AO1292" s="35"/>
      <c r="AP1292" s="40"/>
    </row>
    <row r="1293" spans="1:42" ht="15.75" customHeight="1" x14ac:dyDescent="0.25">
      <c r="A1293" s="37">
        <v>2015</v>
      </c>
      <c r="B1293" s="35">
        <v>170560</v>
      </c>
      <c r="C1293" s="34" t="s">
        <v>147</v>
      </c>
      <c r="D1293" s="34" t="s">
        <v>45</v>
      </c>
      <c r="E1293" s="35"/>
      <c r="F1293" s="36">
        <f t="shared" si="430"/>
        <v>0</v>
      </c>
      <c r="G1293" s="40"/>
      <c r="H1293" s="36">
        <f t="shared" si="431"/>
        <v>0</v>
      </c>
      <c r="I1293" s="35"/>
      <c r="J1293" s="36">
        <f t="shared" si="432"/>
        <v>0</v>
      </c>
      <c r="K1293" s="40"/>
      <c r="L1293" s="36">
        <f t="shared" si="433"/>
        <v>0</v>
      </c>
      <c r="M1293" s="35"/>
      <c r="N1293" s="36">
        <f t="shared" si="423"/>
        <v>0</v>
      </c>
      <c r="O1293" s="40"/>
      <c r="P1293" s="36">
        <f t="shared" si="434"/>
        <v>0</v>
      </c>
      <c r="Q1293" s="35"/>
      <c r="R1293" s="36">
        <f t="shared" si="424"/>
        <v>0</v>
      </c>
      <c r="S1293" s="40"/>
      <c r="T1293" s="36">
        <f t="shared" si="435"/>
        <v>0</v>
      </c>
      <c r="U1293" s="35"/>
      <c r="V1293" s="36">
        <f t="shared" si="425"/>
        <v>0</v>
      </c>
      <c r="W1293" s="40"/>
      <c r="X1293" s="36">
        <f t="shared" si="436"/>
        <v>0</v>
      </c>
      <c r="Y1293" s="35"/>
      <c r="Z1293" s="36">
        <f t="shared" si="426"/>
        <v>0</v>
      </c>
      <c r="AA1293" s="40"/>
      <c r="AB1293" s="36">
        <f t="shared" si="437"/>
        <v>0</v>
      </c>
      <c r="AC1293" s="35"/>
      <c r="AD1293" s="36">
        <f t="shared" si="427"/>
        <v>0</v>
      </c>
      <c r="AE1293" s="40"/>
      <c r="AF1293" s="36">
        <f t="shared" si="438"/>
        <v>0</v>
      </c>
      <c r="AG1293" s="35"/>
      <c r="AH1293" s="36">
        <f t="shared" si="428"/>
        <v>0</v>
      </c>
      <c r="AI1293" s="40"/>
      <c r="AJ1293" s="36">
        <f t="shared" si="439"/>
        <v>0</v>
      </c>
      <c r="AK1293" s="35"/>
      <c r="AL1293" s="36">
        <f t="shared" si="429"/>
        <v>0</v>
      </c>
      <c r="AM1293" s="40"/>
      <c r="AN1293" s="36">
        <f t="shared" si="440"/>
        <v>0</v>
      </c>
      <c r="AO1293" s="35"/>
      <c r="AP1293" s="40"/>
    </row>
    <row r="1294" spans="1:42" ht="15.75" customHeight="1" x14ac:dyDescent="0.25">
      <c r="A1294" s="37">
        <v>2015</v>
      </c>
      <c r="B1294" s="35">
        <v>170600</v>
      </c>
      <c r="C1294" s="34" t="s">
        <v>150</v>
      </c>
      <c r="D1294" s="34" t="s">
        <v>46</v>
      </c>
      <c r="E1294" s="35"/>
      <c r="F1294" s="36">
        <f t="shared" si="430"/>
        <v>0</v>
      </c>
      <c r="G1294" s="40"/>
      <c r="H1294" s="36">
        <f t="shared" si="431"/>
        <v>0</v>
      </c>
      <c r="I1294" s="35"/>
      <c r="J1294" s="36">
        <f t="shared" si="432"/>
        <v>0</v>
      </c>
      <c r="K1294" s="40"/>
      <c r="L1294" s="36">
        <f t="shared" si="433"/>
        <v>0</v>
      </c>
      <c r="M1294" s="35"/>
      <c r="N1294" s="36">
        <f t="shared" si="423"/>
        <v>0</v>
      </c>
      <c r="O1294" s="40"/>
      <c r="P1294" s="36">
        <f t="shared" si="434"/>
        <v>0</v>
      </c>
      <c r="Q1294" s="35"/>
      <c r="R1294" s="36">
        <f t="shared" si="424"/>
        <v>0</v>
      </c>
      <c r="S1294" s="40"/>
      <c r="T1294" s="36">
        <f t="shared" si="435"/>
        <v>0</v>
      </c>
      <c r="U1294" s="35"/>
      <c r="V1294" s="36">
        <f t="shared" si="425"/>
        <v>0</v>
      </c>
      <c r="W1294" s="40"/>
      <c r="X1294" s="36">
        <f t="shared" si="436"/>
        <v>0</v>
      </c>
      <c r="Y1294" s="35"/>
      <c r="Z1294" s="36">
        <f t="shared" si="426"/>
        <v>0</v>
      </c>
      <c r="AA1294" s="40"/>
      <c r="AB1294" s="36">
        <f t="shared" si="437"/>
        <v>0</v>
      </c>
      <c r="AC1294" s="35"/>
      <c r="AD1294" s="36">
        <f t="shared" si="427"/>
        <v>0</v>
      </c>
      <c r="AE1294" s="40"/>
      <c r="AF1294" s="36">
        <f t="shared" si="438"/>
        <v>0</v>
      </c>
      <c r="AG1294" s="35"/>
      <c r="AH1294" s="36">
        <f t="shared" si="428"/>
        <v>0</v>
      </c>
      <c r="AI1294" s="40"/>
      <c r="AJ1294" s="36">
        <f t="shared" si="439"/>
        <v>0</v>
      </c>
      <c r="AK1294" s="35"/>
      <c r="AL1294" s="36">
        <f t="shared" si="429"/>
        <v>0</v>
      </c>
      <c r="AM1294" s="40"/>
      <c r="AN1294" s="36">
        <f t="shared" si="440"/>
        <v>0</v>
      </c>
      <c r="AO1294" s="35"/>
      <c r="AP1294" s="40"/>
    </row>
    <row r="1295" spans="1:42" ht="15.75" customHeight="1" x14ac:dyDescent="0.25">
      <c r="A1295" s="37">
        <v>2015</v>
      </c>
      <c r="B1295" s="35">
        <v>170610</v>
      </c>
      <c r="C1295" s="34" t="s">
        <v>144</v>
      </c>
      <c r="D1295" s="34" t="s">
        <v>47</v>
      </c>
      <c r="E1295" s="35"/>
      <c r="F1295" s="36">
        <f t="shared" si="430"/>
        <v>0</v>
      </c>
      <c r="G1295" s="40"/>
      <c r="H1295" s="36">
        <f t="shared" si="431"/>
        <v>0</v>
      </c>
      <c r="I1295" s="35"/>
      <c r="J1295" s="36">
        <f t="shared" si="432"/>
        <v>0</v>
      </c>
      <c r="K1295" s="40"/>
      <c r="L1295" s="36">
        <f t="shared" si="433"/>
        <v>0</v>
      </c>
      <c r="M1295" s="35"/>
      <c r="N1295" s="36">
        <f t="shared" si="423"/>
        <v>0</v>
      </c>
      <c r="O1295" s="40"/>
      <c r="P1295" s="36">
        <f t="shared" si="434"/>
        <v>0</v>
      </c>
      <c r="Q1295" s="35"/>
      <c r="R1295" s="36">
        <f t="shared" si="424"/>
        <v>0</v>
      </c>
      <c r="S1295" s="40"/>
      <c r="T1295" s="36">
        <f t="shared" si="435"/>
        <v>0</v>
      </c>
      <c r="U1295" s="35"/>
      <c r="V1295" s="36">
        <f t="shared" si="425"/>
        <v>0</v>
      </c>
      <c r="W1295" s="40"/>
      <c r="X1295" s="36">
        <f t="shared" si="436"/>
        <v>0</v>
      </c>
      <c r="Y1295" s="35"/>
      <c r="Z1295" s="36">
        <f t="shared" si="426"/>
        <v>0</v>
      </c>
      <c r="AA1295" s="40"/>
      <c r="AB1295" s="36">
        <f t="shared" si="437"/>
        <v>0</v>
      </c>
      <c r="AC1295" s="35"/>
      <c r="AD1295" s="36">
        <f t="shared" si="427"/>
        <v>0</v>
      </c>
      <c r="AE1295" s="40"/>
      <c r="AF1295" s="36">
        <f t="shared" si="438"/>
        <v>0</v>
      </c>
      <c r="AG1295" s="35"/>
      <c r="AH1295" s="36">
        <f t="shared" si="428"/>
        <v>0</v>
      </c>
      <c r="AI1295" s="40"/>
      <c r="AJ1295" s="36">
        <f t="shared" si="439"/>
        <v>0</v>
      </c>
      <c r="AK1295" s="35"/>
      <c r="AL1295" s="36">
        <f t="shared" si="429"/>
        <v>0</v>
      </c>
      <c r="AM1295" s="40"/>
      <c r="AN1295" s="36">
        <f t="shared" si="440"/>
        <v>0</v>
      </c>
      <c r="AO1295" s="35"/>
      <c r="AP1295" s="40"/>
    </row>
    <row r="1296" spans="1:42" ht="15.75" customHeight="1" x14ac:dyDescent="0.25">
      <c r="A1296" s="37">
        <v>2015</v>
      </c>
      <c r="B1296" s="35">
        <v>170625</v>
      </c>
      <c r="C1296" s="34" t="s">
        <v>146</v>
      </c>
      <c r="D1296" s="34" t="s">
        <v>48</v>
      </c>
      <c r="E1296" s="35"/>
      <c r="F1296" s="36">
        <f t="shared" si="430"/>
        <v>0</v>
      </c>
      <c r="G1296" s="40"/>
      <c r="H1296" s="36">
        <f t="shared" si="431"/>
        <v>0</v>
      </c>
      <c r="I1296" s="35"/>
      <c r="J1296" s="36">
        <f t="shared" si="432"/>
        <v>0</v>
      </c>
      <c r="K1296" s="40"/>
      <c r="L1296" s="36">
        <f t="shared" si="433"/>
        <v>0</v>
      </c>
      <c r="M1296" s="35"/>
      <c r="N1296" s="36">
        <f t="shared" si="423"/>
        <v>0</v>
      </c>
      <c r="O1296" s="40"/>
      <c r="P1296" s="36">
        <f t="shared" si="434"/>
        <v>0</v>
      </c>
      <c r="Q1296" s="35"/>
      <c r="R1296" s="36">
        <f t="shared" si="424"/>
        <v>0</v>
      </c>
      <c r="S1296" s="40"/>
      <c r="T1296" s="36">
        <f t="shared" si="435"/>
        <v>0</v>
      </c>
      <c r="U1296" s="35"/>
      <c r="V1296" s="36">
        <f t="shared" si="425"/>
        <v>0</v>
      </c>
      <c r="W1296" s="40"/>
      <c r="X1296" s="36">
        <f t="shared" si="436"/>
        <v>0</v>
      </c>
      <c r="Y1296" s="35"/>
      <c r="Z1296" s="36">
        <f t="shared" si="426"/>
        <v>0</v>
      </c>
      <c r="AA1296" s="40"/>
      <c r="AB1296" s="36">
        <f t="shared" si="437"/>
        <v>0</v>
      </c>
      <c r="AC1296" s="35"/>
      <c r="AD1296" s="36">
        <f t="shared" si="427"/>
        <v>0</v>
      </c>
      <c r="AE1296" s="40"/>
      <c r="AF1296" s="36">
        <f t="shared" si="438"/>
        <v>0</v>
      </c>
      <c r="AG1296" s="35"/>
      <c r="AH1296" s="36">
        <f t="shared" si="428"/>
        <v>0</v>
      </c>
      <c r="AI1296" s="40"/>
      <c r="AJ1296" s="36">
        <f t="shared" si="439"/>
        <v>0</v>
      </c>
      <c r="AK1296" s="35"/>
      <c r="AL1296" s="36">
        <f t="shared" si="429"/>
        <v>0</v>
      </c>
      <c r="AM1296" s="40"/>
      <c r="AN1296" s="36">
        <f t="shared" si="440"/>
        <v>0</v>
      </c>
      <c r="AO1296" s="35"/>
      <c r="AP1296" s="40"/>
    </row>
    <row r="1297" spans="1:42" ht="15.75" customHeight="1" x14ac:dyDescent="0.25">
      <c r="A1297" s="37">
        <v>2015</v>
      </c>
      <c r="B1297" s="35">
        <v>170650</v>
      </c>
      <c r="C1297" s="34" t="s">
        <v>149</v>
      </c>
      <c r="D1297" s="34" t="s">
        <v>49</v>
      </c>
      <c r="E1297" s="35"/>
      <c r="F1297" s="36">
        <f t="shared" si="430"/>
        <v>0</v>
      </c>
      <c r="G1297" s="40"/>
      <c r="H1297" s="36">
        <f t="shared" si="431"/>
        <v>0</v>
      </c>
      <c r="I1297" s="35"/>
      <c r="J1297" s="36">
        <f t="shared" si="432"/>
        <v>0</v>
      </c>
      <c r="K1297" s="40"/>
      <c r="L1297" s="36">
        <f t="shared" si="433"/>
        <v>0</v>
      </c>
      <c r="M1297" s="35"/>
      <c r="N1297" s="36">
        <f t="shared" si="423"/>
        <v>0</v>
      </c>
      <c r="O1297" s="40"/>
      <c r="P1297" s="36">
        <f t="shared" si="434"/>
        <v>0</v>
      </c>
      <c r="Q1297" s="35"/>
      <c r="R1297" s="36">
        <f t="shared" si="424"/>
        <v>0</v>
      </c>
      <c r="S1297" s="40"/>
      <c r="T1297" s="36">
        <f t="shared" si="435"/>
        <v>0</v>
      </c>
      <c r="U1297" s="35"/>
      <c r="V1297" s="36">
        <f t="shared" si="425"/>
        <v>0</v>
      </c>
      <c r="W1297" s="40"/>
      <c r="X1297" s="36">
        <f t="shared" si="436"/>
        <v>0</v>
      </c>
      <c r="Y1297" s="35"/>
      <c r="Z1297" s="36">
        <f t="shared" si="426"/>
        <v>0</v>
      </c>
      <c r="AA1297" s="40"/>
      <c r="AB1297" s="36">
        <f t="shared" si="437"/>
        <v>0</v>
      </c>
      <c r="AC1297" s="35"/>
      <c r="AD1297" s="36">
        <f t="shared" si="427"/>
        <v>0</v>
      </c>
      <c r="AE1297" s="40"/>
      <c r="AF1297" s="36">
        <f t="shared" si="438"/>
        <v>0</v>
      </c>
      <c r="AG1297" s="35"/>
      <c r="AH1297" s="36">
        <f t="shared" si="428"/>
        <v>0</v>
      </c>
      <c r="AI1297" s="40"/>
      <c r="AJ1297" s="36">
        <f t="shared" si="439"/>
        <v>0</v>
      </c>
      <c r="AK1297" s="35"/>
      <c r="AL1297" s="36">
        <f t="shared" si="429"/>
        <v>0</v>
      </c>
      <c r="AM1297" s="40"/>
      <c r="AN1297" s="36">
        <f t="shared" si="440"/>
        <v>0</v>
      </c>
      <c r="AO1297" s="35"/>
      <c r="AP1297" s="40"/>
    </row>
    <row r="1298" spans="1:42" ht="15.75" customHeight="1" x14ac:dyDescent="0.25">
      <c r="A1298" s="37">
        <v>2015</v>
      </c>
      <c r="B1298" s="35">
        <v>170700</v>
      </c>
      <c r="C1298" s="34" t="s">
        <v>147</v>
      </c>
      <c r="D1298" s="34" t="s">
        <v>50</v>
      </c>
      <c r="E1298" s="35"/>
      <c r="F1298" s="36">
        <f t="shared" si="430"/>
        <v>0</v>
      </c>
      <c r="G1298" s="40"/>
      <c r="H1298" s="36">
        <f t="shared" si="431"/>
        <v>0</v>
      </c>
      <c r="I1298" s="35"/>
      <c r="J1298" s="36">
        <f t="shared" si="432"/>
        <v>0</v>
      </c>
      <c r="K1298" s="40"/>
      <c r="L1298" s="36">
        <f t="shared" si="433"/>
        <v>0</v>
      </c>
      <c r="M1298" s="35"/>
      <c r="N1298" s="36">
        <f t="shared" si="423"/>
        <v>0</v>
      </c>
      <c r="O1298" s="40"/>
      <c r="P1298" s="36">
        <f t="shared" si="434"/>
        <v>0</v>
      </c>
      <c r="Q1298" s="35"/>
      <c r="R1298" s="36">
        <f t="shared" si="424"/>
        <v>0</v>
      </c>
      <c r="S1298" s="40"/>
      <c r="T1298" s="36">
        <f t="shared" si="435"/>
        <v>0</v>
      </c>
      <c r="U1298" s="35"/>
      <c r="V1298" s="36">
        <f t="shared" si="425"/>
        <v>0</v>
      </c>
      <c r="W1298" s="40"/>
      <c r="X1298" s="36">
        <f t="shared" si="436"/>
        <v>0</v>
      </c>
      <c r="Y1298" s="35"/>
      <c r="Z1298" s="36">
        <f t="shared" si="426"/>
        <v>0</v>
      </c>
      <c r="AA1298" s="40"/>
      <c r="AB1298" s="36">
        <f t="shared" si="437"/>
        <v>0</v>
      </c>
      <c r="AC1298" s="35"/>
      <c r="AD1298" s="36">
        <f t="shared" si="427"/>
        <v>0</v>
      </c>
      <c r="AE1298" s="40"/>
      <c r="AF1298" s="36">
        <f t="shared" si="438"/>
        <v>0</v>
      </c>
      <c r="AG1298" s="35"/>
      <c r="AH1298" s="36">
        <f t="shared" si="428"/>
        <v>0</v>
      </c>
      <c r="AI1298" s="40"/>
      <c r="AJ1298" s="36">
        <f t="shared" si="439"/>
        <v>0</v>
      </c>
      <c r="AK1298" s="35"/>
      <c r="AL1298" s="36">
        <f t="shared" si="429"/>
        <v>0</v>
      </c>
      <c r="AM1298" s="40"/>
      <c r="AN1298" s="36">
        <f t="shared" si="440"/>
        <v>0</v>
      </c>
      <c r="AO1298" s="35"/>
      <c r="AP1298" s="40"/>
    </row>
    <row r="1299" spans="1:42" ht="15.75" customHeight="1" x14ac:dyDescent="0.25">
      <c r="A1299" s="37">
        <v>2015</v>
      </c>
      <c r="B1299" s="35">
        <v>170710</v>
      </c>
      <c r="C1299" s="34" t="s">
        <v>144</v>
      </c>
      <c r="D1299" s="34" t="s">
        <v>51</v>
      </c>
      <c r="E1299" s="35"/>
      <c r="F1299" s="36">
        <f t="shared" si="430"/>
        <v>0</v>
      </c>
      <c r="G1299" s="40"/>
      <c r="H1299" s="36">
        <f t="shared" si="431"/>
        <v>0</v>
      </c>
      <c r="I1299" s="35"/>
      <c r="J1299" s="36">
        <f t="shared" si="432"/>
        <v>0</v>
      </c>
      <c r="K1299" s="40"/>
      <c r="L1299" s="36">
        <f t="shared" si="433"/>
        <v>0</v>
      </c>
      <c r="M1299" s="35"/>
      <c r="N1299" s="36">
        <f t="shared" si="423"/>
        <v>0</v>
      </c>
      <c r="O1299" s="40"/>
      <c r="P1299" s="36">
        <f t="shared" si="434"/>
        <v>0</v>
      </c>
      <c r="Q1299" s="35"/>
      <c r="R1299" s="36">
        <f t="shared" si="424"/>
        <v>0</v>
      </c>
      <c r="S1299" s="40"/>
      <c r="T1299" s="36">
        <f t="shared" si="435"/>
        <v>0</v>
      </c>
      <c r="U1299" s="35"/>
      <c r="V1299" s="36">
        <f t="shared" si="425"/>
        <v>0</v>
      </c>
      <c r="W1299" s="40"/>
      <c r="X1299" s="36">
        <f t="shared" si="436"/>
        <v>0</v>
      </c>
      <c r="Y1299" s="35"/>
      <c r="Z1299" s="36">
        <f t="shared" si="426"/>
        <v>0</v>
      </c>
      <c r="AA1299" s="40"/>
      <c r="AB1299" s="36">
        <f t="shared" si="437"/>
        <v>0</v>
      </c>
      <c r="AC1299" s="35"/>
      <c r="AD1299" s="36">
        <f t="shared" si="427"/>
        <v>0</v>
      </c>
      <c r="AE1299" s="40"/>
      <c r="AF1299" s="36">
        <f t="shared" si="438"/>
        <v>0</v>
      </c>
      <c r="AG1299" s="35"/>
      <c r="AH1299" s="36">
        <f t="shared" si="428"/>
        <v>0</v>
      </c>
      <c r="AI1299" s="40"/>
      <c r="AJ1299" s="36">
        <f t="shared" si="439"/>
        <v>0</v>
      </c>
      <c r="AK1299" s="35"/>
      <c r="AL1299" s="36">
        <f t="shared" si="429"/>
        <v>0</v>
      </c>
      <c r="AM1299" s="40"/>
      <c r="AN1299" s="36">
        <f t="shared" si="440"/>
        <v>0</v>
      </c>
      <c r="AO1299" s="35"/>
      <c r="AP1299" s="40"/>
    </row>
    <row r="1300" spans="1:42" ht="15.75" customHeight="1" x14ac:dyDescent="0.25">
      <c r="A1300" s="37">
        <v>2015</v>
      </c>
      <c r="B1300" s="35">
        <v>170720</v>
      </c>
      <c r="C1300" s="34" t="s">
        <v>144</v>
      </c>
      <c r="D1300" s="34" t="s">
        <v>52</v>
      </c>
      <c r="E1300" s="35"/>
      <c r="F1300" s="36">
        <f t="shared" si="430"/>
        <v>0</v>
      </c>
      <c r="G1300" s="40"/>
      <c r="H1300" s="36">
        <f t="shared" si="431"/>
        <v>0</v>
      </c>
      <c r="I1300" s="35"/>
      <c r="J1300" s="36">
        <f t="shared" si="432"/>
        <v>0</v>
      </c>
      <c r="K1300" s="40"/>
      <c r="L1300" s="36">
        <f t="shared" si="433"/>
        <v>0</v>
      </c>
      <c r="M1300" s="35"/>
      <c r="N1300" s="36">
        <f t="shared" si="423"/>
        <v>0</v>
      </c>
      <c r="O1300" s="40"/>
      <c r="P1300" s="36">
        <f t="shared" si="434"/>
        <v>0</v>
      </c>
      <c r="Q1300" s="35"/>
      <c r="R1300" s="36">
        <f t="shared" si="424"/>
        <v>0</v>
      </c>
      <c r="S1300" s="40"/>
      <c r="T1300" s="36">
        <f t="shared" si="435"/>
        <v>0</v>
      </c>
      <c r="U1300" s="35"/>
      <c r="V1300" s="36">
        <f t="shared" si="425"/>
        <v>0</v>
      </c>
      <c r="W1300" s="40"/>
      <c r="X1300" s="36">
        <f t="shared" si="436"/>
        <v>0</v>
      </c>
      <c r="Y1300" s="35"/>
      <c r="Z1300" s="36">
        <f t="shared" si="426"/>
        <v>0</v>
      </c>
      <c r="AA1300" s="40"/>
      <c r="AB1300" s="36">
        <f t="shared" si="437"/>
        <v>0</v>
      </c>
      <c r="AC1300" s="35"/>
      <c r="AD1300" s="36">
        <f t="shared" si="427"/>
        <v>0</v>
      </c>
      <c r="AE1300" s="40"/>
      <c r="AF1300" s="36">
        <f t="shared" si="438"/>
        <v>0</v>
      </c>
      <c r="AG1300" s="35"/>
      <c r="AH1300" s="36">
        <f t="shared" si="428"/>
        <v>0</v>
      </c>
      <c r="AI1300" s="40"/>
      <c r="AJ1300" s="36">
        <f t="shared" si="439"/>
        <v>0</v>
      </c>
      <c r="AK1300" s="35"/>
      <c r="AL1300" s="36">
        <f t="shared" si="429"/>
        <v>0</v>
      </c>
      <c r="AM1300" s="40"/>
      <c r="AN1300" s="36">
        <f t="shared" si="440"/>
        <v>0</v>
      </c>
      <c r="AO1300" s="35"/>
      <c r="AP1300" s="40"/>
    </row>
    <row r="1301" spans="1:42" ht="15.75" customHeight="1" x14ac:dyDescent="0.25">
      <c r="A1301" s="37">
        <v>2015</v>
      </c>
      <c r="B1301" s="35">
        <v>170730</v>
      </c>
      <c r="C1301" s="34" t="s">
        <v>146</v>
      </c>
      <c r="D1301" s="34" t="s">
        <v>53</v>
      </c>
      <c r="E1301" s="35"/>
      <c r="F1301" s="36">
        <f t="shared" si="430"/>
        <v>0</v>
      </c>
      <c r="G1301" s="40"/>
      <c r="H1301" s="36">
        <f t="shared" si="431"/>
        <v>0</v>
      </c>
      <c r="I1301" s="35"/>
      <c r="J1301" s="36">
        <f t="shared" si="432"/>
        <v>0</v>
      </c>
      <c r="K1301" s="40"/>
      <c r="L1301" s="36">
        <f t="shared" si="433"/>
        <v>0</v>
      </c>
      <c r="M1301" s="35"/>
      <c r="N1301" s="36">
        <f t="shared" si="423"/>
        <v>0</v>
      </c>
      <c r="O1301" s="40"/>
      <c r="P1301" s="36">
        <f t="shared" si="434"/>
        <v>0</v>
      </c>
      <c r="Q1301" s="35"/>
      <c r="R1301" s="36">
        <f t="shared" si="424"/>
        <v>0</v>
      </c>
      <c r="S1301" s="40"/>
      <c r="T1301" s="36">
        <f t="shared" si="435"/>
        <v>0</v>
      </c>
      <c r="U1301" s="35"/>
      <c r="V1301" s="36">
        <f t="shared" si="425"/>
        <v>0</v>
      </c>
      <c r="W1301" s="40"/>
      <c r="X1301" s="36">
        <f t="shared" si="436"/>
        <v>0</v>
      </c>
      <c r="Y1301" s="35"/>
      <c r="Z1301" s="36">
        <f t="shared" si="426"/>
        <v>0</v>
      </c>
      <c r="AA1301" s="40"/>
      <c r="AB1301" s="36">
        <f t="shared" si="437"/>
        <v>0</v>
      </c>
      <c r="AC1301" s="35"/>
      <c r="AD1301" s="36">
        <f t="shared" si="427"/>
        <v>0</v>
      </c>
      <c r="AE1301" s="40"/>
      <c r="AF1301" s="36">
        <f t="shared" si="438"/>
        <v>0</v>
      </c>
      <c r="AG1301" s="35"/>
      <c r="AH1301" s="36">
        <f t="shared" si="428"/>
        <v>0</v>
      </c>
      <c r="AI1301" s="40"/>
      <c r="AJ1301" s="36">
        <f t="shared" si="439"/>
        <v>0</v>
      </c>
      <c r="AK1301" s="35"/>
      <c r="AL1301" s="36">
        <f t="shared" si="429"/>
        <v>0</v>
      </c>
      <c r="AM1301" s="40"/>
      <c r="AN1301" s="36">
        <f t="shared" si="440"/>
        <v>0</v>
      </c>
      <c r="AO1301" s="35"/>
      <c r="AP1301" s="40"/>
    </row>
    <row r="1302" spans="1:42" ht="15.75" customHeight="1" x14ac:dyDescent="0.25">
      <c r="A1302" s="37">
        <v>2015</v>
      </c>
      <c r="B1302" s="35">
        <v>170740</v>
      </c>
      <c r="C1302" s="34" t="s">
        <v>145</v>
      </c>
      <c r="D1302" s="34" t="s">
        <v>54</v>
      </c>
      <c r="E1302" s="35"/>
      <c r="F1302" s="36">
        <f t="shared" si="430"/>
        <v>0</v>
      </c>
      <c r="G1302" s="40"/>
      <c r="H1302" s="36">
        <f t="shared" si="431"/>
        <v>0</v>
      </c>
      <c r="I1302" s="35"/>
      <c r="J1302" s="36">
        <f t="shared" si="432"/>
        <v>0</v>
      </c>
      <c r="K1302" s="40"/>
      <c r="L1302" s="36">
        <f t="shared" si="433"/>
        <v>0</v>
      </c>
      <c r="M1302" s="35"/>
      <c r="N1302" s="36">
        <f t="shared" si="423"/>
        <v>0</v>
      </c>
      <c r="O1302" s="40"/>
      <c r="P1302" s="36">
        <f t="shared" si="434"/>
        <v>0</v>
      </c>
      <c r="Q1302" s="35"/>
      <c r="R1302" s="36">
        <f t="shared" si="424"/>
        <v>0</v>
      </c>
      <c r="S1302" s="40"/>
      <c r="T1302" s="36">
        <f t="shared" si="435"/>
        <v>0</v>
      </c>
      <c r="U1302" s="35"/>
      <c r="V1302" s="36">
        <f t="shared" si="425"/>
        <v>0</v>
      </c>
      <c r="W1302" s="40"/>
      <c r="X1302" s="36">
        <f t="shared" si="436"/>
        <v>0</v>
      </c>
      <c r="Y1302" s="35"/>
      <c r="Z1302" s="36">
        <f t="shared" si="426"/>
        <v>0</v>
      </c>
      <c r="AA1302" s="40"/>
      <c r="AB1302" s="36">
        <f t="shared" si="437"/>
        <v>0</v>
      </c>
      <c r="AC1302" s="35"/>
      <c r="AD1302" s="36">
        <f t="shared" si="427"/>
        <v>0</v>
      </c>
      <c r="AE1302" s="40"/>
      <c r="AF1302" s="36">
        <f t="shared" si="438"/>
        <v>0</v>
      </c>
      <c r="AG1302" s="35"/>
      <c r="AH1302" s="36">
        <f t="shared" si="428"/>
        <v>0</v>
      </c>
      <c r="AI1302" s="40"/>
      <c r="AJ1302" s="36">
        <f t="shared" si="439"/>
        <v>0</v>
      </c>
      <c r="AK1302" s="35"/>
      <c r="AL1302" s="36">
        <f t="shared" si="429"/>
        <v>0</v>
      </c>
      <c r="AM1302" s="40"/>
      <c r="AN1302" s="36">
        <f t="shared" si="440"/>
        <v>0</v>
      </c>
      <c r="AO1302" s="35"/>
      <c r="AP1302" s="40"/>
    </row>
    <row r="1303" spans="1:42" ht="15.75" customHeight="1" x14ac:dyDescent="0.25">
      <c r="A1303" s="37">
        <v>2015</v>
      </c>
      <c r="B1303" s="35">
        <v>170755</v>
      </c>
      <c r="C1303" s="34" t="s">
        <v>151</v>
      </c>
      <c r="D1303" s="34" t="s">
        <v>55</v>
      </c>
      <c r="E1303" s="35"/>
      <c r="F1303" s="36">
        <f t="shared" si="430"/>
        <v>0</v>
      </c>
      <c r="G1303" s="40"/>
      <c r="H1303" s="36">
        <f t="shared" si="431"/>
        <v>0</v>
      </c>
      <c r="I1303" s="35"/>
      <c r="J1303" s="36">
        <f t="shared" si="432"/>
        <v>0</v>
      </c>
      <c r="K1303" s="40"/>
      <c r="L1303" s="36">
        <f t="shared" si="433"/>
        <v>0</v>
      </c>
      <c r="M1303" s="35"/>
      <c r="N1303" s="36">
        <f t="shared" si="423"/>
        <v>0</v>
      </c>
      <c r="O1303" s="40"/>
      <c r="P1303" s="36">
        <f t="shared" si="434"/>
        <v>0</v>
      </c>
      <c r="Q1303" s="35"/>
      <c r="R1303" s="36">
        <f t="shared" si="424"/>
        <v>0</v>
      </c>
      <c r="S1303" s="40"/>
      <c r="T1303" s="36">
        <f t="shared" si="435"/>
        <v>0</v>
      </c>
      <c r="U1303" s="35"/>
      <c r="V1303" s="36">
        <f t="shared" si="425"/>
        <v>0</v>
      </c>
      <c r="W1303" s="40"/>
      <c r="X1303" s="36">
        <f t="shared" si="436"/>
        <v>0</v>
      </c>
      <c r="Y1303" s="35"/>
      <c r="Z1303" s="36">
        <f t="shared" si="426"/>
        <v>0</v>
      </c>
      <c r="AA1303" s="40"/>
      <c r="AB1303" s="36">
        <f t="shared" si="437"/>
        <v>0</v>
      </c>
      <c r="AC1303" s="35"/>
      <c r="AD1303" s="36">
        <f t="shared" si="427"/>
        <v>0</v>
      </c>
      <c r="AE1303" s="40"/>
      <c r="AF1303" s="36">
        <f t="shared" si="438"/>
        <v>0</v>
      </c>
      <c r="AG1303" s="35"/>
      <c r="AH1303" s="36">
        <f t="shared" si="428"/>
        <v>0</v>
      </c>
      <c r="AI1303" s="40"/>
      <c r="AJ1303" s="36">
        <f t="shared" si="439"/>
        <v>0</v>
      </c>
      <c r="AK1303" s="35"/>
      <c r="AL1303" s="36">
        <f t="shared" si="429"/>
        <v>0</v>
      </c>
      <c r="AM1303" s="40"/>
      <c r="AN1303" s="36">
        <f t="shared" si="440"/>
        <v>0</v>
      </c>
      <c r="AO1303" s="35"/>
      <c r="AP1303" s="40"/>
    </row>
    <row r="1304" spans="1:42" ht="15.75" customHeight="1" x14ac:dyDescent="0.25">
      <c r="A1304" s="37">
        <v>2015</v>
      </c>
      <c r="B1304" s="35">
        <v>170765</v>
      </c>
      <c r="C1304" s="34" t="s">
        <v>146</v>
      </c>
      <c r="D1304" s="34" t="s">
        <v>56</v>
      </c>
      <c r="E1304" s="35"/>
      <c r="F1304" s="36">
        <f t="shared" si="430"/>
        <v>0</v>
      </c>
      <c r="G1304" s="40"/>
      <c r="H1304" s="36">
        <f t="shared" si="431"/>
        <v>0</v>
      </c>
      <c r="I1304" s="35"/>
      <c r="J1304" s="36">
        <f t="shared" si="432"/>
        <v>0</v>
      </c>
      <c r="K1304" s="40"/>
      <c r="L1304" s="36">
        <f t="shared" si="433"/>
        <v>0</v>
      </c>
      <c r="M1304" s="35"/>
      <c r="N1304" s="36">
        <f t="shared" si="423"/>
        <v>0</v>
      </c>
      <c r="O1304" s="40"/>
      <c r="P1304" s="36">
        <f t="shared" si="434"/>
        <v>0</v>
      </c>
      <c r="Q1304" s="35"/>
      <c r="R1304" s="36">
        <f t="shared" si="424"/>
        <v>0</v>
      </c>
      <c r="S1304" s="40"/>
      <c r="T1304" s="36">
        <f t="shared" si="435"/>
        <v>0</v>
      </c>
      <c r="U1304" s="35"/>
      <c r="V1304" s="36">
        <f t="shared" si="425"/>
        <v>0</v>
      </c>
      <c r="W1304" s="40"/>
      <c r="X1304" s="36">
        <f t="shared" si="436"/>
        <v>0</v>
      </c>
      <c r="Y1304" s="35"/>
      <c r="Z1304" s="36">
        <f t="shared" si="426"/>
        <v>0</v>
      </c>
      <c r="AA1304" s="40"/>
      <c r="AB1304" s="36">
        <f t="shared" si="437"/>
        <v>0</v>
      </c>
      <c r="AC1304" s="35"/>
      <c r="AD1304" s="36">
        <f t="shared" si="427"/>
        <v>0</v>
      </c>
      <c r="AE1304" s="40"/>
      <c r="AF1304" s="36">
        <f t="shared" si="438"/>
        <v>0</v>
      </c>
      <c r="AG1304" s="35"/>
      <c r="AH1304" s="36">
        <f t="shared" si="428"/>
        <v>0</v>
      </c>
      <c r="AI1304" s="40"/>
      <c r="AJ1304" s="36">
        <f t="shared" si="439"/>
        <v>0</v>
      </c>
      <c r="AK1304" s="35"/>
      <c r="AL1304" s="36">
        <f t="shared" si="429"/>
        <v>0</v>
      </c>
      <c r="AM1304" s="40"/>
      <c r="AN1304" s="36">
        <f t="shared" si="440"/>
        <v>0</v>
      </c>
      <c r="AO1304" s="35"/>
      <c r="AP1304" s="40"/>
    </row>
    <row r="1305" spans="1:42" ht="15.75" customHeight="1" x14ac:dyDescent="0.25">
      <c r="A1305" s="37">
        <v>2015</v>
      </c>
      <c r="B1305" s="35">
        <v>170770</v>
      </c>
      <c r="C1305" s="34" t="s">
        <v>149</v>
      </c>
      <c r="D1305" s="34" t="s">
        <v>57</v>
      </c>
      <c r="E1305" s="35"/>
      <c r="F1305" s="36">
        <f t="shared" si="430"/>
        <v>0</v>
      </c>
      <c r="G1305" s="40"/>
      <c r="H1305" s="36">
        <f t="shared" si="431"/>
        <v>0</v>
      </c>
      <c r="I1305" s="35"/>
      <c r="J1305" s="36">
        <f t="shared" si="432"/>
        <v>0</v>
      </c>
      <c r="K1305" s="40"/>
      <c r="L1305" s="36">
        <f t="shared" si="433"/>
        <v>0</v>
      </c>
      <c r="M1305" s="35"/>
      <c r="N1305" s="36">
        <f t="shared" si="423"/>
        <v>0</v>
      </c>
      <c r="O1305" s="40"/>
      <c r="P1305" s="36">
        <f t="shared" si="434"/>
        <v>0</v>
      </c>
      <c r="Q1305" s="35"/>
      <c r="R1305" s="36">
        <f t="shared" si="424"/>
        <v>0</v>
      </c>
      <c r="S1305" s="40"/>
      <c r="T1305" s="36">
        <f t="shared" si="435"/>
        <v>0</v>
      </c>
      <c r="U1305" s="35"/>
      <c r="V1305" s="36">
        <f t="shared" si="425"/>
        <v>0</v>
      </c>
      <c r="W1305" s="40"/>
      <c r="X1305" s="36">
        <f t="shared" si="436"/>
        <v>0</v>
      </c>
      <c r="Y1305" s="35"/>
      <c r="Z1305" s="36">
        <f t="shared" si="426"/>
        <v>0</v>
      </c>
      <c r="AA1305" s="40"/>
      <c r="AB1305" s="36">
        <f t="shared" si="437"/>
        <v>0</v>
      </c>
      <c r="AC1305" s="35"/>
      <c r="AD1305" s="36">
        <f t="shared" si="427"/>
        <v>0</v>
      </c>
      <c r="AE1305" s="40"/>
      <c r="AF1305" s="36">
        <f t="shared" si="438"/>
        <v>0</v>
      </c>
      <c r="AG1305" s="35"/>
      <c r="AH1305" s="36">
        <f t="shared" si="428"/>
        <v>0</v>
      </c>
      <c r="AI1305" s="40"/>
      <c r="AJ1305" s="36">
        <f t="shared" si="439"/>
        <v>0</v>
      </c>
      <c r="AK1305" s="35"/>
      <c r="AL1305" s="36">
        <f t="shared" si="429"/>
        <v>0</v>
      </c>
      <c r="AM1305" s="40"/>
      <c r="AN1305" s="36">
        <f t="shared" si="440"/>
        <v>0</v>
      </c>
      <c r="AO1305" s="35"/>
      <c r="AP1305" s="40"/>
    </row>
    <row r="1306" spans="1:42" ht="15.75" customHeight="1" x14ac:dyDescent="0.25">
      <c r="A1306" s="37">
        <v>2015</v>
      </c>
      <c r="B1306" s="35">
        <v>170820</v>
      </c>
      <c r="C1306" s="34" t="s">
        <v>146</v>
      </c>
      <c r="D1306" s="34" t="s">
        <v>58</v>
      </c>
      <c r="E1306" s="35"/>
      <c r="F1306" s="36">
        <f t="shared" si="430"/>
        <v>0</v>
      </c>
      <c r="G1306" s="40"/>
      <c r="H1306" s="36">
        <f t="shared" si="431"/>
        <v>0</v>
      </c>
      <c r="I1306" s="35"/>
      <c r="J1306" s="36">
        <f t="shared" si="432"/>
        <v>0</v>
      </c>
      <c r="K1306" s="40"/>
      <c r="L1306" s="36">
        <f t="shared" si="433"/>
        <v>0</v>
      </c>
      <c r="M1306" s="35"/>
      <c r="N1306" s="36">
        <f t="shared" si="423"/>
        <v>0</v>
      </c>
      <c r="O1306" s="40"/>
      <c r="P1306" s="36">
        <f t="shared" si="434"/>
        <v>0</v>
      </c>
      <c r="Q1306" s="35"/>
      <c r="R1306" s="36">
        <f t="shared" si="424"/>
        <v>0</v>
      </c>
      <c r="S1306" s="40"/>
      <c r="T1306" s="36">
        <f t="shared" si="435"/>
        <v>0</v>
      </c>
      <c r="U1306" s="35"/>
      <c r="V1306" s="36">
        <f t="shared" si="425"/>
        <v>0</v>
      </c>
      <c r="W1306" s="40"/>
      <c r="X1306" s="36">
        <f t="shared" si="436"/>
        <v>0</v>
      </c>
      <c r="Y1306" s="35"/>
      <c r="Z1306" s="36">
        <f t="shared" si="426"/>
        <v>0</v>
      </c>
      <c r="AA1306" s="40"/>
      <c r="AB1306" s="36">
        <f t="shared" si="437"/>
        <v>0</v>
      </c>
      <c r="AC1306" s="35"/>
      <c r="AD1306" s="36">
        <f t="shared" si="427"/>
        <v>0</v>
      </c>
      <c r="AE1306" s="40"/>
      <c r="AF1306" s="36">
        <f t="shared" si="438"/>
        <v>0</v>
      </c>
      <c r="AG1306" s="35"/>
      <c r="AH1306" s="36">
        <f t="shared" si="428"/>
        <v>0</v>
      </c>
      <c r="AI1306" s="40"/>
      <c r="AJ1306" s="36">
        <f t="shared" si="439"/>
        <v>0</v>
      </c>
      <c r="AK1306" s="35"/>
      <c r="AL1306" s="36">
        <f t="shared" si="429"/>
        <v>0</v>
      </c>
      <c r="AM1306" s="40"/>
      <c r="AN1306" s="36">
        <f t="shared" si="440"/>
        <v>0</v>
      </c>
      <c r="AO1306" s="35"/>
      <c r="AP1306" s="40"/>
    </row>
    <row r="1307" spans="1:42" ht="15.75" customHeight="1" x14ac:dyDescent="0.25">
      <c r="A1307" s="37">
        <v>2015</v>
      </c>
      <c r="B1307" s="35">
        <v>170830</v>
      </c>
      <c r="C1307" s="34" t="s">
        <v>150</v>
      </c>
      <c r="D1307" s="34" t="s">
        <v>59</v>
      </c>
      <c r="E1307" s="35"/>
      <c r="F1307" s="36">
        <f t="shared" si="430"/>
        <v>0</v>
      </c>
      <c r="G1307" s="40"/>
      <c r="H1307" s="36">
        <f t="shared" si="431"/>
        <v>0</v>
      </c>
      <c r="I1307" s="35"/>
      <c r="J1307" s="36">
        <f t="shared" si="432"/>
        <v>0</v>
      </c>
      <c r="K1307" s="40"/>
      <c r="L1307" s="36">
        <f t="shared" si="433"/>
        <v>0</v>
      </c>
      <c r="M1307" s="35"/>
      <c r="N1307" s="36">
        <f t="shared" si="423"/>
        <v>0</v>
      </c>
      <c r="O1307" s="40"/>
      <c r="P1307" s="36">
        <f t="shared" si="434"/>
        <v>0</v>
      </c>
      <c r="Q1307" s="35"/>
      <c r="R1307" s="36">
        <f t="shared" si="424"/>
        <v>0</v>
      </c>
      <c r="S1307" s="40"/>
      <c r="T1307" s="36">
        <f t="shared" si="435"/>
        <v>0</v>
      </c>
      <c r="U1307" s="35"/>
      <c r="V1307" s="36">
        <f t="shared" si="425"/>
        <v>0</v>
      </c>
      <c r="W1307" s="40"/>
      <c r="X1307" s="36">
        <f t="shared" si="436"/>
        <v>0</v>
      </c>
      <c r="Y1307" s="35"/>
      <c r="Z1307" s="36">
        <f t="shared" si="426"/>
        <v>0</v>
      </c>
      <c r="AA1307" s="40"/>
      <c r="AB1307" s="36">
        <f t="shared" si="437"/>
        <v>0</v>
      </c>
      <c r="AC1307" s="35"/>
      <c r="AD1307" s="36">
        <f t="shared" si="427"/>
        <v>0</v>
      </c>
      <c r="AE1307" s="40"/>
      <c r="AF1307" s="36">
        <f t="shared" si="438"/>
        <v>0</v>
      </c>
      <c r="AG1307" s="35"/>
      <c r="AH1307" s="36">
        <f t="shared" si="428"/>
        <v>0</v>
      </c>
      <c r="AI1307" s="40"/>
      <c r="AJ1307" s="36">
        <f t="shared" si="439"/>
        <v>0</v>
      </c>
      <c r="AK1307" s="35"/>
      <c r="AL1307" s="36">
        <f t="shared" si="429"/>
        <v>0</v>
      </c>
      <c r="AM1307" s="40"/>
      <c r="AN1307" s="36">
        <f t="shared" si="440"/>
        <v>0</v>
      </c>
      <c r="AO1307" s="35"/>
      <c r="AP1307" s="40"/>
    </row>
    <row r="1308" spans="1:42" ht="15.75" customHeight="1" x14ac:dyDescent="0.25">
      <c r="A1308" s="37">
        <v>2015</v>
      </c>
      <c r="B1308" s="35">
        <v>170900</v>
      </c>
      <c r="C1308" s="34" t="s">
        <v>149</v>
      </c>
      <c r="D1308" s="34" t="s">
        <v>60</v>
      </c>
      <c r="E1308" s="35"/>
      <c r="F1308" s="36">
        <f t="shared" si="430"/>
        <v>0</v>
      </c>
      <c r="G1308" s="40"/>
      <c r="H1308" s="36">
        <f t="shared" si="431"/>
        <v>0</v>
      </c>
      <c r="I1308" s="35"/>
      <c r="J1308" s="36">
        <f t="shared" si="432"/>
        <v>0</v>
      </c>
      <c r="K1308" s="40"/>
      <c r="L1308" s="36">
        <f t="shared" si="433"/>
        <v>0</v>
      </c>
      <c r="M1308" s="35"/>
      <c r="N1308" s="36">
        <f t="shared" si="423"/>
        <v>0</v>
      </c>
      <c r="O1308" s="40"/>
      <c r="P1308" s="36">
        <f t="shared" si="434"/>
        <v>0</v>
      </c>
      <c r="Q1308" s="35"/>
      <c r="R1308" s="36">
        <f t="shared" si="424"/>
        <v>0</v>
      </c>
      <c r="S1308" s="40"/>
      <c r="T1308" s="36">
        <f t="shared" si="435"/>
        <v>0</v>
      </c>
      <c r="U1308" s="35"/>
      <c r="V1308" s="36">
        <f t="shared" si="425"/>
        <v>0</v>
      </c>
      <c r="W1308" s="40"/>
      <c r="X1308" s="36">
        <f t="shared" si="436"/>
        <v>0</v>
      </c>
      <c r="Y1308" s="35"/>
      <c r="Z1308" s="36">
        <f t="shared" si="426"/>
        <v>0</v>
      </c>
      <c r="AA1308" s="40"/>
      <c r="AB1308" s="36">
        <f t="shared" si="437"/>
        <v>0</v>
      </c>
      <c r="AC1308" s="35"/>
      <c r="AD1308" s="36">
        <f t="shared" si="427"/>
        <v>0</v>
      </c>
      <c r="AE1308" s="40"/>
      <c r="AF1308" s="36">
        <f t="shared" si="438"/>
        <v>0</v>
      </c>
      <c r="AG1308" s="35"/>
      <c r="AH1308" s="36">
        <f t="shared" si="428"/>
        <v>0</v>
      </c>
      <c r="AI1308" s="40"/>
      <c r="AJ1308" s="36">
        <f t="shared" si="439"/>
        <v>0</v>
      </c>
      <c r="AK1308" s="35"/>
      <c r="AL1308" s="36">
        <f t="shared" si="429"/>
        <v>0</v>
      </c>
      <c r="AM1308" s="40"/>
      <c r="AN1308" s="36">
        <f t="shared" si="440"/>
        <v>0</v>
      </c>
      <c r="AO1308" s="35"/>
      <c r="AP1308" s="40"/>
    </row>
    <row r="1309" spans="1:42" ht="15.75" customHeight="1" x14ac:dyDescent="0.25">
      <c r="A1309" s="37">
        <v>2015</v>
      </c>
      <c r="B1309" s="35">
        <v>170930</v>
      </c>
      <c r="C1309" s="34" t="s">
        <v>150</v>
      </c>
      <c r="D1309" s="34" t="s">
        <v>61</v>
      </c>
      <c r="E1309" s="35"/>
      <c r="F1309" s="36">
        <f t="shared" si="430"/>
        <v>0</v>
      </c>
      <c r="G1309" s="40"/>
      <c r="H1309" s="36">
        <f t="shared" si="431"/>
        <v>0</v>
      </c>
      <c r="I1309" s="35"/>
      <c r="J1309" s="36">
        <f t="shared" si="432"/>
        <v>0</v>
      </c>
      <c r="K1309" s="40"/>
      <c r="L1309" s="36">
        <f t="shared" si="433"/>
        <v>0</v>
      </c>
      <c r="M1309" s="35"/>
      <c r="N1309" s="36">
        <f t="shared" si="423"/>
        <v>0</v>
      </c>
      <c r="O1309" s="40"/>
      <c r="P1309" s="36">
        <f t="shared" si="434"/>
        <v>0</v>
      </c>
      <c r="Q1309" s="35"/>
      <c r="R1309" s="36">
        <f t="shared" si="424"/>
        <v>0</v>
      </c>
      <c r="S1309" s="40"/>
      <c r="T1309" s="36">
        <f t="shared" si="435"/>
        <v>0</v>
      </c>
      <c r="U1309" s="35"/>
      <c r="V1309" s="36">
        <f t="shared" si="425"/>
        <v>0</v>
      </c>
      <c r="W1309" s="40"/>
      <c r="X1309" s="36">
        <f t="shared" si="436"/>
        <v>0</v>
      </c>
      <c r="Y1309" s="35"/>
      <c r="Z1309" s="36">
        <f t="shared" si="426"/>
        <v>0</v>
      </c>
      <c r="AA1309" s="40"/>
      <c r="AB1309" s="36">
        <f t="shared" si="437"/>
        <v>0</v>
      </c>
      <c r="AC1309" s="35"/>
      <c r="AD1309" s="36">
        <f t="shared" si="427"/>
        <v>0</v>
      </c>
      <c r="AE1309" s="40"/>
      <c r="AF1309" s="36">
        <f t="shared" si="438"/>
        <v>0</v>
      </c>
      <c r="AG1309" s="35"/>
      <c r="AH1309" s="36">
        <f t="shared" si="428"/>
        <v>0</v>
      </c>
      <c r="AI1309" s="40"/>
      <c r="AJ1309" s="36">
        <f t="shared" si="439"/>
        <v>0</v>
      </c>
      <c r="AK1309" s="35"/>
      <c r="AL1309" s="36">
        <f t="shared" si="429"/>
        <v>0</v>
      </c>
      <c r="AM1309" s="40"/>
      <c r="AN1309" s="36">
        <f t="shared" si="440"/>
        <v>0</v>
      </c>
      <c r="AO1309" s="35"/>
      <c r="AP1309" s="40"/>
    </row>
    <row r="1310" spans="1:42" ht="15.75" customHeight="1" x14ac:dyDescent="0.25">
      <c r="A1310" s="37">
        <v>2015</v>
      </c>
      <c r="B1310" s="35">
        <v>170950</v>
      </c>
      <c r="C1310" s="34" t="s">
        <v>146</v>
      </c>
      <c r="D1310" s="34" t="s">
        <v>62</v>
      </c>
      <c r="E1310" s="35"/>
      <c r="F1310" s="36">
        <f t="shared" si="430"/>
        <v>0</v>
      </c>
      <c r="G1310" s="40"/>
      <c r="H1310" s="36">
        <f t="shared" si="431"/>
        <v>0</v>
      </c>
      <c r="I1310" s="35"/>
      <c r="J1310" s="36">
        <f t="shared" si="432"/>
        <v>0</v>
      </c>
      <c r="K1310" s="40"/>
      <c r="L1310" s="36">
        <f t="shared" si="433"/>
        <v>0</v>
      </c>
      <c r="M1310" s="35"/>
      <c r="N1310" s="36">
        <f t="shared" si="423"/>
        <v>0</v>
      </c>
      <c r="O1310" s="41"/>
      <c r="P1310" s="36">
        <f t="shared" si="434"/>
        <v>0</v>
      </c>
      <c r="Q1310" s="35"/>
      <c r="R1310" s="36">
        <f t="shared" si="424"/>
        <v>0</v>
      </c>
      <c r="S1310" s="40"/>
      <c r="T1310" s="36">
        <f t="shared" si="435"/>
        <v>0</v>
      </c>
      <c r="U1310" s="35"/>
      <c r="V1310" s="36">
        <f t="shared" si="425"/>
        <v>0</v>
      </c>
      <c r="W1310" s="40"/>
      <c r="X1310" s="36">
        <f t="shared" si="436"/>
        <v>0</v>
      </c>
      <c r="Y1310" s="35"/>
      <c r="Z1310" s="36">
        <f t="shared" si="426"/>
        <v>0</v>
      </c>
      <c r="AA1310" s="41"/>
      <c r="AB1310" s="36">
        <f t="shared" si="437"/>
        <v>0</v>
      </c>
      <c r="AC1310" s="35"/>
      <c r="AD1310" s="36">
        <f t="shared" si="427"/>
        <v>0</v>
      </c>
      <c r="AE1310" s="40"/>
      <c r="AF1310" s="36">
        <f t="shared" si="438"/>
        <v>0</v>
      </c>
      <c r="AG1310" s="35"/>
      <c r="AH1310" s="36">
        <f t="shared" si="428"/>
        <v>0</v>
      </c>
      <c r="AI1310" s="40"/>
      <c r="AJ1310" s="36">
        <f t="shared" si="439"/>
        <v>0</v>
      </c>
      <c r="AK1310" s="35"/>
      <c r="AL1310" s="36">
        <f t="shared" si="429"/>
        <v>0</v>
      </c>
      <c r="AM1310" s="40"/>
      <c r="AN1310" s="36">
        <f t="shared" si="440"/>
        <v>0</v>
      </c>
      <c r="AO1310" s="35"/>
      <c r="AP1310" s="41"/>
    </row>
    <row r="1311" spans="1:42" ht="15.75" customHeight="1" x14ac:dyDescent="0.25">
      <c r="A1311" s="37">
        <v>2015</v>
      </c>
      <c r="B1311" s="35">
        <v>170980</v>
      </c>
      <c r="C1311" s="34" t="s">
        <v>151</v>
      </c>
      <c r="D1311" s="34" t="s">
        <v>63</v>
      </c>
      <c r="E1311" s="35"/>
      <c r="F1311" s="36">
        <f t="shared" si="430"/>
        <v>0</v>
      </c>
      <c r="G1311" s="40"/>
      <c r="H1311" s="36">
        <f t="shared" si="431"/>
        <v>0</v>
      </c>
      <c r="I1311" s="35"/>
      <c r="J1311" s="36">
        <f t="shared" si="432"/>
        <v>0</v>
      </c>
      <c r="K1311" s="40"/>
      <c r="L1311" s="36">
        <f t="shared" si="433"/>
        <v>0</v>
      </c>
      <c r="M1311" s="35"/>
      <c r="N1311" s="36">
        <f t="shared" si="423"/>
        <v>0</v>
      </c>
      <c r="O1311" s="40"/>
      <c r="P1311" s="36">
        <f t="shared" si="434"/>
        <v>0</v>
      </c>
      <c r="Q1311" s="35"/>
      <c r="R1311" s="36">
        <f t="shared" si="424"/>
        <v>0</v>
      </c>
      <c r="S1311" s="40"/>
      <c r="T1311" s="36">
        <f t="shared" si="435"/>
        <v>0</v>
      </c>
      <c r="U1311" s="35"/>
      <c r="V1311" s="36">
        <f t="shared" si="425"/>
        <v>0</v>
      </c>
      <c r="W1311" s="40"/>
      <c r="X1311" s="36">
        <f t="shared" si="436"/>
        <v>0</v>
      </c>
      <c r="Y1311" s="35"/>
      <c r="Z1311" s="36">
        <f t="shared" si="426"/>
        <v>0</v>
      </c>
      <c r="AA1311" s="40"/>
      <c r="AB1311" s="36">
        <f t="shared" si="437"/>
        <v>0</v>
      </c>
      <c r="AC1311" s="35"/>
      <c r="AD1311" s="36">
        <f t="shared" si="427"/>
        <v>0</v>
      </c>
      <c r="AE1311" s="40"/>
      <c r="AF1311" s="36">
        <f t="shared" si="438"/>
        <v>0</v>
      </c>
      <c r="AG1311" s="35"/>
      <c r="AH1311" s="36">
        <f t="shared" si="428"/>
        <v>0</v>
      </c>
      <c r="AI1311" s="40"/>
      <c r="AJ1311" s="36">
        <f t="shared" si="439"/>
        <v>0</v>
      </c>
      <c r="AK1311" s="35"/>
      <c r="AL1311" s="36">
        <f t="shared" si="429"/>
        <v>0</v>
      </c>
      <c r="AM1311" s="40"/>
      <c r="AN1311" s="36">
        <f t="shared" si="440"/>
        <v>0</v>
      </c>
      <c r="AO1311" s="35"/>
      <c r="AP1311" s="40"/>
    </row>
    <row r="1312" spans="1:42" ht="15.75" customHeight="1" x14ac:dyDescent="0.25">
      <c r="A1312" s="37">
        <v>2015</v>
      </c>
      <c r="B1312" s="35">
        <v>171050</v>
      </c>
      <c r="C1312" s="34" t="s">
        <v>150</v>
      </c>
      <c r="D1312" s="34" t="s">
        <v>64</v>
      </c>
      <c r="E1312" s="35"/>
      <c r="F1312" s="36">
        <f t="shared" si="430"/>
        <v>0</v>
      </c>
      <c r="G1312" s="40"/>
      <c r="H1312" s="36">
        <f t="shared" si="431"/>
        <v>0</v>
      </c>
      <c r="I1312" s="35"/>
      <c r="J1312" s="36">
        <f t="shared" si="432"/>
        <v>0</v>
      </c>
      <c r="K1312" s="40"/>
      <c r="L1312" s="36">
        <f t="shared" si="433"/>
        <v>0</v>
      </c>
      <c r="M1312" s="35"/>
      <c r="N1312" s="36">
        <f t="shared" si="423"/>
        <v>0</v>
      </c>
      <c r="O1312" s="40"/>
      <c r="P1312" s="36">
        <f t="shared" si="434"/>
        <v>0</v>
      </c>
      <c r="Q1312" s="35"/>
      <c r="R1312" s="36">
        <f t="shared" si="424"/>
        <v>0</v>
      </c>
      <c r="S1312" s="40"/>
      <c r="T1312" s="36">
        <f t="shared" si="435"/>
        <v>0</v>
      </c>
      <c r="U1312" s="35"/>
      <c r="V1312" s="36">
        <f t="shared" si="425"/>
        <v>0</v>
      </c>
      <c r="W1312" s="40"/>
      <c r="X1312" s="36">
        <f t="shared" si="436"/>
        <v>0</v>
      </c>
      <c r="Y1312" s="35"/>
      <c r="Z1312" s="36">
        <f t="shared" si="426"/>
        <v>0</v>
      </c>
      <c r="AA1312" s="40"/>
      <c r="AB1312" s="36">
        <f t="shared" si="437"/>
        <v>0</v>
      </c>
      <c r="AC1312" s="35"/>
      <c r="AD1312" s="36">
        <f t="shared" si="427"/>
        <v>0</v>
      </c>
      <c r="AE1312" s="40"/>
      <c r="AF1312" s="36">
        <f t="shared" si="438"/>
        <v>0</v>
      </c>
      <c r="AG1312" s="35"/>
      <c r="AH1312" s="36">
        <f t="shared" si="428"/>
        <v>0</v>
      </c>
      <c r="AI1312" s="40"/>
      <c r="AJ1312" s="36">
        <f t="shared" si="439"/>
        <v>0</v>
      </c>
      <c r="AK1312" s="35"/>
      <c r="AL1312" s="36">
        <f t="shared" si="429"/>
        <v>0</v>
      </c>
      <c r="AM1312" s="40"/>
      <c r="AN1312" s="36">
        <f t="shared" si="440"/>
        <v>0</v>
      </c>
      <c r="AO1312" s="35"/>
      <c r="AP1312" s="40"/>
    </row>
    <row r="1313" spans="1:42" ht="15.75" customHeight="1" x14ac:dyDescent="0.25">
      <c r="A1313" s="37">
        <v>2015</v>
      </c>
      <c r="B1313" s="35">
        <v>171070</v>
      </c>
      <c r="C1313" s="34" t="s">
        <v>145</v>
      </c>
      <c r="D1313" s="34" t="s">
        <v>65</v>
      </c>
      <c r="E1313" s="35"/>
      <c r="F1313" s="36">
        <f t="shared" si="430"/>
        <v>0</v>
      </c>
      <c r="G1313" s="40"/>
      <c r="H1313" s="36">
        <f t="shared" si="431"/>
        <v>0</v>
      </c>
      <c r="I1313" s="35"/>
      <c r="J1313" s="36">
        <f t="shared" si="432"/>
        <v>0</v>
      </c>
      <c r="K1313" s="40"/>
      <c r="L1313" s="36">
        <f t="shared" si="433"/>
        <v>0</v>
      </c>
      <c r="M1313" s="35"/>
      <c r="N1313" s="36">
        <f t="shared" si="423"/>
        <v>0</v>
      </c>
      <c r="O1313" s="40"/>
      <c r="P1313" s="36">
        <f t="shared" si="434"/>
        <v>0</v>
      </c>
      <c r="Q1313" s="35"/>
      <c r="R1313" s="36">
        <f t="shared" si="424"/>
        <v>0</v>
      </c>
      <c r="S1313" s="40"/>
      <c r="T1313" s="36">
        <f t="shared" si="435"/>
        <v>0</v>
      </c>
      <c r="U1313" s="35"/>
      <c r="V1313" s="36">
        <f t="shared" si="425"/>
        <v>0</v>
      </c>
      <c r="W1313" s="40"/>
      <c r="X1313" s="36">
        <f t="shared" si="436"/>
        <v>0</v>
      </c>
      <c r="Y1313" s="35"/>
      <c r="Z1313" s="36">
        <f t="shared" si="426"/>
        <v>0</v>
      </c>
      <c r="AA1313" s="40"/>
      <c r="AB1313" s="36">
        <f t="shared" si="437"/>
        <v>0</v>
      </c>
      <c r="AC1313" s="35"/>
      <c r="AD1313" s="36">
        <f t="shared" si="427"/>
        <v>0</v>
      </c>
      <c r="AE1313" s="40"/>
      <c r="AF1313" s="36">
        <f t="shared" si="438"/>
        <v>0</v>
      </c>
      <c r="AG1313" s="35"/>
      <c r="AH1313" s="36">
        <f t="shared" si="428"/>
        <v>0</v>
      </c>
      <c r="AI1313" s="40"/>
      <c r="AJ1313" s="36">
        <f t="shared" si="439"/>
        <v>0</v>
      </c>
      <c r="AK1313" s="35"/>
      <c r="AL1313" s="36">
        <f t="shared" si="429"/>
        <v>0</v>
      </c>
      <c r="AM1313" s="40"/>
      <c r="AN1313" s="36">
        <f t="shared" si="440"/>
        <v>0</v>
      </c>
      <c r="AO1313" s="35"/>
      <c r="AP1313" s="40"/>
    </row>
    <row r="1314" spans="1:42" ht="15.75" customHeight="1" x14ac:dyDescent="0.25">
      <c r="A1314" s="37">
        <v>2015</v>
      </c>
      <c r="B1314" s="35">
        <v>171090</v>
      </c>
      <c r="C1314" s="34" t="s">
        <v>150</v>
      </c>
      <c r="D1314" s="34" t="s">
        <v>66</v>
      </c>
      <c r="E1314" s="35"/>
      <c r="F1314" s="36">
        <f t="shared" si="430"/>
        <v>0</v>
      </c>
      <c r="G1314" s="40"/>
      <c r="H1314" s="36">
        <f t="shared" si="431"/>
        <v>0</v>
      </c>
      <c r="I1314" s="35"/>
      <c r="J1314" s="36">
        <f t="shared" si="432"/>
        <v>0</v>
      </c>
      <c r="K1314" s="40"/>
      <c r="L1314" s="36">
        <f t="shared" si="433"/>
        <v>0</v>
      </c>
      <c r="M1314" s="35"/>
      <c r="N1314" s="36">
        <f t="shared" si="423"/>
        <v>0</v>
      </c>
      <c r="O1314" s="40"/>
      <c r="P1314" s="36">
        <f t="shared" si="434"/>
        <v>0</v>
      </c>
      <c r="Q1314" s="35"/>
      <c r="R1314" s="36">
        <f t="shared" si="424"/>
        <v>0</v>
      </c>
      <c r="S1314" s="40"/>
      <c r="T1314" s="36">
        <f t="shared" si="435"/>
        <v>0</v>
      </c>
      <c r="U1314" s="35"/>
      <c r="V1314" s="36">
        <f t="shared" si="425"/>
        <v>0</v>
      </c>
      <c r="W1314" s="40"/>
      <c r="X1314" s="36">
        <f t="shared" si="436"/>
        <v>0</v>
      </c>
      <c r="Y1314" s="35"/>
      <c r="Z1314" s="36">
        <f t="shared" si="426"/>
        <v>0</v>
      </c>
      <c r="AA1314" s="40"/>
      <c r="AB1314" s="36">
        <f t="shared" si="437"/>
        <v>0</v>
      </c>
      <c r="AC1314" s="35"/>
      <c r="AD1314" s="36">
        <f t="shared" si="427"/>
        <v>0</v>
      </c>
      <c r="AE1314" s="40"/>
      <c r="AF1314" s="36">
        <f t="shared" si="438"/>
        <v>0</v>
      </c>
      <c r="AG1314" s="35"/>
      <c r="AH1314" s="36">
        <f t="shared" si="428"/>
        <v>0</v>
      </c>
      <c r="AI1314" s="40"/>
      <c r="AJ1314" s="36">
        <f t="shared" si="439"/>
        <v>0</v>
      </c>
      <c r="AK1314" s="35"/>
      <c r="AL1314" s="36">
        <f t="shared" si="429"/>
        <v>0</v>
      </c>
      <c r="AM1314" s="40"/>
      <c r="AN1314" s="36">
        <f t="shared" si="440"/>
        <v>0</v>
      </c>
      <c r="AO1314" s="35"/>
      <c r="AP1314" s="40"/>
    </row>
    <row r="1315" spans="1:42" ht="15.75" customHeight="1" x14ac:dyDescent="0.25">
      <c r="A1315" s="37">
        <v>2015</v>
      </c>
      <c r="B1315" s="35">
        <v>171110</v>
      </c>
      <c r="C1315" s="34" t="s">
        <v>150</v>
      </c>
      <c r="D1315" s="34" t="s">
        <v>67</v>
      </c>
      <c r="E1315" s="35"/>
      <c r="F1315" s="36">
        <f t="shared" si="430"/>
        <v>0</v>
      </c>
      <c r="G1315" s="40"/>
      <c r="H1315" s="36">
        <f t="shared" si="431"/>
        <v>0</v>
      </c>
      <c r="I1315" s="35"/>
      <c r="J1315" s="36">
        <f t="shared" si="432"/>
        <v>0</v>
      </c>
      <c r="K1315" s="40"/>
      <c r="L1315" s="36">
        <f t="shared" si="433"/>
        <v>0</v>
      </c>
      <c r="M1315" s="35"/>
      <c r="N1315" s="36">
        <f t="shared" si="423"/>
        <v>0</v>
      </c>
      <c r="O1315" s="40"/>
      <c r="P1315" s="36">
        <f t="shared" si="434"/>
        <v>0</v>
      </c>
      <c r="Q1315" s="35"/>
      <c r="R1315" s="36">
        <f t="shared" si="424"/>
        <v>0</v>
      </c>
      <c r="S1315" s="40"/>
      <c r="T1315" s="36">
        <f t="shared" si="435"/>
        <v>0</v>
      </c>
      <c r="U1315" s="35"/>
      <c r="V1315" s="36">
        <f t="shared" si="425"/>
        <v>0</v>
      </c>
      <c r="W1315" s="40"/>
      <c r="X1315" s="36">
        <f t="shared" si="436"/>
        <v>0</v>
      </c>
      <c r="Y1315" s="35"/>
      <c r="Z1315" s="36">
        <f t="shared" si="426"/>
        <v>0</v>
      </c>
      <c r="AA1315" s="40"/>
      <c r="AB1315" s="36">
        <f t="shared" si="437"/>
        <v>0</v>
      </c>
      <c r="AC1315" s="35"/>
      <c r="AD1315" s="36">
        <f t="shared" si="427"/>
        <v>0</v>
      </c>
      <c r="AE1315" s="40"/>
      <c r="AF1315" s="36">
        <f t="shared" si="438"/>
        <v>0</v>
      </c>
      <c r="AG1315" s="35"/>
      <c r="AH1315" s="36">
        <f t="shared" si="428"/>
        <v>0</v>
      </c>
      <c r="AI1315" s="40"/>
      <c r="AJ1315" s="36">
        <f t="shared" si="439"/>
        <v>0</v>
      </c>
      <c r="AK1315" s="35"/>
      <c r="AL1315" s="36">
        <f t="shared" si="429"/>
        <v>0</v>
      </c>
      <c r="AM1315" s="40"/>
      <c r="AN1315" s="36">
        <f t="shared" si="440"/>
        <v>0</v>
      </c>
      <c r="AO1315" s="35"/>
      <c r="AP1315" s="40"/>
    </row>
    <row r="1316" spans="1:42" ht="15.75" customHeight="1" x14ac:dyDescent="0.25">
      <c r="A1316" s="37">
        <v>2015</v>
      </c>
      <c r="B1316" s="35">
        <v>171150</v>
      </c>
      <c r="C1316" s="34" t="s">
        <v>146</v>
      </c>
      <c r="D1316" s="34" t="s">
        <v>68</v>
      </c>
      <c r="E1316" s="35"/>
      <c r="F1316" s="36">
        <f t="shared" si="430"/>
        <v>0</v>
      </c>
      <c r="G1316" s="40"/>
      <c r="H1316" s="36">
        <f t="shared" si="431"/>
        <v>0</v>
      </c>
      <c r="I1316" s="35"/>
      <c r="J1316" s="36">
        <f t="shared" si="432"/>
        <v>0</v>
      </c>
      <c r="K1316" s="40"/>
      <c r="L1316" s="36">
        <f t="shared" si="433"/>
        <v>0</v>
      </c>
      <c r="M1316" s="35"/>
      <c r="N1316" s="36">
        <f t="shared" si="423"/>
        <v>0</v>
      </c>
      <c r="O1316" s="40"/>
      <c r="P1316" s="36">
        <f t="shared" si="434"/>
        <v>0</v>
      </c>
      <c r="Q1316" s="35"/>
      <c r="R1316" s="36">
        <f t="shared" si="424"/>
        <v>0</v>
      </c>
      <c r="S1316" s="40"/>
      <c r="T1316" s="36">
        <f t="shared" si="435"/>
        <v>0</v>
      </c>
      <c r="U1316" s="35"/>
      <c r="V1316" s="36">
        <f t="shared" si="425"/>
        <v>0</v>
      </c>
      <c r="W1316" s="40"/>
      <c r="X1316" s="36">
        <f t="shared" si="436"/>
        <v>0</v>
      </c>
      <c r="Y1316" s="35"/>
      <c r="Z1316" s="36">
        <f t="shared" si="426"/>
        <v>0</v>
      </c>
      <c r="AA1316" s="40"/>
      <c r="AB1316" s="36">
        <f t="shared" si="437"/>
        <v>0</v>
      </c>
      <c r="AC1316" s="35"/>
      <c r="AD1316" s="36">
        <f t="shared" si="427"/>
        <v>0</v>
      </c>
      <c r="AE1316" s="40"/>
      <c r="AF1316" s="36">
        <f t="shared" si="438"/>
        <v>0</v>
      </c>
      <c r="AG1316" s="35"/>
      <c r="AH1316" s="36">
        <f t="shared" si="428"/>
        <v>0</v>
      </c>
      <c r="AI1316" s="40"/>
      <c r="AJ1316" s="36">
        <f t="shared" si="439"/>
        <v>0</v>
      </c>
      <c r="AK1316" s="35"/>
      <c r="AL1316" s="36">
        <f t="shared" si="429"/>
        <v>0</v>
      </c>
      <c r="AM1316" s="40"/>
      <c r="AN1316" s="36">
        <f t="shared" si="440"/>
        <v>0</v>
      </c>
      <c r="AO1316" s="35"/>
      <c r="AP1316" s="40"/>
    </row>
    <row r="1317" spans="1:42" ht="15.75" customHeight="1" x14ac:dyDescent="0.25">
      <c r="A1317" s="37">
        <v>2015</v>
      </c>
      <c r="B1317" s="35">
        <v>171180</v>
      </c>
      <c r="C1317" s="34" t="s">
        <v>150</v>
      </c>
      <c r="D1317" s="34" t="s">
        <v>69</v>
      </c>
      <c r="E1317" s="35"/>
      <c r="F1317" s="36">
        <f t="shared" si="430"/>
        <v>0</v>
      </c>
      <c r="G1317" s="40"/>
      <c r="H1317" s="36">
        <f t="shared" si="431"/>
        <v>0</v>
      </c>
      <c r="I1317" s="35"/>
      <c r="J1317" s="36">
        <f t="shared" si="432"/>
        <v>0</v>
      </c>
      <c r="K1317" s="40"/>
      <c r="L1317" s="36">
        <f t="shared" si="433"/>
        <v>0</v>
      </c>
      <c r="M1317" s="35"/>
      <c r="N1317" s="36">
        <f t="shared" si="423"/>
        <v>0</v>
      </c>
      <c r="O1317" s="40"/>
      <c r="P1317" s="36">
        <f t="shared" si="434"/>
        <v>0</v>
      </c>
      <c r="Q1317" s="35"/>
      <c r="R1317" s="36">
        <f t="shared" si="424"/>
        <v>0</v>
      </c>
      <c r="S1317" s="40"/>
      <c r="T1317" s="36">
        <f t="shared" si="435"/>
        <v>0</v>
      </c>
      <c r="U1317" s="35"/>
      <c r="V1317" s="36">
        <f t="shared" si="425"/>
        <v>0</v>
      </c>
      <c r="W1317" s="40"/>
      <c r="X1317" s="36">
        <f t="shared" si="436"/>
        <v>0</v>
      </c>
      <c r="Y1317" s="35"/>
      <c r="Z1317" s="36">
        <f t="shared" si="426"/>
        <v>0</v>
      </c>
      <c r="AA1317" s="40"/>
      <c r="AB1317" s="36">
        <f t="shared" si="437"/>
        <v>0</v>
      </c>
      <c r="AC1317" s="35"/>
      <c r="AD1317" s="36">
        <f t="shared" si="427"/>
        <v>0</v>
      </c>
      <c r="AE1317" s="40"/>
      <c r="AF1317" s="36">
        <f t="shared" si="438"/>
        <v>0</v>
      </c>
      <c r="AG1317" s="35"/>
      <c r="AH1317" s="36">
        <f t="shared" si="428"/>
        <v>0</v>
      </c>
      <c r="AI1317" s="40"/>
      <c r="AJ1317" s="36">
        <f t="shared" si="439"/>
        <v>0</v>
      </c>
      <c r="AK1317" s="35"/>
      <c r="AL1317" s="36">
        <f t="shared" si="429"/>
        <v>0</v>
      </c>
      <c r="AM1317" s="40"/>
      <c r="AN1317" s="36">
        <f t="shared" si="440"/>
        <v>0</v>
      </c>
      <c r="AO1317" s="35"/>
      <c r="AP1317" s="40"/>
    </row>
    <row r="1318" spans="1:42" ht="15.75" customHeight="1" x14ac:dyDescent="0.25">
      <c r="A1318" s="37">
        <v>2015</v>
      </c>
      <c r="B1318" s="35">
        <v>171190</v>
      </c>
      <c r="C1318" s="34" t="s">
        <v>144</v>
      </c>
      <c r="D1318" s="34" t="s">
        <v>70</v>
      </c>
      <c r="E1318" s="35"/>
      <c r="F1318" s="36">
        <f t="shared" si="430"/>
        <v>0</v>
      </c>
      <c r="G1318" s="40"/>
      <c r="H1318" s="36">
        <f t="shared" si="431"/>
        <v>0</v>
      </c>
      <c r="I1318" s="35"/>
      <c r="J1318" s="36">
        <f t="shared" si="432"/>
        <v>0</v>
      </c>
      <c r="K1318" s="40"/>
      <c r="L1318" s="36">
        <f t="shared" si="433"/>
        <v>0</v>
      </c>
      <c r="M1318" s="35"/>
      <c r="N1318" s="36">
        <f t="shared" si="423"/>
        <v>0</v>
      </c>
      <c r="O1318" s="40"/>
      <c r="P1318" s="36">
        <f t="shared" si="434"/>
        <v>0</v>
      </c>
      <c r="Q1318" s="35"/>
      <c r="R1318" s="36">
        <f t="shared" si="424"/>
        <v>0</v>
      </c>
      <c r="S1318" s="40"/>
      <c r="T1318" s="36">
        <f t="shared" si="435"/>
        <v>0</v>
      </c>
      <c r="U1318" s="35"/>
      <c r="V1318" s="36">
        <f t="shared" si="425"/>
        <v>0</v>
      </c>
      <c r="W1318" s="40"/>
      <c r="X1318" s="36">
        <f t="shared" si="436"/>
        <v>0</v>
      </c>
      <c r="Y1318" s="35"/>
      <c r="Z1318" s="36">
        <f t="shared" si="426"/>
        <v>0</v>
      </c>
      <c r="AA1318" s="40"/>
      <c r="AB1318" s="36">
        <f t="shared" si="437"/>
        <v>0</v>
      </c>
      <c r="AC1318" s="35"/>
      <c r="AD1318" s="36">
        <f t="shared" si="427"/>
        <v>0</v>
      </c>
      <c r="AE1318" s="40"/>
      <c r="AF1318" s="36">
        <f t="shared" si="438"/>
        <v>0</v>
      </c>
      <c r="AG1318" s="35"/>
      <c r="AH1318" s="36">
        <f t="shared" si="428"/>
        <v>0</v>
      </c>
      <c r="AI1318" s="40"/>
      <c r="AJ1318" s="36">
        <f t="shared" si="439"/>
        <v>0</v>
      </c>
      <c r="AK1318" s="35"/>
      <c r="AL1318" s="36">
        <f t="shared" si="429"/>
        <v>0</v>
      </c>
      <c r="AM1318" s="40"/>
      <c r="AN1318" s="36">
        <f t="shared" si="440"/>
        <v>0</v>
      </c>
      <c r="AO1318" s="35"/>
      <c r="AP1318" s="40"/>
    </row>
    <row r="1319" spans="1:42" ht="15.75" customHeight="1" x14ac:dyDescent="0.25">
      <c r="A1319" s="37">
        <v>2015</v>
      </c>
      <c r="B1319" s="35">
        <v>171195</v>
      </c>
      <c r="C1319" s="34" t="s">
        <v>148</v>
      </c>
      <c r="D1319" s="34" t="s">
        <v>71</v>
      </c>
      <c r="E1319" s="35"/>
      <c r="F1319" s="36">
        <f t="shared" si="430"/>
        <v>0</v>
      </c>
      <c r="G1319" s="40"/>
      <c r="H1319" s="36">
        <f t="shared" si="431"/>
        <v>0</v>
      </c>
      <c r="I1319" s="35"/>
      <c r="J1319" s="36">
        <f t="shared" si="432"/>
        <v>0</v>
      </c>
      <c r="K1319" s="40"/>
      <c r="L1319" s="36">
        <f t="shared" si="433"/>
        <v>0</v>
      </c>
      <c r="M1319" s="35"/>
      <c r="N1319" s="36">
        <f t="shared" si="423"/>
        <v>0</v>
      </c>
      <c r="O1319" s="40"/>
      <c r="P1319" s="36">
        <f t="shared" si="434"/>
        <v>0</v>
      </c>
      <c r="Q1319" s="35"/>
      <c r="R1319" s="36">
        <f t="shared" si="424"/>
        <v>0</v>
      </c>
      <c r="S1319" s="40"/>
      <c r="T1319" s="36">
        <f t="shared" si="435"/>
        <v>0</v>
      </c>
      <c r="U1319" s="35"/>
      <c r="V1319" s="36">
        <f t="shared" si="425"/>
        <v>0</v>
      </c>
      <c r="W1319" s="40"/>
      <c r="X1319" s="36">
        <f t="shared" si="436"/>
        <v>0</v>
      </c>
      <c r="Y1319" s="35"/>
      <c r="Z1319" s="36">
        <f t="shared" si="426"/>
        <v>0</v>
      </c>
      <c r="AA1319" s="40"/>
      <c r="AB1319" s="36">
        <f t="shared" si="437"/>
        <v>0</v>
      </c>
      <c r="AC1319" s="35"/>
      <c r="AD1319" s="36">
        <f t="shared" si="427"/>
        <v>0</v>
      </c>
      <c r="AE1319" s="40"/>
      <c r="AF1319" s="36">
        <f t="shared" si="438"/>
        <v>0</v>
      </c>
      <c r="AG1319" s="35"/>
      <c r="AH1319" s="36">
        <f t="shared" si="428"/>
        <v>0</v>
      </c>
      <c r="AI1319" s="40"/>
      <c r="AJ1319" s="36">
        <f t="shared" si="439"/>
        <v>0</v>
      </c>
      <c r="AK1319" s="35"/>
      <c r="AL1319" s="36">
        <f t="shared" si="429"/>
        <v>0</v>
      </c>
      <c r="AM1319" s="40"/>
      <c r="AN1319" s="36">
        <f t="shared" si="440"/>
        <v>0</v>
      </c>
      <c r="AO1319" s="35"/>
      <c r="AP1319" s="40"/>
    </row>
    <row r="1320" spans="1:42" ht="15.75" customHeight="1" x14ac:dyDescent="0.25">
      <c r="A1320" s="37">
        <v>2015</v>
      </c>
      <c r="B1320" s="35">
        <v>171200</v>
      </c>
      <c r="C1320" s="34" t="s">
        <v>148</v>
      </c>
      <c r="D1320" s="34" t="s">
        <v>72</v>
      </c>
      <c r="E1320" s="35"/>
      <c r="F1320" s="36">
        <f t="shared" si="430"/>
        <v>0</v>
      </c>
      <c r="G1320" s="40"/>
      <c r="H1320" s="36">
        <f t="shared" si="431"/>
        <v>0</v>
      </c>
      <c r="I1320" s="35"/>
      <c r="J1320" s="36">
        <f t="shared" si="432"/>
        <v>0</v>
      </c>
      <c r="K1320" s="40"/>
      <c r="L1320" s="36">
        <f t="shared" si="433"/>
        <v>0</v>
      </c>
      <c r="M1320" s="35"/>
      <c r="N1320" s="36">
        <f t="shared" ref="N1320:N1383" si="441">IFERROR(M1320/$AO1320,0)</f>
        <v>0</v>
      </c>
      <c r="O1320" s="40"/>
      <c r="P1320" s="36">
        <f t="shared" si="434"/>
        <v>0</v>
      </c>
      <c r="Q1320" s="35"/>
      <c r="R1320" s="36">
        <f t="shared" ref="R1320:R1383" si="442">IFERROR(Q1320/$AO1320,0)</f>
        <v>0</v>
      </c>
      <c r="S1320" s="40"/>
      <c r="T1320" s="36">
        <f t="shared" si="435"/>
        <v>0</v>
      </c>
      <c r="U1320" s="35"/>
      <c r="V1320" s="36">
        <f t="shared" ref="V1320:V1383" si="443">IFERROR(U1320/$AO1320,0)</f>
        <v>0</v>
      </c>
      <c r="W1320" s="40"/>
      <c r="X1320" s="36">
        <f t="shared" si="436"/>
        <v>0</v>
      </c>
      <c r="Y1320" s="35"/>
      <c r="Z1320" s="36">
        <f t="shared" ref="Z1320:Z1383" si="444">IFERROR(Y1320/$AO1320,0)</f>
        <v>0</v>
      </c>
      <c r="AA1320" s="40"/>
      <c r="AB1320" s="36">
        <f t="shared" si="437"/>
        <v>0</v>
      </c>
      <c r="AC1320" s="35"/>
      <c r="AD1320" s="36">
        <f t="shared" ref="AD1320:AD1383" si="445">IFERROR(AC1320/$AO1320,0)</f>
        <v>0</v>
      </c>
      <c r="AE1320" s="40"/>
      <c r="AF1320" s="36">
        <f t="shared" si="438"/>
        <v>0</v>
      </c>
      <c r="AG1320" s="35"/>
      <c r="AH1320" s="36">
        <f t="shared" ref="AH1320:AH1383" si="446">IFERROR(AG1320/$AO1320,0)</f>
        <v>0</v>
      </c>
      <c r="AI1320" s="40"/>
      <c r="AJ1320" s="36">
        <f t="shared" si="439"/>
        <v>0</v>
      </c>
      <c r="AK1320" s="35"/>
      <c r="AL1320" s="36">
        <f t="shared" ref="AL1320:AL1383" si="447">IFERROR(AK1320/$AO1320,0)</f>
        <v>0</v>
      </c>
      <c r="AM1320" s="40"/>
      <c r="AN1320" s="36">
        <f t="shared" si="440"/>
        <v>0</v>
      </c>
      <c r="AO1320" s="35"/>
      <c r="AP1320" s="40"/>
    </row>
    <row r="1321" spans="1:42" ht="15.75" customHeight="1" x14ac:dyDescent="0.25">
      <c r="A1321" s="37">
        <v>2015</v>
      </c>
      <c r="B1321" s="35">
        <v>171215</v>
      </c>
      <c r="C1321" s="34" t="s">
        <v>147</v>
      </c>
      <c r="D1321" s="34" t="s">
        <v>73</v>
      </c>
      <c r="E1321" s="35"/>
      <c r="F1321" s="36">
        <f t="shared" si="430"/>
        <v>0</v>
      </c>
      <c r="G1321" s="40"/>
      <c r="H1321" s="36">
        <f t="shared" si="431"/>
        <v>0</v>
      </c>
      <c r="I1321" s="35"/>
      <c r="J1321" s="36">
        <f t="shared" si="432"/>
        <v>0</v>
      </c>
      <c r="K1321" s="40"/>
      <c r="L1321" s="36">
        <f t="shared" si="433"/>
        <v>0</v>
      </c>
      <c r="M1321" s="35"/>
      <c r="N1321" s="36">
        <f t="shared" si="441"/>
        <v>0</v>
      </c>
      <c r="O1321" s="40"/>
      <c r="P1321" s="36">
        <f t="shared" si="434"/>
        <v>0</v>
      </c>
      <c r="Q1321" s="35"/>
      <c r="R1321" s="36">
        <f t="shared" si="442"/>
        <v>0</v>
      </c>
      <c r="S1321" s="40"/>
      <c r="T1321" s="36">
        <f t="shared" si="435"/>
        <v>0</v>
      </c>
      <c r="U1321" s="35"/>
      <c r="V1321" s="36">
        <f t="shared" si="443"/>
        <v>0</v>
      </c>
      <c r="W1321" s="40"/>
      <c r="X1321" s="36">
        <f t="shared" si="436"/>
        <v>0</v>
      </c>
      <c r="Y1321" s="35"/>
      <c r="Z1321" s="36">
        <f t="shared" si="444"/>
        <v>0</v>
      </c>
      <c r="AA1321" s="40"/>
      <c r="AB1321" s="36">
        <f t="shared" si="437"/>
        <v>0</v>
      </c>
      <c r="AC1321" s="35"/>
      <c r="AD1321" s="36">
        <f t="shared" si="445"/>
        <v>0</v>
      </c>
      <c r="AE1321" s="40"/>
      <c r="AF1321" s="36">
        <f t="shared" si="438"/>
        <v>0</v>
      </c>
      <c r="AG1321" s="35"/>
      <c r="AH1321" s="36">
        <f t="shared" si="446"/>
        <v>0</v>
      </c>
      <c r="AI1321" s="40"/>
      <c r="AJ1321" s="36">
        <f t="shared" si="439"/>
        <v>0</v>
      </c>
      <c r="AK1321" s="35"/>
      <c r="AL1321" s="36">
        <f t="shared" si="447"/>
        <v>0</v>
      </c>
      <c r="AM1321" s="40"/>
      <c r="AN1321" s="36">
        <f t="shared" si="440"/>
        <v>0</v>
      </c>
      <c r="AO1321" s="35"/>
      <c r="AP1321" s="40"/>
    </row>
    <row r="1322" spans="1:42" ht="15.75" customHeight="1" x14ac:dyDescent="0.25">
      <c r="A1322" s="37">
        <v>2015</v>
      </c>
      <c r="B1322" s="35">
        <v>171240</v>
      </c>
      <c r="C1322" s="34" t="s">
        <v>148</v>
      </c>
      <c r="D1322" s="34" t="s">
        <v>74</v>
      </c>
      <c r="E1322" s="35"/>
      <c r="F1322" s="36">
        <f t="shared" si="430"/>
        <v>0</v>
      </c>
      <c r="G1322" s="40"/>
      <c r="H1322" s="36">
        <f t="shared" si="431"/>
        <v>0</v>
      </c>
      <c r="I1322" s="35"/>
      <c r="J1322" s="36">
        <f t="shared" si="432"/>
        <v>0</v>
      </c>
      <c r="K1322" s="40"/>
      <c r="L1322" s="36">
        <f t="shared" si="433"/>
        <v>0</v>
      </c>
      <c r="M1322" s="35"/>
      <c r="N1322" s="36">
        <f t="shared" si="441"/>
        <v>0</v>
      </c>
      <c r="O1322" s="40"/>
      <c r="P1322" s="36">
        <f t="shared" si="434"/>
        <v>0</v>
      </c>
      <c r="Q1322" s="35"/>
      <c r="R1322" s="36">
        <f t="shared" si="442"/>
        <v>0</v>
      </c>
      <c r="S1322" s="40"/>
      <c r="T1322" s="36">
        <f t="shared" si="435"/>
        <v>0</v>
      </c>
      <c r="U1322" s="35"/>
      <c r="V1322" s="36">
        <f t="shared" si="443"/>
        <v>0</v>
      </c>
      <c r="W1322" s="40"/>
      <c r="X1322" s="36">
        <f t="shared" si="436"/>
        <v>0</v>
      </c>
      <c r="Y1322" s="35"/>
      <c r="Z1322" s="36">
        <f t="shared" si="444"/>
        <v>0</v>
      </c>
      <c r="AA1322" s="40"/>
      <c r="AB1322" s="36">
        <f t="shared" si="437"/>
        <v>0</v>
      </c>
      <c r="AC1322" s="35"/>
      <c r="AD1322" s="36">
        <f t="shared" si="445"/>
        <v>0</v>
      </c>
      <c r="AE1322" s="40"/>
      <c r="AF1322" s="36">
        <f t="shared" si="438"/>
        <v>0</v>
      </c>
      <c r="AG1322" s="35"/>
      <c r="AH1322" s="36">
        <f t="shared" si="446"/>
        <v>0</v>
      </c>
      <c r="AI1322" s="40"/>
      <c r="AJ1322" s="36">
        <f t="shared" si="439"/>
        <v>0</v>
      </c>
      <c r="AK1322" s="35"/>
      <c r="AL1322" s="36">
        <f t="shared" si="447"/>
        <v>0</v>
      </c>
      <c r="AM1322" s="40"/>
      <c r="AN1322" s="36">
        <f t="shared" si="440"/>
        <v>0</v>
      </c>
      <c r="AO1322" s="35"/>
      <c r="AP1322" s="40"/>
    </row>
    <row r="1323" spans="1:42" ht="15.75" customHeight="1" x14ac:dyDescent="0.25">
      <c r="A1323" s="37">
        <v>2015</v>
      </c>
      <c r="B1323" s="35">
        <v>171245</v>
      </c>
      <c r="C1323" s="34" t="s">
        <v>145</v>
      </c>
      <c r="D1323" s="34" t="s">
        <v>75</v>
      </c>
      <c r="E1323" s="35"/>
      <c r="F1323" s="36">
        <f t="shared" si="430"/>
        <v>0</v>
      </c>
      <c r="G1323" s="40"/>
      <c r="H1323" s="36">
        <f t="shared" si="431"/>
        <v>0</v>
      </c>
      <c r="I1323" s="35"/>
      <c r="J1323" s="36">
        <f t="shared" si="432"/>
        <v>0</v>
      </c>
      <c r="K1323" s="40"/>
      <c r="L1323" s="36">
        <f t="shared" si="433"/>
        <v>0</v>
      </c>
      <c r="M1323" s="35"/>
      <c r="N1323" s="36">
        <f t="shared" si="441"/>
        <v>0</v>
      </c>
      <c r="O1323" s="40"/>
      <c r="P1323" s="36">
        <f t="shared" si="434"/>
        <v>0</v>
      </c>
      <c r="Q1323" s="35"/>
      <c r="R1323" s="36">
        <f t="shared" si="442"/>
        <v>0</v>
      </c>
      <c r="S1323" s="40"/>
      <c r="T1323" s="36">
        <f t="shared" si="435"/>
        <v>0</v>
      </c>
      <c r="U1323" s="35"/>
      <c r="V1323" s="36">
        <f t="shared" si="443"/>
        <v>0</v>
      </c>
      <c r="W1323" s="40"/>
      <c r="X1323" s="36">
        <f t="shared" si="436"/>
        <v>0</v>
      </c>
      <c r="Y1323" s="35"/>
      <c r="Z1323" s="36">
        <f t="shared" si="444"/>
        <v>0</v>
      </c>
      <c r="AA1323" s="40"/>
      <c r="AB1323" s="36">
        <f t="shared" si="437"/>
        <v>0</v>
      </c>
      <c r="AC1323" s="35"/>
      <c r="AD1323" s="36">
        <f t="shared" si="445"/>
        <v>0</v>
      </c>
      <c r="AE1323" s="40"/>
      <c r="AF1323" s="36">
        <f t="shared" si="438"/>
        <v>0</v>
      </c>
      <c r="AG1323" s="35"/>
      <c r="AH1323" s="36">
        <f t="shared" si="446"/>
        <v>0</v>
      </c>
      <c r="AI1323" s="40"/>
      <c r="AJ1323" s="36">
        <f t="shared" si="439"/>
        <v>0</v>
      </c>
      <c r="AK1323" s="35"/>
      <c r="AL1323" s="36">
        <f t="shared" si="447"/>
        <v>0</v>
      </c>
      <c r="AM1323" s="40"/>
      <c r="AN1323" s="36">
        <f t="shared" si="440"/>
        <v>0</v>
      </c>
      <c r="AO1323" s="35"/>
      <c r="AP1323" s="40"/>
    </row>
    <row r="1324" spans="1:42" ht="15.75" customHeight="1" x14ac:dyDescent="0.25">
      <c r="A1324" s="37">
        <v>2015</v>
      </c>
      <c r="B1324" s="35">
        <v>171250</v>
      </c>
      <c r="C1324" s="34" t="s">
        <v>144</v>
      </c>
      <c r="D1324" s="34" t="s">
        <v>76</v>
      </c>
      <c r="E1324" s="35"/>
      <c r="F1324" s="36">
        <f t="shared" si="430"/>
        <v>0</v>
      </c>
      <c r="G1324" s="40"/>
      <c r="H1324" s="36">
        <f t="shared" si="431"/>
        <v>0</v>
      </c>
      <c r="I1324" s="35"/>
      <c r="J1324" s="36">
        <f t="shared" si="432"/>
        <v>0</v>
      </c>
      <c r="K1324" s="40"/>
      <c r="L1324" s="36">
        <f t="shared" si="433"/>
        <v>0</v>
      </c>
      <c r="M1324" s="35"/>
      <c r="N1324" s="36">
        <f t="shared" si="441"/>
        <v>0</v>
      </c>
      <c r="O1324" s="40"/>
      <c r="P1324" s="36">
        <f t="shared" si="434"/>
        <v>0</v>
      </c>
      <c r="Q1324" s="35"/>
      <c r="R1324" s="36">
        <f t="shared" si="442"/>
        <v>0</v>
      </c>
      <c r="S1324" s="40"/>
      <c r="T1324" s="36">
        <f t="shared" si="435"/>
        <v>0</v>
      </c>
      <c r="U1324" s="35"/>
      <c r="V1324" s="36">
        <f t="shared" si="443"/>
        <v>0</v>
      </c>
      <c r="W1324" s="40"/>
      <c r="X1324" s="36">
        <f t="shared" si="436"/>
        <v>0</v>
      </c>
      <c r="Y1324" s="35"/>
      <c r="Z1324" s="36">
        <f t="shared" si="444"/>
        <v>0</v>
      </c>
      <c r="AA1324" s="40"/>
      <c r="AB1324" s="36">
        <f t="shared" si="437"/>
        <v>0</v>
      </c>
      <c r="AC1324" s="35"/>
      <c r="AD1324" s="36">
        <f t="shared" si="445"/>
        <v>0</v>
      </c>
      <c r="AE1324" s="40"/>
      <c r="AF1324" s="36">
        <f t="shared" si="438"/>
        <v>0</v>
      </c>
      <c r="AG1324" s="35"/>
      <c r="AH1324" s="36">
        <f t="shared" si="446"/>
        <v>0</v>
      </c>
      <c r="AI1324" s="40"/>
      <c r="AJ1324" s="36">
        <f t="shared" si="439"/>
        <v>0</v>
      </c>
      <c r="AK1324" s="35"/>
      <c r="AL1324" s="36">
        <f t="shared" si="447"/>
        <v>0</v>
      </c>
      <c r="AM1324" s="40"/>
      <c r="AN1324" s="36">
        <f t="shared" si="440"/>
        <v>0</v>
      </c>
      <c r="AO1324" s="35"/>
      <c r="AP1324" s="40"/>
    </row>
    <row r="1325" spans="1:42" ht="15.75" customHeight="1" x14ac:dyDescent="0.25">
      <c r="A1325" s="37">
        <v>2015</v>
      </c>
      <c r="B1325" s="35">
        <v>171270</v>
      </c>
      <c r="C1325" s="34" t="s">
        <v>151</v>
      </c>
      <c r="D1325" s="34" t="s">
        <v>77</v>
      </c>
      <c r="E1325" s="35"/>
      <c r="F1325" s="36">
        <f t="shared" si="430"/>
        <v>0</v>
      </c>
      <c r="G1325" s="40"/>
      <c r="H1325" s="36">
        <f t="shared" si="431"/>
        <v>0</v>
      </c>
      <c r="I1325" s="35"/>
      <c r="J1325" s="36">
        <f t="shared" si="432"/>
        <v>0</v>
      </c>
      <c r="K1325" s="40"/>
      <c r="L1325" s="36">
        <f t="shared" si="433"/>
        <v>0</v>
      </c>
      <c r="M1325" s="35"/>
      <c r="N1325" s="36">
        <f t="shared" si="441"/>
        <v>0</v>
      </c>
      <c r="O1325" s="40"/>
      <c r="P1325" s="36">
        <f t="shared" si="434"/>
        <v>0</v>
      </c>
      <c r="Q1325" s="35"/>
      <c r="R1325" s="36">
        <f t="shared" si="442"/>
        <v>0</v>
      </c>
      <c r="S1325" s="40"/>
      <c r="T1325" s="36">
        <f t="shared" si="435"/>
        <v>0</v>
      </c>
      <c r="U1325" s="35"/>
      <c r="V1325" s="36">
        <f t="shared" si="443"/>
        <v>0</v>
      </c>
      <c r="W1325" s="40"/>
      <c r="X1325" s="36">
        <f t="shared" si="436"/>
        <v>0</v>
      </c>
      <c r="Y1325" s="35"/>
      <c r="Z1325" s="36">
        <f t="shared" si="444"/>
        <v>0</v>
      </c>
      <c r="AA1325" s="40"/>
      <c r="AB1325" s="36">
        <f t="shared" si="437"/>
        <v>0</v>
      </c>
      <c r="AC1325" s="35"/>
      <c r="AD1325" s="36">
        <f t="shared" si="445"/>
        <v>0</v>
      </c>
      <c r="AE1325" s="40"/>
      <c r="AF1325" s="36">
        <f t="shared" si="438"/>
        <v>0</v>
      </c>
      <c r="AG1325" s="35"/>
      <c r="AH1325" s="36">
        <f t="shared" si="446"/>
        <v>0</v>
      </c>
      <c r="AI1325" s="40"/>
      <c r="AJ1325" s="36">
        <f t="shared" si="439"/>
        <v>0</v>
      </c>
      <c r="AK1325" s="35"/>
      <c r="AL1325" s="36">
        <f t="shared" si="447"/>
        <v>0</v>
      </c>
      <c r="AM1325" s="40"/>
      <c r="AN1325" s="36">
        <f t="shared" si="440"/>
        <v>0</v>
      </c>
      <c r="AO1325" s="35"/>
      <c r="AP1325" s="40"/>
    </row>
    <row r="1326" spans="1:42" ht="15.75" customHeight="1" x14ac:dyDescent="0.25">
      <c r="A1326" s="37">
        <v>2015</v>
      </c>
      <c r="B1326" s="35">
        <v>171280</v>
      </c>
      <c r="C1326" s="34" t="s">
        <v>145</v>
      </c>
      <c r="D1326" s="34" t="s">
        <v>78</v>
      </c>
      <c r="E1326" s="35"/>
      <c r="F1326" s="36">
        <f t="shared" si="430"/>
        <v>0</v>
      </c>
      <c r="G1326" s="40"/>
      <c r="H1326" s="36">
        <f t="shared" si="431"/>
        <v>0</v>
      </c>
      <c r="I1326" s="35"/>
      <c r="J1326" s="36">
        <f t="shared" si="432"/>
        <v>0</v>
      </c>
      <c r="K1326" s="40"/>
      <c r="L1326" s="36">
        <f t="shared" si="433"/>
        <v>0</v>
      </c>
      <c r="M1326" s="35"/>
      <c r="N1326" s="36">
        <f t="shared" si="441"/>
        <v>0</v>
      </c>
      <c r="O1326" s="40"/>
      <c r="P1326" s="36">
        <f t="shared" si="434"/>
        <v>0</v>
      </c>
      <c r="Q1326" s="35"/>
      <c r="R1326" s="36">
        <f t="shared" si="442"/>
        <v>0</v>
      </c>
      <c r="S1326" s="40"/>
      <c r="T1326" s="36">
        <f t="shared" si="435"/>
        <v>0</v>
      </c>
      <c r="U1326" s="35"/>
      <c r="V1326" s="36">
        <f t="shared" si="443"/>
        <v>0</v>
      </c>
      <c r="W1326" s="40"/>
      <c r="X1326" s="36">
        <f t="shared" si="436"/>
        <v>0</v>
      </c>
      <c r="Y1326" s="35"/>
      <c r="Z1326" s="36">
        <f t="shared" si="444"/>
        <v>0</v>
      </c>
      <c r="AA1326" s="40"/>
      <c r="AB1326" s="36">
        <f t="shared" si="437"/>
        <v>0</v>
      </c>
      <c r="AC1326" s="35"/>
      <c r="AD1326" s="36">
        <f t="shared" si="445"/>
        <v>0</v>
      </c>
      <c r="AE1326" s="40"/>
      <c r="AF1326" s="36">
        <f t="shared" si="438"/>
        <v>0</v>
      </c>
      <c r="AG1326" s="35"/>
      <c r="AH1326" s="36">
        <f t="shared" si="446"/>
        <v>0</v>
      </c>
      <c r="AI1326" s="40"/>
      <c r="AJ1326" s="36">
        <f t="shared" si="439"/>
        <v>0</v>
      </c>
      <c r="AK1326" s="35"/>
      <c r="AL1326" s="36">
        <f t="shared" si="447"/>
        <v>0</v>
      </c>
      <c r="AM1326" s="40"/>
      <c r="AN1326" s="36">
        <f t="shared" si="440"/>
        <v>0</v>
      </c>
      <c r="AO1326" s="35"/>
      <c r="AP1326" s="40"/>
    </row>
    <row r="1327" spans="1:42" ht="15.75" customHeight="1" x14ac:dyDescent="0.25">
      <c r="A1327" s="37">
        <v>2015</v>
      </c>
      <c r="B1327" s="35">
        <v>171320</v>
      </c>
      <c r="C1327" s="34" t="s">
        <v>148</v>
      </c>
      <c r="D1327" s="34" t="s">
        <v>79</v>
      </c>
      <c r="E1327" s="35"/>
      <c r="F1327" s="36">
        <f t="shared" si="430"/>
        <v>0</v>
      </c>
      <c r="G1327" s="40"/>
      <c r="H1327" s="36">
        <f t="shared" si="431"/>
        <v>0</v>
      </c>
      <c r="I1327" s="35"/>
      <c r="J1327" s="36">
        <f t="shared" si="432"/>
        <v>0</v>
      </c>
      <c r="K1327" s="40"/>
      <c r="L1327" s="36">
        <f t="shared" si="433"/>
        <v>0</v>
      </c>
      <c r="M1327" s="35"/>
      <c r="N1327" s="36">
        <f t="shared" si="441"/>
        <v>0</v>
      </c>
      <c r="O1327" s="40"/>
      <c r="P1327" s="36">
        <f t="shared" si="434"/>
        <v>0</v>
      </c>
      <c r="Q1327" s="35"/>
      <c r="R1327" s="36">
        <f t="shared" si="442"/>
        <v>0</v>
      </c>
      <c r="S1327" s="40"/>
      <c r="T1327" s="36">
        <f t="shared" si="435"/>
        <v>0</v>
      </c>
      <c r="U1327" s="35"/>
      <c r="V1327" s="36">
        <f t="shared" si="443"/>
        <v>0</v>
      </c>
      <c r="W1327" s="40"/>
      <c r="X1327" s="36">
        <f t="shared" si="436"/>
        <v>0</v>
      </c>
      <c r="Y1327" s="35"/>
      <c r="Z1327" s="36">
        <f t="shared" si="444"/>
        <v>0</v>
      </c>
      <c r="AA1327" s="40"/>
      <c r="AB1327" s="36">
        <f t="shared" si="437"/>
        <v>0</v>
      </c>
      <c r="AC1327" s="35"/>
      <c r="AD1327" s="36">
        <f t="shared" si="445"/>
        <v>0</v>
      </c>
      <c r="AE1327" s="40"/>
      <c r="AF1327" s="36">
        <f t="shared" si="438"/>
        <v>0</v>
      </c>
      <c r="AG1327" s="35"/>
      <c r="AH1327" s="36">
        <f t="shared" si="446"/>
        <v>0</v>
      </c>
      <c r="AI1327" s="40"/>
      <c r="AJ1327" s="36">
        <f t="shared" si="439"/>
        <v>0</v>
      </c>
      <c r="AK1327" s="35"/>
      <c r="AL1327" s="36">
        <f t="shared" si="447"/>
        <v>0</v>
      </c>
      <c r="AM1327" s="40"/>
      <c r="AN1327" s="36">
        <f t="shared" si="440"/>
        <v>0</v>
      </c>
      <c r="AO1327" s="35"/>
      <c r="AP1327" s="40"/>
    </row>
    <row r="1328" spans="1:42" ht="15.75" customHeight="1" x14ac:dyDescent="0.25">
      <c r="A1328" s="37">
        <v>2015</v>
      </c>
      <c r="B1328" s="35">
        <v>171330</v>
      </c>
      <c r="C1328" s="34" t="s">
        <v>148</v>
      </c>
      <c r="D1328" s="34" t="s">
        <v>80</v>
      </c>
      <c r="E1328" s="35"/>
      <c r="F1328" s="36">
        <f t="shared" si="430"/>
        <v>0</v>
      </c>
      <c r="G1328" s="40"/>
      <c r="H1328" s="36">
        <f t="shared" si="431"/>
        <v>0</v>
      </c>
      <c r="I1328" s="35"/>
      <c r="J1328" s="36">
        <f t="shared" si="432"/>
        <v>0</v>
      </c>
      <c r="K1328" s="40"/>
      <c r="L1328" s="36">
        <f t="shared" si="433"/>
        <v>0</v>
      </c>
      <c r="M1328" s="35"/>
      <c r="N1328" s="36">
        <f t="shared" si="441"/>
        <v>0</v>
      </c>
      <c r="O1328" s="40"/>
      <c r="P1328" s="36">
        <f t="shared" si="434"/>
        <v>0</v>
      </c>
      <c r="Q1328" s="35"/>
      <c r="R1328" s="36">
        <f t="shared" si="442"/>
        <v>0</v>
      </c>
      <c r="S1328" s="40"/>
      <c r="T1328" s="36">
        <f t="shared" si="435"/>
        <v>0</v>
      </c>
      <c r="U1328" s="35"/>
      <c r="V1328" s="36">
        <f t="shared" si="443"/>
        <v>0</v>
      </c>
      <c r="W1328" s="40"/>
      <c r="X1328" s="36">
        <f t="shared" si="436"/>
        <v>0</v>
      </c>
      <c r="Y1328" s="35"/>
      <c r="Z1328" s="36">
        <f t="shared" si="444"/>
        <v>0</v>
      </c>
      <c r="AA1328" s="40"/>
      <c r="AB1328" s="36">
        <f t="shared" si="437"/>
        <v>0</v>
      </c>
      <c r="AC1328" s="35"/>
      <c r="AD1328" s="36">
        <f t="shared" si="445"/>
        <v>0</v>
      </c>
      <c r="AE1328" s="40"/>
      <c r="AF1328" s="36">
        <f t="shared" si="438"/>
        <v>0</v>
      </c>
      <c r="AG1328" s="35"/>
      <c r="AH1328" s="36">
        <f t="shared" si="446"/>
        <v>0</v>
      </c>
      <c r="AI1328" s="40"/>
      <c r="AJ1328" s="36">
        <f t="shared" si="439"/>
        <v>0</v>
      </c>
      <c r="AK1328" s="35"/>
      <c r="AL1328" s="36">
        <f t="shared" si="447"/>
        <v>0</v>
      </c>
      <c r="AM1328" s="40"/>
      <c r="AN1328" s="36">
        <f t="shared" si="440"/>
        <v>0</v>
      </c>
      <c r="AO1328" s="35"/>
      <c r="AP1328" s="40"/>
    </row>
    <row r="1329" spans="1:42" ht="15.75" customHeight="1" x14ac:dyDescent="0.25">
      <c r="A1329" s="37">
        <v>2015</v>
      </c>
      <c r="B1329" s="35">
        <v>171360</v>
      </c>
      <c r="C1329" s="34" t="s">
        <v>151</v>
      </c>
      <c r="D1329" s="34" t="s">
        <v>81</v>
      </c>
      <c r="E1329" s="35"/>
      <c r="F1329" s="36">
        <f t="shared" si="430"/>
        <v>0</v>
      </c>
      <c r="G1329" s="40"/>
      <c r="H1329" s="36">
        <f t="shared" si="431"/>
        <v>0</v>
      </c>
      <c r="I1329" s="35"/>
      <c r="J1329" s="36">
        <f t="shared" si="432"/>
        <v>0</v>
      </c>
      <c r="K1329" s="40"/>
      <c r="L1329" s="36">
        <f t="shared" si="433"/>
        <v>0</v>
      </c>
      <c r="M1329" s="35"/>
      <c r="N1329" s="36">
        <f t="shared" si="441"/>
        <v>0</v>
      </c>
      <c r="O1329" s="40"/>
      <c r="P1329" s="36">
        <f t="shared" si="434"/>
        <v>0</v>
      </c>
      <c r="Q1329" s="35"/>
      <c r="R1329" s="36">
        <f t="shared" si="442"/>
        <v>0</v>
      </c>
      <c r="S1329" s="40"/>
      <c r="T1329" s="36">
        <f t="shared" si="435"/>
        <v>0</v>
      </c>
      <c r="U1329" s="35"/>
      <c r="V1329" s="36">
        <f t="shared" si="443"/>
        <v>0</v>
      </c>
      <c r="W1329" s="40"/>
      <c r="X1329" s="36">
        <f t="shared" si="436"/>
        <v>0</v>
      </c>
      <c r="Y1329" s="35"/>
      <c r="Z1329" s="36">
        <f t="shared" si="444"/>
        <v>0</v>
      </c>
      <c r="AA1329" s="40"/>
      <c r="AB1329" s="36">
        <f t="shared" si="437"/>
        <v>0</v>
      </c>
      <c r="AC1329" s="35"/>
      <c r="AD1329" s="36">
        <f t="shared" si="445"/>
        <v>0</v>
      </c>
      <c r="AE1329" s="40"/>
      <c r="AF1329" s="36">
        <f t="shared" si="438"/>
        <v>0</v>
      </c>
      <c r="AG1329" s="35"/>
      <c r="AH1329" s="36">
        <f t="shared" si="446"/>
        <v>0</v>
      </c>
      <c r="AI1329" s="40"/>
      <c r="AJ1329" s="36">
        <f t="shared" si="439"/>
        <v>0</v>
      </c>
      <c r="AK1329" s="35"/>
      <c r="AL1329" s="36">
        <f t="shared" si="447"/>
        <v>0</v>
      </c>
      <c r="AM1329" s="40"/>
      <c r="AN1329" s="36">
        <f t="shared" si="440"/>
        <v>0</v>
      </c>
      <c r="AO1329" s="35"/>
      <c r="AP1329" s="40"/>
    </row>
    <row r="1330" spans="1:42" ht="15.75" customHeight="1" x14ac:dyDescent="0.25">
      <c r="A1330" s="37">
        <v>2015</v>
      </c>
      <c r="B1330" s="35">
        <v>171370</v>
      </c>
      <c r="C1330" s="34" t="s">
        <v>144</v>
      </c>
      <c r="D1330" s="34" t="s">
        <v>82</v>
      </c>
      <c r="E1330" s="35"/>
      <c r="F1330" s="36">
        <f t="shared" si="430"/>
        <v>0</v>
      </c>
      <c r="G1330" s="40"/>
      <c r="H1330" s="36">
        <f t="shared" si="431"/>
        <v>0</v>
      </c>
      <c r="I1330" s="35"/>
      <c r="J1330" s="36">
        <f t="shared" si="432"/>
        <v>0</v>
      </c>
      <c r="K1330" s="40"/>
      <c r="L1330" s="36">
        <f t="shared" si="433"/>
        <v>0</v>
      </c>
      <c r="M1330" s="35"/>
      <c r="N1330" s="36">
        <f t="shared" si="441"/>
        <v>0</v>
      </c>
      <c r="O1330" s="40"/>
      <c r="P1330" s="36">
        <f t="shared" si="434"/>
        <v>0</v>
      </c>
      <c r="Q1330" s="35"/>
      <c r="R1330" s="36">
        <f t="shared" si="442"/>
        <v>0</v>
      </c>
      <c r="S1330" s="40"/>
      <c r="T1330" s="36">
        <f t="shared" si="435"/>
        <v>0</v>
      </c>
      <c r="U1330" s="35"/>
      <c r="V1330" s="36">
        <f t="shared" si="443"/>
        <v>0</v>
      </c>
      <c r="W1330" s="40"/>
      <c r="X1330" s="36">
        <f t="shared" si="436"/>
        <v>0</v>
      </c>
      <c r="Y1330" s="35"/>
      <c r="Z1330" s="36">
        <f t="shared" si="444"/>
        <v>0</v>
      </c>
      <c r="AA1330" s="40"/>
      <c r="AB1330" s="36">
        <f t="shared" si="437"/>
        <v>0</v>
      </c>
      <c r="AC1330" s="35"/>
      <c r="AD1330" s="36">
        <f t="shared" si="445"/>
        <v>0</v>
      </c>
      <c r="AE1330" s="40"/>
      <c r="AF1330" s="36">
        <f t="shared" si="438"/>
        <v>0</v>
      </c>
      <c r="AG1330" s="35"/>
      <c r="AH1330" s="36">
        <f t="shared" si="446"/>
        <v>0</v>
      </c>
      <c r="AI1330" s="40"/>
      <c r="AJ1330" s="36">
        <f t="shared" si="439"/>
        <v>0</v>
      </c>
      <c r="AK1330" s="35"/>
      <c r="AL1330" s="36">
        <f t="shared" si="447"/>
        <v>0</v>
      </c>
      <c r="AM1330" s="40"/>
      <c r="AN1330" s="36">
        <f t="shared" si="440"/>
        <v>0</v>
      </c>
      <c r="AO1330" s="35"/>
      <c r="AP1330" s="40"/>
    </row>
    <row r="1331" spans="1:42" ht="15.75" customHeight="1" x14ac:dyDescent="0.25">
      <c r="A1331" s="37">
        <v>2015</v>
      </c>
      <c r="B1331" s="35">
        <v>171395</v>
      </c>
      <c r="C1331" s="34" t="s">
        <v>149</v>
      </c>
      <c r="D1331" s="34" t="s">
        <v>83</v>
      </c>
      <c r="E1331" s="35"/>
      <c r="F1331" s="36">
        <f t="shared" si="430"/>
        <v>0</v>
      </c>
      <c r="G1331" s="40"/>
      <c r="H1331" s="36">
        <f t="shared" si="431"/>
        <v>0</v>
      </c>
      <c r="I1331" s="35"/>
      <c r="J1331" s="36">
        <f t="shared" si="432"/>
        <v>0</v>
      </c>
      <c r="K1331" s="40"/>
      <c r="L1331" s="36">
        <f t="shared" si="433"/>
        <v>0</v>
      </c>
      <c r="M1331" s="35"/>
      <c r="N1331" s="36">
        <f t="shared" si="441"/>
        <v>0</v>
      </c>
      <c r="O1331" s="40"/>
      <c r="P1331" s="36">
        <f t="shared" si="434"/>
        <v>0</v>
      </c>
      <c r="Q1331" s="35"/>
      <c r="R1331" s="36">
        <f t="shared" si="442"/>
        <v>0</v>
      </c>
      <c r="S1331" s="40"/>
      <c r="T1331" s="36">
        <f t="shared" si="435"/>
        <v>0</v>
      </c>
      <c r="U1331" s="35"/>
      <c r="V1331" s="36">
        <f t="shared" si="443"/>
        <v>0</v>
      </c>
      <c r="W1331" s="40"/>
      <c r="X1331" s="36">
        <f t="shared" si="436"/>
        <v>0</v>
      </c>
      <c r="Y1331" s="35"/>
      <c r="Z1331" s="36">
        <f t="shared" si="444"/>
        <v>0</v>
      </c>
      <c r="AA1331" s="40"/>
      <c r="AB1331" s="36">
        <f t="shared" si="437"/>
        <v>0</v>
      </c>
      <c r="AC1331" s="35"/>
      <c r="AD1331" s="36">
        <f t="shared" si="445"/>
        <v>0</v>
      </c>
      <c r="AE1331" s="40"/>
      <c r="AF1331" s="36">
        <f t="shared" si="438"/>
        <v>0</v>
      </c>
      <c r="AG1331" s="35"/>
      <c r="AH1331" s="36">
        <f t="shared" si="446"/>
        <v>0</v>
      </c>
      <c r="AI1331" s="40"/>
      <c r="AJ1331" s="36">
        <f t="shared" si="439"/>
        <v>0</v>
      </c>
      <c r="AK1331" s="35"/>
      <c r="AL1331" s="36">
        <f t="shared" si="447"/>
        <v>0</v>
      </c>
      <c r="AM1331" s="40"/>
      <c r="AN1331" s="36">
        <f t="shared" si="440"/>
        <v>0</v>
      </c>
      <c r="AO1331" s="35"/>
      <c r="AP1331" s="40"/>
    </row>
    <row r="1332" spans="1:42" ht="15.75" customHeight="1" x14ac:dyDescent="0.25">
      <c r="A1332" s="37">
        <v>2015</v>
      </c>
      <c r="B1332" s="35">
        <v>171420</v>
      </c>
      <c r="C1332" s="34" t="s">
        <v>151</v>
      </c>
      <c r="D1332" s="34" t="s">
        <v>84</v>
      </c>
      <c r="E1332" s="35"/>
      <c r="F1332" s="36">
        <f t="shared" si="430"/>
        <v>0</v>
      </c>
      <c r="G1332" s="40"/>
      <c r="H1332" s="36">
        <f t="shared" si="431"/>
        <v>0</v>
      </c>
      <c r="I1332" s="35"/>
      <c r="J1332" s="36">
        <f t="shared" si="432"/>
        <v>0</v>
      </c>
      <c r="K1332" s="40"/>
      <c r="L1332" s="36">
        <f t="shared" si="433"/>
        <v>0</v>
      </c>
      <c r="M1332" s="35"/>
      <c r="N1332" s="36">
        <f t="shared" si="441"/>
        <v>0</v>
      </c>
      <c r="O1332" s="40"/>
      <c r="P1332" s="36">
        <f t="shared" si="434"/>
        <v>0</v>
      </c>
      <c r="Q1332" s="35"/>
      <c r="R1332" s="36">
        <f t="shared" si="442"/>
        <v>0</v>
      </c>
      <c r="S1332" s="40"/>
      <c r="T1332" s="36">
        <f t="shared" si="435"/>
        <v>0</v>
      </c>
      <c r="U1332" s="35"/>
      <c r="V1332" s="36">
        <f t="shared" si="443"/>
        <v>0</v>
      </c>
      <c r="W1332" s="40"/>
      <c r="X1332" s="36">
        <f t="shared" si="436"/>
        <v>0</v>
      </c>
      <c r="Y1332" s="35"/>
      <c r="Z1332" s="36">
        <f t="shared" si="444"/>
        <v>0</v>
      </c>
      <c r="AA1332" s="40"/>
      <c r="AB1332" s="36">
        <f t="shared" si="437"/>
        <v>0</v>
      </c>
      <c r="AC1332" s="35"/>
      <c r="AD1332" s="36">
        <f t="shared" si="445"/>
        <v>0</v>
      </c>
      <c r="AE1332" s="40"/>
      <c r="AF1332" s="36">
        <f t="shared" si="438"/>
        <v>0</v>
      </c>
      <c r="AG1332" s="35"/>
      <c r="AH1332" s="36">
        <f t="shared" si="446"/>
        <v>0</v>
      </c>
      <c r="AI1332" s="40"/>
      <c r="AJ1332" s="36">
        <f t="shared" si="439"/>
        <v>0</v>
      </c>
      <c r="AK1332" s="35"/>
      <c r="AL1332" s="36">
        <f t="shared" si="447"/>
        <v>0</v>
      </c>
      <c r="AM1332" s="40"/>
      <c r="AN1332" s="36">
        <f t="shared" si="440"/>
        <v>0</v>
      </c>
      <c r="AO1332" s="35"/>
      <c r="AP1332" s="40"/>
    </row>
    <row r="1333" spans="1:42" ht="15.75" customHeight="1" x14ac:dyDescent="0.25">
      <c r="A1333" s="37">
        <v>2015</v>
      </c>
      <c r="B1333" s="35">
        <v>171430</v>
      </c>
      <c r="C1333" s="34" t="s">
        <v>145</v>
      </c>
      <c r="D1333" s="34" t="s">
        <v>85</v>
      </c>
      <c r="E1333" s="35"/>
      <c r="F1333" s="36">
        <f t="shared" si="430"/>
        <v>0</v>
      </c>
      <c r="G1333" s="40"/>
      <c r="H1333" s="36">
        <f t="shared" si="431"/>
        <v>0</v>
      </c>
      <c r="I1333" s="35"/>
      <c r="J1333" s="36">
        <f t="shared" si="432"/>
        <v>0</v>
      </c>
      <c r="K1333" s="40"/>
      <c r="L1333" s="36">
        <f t="shared" si="433"/>
        <v>0</v>
      </c>
      <c r="M1333" s="35"/>
      <c r="N1333" s="36">
        <f t="shared" si="441"/>
        <v>0</v>
      </c>
      <c r="O1333" s="40"/>
      <c r="P1333" s="36">
        <f t="shared" si="434"/>
        <v>0</v>
      </c>
      <c r="Q1333" s="35"/>
      <c r="R1333" s="36">
        <f t="shared" si="442"/>
        <v>0</v>
      </c>
      <c r="S1333" s="40"/>
      <c r="T1333" s="36">
        <f t="shared" si="435"/>
        <v>0</v>
      </c>
      <c r="U1333" s="35"/>
      <c r="V1333" s="36">
        <f t="shared" si="443"/>
        <v>0</v>
      </c>
      <c r="W1333" s="40"/>
      <c r="X1333" s="36">
        <f t="shared" si="436"/>
        <v>0</v>
      </c>
      <c r="Y1333" s="35"/>
      <c r="Z1333" s="36">
        <f t="shared" si="444"/>
        <v>0</v>
      </c>
      <c r="AA1333" s="40"/>
      <c r="AB1333" s="36">
        <f t="shared" si="437"/>
        <v>0</v>
      </c>
      <c r="AC1333" s="35"/>
      <c r="AD1333" s="36">
        <f t="shared" si="445"/>
        <v>0</v>
      </c>
      <c r="AE1333" s="40"/>
      <c r="AF1333" s="36">
        <f t="shared" si="438"/>
        <v>0</v>
      </c>
      <c r="AG1333" s="35"/>
      <c r="AH1333" s="36">
        <f t="shared" si="446"/>
        <v>0</v>
      </c>
      <c r="AI1333" s="40"/>
      <c r="AJ1333" s="36">
        <f t="shared" si="439"/>
        <v>0</v>
      </c>
      <c r="AK1333" s="35"/>
      <c r="AL1333" s="36">
        <f t="shared" si="447"/>
        <v>0</v>
      </c>
      <c r="AM1333" s="40"/>
      <c r="AN1333" s="36">
        <f t="shared" si="440"/>
        <v>0</v>
      </c>
      <c r="AO1333" s="35"/>
      <c r="AP1333" s="40"/>
    </row>
    <row r="1334" spans="1:42" ht="15.75" customHeight="1" x14ac:dyDescent="0.25">
      <c r="A1334" s="37">
        <v>2015</v>
      </c>
      <c r="B1334" s="35">
        <v>171488</v>
      </c>
      <c r="C1334" s="34" t="s">
        <v>149</v>
      </c>
      <c r="D1334" s="34" t="s">
        <v>86</v>
      </c>
      <c r="E1334" s="35"/>
      <c r="F1334" s="36">
        <f t="shared" si="430"/>
        <v>0</v>
      </c>
      <c r="G1334" s="40"/>
      <c r="H1334" s="36">
        <f t="shared" si="431"/>
        <v>0</v>
      </c>
      <c r="I1334" s="35"/>
      <c r="J1334" s="36">
        <f t="shared" si="432"/>
        <v>0</v>
      </c>
      <c r="K1334" s="40"/>
      <c r="L1334" s="36">
        <f t="shared" si="433"/>
        <v>0</v>
      </c>
      <c r="M1334" s="35"/>
      <c r="N1334" s="36">
        <f t="shared" si="441"/>
        <v>0</v>
      </c>
      <c r="O1334" s="40"/>
      <c r="P1334" s="36">
        <f t="shared" si="434"/>
        <v>0</v>
      </c>
      <c r="Q1334" s="35"/>
      <c r="R1334" s="36">
        <f t="shared" si="442"/>
        <v>0</v>
      </c>
      <c r="S1334" s="40"/>
      <c r="T1334" s="36">
        <f t="shared" si="435"/>
        <v>0</v>
      </c>
      <c r="U1334" s="35"/>
      <c r="V1334" s="36">
        <f t="shared" si="443"/>
        <v>0</v>
      </c>
      <c r="W1334" s="40"/>
      <c r="X1334" s="36">
        <f t="shared" si="436"/>
        <v>0</v>
      </c>
      <c r="Y1334" s="35"/>
      <c r="Z1334" s="36">
        <f t="shared" si="444"/>
        <v>0</v>
      </c>
      <c r="AA1334" s="40"/>
      <c r="AB1334" s="36">
        <f t="shared" si="437"/>
        <v>0</v>
      </c>
      <c r="AC1334" s="35"/>
      <c r="AD1334" s="36">
        <f t="shared" si="445"/>
        <v>0</v>
      </c>
      <c r="AE1334" s="40"/>
      <c r="AF1334" s="36">
        <f t="shared" si="438"/>
        <v>0</v>
      </c>
      <c r="AG1334" s="35"/>
      <c r="AH1334" s="36">
        <f t="shared" si="446"/>
        <v>0</v>
      </c>
      <c r="AI1334" s="40"/>
      <c r="AJ1334" s="36">
        <f t="shared" si="439"/>
        <v>0</v>
      </c>
      <c r="AK1334" s="35"/>
      <c r="AL1334" s="36">
        <f t="shared" si="447"/>
        <v>0</v>
      </c>
      <c r="AM1334" s="40"/>
      <c r="AN1334" s="36">
        <f t="shared" si="440"/>
        <v>0</v>
      </c>
      <c r="AO1334" s="35"/>
      <c r="AP1334" s="40"/>
    </row>
    <row r="1335" spans="1:42" ht="15.75" customHeight="1" x14ac:dyDescent="0.25">
      <c r="A1335" s="37">
        <v>2015</v>
      </c>
      <c r="B1335" s="35">
        <v>171500</v>
      </c>
      <c r="C1335" s="34" t="s">
        <v>144</v>
      </c>
      <c r="D1335" s="34" t="s">
        <v>87</v>
      </c>
      <c r="E1335" s="35"/>
      <c r="F1335" s="36">
        <f t="shared" si="430"/>
        <v>0</v>
      </c>
      <c r="G1335" s="40"/>
      <c r="H1335" s="36">
        <f t="shared" si="431"/>
        <v>0</v>
      </c>
      <c r="I1335" s="35"/>
      <c r="J1335" s="36">
        <f t="shared" si="432"/>
        <v>0</v>
      </c>
      <c r="K1335" s="40"/>
      <c r="L1335" s="36">
        <f t="shared" si="433"/>
        <v>0</v>
      </c>
      <c r="M1335" s="35"/>
      <c r="N1335" s="36">
        <f t="shared" si="441"/>
        <v>0</v>
      </c>
      <c r="O1335" s="40"/>
      <c r="P1335" s="36">
        <f t="shared" si="434"/>
        <v>0</v>
      </c>
      <c r="Q1335" s="35"/>
      <c r="R1335" s="36">
        <f t="shared" si="442"/>
        <v>0</v>
      </c>
      <c r="S1335" s="40"/>
      <c r="T1335" s="36">
        <f t="shared" si="435"/>
        <v>0</v>
      </c>
      <c r="U1335" s="35"/>
      <c r="V1335" s="36">
        <f t="shared" si="443"/>
        <v>0</v>
      </c>
      <c r="W1335" s="40"/>
      <c r="X1335" s="36">
        <f t="shared" si="436"/>
        <v>0</v>
      </c>
      <c r="Y1335" s="35"/>
      <c r="Z1335" s="36">
        <f t="shared" si="444"/>
        <v>0</v>
      </c>
      <c r="AA1335" s="40"/>
      <c r="AB1335" s="36">
        <f t="shared" si="437"/>
        <v>0</v>
      </c>
      <c r="AC1335" s="35"/>
      <c r="AD1335" s="36">
        <f t="shared" si="445"/>
        <v>0</v>
      </c>
      <c r="AE1335" s="40"/>
      <c r="AF1335" s="36">
        <f t="shared" si="438"/>
        <v>0</v>
      </c>
      <c r="AG1335" s="35"/>
      <c r="AH1335" s="36">
        <f t="shared" si="446"/>
        <v>0</v>
      </c>
      <c r="AI1335" s="40"/>
      <c r="AJ1335" s="36">
        <f t="shared" si="439"/>
        <v>0</v>
      </c>
      <c r="AK1335" s="35"/>
      <c r="AL1335" s="36">
        <f t="shared" si="447"/>
        <v>0</v>
      </c>
      <c r="AM1335" s="40"/>
      <c r="AN1335" s="36">
        <f t="shared" si="440"/>
        <v>0</v>
      </c>
      <c r="AO1335" s="35"/>
      <c r="AP1335" s="40"/>
    </row>
    <row r="1336" spans="1:42" ht="15.75" customHeight="1" x14ac:dyDescent="0.25">
      <c r="A1336" s="37">
        <v>2015</v>
      </c>
      <c r="B1336" s="35">
        <v>171510</v>
      </c>
      <c r="C1336" s="34" t="s">
        <v>148</v>
      </c>
      <c r="D1336" s="34" t="s">
        <v>88</v>
      </c>
      <c r="E1336" s="35"/>
      <c r="F1336" s="36">
        <f t="shared" si="430"/>
        <v>0</v>
      </c>
      <c r="G1336" s="40"/>
      <c r="H1336" s="36">
        <f t="shared" si="431"/>
        <v>0</v>
      </c>
      <c r="I1336" s="35"/>
      <c r="J1336" s="36">
        <f t="shared" si="432"/>
        <v>0</v>
      </c>
      <c r="K1336" s="40"/>
      <c r="L1336" s="36">
        <f t="shared" si="433"/>
        <v>0</v>
      </c>
      <c r="M1336" s="35"/>
      <c r="N1336" s="36">
        <f t="shared" si="441"/>
        <v>0</v>
      </c>
      <c r="O1336" s="40"/>
      <c r="P1336" s="36">
        <f t="shared" si="434"/>
        <v>0</v>
      </c>
      <c r="Q1336" s="35"/>
      <c r="R1336" s="36">
        <f t="shared" si="442"/>
        <v>0</v>
      </c>
      <c r="S1336" s="40"/>
      <c r="T1336" s="36">
        <f t="shared" si="435"/>
        <v>0</v>
      </c>
      <c r="U1336" s="35"/>
      <c r="V1336" s="36">
        <f t="shared" si="443"/>
        <v>0</v>
      </c>
      <c r="W1336" s="40"/>
      <c r="X1336" s="36">
        <f t="shared" si="436"/>
        <v>0</v>
      </c>
      <c r="Y1336" s="35"/>
      <c r="Z1336" s="36">
        <f t="shared" si="444"/>
        <v>0</v>
      </c>
      <c r="AA1336" s="40"/>
      <c r="AB1336" s="36">
        <f t="shared" si="437"/>
        <v>0</v>
      </c>
      <c r="AC1336" s="35"/>
      <c r="AD1336" s="36">
        <f t="shared" si="445"/>
        <v>0</v>
      </c>
      <c r="AE1336" s="40"/>
      <c r="AF1336" s="36">
        <f t="shared" si="438"/>
        <v>0</v>
      </c>
      <c r="AG1336" s="35"/>
      <c r="AH1336" s="36">
        <f t="shared" si="446"/>
        <v>0</v>
      </c>
      <c r="AI1336" s="40"/>
      <c r="AJ1336" s="36">
        <f t="shared" si="439"/>
        <v>0</v>
      </c>
      <c r="AK1336" s="35"/>
      <c r="AL1336" s="36">
        <f t="shared" si="447"/>
        <v>0</v>
      </c>
      <c r="AM1336" s="40"/>
      <c r="AN1336" s="36">
        <f t="shared" si="440"/>
        <v>0</v>
      </c>
      <c r="AO1336" s="35"/>
      <c r="AP1336" s="40"/>
    </row>
    <row r="1337" spans="1:42" ht="15.75" customHeight="1" x14ac:dyDescent="0.25">
      <c r="A1337" s="37">
        <v>2015</v>
      </c>
      <c r="B1337" s="35">
        <v>171515</v>
      </c>
      <c r="C1337" s="34" t="s">
        <v>147</v>
      </c>
      <c r="D1337" s="34" t="s">
        <v>89</v>
      </c>
      <c r="E1337" s="35"/>
      <c r="F1337" s="36">
        <f t="shared" si="430"/>
        <v>0</v>
      </c>
      <c r="G1337" s="40"/>
      <c r="H1337" s="36">
        <f t="shared" si="431"/>
        <v>0</v>
      </c>
      <c r="I1337" s="35"/>
      <c r="J1337" s="36">
        <f t="shared" si="432"/>
        <v>0</v>
      </c>
      <c r="K1337" s="40"/>
      <c r="L1337" s="36">
        <f t="shared" si="433"/>
        <v>0</v>
      </c>
      <c r="M1337" s="35"/>
      <c r="N1337" s="36">
        <f t="shared" si="441"/>
        <v>0</v>
      </c>
      <c r="O1337" s="40"/>
      <c r="P1337" s="36">
        <f t="shared" si="434"/>
        <v>0</v>
      </c>
      <c r="Q1337" s="35"/>
      <c r="R1337" s="36">
        <f t="shared" si="442"/>
        <v>0</v>
      </c>
      <c r="S1337" s="40"/>
      <c r="T1337" s="36">
        <f t="shared" si="435"/>
        <v>0</v>
      </c>
      <c r="U1337" s="35"/>
      <c r="V1337" s="36">
        <f t="shared" si="443"/>
        <v>0</v>
      </c>
      <c r="W1337" s="40"/>
      <c r="X1337" s="36">
        <f t="shared" si="436"/>
        <v>0</v>
      </c>
      <c r="Y1337" s="35"/>
      <c r="Z1337" s="36">
        <f t="shared" si="444"/>
        <v>0</v>
      </c>
      <c r="AA1337" s="40"/>
      <c r="AB1337" s="36">
        <f t="shared" si="437"/>
        <v>0</v>
      </c>
      <c r="AC1337" s="35"/>
      <c r="AD1337" s="36">
        <f t="shared" si="445"/>
        <v>0</v>
      </c>
      <c r="AE1337" s="40"/>
      <c r="AF1337" s="36">
        <f t="shared" si="438"/>
        <v>0</v>
      </c>
      <c r="AG1337" s="35"/>
      <c r="AH1337" s="36">
        <f t="shared" si="446"/>
        <v>0</v>
      </c>
      <c r="AI1337" s="40"/>
      <c r="AJ1337" s="36">
        <f t="shared" si="439"/>
        <v>0</v>
      </c>
      <c r="AK1337" s="35"/>
      <c r="AL1337" s="36">
        <f t="shared" si="447"/>
        <v>0</v>
      </c>
      <c r="AM1337" s="40"/>
      <c r="AN1337" s="36">
        <f t="shared" si="440"/>
        <v>0</v>
      </c>
      <c r="AO1337" s="35"/>
      <c r="AP1337" s="40"/>
    </row>
    <row r="1338" spans="1:42" ht="15.75" customHeight="1" x14ac:dyDescent="0.25">
      <c r="A1338" s="37">
        <v>2015</v>
      </c>
      <c r="B1338" s="35">
        <v>171525</v>
      </c>
      <c r="C1338" s="34" t="s">
        <v>147</v>
      </c>
      <c r="D1338" s="34" t="s">
        <v>90</v>
      </c>
      <c r="E1338" s="35"/>
      <c r="F1338" s="36">
        <f t="shared" si="430"/>
        <v>0</v>
      </c>
      <c r="G1338" s="40"/>
      <c r="H1338" s="36">
        <f t="shared" si="431"/>
        <v>0</v>
      </c>
      <c r="I1338" s="35"/>
      <c r="J1338" s="36">
        <f t="shared" si="432"/>
        <v>0</v>
      </c>
      <c r="K1338" s="40"/>
      <c r="L1338" s="36">
        <f t="shared" si="433"/>
        <v>0</v>
      </c>
      <c r="M1338" s="35"/>
      <c r="N1338" s="36">
        <f t="shared" si="441"/>
        <v>0</v>
      </c>
      <c r="O1338" s="40"/>
      <c r="P1338" s="36">
        <f t="shared" si="434"/>
        <v>0</v>
      </c>
      <c r="Q1338" s="35"/>
      <c r="R1338" s="36">
        <f t="shared" si="442"/>
        <v>0</v>
      </c>
      <c r="S1338" s="40"/>
      <c r="T1338" s="36">
        <f t="shared" si="435"/>
        <v>0</v>
      </c>
      <c r="U1338" s="35"/>
      <c r="V1338" s="36">
        <f t="shared" si="443"/>
        <v>0</v>
      </c>
      <c r="W1338" s="40"/>
      <c r="X1338" s="36">
        <f t="shared" si="436"/>
        <v>0</v>
      </c>
      <c r="Y1338" s="35"/>
      <c r="Z1338" s="36">
        <f t="shared" si="444"/>
        <v>0</v>
      </c>
      <c r="AA1338" s="40"/>
      <c r="AB1338" s="36">
        <f t="shared" si="437"/>
        <v>0</v>
      </c>
      <c r="AC1338" s="35"/>
      <c r="AD1338" s="36">
        <f t="shared" si="445"/>
        <v>0</v>
      </c>
      <c r="AE1338" s="40"/>
      <c r="AF1338" s="36">
        <f t="shared" si="438"/>
        <v>0</v>
      </c>
      <c r="AG1338" s="35"/>
      <c r="AH1338" s="36">
        <f t="shared" si="446"/>
        <v>0</v>
      </c>
      <c r="AI1338" s="40"/>
      <c r="AJ1338" s="36">
        <f t="shared" si="439"/>
        <v>0</v>
      </c>
      <c r="AK1338" s="35"/>
      <c r="AL1338" s="36">
        <f t="shared" si="447"/>
        <v>0</v>
      </c>
      <c r="AM1338" s="40"/>
      <c r="AN1338" s="36">
        <f t="shared" si="440"/>
        <v>0</v>
      </c>
      <c r="AO1338" s="35"/>
      <c r="AP1338" s="40"/>
    </row>
    <row r="1339" spans="1:42" ht="15.75" customHeight="1" x14ac:dyDescent="0.25">
      <c r="A1339" s="37">
        <v>2015</v>
      </c>
      <c r="B1339" s="35">
        <v>171550</v>
      </c>
      <c r="C1339" s="34" t="s">
        <v>151</v>
      </c>
      <c r="D1339" s="34" t="s">
        <v>91</v>
      </c>
      <c r="E1339" s="35"/>
      <c r="F1339" s="36">
        <f t="shared" si="430"/>
        <v>0</v>
      </c>
      <c r="G1339" s="40"/>
      <c r="H1339" s="36">
        <f t="shared" si="431"/>
        <v>0</v>
      </c>
      <c r="I1339" s="35"/>
      <c r="J1339" s="36">
        <f t="shared" si="432"/>
        <v>0</v>
      </c>
      <c r="K1339" s="40"/>
      <c r="L1339" s="36">
        <f t="shared" si="433"/>
        <v>0</v>
      </c>
      <c r="M1339" s="35"/>
      <c r="N1339" s="36">
        <f t="shared" si="441"/>
        <v>0</v>
      </c>
      <c r="O1339" s="40"/>
      <c r="P1339" s="36">
        <f t="shared" si="434"/>
        <v>0</v>
      </c>
      <c r="Q1339" s="35"/>
      <c r="R1339" s="36">
        <f t="shared" si="442"/>
        <v>0</v>
      </c>
      <c r="S1339" s="40"/>
      <c r="T1339" s="36">
        <f t="shared" si="435"/>
        <v>0</v>
      </c>
      <c r="U1339" s="35"/>
      <c r="V1339" s="36">
        <f t="shared" si="443"/>
        <v>0</v>
      </c>
      <c r="W1339" s="40"/>
      <c r="X1339" s="36">
        <f t="shared" si="436"/>
        <v>0</v>
      </c>
      <c r="Y1339" s="35"/>
      <c r="Z1339" s="36">
        <f t="shared" si="444"/>
        <v>0</v>
      </c>
      <c r="AA1339" s="40"/>
      <c r="AB1339" s="36">
        <f t="shared" si="437"/>
        <v>0</v>
      </c>
      <c r="AC1339" s="35"/>
      <c r="AD1339" s="36">
        <f t="shared" si="445"/>
        <v>0</v>
      </c>
      <c r="AE1339" s="40"/>
      <c r="AF1339" s="36">
        <f t="shared" si="438"/>
        <v>0</v>
      </c>
      <c r="AG1339" s="35"/>
      <c r="AH1339" s="36">
        <f t="shared" si="446"/>
        <v>0</v>
      </c>
      <c r="AI1339" s="40"/>
      <c r="AJ1339" s="36">
        <f t="shared" si="439"/>
        <v>0</v>
      </c>
      <c r="AK1339" s="35"/>
      <c r="AL1339" s="36">
        <f t="shared" si="447"/>
        <v>0</v>
      </c>
      <c r="AM1339" s="40"/>
      <c r="AN1339" s="36">
        <f t="shared" si="440"/>
        <v>0</v>
      </c>
      <c r="AO1339" s="35"/>
      <c r="AP1339" s="40"/>
    </row>
    <row r="1340" spans="1:42" ht="15.75" customHeight="1" x14ac:dyDescent="0.25">
      <c r="A1340" s="37">
        <v>2015</v>
      </c>
      <c r="B1340" s="35">
        <v>172100</v>
      </c>
      <c r="C1340" s="34" t="s">
        <v>148</v>
      </c>
      <c r="D1340" s="34" t="s">
        <v>92</v>
      </c>
      <c r="E1340" s="35"/>
      <c r="F1340" s="36">
        <f t="shared" si="430"/>
        <v>0</v>
      </c>
      <c r="G1340" s="40"/>
      <c r="H1340" s="36">
        <f t="shared" si="431"/>
        <v>0</v>
      </c>
      <c r="I1340" s="35"/>
      <c r="J1340" s="36">
        <f t="shared" si="432"/>
        <v>0</v>
      </c>
      <c r="K1340" s="40"/>
      <c r="L1340" s="36">
        <f t="shared" si="433"/>
        <v>0</v>
      </c>
      <c r="M1340" s="35"/>
      <c r="N1340" s="36">
        <f t="shared" si="441"/>
        <v>0</v>
      </c>
      <c r="O1340" s="41"/>
      <c r="P1340" s="36">
        <f t="shared" si="434"/>
        <v>0</v>
      </c>
      <c r="Q1340" s="35"/>
      <c r="R1340" s="36">
        <f t="shared" si="442"/>
        <v>0</v>
      </c>
      <c r="S1340" s="40"/>
      <c r="T1340" s="36">
        <f t="shared" si="435"/>
        <v>0</v>
      </c>
      <c r="U1340" s="35"/>
      <c r="V1340" s="36">
        <f t="shared" si="443"/>
        <v>0</v>
      </c>
      <c r="W1340" s="40"/>
      <c r="X1340" s="36">
        <f t="shared" si="436"/>
        <v>0</v>
      </c>
      <c r="Y1340" s="35"/>
      <c r="Z1340" s="36">
        <f t="shared" si="444"/>
        <v>0</v>
      </c>
      <c r="AA1340" s="41"/>
      <c r="AB1340" s="36">
        <f t="shared" si="437"/>
        <v>0</v>
      </c>
      <c r="AC1340" s="35"/>
      <c r="AD1340" s="36">
        <f t="shared" si="445"/>
        <v>0</v>
      </c>
      <c r="AE1340" s="40"/>
      <c r="AF1340" s="36">
        <f t="shared" si="438"/>
        <v>0</v>
      </c>
      <c r="AG1340" s="35"/>
      <c r="AH1340" s="36">
        <f t="shared" si="446"/>
        <v>0</v>
      </c>
      <c r="AI1340" s="40"/>
      <c r="AJ1340" s="36">
        <f t="shared" si="439"/>
        <v>0</v>
      </c>
      <c r="AK1340" s="35"/>
      <c r="AL1340" s="36">
        <f t="shared" si="447"/>
        <v>0</v>
      </c>
      <c r="AM1340" s="40"/>
      <c r="AN1340" s="36">
        <f t="shared" si="440"/>
        <v>0</v>
      </c>
      <c r="AO1340" s="35"/>
      <c r="AP1340" s="41"/>
    </row>
    <row r="1341" spans="1:42" ht="15.75" customHeight="1" x14ac:dyDescent="0.25">
      <c r="A1341" s="37">
        <v>2015</v>
      </c>
      <c r="B1341" s="35">
        <v>171570</v>
      </c>
      <c r="C1341" s="34" t="s">
        <v>150</v>
      </c>
      <c r="D1341" s="34" t="s">
        <v>93</v>
      </c>
      <c r="E1341" s="35"/>
      <c r="F1341" s="36">
        <f t="shared" si="430"/>
        <v>0</v>
      </c>
      <c r="G1341" s="40"/>
      <c r="H1341" s="36">
        <f t="shared" si="431"/>
        <v>0</v>
      </c>
      <c r="I1341" s="35"/>
      <c r="J1341" s="36">
        <f t="shared" si="432"/>
        <v>0</v>
      </c>
      <c r="K1341" s="40"/>
      <c r="L1341" s="36">
        <f t="shared" si="433"/>
        <v>0</v>
      </c>
      <c r="M1341" s="35"/>
      <c r="N1341" s="36">
        <f t="shared" si="441"/>
        <v>0</v>
      </c>
      <c r="O1341" s="40"/>
      <c r="P1341" s="36">
        <f t="shared" si="434"/>
        <v>0</v>
      </c>
      <c r="Q1341" s="35"/>
      <c r="R1341" s="36">
        <f t="shared" si="442"/>
        <v>0</v>
      </c>
      <c r="S1341" s="40"/>
      <c r="T1341" s="36">
        <f t="shared" si="435"/>
        <v>0</v>
      </c>
      <c r="U1341" s="35"/>
      <c r="V1341" s="36">
        <f t="shared" si="443"/>
        <v>0</v>
      </c>
      <c r="W1341" s="40"/>
      <c r="X1341" s="36">
        <f t="shared" si="436"/>
        <v>0</v>
      </c>
      <c r="Y1341" s="35"/>
      <c r="Z1341" s="36">
        <f t="shared" si="444"/>
        <v>0</v>
      </c>
      <c r="AA1341" s="40"/>
      <c r="AB1341" s="36">
        <f t="shared" si="437"/>
        <v>0</v>
      </c>
      <c r="AC1341" s="35"/>
      <c r="AD1341" s="36">
        <f t="shared" si="445"/>
        <v>0</v>
      </c>
      <c r="AE1341" s="40"/>
      <c r="AF1341" s="36">
        <f t="shared" si="438"/>
        <v>0</v>
      </c>
      <c r="AG1341" s="35"/>
      <c r="AH1341" s="36">
        <f t="shared" si="446"/>
        <v>0</v>
      </c>
      <c r="AI1341" s="40"/>
      <c r="AJ1341" s="36">
        <f t="shared" si="439"/>
        <v>0</v>
      </c>
      <c r="AK1341" s="35"/>
      <c r="AL1341" s="36">
        <f t="shared" si="447"/>
        <v>0</v>
      </c>
      <c r="AM1341" s="40"/>
      <c r="AN1341" s="36">
        <f t="shared" si="440"/>
        <v>0</v>
      </c>
      <c r="AO1341" s="35"/>
      <c r="AP1341" s="40"/>
    </row>
    <row r="1342" spans="1:42" ht="15.75" customHeight="1" x14ac:dyDescent="0.25">
      <c r="A1342" s="37">
        <v>2015</v>
      </c>
      <c r="B1342" s="35">
        <v>171380</v>
      </c>
      <c r="C1342" s="34" t="s">
        <v>145</v>
      </c>
      <c r="D1342" s="34" t="s">
        <v>94</v>
      </c>
      <c r="E1342" s="35"/>
      <c r="F1342" s="36">
        <f t="shared" si="430"/>
        <v>0</v>
      </c>
      <c r="G1342" s="40"/>
      <c r="H1342" s="36">
        <f t="shared" si="431"/>
        <v>0</v>
      </c>
      <c r="I1342" s="35"/>
      <c r="J1342" s="36">
        <f t="shared" si="432"/>
        <v>0</v>
      </c>
      <c r="K1342" s="40"/>
      <c r="L1342" s="36">
        <f t="shared" si="433"/>
        <v>0</v>
      </c>
      <c r="M1342" s="35"/>
      <c r="N1342" s="36">
        <f t="shared" si="441"/>
        <v>0</v>
      </c>
      <c r="O1342" s="40"/>
      <c r="P1342" s="36">
        <f t="shared" si="434"/>
        <v>0</v>
      </c>
      <c r="Q1342" s="35"/>
      <c r="R1342" s="36">
        <f t="shared" si="442"/>
        <v>0</v>
      </c>
      <c r="S1342" s="40"/>
      <c r="T1342" s="36">
        <f t="shared" si="435"/>
        <v>0</v>
      </c>
      <c r="U1342" s="35"/>
      <c r="V1342" s="36">
        <f t="shared" si="443"/>
        <v>0</v>
      </c>
      <c r="W1342" s="40"/>
      <c r="X1342" s="36">
        <f t="shared" si="436"/>
        <v>0</v>
      </c>
      <c r="Y1342" s="35"/>
      <c r="Z1342" s="36">
        <f t="shared" si="444"/>
        <v>0</v>
      </c>
      <c r="AA1342" s="40"/>
      <c r="AB1342" s="36">
        <f t="shared" si="437"/>
        <v>0</v>
      </c>
      <c r="AC1342" s="35"/>
      <c r="AD1342" s="36">
        <f t="shared" si="445"/>
        <v>0</v>
      </c>
      <c r="AE1342" s="40"/>
      <c r="AF1342" s="36">
        <f t="shared" si="438"/>
        <v>0</v>
      </c>
      <c r="AG1342" s="35"/>
      <c r="AH1342" s="36">
        <f t="shared" si="446"/>
        <v>0</v>
      </c>
      <c r="AI1342" s="40"/>
      <c r="AJ1342" s="36">
        <f t="shared" si="439"/>
        <v>0</v>
      </c>
      <c r="AK1342" s="35"/>
      <c r="AL1342" s="36">
        <f t="shared" si="447"/>
        <v>0</v>
      </c>
      <c r="AM1342" s="40"/>
      <c r="AN1342" s="36">
        <f t="shared" si="440"/>
        <v>0</v>
      </c>
      <c r="AO1342" s="35"/>
      <c r="AP1342" s="40"/>
    </row>
    <row r="1343" spans="1:42" ht="15.75" customHeight="1" x14ac:dyDescent="0.25">
      <c r="A1343" s="37">
        <v>2015</v>
      </c>
      <c r="B1343" s="35">
        <v>171575</v>
      </c>
      <c r="C1343" s="34" t="s">
        <v>146</v>
      </c>
      <c r="D1343" s="34" t="s">
        <v>95</v>
      </c>
      <c r="E1343" s="35"/>
      <c r="F1343" s="36">
        <f t="shared" si="430"/>
        <v>0</v>
      </c>
      <c r="G1343" s="40"/>
      <c r="H1343" s="36">
        <f t="shared" si="431"/>
        <v>0</v>
      </c>
      <c r="I1343" s="35"/>
      <c r="J1343" s="36">
        <f t="shared" si="432"/>
        <v>0</v>
      </c>
      <c r="K1343" s="40"/>
      <c r="L1343" s="36">
        <f t="shared" si="433"/>
        <v>0</v>
      </c>
      <c r="M1343" s="35"/>
      <c r="N1343" s="36">
        <f t="shared" si="441"/>
        <v>0</v>
      </c>
      <c r="O1343" s="40"/>
      <c r="P1343" s="36">
        <f t="shared" si="434"/>
        <v>0</v>
      </c>
      <c r="Q1343" s="35"/>
      <c r="R1343" s="36">
        <f t="shared" si="442"/>
        <v>0</v>
      </c>
      <c r="S1343" s="40"/>
      <c r="T1343" s="36">
        <f t="shared" si="435"/>
        <v>0</v>
      </c>
      <c r="U1343" s="35"/>
      <c r="V1343" s="36">
        <f t="shared" si="443"/>
        <v>0</v>
      </c>
      <c r="W1343" s="40"/>
      <c r="X1343" s="36">
        <f t="shared" si="436"/>
        <v>0</v>
      </c>
      <c r="Y1343" s="35"/>
      <c r="Z1343" s="36">
        <f t="shared" si="444"/>
        <v>0</v>
      </c>
      <c r="AA1343" s="40"/>
      <c r="AB1343" s="36">
        <f t="shared" si="437"/>
        <v>0</v>
      </c>
      <c r="AC1343" s="35"/>
      <c r="AD1343" s="36">
        <f t="shared" si="445"/>
        <v>0</v>
      </c>
      <c r="AE1343" s="40"/>
      <c r="AF1343" s="36">
        <f t="shared" si="438"/>
        <v>0</v>
      </c>
      <c r="AG1343" s="35"/>
      <c r="AH1343" s="36">
        <f t="shared" si="446"/>
        <v>0</v>
      </c>
      <c r="AI1343" s="40"/>
      <c r="AJ1343" s="36">
        <f t="shared" si="439"/>
        <v>0</v>
      </c>
      <c r="AK1343" s="35"/>
      <c r="AL1343" s="36">
        <f t="shared" si="447"/>
        <v>0</v>
      </c>
      <c r="AM1343" s="40"/>
      <c r="AN1343" s="36">
        <f t="shared" si="440"/>
        <v>0</v>
      </c>
      <c r="AO1343" s="35"/>
      <c r="AP1343" s="40"/>
    </row>
    <row r="1344" spans="1:42" ht="15.75" customHeight="1" x14ac:dyDescent="0.25">
      <c r="A1344" s="37">
        <v>2015</v>
      </c>
      <c r="B1344" s="35">
        <v>171610</v>
      </c>
      <c r="C1344" s="34" t="s">
        <v>144</v>
      </c>
      <c r="D1344" s="34" t="s">
        <v>96</v>
      </c>
      <c r="E1344" s="35"/>
      <c r="F1344" s="36">
        <f t="shared" si="430"/>
        <v>0</v>
      </c>
      <c r="G1344" s="40"/>
      <c r="H1344" s="36">
        <f t="shared" si="431"/>
        <v>0</v>
      </c>
      <c r="I1344" s="35"/>
      <c r="J1344" s="36">
        <f t="shared" si="432"/>
        <v>0</v>
      </c>
      <c r="K1344" s="40"/>
      <c r="L1344" s="36">
        <f t="shared" si="433"/>
        <v>0</v>
      </c>
      <c r="M1344" s="35"/>
      <c r="N1344" s="36">
        <f t="shared" si="441"/>
        <v>0</v>
      </c>
      <c r="O1344" s="40"/>
      <c r="P1344" s="36">
        <f t="shared" si="434"/>
        <v>0</v>
      </c>
      <c r="Q1344" s="35"/>
      <c r="R1344" s="36">
        <f t="shared" si="442"/>
        <v>0</v>
      </c>
      <c r="S1344" s="40"/>
      <c r="T1344" s="36">
        <f t="shared" si="435"/>
        <v>0</v>
      </c>
      <c r="U1344" s="35"/>
      <c r="V1344" s="36">
        <f t="shared" si="443"/>
        <v>0</v>
      </c>
      <c r="W1344" s="40"/>
      <c r="X1344" s="36">
        <f t="shared" si="436"/>
        <v>0</v>
      </c>
      <c r="Y1344" s="35"/>
      <c r="Z1344" s="36">
        <f t="shared" si="444"/>
        <v>0</v>
      </c>
      <c r="AA1344" s="40"/>
      <c r="AB1344" s="36">
        <f t="shared" si="437"/>
        <v>0</v>
      </c>
      <c r="AC1344" s="35"/>
      <c r="AD1344" s="36">
        <f t="shared" si="445"/>
        <v>0</v>
      </c>
      <c r="AE1344" s="40"/>
      <c r="AF1344" s="36">
        <f t="shared" si="438"/>
        <v>0</v>
      </c>
      <c r="AG1344" s="35"/>
      <c r="AH1344" s="36">
        <f t="shared" si="446"/>
        <v>0</v>
      </c>
      <c r="AI1344" s="40"/>
      <c r="AJ1344" s="36">
        <f t="shared" si="439"/>
        <v>0</v>
      </c>
      <c r="AK1344" s="35"/>
      <c r="AL1344" s="36">
        <f t="shared" si="447"/>
        <v>0</v>
      </c>
      <c r="AM1344" s="40"/>
      <c r="AN1344" s="36">
        <f t="shared" si="440"/>
        <v>0</v>
      </c>
      <c r="AO1344" s="35"/>
      <c r="AP1344" s="40"/>
    </row>
    <row r="1345" spans="1:42" ht="15.75" customHeight="1" x14ac:dyDescent="0.25">
      <c r="A1345" s="37">
        <v>2015</v>
      </c>
      <c r="B1345" s="35">
        <v>171620</v>
      </c>
      <c r="C1345" s="34" t="s">
        <v>147</v>
      </c>
      <c r="D1345" s="34" t="s">
        <v>97</v>
      </c>
      <c r="E1345" s="35"/>
      <c r="F1345" s="36">
        <f t="shared" si="430"/>
        <v>0</v>
      </c>
      <c r="G1345" s="40"/>
      <c r="H1345" s="36">
        <f t="shared" si="431"/>
        <v>0</v>
      </c>
      <c r="I1345" s="35"/>
      <c r="J1345" s="36">
        <f t="shared" si="432"/>
        <v>0</v>
      </c>
      <c r="K1345" s="40"/>
      <c r="L1345" s="36">
        <f t="shared" si="433"/>
        <v>0</v>
      </c>
      <c r="M1345" s="35"/>
      <c r="N1345" s="36">
        <f t="shared" si="441"/>
        <v>0</v>
      </c>
      <c r="O1345" s="40"/>
      <c r="P1345" s="36">
        <f t="shared" si="434"/>
        <v>0</v>
      </c>
      <c r="Q1345" s="35"/>
      <c r="R1345" s="36">
        <f t="shared" si="442"/>
        <v>0</v>
      </c>
      <c r="S1345" s="40"/>
      <c r="T1345" s="36">
        <f t="shared" si="435"/>
        <v>0</v>
      </c>
      <c r="U1345" s="35"/>
      <c r="V1345" s="36">
        <f t="shared" si="443"/>
        <v>0</v>
      </c>
      <c r="W1345" s="40"/>
      <c r="X1345" s="36">
        <f t="shared" si="436"/>
        <v>0</v>
      </c>
      <c r="Y1345" s="35"/>
      <c r="Z1345" s="36">
        <f t="shared" si="444"/>
        <v>0</v>
      </c>
      <c r="AA1345" s="40"/>
      <c r="AB1345" s="36">
        <f t="shared" si="437"/>
        <v>0</v>
      </c>
      <c r="AC1345" s="35"/>
      <c r="AD1345" s="36">
        <f t="shared" si="445"/>
        <v>0</v>
      </c>
      <c r="AE1345" s="40"/>
      <c r="AF1345" s="36">
        <f t="shared" si="438"/>
        <v>0</v>
      </c>
      <c r="AG1345" s="35"/>
      <c r="AH1345" s="36">
        <f t="shared" si="446"/>
        <v>0</v>
      </c>
      <c r="AI1345" s="40"/>
      <c r="AJ1345" s="36">
        <f t="shared" si="439"/>
        <v>0</v>
      </c>
      <c r="AK1345" s="35"/>
      <c r="AL1345" s="36">
        <f t="shared" si="447"/>
        <v>0</v>
      </c>
      <c r="AM1345" s="40"/>
      <c r="AN1345" s="36">
        <f t="shared" si="440"/>
        <v>0</v>
      </c>
      <c r="AO1345" s="35"/>
      <c r="AP1345" s="40"/>
    </row>
    <row r="1346" spans="1:42" ht="15.75" customHeight="1" x14ac:dyDescent="0.25">
      <c r="A1346" s="37">
        <v>2015</v>
      </c>
      <c r="B1346" s="35">
        <v>171630</v>
      </c>
      <c r="C1346" s="34" t="s">
        <v>149</v>
      </c>
      <c r="D1346" s="34" t="s">
        <v>98</v>
      </c>
      <c r="E1346" s="35"/>
      <c r="F1346" s="36">
        <f t="shared" ref="F1346:F1391" si="448">IFERROR(E1346/$AO1346,0)</f>
        <v>0</v>
      </c>
      <c r="G1346" s="40"/>
      <c r="H1346" s="36">
        <f t="shared" ref="H1346:H1391" si="449">IFERROR(G1346/$AP1346,0)</f>
        <v>0</v>
      </c>
      <c r="I1346" s="35"/>
      <c r="J1346" s="36">
        <f t="shared" ref="J1346:J1391" si="450">IFERROR(I1346/$AO1346,0)</f>
        <v>0</v>
      </c>
      <c r="K1346" s="40"/>
      <c r="L1346" s="36">
        <f t="shared" ref="L1346:L1391" si="451">IFERROR(K1346/$AP1346,0)</f>
        <v>0</v>
      </c>
      <c r="M1346" s="35"/>
      <c r="N1346" s="36">
        <f t="shared" si="441"/>
        <v>0</v>
      </c>
      <c r="O1346" s="40"/>
      <c r="P1346" s="36">
        <f t="shared" ref="P1346:P1391" si="452">IFERROR(O1346/$AP1346,0)</f>
        <v>0</v>
      </c>
      <c r="Q1346" s="35"/>
      <c r="R1346" s="36">
        <f t="shared" si="442"/>
        <v>0</v>
      </c>
      <c r="S1346" s="40"/>
      <c r="T1346" s="36">
        <f t="shared" ref="T1346:T1391" si="453">IFERROR(S1346/$AP1346,0)</f>
        <v>0</v>
      </c>
      <c r="U1346" s="35"/>
      <c r="V1346" s="36">
        <f t="shared" si="443"/>
        <v>0</v>
      </c>
      <c r="W1346" s="40"/>
      <c r="X1346" s="36">
        <f t="shared" ref="X1346:X1391" si="454">IFERROR(W1346/$AP1346,0)</f>
        <v>0</v>
      </c>
      <c r="Y1346" s="35"/>
      <c r="Z1346" s="36">
        <f t="shared" si="444"/>
        <v>0</v>
      </c>
      <c r="AA1346" s="40"/>
      <c r="AB1346" s="36">
        <f t="shared" ref="AB1346:AB1391" si="455">IFERROR(AA1346/$AP1346,0)</f>
        <v>0</v>
      </c>
      <c r="AC1346" s="35"/>
      <c r="AD1346" s="36">
        <f t="shared" si="445"/>
        <v>0</v>
      </c>
      <c r="AE1346" s="40"/>
      <c r="AF1346" s="36">
        <f t="shared" ref="AF1346:AF1391" si="456">IFERROR(AE1346/$AP1346,0)</f>
        <v>0</v>
      </c>
      <c r="AG1346" s="35"/>
      <c r="AH1346" s="36">
        <f t="shared" si="446"/>
        <v>0</v>
      </c>
      <c r="AI1346" s="40"/>
      <c r="AJ1346" s="36">
        <f t="shared" ref="AJ1346:AJ1391" si="457">IFERROR(AI1346/$AP1346,0)</f>
        <v>0</v>
      </c>
      <c r="AK1346" s="35"/>
      <c r="AL1346" s="36">
        <f t="shared" si="447"/>
        <v>0</v>
      </c>
      <c r="AM1346" s="40"/>
      <c r="AN1346" s="36">
        <f t="shared" ref="AN1346:AN1391" si="458">IFERROR(AM1346/$AP1346,0)</f>
        <v>0</v>
      </c>
      <c r="AO1346" s="35"/>
      <c r="AP1346" s="40"/>
    </row>
    <row r="1347" spans="1:42" ht="15.75" customHeight="1" x14ac:dyDescent="0.25">
      <c r="A1347" s="37">
        <v>2015</v>
      </c>
      <c r="B1347" s="35">
        <v>171650</v>
      </c>
      <c r="C1347" s="34" t="s">
        <v>150</v>
      </c>
      <c r="D1347" s="34" t="s">
        <v>99</v>
      </c>
      <c r="E1347" s="35"/>
      <c r="F1347" s="36">
        <f t="shared" si="448"/>
        <v>0</v>
      </c>
      <c r="G1347" s="40"/>
      <c r="H1347" s="36">
        <f t="shared" si="449"/>
        <v>0</v>
      </c>
      <c r="I1347" s="35"/>
      <c r="J1347" s="36">
        <f t="shared" si="450"/>
        <v>0</v>
      </c>
      <c r="K1347" s="40"/>
      <c r="L1347" s="36">
        <f t="shared" si="451"/>
        <v>0</v>
      </c>
      <c r="M1347" s="35"/>
      <c r="N1347" s="36">
        <f t="shared" si="441"/>
        <v>0</v>
      </c>
      <c r="O1347" s="40"/>
      <c r="P1347" s="36">
        <f t="shared" si="452"/>
        <v>0</v>
      </c>
      <c r="Q1347" s="35"/>
      <c r="R1347" s="36">
        <f t="shared" si="442"/>
        <v>0</v>
      </c>
      <c r="S1347" s="40"/>
      <c r="T1347" s="36">
        <f t="shared" si="453"/>
        <v>0</v>
      </c>
      <c r="U1347" s="35"/>
      <c r="V1347" s="36">
        <f t="shared" si="443"/>
        <v>0</v>
      </c>
      <c r="W1347" s="40"/>
      <c r="X1347" s="36">
        <f t="shared" si="454"/>
        <v>0</v>
      </c>
      <c r="Y1347" s="35"/>
      <c r="Z1347" s="36">
        <f t="shared" si="444"/>
        <v>0</v>
      </c>
      <c r="AA1347" s="40"/>
      <c r="AB1347" s="36">
        <f t="shared" si="455"/>
        <v>0</v>
      </c>
      <c r="AC1347" s="35"/>
      <c r="AD1347" s="36">
        <f t="shared" si="445"/>
        <v>0</v>
      </c>
      <c r="AE1347" s="40"/>
      <c r="AF1347" s="36">
        <f t="shared" si="456"/>
        <v>0</v>
      </c>
      <c r="AG1347" s="35"/>
      <c r="AH1347" s="36">
        <f t="shared" si="446"/>
        <v>0</v>
      </c>
      <c r="AI1347" s="40"/>
      <c r="AJ1347" s="36">
        <f t="shared" si="457"/>
        <v>0</v>
      </c>
      <c r="AK1347" s="35"/>
      <c r="AL1347" s="36">
        <f t="shared" si="447"/>
        <v>0</v>
      </c>
      <c r="AM1347" s="40"/>
      <c r="AN1347" s="36">
        <f t="shared" si="458"/>
        <v>0</v>
      </c>
      <c r="AO1347" s="35"/>
      <c r="AP1347" s="40"/>
    </row>
    <row r="1348" spans="1:42" ht="15.75" customHeight="1" x14ac:dyDescent="0.25">
      <c r="A1348" s="37">
        <v>2015</v>
      </c>
      <c r="B1348" s="35">
        <v>171660</v>
      </c>
      <c r="C1348" s="34" t="s">
        <v>146</v>
      </c>
      <c r="D1348" s="34" t="s">
        <v>100</v>
      </c>
      <c r="E1348" s="35"/>
      <c r="F1348" s="36">
        <f t="shared" si="448"/>
        <v>0</v>
      </c>
      <c r="G1348" s="40"/>
      <c r="H1348" s="36">
        <f t="shared" si="449"/>
        <v>0</v>
      </c>
      <c r="I1348" s="35"/>
      <c r="J1348" s="36">
        <f t="shared" si="450"/>
        <v>0</v>
      </c>
      <c r="K1348" s="40"/>
      <c r="L1348" s="36">
        <f t="shared" si="451"/>
        <v>0</v>
      </c>
      <c r="M1348" s="35"/>
      <c r="N1348" s="36">
        <f t="shared" si="441"/>
        <v>0</v>
      </c>
      <c r="O1348" s="40"/>
      <c r="P1348" s="36">
        <f t="shared" si="452"/>
        <v>0</v>
      </c>
      <c r="Q1348" s="35"/>
      <c r="R1348" s="36">
        <f t="shared" si="442"/>
        <v>0</v>
      </c>
      <c r="S1348" s="40"/>
      <c r="T1348" s="36">
        <f t="shared" si="453"/>
        <v>0</v>
      </c>
      <c r="U1348" s="35"/>
      <c r="V1348" s="36">
        <f t="shared" si="443"/>
        <v>0</v>
      </c>
      <c r="W1348" s="40"/>
      <c r="X1348" s="36">
        <f t="shared" si="454"/>
        <v>0</v>
      </c>
      <c r="Y1348" s="35"/>
      <c r="Z1348" s="36">
        <f t="shared" si="444"/>
        <v>0</v>
      </c>
      <c r="AA1348" s="40"/>
      <c r="AB1348" s="36">
        <f t="shared" si="455"/>
        <v>0</v>
      </c>
      <c r="AC1348" s="35"/>
      <c r="AD1348" s="36">
        <f t="shared" si="445"/>
        <v>0</v>
      </c>
      <c r="AE1348" s="40"/>
      <c r="AF1348" s="36">
        <f t="shared" si="456"/>
        <v>0</v>
      </c>
      <c r="AG1348" s="35"/>
      <c r="AH1348" s="36">
        <f t="shared" si="446"/>
        <v>0</v>
      </c>
      <c r="AI1348" s="40"/>
      <c r="AJ1348" s="36">
        <f t="shared" si="457"/>
        <v>0</v>
      </c>
      <c r="AK1348" s="35"/>
      <c r="AL1348" s="36">
        <f t="shared" si="447"/>
        <v>0</v>
      </c>
      <c r="AM1348" s="40"/>
      <c r="AN1348" s="36">
        <f t="shared" si="458"/>
        <v>0</v>
      </c>
      <c r="AO1348" s="35"/>
      <c r="AP1348" s="40"/>
    </row>
    <row r="1349" spans="1:42" ht="15.75" customHeight="1" x14ac:dyDescent="0.25">
      <c r="A1349" s="37">
        <v>2015</v>
      </c>
      <c r="B1349" s="35">
        <v>171665</v>
      </c>
      <c r="C1349" s="34" t="s">
        <v>150</v>
      </c>
      <c r="D1349" s="34" t="s">
        <v>101</v>
      </c>
      <c r="E1349" s="35"/>
      <c r="F1349" s="36">
        <f t="shared" si="448"/>
        <v>0</v>
      </c>
      <c r="G1349" s="40"/>
      <c r="H1349" s="36">
        <f t="shared" si="449"/>
        <v>0</v>
      </c>
      <c r="I1349" s="35"/>
      <c r="J1349" s="36">
        <f t="shared" si="450"/>
        <v>0</v>
      </c>
      <c r="K1349" s="40"/>
      <c r="L1349" s="36">
        <f t="shared" si="451"/>
        <v>0</v>
      </c>
      <c r="M1349" s="35"/>
      <c r="N1349" s="36">
        <f t="shared" si="441"/>
        <v>0</v>
      </c>
      <c r="O1349" s="40"/>
      <c r="P1349" s="36">
        <f t="shared" si="452"/>
        <v>0</v>
      </c>
      <c r="Q1349" s="35"/>
      <c r="R1349" s="36">
        <f t="shared" si="442"/>
        <v>0</v>
      </c>
      <c r="S1349" s="40"/>
      <c r="T1349" s="36">
        <f t="shared" si="453"/>
        <v>0</v>
      </c>
      <c r="U1349" s="35"/>
      <c r="V1349" s="36">
        <f t="shared" si="443"/>
        <v>0</v>
      </c>
      <c r="W1349" s="40"/>
      <c r="X1349" s="36">
        <f t="shared" si="454"/>
        <v>0</v>
      </c>
      <c r="Y1349" s="35"/>
      <c r="Z1349" s="36">
        <f t="shared" si="444"/>
        <v>0</v>
      </c>
      <c r="AA1349" s="40"/>
      <c r="AB1349" s="36">
        <f t="shared" si="455"/>
        <v>0</v>
      </c>
      <c r="AC1349" s="35"/>
      <c r="AD1349" s="36">
        <f t="shared" si="445"/>
        <v>0</v>
      </c>
      <c r="AE1349" s="40"/>
      <c r="AF1349" s="36">
        <f t="shared" si="456"/>
        <v>0</v>
      </c>
      <c r="AG1349" s="35"/>
      <c r="AH1349" s="36">
        <f t="shared" si="446"/>
        <v>0</v>
      </c>
      <c r="AI1349" s="40"/>
      <c r="AJ1349" s="36">
        <f t="shared" si="457"/>
        <v>0</v>
      </c>
      <c r="AK1349" s="35"/>
      <c r="AL1349" s="36">
        <f t="shared" si="447"/>
        <v>0</v>
      </c>
      <c r="AM1349" s="40"/>
      <c r="AN1349" s="36">
        <f t="shared" si="458"/>
        <v>0</v>
      </c>
      <c r="AO1349" s="35"/>
      <c r="AP1349" s="40"/>
    </row>
    <row r="1350" spans="1:42" ht="15.75" customHeight="1" x14ac:dyDescent="0.25">
      <c r="A1350" s="37">
        <v>2015</v>
      </c>
      <c r="B1350" s="35">
        <v>171700</v>
      </c>
      <c r="C1350" s="34" t="s">
        <v>151</v>
      </c>
      <c r="D1350" s="34" t="s">
        <v>102</v>
      </c>
      <c r="E1350" s="35"/>
      <c r="F1350" s="36">
        <f t="shared" si="448"/>
        <v>0</v>
      </c>
      <c r="G1350" s="40"/>
      <c r="H1350" s="36">
        <f t="shared" si="449"/>
        <v>0</v>
      </c>
      <c r="I1350" s="35"/>
      <c r="J1350" s="36">
        <f t="shared" si="450"/>
        <v>0</v>
      </c>
      <c r="K1350" s="40"/>
      <c r="L1350" s="36">
        <f t="shared" si="451"/>
        <v>0</v>
      </c>
      <c r="M1350" s="35"/>
      <c r="N1350" s="36">
        <f t="shared" si="441"/>
        <v>0</v>
      </c>
      <c r="O1350" s="40"/>
      <c r="P1350" s="36">
        <f t="shared" si="452"/>
        <v>0</v>
      </c>
      <c r="Q1350" s="35"/>
      <c r="R1350" s="36">
        <f t="shared" si="442"/>
        <v>0</v>
      </c>
      <c r="S1350" s="40"/>
      <c r="T1350" s="36">
        <f t="shared" si="453"/>
        <v>0</v>
      </c>
      <c r="U1350" s="35"/>
      <c r="V1350" s="36">
        <f t="shared" si="443"/>
        <v>0</v>
      </c>
      <c r="W1350" s="40"/>
      <c r="X1350" s="36">
        <f t="shared" si="454"/>
        <v>0</v>
      </c>
      <c r="Y1350" s="35"/>
      <c r="Z1350" s="36">
        <f t="shared" si="444"/>
        <v>0</v>
      </c>
      <c r="AA1350" s="40"/>
      <c r="AB1350" s="36">
        <f t="shared" si="455"/>
        <v>0</v>
      </c>
      <c r="AC1350" s="35"/>
      <c r="AD1350" s="36">
        <f t="shared" si="445"/>
        <v>0</v>
      </c>
      <c r="AE1350" s="40"/>
      <c r="AF1350" s="36">
        <f t="shared" si="456"/>
        <v>0</v>
      </c>
      <c r="AG1350" s="35"/>
      <c r="AH1350" s="36">
        <f t="shared" si="446"/>
        <v>0</v>
      </c>
      <c r="AI1350" s="40"/>
      <c r="AJ1350" s="36">
        <f t="shared" si="457"/>
        <v>0</v>
      </c>
      <c r="AK1350" s="35"/>
      <c r="AL1350" s="36">
        <f t="shared" si="447"/>
        <v>0</v>
      </c>
      <c r="AM1350" s="40"/>
      <c r="AN1350" s="36">
        <f t="shared" si="458"/>
        <v>0</v>
      </c>
      <c r="AO1350" s="35"/>
      <c r="AP1350" s="40"/>
    </row>
    <row r="1351" spans="1:42" ht="15.75" customHeight="1" x14ac:dyDescent="0.25">
      <c r="A1351" s="37">
        <v>2015</v>
      </c>
      <c r="B1351" s="35">
        <v>171720</v>
      </c>
      <c r="C1351" s="34" t="s">
        <v>149</v>
      </c>
      <c r="D1351" s="34" t="s">
        <v>103</v>
      </c>
      <c r="E1351" s="35"/>
      <c r="F1351" s="36">
        <f t="shared" si="448"/>
        <v>0</v>
      </c>
      <c r="G1351" s="40"/>
      <c r="H1351" s="36">
        <f t="shared" si="449"/>
        <v>0</v>
      </c>
      <c r="I1351" s="35"/>
      <c r="J1351" s="36">
        <f t="shared" si="450"/>
        <v>0</v>
      </c>
      <c r="K1351" s="40"/>
      <c r="L1351" s="36">
        <f t="shared" si="451"/>
        <v>0</v>
      </c>
      <c r="M1351" s="35"/>
      <c r="N1351" s="36">
        <f t="shared" si="441"/>
        <v>0</v>
      </c>
      <c r="O1351" s="40"/>
      <c r="P1351" s="36">
        <f t="shared" si="452"/>
        <v>0</v>
      </c>
      <c r="Q1351" s="35"/>
      <c r="R1351" s="36">
        <f t="shared" si="442"/>
        <v>0</v>
      </c>
      <c r="S1351" s="40"/>
      <c r="T1351" s="36">
        <f t="shared" si="453"/>
        <v>0</v>
      </c>
      <c r="U1351" s="35"/>
      <c r="V1351" s="36">
        <f t="shared" si="443"/>
        <v>0</v>
      </c>
      <c r="W1351" s="40"/>
      <c r="X1351" s="36">
        <f t="shared" si="454"/>
        <v>0</v>
      </c>
      <c r="Y1351" s="35"/>
      <c r="Z1351" s="36">
        <f t="shared" si="444"/>
        <v>0</v>
      </c>
      <c r="AA1351" s="40"/>
      <c r="AB1351" s="36">
        <f t="shared" si="455"/>
        <v>0</v>
      </c>
      <c r="AC1351" s="35"/>
      <c r="AD1351" s="36">
        <f t="shared" si="445"/>
        <v>0</v>
      </c>
      <c r="AE1351" s="40"/>
      <c r="AF1351" s="36">
        <f t="shared" si="456"/>
        <v>0</v>
      </c>
      <c r="AG1351" s="35"/>
      <c r="AH1351" s="36">
        <f t="shared" si="446"/>
        <v>0</v>
      </c>
      <c r="AI1351" s="40"/>
      <c r="AJ1351" s="36">
        <f t="shared" si="457"/>
        <v>0</v>
      </c>
      <c r="AK1351" s="35"/>
      <c r="AL1351" s="36">
        <f t="shared" si="447"/>
        <v>0</v>
      </c>
      <c r="AM1351" s="40"/>
      <c r="AN1351" s="36">
        <f t="shared" si="458"/>
        <v>0</v>
      </c>
      <c r="AO1351" s="35"/>
      <c r="AP1351" s="40"/>
    </row>
    <row r="1352" spans="1:42" ht="15.75" customHeight="1" x14ac:dyDescent="0.25">
      <c r="A1352" s="37">
        <v>2015</v>
      </c>
      <c r="B1352" s="35">
        <v>171750</v>
      </c>
      <c r="C1352" s="34" t="s">
        <v>144</v>
      </c>
      <c r="D1352" s="34" t="s">
        <v>104</v>
      </c>
      <c r="E1352" s="35"/>
      <c r="F1352" s="36">
        <f t="shared" si="448"/>
        <v>0</v>
      </c>
      <c r="G1352" s="40"/>
      <c r="H1352" s="36">
        <f t="shared" si="449"/>
        <v>0</v>
      </c>
      <c r="I1352" s="35"/>
      <c r="J1352" s="36">
        <f t="shared" si="450"/>
        <v>0</v>
      </c>
      <c r="K1352" s="40"/>
      <c r="L1352" s="36">
        <f t="shared" si="451"/>
        <v>0</v>
      </c>
      <c r="M1352" s="35"/>
      <c r="N1352" s="36">
        <f t="shared" si="441"/>
        <v>0</v>
      </c>
      <c r="O1352" s="40"/>
      <c r="P1352" s="36">
        <f t="shared" si="452"/>
        <v>0</v>
      </c>
      <c r="Q1352" s="35"/>
      <c r="R1352" s="36">
        <f t="shared" si="442"/>
        <v>0</v>
      </c>
      <c r="S1352" s="40"/>
      <c r="T1352" s="36">
        <f t="shared" si="453"/>
        <v>0</v>
      </c>
      <c r="U1352" s="35"/>
      <c r="V1352" s="36">
        <f t="shared" si="443"/>
        <v>0</v>
      </c>
      <c r="W1352" s="40"/>
      <c r="X1352" s="36">
        <f t="shared" si="454"/>
        <v>0</v>
      </c>
      <c r="Y1352" s="35"/>
      <c r="Z1352" s="36">
        <f t="shared" si="444"/>
        <v>0</v>
      </c>
      <c r="AA1352" s="40"/>
      <c r="AB1352" s="36">
        <f t="shared" si="455"/>
        <v>0</v>
      </c>
      <c r="AC1352" s="35"/>
      <c r="AD1352" s="36">
        <f t="shared" si="445"/>
        <v>0</v>
      </c>
      <c r="AE1352" s="40"/>
      <c r="AF1352" s="36">
        <f t="shared" si="456"/>
        <v>0</v>
      </c>
      <c r="AG1352" s="35"/>
      <c r="AH1352" s="36">
        <f t="shared" si="446"/>
        <v>0</v>
      </c>
      <c r="AI1352" s="40"/>
      <c r="AJ1352" s="36">
        <f t="shared" si="457"/>
        <v>0</v>
      </c>
      <c r="AK1352" s="35"/>
      <c r="AL1352" s="36">
        <f t="shared" si="447"/>
        <v>0</v>
      </c>
      <c r="AM1352" s="40"/>
      <c r="AN1352" s="36">
        <f t="shared" si="458"/>
        <v>0</v>
      </c>
      <c r="AO1352" s="35"/>
      <c r="AP1352" s="40"/>
    </row>
    <row r="1353" spans="1:42" ht="15.75" customHeight="1" x14ac:dyDescent="0.25">
      <c r="A1353" s="37">
        <v>2015</v>
      </c>
      <c r="B1353" s="35">
        <v>171780</v>
      </c>
      <c r="C1353" s="34" t="s">
        <v>147</v>
      </c>
      <c r="D1353" s="34" t="s">
        <v>105</v>
      </c>
      <c r="E1353" s="35"/>
      <c r="F1353" s="36">
        <f t="shared" si="448"/>
        <v>0</v>
      </c>
      <c r="G1353" s="40"/>
      <c r="H1353" s="36">
        <f t="shared" si="449"/>
        <v>0</v>
      </c>
      <c r="I1353" s="35"/>
      <c r="J1353" s="36">
        <f t="shared" si="450"/>
        <v>0</v>
      </c>
      <c r="K1353" s="40"/>
      <c r="L1353" s="36">
        <f t="shared" si="451"/>
        <v>0</v>
      </c>
      <c r="M1353" s="35"/>
      <c r="N1353" s="36">
        <f t="shared" si="441"/>
        <v>0</v>
      </c>
      <c r="O1353" s="40"/>
      <c r="P1353" s="36">
        <f t="shared" si="452"/>
        <v>0</v>
      </c>
      <c r="Q1353" s="35"/>
      <c r="R1353" s="36">
        <f t="shared" si="442"/>
        <v>0</v>
      </c>
      <c r="S1353" s="40"/>
      <c r="T1353" s="36">
        <f t="shared" si="453"/>
        <v>0</v>
      </c>
      <c r="U1353" s="35"/>
      <c r="V1353" s="36">
        <f t="shared" si="443"/>
        <v>0</v>
      </c>
      <c r="W1353" s="40"/>
      <c r="X1353" s="36">
        <f t="shared" si="454"/>
        <v>0</v>
      </c>
      <c r="Y1353" s="35"/>
      <c r="Z1353" s="36">
        <f t="shared" si="444"/>
        <v>0</v>
      </c>
      <c r="AA1353" s="40"/>
      <c r="AB1353" s="36">
        <f t="shared" si="455"/>
        <v>0</v>
      </c>
      <c r="AC1353" s="35"/>
      <c r="AD1353" s="36">
        <f t="shared" si="445"/>
        <v>0</v>
      </c>
      <c r="AE1353" s="40"/>
      <c r="AF1353" s="36">
        <f t="shared" si="456"/>
        <v>0</v>
      </c>
      <c r="AG1353" s="35"/>
      <c r="AH1353" s="36">
        <f t="shared" si="446"/>
        <v>0</v>
      </c>
      <c r="AI1353" s="40"/>
      <c r="AJ1353" s="36">
        <f t="shared" si="457"/>
        <v>0</v>
      </c>
      <c r="AK1353" s="35"/>
      <c r="AL1353" s="36">
        <f t="shared" si="447"/>
        <v>0</v>
      </c>
      <c r="AM1353" s="40"/>
      <c r="AN1353" s="36">
        <f t="shared" si="458"/>
        <v>0</v>
      </c>
      <c r="AO1353" s="35"/>
      <c r="AP1353" s="40"/>
    </row>
    <row r="1354" spans="1:42" ht="15.75" customHeight="1" x14ac:dyDescent="0.25">
      <c r="A1354" s="37">
        <v>2015</v>
      </c>
      <c r="B1354" s="35">
        <v>171790</v>
      </c>
      <c r="C1354" s="34" t="s">
        <v>151</v>
      </c>
      <c r="D1354" s="34" t="s">
        <v>106</v>
      </c>
      <c r="E1354" s="35"/>
      <c r="F1354" s="36">
        <f t="shared" si="448"/>
        <v>0</v>
      </c>
      <c r="G1354" s="40"/>
      <c r="H1354" s="36">
        <f t="shared" si="449"/>
        <v>0</v>
      </c>
      <c r="I1354" s="35"/>
      <c r="J1354" s="36">
        <f t="shared" si="450"/>
        <v>0</v>
      </c>
      <c r="K1354" s="40"/>
      <c r="L1354" s="36">
        <f t="shared" si="451"/>
        <v>0</v>
      </c>
      <c r="M1354" s="35"/>
      <c r="N1354" s="36">
        <f t="shared" si="441"/>
        <v>0</v>
      </c>
      <c r="O1354" s="40"/>
      <c r="P1354" s="36">
        <f t="shared" si="452"/>
        <v>0</v>
      </c>
      <c r="Q1354" s="35"/>
      <c r="R1354" s="36">
        <f t="shared" si="442"/>
        <v>0</v>
      </c>
      <c r="S1354" s="40"/>
      <c r="T1354" s="36">
        <f t="shared" si="453"/>
        <v>0</v>
      </c>
      <c r="U1354" s="35"/>
      <c r="V1354" s="36">
        <f t="shared" si="443"/>
        <v>0</v>
      </c>
      <c r="W1354" s="40"/>
      <c r="X1354" s="36">
        <f t="shared" si="454"/>
        <v>0</v>
      </c>
      <c r="Y1354" s="35"/>
      <c r="Z1354" s="36">
        <f t="shared" si="444"/>
        <v>0</v>
      </c>
      <c r="AA1354" s="40"/>
      <c r="AB1354" s="36">
        <f t="shared" si="455"/>
        <v>0</v>
      </c>
      <c r="AC1354" s="35"/>
      <c r="AD1354" s="36">
        <f t="shared" si="445"/>
        <v>0</v>
      </c>
      <c r="AE1354" s="40"/>
      <c r="AF1354" s="36">
        <f t="shared" si="456"/>
        <v>0</v>
      </c>
      <c r="AG1354" s="35"/>
      <c r="AH1354" s="36">
        <f t="shared" si="446"/>
        <v>0</v>
      </c>
      <c r="AI1354" s="40"/>
      <c r="AJ1354" s="36">
        <f t="shared" si="457"/>
        <v>0</v>
      </c>
      <c r="AK1354" s="35"/>
      <c r="AL1354" s="36">
        <f t="shared" si="447"/>
        <v>0</v>
      </c>
      <c r="AM1354" s="40"/>
      <c r="AN1354" s="36">
        <f t="shared" si="458"/>
        <v>0</v>
      </c>
      <c r="AO1354" s="35"/>
      <c r="AP1354" s="40"/>
    </row>
    <row r="1355" spans="1:42" ht="15.75" customHeight="1" x14ac:dyDescent="0.25">
      <c r="A1355" s="37">
        <v>2015</v>
      </c>
      <c r="B1355" s="35">
        <v>171800</v>
      </c>
      <c r="C1355" s="34" t="s">
        <v>147</v>
      </c>
      <c r="D1355" s="34" t="s">
        <v>107</v>
      </c>
      <c r="E1355" s="35"/>
      <c r="F1355" s="36">
        <f t="shared" si="448"/>
        <v>0</v>
      </c>
      <c r="G1355" s="40"/>
      <c r="H1355" s="36">
        <f t="shared" si="449"/>
        <v>0</v>
      </c>
      <c r="I1355" s="35"/>
      <c r="J1355" s="36">
        <f t="shared" si="450"/>
        <v>0</v>
      </c>
      <c r="K1355" s="40"/>
      <c r="L1355" s="36">
        <f t="shared" si="451"/>
        <v>0</v>
      </c>
      <c r="M1355" s="35"/>
      <c r="N1355" s="36">
        <f t="shared" si="441"/>
        <v>0</v>
      </c>
      <c r="O1355" s="40"/>
      <c r="P1355" s="36">
        <f t="shared" si="452"/>
        <v>0</v>
      </c>
      <c r="Q1355" s="35"/>
      <c r="R1355" s="36">
        <f t="shared" si="442"/>
        <v>0</v>
      </c>
      <c r="S1355" s="40"/>
      <c r="T1355" s="36">
        <f t="shared" si="453"/>
        <v>0</v>
      </c>
      <c r="U1355" s="35"/>
      <c r="V1355" s="36">
        <f t="shared" si="443"/>
        <v>0</v>
      </c>
      <c r="W1355" s="40"/>
      <c r="X1355" s="36">
        <f t="shared" si="454"/>
        <v>0</v>
      </c>
      <c r="Y1355" s="35"/>
      <c r="Z1355" s="36">
        <f t="shared" si="444"/>
        <v>0</v>
      </c>
      <c r="AA1355" s="40"/>
      <c r="AB1355" s="36">
        <f t="shared" si="455"/>
        <v>0</v>
      </c>
      <c r="AC1355" s="35"/>
      <c r="AD1355" s="36">
        <f t="shared" si="445"/>
        <v>0</v>
      </c>
      <c r="AE1355" s="40"/>
      <c r="AF1355" s="36">
        <f t="shared" si="456"/>
        <v>0</v>
      </c>
      <c r="AG1355" s="35"/>
      <c r="AH1355" s="36">
        <f t="shared" si="446"/>
        <v>0</v>
      </c>
      <c r="AI1355" s="40"/>
      <c r="AJ1355" s="36">
        <f t="shared" si="457"/>
        <v>0</v>
      </c>
      <c r="AK1355" s="35"/>
      <c r="AL1355" s="36">
        <f t="shared" si="447"/>
        <v>0</v>
      </c>
      <c r="AM1355" s="40"/>
      <c r="AN1355" s="36">
        <f t="shared" si="458"/>
        <v>0</v>
      </c>
      <c r="AO1355" s="35"/>
      <c r="AP1355" s="40"/>
    </row>
    <row r="1356" spans="1:42" ht="15.75" customHeight="1" x14ac:dyDescent="0.25">
      <c r="A1356" s="37">
        <v>2015</v>
      </c>
      <c r="B1356" s="35">
        <v>171820</v>
      </c>
      <c r="C1356" s="34" t="s">
        <v>151</v>
      </c>
      <c r="D1356" s="34" t="s">
        <v>108</v>
      </c>
      <c r="E1356" s="35"/>
      <c r="F1356" s="36">
        <f t="shared" si="448"/>
        <v>0</v>
      </c>
      <c r="G1356" s="40"/>
      <c r="H1356" s="36">
        <f t="shared" si="449"/>
        <v>0</v>
      </c>
      <c r="I1356" s="35"/>
      <c r="J1356" s="36">
        <f t="shared" si="450"/>
        <v>0</v>
      </c>
      <c r="K1356" s="40"/>
      <c r="L1356" s="36">
        <f t="shared" si="451"/>
        <v>0</v>
      </c>
      <c r="M1356" s="35"/>
      <c r="N1356" s="36">
        <f t="shared" si="441"/>
        <v>0</v>
      </c>
      <c r="O1356" s="40"/>
      <c r="P1356" s="36">
        <f t="shared" si="452"/>
        <v>0</v>
      </c>
      <c r="Q1356" s="35"/>
      <c r="R1356" s="36">
        <f t="shared" si="442"/>
        <v>0</v>
      </c>
      <c r="S1356" s="40"/>
      <c r="T1356" s="36">
        <f t="shared" si="453"/>
        <v>0</v>
      </c>
      <c r="U1356" s="35"/>
      <c r="V1356" s="36">
        <f t="shared" si="443"/>
        <v>0</v>
      </c>
      <c r="W1356" s="40"/>
      <c r="X1356" s="36">
        <f t="shared" si="454"/>
        <v>0</v>
      </c>
      <c r="Y1356" s="35"/>
      <c r="Z1356" s="36">
        <f t="shared" si="444"/>
        <v>0</v>
      </c>
      <c r="AA1356" s="40"/>
      <c r="AB1356" s="36">
        <f t="shared" si="455"/>
        <v>0</v>
      </c>
      <c r="AC1356" s="35"/>
      <c r="AD1356" s="36">
        <f t="shared" si="445"/>
        <v>0</v>
      </c>
      <c r="AE1356" s="40"/>
      <c r="AF1356" s="36">
        <f t="shared" si="456"/>
        <v>0</v>
      </c>
      <c r="AG1356" s="35"/>
      <c r="AH1356" s="36">
        <f t="shared" si="446"/>
        <v>0</v>
      </c>
      <c r="AI1356" s="40"/>
      <c r="AJ1356" s="36">
        <f t="shared" si="457"/>
        <v>0</v>
      </c>
      <c r="AK1356" s="35"/>
      <c r="AL1356" s="36">
        <f t="shared" si="447"/>
        <v>0</v>
      </c>
      <c r="AM1356" s="40"/>
      <c r="AN1356" s="36">
        <f t="shared" si="458"/>
        <v>0</v>
      </c>
      <c r="AO1356" s="35"/>
      <c r="AP1356" s="41"/>
    </row>
    <row r="1357" spans="1:42" ht="15.75" customHeight="1" x14ac:dyDescent="0.25">
      <c r="A1357" s="37">
        <v>2015</v>
      </c>
      <c r="B1357" s="35">
        <v>171830</v>
      </c>
      <c r="C1357" s="34" t="s">
        <v>145</v>
      </c>
      <c r="D1357" s="34" t="s">
        <v>109</v>
      </c>
      <c r="E1357" s="35"/>
      <c r="F1357" s="36">
        <f t="shared" si="448"/>
        <v>0</v>
      </c>
      <c r="G1357" s="40"/>
      <c r="H1357" s="36">
        <f t="shared" si="449"/>
        <v>0</v>
      </c>
      <c r="I1357" s="35"/>
      <c r="J1357" s="36">
        <f t="shared" si="450"/>
        <v>0</v>
      </c>
      <c r="K1357" s="40"/>
      <c r="L1357" s="36">
        <f t="shared" si="451"/>
        <v>0</v>
      </c>
      <c r="M1357" s="35"/>
      <c r="N1357" s="36">
        <f t="shared" si="441"/>
        <v>0</v>
      </c>
      <c r="O1357" s="40"/>
      <c r="P1357" s="36">
        <f t="shared" si="452"/>
        <v>0</v>
      </c>
      <c r="Q1357" s="35"/>
      <c r="R1357" s="36">
        <f t="shared" si="442"/>
        <v>0</v>
      </c>
      <c r="S1357" s="40"/>
      <c r="T1357" s="36">
        <f t="shared" si="453"/>
        <v>0</v>
      </c>
      <c r="U1357" s="35"/>
      <c r="V1357" s="36">
        <f t="shared" si="443"/>
        <v>0</v>
      </c>
      <c r="W1357" s="40"/>
      <c r="X1357" s="36">
        <f t="shared" si="454"/>
        <v>0</v>
      </c>
      <c r="Y1357" s="35"/>
      <c r="Z1357" s="36">
        <f t="shared" si="444"/>
        <v>0</v>
      </c>
      <c r="AA1357" s="40"/>
      <c r="AB1357" s="36">
        <f t="shared" si="455"/>
        <v>0</v>
      </c>
      <c r="AC1357" s="35"/>
      <c r="AD1357" s="36">
        <f t="shared" si="445"/>
        <v>0</v>
      </c>
      <c r="AE1357" s="40"/>
      <c r="AF1357" s="36">
        <f t="shared" si="456"/>
        <v>0</v>
      </c>
      <c r="AG1357" s="35"/>
      <c r="AH1357" s="36">
        <f t="shared" si="446"/>
        <v>0</v>
      </c>
      <c r="AI1357" s="40"/>
      <c r="AJ1357" s="36">
        <f t="shared" si="457"/>
        <v>0</v>
      </c>
      <c r="AK1357" s="35"/>
      <c r="AL1357" s="36">
        <f t="shared" si="447"/>
        <v>0</v>
      </c>
      <c r="AM1357" s="40"/>
      <c r="AN1357" s="36">
        <f t="shared" si="458"/>
        <v>0</v>
      </c>
      <c r="AO1357" s="35"/>
      <c r="AP1357" s="40"/>
    </row>
    <row r="1358" spans="1:42" ht="15.75" customHeight="1" x14ac:dyDescent="0.25">
      <c r="A1358" s="37">
        <v>2015</v>
      </c>
      <c r="B1358" s="35">
        <v>171840</v>
      </c>
      <c r="C1358" s="34" t="s">
        <v>150</v>
      </c>
      <c r="D1358" s="34" t="s">
        <v>110</v>
      </c>
      <c r="E1358" s="35"/>
      <c r="F1358" s="36">
        <f t="shared" si="448"/>
        <v>0</v>
      </c>
      <c r="G1358" s="40"/>
      <c r="H1358" s="36">
        <f t="shared" si="449"/>
        <v>0</v>
      </c>
      <c r="I1358" s="35"/>
      <c r="J1358" s="36">
        <f t="shared" si="450"/>
        <v>0</v>
      </c>
      <c r="K1358" s="40"/>
      <c r="L1358" s="36">
        <f t="shared" si="451"/>
        <v>0</v>
      </c>
      <c r="M1358" s="35"/>
      <c r="N1358" s="36">
        <f t="shared" si="441"/>
        <v>0</v>
      </c>
      <c r="O1358" s="40"/>
      <c r="P1358" s="36">
        <f t="shared" si="452"/>
        <v>0</v>
      </c>
      <c r="Q1358" s="35"/>
      <c r="R1358" s="36">
        <f t="shared" si="442"/>
        <v>0</v>
      </c>
      <c r="S1358" s="40"/>
      <c r="T1358" s="36">
        <f t="shared" si="453"/>
        <v>0</v>
      </c>
      <c r="U1358" s="35"/>
      <c r="V1358" s="36">
        <f t="shared" si="443"/>
        <v>0</v>
      </c>
      <c r="W1358" s="40"/>
      <c r="X1358" s="36">
        <f t="shared" si="454"/>
        <v>0</v>
      </c>
      <c r="Y1358" s="35"/>
      <c r="Z1358" s="36">
        <f t="shared" si="444"/>
        <v>0</v>
      </c>
      <c r="AA1358" s="40"/>
      <c r="AB1358" s="36">
        <f t="shared" si="455"/>
        <v>0</v>
      </c>
      <c r="AC1358" s="35"/>
      <c r="AD1358" s="36">
        <f t="shared" si="445"/>
        <v>0</v>
      </c>
      <c r="AE1358" s="40"/>
      <c r="AF1358" s="36">
        <f t="shared" si="456"/>
        <v>0</v>
      </c>
      <c r="AG1358" s="35"/>
      <c r="AH1358" s="36">
        <f t="shared" si="446"/>
        <v>0</v>
      </c>
      <c r="AI1358" s="40"/>
      <c r="AJ1358" s="36">
        <f t="shared" si="457"/>
        <v>0</v>
      </c>
      <c r="AK1358" s="35"/>
      <c r="AL1358" s="36">
        <f t="shared" si="447"/>
        <v>0</v>
      </c>
      <c r="AM1358" s="40"/>
      <c r="AN1358" s="36">
        <f t="shared" si="458"/>
        <v>0</v>
      </c>
      <c r="AO1358" s="35"/>
      <c r="AP1358" s="40"/>
    </row>
    <row r="1359" spans="1:42" ht="15.75" customHeight="1" x14ac:dyDescent="0.25">
      <c r="A1359" s="37">
        <v>2015</v>
      </c>
      <c r="B1359" s="35">
        <v>171845</v>
      </c>
      <c r="C1359" s="34" t="s">
        <v>144</v>
      </c>
      <c r="D1359" s="34" t="s">
        <v>111</v>
      </c>
      <c r="E1359" s="35"/>
      <c r="F1359" s="36">
        <f t="shared" si="448"/>
        <v>0</v>
      </c>
      <c r="G1359" s="40"/>
      <c r="H1359" s="36">
        <f t="shared" si="449"/>
        <v>0</v>
      </c>
      <c r="I1359" s="35"/>
      <c r="J1359" s="36">
        <f t="shared" si="450"/>
        <v>0</v>
      </c>
      <c r="K1359" s="40"/>
      <c r="L1359" s="36">
        <f t="shared" si="451"/>
        <v>0</v>
      </c>
      <c r="M1359" s="35"/>
      <c r="N1359" s="36">
        <f t="shared" si="441"/>
        <v>0</v>
      </c>
      <c r="O1359" s="40"/>
      <c r="P1359" s="36">
        <f t="shared" si="452"/>
        <v>0</v>
      </c>
      <c r="Q1359" s="35"/>
      <c r="R1359" s="36">
        <f t="shared" si="442"/>
        <v>0</v>
      </c>
      <c r="S1359" s="40"/>
      <c r="T1359" s="36">
        <f t="shared" si="453"/>
        <v>0</v>
      </c>
      <c r="U1359" s="35"/>
      <c r="V1359" s="36">
        <f t="shared" si="443"/>
        <v>0</v>
      </c>
      <c r="W1359" s="40"/>
      <c r="X1359" s="36">
        <f t="shared" si="454"/>
        <v>0</v>
      </c>
      <c r="Y1359" s="35"/>
      <c r="Z1359" s="36">
        <f t="shared" si="444"/>
        <v>0</v>
      </c>
      <c r="AA1359" s="40"/>
      <c r="AB1359" s="36">
        <f t="shared" si="455"/>
        <v>0</v>
      </c>
      <c r="AC1359" s="35"/>
      <c r="AD1359" s="36">
        <f t="shared" si="445"/>
        <v>0</v>
      </c>
      <c r="AE1359" s="40"/>
      <c r="AF1359" s="36">
        <f t="shared" si="456"/>
        <v>0</v>
      </c>
      <c r="AG1359" s="35"/>
      <c r="AH1359" s="36">
        <f t="shared" si="446"/>
        <v>0</v>
      </c>
      <c r="AI1359" s="40"/>
      <c r="AJ1359" s="36">
        <f t="shared" si="457"/>
        <v>0</v>
      </c>
      <c r="AK1359" s="35"/>
      <c r="AL1359" s="36">
        <f t="shared" si="447"/>
        <v>0</v>
      </c>
      <c r="AM1359" s="40"/>
      <c r="AN1359" s="36">
        <f t="shared" si="458"/>
        <v>0</v>
      </c>
      <c r="AO1359" s="35"/>
      <c r="AP1359" s="40"/>
    </row>
    <row r="1360" spans="1:42" ht="15.75" customHeight="1" x14ac:dyDescent="0.25">
      <c r="A1360" s="37">
        <v>2015</v>
      </c>
      <c r="B1360" s="35">
        <v>171850</v>
      </c>
      <c r="C1360" s="34" t="s">
        <v>150</v>
      </c>
      <c r="D1360" s="34" t="s">
        <v>112</v>
      </c>
      <c r="E1360" s="35"/>
      <c r="F1360" s="36">
        <f t="shared" si="448"/>
        <v>0</v>
      </c>
      <c r="G1360" s="40"/>
      <c r="H1360" s="36">
        <f t="shared" si="449"/>
        <v>0</v>
      </c>
      <c r="I1360" s="35"/>
      <c r="J1360" s="36">
        <f t="shared" si="450"/>
        <v>0</v>
      </c>
      <c r="K1360" s="40"/>
      <c r="L1360" s="36">
        <f t="shared" si="451"/>
        <v>0</v>
      </c>
      <c r="M1360" s="35"/>
      <c r="N1360" s="36">
        <f t="shared" si="441"/>
        <v>0</v>
      </c>
      <c r="O1360" s="40"/>
      <c r="P1360" s="36">
        <f t="shared" si="452"/>
        <v>0</v>
      </c>
      <c r="Q1360" s="35"/>
      <c r="R1360" s="36">
        <f t="shared" si="442"/>
        <v>0</v>
      </c>
      <c r="S1360" s="40"/>
      <c r="T1360" s="36">
        <f t="shared" si="453"/>
        <v>0</v>
      </c>
      <c r="U1360" s="35"/>
      <c r="V1360" s="36">
        <f t="shared" si="443"/>
        <v>0</v>
      </c>
      <c r="W1360" s="40"/>
      <c r="X1360" s="36">
        <f t="shared" si="454"/>
        <v>0</v>
      </c>
      <c r="Y1360" s="35"/>
      <c r="Z1360" s="36">
        <f t="shared" si="444"/>
        <v>0</v>
      </c>
      <c r="AA1360" s="40"/>
      <c r="AB1360" s="36">
        <f t="shared" si="455"/>
        <v>0</v>
      </c>
      <c r="AC1360" s="35"/>
      <c r="AD1360" s="36">
        <f t="shared" si="445"/>
        <v>0</v>
      </c>
      <c r="AE1360" s="40"/>
      <c r="AF1360" s="36">
        <f t="shared" si="456"/>
        <v>0</v>
      </c>
      <c r="AG1360" s="35"/>
      <c r="AH1360" s="36">
        <f t="shared" si="446"/>
        <v>0</v>
      </c>
      <c r="AI1360" s="40"/>
      <c r="AJ1360" s="36">
        <f t="shared" si="457"/>
        <v>0</v>
      </c>
      <c r="AK1360" s="35"/>
      <c r="AL1360" s="36">
        <f t="shared" si="447"/>
        <v>0</v>
      </c>
      <c r="AM1360" s="40"/>
      <c r="AN1360" s="36">
        <f t="shared" si="458"/>
        <v>0</v>
      </c>
      <c r="AO1360" s="35"/>
      <c r="AP1360" s="40"/>
    </row>
    <row r="1361" spans="1:42" ht="15.75" customHeight="1" x14ac:dyDescent="0.25">
      <c r="A1361" s="37">
        <v>2015</v>
      </c>
      <c r="B1361" s="35">
        <v>171855</v>
      </c>
      <c r="C1361" s="34" t="s">
        <v>145</v>
      </c>
      <c r="D1361" s="34" t="s">
        <v>113</v>
      </c>
      <c r="E1361" s="35"/>
      <c r="F1361" s="36">
        <f t="shared" si="448"/>
        <v>0</v>
      </c>
      <c r="G1361" s="40"/>
      <c r="H1361" s="36">
        <f t="shared" si="449"/>
        <v>0</v>
      </c>
      <c r="I1361" s="35"/>
      <c r="J1361" s="36">
        <f t="shared" si="450"/>
        <v>0</v>
      </c>
      <c r="K1361" s="40"/>
      <c r="L1361" s="36">
        <f t="shared" si="451"/>
        <v>0</v>
      </c>
      <c r="M1361" s="35"/>
      <c r="N1361" s="36">
        <f t="shared" si="441"/>
        <v>0</v>
      </c>
      <c r="O1361" s="40"/>
      <c r="P1361" s="36">
        <f t="shared" si="452"/>
        <v>0</v>
      </c>
      <c r="Q1361" s="35"/>
      <c r="R1361" s="36">
        <f t="shared" si="442"/>
        <v>0</v>
      </c>
      <c r="S1361" s="40"/>
      <c r="T1361" s="36">
        <f t="shared" si="453"/>
        <v>0</v>
      </c>
      <c r="U1361" s="35"/>
      <c r="V1361" s="36">
        <f t="shared" si="443"/>
        <v>0</v>
      </c>
      <c r="W1361" s="40"/>
      <c r="X1361" s="36">
        <f t="shared" si="454"/>
        <v>0</v>
      </c>
      <c r="Y1361" s="35"/>
      <c r="Z1361" s="36">
        <f t="shared" si="444"/>
        <v>0</v>
      </c>
      <c r="AA1361" s="40"/>
      <c r="AB1361" s="36">
        <f t="shared" si="455"/>
        <v>0</v>
      </c>
      <c r="AC1361" s="35"/>
      <c r="AD1361" s="36">
        <f t="shared" si="445"/>
        <v>0</v>
      </c>
      <c r="AE1361" s="40"/>
      <c r="AF1361" s="36">
        <f t="shared" si="456"/>
        <v>0</v>
      </c>
      <c r="AG1361" s="35"/>
      <c r="AH1361" s="36">
        <f t="shared" si="446"/>
        <v>0</v>
      </c>
      <c r="AI1361" s="40"/>
      <c r="AJ1361" s="36">
        <f t="shared" si="457"/>
        <v>0</v>
      </c>
      <c r="AK1361" s="35"/>
      <c r="AL1361" s="36">
        <f t="shared" si="447"/>
        <v>0</v>
      </c>
      <c r="AM1361" s="40"/>
      <c r="AN1361" s="36">
        <f t="shared" si="458"/>
        <v>0</v>
      </c>
      <c r="AO1361" s="35"/>
      <c r="AP1361" s="40"/>
    </row>
    <row r="1362" spans="1:42" ht="15.75" customHeight="1" x14ac:dyDescent="0.25">
      <c r="A1362" s="37">
        <v>2015</v>
      </c>
      <c r="B1362" s="35">
        <v>171865</v>
      </c>
      <c r="C1362" s="34" t="s">
        <v>147</v>
      </c>
      <c r="D1362" s="34" t="s">
        <v>114</v>
      </c>
      <c r="E1362" s="35"/>
      <c r="F1362" s="36">
        <f t="shared" si="448"/>
        <v>0</v>
      </c>
      <c r="G1362" s="40"/>
      <c r="H1362" s="36">
        <f t="shared" si="449"/>
        <v>0</v>
      </c>
      <c r="I1362" s="35"/>
      <c r="J1362" s="36">
        <f t="shared" si="450"/>
        <v>0</v>
      </c>
      <c r="K1362" s="40"/>
      <c r="L1362" s="36">
        <f t="shared" si="451"/>
        <v>0</v>
      </c>
      <c r="M1362" s="35"/>
      <c r="N1362" s="36">
        <f t="shared" si="441"/>
        <v>0</v>
      </c>
      <c r="O1362" s="40"/>
      <c r="P1362" s="36">
        <f t="shared" si="452"/>
        <v>0</v>
      </c>
      <c r="Q1362" s="35"/>
      <c r="R1362" s="36">
        <f t="shared" si="442"/>
        <v>0</v>
      </c>
      <c r="S1362" s="40"/>
      <c r="T1362" s="36">
        <f t="shared" si="453"/>
        <v>0</v>
      </c>
      <c r="U1362" s="35"/>
      <c r="V1362" s="36">
        <f t="shared" si="443"/>
        <v>0</v>
      </c>
      <c r="W1362" s="40"/>
      <c r="X1362" s="36">
        <f t="shared" si="454"/>
        <v>0</v>
      </c>
      <c r="Y1362" s="35"/>
      <c r="Z1362" s="36">
        <f t="shared" si="444"/>
        <v>0</v>
      </c>
      <c r="AA1362" s="40"/>
      <c r="AB1362" s="36">
        <f t="shared" si="455"/>
        <v>0</v>
      </c>
      <c r="AC1362" s="35"/>
      <c r="AD1362" s="36">
        <f t="shared" si="445"/>
        <v>0</v>
      </c>
      <c r="AE1362" s="40"/>
      <c r="AF1362" s="36">
        <f t="shared" si="456"/>
        <v>0</v>
      </c>
      <c r="AG1362" s="35"/>
      <c r="AH1362" s="36">
        <f t="shared" si="446"/>
        <v>0</v>
      </c>
      <c r="AI1362" s="40"/>
      <c r="AJ1362" s="36">
        <f t="shared" si="457"/>
        <v>0</v>
      </c>
      <c r="AK1362" s="35"/>
      <c r="AL1362" s="36">
        <f t="shared" si="447"/>
        <v>0</v>
      </c>
      <c r="AM1362" s="40"/>
      <c r="AN1362" s="36">
        <f t="shared" si="458"/>
        <v>0</v>
      </c>
      <c r="AO1362" s="35"/>
      <c r="AP1362" s="40"/>
    </row>
    <row r="1363" spans="1:42" ht="15.75" customHeight="1" x14ac:dyDescent="0.25">
      <c r="A1363" s="37">
        <v>2015</v>
      </c>
      <c r="B1363" s="35">
        <v>171870</v>
      </c>
      <c r="C1363" s="34" t="s">
        <v>148</v>
      </c>
      <c r="D1363" s="34" t="s">
        <v>115</v>
      </c>
      <c r="E1363" s="35"/>
      <c r="F1363" s="36">
        <f t="shared" si="448"/>
        <v>0</v>
      </c>
      <c r="G1363" s="40"/>
      <c r="H1363" s="36">
        <f t="shared" si="449"/>
        <v>0</v>
      </c>
      <c r="I1363" s="35"/>
      <c r="J1363" s="36">
        <f t="shared" si="450"/>
        <v>0</v>
      </c>
      <c r="K1363" s="40"/>
      <c r="L1363" s="36">
        <f t="shared" si="451"/>
        <v>0</v>
      </c>
      <c r="M1363" s="35"/>
      <c r="N1363" s="36">
        <f t="shared" si="441"/>
        <v>0</v>
      </c>
      <c r="O1363" s="40"/>
      <c r="P1363" s="36">
        <f t="shared" si="452"/>
        <v>0</v>
      </c>
      <c r="Q1363" s="35"/>
      <c r="R1363" s="36">
        <f t="shared" si="442"/>
        <v>0</v>
      </c>
      <c r="S1363" s="40"/>
      <c r="T1363" s="36">
        <f t="shared" si="453"/>
        <v>0</v>
      </c>
      <c r="U1363" s="35"/>
      <c r="V1363" s="36">
        <f t="shared" si="443"/>
        <v>0</v>
      </c>
      <c r="W1363" s="40"/>
      <c r="X1363" s="36">
        <f t="shared" si="454"/>
        <v>0</v>
      </c>
      <c r="Y1363" s="35"/>
      <c r="Z1363" s="36">
        <f t="shared" si="444"/>
        <v>0</v>
      </c>
      <c r="AA1363" s="40"/>
      <c r="AB1363" s="36">
        <f t="shared" si="455"/>
        <v>0</v>
      </c>
      <c r="AC1363" s="35"/>
      <c r="AD1363" s="36">
        <f t="shared" si="445"/>
        <v>0</v>
      </c>
      <c r="AE1363" s="40"/>
      <c r="AF1363" s="36">
        <f t="shared" si="456"/>
        <v>0</v>
      </c>
      <c r="AG1363" s="35"/>
      <c r="AH1363" s="36">
        <f t="shared" si="446"/>
        <v>0</v>
      </c>
      <c r="AI1363" s="40"/>
      <c r="AJ1363" s="36">
        <f t="shared" si="457"/>
        <v>0</v>
      </c>
      <c r="AK1363" s="35"/>
      <c r="AL1363" s="36">
        <f t="shared" si="447"/>
        <v>0</v>
      </c>
      <c r="AM1363" s="40"/>
      <c r="AN1363" s="36">
        <f t="shared" si="458"/>
        <v>0</v>
      </c>
      <c r="AO1363" s="35"/>
      <c r="AP1363" s="40"/>
    </row>
    <row r="1364" spans="1:42" ht="15.75" customHeight="1" x14ac:dyDescent="0.25">
      <c r="A1364" s="37">
        <v>2015</v>
      </c>
      <c r="B1364" s="35">
        <v>171875</v>
      </c>
      <c r="C1364" s="34" t="s">
        <v>148</v>
      </c>
      <c r="D1364" s="34" t="s">
        <v>116</v>
      </c>
      <c r="E1364" s="35"/>
      <c r="F1364" s="36">
        <f t="shared" si="448"/>
        <v>0</v>
      </c>
      <c r="G1364" s="40"/>
      <c r="H1364" s="36">
        <f t="shared" si="449"/>
        <v>0</v>
      </c>
      <c r="I1364" s="35"/>
      <c r="J1364" s="36">
        <f t="shared" si="450"/>
        <v>0</v>
      </c>
      <c r="K1364" s="40"/>
      <c r="L1364" s="36">
        <f t="shared" si="451"/>
        <v>0</v>
      </c>
      <c r="M1364" s="35"/>
      <c r="N1364" s="36">
        <f t="shared" si="441"/>
        <v>0</v>
      </c>
      <c r="O1364" s="40"/>
      <c r="P1364" s="36">
        <f t="shared" si="452"/>
        <v>0</v>
      </c>
      <c r="Q1364" s="35"/>
      <c r="R1364" s="36">
        <f t="shared" si="442"/>
        <v>0</v>
      </c>
      <c r="S1364" s="40"/>
      <c r="T1364" s="36">
        <f t="shared" si="453"/>
        <v>0</v>
      </c>
      <c r="U1364" s="35"/>
      <c r="V1364" s="36">
        <f t="shared" si="443"/>
        <v>0</v>
      </c>
      <c r="W1364" s="40"/>
      <c r="X1364" s="36">
        <f t="shared" si="454"/>
        <v>0</v>
      </c>
      <c r="Y1364" s="35"/>
      <c r="Z1364" s="36">
        <f t="shared" si="444"/>
        <v>0</v>
      </c>
      <c r="AA1364" s="40"/>
      <c r="AB1364" s="36">
        <f t="shared" si="455"/>
        <v>0</v>
      </c>
      <c r="AC1364" s="35"/>
      <c r="AD1364" s="36">
        <f t="shared" si="445"/>
        <v>0</v>
      </c>
      <c r="AE1364" s="40"/>
      <c r="AF1364" s="36">
        <f t="shared" si="456"/>
        <v>0</v>
      </c>
      <c r="AG1364" s="35"/>
      <c r="AH1364" s="36">
        <f t="shared" si="446"/>
        <v>0</v>
      </c>
      <c r="AI1364" s="40"/>
      <c r="AJ1364" s="36">
        <f t="shared" si="457"/>
        <v>0</v>
      </c>
      <c r="AK1364" s="35"/>
      <c r="AL1364" s="36">
        <f t="shared" si="447"/>
        <v>0</v>
      </c>
      <c r="AM1364" s="40"/>
      <c r="AN1364" s="36">
        <f t="shared" si="458"/>
        <v>0</v>
      </c>
      <c r="AO1364" s="35"/>
      <c r="AP1364" s="40"/>
    </row>
    <row r="1365" spans="1:42" ht="15.75" customHeight="1" x14ac:dyDescent="0.25">
      <c r="A1365" s="37">
        <v>2015</v>
      </c>
      <c r="B1365" s="35">
        <v>171880</v>
      </c>
      <c r="C1365" s="34" t="s">
        <v>145</v>
      </c>
      <c r="D1365" s="34" t="s">
        <v>117</v>
      </c>
      <c r="E1365" s="35"/>
      <c r="F1365" s="36">
        <f t="shared" si="448"/>
        <v>0</v>
      </c>
      <c r="G1365" s="40"/>
      <c r="H1365" s="36">
        <f t="shared" si="449"/>
        <v>0</v>
      </c>
      <c r="I1365" s="35"/>
      <c r="J1365" s="36">
        <f t="shared" si="450"/>
        <v>0</v>
      </c>
      <c r="K1365" s="40"/>
      <c r="L1365" s="36">
        <f t="shared" si="451"/>
        <v>0</v>
      </c>
      <c r="M1365" s="35"/>
      <c r="N1365" s="36">
        <f t="shared" si="441"/>
        <v>0</v>
      </c>
      <c r="O1365" s="40"/>
      <c r="P1365" s="36">
        <f t="shared" si="452"/>
        <v>0</v>
      </c>
      <c r="Q1365" s="35"/>
      <c r="R1365" s="36">
        <f t="shared" si="442"/>
        <v>0</v>
      </c>
      <c r="S1365" s="40"/>
      <c r="T1365" s="36">
        <f t="shared" si="453"/>
        <v>0</v>
      </c>
      <c r="U1365" s="35"/>
      <c r="V1365" s="36">
        <f t="shared" si="443"/>
        <v>0</v>
      </c>
      <c r="W1365" s="40"/>
      <c r="X1365" s="36">
        <f t="shared" si="454"/>
        <v>0</v>
      </c>
      <c r="Y1365" s="35"/>
      <c r="Z1365" s="36">
        <f t="shared" si="444"/>
        <v>0</v>
      </c>
      <c r="AA1365" s="40"/>
      <c r="AB1365" s="36">
        <f t="shared" si="455"/>
        <v>0</v>
      </c>
      <c r="AC1365" s="35"/>
      <c r="AD1365" s="36">
        <f t="shared" si="445"/>
        <v>0</v>
      </c>
      <c r="AE1365" s="40"/>
      <c r="AF1365" s="36">
        <f t="shared" si="456"/>
        <v>0</v>
      </c>
      <c r="AG1365" s="35"/>
      <c r="AH1365" s="36">
        <f t="shared" si="446"/>
        <v>0</v>
      </c>
      <c r="AI1365" s="40"/>
      <c r="AJ1365" s="36">
        <f t="shared" si="457"/>
        <v>0</v>
      </c>
      <c r="AK1365" s="35"/>
      <c r="AL1365" s="36">
        <f t="shared" si="447"/>
        <v>0</v>
      </c>
      <c r="AM1365" s="40"/>
      <c r="AN1365" s="36">
        <f t="shared" si="458"/>
        <v>0</v>
      </c>
      <c r="AO1365" s="35"/>
      <c r="AP1365" s="40"/>
    </row>
    <row r="1366" spans="1:42" ht="15.75" customHeight="1" x14ac:dyDescent="0.25">
      <c r="A1366" s="37">
        <v>2015</v>
      </c>
      <c r="B1366" s="35">
        <v>171884</v>
      </c>
      <c r="C1366" s="34" t="s">
        <v>146</v>
      </c>
      <c r="D1366" s="34" t="s">
        <v>118</v>
      </c>
      <c r="E1366" s="35"/>
      <c r="F1366" s="36">
        <f t="shared" si="448"/>
        <v>0</v>
      </c>
      <c r="G1366" s="40"/>
      <c r="H1366" s="36">
        <f t="shared" si="449"/>
        <v>0</v>
      </c>
      <c r="I1366" s="35"/>
      <c r="J1366" s="36">
        <f t="shared" si="450"/>
        <v>0</v>
      </c>
      <c r="K1366" s="40"/>
      <c r="L1366" s="36">
        <f t="shared" si="451"/>
        <v>0</v>
      </c>
      <c r="M1366" s="35"/>
      <c r="N1366" s="36">
        <f t="shared" si="441"/>
        <v>0</v>
      </c>
      <c r="O1366" s="40"/>
      <c r="P1366" s="36">
        <f t="shared" si="452"/>
        <v>0</v>
      </c>
      <c r="Q1366" s="35"/>
      <c r="R1366" s="36">
        <f t="shared" si="442"/>
        <v>0</v>
      </c>
      <c r="S1366" s="40"/>
      <c r="T1366" s="36">
        <f t="shared" si="453"/>
        <v>0</v>
      </c>
      <c r="U1366" s="35"/>
      <c r="V1366" s="36">
        <f t="shared" si="443"/>
        <v>0</v>
      </c>
      <c r="W1366" s="40"/>
      <c r="X1366" s="36">
        <f t="shared" si="454"/>
        <v>0</v>
      </c>
      <c r="Y1366" s="35"/>
      <c r="Z1366" s="36">
        <f t="shared" si="444"/>
        <v>0</v>
      </c>
      <c r="AA1366" s="40"/>
      <c r="AB1366" s="36">
        <f t="shared" si="455"/>
        <v>0</v>
      </c>
      <c r="AC1366" s="35"/>
      <c r="AD1366" s="36">
        <f t="shared" si="445"/>
        <v>0</v>
      </c>
      <c r="AE1366" s="40"/>
      <c r="AF1366" s="36">
        <f t="shared" si="456"/>
        <v>0</v>
      </c>
      <c r="AG1366" s="35"/>
      <c r="AH1366" s="36">
        <f t="shared" si="446"/>
        <v>0</v>
      </c>
      <c r="AI1366" s="40"/>
      <c r="AJ1366" s="36">
        <f t="shared" si="457"/>
        <v>0</v>
      </c>
      <c r="AK1366" s="35"/>
      <c r="AL1366" s="36">
        <f t="shared" si="447"/>
        <v>0</v>
      </c>
      <c r="AM1366" s="40"/>
      <c r="AN1366" s="36">
        <f t="shared" si="458"/>
        <v>0</v>
      </c>
      <c r="AO1366" s="35"/>
      <c r="AP1366" s="40"/>
    </row>
    <row r="1367" spans="1:42" ht="15.75" customHeight="1" x14ac:dyDescent="0.25">
      <c r="A1367" s="37">
        <v>2015</v>
      </c>
      <c r="B1367" s="35">
        <v>171886</v>
      </c>
      <c r="C1367" s="34" t="s">
        <v>149</v>
      </c>
      <c r="D1367" s="34" t="s">
        <v>119</v>
      </c>
      <c r="E1367" s="35"/>
      <c r="F1367" s="36">
        <f t="shared" si="448"/>
        <v>0</v>
      </c>
      <c r="G1367" s="40"/>
      <c r="H1367" s="36">
        <f t="shared" si="449"/>
        <v>0</v>
      </c>
      <c r="I1367" s="35"/>
      <c r="J1367" s="36">
        <f t="shared" si="450"/>
        <v>0</v>
      </c>
      <c r="K1367" s="40"/>
      <c r="L1367" s="36">
        <f t="shared" si="451"/>
        <v>0</v>
      </c>
      <c r="M1367" s="35"/>
      <c r="N1367" s="36">
        <f t="shared" si="441"/>
        <v>0</v>
      </c>
      <c r="O1367" s="40"/>
      <c r="P1367" s="36">
        <f t="shared" si="452"/>
        <v>0</v>
      </c>
      <c r="Q1367" s="35"/>
      <c r="R1367" s="36">
        <f t="shared" si="442"/>
        <v>0</v>
      </c>
      <c r="S1367" s="40"/>
      <c r="T1367" s="36">
        <f t="shared" si="453"/>
        <v>0</v>
      </c>
      <c r="U1367" s="35"/>
      <c r="V1367" s="36">
        <f t="shared" si="443"/>
        <v>0</v>
      </c>
      <c r="W1367" s="40"/>
      <c r="X1367" s="36">
        <f t="shared" si="454"/>
        <v>0</v>
      </c>
      <c r="Y1367" s="35"/>
      <c r="Z1367" s="36">
        <f t="shared" si="444"/>
        <v>0</v>
      </c>
      <c r="AA1367" s="40"/>
      <c r="AB1367" s="36">
        <f t="shared" si="455"/>
        <v>0</v>
      </c>
      <c r="AC1367" s="35"/>
      <c r="AD1367" s="36">
        <f t="shared" si="445"/>
        <v>0</v>
      </c>
      <c r="AE1367" s="40"/>
      <c r="AF1367" s="36">
        <f t="shared" si="456"/>
        <v>0</v>
      </c>
      <c r="AG1367" s="35"/>
      <c r="AH1367" s="36">
        <f t="shared" si="446"/>
        <v>0</v>
      </c>
      <c r="AI1367" s="40"/>
      <c r="AJ1367" s="36">
        <f t="shared" si="457"/>
        <v>0</v>
      </c>
      <c r="AK1367" s="35"/>
      <c r="AL1367" s="36">
        <f t="shared" si="447"/>
        <v>0</v>
      </c>
      <c r="AM1367" s="40"/>
      <c r="AN1367" s="36">
        <f t="shared" si="458"/>
        <v>0</v>
      </c>
      <c r="AO1367" s="35"/>
      <c r="AP1367" s="40"/>
    </row>
    <row r="1368" spans="1:42" ht="15.75" customHeight="1" x14ac:dyDescent="0.25">
      <c r="A1368" s="37">
        <v>2015</v>
      </c>
      <c r="B1368" s="35">
        <v>171888</v>
      </c>
      <c r="C1368" s="34" t="s">
        <v>150</v>
      </c>
      <c r="D1368" s="34" t="s">
        <v>120</v>
      </c>
      <c r="E1368" s="35"/>
      <c r="F1368" s="36">
        <f t="shared" si="448"/>
        <v>0</v>
      </c>
      <c r="G1368" s="40"/>
      <c r="H1368" s="36">
        <f t="shared" si="449"/>
        <v>0</v>
      </c>
      <c r="I1368" s="35"/>
      <c r="J1368" s="36">
        <f t="shared" si="450"/>
        <v>0</v>
      </c>
      <c r="K1368" s="40"/>
      <c r="L1368" s="36">
        <f t="shared" si="451"/>
        <v>0</v>
      </c>
      <c r="M1368" s="35"/>
      <c r="N1368" s="36">
        <f t="shared" si="441"/>
        <v>0</v>
      </c>
      <c r="O1368" s="40"/>
      <c r="P1368" s="36">
        <f t="shared" si="452"/>
        <v>0</v>
      </c>
      <c r="Q1368" s="35"/>
      <c r="R1368" s="36">
        <f t="shared" si="442"/>
        <v>0</v>
      </c>
      <c r="S1368" s="40"/>
      <c r="T1368" s="36">
        <f t="shared" si="453"/>
        <v>0</v>
      </c>
      <c r="U1368" s="35"/>
      <c r="V1368" s="36">
        <f t="shared" si="443"/>
        <v>0</v>
      </c>
      <c r="W1368" s="40"/>
      <c r="X1368" s="36">
        <f t="shared" si="454"/>
        <v>0</v>
      </c>
      <c r="Y1368" s="35"/>
      <c r="Z1368" s="36">
        <f t="shared" si="444"/>
        <v>0</v>
      </c>
      <c r="AA1368" s="40"/>
      <c r="AB1368" s="36">
        <f t="shared" si="455"/>
        <v>0</v>
      </c>
      <c r="AC1368" s="35"/>
      <c r="AD1368" s="36">
        <f t="shared" si="445"/>
        <v>0</v>
      </c>
      <c r="AE1368" s="40"/>
      <c r="AF1368" s="36">
        <f t="shared" si="456"/>
        <v>0</v>
      </c>
      <c r="AG1368" s="35"/>
      <c r="AH1368" s="36">
        <f t="shared" si="446"/>
        <v>0</v>
      </c>
      <c r="AI1368" s="40"/>
      <c r="AJ1368" s="36">
        <f t="shared" si="457"/>
        <v>0</v>
      </c>
      <c r="AK1368" s="35"/>
      <c r="AL1368" s="36">
        <f t="shared" si="447"/>
        <v>0</v>
      </c>
      <c r="AM1368" s="40"/>
      <c r="AN1368" s="36">
        <f t="shared" si="458"/>
        <v>0</v>
      </c>
      <c r="AO1368" s="35"/>
      <c r="AP1368" s="40"/>
    </row>
    <row r="1369" spans="1:42" ht="15.75" customHeight="1" x14ac:dyDescent="0.25">
      <c r="A1369" s="37">
        <v>2015</v>
      </c>
      <c r="B1369" s="35">
        <v>171889</v>
      </c>
      <c r="C1369" s="34" t="s">
        <v>146</v>
      </c>
      <c r="D1369" s="34" t="s">
        <v>121</v>
      </c>
      <c r="E1369" s="35"/>
      <c r="F1369" s="36">
        <f t="shared" si="448"/>
        <v>0</v>
      </c>
      <c r="G1369" s="40"/>
      <c r="H1369" s="36">
        <f t="shared" si="449"/>
        <v>0</v>
      </c>
      <c r="I1369" s="35"/>
      <c r="J1369" s="36">
        <f t="shared" si="450"/>
        <v>0</v>
      </c>
      <c r="K1369" s="40"/>
      <c r="L1369" s="36">
        <f t="shared" si="451"/>
        <v>0</v>
      </c>
      <c r="M1369" s="35"/>
      <c r="N1369" s="36">
        <f t="shared" si="441"/>
        <v>0</v>
      </c>
      <c r="O1369" s="40"/>
      <c r="P1369" s="36">
        <f t="shared" si="452"/>
        <v>0</v>
      </c>
      <c r="Q1369" s="35"/>
      <c r="R1369" s="36">
        <f t="shared" si="442"/>
        <v>0</v>
      </c>
      <c r="S1369" s="40"/>
      <c r="T1369" s="36">
        <f t="shared" si="453"/>
        <v>0</v>
      </c>
      <c r="U1369" s="35"/>
      <c r="V1369" s="36">
        <f t="shared" si="443"/>
        <v>0</v>
      </c>
      <c r="W1369" s="40"/>
      <c r="X1369" s="36">
        <f t="shared" si="454"/>
        <v>0</v>
      </c>
      <c r="Y1369" s="35"/>
      <c r="Z1369" s="36">
        <f t="shared" si="444"/>
        <v>0</v>
      </c>
      <c r="AA1369" s="40"/>
      <c r="AB1369" s="36">
        <f t="shared" si="455"/>
        <v>0</v>
      </c>
      <c r="AC1369" s="35"/>
      <c r="AD1369" s="36">
        <f t="shared" si="445"/>
        <v>0</v>
      </c>
      <c r="AE1369" s="40"/>
      <c r="AF1369" s="36">
        <f t="shared" si="456"/>
        <v>0</v>
      </c>
      <c r="AG1369" s="35"/>
      <c r="AH1369" s="36">
        <f t="shared" si="446"/>
        <v>0</v>
      </c>
      <c r="AI1369" s="40"/>
      <c r="AJ1369" s="36">
        <f t="shared" si="457"/>
        <v>0</v>
      </c>
      <c r="AK1369" s="35"/>
      <c r="AL1369" s="36">
        <f t="shared" si="447"/>
        <v>0</v>
      </c>
      <c r="AM1369" s="40"/>
      <c r="AN1369" s="36">
        <f t="shared" si="458"/>
        <v>0</v>
      </c>
      <c r="AO1369" s="35"/>
      <c r="AP1369" s="40"/>
    </row>
    <row r="1370" spans="1:42" ht="15.75" customHeight="1" x14ac:dyDescent="0.25">
      <c r="A1370" s="37">
        <v>2015</v>
      </c>
      <c r="B1370" s="35">
        <v>171890</v>
      </c>
      <c r="C1370" s="34" t="s">
        <v>151</v>
      </c>
      <c r="D1370" s="34" t="s">
        <v>122</v>
      </c>
      <c r="E1370" s="35"/>
      <c r="F1370" s="36">
        <f t="shared" si="448"/>
        <v>0</v>
      </c>
      <c r="G1370" s="40"/>
      <c r="H1370" s="36">
        <f t="shared" si="449"/>
        <v>0</v>
      </c>
      <c r="I1370" s="35"/>
      <c r="J1370" s="36">
        <f t="shared" si="450"/>
        <v>0</v>
      </c>
      <c r="K1370" s="40"/>
      <c r="L1370" s="36">
        <f t="shared" si="451"/>
        <v>0</v>
      </c>
      <c r="M1370" s="35"/>
      <c r="N1370" s="36">
        <f t="shared" si="441"/>
        <v>0</v>
      </c>
      <c r="O1370" s="40"/>
      <c r="P1370" s="36">
        <f t="shared" si="452"/>
        <v>0</v>
      </c>
      <c r="Q1370" s="35"/>
      <c r="R1370" s="36">
        <f t="shared" si="442"/>
        <v>0</v>
      </c>
      <c r="S1370" s="40"/>
      <c r="T1370" s="36">
        <f t="shared" si="453"/>
        <v>0</v>
      </c>
      <c r="U1370" s="35"/>
      <c r="V1370" s="36">
        <f t="shared" si="443"/>
        <v>0</v>
      </c>
      <c r="W1370" s="40"/>
      <c r="X1370" s="36">
        <f t="shared" si="454"/>
        <v>0</v>
      </c>
      <c r="Y1370" s="35"/>
      <c r="Z1370" s="36">
        <f t="shared" si="444"/>
        <v>0</v>
      </c>
      <c r="AA1370" s="40"/>
      <c r="AB1370" s="36">
        <f t="shared" si="455"/>
        <v>0</v>
      </c>
      <c r="AC1370" s="35"/>
      <c r="AD1370" s="36">
        <f t="shared" si="445"/>
        <v>0</v>
      </c>
      <c r="AE1370" s="40"/>
      <c r="AF1370" s="36">
        <f t="shared" si="456"/>
        <v>0</v>
      </c>
      <c r="AG1370" s="35"/>
      <c r="AH1370" s="36">
        <f t="shared" si="446"/>
        <v>0</v>
      </c>
      <c r="AI1370" s="40"/>
      <c r="AJ1370" s="36">
        <f t="shared" si="457"/>
        <v>0</v>
      </c>
      <c r="AK1370" s="35"/>
      <c r="AL1370" s="36">
        <f t="shared" si="447"/>
        <v>0</v>
      </c>
      <c r="AM1370" s="40"/>
      <c r="AN1370" s="36">
        <f t="shared" si="458"/>
        <v>0</v>
      </c>
      <c r="AO1370" s="35"/>
      <c r="AP1370" s="40"/>
    </row>
    <row r="1371" spans="1:42" ht="15.75" customHeight="1" x14ac:dyDescent="0.25">
      <c r="A1371" s="37">
        <v>2015</v>
      </c>
      <c r="B1371" s="35">
        <v>171900</v>
      </c>
      <c r="C1371" s="34" t="s">
        <v>148</v>
      </c>
      <c r="D1371" s="34" t="s">
        <v>123</v>
      </c>
      <c r="E1371" s="35"/>
      <c r="F1371" s="36">
        <f t="shared" si="448"/>
        <v>0</v>
      </c>
      <c r="G1371" s="40"/>
      <c r="H1371" s="36">
        <f t="shared" si="449"/>
        <v>0</v>
      </c>
      <c r="I1371" s="35"/>
      <c r="J1371" s="36">
        <f t="shared" si="450"/>
        <v>0</v>
      </c>
      <c r="K1371" s="40"/>
      <c r="L1371" s="36">
        <f t="shared" si="451"/>
        <v>0</v>
      </c>
      <c r="M1371" s="35"/>
      <c r="N1371" s="36">
        <f t="shared" si="441"/>
        <v>0</v>
      </c>
      <c r="O1371" s="40"/>
      <c r="P1371" s="36">
        <f t="shared" si="452"/>
        <v>0</v>
      </c>
      <c r="Q1371" s="35"/>
      <c r="R1371" s="36">
        <f t="shared" si="442"/>
        <v>0</v>
      </c>
      <c r="S1371" s="40"/>
      <c r="T1371" s="36">
        <f t="shared" si="453"/>
        <v>0</v>
      </c>
      <c r="U1371" s="35"/>
      <c r="V1371" s="36">
        <f t="shared" si="443"/>
        <v>0</v>
      </c>
      <c r="W1371" s="40"/>
      <c r="X1371" s="36">
        <f t="shared" si="454"/>
        <v>0</v>
      </c>
      <c r="Y1371" s="35"/>
      <c r="Z1371" s="36">
        <f t="shared" si="444"/>
        <v>0</v>
      </c>
      <c r="AA1371" s="40"/>
      <c r="AB1371" s="36">
        <f t="shared" si="455"/>
        <v>0</v>
      </c>
      <c r="AC1371" s="35"/>
      <c r="AD1371" s="36">
        <f t="shared" si="445"/>
        <v>0</v>
      </c>
      <c r="AE1371" s="40"/>
      <c r="AF1371" s="36">
        <f t="shared" si="456"/>
        <v>0</v>
      </c>
      <c r="AG1371" s="35"/>
      <c r="AH1371" s="36">
        <f t="shared" si="446"/>
        <v>0</v>
      </c>
      <c r="AI1371" s="40"/>
      <c r="AJ1371" s="36">
        <f t="shared" si="457"/>
        <v>0</v>
      </c>
      <c r="AK1371" s="35"/>
      <c r="AL1371" s="36">
        <f t="shared" si="447"/>
        <v>0</v>
      </c>
      <c r="AM1371" s="40"/>
      <c r="AN1371" s="36">
        <f t="shared" si="458"/>
        <v>0</v>
      </c>
      <c r="AO1371" s="35"/>
      <c r="AP1371" s="40"/>
    </row>
    <row r="1372" spans="1:42" ht="15.75" customHeight="1" x14ac:dyDescent="0.25">
      <c r="A1372" s="37">
        <v>2015</v>
      </c>
      <c r="B1372" s="35">
        <v>172000</v>
      </c>
      <c r="C1372" s="34" t="s">
        <v>145</v>
      </c>
      <c r="D1372" s="34" t="s">
        <v>124</v>
      </c>
      <c r="E1372" s="35"/>
      <c r="F1372" s="36">
        <f t="shared" si="448"/>
        <v>0</v>
      </c>
      <c r="G1372" s="40"/>
      <c r="H1372" s="36">
        <f t="shared" si="449"/>
        <v>0</v>
      </c>
      <c r="I1372" s="35"/>
      <c r="J1372" s="36">
        <f t="shared" si="450"/>
        <v>0</v>
      </c>
      <c r="K1372" s="40"/>
      <c r="L1372" s="36">
        <f t="shared" si="451"/>
        <v>0</v>
      </c>
      <c r="M1372" s="35"/>
      <c r="N1372" s="36">
        <f t="shared" si="441"/>
        <v>0</v>
      </c>
      <c r="O1372" s="40"/>
      <c r="P1372" s="36">
        <f t="shared" si="452"/>
        <v>0</v>
      </c>
      <c r="Q1372" s="35"/>
      <c r="R1372" s="36">
        <f t="shared" si="442"/>
        <v>0</v>
      </c>
      <c r="S1372" s="40"/>
      <c r="T1372" s="36">
        <f t="shared" si="453"/>
        <v>0</v>
      </c>
      <c r="U1372" s="35"/>
      <c r="V1372" s="36">
        <f t="shared" si="443"/>
        <v>0</v>
      </c>
      <c r="W1372" s="40"/>
      <c r="X1372" s="36">
        <f t="shared" si="454"/>
        <v>0</v>
      </c>
      <c r="Y1372" s="35"/>
      <c r="Z1372" s="36">
        <f t="shared" si="444"/>
        <v>0</v>
      </c>
      <c r="AA1372" s="40"/>
      <c r="AB1372" s="36">
        <f t="shared" si="455"/>
        <v>0</v>
      </c>
      <c r="AC1372" s="35"/>
      <c r="AD1372" s="36">
        <f t="shared" si="445"/>
        <v>0</v>
      </c>
      <c r="AE1372" s="40"/>
      <c r="AF1372" s="36">
        <f t="shared" si="456"/>
        <v>0</v>
      </c>
      <c r="AG1372" s="35"/>
      <c r="AH1372" s="36">
        <f t="shared" si="446"/>
        <v>0</v>
      </c>
      <c r="AI1372" s="40"/>
      <c r="AJ1372" s="36">
        <f t="shared" si="457"/>
        <v>0</v>
      </c>
      <c r="AK1372" s="35"/>
      <c r="AL1372" s="36">
        <f t="shared" si="447"/>
        <v>0</v>
      </c>
      <c r="AM1372" s="40"/>
      <c r="AN1372" s="36">
        <f t="shared" si="458"/>
        <v>0</v>
      </c>
      <c r="AO1372" s="35"/>
      <c r="AP1372" s="40"/>
    </row>
    <row r="1373" spans="1:42" ht="15.75" customHeight="1" x14ac:dyDescent="0.25">
      <c r="A1373" s="37">
        <v>2015</v>
      </c>
      <c r="B1373" s="35">
        <v>172010</v>
      </c>
      <c r="C1373" s="34" t="s">
        <v>145</v>
      </c>
      <c r="D1373" s="34" t="s">
        <v>125</v>
      </c>
      <c r="E1373" s="35"/>
      <c r="F1373" s="36">
        <f t="shared" si="448"/>
        <v>0</v>
      </c>
      <c r="G1373" s="40"/>
      <c r="H1373" s="36">
        <f t="shared" si="449"/>
        <v>0</v>
      </c>
      <c r="I1373" s="35"/>
      <c r="J1373" s="36">
        <f t="shared" si="450"/>
        <v>0</v>
      </c>
      <c r="K1373" s="40"/>
      <c r="L1373" s="36">
        <f t="shared" si="451"/>
        <v>0</v>
      </c>
      <c r="M1373" s="35"/>
      <c r="N1373" s="36">
        <f t="shared" si="441"/>
        <v>0</v>
      </c>
      <c r="O1373" s="40"/>
      <c r="P1373" s="36">
        <f t="shared" si="452"/>
        <v>0</v>
      </c>
      <c r="Q1373" s="35"/>
      <c r="R1373" s="36">
        <f t="shared" si="442"/>
        <v>0</v>
      </c>
      <c r="S1373" s="40"/>
      <c r="T1373" s="36">
        <f t="shared" si="453"/>
        <v>0</v>
      </c>
      <c r="U1373" s="35"/>
      <c r="V1373" s="36">
        <f t="shared" si="443"/>
        <v>0</v>
      </c>
      <c r="W1373" s="40"/>
      <c r="X1373" s="36">
        <f t="shared" si="454"/>
        <v>0</v>
      </c>
      <c r="Y1373" s="35"/>
      <c r="Z1373" s="36">
        <f t="shared" si="444"/>
        <v>0</v>
      </c>
      <c r="AA1373" s="40"/>
      <c r="AB1373" s="36">
        <f t="shared" si="455"/>
        <v>0</v>
      </c>
      <c r="AC1373" s="35"/>
      <c r="AD1373" s="36">
        <f t="shared" si="445"/>
        <v>0</v>
      </c>
      <c r="AE1373" s="40"/>
      <c r="AF1373" s="36">
        <f t="shared" si="456"/>
        <v>0</v>
      </c>
      <c r="AG1373" s="35"/>
      <c r="AH1373" s="36">
        <f t="shared" si="446"/>
        <v>0</v>
      </c>
      <c r="AI1373" s="40"/>
      <c r="AJ1373" s="36">
        <f t="shared" si="457"/>
        <v>0</v>
      </c>
      <c r="AK1373" s="35"/>
      <c r="AL1373" s="36">
        <f t="shared" si="447"/>
        <v>0</v>
      </c>
      <c r="AM1373" s="40"/>
      <c r="AN1373" s="36">
        <f t="shared" si="458"/>
        <v>0</v>
      </c>
      <c r="AO1373" s="35"/>
      <c r="AP1373" s="40"/>
    </row>
    <row r="1374" spans="1:42" ht="15.75" customHeight="1" x14ac:dyDescent="0.25">
      <c r="A1374" s="37">
        <v>2015</v>
      </c>
      <c r="B1374" s="35">
        <v>172015</v>
      </c>
      <c r="C1374" s="34" t="s">
        <v>148</v>
      </c>
      <c r="D1374" s="34" t="s">
        <v>126</v>
      </c>
      <c r="E1374" s="35"/>
      <c r="F1374" s="36">
        <f t="shared" si="448"/>
        <v>0</v>
      </c>
      <c r="G1374" s="40"/>
      <c r="H1374" s="36">
        <f t="shared" si="449"/>
        <v>0</v>
      </c>
      <c r="I1374" s="35"/>
      <c r="J1374" s="36">
        <f t="shared" si="450"/>
        <v>0</v>
      </c>
      <c r="K1374" s="40"/>
      <c r="L1374" s="36">
        <f t="shared" si="451"/>
        <v>0</v>
      </c>
      <c r="M1374" s="35"/>
      <c r="N1374" s="36">
        <f t="shared" si="441"/>
        <v>0</v>
      </c>
      <c r="O1374" s="40"/>
      <c r="P1374" s="36">
        <f t="shared" si="452"/>
        <v>0</v>
      </c>
      <c r="Q1374" s="35"/>
      <c r="R1374" s="36">
        <f t="shared" si="442"/>
        <v>0</v>
      </c>
      <c r="S1374" s="40"/>
      <c r="T1374" s="36">
        <f t="shared" si="453"/>
        <v>0</v>
      </c>
      <c r="U1374" s="35"/>
      <c r="V1374" s="36">
        <f t="shared" si="443"/>
        <v>0</v>
      </c>
      <c r="W1374" s="40"/>
      <c r="X1374" s="36">
        <f t="shared" si="454"/>
        <v>0</v>
      </c>
      <c r="Y1374" s="35"/>
      <c r="Z1374" s="36">
        <f t="shared" si="444"/>
        <v>0</v>
      </c>
      <c r="AA1374" s="40"/>
      <c r="AB1374" s="36">
        <f t="shared" si="455"/>
        <v>0</v>
      </c>
      <c r="AC1374" s="35"/>
      <c r="AD1374" s="36">
        <f t="shared" si="445"/>
        <v>0</v>
      </c>
      <c r="AE1374" s="40"/>
      <c r="AF1374" s="36">
        <f t="shared" si="456"/>
        <v>0</v>
      </c>
      <c r="AG1374" s="35"/>
      <c r="AH1374" s="36">
        <f t="shared" si="446"/>
        <v>0</v>
      </c>
      <c r="AI1374" s="40"/>
      <c r="AJ1374" s="36">
        <f t="shared" si="457"/>
        <v>0</v>
      </c>
      <c r="AK1374" s="35"/>
      <c r="AL1374" s="36">
        <f t="shared" si="447"/>
        <v>0</v>
      </c>
      <c r="AM1374" s="40"/>
      <c r="AN1374" s="36">
        <f t="shared" si="458"/>
        <v>0</v>
      </c>
      <c r="AO1374" s="35"/>
      <c r="AP1374" s="40"/>
    </row>
    <row r="1375" spans="1:42" ht="15.75" customHeight="1" x14ac:dyDescent="0.25">
      <c r="A1375" s="37">
        <v>2015</v>
      </c>
      <c r="B1375" s="35">
        <v>172020</v>
      </c>
      <c r="C1375" s="34" t="s">
        <v>145</v>
      </c>
      <c r="D1375" s="34" t="s">
        <v>127</v>
      </c>
      <c r="E1375" s="35"/>
      <c r="F1375" s="36">
        <f t="shared" si="448"/>
        <v>0</v>
      </c>
      <c r="G1375" s="40"/>
      <c r="H1375" s="36">
        <f t="shared" si="449"/>
        <v>0</v>
      </c>
      <c r="I1375" s="35"/>
      <c r="J1375" s="36">
        <f t="shared" si="450"/>
        <v>0</v>
      </c>
      <c r="K1375" s="40"/>
      <c r="L1375" s="36">
        <f t="shared" si="451"/>
        <v>0</v>
      </c>
      <c r="M1375" s="35"/>
      <c r="N1375" s="36">
        <f t="shared" si="441"/>
        <v>0</v>
      </c>
      <c r="O1375" s="40"/>
      <c r="P1375" s="36">
        <f t="shared" si="452"/>
        <v>0</v>
      </c>
      <c r="Q1375" s="35"/>
      <c r="R1375" s="36">
        <f t="shared" si="442"/>
        <v>0</v>
      </c>
      <c r="S1375" s="40"/>
      <c r="T1375" s="36">
        <f t="shared" si="453"/>
        <v>0</v>
      </c>
      <c r="U1375" s="35"/>
      <c r="V1375" s="36">
        <f t="shared" si="443"/>
        <v>0</v>
      </c>
      <c r="W1375" s="40"/>
      <c r="X1375" s="36">
        <f t="shared" si="454"/>
        <v>0</v>
      </c>
      <c r="Y1375" s="35"/>
      <c r="Z1375" s="36">
        <f t="shared" si="444"/>
        <v>0</v>
      </c>
      <c r="AA1375" s="40"/>
      <c r="AB1375" s="36">
        <f t="shared" si="455"/>
        <v>0</v>
      </c>
      <c r="AC1375" s="35"/>
      <c r="AD1375" s="36">
        <f t="shared" si="445"/>
        <v>0</v>
      </c>
      <c r="AE1375" s="40"/>
      <c r="AF1375" s="36">
        <f t="shared" si="456"/>
        <v>0</v>
      </c>
      <c r="AG1375" s="35"/>
      <c r="AH1375" s="36">
        <f t="shared" si="446"/>
        <v>0</v>
      </c>
      <c r="AI1375" s="40"/>
      <c r="AJ1375" s="36">
        <f t="shared" si="457"/>
        <v>0</v>
      </c>
      <c r="AK1375" s="35"/>
      <c r="AL1375" s="36">
        <f t="shared" si="447"/>
        <v>0</v>
      </c>
      <c r="AM1375" s="40"/>
      <c r="AN1375" s="36">
        <f t="shared" si="458"/>
        <v>0</v>
      </c>
      <c r="AO1375" s="35"/>
      <c r="AP1375" s="40"/>
    </row>
    <row r="1376" spans="1:42" ht="15.75" customHeight="1" x14ac:dyDescent="0.25">
      <c r="A1376" s="37">
        <v>2015</v>
      </c>
      <c r="B1376" s="35">
        <v>172025</v>
      </c>
      <c r="C1376" s="34" t="s">
        <v>146</v>
      </c>
      <c r="D1376" s="34" t="s">
        <v>128</v>
      </c>
      <c r="E1376" s="35"/>
      <c r="F1376" s="36">
        <f t="shared" si="448"/>
        <v>0</v>
      </c>
      <c r="G1376" s="40"/>
      <c r="H1376" s="36">
        <f t="shared" si="449"/>
        <v>0</v>
      </c>
      <c r="I1376" s="35"/>
      <c r="J1376" s="36">
        <f t="shared" si="450"/>
        <v>0</v>
      </c>
      <c r="K1376" s="40"/>
      <c r="L1376" s="36">
        <f t="shared" si="451"/>
        <v>0</v>
      </c>
      <c r="M1376" s="35"/>
      <c r="N1376" s="36">
        <f t="shared" si="441"/>
        <v>0</v>
      </c>
      <c r="O1376" s="40"/>
      <c r="P1376" s="36">
        <f t="shared" si="452"/>
        <v>0</v>
      </c>
      <c r="Q1376" s="35"/>
      <c r="R1376" s="36">
        <f t="shared" si="442"/>
        <v>0</v>
      </c>
      <c r="S1376" s="40"/>
      <c r="T1376" s="36">
        <f t="shared" si="453"/>
        <v>0</v>
      </c>
      <c r="U1376" s="35"/>
      <c r="V1376" s="36">
        <f t="shared" si="443"/>
        <v>0</v>
      </c>
      <c r="W1376" s="40"/>
      <c r="X1376" s="36">
        <f t="shared" si="454"/>
        <v>0</v>
      </c>
      <c r="Y1376" s="35"/>
      <c r="Z1376" s="36">
        <f t="shared" si="444"/>
        <v>0</v>
      </c>
      <c r="AA1376" s="40"/>
      <c r="AB1376" s="36">
        <f t="shared" si="455"/>
        <v>0</v>
      </c>
      <c r="AC1376" s="35"/>
      <c r="AD1376" s="36">
        <f t="shared" si="445"/>
        <v>0</v>
      </c>
      <c r="AE1376" s="40"/>
      <c r="AF1376" s="36">
        <f t="shared" si="456"/>
        <v>0</v>
      </c>
      <c r="AG1376" s="35"/>
      <c r="AH1376" s="36">
        <f t="shared" si="446"/>
        <v>0</v>
      </c>
      <c r="AI1376" s="40"/>
      <c r="AJ1376" s="36">
        <f t="shared" si="457"/>
        <v>0</v>
      </c>
      <c r="AK1376" s="35"/>
      <c r="AL1376" s="36">
        <f t="shared" si="447"/>
        <v>0</v>
      </c>
      <c r="AM1376" s="40"/>
      <c r="AN1376" s="36">
        <f t="shared" si="458"/>
        <v>0</v>
      </c>
      <c r="AO1376" s="35"/>
      <c r="AP1376" s="40"/>
    </row>
    <row r="1377" spans="1:42" ht="15.75" customHeight="1" x14ac:dyDescent="0.25">
      <c r="A1377" s="37">
        <v>2015</v>
      </c>
      <c r="B1377" s="35">
        <v>172030</v>
      </c>
      <c r="C1377" s="34" t="s">
        <v>145</v>
      </c>
      <c r="D1377" s="34" t="s">
        <v>129</v>
      </c>
      <c r="E1377" s="35"/>
      <c r="F1377" s="36">
        <f t="shared" si="448"/>
        <v>0</v>
      </c>
      <c r="G1377" s="40"/>
      <c r="H1377" s="36">
        <f t="shared" si="449"/>
        <v>0</v>
      </c>
      <c r="I1377" s="35"/>
      <c r="J1377" s="36">
        <f t="shared" si="450"/>
        <v>0</v>
      </c>
      <c r="K1377" s="40"/>
      <c r="L1377" s="36">
        <f t="shared" si="451"/>
        <v>0</v>
      </c>
      <c r="M1377" s="35"/>
      <c r="N1377" s="36">
        <f t="shared" si="441"/>
        <v>0</v>
      </c>
      <c r="O1377" s="40"/>
      <c r="P1377" s="36">
        <f t="shared" si="452"/>
        <v>0</v>
      </c>
      <c r="Q1377" s="35"/>
      <c r="R1377" s="36">
        <f t="shared" si="442"/>
        <v>0</v>
      </c>
      <c r="S1377" s="40"/>
      <c r="T1377" s="36">
        <f t="shared" si="453"/>
        <v>0</v>
      </c>
      <c r="U1377" s="35"/>
      <c r="V1377" s="36">
        <f t="shared" si="443"/>
        <v>0</v>
      </c>
      <c r="W1377" s="40"/>
      <c r="X1377" s="36">
        <f t="shared" si="454"/>
        <v>0</v>
      </c>
      <c r="Y1377" s="35"/>
      <c r="Z1377" s="36">
        <f t="shared" si="444"/>
        <v>0</v>
      </c>
      <c r="AA1377" s="40"/>
      <c r="AB1377" s="36">
        <f t="shared" si="455"/>
        <v>0</v>
      </c>
      <c r="AC1377" s="35"/>
      <c r="AD1377" s="36">
        <f t="shared" si="445"/>
        <v>0</v>
      </c>
      <c r="AE1377" s="40"/>
      <c r="AF1377" s="36">
        <f t="shared" si="456"/>
        <v>0</v>
      </c>
      <c r="AG1377" s="35"/>
      <c r="AH1377" s="36">
        <f t="shared" si="446"/>
        <v>0</v>
      </c>
      <c r="AI1377" s="40"/>
      <c r="AJ1377" s="36">
        <f t="shared" si="457"/>
        <v>0</v>
      </c>
      <c r="AK1377" s="35"/>
      <c r="AL1377" s="36">
        <f t="shared" si="447"/>
        <v>0</v>
      </c>
      <c r="AM1377" s="40"/>
      <c r="AN1377" s="36">
        <f t="shared" si="458"/>
        <v>0</v>
      </c>
      <c r="AO1377" s="35"/>
      <c r="AP1377" s="40"/>
    </row>
    <row r="1378" spans="1:42" ht="15.75" customHeight="1" x14ac:dyDescent="0.25">
      <c r="A1378" s="37">
        <v>2015</v>
      </c>
      <c r="B1378" s="35">
        <v>172049</v>
      </c>
      <c r="C1378" s="34" t="s">
        <v>146</v>
      </c>
      <c r="D1378" s="34" t="s">
        <v>130</v>
      </c>
      <c r="E1378" s="35"/>
      <c r="F1378" s="36">
        <f t="shared" si="448"/>
        <v>0</v>
      </c>
      <c r="G1378" s="40"/>
      <c r="H1378" s="36">
        <f t="shared" si="449"/>
        <v>0</v>
      </c>
      <c r="I1378" s="35"/>
      <c r="J1378" s="36">
        <f t="shared" si="450"/>
        <v>0</v>
      </c>
      <c r="K1378" s="40"/>
      <c r="L1378" s="36">
        <f t="shared" si="451"/>
        <v>0</v>
      </c>
      <c r="M1378" s="35"/>
      <c r="N1378" s="36">
        <f t="shared" si="441"/>
        <v>0</v>
      </c>
      <c r="O1378" s="40"/>
      <c r="P1378" s="36">
        <f t="shared" si="452"/>
        <v>0</v>
      </c>
      <c r="Q1378" s="35"/>
      <c r="R1378" s="36">
        <f t="shared" si="442"/>
        <v>0</v>
      </c>
      <c r="S1378" s="40"/>
      <c r="T1378" s="36">
        <f t="shared" si="453"/>
        <v>0</v>
      </c>
      <c r="U1378" s="35"/>
      <c r="V1378" s="36">
        <f t="shared" si="443"/>
        <v>0</v>
      </c>
      <c r="W1378" s="40"/>
      <c r="X1378" s="36">
        <f t="shared" si="454"/>
        <v>0</v>
      </c>
      <c r="Y1378" s="35"/>
      <c r="Z1378" s="36">
        <f t="shared" si="444"/>
        <v>0</v>
      </c>
      <c r="AA1378" s="40"/>
      <c r="AB1378" s="36">
        <f t="shared" si="455"/>
        <v>0</v>
      </c>
      <c r="AC1378" s="35"/>
      <c r="AD1378" s="36">
        <f t="shared" si="445"/>
        <v>0</v>
      </c>
      <c r="AE1378" s="40"/>
      <c r="AF1378" s="36">
        <f t="shared" si="456"/>
        <v>0</v>
      </c>
      <c r="AG1378" s="35"/>
      <c r="AH1378" s="36">
        <f t="shared" si="446"/>
        <v>0</v>
      </c>
      <c r="AI1378" s="40"/>
      <c r="AJ1378" s="36">
        <f t="shared" si="457"/>
        <v>0</v>
      </c>
      <c r="AK1378" s="35"/>
      <c r="AL1378" s="36">
        <f t="shared" si="447"/>
        <v>0</v>
      </c>
      <c r="AM1378" s="40"/>
      <c r="AN1378" s="36">
        <f t="shared" si="458"/>
        <v>0</v>
      </c>
      <c r="AO1378" s="35"/>
      <c r="AP1378" s="40"/>
    </row>
    <row r="1379" spans="1:42" ht="15.75" customHeight="1" x14ac:dyDescent="0.25">
      <c r="A1379" s="37">
        <v>2015</v>
      </c>
      <c r="B1379" s="35">
        <v>172065</v>
      </c>
      <c r="C1379" s="34" t="s">
        <v>151</v>
      </c>
      <c r="D1379" s="34" t="s">
        <v>131</v>
      </c>
      <c r="E1379" s="35"/>
      <c r="F1379" s="36">
        <f t="shared" si="448"/>
        <v>0</v>
      </c>
      <c r="G1379" s="40"/>
      <c r="H1379" s="36">
        <f t="shared" si="449"/>
        <v>0</v>
      </c>
      <c r="I1379" s="35"/>
      <c r="J1379" s="36">
        <f t="shared" si="450"/>
        <v>0</v>
      </c>
      <c r="K1379" s="40"/>
      <c r="L1379" s="36">
        <f t="shared" si="451"/>
        <v>0</v>
      </c>
      <c r="M1379" s="35"/>
      <c r="N1379" s="36">
        <f t="shared" si="441"/>
        <v>0</v>
      </c>
      <c r="O1379" s="40"/>
      <c r="P1379" s="36">
        <f t="shared" si="452"/>
        <v>0</v>
      </c>
      <c r="Q1379" s="35"/>
      <c r="R1379" s="36">
        <f t="shared" si="442"/>
        <v>0</v>
      </c>
      <c r="S1379" s="40"/>
      <c r="T1379" s="36">
        <f t="shared" si="453"/>
        <v>0</v>
      </c>
      <c r="U1379" s="35"/>
      <c r="V1379" s="36">
        <f t="shared" si="443"/>
        <v>0</v>
      </c>
      <c r="W1379" s="40"/>
      <c r="X1379" s="36">
        <f t="shared" si="454"/>
        <v>0</v>
      </c>
      <c r="Y1379" s="35"/>
      <c r="Z1379" s="36">
        <f t="shared" si="444"/>
        <v>0</v>
      </c>
      <c r="AA1379" s="40"/>
      <c r="AB1379" s="36">
        <f t="shared" si="455"/>
        <v>0</v>
      </c>
      <c r="AC1379" s="35"/>
      <c r="AD1379" s="36">
        <f t="shared" si="445"/>
        <v>0</v>
      </c>
      <c r="AE1379" s="40"/>
      <c r="AF1379" s="36">
        <f t="shared" si="456"/>
        <v>0</v>
      </c>
      <c r="AG1379" s="35"/>
      <c r="AH1379" s="36">
        <f t="shared" si="446"/>
        <v>0</v>
      </c>
      <c r="AI1379" s="40"/>
      <c r="AJ1379" s="36">
        <f t="shared" si="457"/>
        <v>0</v>
      </c>
      <c r="AK1379" s="35"/>
      <c r="AL1379" s="36">
        <f t="shared" si="447"/>
        <v>0</v>
      </c>
      <c r="AM1379" s="40"/>
      <c r="AN1379" s="36">
        <f t="shared" si="458"/>
        <v>0</v>
      </c>
      <c r="AO1379" s="35"/>
      <c r="AP1379" s="40"/>
    </row>
    <row r="1380" spans="1:42" ht="15.75" customHeight="1" x14ac:dyDescent="0.25">
      <c r="A1380" s="37">
        <v>2015</v>
      </c>
      <c r="B1380" s="35">
        <v>172080</v>
      </c>
      <c r="C1380" s="34" t="s">
        <v>145</v>
      </c>
      <c r="D1380" s="34" t="s">
        <v>132</v>
      </c>
      <c r="E1380" s="35"/>
      <c r="F1380" s="36">
        <f t="shared" si="448"/>
        <v>0</v>
      </c>
      <c r="G1380" s="40"/>
      <c r="H1380" s="36">
        <f t="shared" si="449"/>
        <v>0</v>
      </c>
      <c r="I1380" s="35"/>
      <c r="J1380" s="36">
        <f t="shared" si="450"/>
        <v>0</v>
      </c>
      <c r="K1380" s="40"/>
      <c r="L1380" s="36">
        <f t="shared" si="451"/>
        <v>0</v>
      </c>
      <c r="M1380" s="35"/>
      <c r="N1380" s="36">
        <f t="shared" si="441"/>
        <v>0</v>
      </c>
      <c r="O1380" s="40"/>
      <c r="P1380" s="36">
        <f t="shared" si="452"/>
        <v>0</v>
      </c>
      <c r="Q1380" s="35"/>
      <c r="R1380" s="36">
        <f t="shared" si="442"/>
        <v>0</v>
      </c>
      <c r="S1380" s="40"/>
      <c r="T1380" s="36">
        <f t="shared" si="453"/>
        <v>0</v>
      </c>
      <c r="U1380" s="35"/>
      <c r="V1380" s="36">
        <f t="shared" si="443"/>
        <v>0</v>
      </c>
      <c r="W1380" s="40"/>
      <c r="X1380" s="36">
        <f t="shared" si="454"/>
        <v>0</v>
      </c>
      <c r="Y1380" s="35"/>
      <c r="Z1380" s="36">
        <f t="shared" si="444"/>
        <v>0</v>
      </c>
      <c r="AA1380" s="40"/>
      <c r="AB1380" s="36">
        <f t="shared" si="455"/>
        <v>0</v>
      </c>
      <c r="AC1380" s="35"/>
      <c r="AD1380" s="36">
        <f t="shared" si="445"/>
        <v>0</v>
      </c>
      <c r="AE1380" s="40"/>
      <c r="AF1380" s="36">
        <f t="shared" si="456"/>
        <v>0</v>
      </c>
      <c r="AG1380" s="35"/>
      <c r="AH1380" s="36">
        <f t="shared" si="446"/>
        <v>0</v>
      </c>
      <c r="AI1380" s="40"/>
      <c r="AJ1380" s="36">
        <f t="shared" si="457"/>
        <v>0</v>
      </c>
      <c r="AK1380" s="35"/>
      <c r="AL1380" s="36">
        <f t="shared" si="447"/>
        <v>0</v>
      </c>
      <c r="AM1380" s="40"/>
      <c r="AN1380" s="36">
        <f t="shared" si="458"/>
        <v>0</v>
      </c>
      <c r="AO1380" s="35"/>
      <c r="AP1380" s="40"/>
    </row>
    <row r="1381" spans="1:42" ht="15.75" customHeight="1" x14ac:dyDescent="0.25">
      <c r="A1381" s="37">
        <v>2015</v>
      </c>
      <c r="B1381" s="35">
        <v>172085</v>
      </c>
      <c r="C1381" s="34" t="s">
        <v>146</v>
      </c>
      <c r="D1381" s="34" t="s">
        <v>133</v>
      </c>
      <c r="E1381" s="35"/>
      <c r="F1381" s="36">
        <f t="shared" si="448"/>
        <v>0</v>
      </c>
      <c r="G1381" s="40"/>
      <c r="H1381" s="36">
        <f t="shared" si="449"/>
        <v>0</v>
      </c>
      <c r="I1381" s="35"/>
      <c r="J1381" s="36">
        <f t="shared" si="450"/>
        <v>0</v>
      </c>
      <c r="K1381" s="40"/>
      <c r="L1381" s="36">
        <f t="shared" si="451"/>
        <v>0</v>
      </c>
      <c r="M1381" s="35"/>
      <c r="N1381" s="36">
        <f t="shared" si="441"/>
        <v>0</v>
      </c>
      <c r="O1381" s="40"/>
      <c r="P1381" s="36">
        <f t="shared" si="452"/>
        <v>0</v>
      </c>
      <c r="Q1381" s="35"/>
      <c r="R1381" s="36">
        <f t="shared" si="442"/>
        <v>0</v>
      </c>
      <c r="S1381" s="40"/>
      <c r="T1381" s="36">
        <f t="shared" si="453"/>
        <v>0</v>
      </c>
      <c r="U1381" s="35"/>
      <c r="V1381" s="36">
        <f t="shared" si="443"/>
        <v>0</v>
      </c>
      <c r="W1381" s="40"/>
      <c r="X1381" s="36">
        <f t="shared" si="454"/>
        <v>0</v>
      </c>
      <c r="Y1381" s="35"/>
      <c r="Z1381" s="36">
        <f t="shared" si="444"/>
        <v>0</v>
      </c>
      <c r="AA1381" s="40"/>
      <c r="AB1381" s="36">
        <f t="shared" si="455"/>
        <v>0</v>
      </c>
      <c r="AC1381" s="35"/>
      <c r="AD1381" s="36">
        <f t="shared" si="445"/>
        <v>0</v>
      </c>
      <c r="AE1381" s="40"/>
      <c r="AF1381" s="36">
        <f t="shared" si="456"/>
        <v>0</v>
      </c>
      <c r="AG1381" s="35"/>
      <c r="AH1381" s="36">
        <f t="shared" si="446"/>
        <v>0</v>
      </c>
      <c r="AI1381" s="40"/>
      <c r="AJ1381" s="36">
        <f t="shared" si="457"/>
        <v>0</v>
      </c>
      <c r="AK1381" s="35"/>
      <c r="AL1381" s="36">
        <f t="shared" si="447"/>
        <v>0</v>
      </c>
      <c r="AM1381" s="40"/>
      <c r="AN1381" s="36">
        <f t="shared" si="458"/>
        <v>0</v>
      </c>
      <c r="AO1381" s="35"/>
      <c r="AP1381" s="40"/>
    </row>
    <row r="1382" spans="1:42" ht="15.75" customHeight="1" x14ac:dyDescent="0.25">
      <c r="A1382" s="37">
        <v>2015</v>
      </c>
      <c r="B1382" s="35">
        <v>170825</v>
      </c>
      <c r="C1382" s="34" t="s">
        <v>148</v>
      </c>
      <c r="D1382" s="34" t="s">
        <v>134</v>
      </c>
      <c r="E1382" s="35"/>
      <c r="F1382" s="36">
        <f t="shared" si="448"/>
        <v>0</v>
      </c>
      <c r="G1382" s="40"/>
      <c r="H1382" s="36">
        <f t="shared" si="449"/>
        <v>0</v>
      </c>
      <c r="I1382" s="35"/>
      <c r="J1382" s="36">
        <f t="shared" si="450"/>
        <v>0</v>
      </c>
      <c r="K1382" s="40"/>
      <c r="L1382" s="36">
        <f t="shared" si="451"/>
        <v>0</v>
      </c>
      <c r="M1382" s="35"/>
      <c r="N1382" s="36">
        <f t="shared" si="441"/>
        <v>0</v>
      </c>
      <c r="O1382" s="40"/>
      <c r="P1382" s="36">
        <f t="shared" si="452"/>
        <v>0</v>
      </c>
      <c r="Q1382" s="35"/>
      <c r="R1382" s="36">
        <f t="shared" si="442"/>
        <v>0</v>
      </c>
      <c r="S1382" s="40"/>
      <c r="T1382" s="36">
        <f t="shared" si="453"/>
        <v>0</v>
      </c>
      <c r="U1382" s="35"/>
      <c r="V1382" s="36">
        <f t="shared" si="443"/>
        <v>0</v>
      </c>
      <c r="W1382" s="40"/>
      <c r="X1382" s="36">
        <f t="shared" si="454"/>
        <v>0</v>
      </c>
      <c r="Y1382" s="35"/>
      <c r="Z1382" s="36">
        <f t="shared" si="444"/>
        <v>0</v>
      </c>
      <c r="AA1382" s="40"/>
      <c r="AB1382" s="36">
        <f t="shared" si="455"/>
        <v>0</v>
      </c>
      <c r="AC1382" s="35"/>
      <c r="AD1382" s="36">
        <f t="shared" si="445"/>
        <v>0</v>
      </c>
      <c r="AE1382" s="40"/>
      <c r="AF1382" s="36">
        <f t="shared" si="456"/>
        <v>0</v>
      </c>
      <c r="AG1382" s="35"/>
      <c r="AH1382" s="36">
        <f t="shared" si="446"/>
        <v>0</v>
      </c>
      <c r="AI1382" s="40"/>
      <c r="AJ1382" s="36">
        <f t="shared" si="457"/>
        <v>0</v>
      </c>
      <c r="AK1382" s="35"/>
      <c r="AL1382" s="36">
        <f t="shared" si="447"/>
        <v>0</v>
      </c>
      <c r="AM1382" s="40"/>
      <c r="AN1382" s="36">
        <f t="shared" si="458"/>
        <v>0</v>
      </c>
      <c r="AO1382" s="35"/>
      <c r="AP1382" s="40"/>
    </row>
    <row r="1383" spans="1:42" ht="15.75" customHeight="1" x14ac:dyDescent="0.25">
      <c r="A1383" s="37">
        <v>2015</v>
      </c>
      <c r="B1383" s="35">
        <v>172090</v>
      </c>
      <c r="C1383" s="34" t="s">
        <v>147</v>
      </c>
      <c r="D1383" s="34" t="s">
        <v>135</v>
      </c>
      <c r="E1383" s="35"/>
      <c r="F1383" s="36">
        <f t="shared" si="448"/>
        <v>0</v>
      </c>
      <c r="G1383" s="40"/>
      <c r="H1383" s="36">
        <f t="shared" si="449"/>
        <v>0</v>
      </c>
      <c r="I1383" s="35"/>
      <c r="J1383" s="36">
        <f t="shared" si="450"/>
        <v>0</v>
      </c>
      <c r="K1383" s="40"/>
      <c r="L1383" s="36">
        <f t="shared" si="451"/>
        <v>0</v>
      </c>
      <c r="M1383" s="35"/>
      <c r="N1383" s="36">
        <f t="shared" si="441"/>
        <v>0</v>
      </c>
      <c r="O1383" s="40"/>
      <c r="P1383" s="36">
        <f t="shared" si="452"/>
        <v>0</v>
      </c>
      <c r="Q1383" s="35"/>
      <c r="R1383" s="36">
        <f t="shared" si="442"/>
        <v>0</v>
      </c>
      <c r="S1383" s="40"/>
      <c r="T1383" s="36">
        <f t="shared" si="453"/>
        <v>0</v>
      </c>
      <c r="U1383" s="35"/>
      <c r="V1383" s="36">
        <f t="shared" si="443"/>
        <v>0</v>
      </c>
      <c r="W1383" s="40"/>
      <c r="X1383" s="36">
        <f t="shared" si="454"/>
        <v>0</v>
      </c>
      <c r="Y1383" s="35"/>
      <c r="Z1383" s="36">
        <f t="shared" si="444"/>
        <v>0</v>
      </c>
      <c r="AA1383" s="40"/>
      <c r="AB1383" s="36">
        <f t="shared" si="455"/>
        <v>0</v>
      </c>
      <c r="AC1383" s="35"/>
      <c r="AD1383" s="36">
        <f t="shared" si="445"/>
        <v>0</v>
      </c>
      <c r="AE1383" s="40"/>
      <c r="AF1383" s="36">
        <f t="shared" si="456"/>
        <v>0</v>
      </c>
      <c r="AG1383" s="35"/>
      <c r="AH1383" s="36">
        <f t="shared" si="446"/>
        <v>0</v>
      </c>
      <c r="AI1383" s="40"/>
      <c r="AJ1383" s="36">
        <f t="shared" si="457"/>
        <v>0</v>
      </c>
      <c r="AK1383" s="35"/>
      <c r="AL1383" s="36">
        <f t="shared" si="447"/>
        <v>0</v>
      </c>
      <c r="AM1383" s="40"/>
      <c r="AN1383" s="36">
        <f t="shared" si="458"/>
        <v>0</v>
      </c>
      <c r="AO1383" s="35"/>
      <c r="AP1383" s="40"/>
    </row>
    <row r="1384" spans="1:42" ht="15.75" customHeight="1" x14ac:dyDescent="0.25">
      <c r="A1384" s="37">
        <v>2015</v>
      </c>
      <c r="B1384" s="35">
        <v>172093</v>
      </c>
      <c r="C1384" s="34" t="s">
        <v>147</v>
      </c>
      <c r="D1384" s="34" t="s">
        <v>136</v>
      </c>
      <c r="E1384" s="35"/>
      <c r="F1384" s="36">
        <f t="shared" si="448"/>
        <v>0</v>
      </c>
      <c r="G1384" s="40"/>
      <c r="H1384" s="36">
        <f t="shared" si="449"/>
        <v>0</v>
      </c>
      <c r="I1384" s="35"/>
      <c r="J1384" s="36">
        <f t="shared" si="450"/>
        <v>0</v>
      </c>
      <c r="K1384" s="40"/>
      <c r="L1384" s="36">
        <f t="shared" si="451"/>
        <v>0</v>
      </c>
      <c r="M1384" s="35"/>
      <c r="N1384" s="36">
        <f t="shared" ref="N1384:N1391" si="459">IFERROR(M1384/$AO1384,0)</f>
        <v>0</v>
      </c>
      <c r="O1384" s="40"/>
      <c r="P1384" s="36">
        <f t="shared" si="452"/>
        <v>0</v>
      </c>
      <c r="Q1384" s="35"/>
      <c r="R1384" s="36">
        <f t="shared" ref="R1384:R1391" si="460">IFERROR(Q1384/$AO1384,0)</f>
        <v>0</v>
      </c>
      <c r="S1384" s="40"/>
      <c r="T1384" s="36">
        <f t="shared" si="453"/>
        <v>0</v>
      </c>
      <c r="U1384" s="35"/>
      <c r="V1384" s="36">
        <f t="shared" ref="V1384:V1391" si="461">IFERROR(U1384/$AO1384,0)</f>
        <v>0</v>
      </c>
      <c r="W1384" s="40"/>
      <c r="X1384" s="36">
        <f t="shared" si="454"/>
        <v>0</v>
      </c>
      <c r="Y1384" s="35"/>
      <c r="Z1384" s="36">
        <f t="shared" ref="Z1384:Z1391" si="462">IFERROR(Y1384/$AO1384,0)</f>
        <v>0</v>
      </c>
      <c r="AA1384" s="40"/>
      <c r="AB1384" s="36">
        <f t="shared" si="455"/>
        <v>0</v>
      </c>
      <c r="AC1384" s="35"/>
      <c r="AD1384" s="36">
        <f t="shared" ref="AD1384:AD1391" si="463">IFERROR(AC1384/$AO1384,0)</f>
        <v>0</v>
      </c>
      <c r="AE1384" s="40"/>
      <c r="AF1384" s="36">
        <f t="shared" si="456"/>
        <v>0</v>
      </c>
      <c r="AG1384" s="35"/>
      <c r="AH1384" s="36">
        <f t="shared" ref="AH1384:AH1391" si="464">IFERROR(AG1384/$AO1384,0)</f>
        <v>0</v>
      </c>
      <c r="AI1384" s="40"/>
      <c r="AJ1384" s="36">
        <f t="shared" si="457"/>
        <v>0</v>
      </c>
      <c r="AK1384" s="35"/>
      <c r="AL1384" s="36">
        <f t="shared" ref="AL1384:AL1391" si="465">IFERROR(AK1384/$AO1384,0)</f>
        <v>0</v>
      </c>
      <c r="AM1384" s="40"/>
      <c r="AN1384" s="36">
        <f t="shared" si="458"/>
        <v>0</v>
      </c>
      <c r="AO1384" s="35"/>
      <c r="AP1384" s="40"/>
    </row>
    <row r="1385" spans="1:42" ht="15.75" customHeight="1" x14ac:dyDescent="0.25">
      <c r="A1385" s="37">
        <v>2015</v>
      </c>
      <c r="B1385" s="35">
        <v>172097</v>
      </c>
      <c r="C1385" s="34" t="s">
        <v>146</v>
      </c>
      <c r="D1385" s="34" t="s">
        <v>137</v>
      </c>
      <c r="E1385" s="35"/>
      <c r="F1385" s="36">
        <f t="shared" si="448"/>
        <v>0</v>
      </c>
      <c r="G1385" s="40"/>
      <c r="H1385" s="36">
        <f t="shared" si="449"/>
        <v>0</v>
      </c>
      <c r="I1385" s="35"/>
      <c r="J1385" s="36">
        <f t="shared" si="450"/>
        <v>0</v>
      </c>
      <c r="K1385" s="40"/>
      <c r="L1385" s="36">
        <f t="shared" si="451"/>
        <v>0</v>
      </c>
      <c r="M1385" s="35"/>
      <c r="N1385" s="36">
        <f t="shared" si="459"/>
        <v>0</v>
      </c>
      <c r="O1385" s="40"/>
      <c r="P1385" s="36">
        <f t="shared" si="452"/>
        <v>0</v>
      </c>
      <c r="Q1385" s="35"/>
      <c r="R1385" s="36">
        <f t="shared" si="460"/>
        <v>0</v>
      </c>
      <c r="S1385" s="40"/>
      <c r="T1385" s="36">
        <f t="shared" si="453"/>
        <v>0</v>
      </c>
      <c r="U1385" s="35"/>
      <c r="V1385" s="36">
        <f t="shared" si="461"/>
        <v>0</v>
      </c>
      <c r="W1385" s="40"/>
      <c r="X1385" s="36">
        <f t="shared" si="454"/>
        <v>0</v>
      </c>
      <c r="Y1385" s="35"/>
      <c r="Z1385" s="36">
        <f t="shared" si="462"/>
        <v>0</v>
      </c>
      <c r="AA1385" s="40"/>
      <c r="AB1385" s="36">
        <f t="shared" si="455"/>
        <v>0</v>
      </c>
      <c r="AC1385" s="35"/>
      <c r="AD1385" s="36">
        <f t="shared" si="463"/>
        <v>0</v>
      </c>
      <c r="AE1385" s="40"/>
      <c r="AF1385" s="36">
        <f t="shared" si="456"/>
        <v>0</v>
      </c>
      <c r="AG1385" s="35"/>
      <c r="AH1385" s="36">
        <f t="shared" si="464"/>
        <v>0</v>
      </c>
      <c r="AI1385" s="40"/>
      <c r="AJ1385" s="36">
        <f t="shared" si="457"/>
        <v>0</v>
      </c>
      <c r="AK1385" s="35"/>
      <c r="AL1385" s="36">
        <f t="shared" si="465"/>
        <v>0</v>
      </c>
      <c r="AM1385" s="40"/>
      <c r="AN1385" s="36">
        <f t="shared" si="458"/>
        <v>0</v>
      </c>
      <c r="AO1385" s="35"/>
      <c r="AP1385" s="40"/>
    </row>
    <row r="1386" spans="1:42" ht="15.75" customHeight="1" x14ac:dyDescent="0.25">
      <c r="A1386" s="37">
        <v>2015</v>
      </c>
      <c r="B1386" s="35">
        <v>172110</v>
      </c>
      <c r="C1386" s="34" t="s">
        <v>148</v>
      </c>
      <c r="D1386" s="34" t="s">
        <v>138</v>
      </c>
      <c r="E1386" s="35"/>
      <c r="F1386" s="36">
        <f t="shared" si="448"/>
        <v>0</v>
      </c>
      <c r="G1386" s="40"/>
      <c r="H1386" s="36">
        <f t="shared" si="449"/>
        <v>0</v>
      </c>
      <c r="I1386" s="35"/>
      <c r="J1386" s="36">
        <f t="shared" si="450"/>
        <v>0</v>
      </c>
      <c r="K1386" s="40"/>
      <c r="L1386" s="36">
        <f t="shared" si="451"/>
        <v>0</v>
      </c>
      <c r="M1386" s="35"/>
      <c r="N1386" s="36">
        <f t="shared" si="459"/>
        <v>0</v>
      </c>
      <c r="O1386" s="40"/>
      <c r="P1386" s="36">
        <f t="shared" si="452"/>
        <v>0</v>
      </c>
      <c r="Q1386" s="35"/>
      <c r="R1386" s="36">
        <f t="shared" si="460"/>
        <v>0</v>
      </c>
      <c r="S1386" s="40"/>
      <c r="T1386" s="36">
        <f t="shared" si="453"/>
        <v>0</v>
      </c>
      <c r="U1386" s="35"/>
      <c r="V1386" s="36">
        <f t="shared" si="461"/>
        <v>0</v>
      </c>
      <c r="W1386" s="40"/>
      <c r="X1386" s="36">
        <f t="shared" si="454"/>
        <v>0</v>
      </c>
      <c r="Y1386" s="35"/>
      <c r="Z1386" s="36">
        <f t="shared" si="462"/>
        <v>0</v>
      </c>
      <c r="AA1386" s="40"/>
      <c r="AB1386" s="36">
        <f t="shared" si="455"/>
        <v>0</v>
      </c>
      <c r="AC1386" s="35"/>
      <c r="AD1386" s="36">
        <f t="shared" si="463"/>
        <v>0</v>
      </c>
      <c r="AE1386" s="40"/>
      <c r="AF1386" s="36">
        <f t="shared" si="456"/>
        <v>0</v>
      </c>
      <c r="AG1386" s="35"/>
      <c r="AH1386" s="36">
        <f t="shared" si="464"/>
        <v>0</v>
      </c>
      <c r="AI1386" s="40"/>
      <c r="AJ1386" s="36">
        <f t="shared" si="457"/>
        <v>0</v>
      </c>
      <c r="AK1386" s="35"/>
      <c r="AL1386" s="36">
        <f t="shared" si="465"/>
        <v>0</v>
      </c>
      <c r="AM1386" s="40"/>
      <c r="AN1386" s="36">
        <f t="shared" si="458"/>
        <v>0</v>
      </c>
      <c r="AO1386" s="35"/>
      <c r="AP1386" s="40"/>
    </row>
    <row r="1387" spans="1:42" ht="15.75" customHeight="1" x14ac:dyDescent="0.25">
      <c r="A1387" s="37">
        <v>2015</v>
      </c>
      <c r="B1387" s="35">
        <v>172120</v>
      </c>
      <c r="C1387" s="34" t="s">
        <v>145</v>
      </c>
      <c r="D1387" s="34" t="s">
        <v>139</v>
      </c>
      <c r="E1387" s="35"/>
      <c r="F1387" s="36">
        <f t="shared" si="448"/>
        <v>0</v>
      </c>
      <c r="G1387" s="40"/>
      <c r="H1387" s="36">
        <f t="shared" si="449"/>
        <v>0</v>
      </c>
      <c r="I1387" s="35"/>
      <c r="J1387" s="36">
        <f t="shared" si="450"/>
        <v>0</v>
      </c>
      <c r="K1387" s="40"/>
      <c r="L1387" s="36">
        <f t="shared" si="451"/>
        <v>0</v>
      </c>
      <c r="M1387" s="35"/>
      <c r="N1387" s="36">
        <f t="shared" si="459"/>
        <v>0</v>
      </c>
      <c r="O1387" s="40"/>
      <c r="P1387" s="36">
        <f t="shared" si="452"/>
        <v>0</v>
      </c>
      <c r="Q1387" s="35"/>
      <c r="R1387" s="36">
        <f t="shared" si="460"/>
        <v>0</v>
      </c>
      <c r="S1387" s="40"/>
      <c r="T1387" s="36">
        <f t="shared" si="453"/>
        <v>0</v>
      </c>
      <c r="U1387" s="35"/>
      <c r="V1387" s="36">
        <f t="shared" si="461"/>
        <v>0</v>
      </c>
      <c r="W1387" s="40"/>
      <c r="X1387" s="36">
        <f t="shared" si="454"/>
        <v>0</v>
      </c>
      <c r="Y1387" s="35"/>
      <c r="Z1387" s="36">
        <f t="shared" si="462"/>
        <v>0</v>
      </c>
      <c r="AA1387" s="40"/>
      <c r="AB1387" s="36">
        <f t="shared" si="455"/>
        <v>0</v>
      </c>
      <c r="AC1387" s="35"/>
      <c r="AD1387" s="36">
        <f t="shared" si="463"/>
        <v>0</v>
      </c>
      <c r="AE1387" s="40"/>
      <c r="AF1387" s="36">
        <f t="shared" si="456"/>
        <v>0</v>
      </c>
      <c r="AG1387" s="35"/>
      <c r="AH1387" s="36">
        <f t="shared" si="464"/>
        <v>0</v>
      </c>
      <c r="AI1387" s="40"/>
      <c r="AJ1387" s="36">
        <f t="shared" si="457"/>
        <v>0</v>
      </c>
      <c r="AK1387" s="35"/>
      <c r="AL1387" s="36">
        <f t="shared" si="465"/>
        <v>0</v>
      </c>
      <c r="AM1387" s="40"/>
      <c r="AN1387" s="36">
        <f t="shared" si="458"/>
        <v>0</v>
      </c>
      <c r="AO1387" s="35"/>
      <c r="AP1387" s="40"/>
    </row>
    <row r="1388" spans="1:42" ht="15.75" customHeight="1" x14ac:dyDescent="0.25">
      <c r="A1388" s="37">
        <v>2015</v>
      </c>
      <c r="B1388" s="35">
        <v>172125</v>
      </c>
      <c r="C1388" s="34" t="s">
        <v>150</v>
      </c>
      <c r="D1388" s="34" t="s">
        <v>140</v>
      </c>
      <c r="E1388" s="35"/>
      <c r="F1388" s="36">
        <f t="shared" si="448"/>
        <v>0</v>
      </c>
      <c r="G1388" s="40"/>
      <c r="H1388" s="36">
        <f t="shared" si="449"/>
        <v>0</v>
      </c>
      <c r="I1388" s="35"/>
      <c r="J1388" s="36">
        <f t="shared" si="450"/>
        <v>0</v>
      </c>
      <c r="K1388" s="40"/>
      <c r="L1388" s="36">
        <f t="shared" si="451"/>
        <v>0</v>
      </c>
      <c r="M1388" s="35"/>
      <c r="N1388" s="36">
        <f t="shared" si="459"/>
        <v>0</v>
      </c>
      <c r="O1388" s="40"/>
      <c r="P1388" s="36">
        <f t="shared" si="452"/>
        <v>0</v>
      </c>
      <c r="Q1388" s="35"/>
      <c r="R1388" s="36">
        <f t="shared" si="460"/>
        <v>0</v>
      </c>
      <c r="S1388" s="40"/>
      <c r="T1388" s="36">
        <f t="shared" si="453"/>
        <v>0</v>
      </c>
      <c r="U1388" s="35"/>
      <c r="V1388" s="36">
        <f t="shared" si="461"/>
        <v>0</v>
      </c>
      <c r="W1388" s="40"/>
      <c r="X1388" s="36">
        <f t="shared" si="454"/>
        <v>0</v>
      </c>
      <c r="Y1388" s="35"/>
      <c r="Z1388" s="36">
        <f t="shared" si="462"/>
        <v>0</v>
      </c>
      <c r="AA1388" s="40"/>
      <c r="AB1388" s="36">
        <f t="shared" si="455"/>
        <v>0</v>
      </c>
      <c r="AC1388" s="35"/>
      <c r="AD1388" s="36">
        <f t="shared" si="463"/>
        <v>0</v>
      </c>
      <c r="AE1388" s="40"/>
      <c r="AF1388" s="36">
        <f t="shared" si="456"/>
        <v>0</v>
      </c>
      <c r="AG1388" s="35"/>
      <c r="AH1388" s="36">
        <f t="shared" si="464"/>
        <v>0</v>
      </c>
      <c r="AI1388" s="40"/>
      <c r="AJ1388" s="36">
        <f t="shared" si="457"/>
        <v>0</v>
      </c>
      <c r="AK1388" s="35"/>
      <c r="AL1388" s="36">
        <f t="shared" si="465"/>
        <v>0</v>
      </c>
      <c r="AM1388" s="40"/>
      <c r="AN1388" s="36">
        <f t="shared" si="458"/>
        <v>0</v>
      </c>
      <c r="AO1388" s="35"/>
      <c r="AP1388" s="40"/>
    </row>
    <row r="1389" spans="1:42" ht="15.75" customHeight="1" x14ac:dyDescent="0.25">
      <c r="A1389" s="37">
        <v>2015</v>
      </c>
      <c r="B1389" s="35">
        <v>172130</v>
      </c>
      <c r="C1389" s="34" t="s">
        <v>150</v>
      </c>
      <c r="D1389" s="34" t="s">
        <v>141</v>
      </c>
      <c r="E1389" s="35"/>
      <c r="F1389" s="36">
        <f t="shared" si="448"/>
        <v>0</v>
      </c>
      <c r="G1389" s="40"/>
      <c r="H1389" s="36">
        <f t="shared" si="449"/>
        <v>0</v>
      </c>
      <c r="I1389" s="35"/>
      <c r="J1389" s="36">
        <f t="shared" si="450"/>
        <v>0</v>
      </c>
      <c r="K1389" s="40"/>
      <c r="L1389" s="36">
        <f t="shared" si="451"/>
        <v>0</v>
      </c>
      <c r="M1389" s="35"/>
      <c r="N1389" s="36">
        <f t="shared" si="459"/>
        <v>0</v>
      </c>
      <c r="O1389" s="40"/>
      <c r="P1389" s="36">
        <f t="shared" si="452"/>
        <v>0</v>
      </c>
      <c r="Q1389" s="35"/>
      <c r="R1389" s="36">
        <f t="shared" si="460"/>
        <v>0</v>
      </c>
      <c r="S1389" s="40"/>
      <c r="T1389" s="36">
        <f t="shared" si="453"/>
        <v>0</v>
      </c>
      <c r="U1389" s="35"/>
      <c r="V1389" s="36">
        <f t="shared" si="461"/>
        <v>0</v>
      </c>
      <c r="W1389" s="40"/>
      <c r="X1389" s="36">
        <f t="shared" si="454"/>
        <v>0</v>
      </c>
      <c r="Y1389" s="35"/>
      <c r="Z1389" s="36">
        <f t="shared" si="462"/>
        <v>0</v>
      </c>
      <c r="AA1389" s="40"/>
      <c r="AB1389" s="36">
        <f t="shared" si="455"/>
        <v>0</v>
      </c>
      <c r="AC1389" s="35"/>
      <c r="AD1389" s="36">
        <f t="shared" si="463"/>
        <v>0</v>
      </c>
      <c r="AE1389" s="40"/>
      <c r="AF1389" s="36">
        <f t="shared" si="456"/>
        <v>0</v>
      </c>
      <c r="AG1389" s="35"/>
      <c r="AH1389" s="36">
        <f t="shared" si="464"/>
        <v>0</v>
      </c>
      <c r="AI1389" s="40"/>
      <c r="AJ1389" s="36">
        <f t="shared" si="457"/>
        <v>0</v>
      </c>
      <c r="AK1389" s="35"/>
      <c r="AL1389" s="36">
        <f t="shared" si="465"/>
        <v>0</v>
      </c>
      <c r="AM1389" s="40"/>
      <c r="AN1389" s="36">
        <f t="shared" si="458"/>
        <v>0</v>
      </c>
      <c r="AO1389" s="35"/>
      <c r="AP1389" s="40"/>
    </row>
    <row r="1390" spans="1:42" ht="15.75" customHeight="1" x14ac:dyDescent="0.25">
      <c r="A1390" s="37">
        <v>2015</v>
      </c>
      <c r="B1390" s="35">
        <v>172208</v>
      </c>
      <c r="C1390" s="34" t="s">
        <v>149</v>
      </c>
      <c r="D1390" s="34" t="s">
        <v>142</v>
      </c>
      <c r="E1390" s="35"/>
      <c r="F1390" s="36">
        <f t="shared" si="448"/>
        <v>0</v>
      </c>
      <c r="G1390" s="40"/>
      <c r="H1390" s="36">
        <f t="shared" si="449"/>
        <v>0</v>
      </c>
      <c r="I1390" s="35"/>
      <c r="J1390" s="36">
        <f t="shared" si="450"/>
        <v>0</v>
      </c>
      <c r="K1390" s="40"/>
      <c r="L1390" s="36">
        <f t="shared" si="451"/>
        <v>0</v>
      </c>
      <c r="M1390" s="35"/>
      <c r="N1390" s="36">
        <f t="shared" si="459"/>
        <v>0</v>
      </c>
      <c r="O1390" s="40"/>
      <c r="P1390" s="36">
        <f t="shared" si="452"/>
        <v>0</v>
      </c>
      <c r="Q1390" s="35"/>
      <c r="R1390" s="36">
        <f t="shared" si="460"/>
        <v>0</v>
      </c>
      <c r="S1390" s="40"/>
      <c r="T1390" s="36">
        <f t="shared" si="453"/>
        <v>0</v>
      </c>
      <c r="U1390" s="35"/>
      <c r="V1390" s="36">
        <f t="shared" si="461"/>
        <v>0</v>
      </c>
      <c r="W1390" s="40"/>
      <c r="X1390" s="36">
        <f t="shared" si="454"/>
        <v>0</v>
      </c>
      <c r="Y1390" s="35"/>
      <c r="Z1390" s="36">
        <f t="shared" si="462"/>
        <v>0</v>
      </c>
      <c r="AA1390" s="40"/>
      <c r="AB1390" s="36">
        <f t="shared" si="455"/>
        <v>0</v>
      </c>
      <c r="AC1390" s="35"/>
      <c r="AD1390" s="36">
        <f t="shared" si="463"/>
        <v>0</v>
      </c>
      <c r="AE1390" s="40"/>
      <c r="AF1390" s="36">
        <f t="shared" si="456"/>
        <v>0</v>
      </c>
      <c r="AG1390" s="35"/>
      <c r="AH1390" s="36">
        <f t="shared" si="464"/>
        <v>0</v>
      </c>
      <c r="AI1390" s="40"/>
      <c r="AJ1390" s="36">
        <f t="shared" si="457"/>
        <v>0</v>
      </c>
      <c r="AK1390" s="35"/>
      <c r="AL1390" s="36">
        <f t="shared" si="465"/>
        <v>0</v>
      </c>
      <c r="AM1390" s="40"/>
      <c r="AN1390" s="36">
        <f t="shared" si="458"/>
        <v>0</v>
      </c>
      <c r="AO1390" s="35"/>
      <c r="AP1390" s="40"/>
    </row>
    <row r="1391" spans="1:42" ht="15.75" customHeight="1" x14ac:dyDescent="0.25">
      <c r="A1391" s="37">
        <v>2015</v>
      </c>
      <c r="B1391" s="35">
        <v>172210</v>
      </c>
      <c r="C1391" s="34" t="s">
        <v>149</v>
      </c>
      <c r="D1391" s="34" t="s">
        <v>143</v>
      </c>
      <c r="E1391" s="35"/>
      <c r="F1391" s="36">
        <f t="shared" si="448"/>
        <v>0</v>
      </c>
      <c r="G1391" s="40"/>
      <c r="H1391" s="36">
        <f t="shared" si="449"/>
        <v>0</v>
      </c>
      <c r="I1391" s="35"/>
      <c r="J1391" s="36">
        <f t="shared" si="450"/>
        <v>0</v>
      </c>
      <c r="K1391" s="40"/>
      <c r="L1391" s="36">
        <f t="shared" si="451"/>
        <v>0</v>
      </c>
      <c r="M1391" s="35"/>
      <c r="N1391" s="36">
        <f t="shared" si="459"/>
        <v>0</v>
      </c>
      <c r="O1391" s="40"/>
      <c r="P1391" s="36">
        <f t="shared" si="452"/>
        <v>0</v>
      </c>
      <c r="Q1391" s="35"/>
      <c r="R1391" s="36">
        <f t="shared" si="460"/>
        <v>0</v>
      </c>
      <c r="S1391" s="40"/>
      <c r="T1391" s="36">
        <f t="shared" si="453"/>
        <v>0</v>
      </c>
      <c r="U1391" s="35"/>
      <c r="V1391" s="36">
        <f t="shared" si="461"/>
        <v>0</v>
      </c>
      <c r="W1391" s="40"/>
      <c r="X1391" s="36">
        <f t="shared" si="454"/>
        <v>0</v>
      </c>
      <c r="Y1391" s="35"/>
      <c r="Z1391" s="36">
        <f t="shared" si="462"/>
        <v>0</v>
      </c>
      <c r="AA1391" s="40"/>
      <c r="AB1391" s="36">
        <f t="shared" si="455"/>
        <v>0</v>
      </c>
      <c r="AC1391" s="35"/>
      <c r="AD1391" s="36">
        <f t="shared" si="463"/>
        <v>0</v>
      </c>
      <c r="AE1391" s="40"/>
      <c r="AF1391" s="36">
        <f t="shared" si="456"/>
        <v>0</v>
      </c>
      <c r="AG1391" s="35"/>
      <c r="AH1391" s="36">
        <f t="shared" si="464"/>
        <v>0</v>
      </c>
      <c r="AI1391" s="40"/>
      <c r="AJ1391" s="36">
        <f t="shared" si="457"/>
        <v>0</v>
      </c>
      <c r="AK1391" s="35"/>
      <c r="AL1391" s="36">
        <f t="shared" si="465"/>
        <v>0</v>
      </c>
      <c r="AM1391" s="40"/>
      <c r="AN1391" s="36">
        <f t="shared" si="458"/>
        <v>0</v>
      </c>
      <c r="AO1391" s="35"/>
      <c r="AP1391" s="40"/>
    </row>
    <row r="1392" spans="1:42" ht="15.75" customHeight="1" x14ac:dyDescent="0.25">
      <c r="A1392" s="9"/>
      <c r="C1392" s="43"/>
      <c r="D1392" s="43"/>
    </row>
    <row r="1393" spans="1:4" ht="15.75" customHeight="1" x14ac:dyDescent="0.25">
      <c r="A1393" s="9"/>
      <c r="C1393" s="43"/>
      <c r="D1393" s="43"/>
    </row>
    <row r="1394" spans="1:4" ht="15.75" customHeight="1" x14ac:dyDescent="0.25">
      <c r="A1394" s="9"/>
      <c r="C1394" s="43"/>
      <c r="D1394" s="43"/>
    </row>
    <row r="1395" spans="1:4" ht="15.75" customHeight="1" x14ac:dyDescent="0.25">
      <c r="A1395" s="9"/>
      <c r="C1395" s="43"/>
      <c r="D1395" s="43"/>
    </row>
    <row r="1396" spans="1:4" ht="15.75" customHeight="1" x14ac:dyDescent="0.25">
      <c r="A1396" s="9"/>
      <c r="C1396" s="43"/>
      <c r="D1396" s="43"/>
    </row>
    <row r="1397" spans="1:4" ht="15.75" customHeight="1" x14ac:dyDescent="0.25">
      <c r="A1397" s="9"/>
      <c r="C1397" s="43"/>
      <c r="D1397" s="43"/>
    </row>
    <row r="1398" spans="1:4" ht="15.75" customHeight="1" x14ac:dyDescent="0.25">
      <c r="A1398" s="9"/>
      <c r="C1398" s="43"/>
      <c r="D1398" s="43"/>
    </row>
    <row r="1399" spans="1:4" ht="15.75" customHeight="1" x14ac:dyDescent="0.25">
      <c r="A1399" s="9"/>
      <c r="C1399" s="43"/>
      <c r="D1399" s="43"/>
    </row>
    <row r="1400" spans="1:4" ht="15.75" customHeight="1" x14ac:dyDescent="0.25">
      <c r="A1400" s="9"/>
      <c r="C1400" s="43"/>
      <c r="D1400" s="43"/>
    </row>
    <row r="1401" spans="1:4" ht="15.75" customHeight="1" x14ac:dyDescent="0.25">
      <c r="A1401" s="9"/>
      <c r="C1401" s="43"/>
      <c r="D1401" s="43"/>
    </row>
    <row r="1402" spans="1:4" ht="15.75" customHeight="1" x14ac:dyDescent="0.25">
      <c r="A1402" s="9"/>
      <c r="C1402" s="43"/>
      <c r="D1402" s="43"/>
    </row>
    <row r="1403" spans="1:4" ht="15.75" customHeight="1" x14ac:dyDescent="0.25">
      <c r="A1403" s="9"/>
      <c r="C1403" s="43"/>
      <c r="D1403" s="43"/>
    </row>
    <row r="1404" spans="1:4" ht="15.75" customHeight="1" x14ac:dyDescent="0.25">
      <c r="A1404" s="9"/>
      <c r="C1404" s="43"/>
      <c r="D1404" s="43"/>
    </row>
    <row r="1405" spans="1:4" ht="15.75" customHeight="1" x14ac:dyDescent="0.25">
      <c r="A1405" s="9"/>
      <c r="C1405" s="43"/>
      <c r="D1405" s="43"/>
    </row>
    <row r="1406" spans="1:4" ht="15.75" customHeight="1" x14ac:dyDescent="0.25">
      <c r="A1406" s="9"/>
      <c r="C1406" s="43"/>
      <c r="D1406" s="43"/>
    </row>
    <row r="1407" spans="1:4" ht="15.75" customHeight="1" x14ac:dyDescent="0.25">
      <c r="A1407" s="9"/>
      <c r="C1407" s="43"/>
      <c r="D1407" s="43"/>
    </row>
    <row r="1408" spans="1:4" ht="15.75" customHeight="1" x14ac:dyDescent="0.25">
      <c r="A1408" s="9"/>
      <c r="C1408" s="43"/>
      <c r="D1408" s="43"/>
    </row>
    <row r="1409" spans="1:4" ht="15.75" customHeight="1" x14ac:dyDescent="0.25">
      <c r="A1409" s="9"/>
      <c r="C1409" s="43"/>
      <c r="D1409" s="43"/>
    </row>
    <row r="1410" spans="1:4" ht="15.75" customHeight="1" x14ac:dyDescent="0.25">
      <c r="A1410" s="9"/>
      <c r="C1410" s="43"/>
      <c r="D1410" s="43"/>
    </row>
    <row r="1411" spans="1:4" ht="15.75" customHeight="1" x14ac:dyDescent="0.25">
      <c r="A1411" s="9"/>
      <c r="C1411" s="43"/>
      <c r="D1411" s="43"/>
    </row>
    <row r="1412" spans="1:4" ht="15.75" customHeight="1" x14ac:dyDescent="0.25">
      <c r="A1412" s="9"/>
      <c r="C1412" s="43"/>
      <c r="D1412" s="43"/>
    </row>
    <row r="1413" spans="1:4" ht="15.75" customHeight="1" x14ac:dyDescent="0.25">
      <c r="A1413" s="9"/>
      <c r="C1413" s="43"/>
      <c r="D1413" s="43"/>
    </row>
    <row r="1414" spans="1:4" ht="15.75" customHeight="1" x14ac:dyDescent="0.25">
      <c r="A1414" s="9"/>
      <c r="C1414" s="43"/>
      <c r="D1414" s="43"/>
    </row>
    <row r="1415" spans="1:4" ht="15.75" customHeight="1" x14ac:dyDescent="0.25">
      <c r="A1415" s="9"/>
      <c r="C1415" s="43"/>
      <c r="D1415" s="43"/>
    </row>
    <row r="1416" spans="1:4" ht="15.75" customHeight="1" x14ac:dyDescent="0.25">
      <c r="A1416" s="9"/>
      <c r="C1416" s="43"/>
      <c r="D1416" s="43"/>
    </row>
    <row r="1417" spans="1:4" ht="15.75" customHeight="1" x14ac:dyDescent="0.25">
      <c r="A1417" s="9"/>
      <c r="C1417" s="43"/>
      <c r="D1417" s="43"/>
    </row>
    <row r="1418" spans="1:4" ht="15.75" customHeight="1" x14ac:dyDescent="0.25">
      <c r="A1418" s="9"/>
      <c r="C1418" s="43"/>
      <c r="D1418" s="43"/>
    </row>
    <row r="1419" spans="1:4" ht="15.75" customHeight="1" x14ac:dyDescent="0.25">
      <c r="A1419" s="9"/>
      <c r="C1419" s="43"/>
      <c r="D1419" s="43"/>
    </row>
    <row r="1420" spans="1:4" ht="15.75" customHeight="1" x14ac:dyDescent="0.25">
      <c r="A1420" s="9"/>
      <c r="C1420" s="43"/>
      <c r="D1420" s="43"/>
    </row>
    <row r="1421" spans="1:4" ht="15.75" customHeight="1" x14ac:dyDescent="0.25">
      <c r="A1421" s="9"/>
      <c r="C1421" s="43"/>
      <c r="D1421" s="43"/>
    </row>
    <row r="1422" spans="1:4" ht="15.75" customHeight="1" x14ac:dyDescent="0.25">
      <c r="A1422" s="9"/>
      <c r="C1422" s="43"/>
      <c r="D1422" s="43"/>
    </row>
    <row r="1423" spans="1:4" ht="15.75" customHeight="1" x14ac:dyDescent="0.25">
      <c r="A1423" s="9"/>
      <c r="C1423" s="43"/>
      <c r="D1423" s="43"/>
    </row>
    <row r="1424" spans="1:4" ht="15.75" customHeight="1" x14ac:dyDescent="0.25">
      <c r="A1424" s="9"/>
      <c r="C1424" s="43"/>
      <c r="D1424" s="43"/>
    </row>
    <row r="1425" spans="1:4" ht="15.75" customHeight="1" x14ac:dyDescent="0.25">
      <c r="A1425" s="9"/>
      <c r="C1425" s="43"/>
      <c r="D1425" s="43"/>
    </row>
    <row r="1426" spans="1:4" ht="15.75" customHeight="1" x14ac:dyDescent="0.25">
      <c r="A1426" s="9"/>
      <c r="C1426" s="43"/>
      <c r="D1426" s="43"/>
    </row>
    <row r="1427" spans="1:4" ht="15.75" customHeight="1" x14ac:dyDescent="0.25">
      <c r="A1427" s="9"/>
      <c r="C1427" s="43"/>
      <c r="D1427" s="43"/>
    </row>
    <row r="1428" spans="1:4" ht="15.75" customHeight="1" x14ac:dyDescent="0.25">
      <c r="A1428" s="9"/>
      <c r="C1428" s="43"/>
      <c r="D1428" s="43"/>
    </row>
    <row r="1429" spans="1:4" ht="15.75" customHeight="1" x14ac:dyDescent="0.25">
      <c r="A1429" s="9"/>
      <c r="C1429" s="43"/>
      <c r="D1429" s="43"/>
    </row>
    <row r="1430" spans="1:4" ht="15.75" customHeight="1" x14ac:dyDescent="0.25">
      <c r="A1430" s="9"/>
      <c r="C1430" s="43"/>
      <c r="D1430" s="43"/>
    </row>
    <row r="1431" spans="1:4" ht="15.75" customHeight="1" x14ac:dyDescent="0.25">
      <c r="A1431" s="9"/>
      <c r="C1431" s="43"/>
      <c r="D1431" s="43"/>
    </row>
    <row r="1432" spans="1:4" ht="15.75" customHeight="1" x14ac:dyDescent="0.25">
      <c r="A1432" s="9"/>
      <c r="C1432" s="43"/>
      <c r="D1432" s="43"/>
    </row>
    <row r="1433" spans="1:4" ht="15.75" customHeight="1" x14ac:dyDescent="0.25">
      <c r="A1433" s="9"/>
      <c r="C1433" s="43"/>
      <c r="D1433" s="43"/>
    </row>
    <row r="1434" spans="1:4" ht="15.75" customHeight="1" x14ac:dyDescent="0.25">
      <c r="A1434" s="9"/>
      <c r="C1434" s="43"/>
      <c r="D1434" s="43"/>
    </row>
    <row r="1435" spans="1:4" ht="15.75" customHeight="1" x14ac:dyDescent="0.25">
      <c r="A1435" s="9"/>
      <c r="C1435" s="43"/>
      <c r="D1435" s="43"/>
    </row>
    <row r="1436" spans="1:4" ht="15.75" customHeight="1" x14ac:dyDescent="0.25">
      <c r="A1436" s="9"/>
      <c r="C1436" s="43"/>
      <c r="D1436" s="43"/>
    </row>
    <row r="1437" spans="1:4" ht="15.75" customHeight="1" x14ac:dyDescent="0.25">
      <c r="A1437" s="9"/>
      <c r="C1437" s="43"/>
      <c r="D1437" s="43"/>
    </row>
    <row r="1438" spans="1:4" ht="15.75" customHeight="1" x14ac:dyDescent="0.25">
      <c r="A1438" s="9"/>
      <c r="C1438" s="43"/>
      <c r="D1438" s="43"/>
    </row>
    <row r="1439" spans="1:4" ht="15.75" customHeight="1" x14ac:dyDescent="0.25">
      <c r="A1439" s="9"/>
      <c r="C1439" s="43"/>
      <c r="D1439" s="43"/>
    </row>
    <row r="1440" spans="1:4" ht="15.75" customHeight="1" x14ac:dyDescent="0.25">
      <c r="A1440" s="9"/>
      <c r="C1440" s="43"/>
      <c r="D1440" s="43"/>
    </row>
    <row r="1441" spans="1:4" ht="15.75" customHeight="1" x14ac:dyDescent="0.25">
      <c r="A1441" s="9"/>
      <c r="C1441" s="43"/>
      <c r="D1441" s="43"/>
    </row>
    <row r="1442" spans="1:4" ht="15.75" customHeight="1" x14ac:dyDescent="0.25">
      <c r="A1442" s="9"/>
      <c r="C1442" s="43"/>
      <c r="D1442" s="43"/>
    </row>
    <row r="1443" spans="1:4" ht="15.75" customHeight="1" x14ac:dyDescent="0.25">
      <c r="A1443" s="9"/>
      <c r="C1443" s="43"/>
      <c r="D1443" s="43"/>
    </row>
    <row r="1444" spans="1:4" ht="15.75" customHeight="1" x14ac:dyDescent="0.25">
      <c r="A1444" s="9"/>
      <c r="C1444" s="43"/>
      <c r="D1444" s="43"/>
    </row>
    <row r="1445" spans="1:4" ht="15.75" customHeight="1" x14ac:dyDescent="0.25">
      <c r="A1445" s="9"/>
      <c r="C1445" s="43"/>
      <c r="D1445" s="43"/>
    </row>
    <row r="1446" spans="1:4" ht="15.75" customHeight="1" x14ac:dyDescent="0.25">
      <c r="A1446" s="9"/>
      <c r="C1446" s="43"/>
      <c r="D1446" s="43"/>
    </row>
    <row r="1447" spans="1:4" ht="15.75" customHeight="1" x14ac:dyDescent="0.25">
      <c r="A1447" s="9"/>
      <c r="C1447" s="43"/>
      <c r="D1447" s="43"/>
    </row>
    <row r="1448" spans="1:4" ht="15.75" customHeight="1" x14ac:dyDescent="0.25">
      <c r="A1448" s="9"/>
      <c r="C1448" s="43"/>
      <c r="D1448" s="43"/>
    </row>
    <row r="1449" spans="1:4" ht="15.75" customHeight="1" x14ac:dyDescent="0.25">
      <c r="A1449" s="9"/>
      <c r="C1449" s="43"/>
      <c r="D1449" s="43"/>
    </row>
    <row r="1450" spans="1:4" ht="15.75" customHeight="1" x14ac:dyDescent="0.25">
      <c r="A1450" s="9"/>
      <c r="C1450" s="43"/>
      <c r="D1450" s="43"/>
    </row>
    <row r="1451" spans="1:4" ht="15.75" customHeight="1" x14ac:dyDescent="0.25">
      <c r="A1451" s="9"/>
      <c r="C1451" s="43"/>
      <c r="D1451" s="43"/>
    </row>
    <row r="1452" spans="1:4" ht="15.75" customHeight="1" x14ac:dyDescent="0.25">
      <c r="A1452" s="9"/>
      <c r="C1452" s="43"/>
      <c r="D1452" s="43"/>
    </row>
    <row r="1453" spans="1:4" ht="15.75" customHeight="1" x14ac:dyDescent="0.25">
      <c r="A1453" s="9"/>
      <c r="C1453" s="43"/>
      <c r="D1453" s="43"/>
    </row>
    <row r="1454" spans="1:4" ht="15.75" customHeight="1" x14ac:dyDescent="0.25">
      <c r="A1454" s="9"/>
      <c r="C1454" s="43"/>
      <c r="D1454" s="43"/>
    </row>
    <row r="1455" spans="1:4" ht="15.75" customHeight="1" x14ac:dyDescent="0.25">
      <c r="A1455" s="9"/>
      <c r="C1455" s="43"/>
      <c r="D1455" s="43"/>
    </row>
    <row r="1456" spans="1:4" ht="15.75" customHeight="1" x14ac:dyDescent="0.25">
      <c r="A1456" s="9"/>
      <c r="C1456" s="43"/>
      <c r="D1456" s="43"/>
    </row>
    <row r="1457" spans="1:4" ht="15.75" customHeight="1" x14ac:dyDescent="0.25">
      <c r="A1457" s="9"/>
      <c r="C1457" s="43"/>
      <c r="D1457" s="43"/>
    </row>
    <row r="1458" spans="1:4" ht="15.75" customHeight="1" x14ac:dyDescent="0.25">
      <c r="A1458" s="9"/>
      <c r="C1458" s="43"/>
      <c r="D1458" s="43"/>
    </row>
    <row r="1459" spans="1:4" ht="15.75" customHeight="1" x14ac:dyDescent="0.25">
      <c r="A1459" s="9"/>
      <c r="C1459" s="43"/>
      <c r="D1459" s="43"/>
    </row>
    <row r="1460" spans="1:4" ht="15.75" customHeight="1" x14ac:dyDescent="0.25">
      <c r="A1460" s="9"/>
      <c r="C1460" s="43"/>
      <c r="D1460" s="43"/>
    </row>
    <row r="1461" spans="1:4" ht="15.75" customHeight="1" x14ac:dyDescent="0.25">
      <c r="A1461" s="9"/>
      <c r="C1461" s="43"/>
      <c r="D1461" s="43"/>
    </row>
    <row r="1462" spans="1:4" ht="15.75" customHeight="1" x14ac:dyDescent="0.25">
      <c r="A1462" s="9"/>
      <c r="C1462" s="43"/>
      <c r="D1462" s="43"/>
    </row>
    <row r="1463" spans="1:4" ht="15.75" customHeight="1" x14ac:dyDescent="0.25">
      <c r="A1463" s="9"/>
      <c r="C1463" s="43"/>
      <c r="D1463" s="43"/>
    </row>
    <row r="1464" spans="1:4" ht="15.75" customHeight="1" x14ac:dyDescent="0.25">
      <c r="A1464" s="9"/>
      <c r="C1464" s="43"/>
      <c r="D1464" s="43"/>
    </row>
    <row r="1465" spans="1:4" ht="15.75" customHeight="1" x14ac:dyDescent="0.25">
      <c r="A1465" s="9"/>
      <c r="C1465" s="43"/>
      <c r="D1465" s="43"/>
    </row>
    <row r="1466" spans="1:4" ht="15.75" customHeight="1" x14ac:dyDescent="0.25">
      <c r="A1466" s="9"/>
      <c r="C1466" s="43"/>
      <c r="D1466" s="43"/>
    </row>
    <row r="1467" spans="1:4" ht="15.75" customHeight="1" x14ac:dyDescent="0.25">
      <c r="A1467" s="9"/>
      <c r="C1467" s="43"/>
      <c r="D1467" s="43"/>
    </row>
    <row r="1468" spans="1:4" ht="15.75" customHeight="1" x14ac:dyDescent="0.25">
      <c r="A1468" s="9"/>
      <c r="C1468" s="43"/>
      <c r="D1468" s="43"/>
    </row>
    <row r="1469" spans="1:4" ht="15.75" customHeight="1" x14ac:dyDescent="0.25">
      <c r="A1469" s="9"/>
      <c r="C1469" s="43"/>
      <c r="D1469" s="43"/>
    </row>
    <row r="1470" spans="1:4" ht="15.75" customHeight="1" x14ac:dyDescent="0.25">
      <c r="A1470" s="9"/>
      <c r="C1470" s="43"/>
      <c r="D1470" s="43"/>
    </row>
    <row r="1471" spans="1:4" ht="15.75" customHeight="1" x14ac:dyDescent="0.25">
      <c r="A1471" s="9"/>
      <c r="C1471" s="43"/>
      <c r="D1471" s="43"/>
    </row>
    <row r="1472" spans="1:4" ht="15.75" customHeight="1" x14ac:dyDescent="0.25">
      <c r="A1472" s="9"/>
      <c r="C1472" s="43"/>
      <c r="D1472" s="43"/>
    </row>
    <row r="1473" spans="1:4" ht="15.75" customHeight="1" x14ac:dyDescent="0.25">
      <c r="A1473" s="9"/>
      <c r="C1473" s="43"/>
      <c r="D1473" s="43"/>
    </row>
    <row r="1474" spans="1:4" ht="15.75" customHeight="1" x14ac:dyDescent="0.25">
      <c r="A1474" s="9"/>
      <c r="C1474" s="43"/>
      <c r="D1474" s="43"/>
    </row>
    <row r="1475" spans="1:4" ht="15.75" customHeight="1" x14ac:dyDescent="0.25">
      <c r="A1475" s="9"/>
      <c r="C1475" s="43"/>
      <c r="D1475" s="43"/>
    </row>
    <row r="1476" spans="1:4" ht="15.75" customHeight="1" x14ac:dyDescent="0.25">
      <c r="A1476" s="9"/>
      <c r="C1476" s="43"/>
      <c r="D1476" s="43"/>
    </row>
    <row r="1477" spans="1:4" ht="15.75" customHeight="1" x14ac:dyDescent="0.25">
      <c r="A1477" s="9"/>
      <c r="C1477" s="43"/>
      <c r="D1477" s="43"/>
    </row>
    <row r="1478" spans="1:4" ht="15.75" customHeight="1" x14ac:dyDescent="0.25">
      <c r="A1478" s="9"/>
      <c r="C1478" s="43"/>
      <c r="D1478" s="43"/>
    </row>
    <row r="1479" spans="1:4" ht="15.75" customHeight="1" x14ac:dyDescent="0.25">
      <c r="A1479" s="9"/>
      <c r="C1479" s="43"/>
      <c r="D1479" s="43"/>
    </row>
    <row r="1480" spans="1:4" ht="15.75" customHeight="1" x14ac:dyDescent="0.25">
      <c r="A1480" s="9"/>
      <c r="C1480" s="43"/>
      <c r="D1480" s="43"/>
    </row>
    <row r="1481" spans="1:4" ht="15.75" customHeight="1" x14ac:dyDescent="0.25">
      <c r="A1481" s="9"/>
      <c r="C1481" s="43"/>
      <c r="D1481" s="43"/>
    </row>
    <row r="1482" spans="1:4" ht="15.75" customHeight="1" x14ac:dyDescent="0.25">
      <c r="A1482" s="9"/>
      <c r="C1482" s="43"/>
      <c r="D1482" s="43"/>
    </row>
    <row r="1483" spans="1:4" ht="15.75" customHeight="1" x14ac:dyDescent="0.25">
      <c r="A1483" s="9"/>
      <c r="C1483" s="43"/>
      <c r="D1483" s="43"/>
    </row>
    <row r="1484" spans="1:4" ht="15.75" customHeight="1" x14ac:dyDescent="0.25">
      <c r="A1484" s="9"/>
      <c r="C1484" s="43"/>
      <c r="D1484" s="43"/>
    </row>
    <row r="1485" spans="1:4" ht="15.75" customHeight="1" x14ac:dyDescent="0.25">
      <c r="A1485" s="9"/>
      <c r="C1485" s="43"/>
      <c r="D1485" s="43"/>
    </row>
    <row r="1486" spans="1:4" ht="15.75" customHeight="1" x14ac:dyDescent="0.25">
      <c r="A1486" s="9"/>
      <c r="C1486" s="43"/>
      <c r="D1486" s="43"/>
    </row>
    <row r="1487" spans="1:4" ht="15.75" customHeight="1" x14ac:dyDescent="0.25">
      <c r="A1487" s="9"/>
      <c r="C1487" s="43"/>
      <c r="D1487" s="43"/>
    </row>
    <row r="1488" spans="1:4" ht="15.75" customHeight="1" x14ac:dyDescent="0.25">
      <c r="A1488" s="9"/>
      <c r="C1488" s="43"/>
      <c r="D1488" s="43"/>
    </row>
    <row r="1489" spans="1:4" ht="15.75" customHeight="1" x14ac:dyDescent="0.25">
      <c r="A1489" s="9"/>
      <c r="C1489" s="43"/>
      <c r="D1489" s="43"/>
    </row>
    <row r="1490" spans="1:4" ht="15.75" customHeight="1" x14ac:dyDescent="0.25">
      <c r="A1490" s="9"/>
      <c r="C1490" s="43"/>
      <c r="D1490" s="43"/>
    </row>
    <row r="1491" spans="1:4" ht="15.75" customHeight="1" x14ac:dyDescent="0.25">
      <c r="A1491" s="9"/>
      <c r="C1491" s="43"/>
      <c r="D1491" s="43"/>
    </row>
    <row r="1492" spans="1:4" ht="15.75" customHeight="1" x14ac:dyDescent="0.25">
      <c r="A1492" s="9"/>
      <c r="C1492" s="43"/>
      <c r="D1492" s="43"/>
    </row>
    <row r="1493" spans="1:4" ht="15.75" customHeight="1" x14ac:dyDescent="0.25">
      <c r="A1493" s="9"/>
      <c r="C1493" s="43"/>
      <c r="D1493" s="43"/>
    </row>
    <row r="1494" spans="1:4" ht="15.75" customHeight="1" x14ac:dyDescent="0.25">
      <c r="A1494" s="9"/>
      <c r="C1494" s="43"/>
      <c r="D1494" s="43"/>
    </row>
    <row r="1495" spans="1:4" ht="15.75" customHeight="1" x14ac:dyDescent="0.25">
      <c r="A1495" s="9"/>
      <c r="C1495" s="43"/>
      <c r="D1495" s="43"/>
    </row>
    <row r="1496" spans="1:4" ht="15.75" customHeight="1" x14ac:dyDescent="0.25">
      <c r="A1496" s="9"/>
      <c r="C1496" s="43"/>
      <c r="D1496" s="43"/>
    </row>
    <row r="1497" spans="1:4" ht="15.75" customHeight="1" x14ac:dyDescent="0.25">
      <c r="A1497" s="9"/>
      <c r="C1497" s="43"/>
      <c r="D1497" s="43"/>
    </row>
    <row r="1498" spans="1:4" ht="15.75" customHeight="1" x14ac:dyDescent="0.25">
      <c r="A1498" s="9"/>
      <c r="C1498" s="43"/>
      <c r="D1498" s="43"/>
    </row>
    <row r="1499" spans="1:4" ht="15.75" customHeight="1" x14ac:dyDescent="0.25">
      <c r="A1499" s="9"/>
      <c r="C1499" s="43"/>
      <c r="D1499" s="43"/>
    </row>
    <row r="1500" spans="1:4" ht="15.75" customHeight="1" x14ac:dyDescent="0.25">
      <c r="A1500" s="9"/>
      <c r="C1500" s="43"/>
      <c r="D1500" s="43"/>
    </row>
    <row r="1501" spans="1:4" ht="15.75" customHeight="1" x14ac:dyDescent="0.25">
      <c r="A1501" s="9"/>
      <c r="C1501" s="43"/>
      <c r="D1501" s="43"/>
    </row>
    <row r="1502" spans="1:4" ht="15.75" customHeight="1" x14ac:dyDescent="0.25">
      <c r="A1502" s="9"/>
      <c r="C1502" s="43"/>
      <c r="D1502" s="43"/>
    </row>
    <row r="1503" spans="1:4" ht="15.75" customHeight="1" x14ac:dyDescent="0.25">
      <c r="A1503" s="9"/>
      <c r="C1503" s="43"/>
      <c r="D1503" s="43"/>
    </row>
    <row r="1504" spans="1:4" ht="15.75" customHeight="1" x14ac:dyDescent="0.25">
      <c r="A1504" s="9"/>
      <c r="C1504" s="43"/>
      <c r="D1504" s="43"/>
    </row>
    <row r="1505" spans="1:4" ht="15.75" customHeight="1" x14ac:dyDescent="0.25">
      <c r="A1505" s="9"/>
      <c r="C1505" s="43"/>
      <c r="D1505" s="43"/>
    </row>
    <row r="1506" spans="1:4" ht="15.75" customHeight="1" x14ac:dyDescent="0.25">
      <c r="A1506" s="9"/>
      <c r="C1506" s="43"/>
      <c r="D1506" s="43"/>
    </row>
    <row r="1507" spans="1:4" ht="15.75" customHeight="1" x14ac:dyDescent="0.25">
      <c r="A1507" s="9"/>
      <c r="C1507" s="43"/>
      <c r="D1507" s="43"/>
    </row>
    <row r="1508" spans="1:4" ht="15.75" customHeight="1" x14ac:dyDescent="0.25">
      <c r="A1508" s="9"/>
      <c r="C1508" s="43"/>
      <c r="D1508" s="43"/>
    </row>
    <row r="1509" spans="1:4" ht="15.75" customHeight="1" x14ac:dyDescent="0.25">
      <c r="A1509" s="9"/>
      <c r="C1509" s="43"/>
      <c r="D1509" s="43"/>
    </row>
    <row r="1510" spans="1:4" ht="15.75" customHeight="1" x14ac:dyDescent="0.25">
      <c r="A1510" s="9"/>
      <c r="C1510" s="43"/>
      <c r="D1510" s="43"/>
    </row>
    <row r="1511" spans="1:4" ht="15.75" customHeight="1" x14ac:dyDescent="0.25">
      <c r="A1511" s="9"/>
      <c r="C1511" s="43"/>
      <c r="D1511" s="43"/>
    </row>
    <row r="1512" spans="1:4" ht="15.75" customHeight="1" x14ac:dyDescent="0.25">
      <c r="A1512" s="9"/>
      <c r="C1512" s="43"/>
      <c r="D1512" s="43"/>
    </row>
    <row r="1513" spans="1:4" ht="15.75" customHeight="1" x14ac:dyDescent="0.25">
      <c r="A1513" s="9"/>
      <c r="C1513" s="43"/>
      <c r="D1513" s="43"/>
    </row>
    <row r="1514" spans="1:4" ht="15.75" customHeight="1" x14ac:dyDescent="0.25">
      <c r="A1514" s="9"/>
      <c r="C1514" s="43"/>
      <c r="D1514" s="43"/>
    </row>
    <row r="1515" spans="1:4" ht="15.75" customHeight="1" x14ac:dyDescent="0.25">
      <c r="A1515" s="9"/>
      <c r="C1515" s="43"/>
      <c r="D1515" s="43"/>
    </row>
    <row r="1516" spans="1:4" ht="15.75" customHeight="1" x14ac:dyDescent="0.25">
      <c r="A1516" s="9"/>
      <c r="C1516" s="43"/>
      <c r="D1516" s="43"/>
    </row>
    <row r="1517" spans="1:4" ht="15.75" customHeight="1" x14ac:dyDescent="0.25">
      <c r="A1517" s="9"/>
      <c r="C1517" s="43"/>
      <c r="D1517" s="43"/>
    </row>
    <row r="1518" spans="1:4" ht="15.75" customHeight="1" x14ac:dyDescent="0.25">
      <c r="A1518" s="9"/>
      <c r="C1518" s="43"/>
      <c r="D1518" s="43"/>
    </row>
    <row r="1519" spans="1:4" ht="15.75" customHeight="1" x14ac:dyDescent="0.25">
      <c r="A1519" s="9"/>
      <c r="C1519" s="43"/>
      <c r="D1519" s="43"/>
    </row>
    <row r="1520" spans="1:4" ht="15.75" customHeight="1" x14ac:dyDescent="0.25">
      <c r="A1520" s="9"/>
      <c r="C1520" s="43"/>
      <c r="D1520" s="43"/>
    </row>
    <row r="1521" spans="1:4" ht="15.75" customHeight="1" x14ac:dyDescent="0.25">
      <c r="A1521" s="9"/>
      <c r="C1521" s="43"/>
      <c r="D1521" s="43"/>
    </row>
    <row r="1522" spans="1:4" ht="15.75" customHeight="1" x14ac:dyDescent="0.25">
      <c r="A1522" s="9"/>
      <c r="C1522" s="43"/>
      <c r="D1522" s="43"/>
    </row>
    <row r="1523" spans="1:4" ht="15.75" customHeight="1" x14ac:dyDescent="0.25">
      <c r="A1523" s="9"/>
      <c r="C1523" s="43"/>
      <c r="D1523" s="43"/>
    </row>
    <row r="1524" spans="1:4" ht="15.75" customHeight="1" x14ac:dyDescent="0.25">
      <c r="A1524" s="9"/>
      <c r="C1524" s="43"/>
      <c r="D1524" s="43"/>
    </row>
    <row r="1525" spans="1:4" ht="15.75" customHeight="1" x14ac:dyDescent="0.25">
      <c r="A1525" s="9"/>
      <c r="C1525" s="43"/>
      <c r="D1525" s="43"/>
    </row>
    <row r="1526" spans="1:4" ht="15.75" customHeight="1" x14ac:dyDescent="0.25">
      <c r="A1526" s="9"/>
      <c r="C1526" s="43"/>
      <c r="D1526" s="43"/>
    </row>
    <row r="1527" spans="1:4" ht="15.75" customHeight="1" x14ac:dyDescent="0.25">
      <c r="A1527" s="9"/>
      <c r="C1527" s="43"/>
      <c r="D1527" s="43"/>
    </row>
    <row r="1528" spans="1:4" ht="15.75" customHeight="1" x14ac:dyDescent="0.25">
      <c r="A1528" s="9"/>
      <c r="C1528" s="43"/>
      <c r="D1528" s="43"/>
    </row>
    <row r="1529" spans="1:4" ht="15.75" customHeight="1" x14ac:dyDescent="0.25">
      <c r="A1529" s="9"/>
      <c r="C1529" s="43"/>
      <c r="D1529" s="43"/>
    </row>
    <row r="1530" spans="1:4" ht="15.75" customHeight="1" x14ac:dyDescent="0.25">
      <c r="A1530" s="9"/>
      <c r="C1530" s="43"/>
      <c r="D1530" s="43"/>
    </row>
    <row r="1531" spans="1:4" ht="15.75" customHeight="1" x14ac:dyDescent="0.25">
      <c r="A1531" s="9"/>
      <c r="C1531" s="43"/>
      <c r="D1531" s="43"/>
    </row>
    <row r="1532" spans="1:4" ht="15.75" customHeight="1" x14ac:dyDescent="0.25">
      <c r="A1532" s="9"/>
      <c r="C1532" s="43"/>
      <c r="D1532" s="43"/>
    </row>
    <row r="1533" spans="1:4" ht="15.75" customHeight="1" x14ac:dyDescent="0.25">
      <c r="A1533" s="9"/>
      <c r="C1533" s="43"/>
      <c r="D1533" s="43"/>
    </row>
    <row r="1534" spans="1:4" ht="15.75" customHeight="1" x14ac:dyDescent="0.25">
      <c r="A1534" s="9"/>
      <c r="C1534" s="43"/>
      <c r="D1534" s="43"/>
    </row>
    <row r="1535" spans="1:4" ht="15.75" customHeight="1" x14ac:dyDescent="0.25">
      <c r="A1535" s="9"/>
      <c r="C1535" s="43"/>
      <c r="D1535" s="43"/>
    </row>
    <row r="1536" spans="1:4" ht="15.75" customHeight="1" x14ac:dyDescent="0.25">
      <c r="A1536" s="9"/>
      <c r="C1536" s="43"/>
      <c r="D1536" s="43"/>
    </row>
    <row r="1537" spans="1:4" ht="15.75" customHeight="1" x14ac:dyDescent="0.25">
      <c r="A1537" s="9"/>
      <c r="C1537" s="43"/>
      <c r="D1537" s="43"/>
    </row>
    <row r="1538" spans="1:4" ht="15.75" customHeight="1" x14ac:dyDescent="0.25">
      <c r="A1538" s="9"/>
      <c r="C1538" s="43"/>
      <c r="D1538" s="43"/>
    </row>
    <row r="1539" spans="1:4" ht="15.75" customHeight="1" x14ac:dyDescent="0.25">
      <c r="A1539" s="9"/>
      <c r="C1539" s="43"/>
      <c r="D1539" s="43"/>
    </row>
    <row r="1540" spans="1:4" ht="15.75" customHeight="1" x14ac:dyDescent="0.25">
      <c r="A1540" s="9"/>
      <c r="C1540" s="43"/>
      <c r="D1540" s="43"/>
    </row>
    <row r="1541" spans="1:4" ht="15.75" customHeight="1" x14ac:dyDescent="0.25">
      <c r="A1541" s="9"/>
      <c r="C1541" s="43"/>
      <c r="D1541" s="43"/>
    </row>
    <row r="1542" spans="1:4" ht="15.75" customHeight="1" x14ac:dyDescent="0.25">
      <c r="A1542" s="9"/>
      <c r="C1542" s="43"/>
      <c r="D1542" s="43"/>
    </row>
    <row r="1543" spans="1:4" ht="15.75" customHeight="1" x14ac:dyDescent="0.25">
      <c r="A1543" s="9"/>
      <c r="C1543" s="43"/>
      <c r="D1543" s="43"/>
    </row>
    <row r="1544" spans="1:4" ht="15.75" customHeight="1" x14ac:dyDescent="0.25">
      <c r="A1544" s="9"/>
      <c r="C1544" s="43"/>
      <c r="D1544" s="43"/>
    </row>
    <row r="1545" spans="1:4" ht="15.75" customHeight="1" x14ac:dyDescent="0.25">
      <c r="A1545" s="9"/>
      <c r="C1545" s="43"/>
      <c r="D1545" s="43"/>
    </row>
    <row r="1546" spans="1:4" ht="15.75" customHeight="1" x14ac:dyDescent="0.25">
      <c r="A1546" s="9"/>
      <c r="C1546" s="43"/>
      <c r="D1546" s="43"/>
    </row>
    <row r="1547" spans="1:4" ht="15.75" customHeight="1" x14ac:dyDescent="0.25">
      <c r="A1547" s="9"/>
      <c r="C1547" s="43"/>
      <c r="D1547" s="43"/>
    </row>
    <row r="1548" spans="1:4" ht="15.75" customHeight="1" x14ac:dyDescent="0.25">
      <c r="A1548" s="9"/>
      <c r="C1548" s="43"/>
      <c r="D1548" s="43"/>
    </row>
    <row r="1549" spans="1:4" ht="15.75" customHeight="1" x14ac:dyDescent="0.25">
      <c r="A1549" s="9"/>
      <c r="C1549" s="43"/>
      <c r="D1549" s="43"/>
    </row>
    <row r="1550" spans="1:4" ht="15.75" customHeight="1" x14ac:dyDescent="0.25">
      <c r="A1550" s="9"/>
      <c r="C1550" s="43"/>
      <c r="D1550" s="43"/>
    </row>
    <row r="1551" spans="1:4" ht="15.75" customHeight="1" x14ac:dyDescent="0.25">
      <c r="A1551" s="9"/>
      <c r="C1551" s="43"/>
      <c r="D1551" s="43"/>
    </row>
    <row r="1552" spans="1:4" ht="15.75" customHeight="1" x14ac:dyDescent="0.25">
      <c r="A1552" s="9"/>
      <c r="C1552" s="43"/>
      <c r="D1552" s="43"/>
    </row>
    <row r="1553" spans="1:4" ht="15.75" customHeight="1" x14ac:dyDescent="0.25">
      <c r="A1553" s="9"/>
      <c r="C1553" s="43"/>
      <c r="D1553" s="43"/>
    </row>
    <row r="1554" spans="1:4" ht="15.75" customHeight="1" x14ac:dyDescent="0.25">
      <c r="A1554" s="9"/>
      <c r="C1554" s="43"/>
      <c r="D1554" s="43"/>
    </row>
    <row r="1555" spans="1:4" ht="15.75" customHeight="1" x14ac:dyDescent="0.25">
      <c r="A1555" s="9"/>
      <c r="C1555" s="43"/>
      <c r="D1555" s="43"/>
    </row>
    <row r="1556" spans="1:4" ht="15.75" customHeight="1" x14ac:dyDescent="0.25">
      <c r="A1556" s="9"/>
      <c r="C1556" s="43"/>
      <c r="D1556" s="43"/>
    </row>
    <row r="1557" spans="1:4" ht="15.75" customHeight="1" x14ac:dyDescent="0.25">
      <c r="A1557" s="9"/>
      <c r="C1557" s="43"/>
      <c r="D1557" s="43"/>
    </row>
    <row r="1558" spans="1:4" ht="15.75" customHeight="1" x14ac:dyDescent="0.25">
      <c r="A1558" s="9"/>
      <c r="C1558" s="43"/>
      <c r="D1558" s="43"/>
    </row>
    <row r="1559" spans="1:4" ht="15.75" customHeight="1" x14ac:dyDescent="0.25">
      <c r="A1559" s="9"/>
      <c r="C1559" s="43"/>
      <c r="D1559" s="43"/>
    </row>
    <row r="1560" spans="1:4" ht="15.75" customHeight="1" x14ac:dyDescent="0.25">
      <c r="A1560" s="9"/>
      <c r="C1560" s="43"/>
      <c r="D1560" s="43"/>
    </row>
    <row r="1561" spans="1:4" ht="15.75" customHeight="1" x14ac:dyDescent="0.25">
      <c r="A1561" s="9"/>
      <c r="C1561" s="43"/>
      <c r="D1561" s="43"/>
    </row>
    <row r="1562" spans="1:4" ht="15.75" customHeight="1" x14ac:dyDescent="0.25">
      <c r="A1562" s="9"/>
      <c r="C1562" s="43"/>
      <c r="D1562" s="43"/>
    </row>
    <row r="1563" spans="1:4" ht="15.75" customHeight="1" x14ac:dyDescent="0.25">
      <c r="A1563" s="9"/>
      <c r="C1563" s="43"/>
      <c r="D1563" s="43"/>
    </row>
    <row r="1564" spans="1:4" ht="15.75" customHeight="1" x14ac:dyDescent="0.25">
      <c r="A1564" s="9"/>
      <c r="C1564" s="43"/>
      <c r="D1564" s="43"/>
    </row>
    <row r="1565" spans="1:4" ht="15.75" customHeight="1" x14ac:dyDescent="0.25">
      <c r="A1565" s="9"/>
      <c r="C1565" s="43"/>
      <c r="D1565" s="43"/>
    </row>
    <row r="1566" spans="1:4" ht="15.75" customHeight="1" x14ac:dyDescent="0.25">
      <c r="A1566" s="9"/>
      <c r="C1566" s="43"/>
      <c r="D1566" s="43"/>
    </row>
    <row r="1567" spans="1:4" ht="15.75" customHeight="1" x14ac:dyDescent="0.25">
      <c r="A1567" s="9"/>
      <c r="C1567" s="43"/>
      <c r="D1567" s="43"/>
    </row>
    <row r="1568" spans="1:4" ht="15.75" customHeight="1" x14ac:dyDescent="0.25">
      <c r="A1568" s="9"/>
      <c r="C1568" s="43"/>
      <c r="D1568" s="43"/>
    </row>
    <row r="1569" spans="1:4" ht="15.75" customHeight="1" x14ac:dyDescent="0.25">
      <c r="A1569" s="9"/>
      <c r="C1569" s="43"/>
      <c r="D1569" s="43"/>
    </row>
    <row r="1570" spans="1:4" ht="15.75" customHeight="1" x14ac:dyDescent="0.25">
      <c r="A1570" s="9"/>
      <c r="C1570" s="43"/>
      <c r="D1570" s="43"/>
    </row>
    <row r="1571" spans="1:4" ht="15.75" customHeight="1" x14ac:dyDescent="0.25">
      <c r="A1571" s="9"/>
      <c r="C1571" s="43"/>
      <c r="D1571" s="43"/>
    </row>
    <row r="1572" spans="1:4" ht="15.75" customHeight="1" x14ac:dyDescent="0.25">
      <c r="A1572" s="9"/>
      <c r="C1572" s="43"/>
      <c r="D1572" s="43"/>
    </row>
    <row r="1573" spans="1:4" ht="15.75" customHeight="1" x14ac:dyDescent="0.25">
      <c r="A1573" s="9"/>
      <c r="C1573" s="43"/>
      <c r="D1573" s="43"/>
    </row>
    <row r="1574" spans="1:4" ht="15.75" customHeight="1" x14ac:dyDescent="0.25">
      <c r="A1574" s="9"/>
      <c r="C1574" s="43"/>
      <c r="D1574" s="43"/>
    </row>
    <row r="1575" spans="1:4" ht="15.75" customHeight="1" x14ac:dyDescent="0.25">
      <c r="A1575" s="9"/>
      <c r="C1575" s="43"/>
      <c r="D1575" s="43"/>
    </row>
    <row r="1576" spans="1:4" ht="15.75" customHeight="1" x14ac:dyDescent="0.25">
      <c r="A1576" s="9"/>
      <c r="C1576" s="43"/>
      <c r="D1576" s="43"/>
    </row>
    <row r="1577" spans="1:4" ht="15.75" customHeight="1" x14ac:dyDescent="0.25">
      <c r="A1577" s="9"/>
      <c r="C1577" s="43"/>
      <c r="D1577" s="43"/>
    </row>
    <row r="1578" spans="1:4" ht="15.75" customHeight="1" x14ac:dyDescent="0.25">
      <c r="A1578" s="9"/>
      <c r="C1578" s="43"/>
      <c r="D1578" s="43"/>
    </row>
    <row r="1579" spans="1:4" ht="15.75" customHeight="1" x14ac:dyDescent="0.25">
      <c r="A1579" s="9"/>
      <c r="C1579" s="43"/>
      <c r="D1579" s="43"/>
    </row>
    <row r="1580" spans="1:4" ht="15.75" customHeight="1" x14ac:dyDescent="0.25">
      <c r="A1580" s="9"/>
      <c r="C1580" s="43"/>
      <c r="D1580" s="43"/>
    </row>
    <row r="1581" spans="1:4" ht="15.75" customHeight="1" x14ac:dyDescent="0.25">
      <c r="A1581" s="9"/>
      <c r="C1581" s="43"/>
      <c r="D1581" s="43"/>
    </row>
    <row r="1582" spans="1:4" ht="15.75" customHeight="1" x14ac:dyDescent="0.25">
      <c r="A1582" s="9"/>
      <c r="C1582" s="43"/>
      <c r="D1582" s="43"/>
    </row>
    <row r="1583" spans="1:4" ht="15.75" customHeight="1" x14ac:dyDescent="0.25">
      <c r="A1583" s="9"/>
      <c r="C1583" s="43"/>
      <c r="D1583" s="43"/>
    </row>
    <row r="1584" spans="1:4" ht="15.75" customHeight="1" x14ac:dyDescent="0.25">
      <c r="A1584" s="9"/>
      <c r="C1584" s="43"/>
      <c r="D1584" s="43"/>
    </row>
    <row r="1585" spans="1:4" ht="15.75" customHeight="1" x14ac:dyDescent="0.25">
      <c r="A1585" s="9"/>
      <c r="C1585" s="43"/>
      <c r="D1585" s="43"/>
    </row>
    <row r="1586" spans="1:4" ht="15.75" customHeight="1" x14ac:dyDescent="0.25">
      <c r="A1586" s="9"/>
      <c r="C1586" s="43"/>
      <c r="D1586" s="43"/>
    </row>
    <row r="1587" spans="1:4" ht="15.75" customHeight="1" x14ac:dyDescent="0.25">
      <c r="A1587" s="9"/>
      <c r="C1587" s="43"/>
      <c r="D1587" s="43"/>
    </row>
    <row r="1588" spans="1:4" ht="15.75" customHeight="1" x14ac:dyDescent="0.25">
      <c r="A1588" s="9"/>
      <c r="C1588" s="43"/>
      <c r="D1588" s="43"/>
    </row>
    <row r="1589" spans="1:4" ht="15.75" customHeight="1" x14ac:dyDescent="0.25">
      <c r="A1589" s="9"/>
      <c r="C1589" s="43"/>
      <c r="D1589" s="43"/>
    </row>
    <row r="1590" spans="1:4" ht="15.75" customHeight="1" x14ac:dyDescent="0.25">
      <c r="A1590" s="9"/>
      <c r="C1590" s="43"/>
      <c r="D1590" s="43"/>
    </row>
    <row r="1591" spans="1:4" ht="15.75" customHeight="1" x14ac:dyDescent="0.25">
      <c r="A1591" s="9"/>
      <c r="C1591" s="43"/>
      <c r="D1591" s="43"/>
    </row>
    <row r="1592" spans="1:4" ht="15.75" customHeight="1" x14ac:dyDescent="0.25">
      <c r="A1592" s="9"/>
      <c r="C1592" s="43"/>
      <c r="D1592" s="43"/>
    </row>
    <row r="1593" spans="1:4" ht="15.75" customHeight="1" x14ac:dyDescent="0.25">
      <c r="A1593" s="9"/>
      <c r="C1593" s="43"/>
      <c r="D1593" s="43"/>
    </row>
    <row r="1594" spans="1:4" ht="15.75" customHeight="1" x14ac:dyDescent="0.25">
      <c r="A1594" s="9"/>
      <c r="C1594" s="43"/>
      <c r="D1594" s="43"/>
    </row>
    <row r="1595" spans="1:4" ht="15.75" customHeight="1" x14ac:dyDescent="0.25">
      <c r="A1595" s="9"/>
      <c r="C1595" s="43"/>
      <c r="D1595" s="43"/>
    </row>
    <row r="1596" spans="1:4" ht="15.75" customHeight="1" x14ac:dyDescent="0.25">
      <c r="A1596" s="9"/>
      <c r="C1596" s="43"/>
      <c r="D1596" s="43"/>
    </row>
    <row r="1597" spans="1:4" ht="15.75" customHeight="1" x14ac:dyDescent="0.25">
      <c r="A1597" s="9"/>
      <c r="C1597" s="43"/>
      <c r="D1597" s="43"/>
    </row>
    <row r="1598" spans="1:4" ht="15.75" customHeight="1" x14ac:dyDescent="0.25">
      <c r="A1598" s="9"/>
      <c r="C1598" s="43"/>
      <c r="D1598" s="43"/>
    </row>
    <row r="1599" spans="1:4" ht="15.75" customHeight="1" x14ac:dyDescent="0.25">
      <c r="A1599" s="9"/>
      <c r="C1599" s="43"/>
      <c r="D1599" s="43"/>
    </row>
    <row r="1600" spans="1:4" ht="15.75" customHeight="1" x14ac:dyDescent="0.25">
      <c r="A1600" s="9"/>
      <c r="C1600" s="43"/>
      <c r="D1600" s="43"/>
    </row>
    <row r="1601" spans="1:4" ht="15.75" customHeight="1" x14ac:dyDescent="0.25">
      <c r="A1601" s="9"/>
      <c r="C1601" s="43"/>
      <c r="D1601" s="43"/>
    </row>
    <row r="1602" spans="1:4" ht="15.75" customHeight="1" x14ac:dyDescent="0.25">
      <c r="A1602" s="9"/>
      <c r="C1602" s="43"/>
      <c r="D1602" s="43"/>
    </row>
    <row r="1603" spans="1:4" ht="15.75" customHeight="1" x14ac:dyDescent="0.25">
      <c r="A1603" s="9"/>
      <c r="C1603" s="43"/>
      <c r="D1603" s="43"/>
    </row>
    <row r="1604" spans="1:4" ht="15.75" customHeight="1" x14ac:dyDescent="0.25">
      <c r="A1604" s="9"/>
      <c r="C1604" s="43"/>
      <c r="D1604" s="43"/>
    </row>
    <row r="1605" spans="1:4" ht="15.75" customHeight="1" x14ac:dyDescent="0.25">
      <c r="A1605" s="9"/>
      <c r="C1605" s="43"/>
      <c r="D1605" s="43"/>
    </row>
    <row r="1606" spans="1:4" ht="15.75" customHeight="1" x14ac:dyDescent="0.25">
      <c r="A1606" s="9"/>
      <c r="C1606" s="43"/>
      <c r="D1606" s="43"/>
    </row>
    <row r="1607" spans="1:4" ht="15.75" customHeight="1" x14ac:dyDescent="0.25">
      <c r="A1607" s="9"/>
      <c r="C1607" s="43"/>
      <c r="D1607" s="43"/>
    </row>
    <row r="1608" spans="1:4" ht="15.75" customHeight="1" x14ac:dyDescent="0.25">
      <c r="A1608" s="9"/>
      <c r="C1608" s="43"/>
      <c r="D1608" s="43"/>
    </row>
    <row r="1609" spans="1:4" ht="15.75" customHeight="1" x14ac:dyDescent="0.25">
      <c r="A1609" s="9"/>
      <c r="C1609" s="43"/>
      <c r="D1609" s="43"/>
    </row>
    <row r="1610" spans="1:4" ht="15.75" customHeight="1" x14ac:dyDescent="0.25">
      <c r="A1610" s="9"/>
      <c r="C1610" s="43"/>
      <c r="D1610" s="43"/>
    </row>
    <row r="1611" spans="1:4" ht="15.75" customHeight="1" x14ac:dyDescent="0.25">
      <c r="A1611" s="9"/>
      <c r="C1611" s="43"/>
      <c r="D1611" s="43"/>
    </row>
    <row r="1612" spans="1:4" ht="15.75" customHeight="1" x14ac:dyDescent="0.25">
      <c r="A1612" s="9"/>
      <c r="C1612" s="43"/>
      <c r="D1612" s="43"/>
    </row>
    <row r="1613" spans="1:4" ht="15.75" customHeight="1" x14ac:dyDescent="0.25">
      <c r="A1613" s="9"/>
      <c r="C1613" s="43"/>
      <c r="D1613" s="43"/>
    </row>
    <row r="1614" spans="1:4" ht="15.75" customHeight="1" x14ac:dyDescent="0.25">
      <c r="A1614" s="9"/>
      <c r="C1614" s="43"/>
      <c r="D1614" s="43"/>
    </row>
    <row r="1615" spans="1:4" ht="15.75" customHeight="1" x14ac:dyDescent="0.25">
      <c r="A1615" s="9"/>
      <c r="C1615" s="43"/>
      <c r="D1615" s="43"/>
    </row>
    <row r="1616" spans="1:4" ht="15.75" customHeight="1" x14ac:dyDescent="0.25">
      <c r="A1616" s="9"/>
      <c r="C1616" s="43"/>
      <c r="D1616" s="43"/>
    </row>
    <row r="1617" spans="1:4" ht="15.75" customHeight="1" x14ac:dyDescent="0.25">
      <c r="A1617" s="9"/>
      <c r="C1617" s="43"/>
      <c r="D1617" s="43"/>
    </row>
    <row r="1618" spans="1:4" ht="15.75" customHeight="1" x14ac:dyDescent="0.25">
      <c r="A1618" s="9"/>
      <c r="C1618" s="43"/>
      <c r="D1618" s="43"/>
    </row>
    <row r="1619" spans="1:4" ht="15.75" customHeight="1" x14ac:dyDescent="0.25">
      <c r="A1619" s="9"/>
      <c r="C1619" s="43"/>
      <c r="D1619" s="43"/>
    </row>
    <row r="1620" spans="1:4" ht="15.75" customHeight="1" x14ac:dyDescent="0.25">
      <c r="A1620" s="9"/>
      <c r="C1620" s="43"/>
      <c r="D1620" s="43"/>
    </row>
    <row r="1621" spans="1:4" ht="15.75" customHeight="1" x14ac:dyDescent="0.25">
      <c r="A1621" s="9"/>
      <c r="C1621" s="43"/>
      <c r="D1621" s="43"/>
    </row>
    <row r="1622" spans="1:4" ht="15.75" customHeight="1" x14ac:dyDescent="0.25">
      <c r="A1622" s="9"/>
      <c r="C1622" s="43"/>
      <c r="D1622" s="43"/>
    </row>
    <row r="1623" spans="1:4" ht="15.75" customHeight="1" x14ac:dyDescent="0.25">
      <c r="A1623" s="9"/>
      <c r="C1623" s="43"/>
      <c r="D1623" s="43"/>
    </row>
    <row r="1624" spans="1:4" ht="15.75" customHeight="1" x14ac:dyDescent="0.25">
      <c r="A1624" s="9"/>
      <c r="C1624" s="43"/>
      <c r="D1624" s="43"/>
    </row>
    <row r="1625" spans="1:4" ht="15.75" customHeight="1" x14ac:dyDescent="0.25">
      <c r="A1625" s="9"/>
      <c r="C1625" s="43"/>
      <c r="D1625" s="43"/>
    </row>
    <row r="1626" spans="1:4" ht="15.75" customHeight="1" x14ac:dyDescent="0.25">
      <c r="A1626" s="9"/>
      <c r="C1626" s="43"/>
      <c r="D1626" s="43"/>
    </row>
    <row r="1627" spans="1:4" ht="15.75" customHeight="1" x14ac:dyDescent="0.25">
      <c r="A1627" s="9"/>
      <c r="C1627" s="43"/>
      <c r="D1627" s="43"/>
    </row>
    <row r="1628" spans="1:4" ht="15.75" customHeight="1" x14ac:dyDescent="0.25">
      <c r="A1628" s="9"/>
      <c r="C1628" s="43"/>
      <c r="D1628" s="43"/>
    </row>
    <row r="1629" spans="1:4" ht="15.75" customHeight="1" x14ac:dyDescent="0.25">
      <c r="A1629" s="9"/>
      <c r="C1629" s="43"/>
      <c r="D1629" s="43"/>
    </row>
    <row r="1630" spans="1:4" ht="15.75" customHeight="1" x14ac:dyDescent="0.25">
      <c r="A1630" s="9"/>
      <c r="C1630" s="43"/>
      <c r="D1630" s="43"/>
    </row>
    <row r="1631" spans="1:4" ht="15.75" customHeight="1" x14ac:dyDescent="0.25">
      <c r="A1631" s="9"/>
      <c r="C1631" s="43"/>
      <c r="D1631" s="43"/>
    </row>
    <row r="1632" spans="1:4" ht="15.75" customHeight="1" x14ac:dyDescent="0.25">
      <c r="A1632" s="9"/>
      <c r="C1632" s="43"/>
      <c r="D1632" s="43"/>
    </row>
    <row r="1633" spans="1:4" ht="15.75" customHeight="1" x14ac:dyDescent="0.25">
      <c r="A1633" s="9"/>
      <c r="C1633" s="43"/>
      <c r="D1633" s="43"/>
    </row>
    <row r="1634" spans="1:4" ht="15.75" customHeight="1" x14ac:dyDescent="0.25">
      <c r="A1634" s="9"/>
      <c r="C1634" s="43"/>
      <c r="D1634" s="43"/>
    </row>
    <row r="1635" spans="1:4" ht="15.75" customHeight="1" x14ac:dyDescent="0.25">
      <c r="A1635" s="9"/>
      <c r="C1635" s="43"/>
      <c r="D1635" s="43"/>
    </row>
    <row r="1636" spans="1:4" ht="15.75" customHeight="1" x14ac:dyDescent="0.25">
      <c r="A1636" s="9"/>
      <c r="C1636" s="43"/>
      <c r="D1636" s="43"/>
    </row>
    <row r="1637" spans="1:4" ht="15.75" customHeight="1" x14ac:dyDescent="0.25">
      <c r="A1637" s="9"/>
      <c r="C1637" s="43"/>
      <c r="D1637" s="43"/>
    </row>
    <row r="1638" spans="1:4" ht="15.75" customHeight="1" x14ac:dyDescent="0.25">
      <c r="A1638" s="9"/>
      <c r="C1638" s="43"/>
      <c r="D1638" s="43"/>
    </row>
    <row r="1639" spans="1:4" ht="15.75" customHeight="1" x14ac:dyDescent="0.25">
      <c r="A1639" s="9"/>
      <c r="C1639" s="43"/>
      <c r="D1639" s="43"/>
    </row>
    <row r="1640" spans="1:4" ht="15.75" customHeight="1" x14ac:dyDescent="0.25">
      <c r="A1640" s="9"/>
      <c r="C1640" s="43"/>
      <c r="D1640" s="43"/>
    </row>
    <row r="1641" spans="1:4" ht="15.75" customHeight="1" x14ac:dyDescent="0.25">
      <c r="A1641" s="9"/>
      <c r="C1641" s="43"/>
      <c r="D1641" s="43"/>
    </row>
    <row r="1642" spans="1:4" ht="15.75" customHeight="1" x14ac:dyDescent="0.25">
      <c r="A1642" s="9"/>
      <c r="C1642" s="43"/>
      <c r="D1642" s="43"/>
    </row>
    <row r="1643" spans="1:4" ht="15.75" customHeight="1" x14ac:dyDescent="0.25">
      <c r="A1643" s="9"/>
      <c r="C1643" s="43"/>
      <c r="D1643" s="43"/>
    </row>
    <row r="1644" spans="1:4" ht="15.75" customHeight="1" x14ac:dyDescent="0.25">
      <c r="A1644" s="9"/>
      <c r="C1644" s="43"/>
      <c r="D1644" s="43"/>
    </row>
    <row r="1645" spans="1:4" ht="15.75" customHeight="1" x14ac:dyDescent="0.25">
      <c r="A1645" s="9"/>
      <c r="C1645" s="43"/>
      <c r="D1645" s="43"/>
    </row>
    <row r="1646" spans="1:4" ht="15.75" customHeight="1" x14ac:dyDescent="0.25">
      <c r="A1646" s="9"/>
      <c r="C1646" s="43"/>
      <c r="D1646" s="43"/>
    </row>
    <row r="1647" spans="1:4" ht="15.75" customHeight="1" x14ac:dyDescent="0.25">
      <c r="A1647" s="9"/>
      <c r="C1647" s="43"/>
      <c r="D1647" s="43"/>
    </row>
    <row r="1648" spans="1:4" ht="15.75" customHeight="1" x14ac:dyDescent="0.25">
      <c r="A1648" s="9"/>
      <c r="C1648" s="43"/>
      <c r="D1648" s="43"/>
    </row>
    <row r="1649" spans="1:4" ht="15.75" customHeight="1" x14ac:dyDescent="0.25">
      <c r="A1649" s="9"/>
      <c r="C1649" s="43"/>
      <c r="D1649" s="43"/>
    </row>
    <row r="1650" spans="1:4" ht="15.75" customHeight="1" x14ac:dyDescent="0.25">
      <c r="A1650" s="9"/>
      <c r="C1650" s="43"/>
      <c r="D1650" s="43"/>
    </row>
    <row r="1651" spans="1:4" ht="15.75" customHeight="1" x14ac:dyDescent="0.25">
      <c r="A1651" s="9"/>
      <c r="C1651" s="43"/>
      <c r="D1651" s="43"/>
    </row>
    <row r="1652" spans="1:4" ht="15.75" customHeight="1" x14ac:dyDescent="0.25">
      <c r="A1652" s="9"/>
      <c r="C1652" s="43"/>
      <c r="D1652" s="43"/>
    </row>
    <row r="1653" spans="1:4" ht="15.75" customHeight="1" x14ac:dyDescent="0.25">
      <c r="A1653" s="9"/>
      <c r="C1653" s="43"/>
      <c r="D1653" s="43"/>
    </row>
    <row r="1654" spans="1:4" ht="15.75" customHeight="1" x14ac:dyDescent="0.25">
      <c r="A1654" s="9"/>
      <c r="C1654" s="43"/>
      <c r="D1654" s="43"/>
    </row>
    <row r="1655" spans="1:4" ht="15.75" customHeight="1" x14ac:dyDescent="0.25">
      <c r="A1655" s="9"/>
      <c r="C1655" s="43"/>
      <c r="D1655" s="43"/>
    </row>
    <row r="1656" spans="1:4" ht="15.75" customHeight="1" x14ac:dyDescent="0.25">
      <c r="A1656" s="9"/>
      <c r="C1656" s="43"/>
      <c r="D1656" s="43"/>
    </row>
    <row r="1657" spans="1:4" ht="15.75" customHeight="1" x14ac:dyDescent="0.25">
      <c r="A1657" s="9"/>
      <c r="C1657" s="43"/>
      <c r="D1657" s="43"/>
    </row>
    <row r="1658" spans="1:4" ht="15.75" customHeight="1" x14ac:dyDescent="0.25">
      <c r="A1658" s="9"/>
      <c r="C1658" s="43"/>
      <c r="D1658" s="43"/>
    </row>
    <row r="1659" spans="1:4" ht="15.75" customHeight="1" x14ac:dyDescent="0.25">
      <c r="A1659" s="9"/>
      <c r="C1659" s="43"/>
      <c r="D1659" s="43"/>
    </row>
    <row r="1660" spans="1:4" ht="15.75" customHeight="1" x14ac:dyDescent="0.25">
      <c r="A1660" s="9"/>
      <c r="C1660" s="43"/>
      <c r="D1660" s="43"/>
    </row>
    <row r="1661" spans="1:4" ht="15.75" customHeight="1" x14ac:dyDescent="0.25">
      <c r="A1661" s="9"/>
      <c r="C1661" s="43"/>
      <c r="D1661" s="43"/>
    </row>
    <row r="1662" spans="1:4" ht="15.75" customHeight="1" x14ac:dyDescent="0.25">
      <c r="A1662" s="9"/>
      <c r="C1662" s="43"/>
      <c r="D1662" s="43"/>
    </row>
    <row r="1663" spans="1:4" ht="15.75" customHeight="1" x14ac:dyDescent="0.25">
      <c r="A1663" s="9"/>
      <c r="C1663" s="43"/>
      <c r="D1663" s="43"/>
    </row>
    <row r="1664" spans="1:4" ht="15.75" customHeight="1" x14ac:dyDescent="0.25">
      <c r="A1664" s="9"/>
      <c r="C1664" s="43"/>
      <c r="D1664" s="43"/>
    </row>
    <row r="1665" spans="1:4" ht="15.75" customHeight="1" x14ac:dyDescent="0.25">
      <c r="A1665" s="9"/>
      <c r="C1665" s="43"/>
      <c r="D1665" s="43"/>
    </row>
    <row r="1666" spans="1:4" ht="15.75" customHeight="1" x14ac:dyDescent="0.25">
      <c r="A1666" s="9"/>
      <c r="C1666" s="43"/>
      <c r="D1666" s="43"/>
    </row>
    <row r="1667" spans="1:4" ht="15.75" customHeight="1" x14ac:dyDescent="0.25">
      <c r="A1667" s="9"/>
      <c r="C1667" s="43"/>
      <c r="D1667" s="43"/>
    </row>
    <row r="1668" spans="1:4" ht="15.75" customHeight="1" x14ac:dyDescent="0.25">
      <c r="A1668" s="9"/>
      <c r="C1668" s="43"/>
      <c r="D1668" s="43"/>
    </row>
    <row r="1669" spans="1:4" ht="15.75" customHeight="1" x14ac:dyDescent="0.25">
      <c r="A1669" s="9"/>
      <c r="C1669" s="43"/>
      <c r="D1669" s="43"/>
    </row>
    <row r="1670" spans="1:4" ht="15.75" customHeight="1" x14ac:dyDescent="0.25">
      <c r="A1670" s="9"/>
      <c r="C1670" s="43"/>
      <c r="D1670" s="43"/>
    </row>
    <row r="1671" spans="1:4" ht="15.75" customHeight="1" x14ac:dyDescent="0.25">
      <c r="A1671" s="9"/>
      <c r="C1671" s="43"/>
      <c r="D1671" s="43"/>
    </row>
    <row r="1672" spans="1:4" ht="15.75" customHeight="1" x14ac:dyDescent="0.25">
      <c r="A1672" s="9"/>
      <c r="C1672" s="43"/>
      <c r="D1672" s="43"/>
    </row>
    <row r="1673" spans="1:4" ht="15.75" customHeight="1" x14ac:dyDescent="0.25">
      <c r="A1673" s="9"/>
      <c r="C1673" s="43"/>
      <c r="D1673" s="43"/>
    </row>
    <row r="1674" spans="1:4" ht="15.75" customHeight="1" x14ac:dyDescent="0.25">
      <c r="A1674" s="9"/>
      <c r="C1674" s="43"/>
      <c r="D1674" s="43"/>
    </row>
    <row r="1675" spans="1:4" ht="15.75" customHeight="1" x14ac:dyDescent="0.25">
      <c r="A1675" s="9"/>
      <c r="C1675" s="43"/>
      <c r="D1675" s="43"/>
    </row>
    <row r="1676" spans="1:4" ht="15.75" customHeight="1" x14ac:dyDescent="0.25">
      <c r="A1676" s="9"/>
      <c r="C1676" s="43"/>
      <c r="D1676" s="43"/>
    </row>
    <row r="1677" spans="1:4" ht="15.75" customHeight="1" x14ac:dyDescent="0.25">
      <c r="A1677" s="9"/>
      <c r="C1677" s="43"/>
      <c r="D1677" s="43"/>
    </row>
    <row r="1678" spans="1:4" ht="15.75" customHeight="1" x14ac:dyDescent="0.25">
      <c r="A1678" s="9"/>
      <c r="C1678" s="43"/>
      <c r="D1678" s="43"/>
    </row>
    <row r="1679" spans="1:4" ht="15.75" customHeight="1" x14ac:dyDescent="0.25">
      <c r="A1679" s="9"/>
      <c r="C1679" s="43"/>
      <c r="D1679" s="43"/>
    </row>
    <row r="1680" spans="1:4" ht="15.75" customHeight="1" x14ac:dyDescent="0.25">
      <c r="A1680" s="9"/>
      <c r="C1680" s="43"/>
      <c r="D1680" s="43"/>
    </row>
    <row r="1681" spans="1:4" ht="15.75" customHeight="1" x14ac:dyDescent="0.25">
      <c r="A1681" s="9"/>
      <c r="C1681" s="43"/>
      <c r="D1681" s="43"/>
    </row>
    <row r="1682" spans="1:4" ht="15.75" customHeight="1" x14ac:dyDescent="0.25">
      <c r="A1682" s="9"/>
      <c r="C1682" s="43"/>
      <c r="D1682" s="43"/>
    </row>
    <row r="1683" spans="1:4" ht="15.75" customHeight="1" x14ac:dyDescent="0.25">
      <c r="A1683" s="9"/>
      <c r="C1683" s="43"/>
      <c r="D1683" s="43"/>
    </row>
    <row r="1684" spans="1:4" ht="15.75" customHeight="1" x14ac:dyDescent="0.25">
      <c r="A1684" s="9"/>
      <c r="C1684" s="43"/>
      <c r="D1684" s="43"/>
    </row>
    <row r="1685" spans="1:4" ht="15.75" customHeight="1" x14ac:dyDescent="0.25">
      <c r="A1685" s="9"/>
      <c r="C1685" s="43"/>
      <c r="D1685" s="43"/>
    </row>
    <row r="1686" spans="1:4" ht="15.75" customHeight="1" x14ac:dyDescent="0.25">
      <c r="A1686" s="9"/>
      <c r="C1686" s="43"/>
      <c r="D1686" s="43"/>
    </row>
    <row r="1687" spans="1:4" ht="15.75" customHeight="1" x14ac:dyDescent="0.25">
      <c r="A1687" s="9"/>
      <c r="C1687" s="43"/>
      <c r="D1687" s="43"/>
    </row>
    <row r="1688" spans="1:4" ht="15.75" customHeight="1" x14ac:dyDescent="0.25">
      <c r="A1688" s="9"/>
      <c r="C1688" s="43"/>
      <c r="D1688" s="43"/>
    </row>
    <row r="1689" spans="1:4" ht="15.75" customHeight="1" x14ac:dyDescent="0.25">
      <c r="A1689" s="9"/>
      <c r="C1689" s="43"/>
      <c r="D1689" s="43"/>
    </row>
    <row r="1690" spans="1:4" ht="15.75" customHeight="1" x14ac:dyDescent="0.25">
      <c r="A1690" s="9"/>
      <c r="C1690" s="43"/>
      <c r="D1690" s="43"/>
    </row>
    <row r="1691" spans="1:4" ht="15.75" customHeight="1" x14ac:dyDescent="0.25">
      <c r="A1691" s="9"/>
      <c r="C1691" s="43"/>
      <c r="D1691" s="43"/>
    </row>
    <row r="1692" spans="1:4" ht="15.75" customHeight="1" x14ac:dyDescent="0.25">
      <c r="A1692" s="9"/>
      <c r="C1692" s="43"/>
      <c r="D1692" s="43"/>
    </row>
    <row r="1693" spans="1:4" ht="15.75" customHeight="1" x14ac:dyDescent="0.25">
      <c r="A1693" s="9"/>
      <c r="C1693" s="43"/>
      <c r="D1693" s="43"/>
    </row>
    <row r="1694" spans="1:4" ht="15.75" customHeight="1" x14ac:dyDescent="0.25">
      <c r="A1694" s="9"/>
      <c r="C1694" s="43"/>
      <c r="D1694" s="43"/>
    </row>
    <row r="1695" spans="1:4" ht="15.75" customHeight="1" x14ac:dyDescent="0.25">
      <c r="A1695" s="9"/>
      <c r="C1695" s="43"/>
      <c r="D1695" s="43"/>
    </row>
    <row r="1696" spans="1:4" ht="15.75" customHeight="1" x14ac:dyDescent="0.25">
      <c r="A1696" s="9"/>
      <c r="C1696" s="43"/>
      <c r="D1696" s="43"/>
    </row>
    <row r="1697" spans="1:4" ht="15.75" customHeight="1" x14ac:dyDescent="0.25">
      <c r="A1697" s="9"/>
      <c r="C1697" s="43"/>
      <c r="D1697" s="43"/>
    </row>
    <row r="1698" spans="1:4" ht="15.75" customHeight="1" x14ac:dyDescent="0.25">
      <c r="A1698" s="9"/>
      <c r="C1698" s="43"/>
      <c r="D1698" s="43"/>
    </row>
    <row r="1699" spans="1:4" ht="15.75" customHeight="1" x14ac:dyDescent="0.25">
      <c r="A1699" s="9"/>
      <c r="C1699" s="43"/>
      <c r="D1699" s="43"/>
    </row>
    <row r="1700" spans="1:4" ht="15.75" customHeight="1" x14ac:dyDescent="0.25">
      <c r="A1700" s="9"/>
      <c r="C1700" s="43"/>
      <c r="D1700" s="43"/>
    </row>
    <row r="1701" spans="1:4" ht="15.75" customHeight="1" x14ac:dyDescent="0.25">
      <c r="A1701" s="9"/>
      <c r="C1701" s="43"/>
      <c r="D1701" s="43"/>
    </row>
    <row r="1702" spans="1:4" ht="15.75" customHeight="1" x14ac:dyDescent="0.25">
      <c r="A1702" s="9"/>
      <c r="C1702" s="43"/>
      <c r="D1702" s="43"/>
    </row>
    <row r="1703" spans="1:4" ht="15.75" customHeight="1" x14ac:dyDescent="0.25">
      <c r="A1703" s="9"/>
      <c r="C1703" s="43"/>
      <c r="D1703" s="43"/>
    </row>
    <row r="1704" spans="1:4" ht="15.75" customHeight="1" x14ac:dyDescent="0.25">
      <c r="A1704" s="9"/>
      <c r="C1704" s="43"/>
      <c r="D1704" s="43"/>
    </row>
    <row r="1705" spans="1:4" ht="15.75" customHeight="1" x14ac:dyDescent="0.25">
      <c r="A1705" s="9"/>
      <c r="C1705" s="43"/>
      <c r="D1705" s="43"/>
    </row>
    <row r="1706" spans="1:4" ht="15.75" customHeight="1" x14ac:dyDescent="0.25">
      <c r="A1706" s="9"/>
      <c r="C1706" s="43"/>
      <c r="D1706" s="43"/>
    </row>
    <row r="1707" spans="1:4" ht="15.75" customHeight="1" x14ac:dyDescent="0.25">
      <c r="A1707" s="9"/>
      <c r="C1707" s="43"/>
      <c r="D1707" s="43"/>
    </row>
    <row r="1708" spans="1:4" ht="15.75" customHeight="1" x14ac:dyDescent="0.25">
      <c r="A1708" s="9"/>
      <c r="C1708" s="43"/>
      <c r="D1708" s="43"/>
    </row>
    <row r="1709" spans="1:4" ht="15.75" customHeight="1" x14ac:dyDescent="0.25">
      <c r="A1709" s="9"/>
      <c r="C1709" s="43"/>
      <c r="D1709" s="43"/>
    </row>
    <row r="1710" spans="1:4" ht="15.75" customHeight="1" x14ac:dyDescent="0.25">
      <c r="A1710" s="9"/>
      <c r="C1710" s="43"/>
      <c r="D1710" s="43"/>
    </row>
    <row r="1711" spans="1:4" ht="15.75" customHeight="1" x14ac:dyDescent="0.25">
      <c r="A1711" s="9"/>
      <c r="C1711" s="43"/>
      <c r="D1711" s="43"/>
    </row>
    <row r="1712" spans="1:4" ht="15.75" customHeight="1" x14ac:dyDescent="0.25">
      <c r="A1712" s="9"/>
      <c r="C1712" s="43"/>
      <c r="D1712" s="43"/>
    </row>
    <row r="1713" spans="1:4" ht="15.75" customHeight="1" x14ac:dyDescent="0.25">
      <c r="A1713" s="9"/>
      <c r="C1713" s="43"/>
      <c r="D1713" s="43"/>
    </row>
    <row r="1714" spans="1:4" ht="15.75" customHeight="1" x14ac:dyDescent="0.25">
      <c r="A1714" s="9"/>
      <c r="C1714" s="43"/>
      <c r="D1714" s="43"/>
    </row>
    <row r="1715" spans="1:4" ht="15.75" customHeight="1" x14ac:dyDescent="0.25">
      <c r="A1715" s="9"/>
      <c r="C1715" s="43"/>
      <c r="D1715" s="43"/>
    </row>
    <row r="1716" spans="1:4" ht="15.75" customHeight="1" x14ac:dyDescent="0.25">
      <c r="A1716" s="9"/>
      <c r="C1716" s="43"/>
      <c r="D1716" s="43"/>
    </row>
    <row r="1717" spans="1:4" ht="15.75" customHeight="1" x14ac:dyDescent="0.25">
      <c r="A1717" s="9"/>
      <c r="C1717" s="43"/>
      <c r="D1717" s="43"/>
    </row>
    <row r="1718" spans="1:4" ht="15.75" customHeight="1" x14ac:dyDescent="0.25">
      <c r="A1718" s="9"/>
      <c r="C1718" s="43"/>
      <c r="D1718" s="43"/>
    </row>
    <row r="1719" spans="1:4" ht="15.75" customHeight="1" x14ac:dyDescent="0.25">
      <c r="A1719" s="9"/>
      <c r="C1719" s="43"/>
      <c r="D1719" s="43"/>
    </row>
    <row r="1720" spans="1:4" ht="15.75" customHeight="1" x14ac:dyDescent="0.25">
      <c r="A1720" s="9"/>
      <c r="C1720" s="43"/>
      <c r="D1720" s="43"/>
    </row>
    <row r="1721" spans="1:4" ht="15.75" customHeight="1" x14ac:dyDescent="0.25">
      <c r="A1721" s="9"/>
      <c r="C1721" s="43"/>
      <c r="D1721" s="43"/>
    </row>
    <row r="1722" spans="1:4" ht="15.75" customHeight="1" x14ac:dyDescent="0.25">
      <c r="A1722" s="9"/>
      <c r="C1722" s="43"/>
      <c r="D1722" s="43"/>
    </row>
    <row r="1723" spans="1:4" ht="15.75" customHeight="1" x14ac:dyDescent="0.25">
      <c r="A1723" s="9"/>
      <c r="C1723" s="43"/>
      <c r="D1723" s="43"/>
    </row>
    <row r="1724" spans="1:4" ht="15.75" customHeight="1" x14ac:dyDescent="0.25">
      <c r="A1724" s="9"/>
      <c r="C1724" s="43"/>
      <c r="D1724" s="43"/>
    </row>
    <row r="1725" spans="1:4" ht="15.75" customHeight="1" x14ac:dyDescent="0.25">
      <c r="A1725" s="9"/>
      <c r="C1725" s="43"/>
      <c r="D1725" s="43"/>
    </row>
    <row r="1726" spans="1:4" ht="15.75" customHeight="1" x14ac:dyDescent="0.25">
      <c r="A1726" s="9"/>
      <c r="C1726" s="43"/>
      <c r="D1726" s="43"/>
    </row>
    <row r="1727" spans="1:4" ht="15.75" customHeight="1" x14ac:dyDescent="0.25">
      <c r="A1727" s="9"/>
      <c r="C1727" s="43"/>
      <c r="D1727" s="43"/>
    </row>
    <row r="1728" spans="1:4" ht="15.75" customHeight="1" x14ac:dyDescent="0.25">
      <c r="A1728" s="9"/>
      <c r="C1728" s="43"/>
      <c r="D1728" s="43"/>
    </row>
    <row r="1729" spans="1:4" ht="15.75" customHeight="1" x14ac:dyDescent="0.25">
      <c r="A1729" s="9"/>
      <c r="C1729" s="43"/>
      <c r="D1729" s="43"/>
    </row>
    <row r="1730" spans="1:4" ht="15.75" customHeight="1" x14ac:dyDescent="0.25">
      <c r="A1730" s="9"/>
      <c r="C1730" s="43"/>
      <c r="D1730" s="43"/>
    </row>
    <row r="1731" spans="1:4" ht="15.75" customHeight="1" x14ac:dyDescent="0.25">
      <c r="A1731" s="9"/>
      <c r="C1731" s="43"/>
      <c r="D1731" s="43"/>
    </row>
    <row r="1732" spans="1:4" ht="15.75" customHeight="1" x14ac:dyDescent="0.25">
      <c r="A1732" s="9"/>
      <c r="C1732" s="43"/>
      <c r="D1732" s="43"/>
    </row>
    <row r="1733" spans="1:4" ht="15.75" customHeight="1" x14ac:dyDescent="0.25">
      <c r="A1733" s="9"/>
      <c r="C1733" s="43"/>
      <c r="D1733" s="43"/>
    </row>
    <row r="1734" spans="1:4" ht="15.75" customHeight="1" x14ac:dyDescent="0.25">
      <c r="A1734" s="9"/>
      <c r="C1734" s="43"/>
      <c r="D1734" s="43"/>
    </row>
    <row r="1735" spans="1:4" ht="15.75" customHeight="1" x14ac:dyDescent="0.25">
      <c r="A1735" s="9"/>
      <c r="C1735" s="43"/>
      <c r="D1735" s="43"/>
    </row>
    <row r="1736" spans="1:4" ht="15.75" customHeight="1" x14ac:dyDescent="0.25">
      <c r="A1736" s="9"/>
      <c r="C1736" s="43"/>
      <c r="D1736" s="43"/>
    </row>
    <row r="1737" spans="1:4" ht="15.75" customHeight="1" x14ac:dyDescent="0.25">
      <c r="A1737" s="9"/>
      <c r="C1737" s="43"/>
      <c r="D1737" s="43"/>
    </row>
    <row r="1738" spans="1:4" ht="15.75" customHeight="1" x14ac:dyDescent="0.25">
      <c r="A1738" s="9"/>
      <c r="C1738" s="43"/>
      <c r="D1738" s="43"/>
    </row>
    <row r="1739" spans="1:4" ht="15.75" customHeight="1" x14ac:dyDescent="0.25">
      <c r="A1739" s="9"/>
      <c r="C1739" s="43"/>
      <c r="D1739" s="43"/>
    </row>
    <row r="1740" spans="1:4" ht="15.75" customHeight="1" x14ac:dyDescent="0.25">
      <c r="A1740" s="9"/>
      <c r="C1740" s="43"/>
      <c r="D1740" s="43"/>
    </row>
    <row r="1741" spans="1:4" ht="15.75" customHeight="1" x14ac:dyDescent="0.25">
      <c r="A1741" s="9"/>
      <c r="C1741" s="43"/>
      <c r="D1741" s="43"/>
    </row>
    <row r="1742" spans="1:4" ht="15.75" customHeight="1" x14ac:dyDescent="0.25">
      <c r="A1742" s="9"/>
      <c r="C1742" s="43"/>
      <c r="D1742" s="43"/>
    </row>
    <row r="1743" spans="1:4" ht="15.75" customHeight="1" x14ac:dyDescent="0.25">
      <c r="A1743" s="9"/>
      <c r="C1743" s="43"/>
      <c r="D1743" s="43"/>
    </row>
    <row r="1744" spans="1:4" ht="15.75" customHeight="1" x14ac:dyDescent="0.25">
      <c r="A1744" s="9"/>
      <c r="C1744" s="43"/>
      <c r="D1744" s="43"/>
    </row>
    <row r="1745" spans="1:4" ht="15.75" customHeight="1" x14ac:dyDescent="0.25">
      <c r="A1745" s="9"/>
      <c r="C1745" s="43"/>
      <c r="D1745" s="43"/>
    </row>
    <row r="1746" spans="1:4" ht="15.75" customHeight="1" x14ac:dyDescent="0.25">
      <c r="A1746" s="9"/>
      <c r="C1746" s="43"/>
      <c r="D1746" s="43"/>
    </row>
    <row r="1747" spans="1:4" ht="15.75" customHeight="1" x14ac:dyDescent="0.25">
      <c r="A1747" s="9"/>
      <c r="C1747" s="43"/>
      <c r="D1747" s="43"/>
    </row>
    <row r="1748" spans="1:4" ht="15.75" customHeight="1" x14ac:dyDescent="0.25">
      <c r="A1748" s="9"/>
      <c r="C1748" s="43"/>
      <c r="D1748" s="43"/>
    </row>
    <row r="1749" spans="1:4" ht="15.75" customHeight="1" x14ac:dyDescent="0.25">
      <c r="A1749" s="9"/>
      <c r="C1749" s="43"/>
      <c r="D1749" s="43"/>
    </row>
    <row r="1750" spans="1:4" ht="15.75" customHeight="1" x14ac:dyDescent="0.25">
      <c r="A1750" s="9"/>
      <c r="C1750" s="43"/>
      <c r="D1750" s="43"/>
    </row>
    <row r="1751" spans="1:4" ht="15.75" customHeight="1" x14ac:dyDescent="0.25">
      <c r="A1751" s="9"/>
      <c r="C1751" s="43"/>
      <c r="D1751" s="43"/>
    </row>
    <row r="1752" spans="1:4" ht="15.75" customHeight="1" x14ac:dyDescent="0.25">
      <c r="A1752" s="9"/>
      <c r="C1752" s="43"/>
      <c r="D1752" s="43"/>
    </row>
    <row r="1753" spans="1:4" ht="15.75" customHeight="1" x14ac:dyDescent="0.25">
      <c r="A1753" s="9"/>
      <c r="C1753" s="43"/>
      <c r="D1753" s="43"/>
    </row>
    <row r="1754" spans="1:4" ht="15.75" customHeight="1" x14ac:dyDescent="0.25">
      <c r="A1754" s="9"/>
      <c r="C1754" s="43"/>
      <c r="D1754" s="43"/>
    </row>
    <row r="1755" spans="1:4" ht="15.75" customHeight="1" x14ac:dyDescent="0.25">
      <c r="A1755" s="9"/>
      <c r="C1755" s="43"/>
      <c r="D1755" s="43"/>
    </row>
    <row r="1756" spans="1:4" ht="15.75" customHeight="1" x14ac:dyDescent="0.25">
      <c r="A1756" s="9"/>
      <c r="C1756" s="43"/>
      <c r="D1756" s="43"/>
    </row>
    <row r="1757" spans="1:4" ht="15.75" customHeight="1" x14ac:dyDescent="0.25">
      <c r="A1757" s="9"/>
      <c r="C1757" s="43"/>
      <c r="D1757" s="43"/>
    </row>
    <row r="1758" spans="1:4" ht="15.75" customHeight="1" x14ac:dyDescent="0.25">
      <c r="A1758" s="9"/>
      <c r="C1758" s="43"/>
      <c r="D1758" s="43"/>
    </row>
    <row r="1759" spans="1:4" ht="15.75" customHeight="1" x14ac:dyDescent="0.25">
      <c r="A1759" s="9"/>
      <c r="C1759" s="43"/>
      <c r="D1759" s="43"/>
    </row>
    <row r="1760" spans="1:4" ht="15.75" customHeight="1" x14ac:dyDescent="0.25">
      <c r="A1760" s="9"/>
      <c r="C1760" s="43"/>
      <c r="D1760" s="43"/>
    </row>
    <row r="1761" spans="1:4" ht="15.75" customHeight="1" x14ac:dyDescent="0.25">
      <c r="A1761" s="9"/>
      <c r="C1761" s="43"/>
      <c r="D1761" s="43"/>
    </row>
    <row r="1762" spans="1:4" ht="15.75" customHeight="1" x14ac:dyDescent="0.25">
      <c r="A1762" s="9"/>
      <c r="C1762" s="43"/>
      <c r="D1762" s="43"/>
    </row>
    <row r="1763" spans="1:4" ht="15.75" customHeight="1" x14ac:dyDescent="0.25">
      <c r="A1763" s="9"/>
      <c r="C1763" s="43"/>
      <c r="D1763" s="43"/>
    </row>
    <row r="1764" spans="1:4" ht="15.75" customHeight="1" x14ac:dyDescent="0.25">
      <c r="A1764" s="9"/>
      <c r="C1764" s="43"/>
      <c r="D1764" s="43"/>
    </row>
    <row r="1765" spans="1:4" ht="15.75" customHeight="1" x14ac:dyDescent="0.25">
      <c r="A1765" s="9"/>
      <c r="C1765" s="43"/>
      <c r="D1765" s="43"/>
    </row>
    <row r="1766" spans="1:4" ht="15.75" customHeight="1" x14ac:dyDescent="0.25">
      <c r="A1766" s="9"/>
      <c r="C1766" s="43"/>
      <c r="D1766" s="43"/>
    </row>
    <row r="1767" spans="1:4" ht="15.75" customHeight="1" x14ac:dyDescent="0.25">
      <c r="A1767" s="9"/>
      <c r="C1767" s="43"/>
      <c r="D1767" s="43"/>
    </row>
    <row r="1768" spans="1:4" ht="15.75" customHeight="1" x14ac:dyDescent="0.25">
      <c r="A1768" s="9"/>
      <c r="C1768" s="43"/>
      <c r="D1768" s="43"/>
    </row>
    <row r="1769" spans="1:4" ht="15.75" customHeight="1" x14ac:dyDescent="0.25">
      <c r="A1769" s="9"/>
      <c r="C1769" s="43"/>
      <c r="D1769" s="43"/>
    </row>
    <row r="1770" spans="1:4" ht="15.75" customHeight="1" x14ac:dyDescent="0.25">
      <c r="A1770" s="9"/>
      <c r="C1770" s="43"/>
      <c r="D1770" s="43"/>
    </row>
    <row r="1771" spans="1:4" ht="15.75" customHeight="1" x14ac:dyDescent="0.25">
      <c r="A1771" s="9"/>
      <c r="C1771" s="43"/>
      <c r="D1771" s="43"/>
    </row>
    <row r="1772" spans="1:4" ht="15.75" customHeight="1" x14ac:dyDescent="0.25">
      <c r="A1772" s="9"/>
      <c r="C1772" s="43"/>
      <c r="D1772" s="43"/>
    </row>
    <row r="1773" spans="1:4" ht="15.75" customHeight="1" x14ac:dyDescent="0.25">
      <c r="A1773" s="9"/>
      <c r="C1773" s="43"/>
      <c r="D1773" s="43"/>
    </row>
    <row r="1774" spans="1:4" ht="15.75" customHeight="1" x14ac:dyDescent="0.25">
      <c r="A1774" s="9"/>
      <c r="C1774" s="43"/>
      <c r="D1774" s="43"/>
    </row>
    <row r="1775" spans="1:4" ht="15.75" customHeight="1" x14ac:dyDescent="0.25">
      <c r="A1775" s="9"/>
      <c r="C1775" s="43"/>
      <c r="D1775" s="43"/>
    </row>
    <row r="1776" spans="1:4" ht="15.75" customHeight="1" x14ac:dyDescent="0.25">
      <c r="A1776" s="9"/>
      <c r="C1776" s="43"/>
      <c r="D1776" s="43"/>
    </row>
    <row r="1777" spans="1:4" ht="15.75" customHeight="1" x14ac:dyDescent="0.25">
      <c r="A1777" s="9"/>
      <c r="C1777" s="43"/>
      <c r="D1777" s="43"/>
    </row>
    <row r="1778" spans="1:4" ht="15.75" customHeight="1" x14ac:dyDescent="0.25">
      <c r="A1778" s="9"/>
      <c r="C1778" s="43"/>
      <c r="D1778" s="43"/>
    </row>
    <row r="1779" spans="1:4" ht="15.75" customHeight="1" x14ac:dyDescent="0.25">
      <c r="A1779" s="9"/>
      <c r="C1779" s="43"/>
      <c r="D1779" s="43"/>
    </row>
    <row r="1780" spans="1:4" ht="15.75" customHeight="1" x14ac:dyDescent="0.25">
      <c r="A1780" s="9"/>
      <c r="C1780" s="43"/>
      <c r="D1780" s="43"/>
    </row>
    <row r="1781" spans="1:4" ht="15.75" customHeight="1" x14ac:dyDescent="0.25">
      <c r="A1781" s="9"/>
      <c r="C1781" s="43"/>
      <c r="D1781" s="43"/>
    </row>
    <row r="1782" spans="1:4" ht="15.75" customHeight="1" x14ac:dyDescent="0.25">
      <c r="A1782" s="9"/>
      <c r="C1782" s="43"/>
      <c r="D1782" s="43"/>
    </row>
    <row r="1783" spans="1:4" ht="15.75" customHeight="1" x14ac:dyDescent="0.25">
      <c r="A1783" s="9"/>
      <c r="C1783" s="43"/>
      <c r="D1783" s="43"/>
    </row>
    <row r="1784" spans="1:4" ht="15.75" customHeight="1" x14ac:dyDescent="0.25">
      <c r="A1784" s="9"/>
      <c r="C1784" s="43"/>
      <c r="D1784" s="43"/>
    </row>
    <row r="1785" spans="1:4" ht="15.75" customHeight="1" x14ac:dyDescent="0.25">
      <c r="A1785" s="9"/>
      <c r="C1785" s="43"/>
      <c r="D1785" s="43"/>
    </row>
    <row r="1786" spans="1:4" ht="15.75" customHeight="1" x14ac:dyDescent="0.25">
      <c r="A1786" s="9"/>
      <c r="C1786" s="43"/>
      <c r="D1786" s="43"/>
    </row>
    <row r="1787" spans="1:4" ht="15.75" customHeight="1" x14ac:dyDescent="0.25">
      <c r="A1787" s="9"/>
      <c r="C1787" s="43"/>
      <c r="D1787" s="43"/>
    </row>
    <row r="1788" spans="1:4" ht="15.75" customHeight="1" x14ac:dyDescent="0.25">
      <c r="A1788" s="9"/>
      <c r="C1788" s="43"/>
      <c r="D1788" s="43"/>
    </row>
    <row r="1789" spans="1:4" ht="15.75" customHeight="1" x14ac:dyDescent="0.25">
      <c r="A1789" s="9"/>
      <c r="C1789" s="43"/>
      <c r="D1789" s="43"/>
    </row>
    <row r="1790" spans="1:4" ht="15.75" customHeight="1" x14ac:dyDescent="0.25">
      <c r="A1790" s="9"/>
      <c r="C1790" s="43"/>
      <c r="D1790" s="43"/>
    </row>
    <row r="1791" spans="1:4" ht="15.75" customHeight="1" x14ac:dyDescent="0.25">
      <c r="A1791" s="9"/>
      <c r="C1791" s="43"/>
      <c r="D1791" s="43"/>
    </row>
    <row r="1792" spans="1:4" ht="15.75" customHeight="1" x14ac:dyDescent="0.25">
      <c r="A1792" s="9"/>
      <c r="C1792" s="43"/>
      <c r="D1792" s="43"/>
    </row>
    <row r="1793" spans="1:4" ht="15.75" customHeight="1" x14ac:dyDescent="0.25">
      <c r="A1793" s="9"/>
      <c r="C1793" s="43"/>
      <c r="D1793" s="43"/>
    </row>
    <row r="1794" spans="1:4" ht="15.75" customHeight="1" x14ac:dyDescent="0.25">
      <c r="A1794" s="9"/>
      <c r="C1794" s="43"/>
      <c r="D1794" s="43"/>
    </row>
    <row r="1795" spans="1:4" ht="15.75" customHeight="1" x14ac:dyDescent="0.25">
      <c r="A1795" s="9"/>
      <c r="C1795" s="43"/>
      <c r="D1795" s="43"/>
    </row>
    <row r="1796" spans="1:4" ht="15.75" customHeight="1" x14ac:dyDescent="0.25">
      <c r="A1796" s="9"/>
      <c r="C1796" s="43"/>
      <c r="D1796" s="43"/>
    </row>
    <row r="1797" spans="1:4" ht="15.75" customHeight="1" x14ac:dyDescent="0.25">
      <c r="A1797" s="9"/>
      <c r="C1797" s="43"/>
      <c r="D1797" s="43"/>
    </row>
    <row r="1798" spans="1:4" ht="15.75" customHeight="1" x14ac:dyDescent="0.25">
      <c r="A1798" s="9"/>
      <c r="C1798" s="43"/>
      <c r="D1798" s="43"/>
    </row>
    <row r="1799" spans="1:4" ht="15.75" customHeight="1" x14ac:dyDescent="0.25">
      <c r="A1799" s="9"/>
      <c r="C1799" s="43"/>
      <c r="D1799" s="43"/>
    </row>
    <row r="1800" spans="1:4" ht="15.75" customHeight="1" x14ac:dyDescent="0.25">
      <c r="A1800" s="9"/>
      <c r="C1800" s="43"/>
      <c r="D1800" s="43"/>
    </row>
    <row r="1801" spans="1:4" ht="15.75" customHeight="1" x14ac:dyDescent="0.25">
      <c r="A1801" s="9"/>
      <c r="C1801" s="43"/>
      <c r="D1801" s="43"/>
    </row>
    <row r="1802" spans="1:4" ht="15.75" customHeight="1" x14ac:dyDescent="0.25">
      <c r="A1802" s="9"/>
      <c r="C1802" s="43"/>
      <c r="D1802" s="43"/>
    </row>
    <row r="1803" spans="1:4" ht="15.75" customHeight="1" x14ac:dyDescent="0.25">
      <c r="A1803" s="9"/>
      <c r="C1803" s="43"/>
      <c r="D1803" s="43"/>
    </row>
    <row r="1804" spans="1:4" ht="15.75" customHeight="1" x14ac:dyDescent="0.25">
      <c r="A1804" s="9"/>
      <c r="C1804" s="43"/>
      <c r="D1804" s="43"/>
    </row>
    <row r="1805" spans="1:4" ht="15.75" customHeight="1" x14ac:dyDescent="0.25">
      <c r="A1805" s="9"/>
      <c r="C1805" s="43"/>
      <c r="D1805" s="43"/>
    </row>
    <row r="1806" spans="1:4" ht="15.75" customHeight="1" x14ac:dyDescent="0.25">
      <c r="A1806" s="9"/>
      <c r="C1806" s="43"/>
      <c r="D1806" s="43"/>
    </row>
    <row r="1807" spans="1:4" ht="15.75" customHeight="1" x14ac:dyDescent="0.25">
      <c r="A1807" s="9"/>
      <c r="C1807" s="43"/>
      <c r="D1807" s="43"/>
    </row>
    <row r="1808" spans="1:4" ht="15.75" customHeight="1" x14ac:dyDescent="0.25">
      <c r="A1808" s="9"/>
      <c r="C1808" s="43"/>
      <c r="D1808" s="43"/>
    </row>
    <row r="1809" spans="1:4" ht="15.75" customHeight="1" x14ac:dyDescent="0.25">
      <c r="A1809" s="9"/>
      <c r="C1809" s="43"/>
      <c r="D1809" s="43"/>
    </row>
    <row r="1810" spans="1:4" ht="15.75" customHeight="1" x14ac:dyDescent="0.25">
      <c r="A1810" s="9"/>
      <c r="C1810" s="43"/>
      <c r="D1810" s="43"/>
    </row>
    <row r="1811" spans="1:4" ht="15.75" customHeight="1" x14ac:dyDescent="0.25">
      <c r="A1811" s="9"/>
      <c r="C1811" s="43"/>
      <c r="D1811" s="43"/>
    </row>
    <row r="1812" spans="1:4" ht="15.75" customHeight="1" x14ac:dyDescent="0.25">
      <c r="A1812" s="9"/>
      <c r="C1812" s="43"/>
      <c r="D1812" s="43"/>
    </row>
    <row r="1813" spans="1:4" ht="15.75" customHeight="1" x14ac:dyDescent="0.25">
      <c r="A1813" s="9"/>
      <c r="C1813" s="43"/>
      <c r="D1813" s="43"/>
    </row>
    <row r="1814" spans="1:4" ht="15.75" customHeight="1" x14ac:dyDescent="0.25">
      <c r="A1814" s="9"/>
      <c r="C1814" s="43"/>
      <c r="D1814" s="43"/>
    </row>
    <row r="1815" spans="1:4" ht="15.75" customHeight="1" x14ac:dyDescent="0.25">
      <c r="A1815" s="9"/>
      <c r="C1815" s="43"/>
      <c r="D1815" s="43"/>
    </row>
    <row r="1816" spans="1:4" ht="15.75" customHeight="1" x14ac:dyDescent="0.25">
      <c r="A1816" s="9"/>
      <c r="C1816" s="43"/>
      <c r="D1816" s="43"/>
    </row>
    <row r="1817" spans="1:4" ht="15.75" customHeight="1" x14ac:dyDescent="0.25">
      <c r="A1817" s="9"/>
      <c r="C1817" s="43"/>
      <c r="D1817" s="43"/>
    </row>
    <row r="1818" spans="1:4" ht="15.75" customHeight="1" x14ac:dyDescent="0.25">
      <c r="A1818" s="9"/>
      <c r="C1818" s="43"/>
      <c r="D1818" s="43"/>
    </row>
    <row r="1819" spans="1:4" ht="15.75" customHeight="1" x14ac:dyDescent="0.25">
      <c r="A1819" s="9"/>
      <c r="C1819" s="43"/>
      <c r="D1819" s="43"/>
    </row>
    <row r="1820" spans="1:4" ht="15.75" customHeight="1" x14ac:dyDescent="0.25">
      <c r="A1820" s="9"/>
      <c r="C1820" s="43"/>
      <c r="D1820" s="43"/>
    </row>
    <row r="1821" spans="1:4" ht="15.75" customHeight="1" x14ac:dyDescent="0.25">
      <c r="A1821" s="9"/>
      <c r="C1821" s="43"/>
      <c r="D1821" s="43"/>
    </row>
    <row r="1822" spans="1:4" ht="15.75" customHeight="1" x14ac:dyDescent="0.25">
      <c r="A1822" s="9"/>
      <c r="C1822" s="43"/>
      <c r="D1822" s="43"/>
    </row>
    <row r="1823" spans="1:4" ht="15.75" customHeight="1" x14ac:dyDescent="0.25">
      <c r="A1823" s="9"/>
      <c r="C1823" s="43"/>
      <c r="D1823" s="43"/>
    </row>
    <row r="1824" spans="1:4" ht="15.75" customHeight="1" x14ac:dyDescent="0.25">
      <c r="A1824" s="9"/>
      <c r="C1824" s="43"/>
      <c r="D1824" s="43"/>
    </row>
    <row r="1825" spans="1:4" ht="15.75" customHeight="1" x14ac:dyDescent="0.25">
      <c r="A1825" s="9"/>
      <c r="C1825" s="43"/>
      <c r="D1825" s="43"/>
    </row>
    <row r="1826" spans="1:4" ht="15.75" customHeight="1" x14ac:dyDescent="0.25">
      <c r="A1826" s="9"/>
      <c r="C1826" s="43"/>
      <c r="D1826" s="43"/>
    </row>
    <row r="1827" spans="1:4" ht="15.75" customHeight="1" x14ac:dyDescent="0.25">
      <c r="A1827" s="9"/>
      <c r="C1827" s="43"/>
      <c r="D1827" s="43"/>
    </row>
    <row r="1828" spans="1:4" ht="15.75" customHeight="1" x14ac:dyDescent="0.25">
      <c r="A1828" s="9"/>
      <c r="C1828" s="43"/>
      <c r="D1828" s="43"/>
    </row>
    <row r="1829" spans="1:4" ht="15.75" customHeight="1" x14ac:dyDescent="0.25">
      <c r="A1829" s="9"/>
      <c r="C1829" s="43"/>
      <c r="D1829" s="43"/>
    </row>
    <row r="1830" spans="1:4" ht="15.75" customHeight="1" x14ac:dyDescent="0.25">
      <c r="A1830" s="9"/>
      <c r="C1830" s="43"/>
      <c r="D1830" s="43"/>
    </row>
    <row r="1831" spans="1:4" ht="15.75" customHeight="1" x14ac:dyDescent="0.25">
      <c r="A1831" s="9"/>
      <c r="C1831" s="43"/>
      <c r="D1831" s="43"/>
    </row>
    <row r="1832" spans="1:4" ht="15.75" customHeight="1" x14ac:dyDescent="0.25">
      <c r="A1832" s="9"/>
      <c r="C1832" s="43"/>
      <c r="D1832" s="43"/>
    </row>
    <row r="1833" spans="1:4" ht="15.75" customHeight="1" x14ac:dyDescent="0.25">
      <c r="A1833" s="9"/>
      <c r="C1833" s="43"/>
      <c r="D1833" s="43"/>
    </row>
    <row r="1834" spans="1:4" ht="15.75" customHeight="1" x14ac:dyDescent="0.25">
      <c r="A1834" s="9"/>
      <c r="C1834" s="43"/>
      <c r="D1834" s="43"/>
    </row>
    <row r="1835" spans="1:4" ht="15.75" customHeight="1" x14ac:dyDescent="0.25">
      <c r="A1835" s="9"/>
      <c r="C1835" s="43"/>
      <c r="D1835" s="43"/>
    </row>
    <row r="1836" spans="1:4" ht="15.75" customHeight="1" x14ac:dyDescent="0.25">
      <c r="A1836" s="9"/>
      <c r="C1836" s="43"/>
      <c r="D1836" s="43"/>
    </row>
    <row r="1837" spans="1:4" ht="15.75" customHeight="1" x14ac:dyDescent="0.25">
      <c r="A1837" s="9"/>
      <c r="C1837" s="43"/>
      <c r="D1837" s="43"/>
    </row>
    <row r="1838" spans="1:4" ht="15.75" customHeight="1" x14ac:dyDescent="0.25">
      <c r="A1838" s="9"/>
      <c r="C1838" s="43"/>
      <c r="D1838" s="43"/>
    </row>
    <row r="1839" spans="1:4" ht="15.75" customHeight="1" x14ac:dyDescent="0.25">
      <c r="A1839" s="9"/>
      <c r="C1839" s="43"/>
      <c r="D1839" s="43"/>
    </row>
    <row r="1840" spans="1:4" ht="15.75" customHeight="1" x14ac:dyDescent="0.25">
      <c r="A1840" s="9"/>
      <c r="C1840" s="43"/>
      <c r="D1840" s="43"/>
    </row>
    <row r="1841" spans="1:4" ht="15.75" customHeight="1" x14ac:dyDescent="0.25">
      <c r="A1841" s="9"/>
      <c r="C1841" s="43"/>
      <c r="D1841" s="43"/>
    </row>
    <row r="1842" spans="1:4" ht="15.75" customHeight="1" x14ac:dyDescent="0.25">
      <c r="A1842" s="9"/>
      <c r="C1842" s="43"/>
      <c r="D1842" s="43"/>
    </row>
    <row r="1843" spans="1:4" ht="15.75" customHeight="1" x14ac:dyDescent="0.25">
      <c r="A1843" s="9"/>
      <c r="C1843" s="43"/>
      <c r="D1843" s="43"/>
    </row>
    <row r="1844" spans="1:4" ht="15.75" customHeight="1" x14ac:dyDescent="0.25">
      <c r="A1844" s="9"/>
      <c r="C1844" s="43"/>
      <c r="D1844" s="43"/>
    </row>
    <row r="1845" spans="1:4" ht="15.75" customHeight="1" x14ac:dyDescent="0.25">
      <c r="A1845" s="9"/>
      <c r="C1845" s="43"/>
      <c r="D1845" s="43"/>
    </row>
    <row r="1846" spans="1:4" ht="15.75" customHeight="1" x14ac:dyDescent="0.25">
      <c r="A1846" s="9"/>
      <c r="C1846" s="43"/>
      <c r="D1846" s="43"/>
    </row>
    <row r="1847" spans="1:4" ht="15.75" customHeight="1" x14ac:dyDescent="0.25">
      <c r="A1847" s="9"/>
      <c r="C1847" s="43"/>
      <c r="D1847" s="43"/>
    </row>
    <row r="1848" spans="1:4" ht="15.75" customHeight="1" x14ac:dyDescent="0.25">
      <c r="A1848" s="9"/>
      <c r="C1848" s="43"/>
      <c r="D1848" s="43"/>
    </row>
    <row r="1849" spans="1:4" ht="15.75" customHeight="1" x14ac:dyDescent="0.25">
      <c r="A1849" s="9"/>
      <c r="C1849" s="43"/>
      <c r="D1849" s="43"/>
    </row>
    <row r="1850" spans="1:4" ht="15.75" customHeight="1" x14ac:dyDescent="0.25">
      <c r="A1850" s="9"/>
      <c r="C1850" s="43"/>
      <c r="D1850" s="43"/>
    </row>
    <row r="1851" spans="1:4" ht="15.75" customHeight="1" x14ac:dyDescent="0.25">
      <c r="A1851" s="9"/>
      <c r="C1851" s="43"/>
      <c r="D1851" s="43"/>
    </row>
    <row r="1852" spans="1:4" ht="15.75" customHeight="1" x14ac:dyDescent="0.25">
      <c r="A1852" s="9"/>
      <c r="C1852" s="43"/>
      <c r="D1852" s="43"/>
    </row>
    <row r="1853" spans="1:4" ht="15.75" customHeight="1" x14ac:dyDescent="0.25">
      <c r="A1853" s="9"/>
      <c r="C1853" s="43"/>
      <c r="D1853" s="43"/>
    </row>
    <row r="1854" spans="1:4" ht="15.75" customHeight="1" x14ac:dyDescent="0.25">
      <c r="A1854" s="9"/>
      <c r="C1854" s="43"/>
      <c r="D1854" s="43"/>
    </row>
    <row r="1855" spans="1:4" ht="15.75" customHeight="1" x14ac:dyDescent="0.25">
      <c r="A1855" s="9"/>
      <c r="C1855" s="43"/>
      <c r="D1855" s="43"/>
    </row>
    <row r="1856" spans="1:4" ht="15.75" customHeight="1" x14ac:dyDescent="0.25">
      <c r="A1856" s="9"/>
      <c r="C1856" s="43"/>
      <c r="D1856" s="43"/>
    </row>
    <row r="1857" spans="1:4" ht="15.75" customHeight="1" x14ac:dyDescent="0.25">
      <c r="A1857" s="9"/>
      <c r="C1857" s="43"/>
      <c r="D1857" s="43"/>
    </row>
    <row r="1858" spans="1:4" ht="15.75" customHeight="1" x14ac:dyDescent="0.25">
      <c r="A1858" s="9"/>
      <c r="C1858" s="43"/>
      <c r="D1858" s="43"/>
    </row>
    <row r="1859" spans="1:4" ht="15.75" customHeight="1" x14ac:dyDescent="0.25">
      <c r="A1859" s="9"/>
      <c r="C1859" s="43"/>
      <c r="D1859" s="43"/>
    </row>
    <row r="1860" spans="1:4" ht="15.75" customHeight="1" x14ac:dyDescent="0.25">
      <c r="A1860" s="9"/>
      <c r="C1860" s="43"/>
      <c r="D1860" s="43"/>
    </row>
    <row r="1861" spans="1:4" ht="15.75" customHeight="1" x14ac:dyDescent="0.25">
      <c r="A1861" s="9"/>
      <c r="C1861" s="43"/>
      <c r="D1861" s="43"/>
    </row>
    <row r="1862" spans="1:4" ht="15.75" customHeight="1" x14ac:dyDescent="0.25">
      <c r="A1862" s="9"/>
      <c r="C1862" s="43"/>
      <c r="D1862" s="43"/>
    </row>
    <row r="1863" spans="1:4" ht="15.75" customHeight="1" x14ac:dyDescent="0.25">
      <c r="A1863" s="9"/>
      <c r="C1863" s="43"/>
      <c r="D1863" s="43"/>
    </row>
    <row r="1864" spans="1:4" ht="15.75" customHeight="1" x14ac:dyDescent="0.25">
      <c r="A1864" s="9"/>
      <c r="C1864" s="43"/>
      <c r="D1864" s="43"/>
    </row>
    <row r="1865" spans="1:4" ht="15.75" customHeight="1" x14ac:dyDescent="0.25">
      <c r="A1865" s="9"/>
      <c r="C1865" s="43"/>
      <c r="D1865" s="43"/>
    </row>
    <row r="1866" spans="1:4" ht="15.75" customHeight="1" x14ac:dyDescent="0.25">
      <c r="A1866" s="9"/>
      <c r="C1866" s="43"/>
      <c r="D1866" s="43"/>
    </row>
    <row r="1867" spans="1:4" ht="15.75" customHeight="1" x14ac:dyDescent="0.25">
      <c r="A1867" s="9"/>
      <c r="C1867" s="43"/>
      <c r="D1867" s="43"/>
    </row>
    <row r="1868" spans="1:4" ht="15.75" customHeight="1" x14ac:dyDescent="0.25">
      <c r="A1868" s="9"/>
      <c r="C1868" s="43"/>
      <c r="D1868" s="43"/>
    </row>
    <row r="1869" spans="1:4" ht="15.75" customHeight="1" x14ac:dyDescent="0.25">
      <c r="A1869" s="9"/>
      <c r="C1869" s="43"/>
      <c r="D1869" s="43"/>
    </row>
    <row r="1870" spans="1:4" ht="15.75" customHeight="1" x14ac:dyDescent="0.25">
      <c r="A1870" s="9"/>
      <c r="C1870" s="43"/>
      <c r="D1870" s="43"/>
    </row>
    <row r="1871" spans="1:4" ht="15.75" customHeight="1" x14ac:dyDescent="0.25">
      <c r="A1871" s="9"/>
      <c r="C1871" s="43"/>
      <c r="D1871" s="43"/>
    </row>
    <row r="1872" spans="1:4" ht="15.75" customHeight="1" x14ac:dyDescent="0.25">
      <c r="A1872" s="9"/>
      <c r="C1872" s="43"/>
      <c r="D1872" s="43"/>
    </row>
    <row r="1873" spans="1:4" ht="15.75" customHeight="1" x14ac:dyDescent="0.25">
      <c r="A1873" s="9"/>
      <c r="C1873" s="43"/>
      <c r="D1873" s="43"/>
    </row>
    <row r="1874" spans="1:4" ht="15.75" customHeight="1" x14ac:dyDescent="0.25">
      <c r="A1874" s="9"/>
      <c r="C1874" s="43"/>
      <c r="D1874" s="43"/>
    </row>
    <row r="1875" spans="1:4" ht="15.75" customHeight="1" x14ac:dyDescent="0.25">
      <c r="A1875" s="9"/>
      <c r="C1875" s="43"/>
      <c r="D1875" s="43"/>
    </row>
    <row r="1876" spans="1:4" ht="15.75" customHeight="1" x14ac:dyDescent="0.25">
      <c r="A1876" s="9"/>
      <c r="C1876" s="43"/>
      <c r="D1876" s="43"/>
    </row>
    <row r="1877" spans="1:4" ht="15.75" customHeight="1" x14ac:dyDescent="0.25">
      <c r="A1877" s="9"/>
      <c r="C1877" s="43"/>
      <c r="D1877" s="43"/>
    </row>
    <row r="1878" spans="1:4" ht="15.75" customHeight="1" x14ac:dyDescent="0.25">
      <c r="A1878" s="9"/>
      <c r="C1878" s="43"/>
      <c r="D1878" s="43"/>
    </row>
    <row r="1879" spans="1:4" ht="15.75" customHeight="1" x14ac:dyDescent="0.25">
      <c r="A1879" s="9"/>
      <c r="C1879" s="43"/>
      <c r="D1879" s="43"/>
    </row>
    <row r="1880" spans="1:4" ht="15.75" customHeight="1" x14ac:dyDescent="0.25">
      <c r="A1880" s="9"/>
      <c r="C1880" s="43"/>
      <c r="D1880" s="43"/>
    </row>
    <row r="1881" spans="1:4" ht="15.75" customHeight="1" x14ac:dyDescent="0.25">
      <c r="A1881" s="9"/>
      <c r="C1881" s="43"/>
      <c r="D1881" s="43"/>
    </row>
    <row r="1882" spans="1:4" ht="15.75" customHeight="1" x14ac:dyDescent="0.25">
      <c r="A1882" s="9"/>
      <c r="C1882" s="43"/>
      <c r="D1882" s="43"/>
    </row>
    <row r="1883" spans="1:4" ht="15.75" customHeight="1" x14ac:dyDescent="0.25">
      <c r="A1883" s="9"/>
      <c r="C1883" s="43"/>
      <c r="D1883" s="43"/>
    </row>
    <row r="1884" spans="1:4" ht="15.75" customHeight="1" x14ac:dyDescent="0.25">
      <c r="A1884" s="9"/>
      <c r="C1884" s="43"/>
      <c r="D1884" s="43"/>
    </row>
    <row r="1885" spans="1:4" ht="15.75" customHeight="1" x14ac:dyDescent="0.25">
      <c r="A1885" s="9"/>
      <c r="C1885" s="43"/>
      <c r="D1885" s="43"/>
    </row>
    <row r="1886" spans="1:4" ht="15.75" customHeight="1" x14ac:dyDescent="0.25">
      <c r="A1886" s="9"/>
      <c r="C1886" s="43"/>
      <c r="D1886" s="43"/>
    </row>
    <row r="1887" spans="1:4" ht="15.75" customHeight="1" x14ac:dyDescent="0.25">
      <c r="A1887" s="9"/>
      <c r="C1887" s="43"/>
      <c r="D1887" s="43"/>
    </row>
    <row r="1888" spans="1:4" ht="15.75" customHeight="1" x14ac:dyDescent="0.25">
      <c r="A1888" s="9"/>
      <c r="C1888" s="43"/>
      <c r="D1888" s="43"/>
    </row>
    <row r="1889" spans="1:4" ht="15.75" customHeight="1" x14ac:dyDescent="0.25">
      <c r="A1889" s="9"/>
      <c r="C1889" s="43"/>
      <c r="D1889" s="43"/>
    </row>
    <row r="1890" spans="1:4" ht="15.75" customHeight="1" x14ac:dyDescent="0.25">
      <c r="A1890" s="9"/>
      <c r="C1890" s="43"/>
      <c r="D1890" s="43"/>
    </row>
    <row r="1891" spans="1:4" ht="15.75" customHeight="1" x14ac:dyDescent="0.25">
      <c r="A1891" s="9"/>
      <c r="C1891" s="43"/>
      <c r="D1891" s="43"/>
    </row>
    <row r="1892" spans="1:4" ht="15.75" customHeight="1" x14ac:dyDescent="0.25">
      <c r="A1892" s="9"/>
      <c r="C1892" s="43"/>
      <c r="D1892" s="43"/>
    </row>
    <row r="1893" spans="1:4" ht="15.75" customHeight="1" x14ac:dyDescent="0.25">
      <c r="A1893" s="9"/>
      <c r="C1893" s="43"/>
      <c r="D1893" s="43"/>
    </row>
    <row r="1894" spans="1:4" ht="15.75" customHeight="1" x14ac:dyDescent="0.25">
      <c r="A1894" s="9"/>
      <c r="C1894" s="43"/>
      <c r="D1894" s="43"/>
    </row>
    <row r="1895" spans="1:4" ht="15.75" customHeight="1" x14ac:dyDescent="0.25">
      <c r="A1895" s="9"/>
      <c r="C1895" s="43"/>
      <c r="D1895" s="43"/>
    </row>
    <row r="1896" spans="1:4" ht="15.75" customHeight="1" x14ac:dyDescent="0.25">
      <c r="A1896" s="9"/>
      <c r="C1896" s="43"/>
      <c r="D1896" s="43"/>
    </row>
    <row r="1897" spans="1:4" ht="15.75" customHeight="1" x14ac:dyDescent="0.25">
      <c r="A1897" s="9"/>
      <c r="C1897" s="43"/>
      <c r="D1897" s="43"/>
    </row>
    <row r="1898" spans="1:4" ht="15.75" customHeight="1" x14ac:dyDescent="0.25">
      <c r="A1898" s="9"/>
      <c r="C1898" s="43"/>
      <c r="D1898" s="43"/>
    </row>
    <row r="1899" spans="1:4" ht="15.75" customHeight="1" x14ac:dyDescent="0.25">
      <c r="A1899" s="9"/>
      <c r="C1899" s="43"/>
      <c r="D1899" s="43"/>
    </row>
    <row r="1900" spans="1:4" ht="15.75" customHeight="1" x14ac:dyDescent="0.25">
      <c r="A1900" s="9"/>
      <c r="C1900" s="43"/>
      <c r="D1900" s="43"/>
    </row>
    <row r="1901" spans="1:4" ht="15.75" customHeight="1" x14ac:dyDescent="0.25">
      <c r="A1901" s="9"/>
      <c r="C1901" s="43"/>
      <c r="D1901" s="43"/>
    </row>
    <row r="1902" spans="1:4" ht="15.75" customHeight="1" x14ac:dyDescent="0.25">
      <c r="A1902" s="9"/>
      <c r="C1902" s="43"/>
      <c r="D1902" s="43"/>
    </row>
    <row r="1903" spans="1:4" ht="15.75" customHeight="1" x14ac:dyDescent="0.25">
      <c r="A1903" s="9"/>
      <c r="C1903" s="43"/>
      <c r="D1903" s="43"/>
    </row>
    <row r="1904" spans="1:4" ht="15.75" customHeight="1" x14ac:dyDescent="0.25">
      <c r="A1904" s="9"/>
      <c r="C1904" s="43"/>
      <c r="D1904" s="43"/>
    </row>
    <row r="1905" spans="1:4" ht="15.75" customHeight="1" x14ac:dyDescent="0.25">
      <c r="A1905" s="9"/>
      <c r="C1905" s="43"/>
      <c r="D1905" s="43"/>
    </row>
    <row r="1906" spans="1:4" ht="15.75" customHeight="1" x14ac:dyDescent="0.25">
      <c r="A1906" s="9"/>
      <c r="C1906" s="43"/>
      <c r="D1906" s="43"/>
    </row>
    <row r="1907" spans="1:4" ht="15.75" customHeight="1" x14ac:dyDescent="0.25">
      <c r="A1907" s="9"/>
      <c r="C1907" s="43"/>
      <c r="D1907" s="43"/>
    </row>
    <row r="1908" spans="1:4" ht="15.75" customHeight="1" x14ac:dyDescent="0.25">
      <c r="A1908" s="9"/>
      <c r="C1908" s="43"/>
      <c r="D1908" s="43"/>
    </row>
    <row r="1909" spans="1:4" ht="15.75" customHeight="1" x14ac:dyDescent="0.25">
      <c r="A1909" s="9"/>
      <c r="C1909" s="43"/>
      <c r="D1909" s="43"/>
    </row>
    <row r="1910" spans="1:4" ht="15.75" customHeight="1" x14ac:dyDescent="0.25">
      <c r="A1910" s="9"/>
      <c r="C1910" s="43"/>
      <c r="D1910" s="43"/>
    </row>
    <row r="1911" spans="1:4" ht="15.75" customHeight="1" x14ac:dyDescent="0.25">
      <c r="A1911" s="9"/>
      <c r="C1911" s="43"/>
      <c r="D1911" s="43"/>
    </row>
    <row r="1912" spans="1:4" ht="15.75" customHeight="1" x14ac:dyDescent="0.25">
      <c r="A1912" s="9"/>
      <c r="C1912" s="43"/>
      <c r="D1912" s="43"/>
    </row>
    <row r="1913" spans="1:4" ht="15.75" customHeight="1" x14ac:dyDescent="0.25">
      <c r="A1913" s="9"/>
      <c r="C1913" s="43"/>
      <c r="D1913" s="43"/>
    </row>
    <row r="1914" spans="1:4" ht="15.75" customHeight="1" x14ac:dyDescent="0.25">
      <c r="A1914" s="9"/>
      <c r="C1914" s="43"/>
      <c r="D1914" s="43"/>
    </row>
    <row r="1915" spans="1:4" ht="15.75" customHeight="1" x14ac:dyDescent="0.25">
      <c r="A1915" s="9"/>
      <c r="C1915" s="43"/>
      <c r="D1915" s="43"/>
    </row>
    <row r="1916" spans="1:4" ht="15.75" customHeight="1" x14ac:dyDescent="0.25">
      <c r="A1916" s="9"/>
      <c r="C1916" s="43"/>
      <c r="D1916" s="43"/>
    </row>
    <row r="1917" spans="1:4" ht="15.75" customHeight="1" x14ac:dyDescent="0.25">
      <c r="A1917" s="9"/>
      <c r="C1917" s="43"/>
      <c r="D1917" s="43"/>
    </row>
    <row r="1918" spans="1:4" ht="15.75" customHeight="1" x14ac:dyDescent="0.25">
      <c r="A1918" s="9"/>
      <c r="C1918" s="43"/>
      <c r="D1918" s="43"/>
    </row>
    <row r="1919" spans="1:4" ht="15.75" customHeight="1" x14ac:dyDescent="0.25">
      <c r="A1919" s="9"/>
      <c r="C1919" s="43"/>
      <c r="D1919" s="43"/>
    </row>
    <row r="1920" spans="1:4" ht="15.75" customHeight="1" x14ac:dyDescent="0.25">
      <c r="A1920" s="9"/>
      <c r="C1920" s="43"/>
      <c r="D1920" s="43"/>
    </row>
    <row r="1921" spans="1:4" ht="15.75" customHeight="1" x14ac:dyDescent="0.25">
      <c r="A1921" s="9"/>
      <c r="C1921" s="43"/>
      <c r="D1921" s="43"/>
    </row>
    <row r="1922" spans="1:4" ht="15.75" customHeight="1" x14ac:dyDescent="0.25">
      <c r="A1922" s="9"/>
      <c r="C1922" s="43"/>
      <c r="D1922" s="43"/>
    </row>
    <row r="1923" spans="1:4" ht="15.75" customHeight="1" x14ac:dyDescent="0.25">
      <c r="A1923" s="9"/>
      <c r="C1923" s="43"/>
      <c r="D1923" s="43"/>
    </row>
    <row r="1924" spans="1:4" ht="15.75" customHeight="1" x14ac:dyDescent="0.25">
      <c r="A1924" s="9"/>
      <c r="C1924" s="43"/>
      <c r="D1924" s="43"/>
    </row>
    <row r="1925" spans="1:4" ht="15.75" customHeight="1" x14ac:dyDescent="0.25">
      <c r="A1925" s="9"/>
      <c r="C1925" s="43"/>
      <c r="D1925" s="43"/>
    </row>
    <row r="1926" spans="1:4" ht="15.75" customHeight="1" x14ac:dyDescent="0.25">
      <c r="A1926" s="9"/>
      <c r="C1926" s="43"/>
      <c r="D1926" s="43"/>
    </row>
    <row r="1927" spans="1:4" ht="15.75" customHeight="1" x14ac:dyDescent="0.25">
      <c r="A1927" s="9"/>
      <c r="C1927" s="43"/>
      <c r="D1927" s="43"/>
    </row>
    <row r="1928" spans="1:4" ht="15.75" customHeight="1" x14ac:dyDescent="0.25">
      <c r="A1928" s="9"/>
      <c r="C1928" s="43"/>
      <c r="D1928" s="43"/>
    </row>
    <row r="1929" spans="1:4" ht="15.75" customHeight="1" x14ac:dyDescent="0.25">
      <c r="A1929" s="9"/>
      <c r="C1929" s="43"/>
      <c r="D1929" s="43"/>
    </row>
    <row r="1930" spans="1:4" ht="15.75" customHeight="1" x14ac:dyDescent="0.25">
      <c r="A1930" s="9"/>
      <c r="C1930" s="43"/>
      <c r="D1930" s="43"/>
    </row>
    <row r="1931" spans="1:4" ht="15.75" customHeight="1" x14ac:dyDescent="0.25">
      <c r="A1931" s="9"/>
      <c r="C1931" s="43"/>
      <c r="D1931" s="43"/>
    </row>
    <row r="1932" spans="1:4" ht="15.75" customHeight="1" x14ac:dyDescent="0.25">
      <c r="A1932" s="9"/>
      <c r="C1932" s="43"/>
      <c r="D1932" s="43"/>
    </row>
    <row r="1933" spans="1:4" ht="15.75" customHeight="1" x14ac:dyDescent="0.25">
      <c r="A1933" s="9"/>
      <c r="C1933" s="43"/>
      <c r="D1933" s="43"/>
    </row>
    <row r="1934" spans="1:4" ht="15.75" customHeight="1" x14ac:dyDescent="0.25">
      <c r="A1934" s="9"/>
      <c r="C1934" s="43"/>
      <c r="D1934" s="43"/>
    </row>
    <row r="1935" spans="1:4" ht="15.75" customHeight="1" x14ac:dyDescent="0.25">
      <c r="A1935" s="9"/>
      <c r="C1935" s="43"/>
      <c r="D1935" s="43"/>
    </row>
    <row r="1936" spans="1:4" ht="15.75" customHeight="1" x14ac:dyDescent="0.25">
      <c r="A1936" s="9"/>
      <c r="C1936" s="43"/>
      <c r="D1936" s="43"/>
    </row>
    <row r="1937" spans="1:4" ht="15.75" customHeight="1" x14ac:dyDescent="0.25">
      <c r="A1937" s="9"/>
      <c r="C1937" s="43"/>
      <c r="D1937" s="43"/>
    </row>
    <row r="1938" spans="1:4" ht="15.75" customHeight="1" x14ac:dyDescent="0.25">
      <c r="A1938" s="9"/>
      <c r="C1938" s="43"/>
      <c r="D1938" s="43"/>
    </row>
    <row r="1939" spans="1:4" ht="15.75" customHeight="1" x14ac:dyDescent="0.25">
      <c r="A1939" s="9"/>
      <c r="C1939" s="43"/>
      <c r="D1939" s="43"/>
    </row>
    <row r="1940" spans="1:4" ht="15.75" customHeight="1" x14ac:dyDescent="0.25">
      <c r="A1940" s="9"/>
      <c r="C1940" s="43"/>
      <c r="D1940" s="43"/>
    </row>
    <row r="1941" spans="1:4" ht="15.75" customHeight="1" x14ac:dyDescent="0.25">
      <c r="A1941" s="9"/>
      <c r="C1941" s="43"/>
      <c r="D1941" s="43"/>
    </row>
    <row r="1942" spans="1:4" ht="15.75" customHeight="1" x14ac:dyDescent="0.25">
      <c r="A1942" s="9"/>
      <c r="C1942" s="43"/>
      <c r="D1942" s="43"/>
    </row>
    <row r="1943" spans="1:4" ht="15.75" customHeight="1" x14ac:dyDescent="0.25">
      <c r="A1943" s="9"/>
      <c r="C1943" s="43"/>
      <c r="D1943" s="43"/>
    </row>
    <row r="1944" spans="1:4" ht="15.75" customHeight="1" x14ac:dyDescent="0.25">
      <c r="A1944" s="9"/>
      <c r="C1944" s="43"/>
      <c r="D1944" s="43"/>
    </row>
    <row r="1945" spans="1:4" ht="15.75" customHeight="1" x14ac:dyDescent="0.25">
      <c r="A1945" s="9"/>
      <c r="C1945" s="43"/>
      <c r="D1945" s="43"/>
    </row>
    <row r="1946" spans="1:4" ht="15.75" customHeight="1" x14ac:dyDescent="0.25">
      <c r="A1946" s="9"/>
      <c r="C1946" s="43"/>
      <c r="D1946" s="43"/>
    </row>
    <row r="1947" spans="1:4" ht="15.75" customHeight="1" x14ac:dyDescent="0.25">
      <c r="A1947" s="9"/>
      <c r="C1947" s="43"/>
      <c r="D1947" s="43"/>
    </row>
    <row r="1948" spans="1:4" ht="15.75" customHeight="1" x14ac:dyDescent="0.25">
      <c r="A1948" s="9"/>
      <c r="C1948" s="43"/>
      <c r="D1948" s="43"/>
    </row>
    <row r="1949" spans="1:4" ht="15.75" customHeight="1" x14ac:dyDescent="0.25">
      <c r="A1949" s="9"/>
      <c r="C1949" s="43"/>
      <c r="D1949" s="43"/>
    </row>
    <row r="1950" spans="1:4" ht="15.75" customHeight="1" x14ac:dyDescent="0.25">
      <c r="A1950" s="9"/>
      <c r="C1950" s="43"/>
      <c r="D1950" s="43"/>
    </row>
    <row r="1951" spans="1:4" ht="15.75" customHeight="1" x14ac:dyDescent="0.25">
      <c r="A1951" s="9"/>
      <c r="C1951" s="43"/>
      <c r="D1951" s="43"/>
    </row>
    <row r="1952" spans="1:4" ht="15.75" customHeight="1" x14ac:dyDescent="0.25">
      <c r="A1952" s="9"/>
      <c r="C1952" s="43"/>
      <c r="D1952" s="43"/>
    </row>
    <row r="1953" spans="1:4" ht="15.75" customHeight="1" x14ac:dyDescent="0.25">
      <c r="A1953" s="9"/>
      <c r="C1953" s="43"/>
      <c r="D1953" s="43"/>
    </row>
    <row r="1954" spans="1:4" ht="15.75" customHeight="1" x14ac:dyDescent="0.25">
      <c r="A1954" s="9"/>
      <c r="C1954" s="43"/>
      <c r="D1954" s="43"/>
    </row>
    <row r="1955" spans="1:4" ht="15.75" customHeight="1" x14ac:dyDescent="0.25">
      <c r="A1955" s="9"/>
      <c r="C1955" s="43"/>
      <c r="D1955" s="43"/>
    </row>
    <row r="1956" spans="1:4" ht="15.75" customHeight="1" x14ac:dyDescent="0.25">
      <c r="A1956" s="9"/>
      <c r="C1956" s="43"/>
      <c r="D1956" s="43"/>
    </row>
    <row r="1957" spans="1:4" ht="15.75" customHeight="1" x14ac:dyDescent="0.25">
      <c r="A1957" s="9"/>
      <c r="C1957" s="43"/>
      <c r="D1957" s="43"/>
    </row>
    <row r="1958" spans="1:4" ht="15.75" customHeight="1" x14ac:dyDescent="0.25">
      <c r="A1958" s="9"/>
      <c r="C1958" s="43"/>
      <c r="D1958" s="43"/>
    </row>
    <row r="1959" spans="1:4" ht="15.75" customHeight="1" x14ac:dyDescent="0.25">
      <c r="A1959" s="9"/>
      <c r="C1959" s="43"/>
      <c r="D1959" s="43"/>
    </row>
    <row r="1960" spans="1:4" ht="15.75" customHeight="1" x14ac:dyDescent="0.25">
      <c r="A1960" s="9"/>
      <c r="C1960" s="43"/>
      <c r="D1960" s="43"/>
    </row>
    <row r="1961" spans="1:4" ht="15.75" customHeight="1" x14ac:dyDescent="0.25">
      <c r="A1961" s="9"/>
      <c r="C1961" s="43"/>
      <c r="D1961" s="43"/>
    </row>
    <row r="1962" spans="1:4" ht="15.75" customHeight="1" x14ac:dyDescent="0.25">
      <c r="A1962" s="9"/>
      <c r="C1962" s="43"/>
      <c r="D1962" s="43"/>
    </row>
    <row r="1963" spans="1:4" ht="15.75" customHeight="1" x14ac:dyDescent="0.25">
      <c r="A1963" s="9"/>
      <c r="C1963" s="43"/>
      <c r="D1963" s="43"/>
    </row>
    <row r="1964" spans="1:4" ht="15.75" customHeight="1" x14ac:dyDescent="0.25">
      <c r="A1964" s="9"/>
      <c r="C1964" s="43"/>
      <c r="D1964" s="43"/>
    </row>
    <row r="1965" spans="1:4" ht="15.75" customHeight="1" x14ac:dyDescent="0.25">
      <c r="A1965" s="9"/>
      <c r="C1965" s="43"/>
      <c r="D1965" s="43"/>
    </row>
  </sheetData>
  <phoneticPr fontId="25" type="noConversion"/>
  <pageMargins left="0.7" right="0.7" top="0.75" bottom="0.75" header="0" footer="0"/>
  <pageSetup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42"/>
  <sheetViews>
    <sheetView workbookViewId="0"/>
  </sheetViews>
  <sheetFormatPr defaultColWidth="14.42578125" defaultRowHeight="15" customHeight="1" x14ac:dyDescent="0.25"/>
  <sheetData>
    <row r="1" spans="1:4" x14ac:dyDescent="0.25">
      <c r="A1" s="1" t="s">
        <v>152</v>
      </c>
      <c r="B1" s="2" t="s">
        <v>153</v>
      </c>
      <c r="C1" s="2" t="s">
        <v>154</v>
      </c>
      <c r="D1" s="2" t="s">
        <v>155</v>
      </c>
    </row>
    <row r="2" spans="1:4" x14ac:dyDescent="0.25">
      <c r="A2" s="3">
        <v>170370</v>
      </c>
      <c r="B2" s="4" t="s">
        <v>92</v>
      </c>
      <c r="C2" s="4" t="s">
        <v>156</v>
      </c>
      <c r="D2" s="4" t="s">
        <v>151</v>
      </c>
    </row>
    <row r="3" spans="1:4" x14ac:dyDescent="0.25">
      <c r="A3" s="3">
        <v>170510</v>
      </c>
      <c r="B3" s="4" t="s">
        <v>92</v>
      </c>
      <c r="C3" s="4" t="s">
        <v>157</v>
      </c>
      <c r="D3" s="4" t="s">
        <v>151</v>
      </c>
    </row>
    <row r="4" spans="1:4" x14ac:dyDescent="0.25">
      <c r="A4" s="3">
        <v>170755</v>
      </c>
      <c r="B4" s="4" t="s">
        <v>92</v>
      </c>
      <c r="C4" s="4" t="s">
        <v>158</v>
      </c>
      <c r="D4" s="4" t="s">
        <v>151</v>
      </c>
    </row>
    <row r="5" spans="1:4" x14ac:dyDescent="0.25">
      <c r="A5" s="3">
        <v>170980</v>
      </c>
      <c r="B5" s="4" t="s">
        <v>92</v>
      </c>
      <c r="C5" s="4" t="s">
        <v>159</v>
      </c>
      <c r="D5" s="4" t="s">
        <v>151</v>
      </c>
    </row>
    <row r="6" spans="1:4" x14ac:dyDescent="0.25">
      <c r="A6" s="3">
        <v>171270</v>
      </c>
      <c r="B6" s="4" t="s">
        <v>92</v>
      </c>
      <c r="C6" s="4" t="s">
        <v>160</v>
      </c>
      <c r="D6" s="4" t="s">
        <v>151</v>
      </c>
    </row>
    <row r="7" spans="1:4" x14ac:dyDescent="0.25">
      <c r="A7" s="3">
        <v>171360</v>
      </c>
      <c r="B7" s="4" t="s">
        <v>92</v>
      </c>
      <c r="C7" s="4" t="s">
        <v>161</v>
      </c>
      <c r="D7" s="4" t="s">
        <v>151</v>
      </c>
    </row>
    <row r="8" spans="1:4" x14ac:dyDescent="0.25">
      <c r="A8" s="3">
        <v>171420</v>
      </c>
      <c r="B8" s="4" t="s">
        <v>92</v>
      </c>
      <c r="C8" s="4" t="s">
        <v>162</v>
      </c>
      <c r="D8" s="4" t="s">
        <v>151</v>
      </c>
    </row>
    <row r="9" spans="1:4" x14ac:dyDescent="0.25">
      <c r="A9" s="3">
        <v>171700</v>
      </c>
      <c r="B9" s="4" t="s">
        <v>92</v>
      </c>
      <c r="C9" s="4" t="s">
        <v>163</v>
      </c>
      <c r="D9" s="4" t="s">
        <v>151</v>
      </c>
    </row>
    <row r="10" spans="1:4" x14ac:dyDescent="0.25">
      <c r="A10" s="3">
        <v>171790</v>
      </c>
      <c r="B10" s="4" t="s">
        <v>92</v>
      </c>
      <c r="C10" s="4" t="s">
        <v>164</v>
      </c>
      <c r="D10" s="4" t="s">
        <v>151</v>
      </c>
    </row>
    <row r="11" spans="1:4" x14ac:dyDescent="0.25">
      <c r="A11" s="3">
        <v>171820</v>
      </c>
      <c r="B11" s="4" t="s">
        <v>92</v>
      </c>
      <c r="C11" s="4" t="s">
        <v>165</v>
      </c>
      <c r="D11" s="4" t="s">
        <v>151</v>
      </c>
    </row>
    <row r="12" spans="1:4" x14ac:dyDescent="0.25">
      <c r="A12" s="3">
        <v>171890</v>
      </c>
      <c r="B12" s="4" t="s">
        <v>92</v>
      </c>
      <c r="C12" s="4" t="s">
        <v>166</v>
      </c>
      <c r="D12" s="4" t="s">
        <v>151</v>
      </c>
    </row>
    <row r="13" spans="1:4" x14ac:dyDescent="0.25">
      <c r="A13" s="3">
        <v>172065</v>
      </c>
      <c r="B13" s="4" t="s">
        <v>92</v>
      </c>
      <c r="C13" s="4" t="s">
        <v>167</v>
      </c>
      <c r="D13" s="4" t="s">
        <v>151</v>
      </c>
    </row>
    <row r="14" spans="1:4" x14ac:dyDescent="0.25">
      <c r="A14" s="3">
        <v>171550</v>
      </c>
      <c r="B14" s="4" t="s">
        <v>92</v>
      </c>
      <c r="C14" s="4" t="s">
        <v>168</v>
      </c>
      <c r="D14" s="4" t="s">
        <v>151</v>
      </c>
    </row>
    <row r="15" spans="1:4" x14ac:dyDescent="0.25">
      <c r="A15" s="3">
        <v>170220</v>
      </c>
      <c r="B15" s="4" t="s">
        <v>169</v>
      </c>
      <c r="C15" s="4" t="s">
        <v>170</v>
      </c>
      <c r="D15" s="4" t="s">
        <v>145</v>
      </c>
    </row>
    <row r="16" spans="1:4" x14ac:dyDescent="0.25">
      <c r="A16" s="3">
        <v>170255</v>
      </c>
      <c r="B16" s="4" t="s">
        <v>169</v>
      </c>
      <c r="C16" s="4" t="s">
        <v>171</v>
      </c>
      <c r="D16" s="4" t="s">
        <v>145</v>
      </c>
    </row>
    <row r="17" spans="1:4" x14ac:dyDescent="0.25">
      <c r="A17" s="3">
        <v>170290</v>
      </c>
      <c r="B17" s="4" t="s">
        <v>169</v>
      </c>
      <c r="C17" s="4" t="s">
        <v>172</v>
      </c>
      <c r="D17" s="4" t="s">
        <v>145</v>
      </c>
    </row>
    <row r="18" spans="1:4" x14ac:dyDescent="0.25">
      <c r="A18" s="3">
        <v>170380</v>
      </c>
      <c r="B18" s="4" t="s">
        <v>169</v>
      </c>
      <c r="C18" s="4" t="s">
        <v>173</v>
      </c>
      <c r="D18" s="4" t="s">
        <v>145</v>
      </c>
    </row>
    <row r="19" spans="1:4" x14ac:dyDescent="0.25">
      <c r="A19" s="3">
        <v>170389</v>
      </c>
      <c r="B19" s="4" t="s">
        <v>169</v>
      </c>
      <c r="C19" s="4" t="s">
        <v>174</v>
      </c>
      <c r="D19" s="4" t="s">
        <v>145</v>
      </c>
    </row>
    <row r="20" spans="1:4" x14ac:dyDescent="0.25">
      <c r="A20" s="3">
        <v>170740</v>
      </c>
      <c r="B20" s="4" t="s">
        <v>169</v>
      </c>
      <c r="C20" s="4" t="s">
        <v>175</v>
      </c>
      <c r="D20" s="4" t="s">
        <v>145</v>
      </c>
    </row>
    <row r="21" spans="1:4" x14ac:dyDescent="0.25">
      <c r="A21" s="3">
        <v>171070</v>
      </c>
      <c r="B21" s="4" t="s">
        <v>169</v>
      </c>
      <c r="C21" s="4" t="s">
        <v>176</v>
      </c>
      <c r="D21" s="4" t="s">
        <v>145</v>
      </c>
    </row>
    <row r="22" spans="1:4" x14ac:dyDescent="0.25">
      <c r="A22" s="3">
        <v>171280</v>
      </c>
      <c r="B22" s="4" t="s">
        <v>169</v>
      </c>
      <c r="C22" s="4" t="s">
        <v>177</v>
      </c>
      <c r="D22" s="4" t="s">
        <v>145</v>
      </c>
    </row>
    <row r="23" spans="1:4" x14ac:dyDescent="0.25">
      <c r="A23" s="3">
        <v>171830</v>
      </c>
      <c r="B23" s="4" t="s">
        <v>169</v>
      </c>
      <c r="C23" s="4" t="s">
        <v>178</v>
      </c>
      <c r="D23" s="4" t="s">
        <v>145</v>
      </c>
    </row>
    <row r="24" spans="1:4" x14ac:dyDescent="0.25">
      <c r="A24" s="3">
        <v>171880</v>
      </c>
      <c r="B24" s="4" t="s">
        <v>169</v>
      </c>
      <c r="C24" s="4" t="s">
        <v>179</v>
      </c>
      <c r="D24" s="4" t="s">
        <v>145</v>
      </c>
    </row>
    <row r="25" spans="1:4" x14ac:dyDescent="0.25">
      <c r="A25" s="3">
        <v>172010</v>
      </c>
      <c r="B25" s="4" t="s">
        <v>169</v>
      </c>
      <c r="C25" s="4" t="s">
        <v>180</v>
      </c>
      <c r="D25" s="4" t="s">
        <v>145</v>
      </c>
    </row>
    <row r="26" spans="1:4" x14ac:dyDescent="0.25">
      <c r="A26" s="3">
        <v>172020</v>
      </c>
      <c r="B26" s="4" t="s">
        <v>169</v>
      </c>
      <c r="C26" s="4" t="s">
        <v>181</v>
      </c>
      <c r="D26" s="4" t="s">
        <v>145</v>
      </c>
    </row>
    <row r="27" spans="1:4" x14ac:dyDescent="0.25">
      <c r="A27" s="3">
        <v>172030</v>
      </c>
      <c r="B27" s="4" t="s">
        <v>169</v>
      </c>
      <c r="C27" s="4" t="s">
        <v>182</v>
      </c>
      <c r="D27" s="4" t="s">
        <v>145</v>
      </c>
    </row>
    <row r="28" spans="1:4" x14ac:dyDescent="0.25">
      <c r="A28" s="3">
        <v>172080</v>
      </c>
      <c r="B28" s="4" t="s">
        <v>169</v>
      </c>
      <c r="C28" s="4" t="s">
        <v>183</v>
      </c>
      <c r="D28" s="4" t="s">
        <v>145</v>
      </c>
    </row>
    <row r="29" spans="1:4" x14ac:dyDescent="0.25">
      <c r="A29" s="3">
        <v>170030</v>
      </c>
      <c r="B29" s="4" t="s">
        <v>169</v>
      </c>
      <c r="C29" s="4" t="s">
        <v>184</v>
      </c>
      <c r="D29" s="4" t="s">
        <v>145</v>
      </c>
    </row>
    <row r="30" spans="1:4" x14ac:dyDescent="0.25">
      <c r="A30" s="3">
        <v>171245</v>
      </c>
      <c r="B30" s="4" t="s">
        <v>169</v>
      </c>
      <c r="C30" s="4" t="s">
        <v>185</v>
      </c>
      <c r="D30" s="4" t="s">
        <v>145</v>
      </c>
    </row>
    <row r="31" spans="1:4" x14ac:dyDescent="0.25">
      <c r="A31" s="3">
        <v>171430</v>
      </c>
      <c r="B31" s="4" t="s">
        <v>169</v>
      </c>
      <c r="C31" s="4" t="s">
        <v>186</v>
      </c>
      <c r="D31" s="4" t="s">
        <v>145</v>
      </c>
    </row>
    <row r="32" spans="1:4" x14ac:dyDescent="0.25">
      <c r="A32" s="3">
        <v>171380</v>
      </c>
      <c r="B32" s="4" t="s">
        <v>169</v>
      </c>
      <c r="C32" s="4" t="s">
        <v>187</v>
      </c>
      <c r="D32" s="4" t="s">
        <v>145</v>
      </c>
    </row>
    <row r="33" spans="1:4" x14ac:dyDescent="0.25">
      <c r="A33" s="3">
        <v>172000</v>
      </c>
      <c r="B33" s="4" t="s">
        <v>169</v>
      </c>
      <c r="C33" s="4" t="s">
        <v>188</v>
      </c>
      <c r="D33" s="4" t="s">
        <v>145</v>
      </c>
    </row>
    <row r="34" spans="1:4" x14ac:dyDescent="0.25">
      <c r="A34" s="3">
        <v>172120</v>
      </c>
      <c r="B34" s="4" t="s">
        <v>169</v>
      </c>
      <c r="C34" s="4" t="s">
        <v>189</v>
      </c>
      <c r="D34" s="4" t="s">
        <v>145</v>
      </c>
    </row>
    <row r="35" spans="1:4" x14ac:dyDescent="0.25">
      <c r="A35" s="3">
        <v>170100</v>
      </c>
      <c r="B35" s="4" t="s">
        <v>169</v>
      </c>
      <c r="C35" s="4" t="s">
        <v>190</v>
      </c>
      <c r="D35" s="4" t="s">
        <v>145</v>
      </c>
    </row>
    <row r="36" spans="1:4" x14ac:dyDescent="0.25">
      <c r="A36" s="3">
        <v>170105</v>
      </c>
      <c r="B36" s="4" t="s">
        <v>169</v>
      </c>
      <c r="C36" s="4" t="s">
        <v>191</v>
      </c>
      <c r="D36" s="4" t="s">
        <v>145</v>
      </c>
    </row>
    <row r="37" spans="1:4" x14ac:dyDescent="0.25">
      <c r="A37" s="3">
        <v>170382</v>
      </c>
      <c r="B37" s="4" t="s">
        <v>169</v>
      </c>
      <c r="C37" s="4" t="s">
        <v>192</v>
      </c>
      <c r="D37" s="4" t="s">
        <v>145</v>
      </c>
    </row>
    <row r="38" spans="1:4" x14ac:dyDescent="0.25">
      <c r="A38" s="3">
        <v>171855</v>
      </c>
      <c r="B38" s="4" t="s">
        <v>169</v>
      </c>
      <c r="C38" s="4" t="s">
        <v>193</v>
      </c>
      <c r="D38" s="4" t="s">
        <v>145</v>
      </c>
    </row>
    <row r="39" spans="1:4" x14ac:dyDescent="0.25">
      <c r="A39" s="3">
        <v>170025</v>
      </c>
      <c r="B39" s="4" t="s">
        <v>92</v>
      </c>
      <c r="C39" s="4" t="s">
        <v>194</v>
      </c>
      <c r="D39" s="4" t="s">
        <v>144</v>
      </c>
    </row>
    <row r="40" spans="1:4" x14ac:dyDescent="0.25">
      <c r="A40" s="3">
        <v>170190</v>
      </c>
      <c r="B40" s="4" t="s">
        <v>92</v>
      </c>
      <c r="C40" s="4" t="s">
        <v>195</v>
      </c>
      <c r="D40" s="4" t="s">
        <v>144</v>
      </c>
    </row>
    <row r="41" spans="1:4" x14ac:dyDescent="0.25">
      <c r="A41" s="3">
        <v>170310</v>
      </c>
      <c r="B41" s="4" t="s">
        <v>92</v>
      </c>
      <c r="C41" s="4" t="s">
        <v>196</v>
      </c>
      <c r="D41" s="4" t="s">
        <v>144</v>
      </c>
    </row>
    <row r="42" spans="1:4" x14ac:dyDescent="0.25">
      <c r="A42" s="3">
        <v>170390</v>
      </c>
      <c r="B42" s="4" t="s">
        <v>92</v>
      </c>
      <c r="C42" s="4" t="s">
        <v>197</v>
      </c>
      <c r="D42" s="4" t="s">
        <v>144</v>
      </c>
    </row>
    <row r="43" spans="1:4" x14ac:dyDescent="0.25">
      <c r="A43" s="3">
        <v>170460</v>
      </c>
      <c r="B43" s="4" t="s">
        <v>92</v>
      </c>
      <c r="C43" s="4" t="s">
        <v>198</v>
      </c>
      <c r="D43" s="4" t="s">
        <v>144</v>
      </c>
    </row>
    <row r="44" spans="1:4" x14ac:dyDescent="0.25">
      <c r="A44" s="3">
        <v>170610</v>
      </c>
      <c r="B44" s="4" t="s">
        <v>92</v>
      </c>
      <c r="C44" s="4" t="s">
        <v>199</v>
      </c>
      <c r="D44" s="4" t="s">
        <v>144</v>
      </c>
    </row>
    <row r="45" spans="1:4" x14ac:dyDescent="0.25">
      <c r="A45" s="3">
        <v>170710</v>
      </c>
      <c r="B45" s="4" t="s">
        <v>92</v>
      </c>
      <c r="C45" s="4" t="s">
        <v>200</v>
      </c>
      <c r="D45" s="4" t="s">
        <v>144</v>
      </c>
    </row>
    <row r="46" spans="1:4" x14ac:dyDescent="0.25">
      <c r="A46" s="3">
        <v>170720</v>
      </c>
      <c r="B46" s="4" t="s">
        <v>92</v>
      </c>
      <c r="C46" s="4" t="s">
        <v>201</v>
      </c>
      <c r="D46" s="4" t="s">
        <v>144</v>
      </c>
    </row>
    <row r="47" spans="1:4" x14ac:dyDescent="0.25">
      <c r="A47" s="3">
        <v>171190</v>
      </c>
      <c r="B47" s="4" t="s">
        <v>92</v>
      </c>
      <c r="C47" s="4" t="s">
        <v>202</v>
      </c>
      <c r="D47" s="4" t="s">
        <v>144</v>
      </c>
    </row>
    <row r="48" spans="1:4" x14ac:dyDescent="0.25">
      <c r="A48" s="3">
        <v>171250</v>
      </c>
      <c r="B48" s="4" t="s">
        <v>92</v>
      </c>
      <c r="C48" s="4" t="s">
        <v>203</v>
      </c>
      <c r="D48" s="4" t="s">
        <v>144</v>
      </c>
    </row>
    <row r="49" spans="1:4" x14ac:dyDescent="0.25">
      <c r="A49" s="3">
        <v>171370</v>
      </c>
      <c r="B49" s="4" t="s">
        <v>92</v>
      </c>
      <c r="C49" s="4" t="s">
        <v>204</v>
      </c>
      <c r="D49" s="4" t="s">
        <v>144</v>
      </c>
    </row>
    <row r="50" spans="1:4" x14ac:dyDescent="0.25">
      <c r="A50" s="3">
        <v>171500</v>
      </c>
      <c r="B50" s="4" t="s">
        <v>92</v>
      </c>
      <c r="C50" s="4" t="s">
        <v>205</v>
      </c>
      <c r="D50" s="4" t="s">
        <v>144</v>
      </c>
    </row>
    <row r="51" spans="1:4" x14ac:dyDescent="0.25">
      <c r="A51" s="3">
        <v>171610</v>
      </c>
      <c r="B51" s="4" t="s">
        <v>92</v>
      </c>
      <c r="C51" s="4" t="s">
        <v>206</v>
      </c>
      <c r="D51" s="4" t="s">
        <v>144</v>
      </c>
    </row>
    <row r="52" spans="1:4" x14ac:dyDescent="0.25">
      <c r="A52" s="3">
        <v>171750</v>
      </c>
      <c r="B52" s="4" t="s">
        <v>92</v>
      </c>
      <c r="C52" s="4" t="s">
        <v>207</v>
      </c>
      <c r="D52" s="4" t="s">
        <v>144</v>
      </c>
    </row>
    <row r="53" spans="1:4" x14ac:dyDescent="0.25">
      <c r="A53" s="3">
        <v>171845</v>
      </c>
      <c r="B53" s="4" t="s">
        <v>92</v>
      </c>
      <c r="C53" s="4" t="s">
        <v>208</v>
      </c>
      <c r="D53" s="4" t="s">
        <v>144</v>
      </c>
    </row>
    <row r="54" spans="1:4" x14ac:dyDescent="0.25">
      <c r="A54" s="3">
        <v>170110</v>
      </c>
      <c r="B54" s="4" t="s">
        <v>92</v>
      </c>
      <c r="C54" s="4" t="s">
        <v>209</v>
      </c>
      <c r="D54" s="4" t="s">
        <v>148</v>
      </c>
    </row>
    <row r="55" spans="1:4" x14ac:dyDescent="0.25">
      <c r="A55" s="3">
        <v>171195</v>
      </c>
      <c r="B55" s="4" t="s">
        <v>92</v>
      </c>
      <c r="C55" s="4" t="s">
        <v>210</v>
      </c>
      <c r="D55" s="4" t="s">
        <v>148</v>
      </c>
    </row>
    <row r="56" spans="1:4" x14ac:dyDescent="0.25">
      <c r="A56" s="3">
        <v>171200</v>
      </c>
      <c r="B56" s="4" t="s">
        <v>92</v>
      </c>
      <c r="C56" s="4" t="s">
        <v>211</v>
      </c>
      <c r="D56" s="4" t="s">
        <v>148</v>
      </c>
    </row>
    <row r="57" spans="1:4" x14ac:dyDescent="0.25">
      <c r="A57" s="3">
        <v>171240</v>
      </c>
      <c r="B57" s="4" t="s">
        <v>92</v>
      </c>
      <c r="C57" s="4" t="s">
        <v>212</v>
      </c>
      <c r="D57" s="4" t="s">
        <v>148</v>
      </c>
    </row>
    <row r="58" spans="1:4" x14ac:dyDescent="0.25">
      <c r="A58" s="3">
        <v>171510</v>
      </c>
      <c r="B58" s="4" t="s">
        <v>92</v>
      </c>
      <c r="C58" s="4" t="s">
        <v>213</v>
      </c>
      <c r="D58" s="4" t="s">
        <v>148</v>
      </c>
    </row>
    <row r="59" spans="1:4" x14ac:dyDescent="0.25">
      <c r="A59" s="3">
        <v>172100</v>
      </c>
      <c r="B59" s="4" t="s">
        <v>92</v>
      </c>
      <c r="C59" s="4" t="s">
        <v>214</v>
      </c>
      <c r="D59" s="4" t="s">
        <v>148</v>
      </c>
    </row>
    <row r="60" spans="1:4" x14ac:dyDescent="0.25">
      <c r="A60" s="3">
        <v>171900</v>
      </c>
      <c r="B60" s="4" t="s">
        <v>92</v>
      </c>
      <c r="C60" s="4" t="s">
        <v>215</v>
      </c>
      <c r="D60" s="4" t="s">
        <v>148</v>
      </c>
    </row>
    <row r="61" spans="1:4" x14ac:dyDescent="0.25">
      <c r="A61" s="3">
        <v>172015</v>
      </c>
      <c r="B61" s="4" t="s">
        <v>92</v>
      </c>
      <c r="C61" s="4" t="s">
        <v>216</v>
      </c>
      <c r="D61" s="4" t="s">
        <v>148</v>
      </c>
    </row>
    <row r="62" spans="1:4" x14ac:dyDescent="0.25">
      <c r="A62" s="3">
        <v>171320</v>
      </c>
      <c r="B62" s="4" t="s">
        <v>92</v>
      </c>
      <c r="C62" s="4" t="s">
        <v>217</v>
      </c>
      <c r="D62" s="4" t="s">
        <v>148</v>
      </c>
    </row>
    <row r="63" spans="1:4" x14ac:dyDescent="0.25">
      <c r="A63" s="3">
        <v>171330</v>
      </c>
      <c r="B63" s="4" t="s">
        <v>92</v>
      </c>
      <c r="C63" s="4" t="s">
        <v>218</v>
      </c>
      <c r="D63" s="4" t="s">
        <v>148</v>
      </c>
    </row>
    <row r="64" spans="1:4" x14ac:dyDescent="0.25">
      <c r="A64" s="3">
        <v>171870</v>
      </c>
      <c r="B64" s="4" t="s">
        <v>92</v>
      </c>
      <c r="C64" s="4" t="s">
        <v>219</v>
      </c>
      <c r="D64" s="4" t="s">
        <v>148</v>
      </c>
    </row>
    <row r="65" spans="1:4" x14ac:dyDescent="0.25">
      <c r="A65" s="3">
        <v>171875</v>
      </c>
      <c r="B65" s="4" t="s">
        <v>92</v>
      </c>
      <c r="C65" s="4" t="s">
        <v>220</v>
      </c>
      <c r="D65" s="4" t="s">
        <v>148</v>
      </c>
    </row>
    <row r="66" spans="1:4" x14ac:dyDescent="0.25">
      <c r="A66" s="3">
        <v>172110</v>
      </c>
      <c r="B66" s="4" t="s">
        <v>92</v>
      </c>
      <c r="C66" s="4" t="s">
        <v>221</v>
      </c>
      <c r="D66" s="4" t="s">
        <v>148</v>
      </c>
    </row>
    <row r="67" spans="1:4" x14ac:dyDescent="0.25">
      <c r="A67" s="3">
        <v>170825</v>
      </c>
      <c r="B67" s="4" t="s">
        <v>169</v>
      </c>
      <c r="C67" s="4" t="s">
        <v>342</v>
      </c>
      <c r="D67" s="4" t="s">
        <v>148</v>
      </c>
    </row>
    <row r="68" spans="1:4" x14ac:dyDescent="0.25">
      <c r="A68" s="3">
        <v>170230</v>
      </c>
      <c r="B68" s="4" t="s">
        <v>169</v>
      </c>
      <c r="C68" s="4" t="s">
        <v>222</v>
      </c>
      <c r="D68" s="4" t="s">
        <v>150</v>
      </c>
    </row>
    <row r="69" spans="1:4" x14ac:dyDescent="0.25">
      <c r="A69" s="3">
        <v>170305</v>
      </c>
      <c r="B69" s="4" t="s">
        <v>169</v>
      </c>
      <c r="C69" s="4" t="s">
        <v>223</v>
      </c>
      <c r="D69" s="4" t="s">
        <v>150</v>
      </c>
    </row>
    <row r="70" spans="1:4" x14ac:dyDescent="0.25">
      <c r="A70" s="3">
        <v>170320</v>
      </c>
      <c r="B70" s="4" t="s">
        <v>169</v>
      </c>
      <c r="C70" s="4" t="s">
        <v>224</v>
      </c>
      <c r="D70" s="4" t="s">
        <v>150</v>
      </c>
    </row>
    <row r="71" spans="1:4" x14ac:dyDescent="0.25">
      <c r="A71" s="3">
        <v>170360</v>
      </c>
      <c r="B71" s="4" t="s">
        <v>169</v>
      </c>
      <c r="C71" s="4" t="s">
        <v>225</v>
      </c>
      <c r="D71" s="4" t="s">
        <v>150</v>
      </c>
    </row>
    <row r="72" spans="1:4" x14ac:dyDescent="0.25">
      <c r="A72" s="3">
        <v>170550</v>
      </c>
      <c r="B72" s="4" t="s">
        <v>169</v>
      </c>
      <c r="C72" s="4" t="s">
        <v>226</v>
      </c>
      <c r="D72" s="4" t="s">
        <v>150</v>
      </c>
    </row>
    <row r="73" spans="1:4" x14ac:dyDescent="0.25">
      <c r="A73" s="3">
        <v>171670</v>
      </c>
      <c r="B73" s="4" t="s">
        <v>169</v>
      </c>
      <c r="C73" s="4" t="s">
        <v>227</v>
      </c>
      <c r="D73" s="4" t="s">
        <v>150</v>
      </c>
    </row>
    <row r="74" spans="1:4" x14ac:dyDescent="0.25">
      <c r="A74" s="3">
        <v>170600</v>
      </c>
      <c r="B74" s="4" t="s">
        <v>169</v>
      </c>
      <c r="C74" s="4" t="s">
        <v>228</v>
      </c>
      <c r="D74" s="4" t="s">
        <v>150</v>
      </c>
    </row>
    <row r="75" spans="1:4" x14ac:dyDescent="0.25">
      <c r="A75" s="3">
        <v>171090</v>
      </c>
      <c r="B75" s="4" t="s">
        <v>169</v>
      </c>
      <c r="C75" s="4" t="s">
        <v>229</v>
      </c>
      <c r="D75" s="4" t="s">
        <v>150</v>
      </c>
    </row>
    <row r="76" spans="1:4" x14ac:dyDescent="0.25">
      <c r="A76" s="3">
        <v>171180</v>
      </c>
      <c r="B76" s="4" t="s">
        <v>169</v>
      </c>
      <c r="C76" s="4" t="s">
        <v>230</v>
      </c>
      <c r="D76" s="4" t="s">
        <v>150</v>
      </c>
    </row>
    <row r="77" spans="1:4" x14ac:dyDescent="0.25">
      <c r="A77" s="3">
        <v>171570</v>
      </c>
      <c r="B77" s="4" t="s">
        <v>169</v>
      </c>
      <c r="C77" s="4" t="s">
        <v>231</v>
      </c>
      <c r="D77" s="4" t="s">
        <v>150</v>
      </c>
    </row>
    <row r="78" spans="1:4" x14ac:dyDescent="0.25">
      <c r="A78" s="3">
        <v>172130</v>
      </c>
      <c r="B78" s="4" t="s">
        <v>169</v>
      </c>
      <c r="C78" s="4" t="s">
        <v>232</v>
      </c>
      <c r="D78" s="4" t="s">
        <v>150</v>
      </c>
    </row>
    <row r="79" spans="1:4" x14ac:dyDescent="0.25">
      <c r="A79" s="3">
        <v>171670</v>
      </c>
      <c r="B79" s="4" t="s">
        <v>169</v>
      </c>
      <c r="C79" s="4" t="s">
        <v>227</v>
      </c>
      <c r="D79" s="4" t="s">
        <v>150</v>
      </c>
    </row>
    <row r="80" spans="1:4" x14ac:dyDescent="0.25">
      <c r="A80" s="3">
        <v>170830</v>
      </c>
      <c r="B80" s="4" t="s">
        <v>169</v>
      </c>
      <c r="C80" s="4" t="s">
        <v>233</v>
      </c>
      <c r="D80" s="4" t="s">
        <v>150</v>
      </c>
    </row>
    <row r="81" spans="1:4" x14ac:dyDescent="0.25">
      <c r="A81" s="3">
        <v>170930</v>
      </c>
      <c r="B81" s="4" t="s">
        <v>169</v>
      </c>
      <c r="C81" s="4" t="s">
        <v>234</v>
      </c>
      <c r="D81" s="4" t="s">
        <v>150</v>
      </c>
    </row>
    <row r="82" spans="1:4" x14ac:dyDescent="0.25">
      <c r="A82" s="3">
        <v>171050</v>
      </c>
      <c r="B82" s="4" t="s">
        <v>169</v>
      </c>
      <c r="C82" s="4" t="s">
        <v>235</v>
      </c>
      <c r="D82" s="4" t="s">
        <v>150</v>
      </c>
    </row>
    <row r="83" spans="1:4" x14ac:dyDescent="0.25">
      <c r="A83" s="3">
        <v>171110</v>
      </c>
      <c r="B83" s="4" t="s">
        <v>169</v>
      </c>
      <c r="C83" s="4" t="s">
        <v>236</v>
      </c>
      <c r="D83" s="4" t="s">
        <v>150</v>
      </c>
    </row>
    <row r="84" spans="1:4" x14ac:dyDescent="0.25">
      <c r="A84" s="3">
        <v>171665</v>
      </c>
      <c r="B84" s="4" t="s">
        <v>169</v>
      </c>
      <c r="C84" s="4" t="s">
        <v>237</v>
      </c>
      <c r="D84" s="4" t="s">
        <v>150</v>
      </c>
    </row>
    <row r="85" spans="1:4" x14ac:dyDescent="0.25">
      <c r="A85" s="3">
        <v>171840</v>
      </c>
      <c r="B85" s="4" t="s">
        <v>169</v>
      </c>
      <c r="C85" s="4" t="s">
        <v>238</v>
      </c>
      <c r="D85" s="4" t="s">
        <v>150</v>
      </c>
    </row>
    <row r="86" spans="1:4" x14ac:dyDescent="0.25">
      <c r="A86" s="3">
        <v>170330</v>
      </c>
      <c r="B86" s="4" t="s">
        <v>169</v>
      </c>
      <c r="C86" s="4" t="s">
        <v>239</v>
      </c>
      <c r="D86" s="4" t="s">
        <v>150</v>
      </c>
    </row>
    <row r="87" spans="1:4" x14ac:dyDescent="0.25">
      <c r="A87" s="3">
        <v>170410</v>
      </c>
      <c r="B87" s="4" t="s">
        <v>169</v>
      </c>
      <c r="C87" s="4" t="s">
        <v>240</v>
      </c>
      <c r="D87" s="4" t="s">
        <v>150</v>
      </c>
    </row>
    <row r="88" spans="1:4" x14ac:dyDescent="0.25">
      <c r="A88" s="3">
        <v>171650</v>
      </c>
      <c r="B88" s="4" t="s">
        <v>169</v>
      </c>
      <c r="C88" s="4" t="s">
        <v>241</v>
      </c>
      <c r="D88" s="4" t="s">
        <v>150</v>
      </c>
    </row>
    <row r="89" spans="1:4" x14ac:dyDescent="0.25">
      <c r="A89" s="3">
        <v>171850</v>
      </c>
      <c r="B89" s="4" t="s">
        <v>169</v>
      </c>
      <c r="C89" s="4" t="s">
        <v>242</v>
      </c>
      <c r="D89" s="4" t="s">
        <v>150</v>
      </c>
    </row>
    <row r="90" spans="1:4" x14ac:dyDescent="0.25">
      <c r="A90" s="3">
        <v>171888</v>
      </c>
      <c r="B90" s="4" t="s">
        <v>169</v>
      </c>
      <c r="C90" s="4" t="s">
        <v>243</v>
      </c>
      <c r="D90" s="4" t="s">
        <v>150</v>
      </c>
    </row>
    <row r="91" spans="1:4" x14ac:dyDescent="0.25">
      <c r="A91" s="3">
        <v>172125</v>
      </c>
      <c r="B91" s="4" t="s">
        <v>169</v>
      </c>
      <c r="C91" s="4" t="s">
        <v>244</v>
      </c>
      <c r="D91" s="4" t="s">
        <v>150</v>
      </c>
    </row>
    <row r="92" spans="1:4" x14ac:dyDescent="0.25">
      <c r="A92" s="3">
        <v>0</v>
      </c>
      <c r="B92" s="5">
        <v>0</v>
      </c>
      <c r="C92" s="4" t="s">
        <v>245</v>
      </c>
      <c r="D92" s="4" t="s">
        <v>245</v>
      </c>
    </row>
    <row r="93" spans="1:4" x14ac:dyDescent="0.25">
      <c r="A93" s="3">
        <v>170035</v>
      </c>
      <c r="B93" s="4" t="s">
        <v>92</v>
      </c>
      <c r="C93" s="4" t="s">
        <v>246</v>
      </c>
      <c r="D93" s="4" t="s">
        <v>146</v>
      </c>
    </row>
    <row r="94" spans="1:4" x14ac:dyDescent="0.25">
      <c r="A94" s="3">
        <v>170070</v>
      </c>
      <c r="B94" s="4" t="s">
        <v>92</v>
      </c>
      <c r="C94" s="4" t="s">
        <v>247</v>
      </c>
      <c r="D94" s="4" t="s">
        <v>146</v>
      </c>
    </row>
    <row r="95" spans="1:4" x14ac:dyDescent="0.25">
      <c r="A95" s="3">
        <v>170200</v>
      </c>
      <c r="B95" s="4" t="s">
        <v>92</v>
      </c>
      <c r="C95" s="4" t="s">
        <v>248</v>
      </c>
      <c r="D95" s="4" t="s">
        <v>146</v>
      </c>
    </row>
    <row r="96" spans="1:4" x14ac:dyDescent="0.25">
      <c r="A96" s="3">
        <v>170386</v>
      </c>
      <c r="B96" s="4" t="s">
        <v>92</v>
      </c>
      <c r="C96" s="4" t="s">
        <v>249</v>
      </c>
      <c r="D96" s="4" t="s">
        <v>146</v>
      </c>
    </row>
    <row r="97" spans="1:4" x14ac:dyDescent="0.25">
      <c r="A97" s="3">
        <v>170625</v>
      </c>
      <c r="B97" s="4" t="s">
        <v>92</v>
      </c>
      <c r="C97" s="4" t="s">
        <v>250</v>
      </c>
      <c r="D97" s="4" t="s">
        <v>146</v>
      </c>
    </row>
    <row r="98" spans="1:4" x14ac:dyDescent="0.25">
      <c r="A98" s="3">
        <v>170730</v>
      </c>
      <c r="B98" s="4" t="s">
        <v>92</v>
      </c>
      <c r="C98" s="4" t="s">
        <v>251</v>
      </c>
      <c r="D98" s="4" t="s">
        <v>146</v>
      </c>
    </row>
    <row r="99" spans="1:4" x14ac:dyDescent="0.25">
      <c r="A99" s="3">
        <v>170765</v>
      </c>
      <c r="B99" s="4" t="s">
        <v>92</v>
      </c>
      <c r="C99" s="4" t="s">
        <v>252</v>
      </c>
      <c r="D99" s="4" t="s">
        <v>146</v>
      </c>
    </row>
    <row r="100" spans="1:4" x14ac:dyDescent="0.25">
      <c r="A100" s="3">
        <v>170820</v>
      </c>
      <c r="B100" s="4" t="s">
        <v>92</v>
      </c>
      <c r="C100" s="4" t="s">
        <v>253</v>
      </c>
      <c r="D100" s="4" t="s">
        <v>146</v>
      </c>
    </row>
    <row r="101" spans="1:4" x14ac:dyDescent="0.25">
      <c r="A101" s="3">
        <v>170950</v>
      </c>
      <c r="B101" s="4" t="s">
        <v>92</v>
      </c>
      <c r="C101" s="4" t="s">
        <v>254</v>
      </c>
      <c r="D101" s="4" t="s">
        <v>146</v>
      </c>
    </row>
    <row r="102" spans="1:4" x14ac:dyDescent="0.25">
      <c r="A102" s="3">
        <v>171150</v>
      </c>
      <c r="B102" s="4" t="s">
        <v>92</v>
      </c>
      <c r="C102" s="4" t="s">
        <v>255</v>
      </c>
      <c r="D102" s="4" t="s">
        <v>146</v>
      </c>
    </row>
    <row r="103" spans="1:4" x14ac:dyDescent="0.25">
      <c r="A103" s="3">
        <v>171575</v>
      </c>
      <c r="B103" s="4" t="s">
        <v>92</v>
      </c>
      <c r="C103" s="4" t="s">
        <v>256</v>
      </c>
      <c r="D103" s="4" t="s">
        <v>146</v>
      </c>
    </row>
    <row r="104" spans="1:4" x14ac:dyDescent="0.25">
      <c r="A104" s="3">
        <v>171660</v>
      </c>
      <c r="B104" s="4" t="s">
        <v>92</v>
      </c>
      <c r="C104" s="4" t="s">
        <v>257</v>
      </c>
      <c r="D104" s="4" t="s">
        <v>146</v>
      </c>
    </row>
    <row r="105" spans="1:4" x14ac:dyDescent="0.25">
      <c r="A105" s="3">
        <v>171884</v>
      </c>
      <c r="B105" s="4" t="s">
        <v>92</v>
      </c>
      <c r="C105" s="4" t="s">
        <v>258</v>
      </c>
      <c r="D105" s="4" t="s">
        <v>146</v>
      </c>
    </row>
    <row r="106" spans="1:4" x14ac:dyDescent="0.25">
      <c r="A106" s="3">
        <v>171889</v>
      </c>
      <c r="B106" s="4" t="s">
        <v>92</v>
      </c>
      <c r="C106" s="4" t="s">
        <v>259</v>
      </c>
      <c r="D106" s="4" t="s">
        <v>146</v>
      </c>
    </row>
    <row r="107" spans="1:4" x14ac:dyDescent="0.25">
      <c r="A107" s="3">
        <v>172025</v>
      </c>
      <c r="B107" s="4" t="s">
        <v>92</v>
      </c>
      <c r="C107" s="4" t="s">
        <v>260</v>
      </c>
      <c r="D107" s="4" t="s">
        <v>146</v>
      </c>
    </row>
    <row r="108" spans="1:4" x14ac:dyDescent="0.25">
      <c r="A108" s="3">
        <v>172049</v>
      </c>
      <c r="B108" s="4" t="s">
        <v>92</v>
      </c>
      <c r="C108" s="4" t="s">
        <v>261</v>
      </c>
      <c r="D108" s="4" t="s">
        <v>146</v>
      </c>
    </row>
    <row r="109" spans="1:4" x14ac:dyDescent="0.25">
      <c r="A109" s="3">
        <v>172085</v>
      </c>
      <c r="B109" s="4" t="s">
        <v>92</v>
      </c>
      <c r="C109" s="4" t="s">
        <v>262</v>
      </c>
      <c r="D109" s="4" t="s">
        <v>146</v>
      </c>
    </row>
    <row r="110" spans="1:4" x14ac:dyDescent="0.25">
      <c r="A110" s="3">
        <v>172097</v>
      </c>
      <c r="B110" s="4" t="s">
        <v>92</v>
      </c>
      <c r="C110" s="4" t="s">
        <v>263</v>
      </c>
      <c r="D110" s="4" t="s">
        <v>146</v>
      </c>
    </row>
    <row r="111" spans="1:4" x14ac:dyDescent="0.25">
      <c r="A111" s="3">
        <v>170130</v>
      </c>
      <c r="B111" s="4" t="s">
        <v>169</v>
      </c>
      <c r="C111" s="4" t="s">
        <v>264</v>
      </c>
      <c r="D111" s="4" t="s">
        <v>149</v>
      </c>
    </row>
    <row r="112" spans="1:4" x14ac:dyDescent="0.25">
      <c r="A112" s="3">
        <v>170210</v>
      </c>
      <c r="B112" s="4" t="s">
        <v>169</v>
      </c>
      <c r="C112" s="4" t="s">
        <v>265</v>
      </c>
      <c r="D112" s="4" t="s">
        <v>149</v>
      </c>
    </row>
    <row r="113" spans="1:4" x14ac:dyDescent="0.25">
      <c r="A113" s="3">
        <v>170300</v>
      </c>
      <c r="B113" s="4" t="s">
        <v>169</v>
      </c>
      <c r="C113" s="4" t="s">
        <v>266</v>
      </c>
      <c r="D113" s="4" t="s">
        <v>149</v>
      </c>
    </row>
    <row r="114" spans="1:4" x14ac:dyDescent="0.25">
      <c r="A114" s="3">
        <v>170307</v>
      </c>
      <c r="B114" s="4" t="s">
        <v>169</v>
      </c>
      <c r="C114" s="4" t="s">
        <v>267</v>
      </c>
      <c r="D114" s="4" t="s">
        <v>149</v>
      </c>
    </row>
    <row r="115" spans="1:4" x14ac:dyDescent="0.25">
      <c r="A115" s="3">
        <v>170384</v>
      </c>
      <c r="B115" s="4" t="s">
        <v>169</v>
      </c>
      <c r="C115" s="4" t="s">
        <v>268</v>
      </c>
      <c r="D115" s="4" t="s">
        <v>149</v>
      </c>
    </row>
    <row r="116" spans="1:4" x14ac:dyDescent="0.25">
      <c r="A116" s="3">
        <v>170388</v>
      </c>
      <c r="B116" s="4" t="s">
        <v>169</v>
      </c>
      <c r="C116" s="4" t="s">
        <v>269</v>
      </c>
      <c r="D116" s="4" t="s">
        <v>149</v>
      </c>
    </row>
    <row r="117" spans="1:4" x14ac:dyDescent="0.25">
      <c r="A117" s="3">
        <v>170770</v>
      </c>
      <c r="B117" s="4" t="s">
        <v>169</v>
      </c>
      <c r="C117" s="4" t="s">
        <v>270</v>
      </c>
      <c r="D117" s="4" t="s">
        <v>149</v>
      </c>
    </row>
    <row r="118" spans="1:4" x14ac:dyDescent="0.25">
      <c r="A118" s="3">
        <v>170900</v>
      </c>
      <c r="B118" s="4" t="s">
        <v>169</v>
      </c>
      <c r="C118" s="4" t="s">
        <v>271</v>
      </c>
      <c r="D118" s="4" t="s">
        <v>149</v>
      </c>
    </row>
    <row r="119" spans="1:4" x14ac:dyDescent="0.25">
      <c r="A119" s="3">
        <v>171395</v>
      </c>
      <c r="B119" s="4" t="s">
        <v>169</v>
      </c>
      <c r="C119" s="4" t="s">
        <v>272</v>
      </c>
      <c r="D119" s="4" t="s">
        <v>149</v>
      </c>
    </row>
    <row r="120" spans="1:4" x14ac:dyDescent="0.25">
      <c r="A120" s="3">
        <v>171488</v>
      </c>
      <c r="B120" s="4" t="s">
        <v>169</v>
      </c>
      <c r="C120" s="4" t="s">
        <v>273</v>
      </c>
      <c r="D120" s="4" t="s">
        <v>149</v>
      </c>
    </row>
    <row r="121" spans="1:4" x14ac:dyDescent="0.25">
      <c r="A121" s="3">
        <v>171630</v>
      </c>
      <c r="B121" s="4" t="s">
        <v>169</v>
      </c>
      <c r="C121" s="4" t="s">
        <v>274</v>
      </c>
      <c r="D121" s="4" t="s">
        <v>149</v>
      </c>
    </row>
    <row r="122" spans="1:4" x14ac:dyDescent="0.25">
      <c r="A122" s="3">
        <v>171886</v>
      </c>
      <c r="B122" s="4" t="s">
        <v>169</v>
      </c>
      <c r="C122" s="4" t="s">
        <v>275</v>
      </c>
      <c r="D122" s="4" t="s">
        <v>149</v>
      </c>
    </row>
    <row r="123" spans="1:4" x14ac:dyDescent="0.25">
      <c r="A123" s="3">
        <v>172208</v>
      </c>
      <c r="B123" s="4" t="s">
        <v>169</v>
      </c>
      <c r="C123" s="4" t="s">
        <v>276</v>
      </c>
      <c r="D123" s="4" t="s">
        <v>149</v>
      </c>
    </row>
    <row r="124" spans="1:4" x14ac:dyDescent="0.25">
      <c r="A124" s="3">
        <v>172210</v>
      </c>
      <c r="B124" s="4" t="s">
        <v>169</v>
      </c>
      <c r="C124" s="4" t="s">
        <v>277</v>
      </c>
      <c r="D124" s="4" t="s">
        <v>149</v>
      </c>
    </row>
    <row r="125" spans="1:4" x14ac:dyDescent="0.25">
      <c r="A125" s="3">
        <v>170215</v>
      </c>
      <c r="B125" s="4" t="s">
        <v>169</v>
      </c>
      <c r="C125" s="4" t="s">
        <v>278</v>
      </c>
      <c r="D125" s="4" t="s">
        <v>149</v>
      </c>
    </row>
    <row r="126" spans="1:4" x14ac:dyDescent="0.25">
      <c r="A126" s="3">
        <v>171720</v>
      </c>
      <c r="B126" s="4" t="s">
        <v>169</v>
      </c>
      <c r="C126" s="4" t="s">
        <v>279</v>
      </c>
      <c r="D126" s="4" t="s">
        <v>149</v>
      </c>
    </row>
    <row r="127" spans="1:4" x14ac:dyDescent="0.25">
      <c r="A127" s="3">
        <v>170650</v>
      </c>
      <c r="B127" s="4" t="s">
        <v>169</v>
      </c>
      <c r="C127" s="4" t="s">
        <v>280</v>
      </c>
      <c r="D127" s="4" t="s">
        <v>149</v>
      </c>
    </row>
    <row r="128" spans="1:4" x14ac:dyDescent="0.25">
      <c r="A128" s="3">
        <v>170040</v>
      </c>
      <c r="B128" s="4" t="s">
        <v>92</v>
      </c>
      <c r="C128" s="4" t="s">
        <v>281</v>
      </c>
      <c r="D128" s="4" t="s">
        <v>147</v>
      </c>
    </row>
    <row r="129" spans="1:4" x14ac:dyDescent="0.25">
      <c r="A129" s="3">
        <v>170240</v>
      </c>
      <c r="B129" s="4" t="s">
        <v>92</v>
      </c>
      <c r="C129" s="4" t="s">
        <v>282</v>
      </c>
      <c r="D129" s="4" t="s">
        <v>147</v>
      </c>
    </row>
    <row r="130" spans="1:4" x14ac:dyDescent="0.25">
      <c r="A130" s="3">
        <v>170270</v>
      </c>
      <c r="B130" s="4" t="s">
        <v>92</v>
      </c>
      <c r="C130" s="4" t="s">
        <v>283</v>
      </c>
      <c r="D130" s="4" t="s">
        <v>147</v>
      </c>
    </row>
    <row r="131" spans="1:4" x14ac:dyDescent="0.25">
      <c r="A131" s="3">
        <v>170555</v>
      </c>
      <c r="B131" s="4" t="s">
        <v>92</v>
      </c>
      <c r="C131" s="4" t="s">
        <v>284</v>
      </c>
      <c r="D131" s="4" t="s">
        <v>147</v>
      </c>
    </row>
    <row r="132" spans="1:4" x14ac:dyDescent="0.25">
      <c r="A132" s="3">
        <v>170560</v>
      </c>
      <c r="B132" s="4" t="s">
        <v>92</v>
      </c>
      <c r="C132" s="4" t="s">
        <v>285</v>
      </c>
      <c r="D132" s="4" t="s">
        <v>147</v>
      </c>
    </row>
    <row r="133" spans="1:4" x14ac:dyDescent="0.25">
      <c r="A133" s="3">
        <v>170700</v>
      </c>
      <c r="B133" s="4" t="s">
        <v>92</v>
      </c>
      <c r="C133" s="4" t="s">
        <v>286</v>
      </c>
      <c r="D133" s="4" t="s">
        <v>147</v>
      </c>
    </row>
    <row r="134" spans="1:4" x14ac:dyDescent="0.25">
      <c r="A134" s="3">
        <v>171215</v>
      </c>
      <c r="B134" s="4" t="s">
        <v>92</v>
      </c>
      <c r="C134" s="4" t="s">
        <v>287</v>
      </c>
      <c r="D134" s="4" t="s">
        <v>147</v>
      </c>
    </row>
    <row r="135" spans="1:4" x14ac:dyDescent="0.25">
      <c r="A135" s="3">
        <v>171515</v>
      </c>
      <c r="B135" s="4" t="s">
        <v>92</v>
      </c>
      <c r="C135" s="4" t="s">
        <v>288</v>
      </c>
      <c r="D135" s="4" t="s">
        <v>147</v>
      </c>
    </row>
    <row r="136" spans="1:4" x14ac:dyDescent="0.25">
      <c r="A136" s="3">
        <v>171525</v>
      </c>
      <c r="B136" s="4" t="s">
        <v>92</v>
      </c>
      <c r="C136" s="4" t="s">
        <v>289</v>
      </c>
      <c r="D136" s="4" t="s">
        <v>147</v>
      </c>
    </row>
    <row r="137" spans="1:4" x14ac:dyDescent="0.25">
      <c r="A137" s="3">
        <v>171620</v>
      </c>
      <c r="B137" s="4" t="s">
        <v>92</v>
      </c>
      <c r="C137" s="4" t="s">
        <v>290</v>
      </c>
      <c r="D137" s="4" t="s">
        <v>147</v>
      </c>
    </row>
    <row r="138" spans="1:4" x14ac:dyDescent="0.25">
      <c r="A138" s="3">
        <v>171780</v>
      </c>
      <c r="B138" s="4" t="s">
        <v>92</v>
      </c>
      <c r="C138" s="4" t="s">
        <v>291</v>
      </c>
      <c r="D138" s="4" t="s">
        <v>147</v>
      </c>
    </row>
    <row r="139" spans="1:4" x14ac:dyDescent="0.25">
      <c r="A139" s="3">
        <v>171800</v>
      </c>
      <c r="B139" s="4" t="s">
        <v>92</v>
      </c>
      <c r="C139" s="4" t="s">
        <v>292</v>
      </c>
      <c r="D139" s="4" t="s">
        <v>147</v>
      </c>
    </row>
    <row r="140" spans="1:4" x14ac:dyDescent="0.25">
      <c r="A140" s="3">
        <v>171865</v>
      </c>
      <c r="B140" s="4" t="s">
        <v>92</v>
      </c>
      <c r="C140" s="4" t="s">
        <v>293</v>
      </c>
      <c r="D140" s="4" t="s">
        <v>147</v>
      </c>
    </row>
    <row r="141" spans="1:4" x14ac:dyDescent="0.25">
      <c r="A141" s="3">
        <v>172090</v>
      </c>
      <c r="B141" s="4" t="s">
        <v>92</v>
      </c>
      <c r="C141" s="4" t="s">
        <v>294</v>
      </c>
      <c r="D141" s="4" t="s">
        <v>147</v>
      </c>
    </row>
    <row r="142" spans="1:4" x14ac:dyDescent="0.25">
      <c r="A142" s="6">
        <v>172093</v>
      </c>
      <c r="B142" s="4" t="s">
        <v>92</v>
      </c>
      <c r="C142" s="7" t="s">
        <v>295</v>
      </c>
      <c r="D142" s="4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87"/>
  <sheetViews>
    <sheetView topLeftCell="I1" zoomScale="85" zoomScaleNormal="85" workbookViewId="0">
      <selection activeCell="C1" sqref="C1:AN1"/>
    </sheetView>
  </sheetViews>
  <sheetFormatPr defaultRowHeight="15" x14ac:dyDescent="0.25"/>
  <cols>
    <col min="2" max="2" width="25.5703125" bestFit="1" customWidth="1"/>
    <col min="5" max="5" width="12" customWidth="1"/>
    <col min="6" max="6" width="13" customWidth="1"/>
    <col min="9" max="9" width="10.28515625" customWidth="1"/>
    <col min="10" max="10" width="11.28515625" customWidth="1"/>
    <col min="13" max="13" width="10.28515625" customWidth="1"/>
    <col min="14" max="14" width="11.28515625" customWidth="1"/>
    <col min="17" max="17" width="10.28515625" customWidth="1"/>
    <col min="18" max="18" width="11.28515625" customWidth="1"/>
    <col min="22" max="22" width="10.140625" customWidth="1"/>
    <col min="26" max="26" width="9.42578125" customWidth="1"/>
    <col min="30" max="30" width="9.42578125" customWidth="1"/>
    <col min="34" max="34" width="9.7109375" customWidth="1"/>
    <col min="37" max="37" width="10.140625" customWidth="1"/>
    <col min="38" max="38" width="11.140625" customWidth="1"/>
    <col min="40" max="40" width="12.7109375" customWidth="1"/>
  </cols>
  <sheetData>
    <row r="1" spans="1:41" s="8" customFormat="1" ht="15" customHeight="1" x14ac:dyDescent="0.25">
      <c r="A1" s="10" t="s">
        <v>0</v>
      </c>
      <c r="B1" s="10" t="s">
        <v>2</v>
      </c>
      <c r="C1" s="13" t="s">
        <v>296</v>
      </c>
      <c r="D1" s="14" t="s">
        <v>297</v>
      </c>
      <c r="E1" s="14" t="s">
        <v>314</v>
      </c>
      <c r="F1" s="14" t="s">
        <v>315</v>
      </c>
      <c r="G1" s="13" t="s">
        <v>298</v>
      </c>
      <c r="H1" s="14" t="s">
        <v>299</v>
      </c>
      <c r="I1" s="14" t="s">
        <v>317</v>
      </c>
      <c r="J1" s="14" t="s">
        <v>316</v>
      </c>
      <c r="K1" s="13" t="s">
        <v>300</v>
      </c>
      <c r="L1" s="13" t="s">
        <v>301</v>
      </c>
      <c r="M1" s="13" t="s">
        <v>318</v>
      </c>
      <c r="N1" s="13" t="s">
        <v>319</v>
      </c>
      <c r="O1" s="13" t="s">
        <v>302</v>
      </c>
      <c r="P1" s="13" t="s">
        <v>303</v>
      </c>
      <c r="Q1" s="13" t="s">
        <v>320</v>
      </c>
      <c r="R1" s="13" t="s">
        <v>321</v>
      </c>
      <c r="S1" s="13" t="s">
        <v>304</v>
      </c>
      <c r="T1" s="13" t="s">
        <v>305</v>
      </c>
      <c r="U1" s="13" t="s">
        <v>322</v>
      </c>
      <c r="V1" s="13" t="s">
        <v>323</v>
      </c>
      <c r="W1" s="13" t="s">
        <v>306</v>
      </c>
      <c r="X1" s="13" t="s">
        <v>307</v>
      </c>
      <c r="Y1" s="13" t="s">
        <v>324</v>
      </c>
      <c r="Z1" s="13" t="s">
        <v>325</v>
      </c>
      <c r="AA1" s="13" t="s">
        <v>308</v>
      </c>
      <c r="AB1" s="13" t="s">
        <v>309</v>
      </c>
      <c r="AC1" s="13" t="s">
        <v>326</v>
      </c>
      <c r="AD1" s="13" t="s">
        <v>327</v>
      </c>
      <c r="AE1" s="13" t="s">
        <v>310</v>
      </c>
      <c r="AF1" s="13" t="s">
        <v>311</v>
      </c>
      <c r="AG1" s="13" t="s">
        <v>328</v>
      </c>
      <c r="AH1" s="13" t="s">
        <v>329</v>
      </c>
      <c r="AI1" s="13" t="s">
        <v>312</v>
      </c>
      <c r="AJ1" s="13" t="s">
        <v>313</v>
      </c>
      <c r="AK1" s="13" t="s">
        <v>330</v>
      </c>
      <c r="AL1" s="13" t="s">
        <v>331</v>
      </c>
      <c r="AM1" s="11" t="s">
        <v>4</v>
      </c>
      <c r="AN1" s="15" t="s">
        <v>332</v>
      </c>
      <c r="AO1" s="24" t="s">
        <v>343</v>
      </c>
    </row>
    <row r="2" spans="1:41" x14ac:dyDescent="0.25">
      <c r="A2" s="19">
        <v>2024</v>
      </c>
      <c r="B2" s="18" t="s">
        <v>151</v>
      </c>
      <c r="C2">
        <f>SUMIFS(banco!E:E,banco!$C:$C,$B2,banco!$A:$A,$A2)</f>
        <v>90</v>
      </c>
      <c r="D2" s="12">
        <f>IFERROR(C2/$AM2,0)</f>
        <v>8.7659491574948872E-3</v>
      </c>
      <c r="E2">
        <f>SUMIFS(banco!G:G,banco!$C:$C,$B2,banco!$A:$A,$A2)</f>
        <v>29</v>
      </c>
      <c r="F2" s="12">
        <f>IFERROR(E2/$AN2,0)</f>
        <v>1.3698630136986301E-2</v>
      </c>
      <c r="G2">
        <f>SUMIFS(banco!I:I,banco!$C:$C,$B2,banco!$A:$A,$A2)</f>
        <v>292</v>
      </c>
      <c r="H2" s="12">
        <f>IFERROR(G2/$AM2,0)</f>
        <v>2.8440635044316744E-2</v>
      </c>
      <c r="I2">
        <f>SUMIFS(banco!K:K,banco!$C:$C,$B2,banco!$A:$A,$A2)</f>
        <v>67</v>
      </c>
      <c r="J2" s="12">
        <f>IFERROR(I2/$AN2,0)</f>
        <v>3.1648559282002837E-2</v>
      </c>
      <c r="K2">
        <f>SUMIFS(banco!M:M,banco!$C:$C,$B2,banco!$A:$A,$A2)</f>
        <v>9885</v>
      </c>
      <c r="L2" s="12">
        <f>IFERROR(K2/$AM2,0)</f>
        <v>0.96279341579818833</v>
      </c>
      <c r="M2">
        <f>SUMIFS(banco!O:O,banco!$C:$C,$B2,banco!$A:$A,$A2)</f>
        <v>2021</v>
      </c>
      <c r="N2" s="12">
        <f>IFERROR(M2/$AN2,0)</f>
        <v>0.95465281058101081</v>
      </c>
      <c r="O2">
        <f>SUMIFS(banco!Q:Q,banco!$C:$C,$B2,banco!$A:$A,$A2)</f>
        <v>92</v>
      </c>
      <c r="P2" s="12">
        <f>IFERROR(O2/$AM2,0)</f>
        <v>8.9607480276614401E-3</v>
      </c>
      <c r="Q2">
        <f>SUMIFS(banco!S:S,banco!$C:$C,$B2,banco!$A:$A,$A2)</f>
        <v>18</v>
      </c>
      <c r="R2" s="12">
        <f>IFERROR(Q2/$AN2,0)</f>
        <v>8.5025980160604621E-3</v>
      </c>
      <c r="S2">
        <f>SUMIFS(banco!U:U,banco!$C:$C,$B2,banco!$A:$A,$A2)</f>
        <v>376</v>
      </c>
      <c r="T2" s="12">
        <f>IFERROR(S2/$AM2,0)</f>
        <v>3.6622187591311972E-2</v>
      </c>
      <c r="U2">
        <f>SUMIFS(banco!W:W,banco!$C:$C,$B2,banco!$A:$A,$A2)</f>
        <v>88</v>
      </c>
      <c r="V2" s="12">
        <f>IFERROR(U2/$AN2,0)</f>
        <v>4.1568256967406708E-2</v>
      </c>
      <c r="W2">
        <f>SUMIFS(banco!Y:Y,banco!$C:$C,$B2,banco!$A:$A,$A2)</f>
        <v>6970</v>
      </c>
      <c r="X2" s="12">
        <f>IFERROR(W2/$AM2,0)</f>
        <v>0.67887406253043736</v>
      </c>
      <c r="Y2">
        <f>SUMIFS(banco!AA:AA,banco!$C:$C,$B2,banco!$A:$A,$A2)</f>
        <v>1427</v>
      </c>
      <c r="Z2" s="12">
        <f>IFERROR(Y2/$AN2,0)</f>
        <v>0.67406707605101557</v>
      </c>
      <c r="AA2">
        <f>SUMIFS(banco!AC:AC,banco!$C:$C,$B2,banco!$A:$A,$A2)</f>
        <v>1693</v>
      </c>
      <c r="AB2" s="12">
        <f>IFERROR(AA2/$AM2,0)</f>
        <v>0.16489724359598715</v>
      </c>
      <c r="AC2">
        <f>SUMIFS(banco!AE:AE,banco!$C:$C,$B2,banco!$A:$A,$A2)</f>
        <v>353</v>
      </c>
      <c r="AD2" s="12">
        <f>IFERROR(AC2/$AN2,0)</f>
        <v>0.16674539442607464</v>
      </c>
      <c r="AE2">
        <f>SUMIFS(banco!AG:AG,banco!$C:$C,$B2,banco!$A:$A,$A2)</f>
        <v>896</v>
      </c>
      <c r="AF2" s="12">
        <f>IFERROR(AE2/$AM2,0)</f>
        <v>8.7269893834615753E-2</v>
      </c>
      <c r="AG2">
        <f>SUMIFS(banco!AI:AI,banco!$C:$C,$B2,banco!$A:$A,$A2)</f>
        <v>177</v>
      </c>
      <c r="AH2" s="12">
        <f>IFERROR(AG2/$AN2,0)</f>
        <v>8.3608880491261223E-2</v>
      </c>
      <c r="AI2">
        <f>SUMIFS(banco!AK:AK,banco!$C:$C,$B2,banco!$A:$A,$A2)</f>
        <v>240</v>
      </c>
      <c r="AJ2" s="12">
        <f>IFERROR(AI2/$AM2,0)</f>
        <v>2.3375864419986365E-2</v>
      </c>
      <c r="AK2">
        <f>SUMIFS(banco!AM:AM,banco!$C:$C,$B2,banco!$A:$A,$A2)</f>
        <v>54</v>
      </c>
      <c r="AL2" s="12">
        <f>IFERROR(AK2/$AN2,0)</f>
        <v>2.550779404818139E-2</v>
      </c>
      <c r="AM2">
        <f>SUMIFS(banco!AO:AO,banco!$C:$C,$B2,banco!$A:$A,$A2)</f>
        <v>10267</v>
      </c>
      <c r="AN2">
        <f>SUMIFS(banco!AP:AP,banco!$C:$C,$B2,banco!$A:$A,$A2)</f>
        <v>2117</v>
      </c>
      <c r="AO2">
        <v>9900</v>
      </c>
    </row>
    <row r="3" spans="1:41" x14ac:dyDescent="0.25">
      <c r="A3" s="19">
        <v>2024</v>
      </c>
      <c r="B3" s="18" t="s">
        <v>145</v>
      </c>
      <c r="C3">
        <f>SUMIFS(banco!E:E,banco!$C:$C,$B3,banco!$A:$A,$A3)</f>
        <v>335</v>
      </c>
      <c r="D3" s="12">
        <f>IFERROR(C3/$AM3,0)</f>
        <v>1.7467932005422879E-2</v>
      </c>
      <c r="E3">
        <f>SUMIFS(banco!G:G,banco!$C:$C,$B3,banco!$A:$A,$A3)</f>
        <v>140</v>
      </c>
      <c r="F3" s="12">
        <f>IFERROR(E3/$AN3,0)</f>
        <v>2.8594771241830064E-2</v>
      </c>
      <c r="G3">
        <f>SUMIFS(banco!I:I,banco!$C:$C,$B3,banco!$A:$A,$A3)</f>
        <v>1008</v>
      </c>
      <c r="H3" s="12">
        <f>IFERROR(G3/$AM3,0)</f>
        <v>5.2560225258108252E-2</v>
      </c>
      <c r="I3">
        <f>SUMIFS(banco!K:K,banco!$C:$C,$B3,banco!$A:$A,$A3)</f>
        <v>283</v>
      </c>
      <c r="J3" s="12">
        <f>IFERROR(I3/$AN3,0)</f>
        <v>5.7802287581699349E-2</v>
      </c>
      <c r="K3">
        <f>SUMIFS(banco!M:M,banco!$C:$C,$B3,banco!$A:$A,$A3)</f>
        <v>17835</v>
      </c>
      <c r="L3" s="12">
        <f>IFERROR(K3/$AM3,0)</f>
        <v>0.92997184273646882</v>
      </c>
      <c r="M3">
        <f>SUMIFS(banco!O:O,banco!$C:$C,$B3,banco!$A:$A,$A3)</f>
        <v>4473</v>
      </c>
      <c r="N3" s="12">
        <f>IFERROR(M3/$AN3,0)</f>
        <v>0.91360294117647056</v>
      </c>
      <c r="O3">
        <f>SUMIFS(banco!Q:Q,banco!$C:$C,$B3,banco!$A:$A,$A3)</f>
        <v>280</v>
      </c>
      <c r="P3" s="12">
        <f>IFERROR(O3/$AM3,0)</f>
        <v>1.4600062571696736E-2</v>
      </c>
      <c r="Q3">
        <f>SUMIFS(banco!S:S,banco!$C:$C,$B3,banco!$A:$A,$A3)</f>
        <v>79</v>
      </c>
      <c r="R3" s="12">
        <f>IFERROR(Q3/$AN3,0)</f>
        <v>1.6135620915032681E-2</v>
      </c>
      <c r="S3">
        <f>SUMIFS(banco!U:U,banco!$C:$C,$B3,banco!$A:$A,$A3)</f>
        <v>948</v>
      </c>
      <c r="T3" s="12">
        <f>IFERROR(S3/$AM3,0)</f>
        <v>4.9431640421316092E-2</v>
      </c>
      <c r="U3">
        <f>SUMIFS(banco!W:W,banco!$C:$C,$B3,banco!$A:$A,$A3)</f>
        <v>211</v>
      </c>
      <c r="V3" s="12">
        <f>IFERROR(U3/$AN3,0)</f>
        <v>4.3096405228758169E-2</v>
      </c>
      <c r="W3">
        <f>SUMIFS(banco!Y:Y,banco!$C:$C,$B3,banco!$A:$A,$A3)</f>
        <v>13693</v>
      </c>
      <c r="X3" s="12">
        <f>IFERROR(W3/$AM3,0)</f>
        <v>0.71399520283658358</v>
      </c>
      <c r="Y3">
        <f>SUMIFS(banco!AA:AA,banco!$C:$C,$B3,banco!$A:$A,$A3)</f>
        <v>3461</v>
      </c>
      <c r="Z3" s="12">
        <f>IFERROR(Y3/$AN3,0)</f>
        <v>0.70690359477124187</v>
      </c>
      <c r="AA3">
        <f>SUMIFS(banco!AC:AC,banco!$C:$C,$B3,banco!$A:$A,$A3)</f>
        <v>2808</v>
      </c>
      <c r="AB3" s="12">
        <f>IFERROR(AA3/$AM3,0)</f>
        <v>0.14641777036187298</v>
      </c>
      <c r="AC3">
        <f>SUMIFS(banco!AE:AE,banco!$C:$C,$B3,banco!$A:$A,$A3)</f>
        <v>779</v>
      </c>
      <c r="AD3" s="12">
        <f>IFERROR(AC3/$AN3,0)</f>
        <v>0.159109477124183</v>
      </c>
      <c r="AE3">
        <f>SUMIFS(banco!AG:AG,banco!$C:$C,$B3,banco!$A:$A,$A3)</f>
        <v>1223</v>
      </c>
      <c r="AF3" s="12">
        <f>IFERROR(AE3/$AM3,0)</f>
        <v>6.3770987589946815E-2</v>
      </c>
      <c r="AG3">
        <f>SUMIFS(banco!AI:AI,banco!$C:$C,$B3,banco!$A:$A,$A3)</f>
        <v>308</v>
      </c>
      <c r="AH3" s="12">
        <f>IFERROR(AG3/$AN3,0)</f>
        <v>6.2908496732026142E-2</v>
      </c>
      <c r="AI3">
        <f>SUMIFS(banco!AK:AK,banco!$C:$C,$B3,banco!$A:$A,$A3)</f>
        <v>226</v>
      </c>
      <c r="AJ3" s="12">
        <f>IFERROR(AI3/$AM3,0)</f>
        <v>1.1784336218583795E-2</v>
      </c>
      <c r="AK3">
        <f>SUMIFS(banco!AM:AM,banco!$C:$C,$B3,banco!$A:$A,$A3)</f>
        <v>58</v>
      </c>
      <c r="AL3" s="12">
        <f>IFERROR(AK3/$AN3,0)</f>
        <v>1.1846405228758169E-2</v>
      </c>
      <c r="AM3">
        <f>SUMIFS(banco!AO:AO,banco!$C:$C,$B3,banco!$A:$A,$A3)</f>
        <v>19178</v>
      </c>
      <c r="AN3">
        <f>SUMIFS(banco!AP:AP,banco!$C:$C,$B3,banco!$A:$A,$A3)</f>
        <v>4896</v>
      </c>
      <c r="AO3">
        <v>16928</v>
      </c>
    </row>
    <row r="4" spans="1:41" x14ac:dyDescent="0.25">
      <c r="A4" s="19">
        <v>2024</v>
      </c>
      <c r="B4" s="18" t="s">
        <v>144</v>
      </c>
      <c r="C4">
        <f>SUMIFS(banco!E:E,banco!$C:$C,$B4,banco!$A:$A,$A4)</f>
        <v>82</v>
      </c>
      <c r="D4" s="12">
        <f>IFERROR(C4/$AM4,0)</f>
        <v>9.0090090090090089E-3</v>
      </c>
      <c r="E4">
        <f>SUMIFS(banco!G:G,banco!$C:$C,$B4,banco!$A:$A,$A4)</f>
        <v>26</v>
      </c>
      <c r="F4" s="12">
        <f>IFERROR(E4/$AN4,0)</f>
        <v>1.5204678362573099E-2</v>
      </c>
      <c r="G4">
        <f>SUMIFS(banco!I:I,banco!$C:$C,$B4,banco!$A:$A,$A4)</f>
        <v>253</v>
      </c>
      <c r="H4" s="12">
        <f>IFERROR(G4/$AM4,0)</f>
        <v>2.7796088771698528E-2</v>
      </c>
      <c r="I4">
        <f>SUMIFS(banco!K:K,banco!$C:$C,$B4,banco!$A:$A,$A4)</f>
        <v>48</v>
      </c>
      <c r="J4" s="12">
        <f>IFERROR(I4/$AN4,0)</f>
        <v>2.8070175438596492E-2</v>
      </c>
      <c r="K4">
        <f>SUMIFS(banco!M:M,banco!$C:$C,$B4,banco!$A:$A,$A4)</f>
        <v>8767</v>
      </c>
      <c r="L4" s="12">
        <f>IFERROR(K4/$AM4,0)</f>
        <v>0.96319490221929249</v>
      </c>
      <c r="M4">
        <f>SUMIFS(banco!O:O,banco!$C:$C,$B4,banco!$A:$A,$A4)</f>
        <v>1636</v>
      </c>
      <c r="N4" s="12">
        <f>IFERROR(M4/$AN4,0)</f>
        <v>0.95672514619883042</v>
      </c>
      <c r="O4">
        <f>SUMIFS(banco!Q:Q,banco!$C:$C,$B4,banco!$A:$A,$A4)</f>
        <v>90</v>
      </c>
      <c r="P4" s="12">
        <f>IFERROR(O4/$AM4,0)</f>
        <v>9.8879367172050106E-3</v>
      </c>
      <c r="Q4">
        <f>SUMIFS(banco!S:S,banco!$C:$C,$B4,banco!$A:$A,$A4)</f>
        <v>25</v>
      </c>
      <c r="R4" s="12">
        <f>IFERROR(Q4/$AN4,0)</f>
        <v>1.4619883040935672E-2</v>
      </c>
      <c r="S4">
        <f>SUMIFS(banco!U:U,banco!$C:$C,$B4,banco!$A:$A,$A4)</f>
        <v>336</v>
      </c>
      <c r="T4" s="12">
        <f>IFERROR(S4/$AM4,0)</f>
        <v>3.6914963744232039E-2</v>
      </c>
      <c r="U4">
        <f>SUMIFS(banco!W:W,banco!$C:$C,$B4,banco!$A:$A,$A4)</f>
        <v>56</v>
      </c>
      <c r="V4" s="12">
        <f>IFERROR(U4/$AN4,0)</f>
        <v>3.2748538011695909E-2</v>
      </c>
      <c r="W4">
        <f>SUMIFS(banco!Y:Y,banco!$C:$C,$B4,banco!$A:$A,$A4)</f>
        <v>6119</v>
      </c>
      <c r="X4" s="12">
        <f>IFERROR(W4/$AM4,0)</f>
        <v>0.67226983080641622</v>
      </c>
      <c r="Y4">
        <f>SUMIFS(banco!AA:AA,banco!$C:$C,$B4,banco!$A:$A,$A4)</f>
        <v>1127</v>
      </c>
      <c r="Z4" s="12">
        <f>IFERROR(Y4/$AN4,0)</f>
        <v>0.65906432748538013</v>
      </c>
      <c r="AA4">
        <f>SUMIFS(banco!AC:AC,banco!$C:$C,$B4,banco!$A:$A,$A4)</f>
        <v>1558</v>
      </c>
      <c r="AB4" s="12">
        <f>IFERROR(AA4/$AM4,0)</f>
        <v>0.17117117117117117</v>
      </c>
      <c r="AC4">
        <f>SUMIFS(banco!AE:AE,banco!$C:$C,$B4,banco!$A:$A,$A4)</f>
        <v>345</v>
      </c>
      <c r="AD4" s="12">
        <f>IFERROR(AC4/$AN4,0)</f>
        <v>0.20175438596491227</v>
      </c>
      <c r="AE4">
        <f>SUMIFS(banco!AG:AG,banco!$C:$C,$B4,banco!$A:$A,$A4)</f>
        <v>824</v>
      </c>
      <c r="AF4" s="12">
        <f>IFERROR(AE4/$AM4,0)</f>
        <v>9.0529553944188088E-2</v>
      </c>
      <c r="AG4">
        <f>SUMIFS(banco!AI:AI,banco!$C:$C,$B4,banco!$A:$A,$A4)</f>
        <v>139</v>
      </c>
      <c r="AH4" s="12">
        <f>IFERROR(AG4/$AN4,0)</f>
        <v>8.1286549707602337E-2</v>
      </c>
      <c r="AI4">
        <f>SUMIFS(banco!AK:AK,banco!$C:$C,$B4,banco!$A:$A,$A4)</f>
        <v>175</v>
      </c>
      <c r="AJ4" s="12">
        <f>IFERROR(AI4/$AM4,0)</f>
        <v>1.9226543616787519E-2</v>
      </c>
      <c r="AK4">
        <f>SUMIFS(banco!AM:AM,banco!$C:$C,$B4,banco!$A:$A,$A4)</f>
        <v>18</v>
      </c>
      <c r="AL4" s="12">
        <f>IFERROR(AK4/$AN4,0)</f>
        <v>1.0526315789473684E-2</v>
      </c>
      <c r="AM4">
        <f>SUMIFS(banco!AO:AO,banco!$C:$C,$B4,banco!$A:$A,$A4)</f>
        <v>9102</v>
      </c>
      <c r="AN4">
        <f>SUMIFS(banco!AP:AP,banco!$C:$C,$B4,banco!$A:$A,$A4)</f>
        <v>1710</v>
      </c>
      <c r="AO4">
        <v>10353</v>
      </c>
    </row>
    <row r="5" spans="1:41" x14ac:dyDescent="0.25">
      <c r="A5" s="19">
        <v>2024</v>
      </c>
      <c r="B5" s="18" t="s">
        <v>148</v>
      </c>
      <c r="C5">
        <f>SUMIFS(banco!E:E,banco!$C:$C,$B5,banco!$A:$A,$A5)</f>
        <v>312</v>
      </c>
      <c r="D5" s="12">
        <f>IFERROR(C5/$AM5,0)</f>
        <v>1.4002333722287048E-2</v>
      </c>
      <c r="E5">
        <f>SUMIFS(banco!G:G,banco!$C:$C,$B5,banco!$A:$A,$A5)</f>
        <v>189</v>
      </c>
      <c r="F5" s="12">
        <f>IFERROR(E5/$AN5,0)</f>
        <v>3.3582089552238806E-2</v>
      </c>
      <c r="G5">
        <f>SUMIFS(banco!I:I,banco!$C:$C,$B5,banco!$A:$A,$A5)</f>
        <v>805</v>
      </c>
      <c r="H5" s="12">
        <f>IFERROR(G5/$AM5,0)</f>
        <v>3.6127816174490623E-2</v>
      </c>
      <c r="I5">
        <f>SUMIFS(banco!K:K,banco!$C:$C,$B5,banco!$A:$A,$A5)</f>
        <v>257</v>
      </c>
      <c r="J5" s="12">
        <f>IFERROR(I5/$AN5,0)</f>
        <v>4.5664534470504621E-2</v>
      </c>
      <c r="K5">
        <f>SUMIFS(banco!M:M,banco!$C:$C,$B5,banco!$A:$A,$A5)</f>
        <v>21165</v>
      </c>
      <c r="L5" s="12">
        <f>IFERROR(K5/$AM5,0)</f>
        <v>0.94986985010322234</v>
      </c>
      <c r="M5">
        <f>SUMIFS(banco!O:O,banco!$C:$C,$B5,banco!$A:$A,$A5)</f>
        <v>5182</v>
      </c>
      <c r="N5" s="12">
        <f>IFERROR(M5/$AN5,0)</f>
        <v>0.92075337597725659</v>
      </c>
      <c r="O5">
        <f>SUMIFS(banco!Q:Q,banco!$C:$C,$B5,banco!$A:$A,$A5)</f>
        <v>270</v>
      </c>
      <c r="P5" s="12">
        <f>IFERROR(O5/$AM5,0)</f>
        <v>1.2117404182748407E-2</v>
      </c>
      <c r="Q5">
        <f>SUMIFS(banco!S:S,banco!$C:$C,$B5,banco!$A:$A,$A5)</f>
        <v>92</v>
      </c>
      <c r="R5" s="12">
        <f>IFERROR(Q5/$AN5,0)</f>
        <v>1.6346837242359632E-2</v>
      </c>
      <c r="S5">
        <f>SUMIFS(banco!U:U,banco!$C:$C,$B5,banco!$A:$A,$A5)</f>
        <v>842</v>
      </c>
      <c r="T5" s="12">
        <f>IFERROR(S5/$AM5,0)</f>
        <v>3.7788349340274661E-2</v>
      </c>
      <c r="U5">
        <f>SUMIFS(banco!W:W,banco!$C:$C,$B5,banco!$A:$A,$A5)</f>
        <v>195</v>
      </c>
      <c r="V5" s="12">
        <f>IFERROR(U5/$AN5,0)</f>
        <v>3.4648187633262259E-2</v>
      </c>
      <c r="W5">
        <f>SUMIFS(banco!Y:Y,banco!$C:$C,$B5,banco!$A:$A,$A5)</f>
        <v>15229</v>
      </c>
      <c r="X5" s="12">
        <f>IFERROR(W5/$AM5,0)</f>
        <v>0.68346647518176107</v>
      </c>
      <c r="Y5">
        <f>SUMIFS(banco!AA:AA,banco!$C:$C,$B5,banco!$A:$A,$A5)</f>
        <v>3920</v>
      </c>
      <c r="Z5" s="12">
        <f>IFERROR(Y5/$AN5,0)</f>
        <v>0.69651741293532343</v>
      </c>
      <c r="AA5">
        <f>SUMIFS(banco!AC:AC,banco!$C:$C,$B5,banco!$A:$A,$A5)</f>
        <v>3774</v>
      </c>
      <c r="AB5" s="12">
        <f>IFERROR(AA5/$AM5,0)</f>
        <v>0.16937438290997217</v>
      </c>
      <c r="AC5">
        <f>SUMIFS(banco!AE:AE,banco!$C:$C,$B5,banco!$A:$A,$A5)</f>
        <v>957</v>
      </c>
      <c r="AD5" s="12">
        <f>IFERROR(AC5/$AN5,0)</f>
        <v>0.17004264392324095</v>
      </c>
      <c r="AE5">
        <f>SUMIFS(banco!AG:AG,banco!$C:$C,$B5,banco!$A:$A,$A5)</f>
        <v>1754</v>
      </c>
      <c r="AF5" s="12">
        <f>IFERROR(AE5/$AM5,0)</f>
        <v>7.8718247913113729E-2</v>
      </c>
      <c r="AG5">
        <f>SUMIFS(banco!AI:AI,banco!$C:$C,$B5,banco!$A:$A,$A5)</f>
        <v>353</v>
      </c>
      <c r="AH5" s="12">
        <f>IFERROR(AG5/$AN5,0)</f>
        <v>6.272210376687988E-2</v>
      </c>
      <c r="AI5">
        <f>SUMIFS(banco!AK:AK,banco!$C:$C,$B5,banco!$A:$A,$A5)</f>
        <v>413</v>
      </c>
      <c r="AJ5" s="12">
        <f>IFERROR(AI5/$AM5,0)</f>
        <v>1.8535140472129969E-2</v>
      </c>
      <c r="AK5">
        <f>SUMIFS(banco!AM:AM,banco!$C:$C,$B5,banco!$A:$A,$A5)</f>
        <v>111</v>
      </c>
      <c r="AL5" s="12">
        <f>IFERROR(AK5/$AN5,0)</f>
        <v>1.9722814498933903E-2</v>
      </c>
      <c r="AM5">
        <f>SUMIFS(banco!AO:AO,banco!$C:$C,$B5,banco!$A:$A,$A5)</f>
        <v>22282</v>
      </c>
      <c r="AN5">
        <f>SUMIFS(banco!AP:AP,banco!$C:$C,$B5,banco!$A:$A,$A5)</f>
        <v>5628</v>
      </c>
      <c r="AO5">
        <v>31007</v>
      </c>
    </row>
    <row r="6" spans="1:41" x14ac:dyDescent="0.25">
      <c r="A6" s="19">
        <v>2024</v>
      </c>
      <c r="B6" s="18" t="s">
        <v>150</v>
      </c>
      <c r="C6">
        <f>SUMIFS(banco!E:E,banco!$C:$C,$B6,banco!$A:$A,$A6)</f>
        <v>163</v>
      </c>
      <c r="D6" s="12">
        <f>IFERROR(C6/$AM6,0)</f>
        <v>1.3791352906337253E-2</v>
      </c>
      <c r="E6">
        <f>SUMIFS(banco!G:G,banco!$C:$C,$B6,banco!$A:$A,$A6)</f>
        <v>70</v>
      </c>
      <c r="F6" s="12">
        <f>IFERROR(E6/$AN6,0)</f>
        <v>3.2362459546925564E-2</v>
      </c>
      <c r="G6">
        <f>SUMIFS(banco!I:I,banco!$C:$C,$B6,banco!$A:$A,$A6)</f>
        <v>509</v>
      </c>
      <c r="H6" s="12">
        <f>IFERROR(G6/$AM6,0)</f>
        <v>4.3066249259666636E-2</v>
      </c>
      <c r="I6">
        <f>SUMIFS(banco!K:K,banco!$C:$C,$B6,banco!$A:$A,$A6)</f>
        <v>107</v>
      </c>
      <c r="J6" s="12">
        <f>IFERROR(I6/$AN6,0)</f>
        <v>4.9468331021729081E-2</v>
      </c>
      <c r="K6">
        <f>SUMIFS(banco!M:M,banco!$C:$C,$B6,banco!$A:$A,$A6)</f>
        <v>11147</v>
      </c>
      <c r="L6" s="12">
        <f>IFERROR(K6/$AM6,0)</f>
        <v>0.94314239783399612</v>
      </c>
      <c r="M6">
        <f>SUMIFS(banco!O:O,banco!$C:$C,$B6,banco!$A:$A,$A6)</f>
        <v>1986</v>
      </c>
      <c r="N6" s="12">
        <f>IFERROR(M6/$AN6,0)</f>
        <v>0.91816920943134539</v>
      </c>
      <c r="O6">
        <f>SUMIFS(banco!Q:Q,banco!$C:$C,$B6,banco!$A:$A,$A6)</f>
        <v>135</v>
      </c>
      <c r="P6" s="12">
        <f>IFERROR(O6/$AM6,0)</f>
        <v>1.1422286149420424E-2</v>
      </c>
      <c r="Q6">
        <f>SUMIFS(banco!S:S,banco!$C:$C,$B6,banco!$A:$A,$A6)</f>
        <v>36</v>
      </c>
      <c r="R6" s="12">
        <f>IFERROR(Q6/$AN6,0)</f>
        <v>1.6643550624133148E-2</v>
      </c>
      <c r="S6">
        <f>SUMIFS(banco!U:U,banco!$C:$C,$B6,banco!$A:$A,$A6)</f>
        <v>410</v>
      </c>
      <c r="T6" s="12">
        <f>IFERROR(S6/$AM6,0)</f>
        <v>3.4689906083424996E-2</v>
      </c>
      <c r="U6">
        <f>SUMIFS(banco!W:W,banco!$C:$C,$B6,banco!$A:$A,$A6)</f>
        <v>67</v>
      </c>
      <c r="V6" s="12">
        <f>IFERROR(U6/$AN6,0)</f>
        <v>3.0975496994914472E-2</v>
      </c>
      <c r="W6">
        <f>SUMIFS(banco!Y:Y,banco!$C:$C,$B6,banco!$A:$A,$A6)</f>
        <v>8059</v>
      </c>
      <c r="X6" s="12">
        <f>IFERROR(W6/$AM6,0)</f>
        <v>0.68186817835688296</v>
      </c>
      <c r="Y6">
        <f>SUMIFS(banco!AA:AA,banco!$C:$C,$B6,banco!$A:$A,$A6)</f>
        <v>1451</v>
      </c>
      <c r="Z6" s="12">
        <f>IFERROR(Y6/$AN6,0)</f>
        <v>0.67082755432269991</v>
      </c>
      <c r="AA6">
        <f>SUMIFS(banco!AC:AC,banco!$C:$C,$B6,banco!$A:$A,$A6)</f>
        <v>1951</v>
      </c>
      <c r="AB6" s="12">
        <f>IFERROR(AA6/$AM6,0)</f>
        <v>0.16507318724088332</v>
      </c>
      <c r="AC6">
        <f>SUMIFS(banco!AE:AE,banco!$C:$C,$B6,banco!$A:$A,$A6)</f>
        <v>384</v>
      </c>
      <c r="AD6" s="12">
        <f>IFERROR(AC6/$AN6,0)</f>
        <v>0.17753120665742025</v>
      </c>
      <c r="AE6">
        <f>SUMIFS(banco!AG:AG,banco!$C:$C,$B6,banco!$A:$A,$A6)</f>
        <v>995</v>
      </c>
      <c r="AF6" s="12">
        <f>IFERROR(AE6/$AM6,0)</f>
        <v>8.4186479397580172E-2</v>
      </c>
      <c r="AG6">
        <f>SUMIFS(banco!AI:AI,banco!$C:$C,$B6,banco!$A:$A,$A6)</f>
        <v>166</v>
      </c>
      <c r="AH6" s="12">
        <f>IFERROR(AG6/$AN6,0)</f>
        <v>7.6745261211280627E-2</v>
      </c>
      <c r="AI6">
        <f>SUMIFS(banco!AK:AK,banco!$C:$C,$B6,banco!$A:$A,$A6)</f>
        <v>270</v>
      </c>
      <c r="AJ6" s="12">
        <f>IFERROR(AI6/$AM6,0)</f>
        <v>2.2844572298840848E-2</v>
      </c>
      <c r="AK6">
        <f>SUMIFS(banco!AM:AM,banco!$C:$C,$B6,banco!$A:$A,$A6)</f>
        <v>60</v>
      </c>
      <c r="AL6" s="12">
        <f>IFERROR(AK6/$AN6,0)</f>
        <v>2.7739251040221916E-2</v>
      </c>
      <c r="AM6">
        <f>SUMIFS(banco!AO:AO,banco!$C:$C,$B6,banco!$A:$A,$A6)</f>
        <v>11819</v>
      </c>
      <c r="AN6">
        <f>SUMIFS(banco!AP:AP,banco!$C:$C,$B6,banco!$A:$A,$A6)</f>
        <v>2163</v>
      </c>
      <c r="AO6">
        <v>11999</v>
      </c>
    </row>
    <row r="7" spans="1:41" x14ac:dyDescent="0.25">
      <c r="A7" s="19">
        <v>2024</v>
      </c>
      <c r="B7" s="18" t="s">
        <v>146</v>
      </c>
      <c r="C7">
        <f>SUMIFS(banco!E:E,banco!$C:$C,$B7,banco!$A:$A,$A7)</f>
        <v>103</v>
      </c>
      <c r="D7" s="12">
        <f>IFERROR(C7/$AM7,0)</f>
        <v>8.313826781822584E-3</v>
      </c>
      <c r="E7">
        <f>SUMIFS(banco!G:G,banco!$C:$C,$B7,banco!$A:$A,$A7)</f>
        <v>49</v>
      </c>
      <c r="F7" s="12">
        <f>IFERROR(E7/$AN7,0)</f>
        <v>2.0425177157148811E-2</v>
      </c>
      <c r="G7">
        <f>SUMIFS(banco!I:I,banco!$C:$C,$B7,banco!$A:$A,$A7)</f>
        <v>524</v>
      </c>
      <c r="H7" s="12">
        <f>IFERROR(G7/$AM7,0)</f>
        <v>4.2295584792961499E-2</v>
      </c>
      <c r="I7">
        <f>SUMIFS(banco!K:K,banco!$C:$C,$B7,banco!$A:$A,$A7)</f>
        <v>251</v>
      </c>
      <c r="J7" s="12">
        <f>IFERROR(I7/$AN7,0)</f>
        <v>0.10462692788661943</v>
      </c>
      <c r="K7">
        <f>SUMIFS(banco!M:M,banco!$C:$C,$B7,banco!$A:$A,$A7)</f>
        <v>11762</v>
      </c>
      <c r="L7" s="12">
        <f>IFERROR(K7/$AM7,0)</f>
        <v>0.94939058842521595</v>
      </c>
      <c r="M7">
        <f>SUMIFS(banco!O:O,banco!$C:$C,$B7,banco!$A:$A,$A7)</f>
        <v>2099</v>
      </c>
      <c r="N7" s="12">
        <f>IFERROR(M7/$AN7,0)</f>
        <v>0.87494789495623171</v>
      </c>
      <c r="O7">
        <f>SUMIFS(banco!Q:Q,banco!$C:$C,$B7,banco!$A:$A,$A7)</f>
        <v>121</v>
      </c>
      <c r="P7" s="12">
        <f>IFERROR(O7/$AM7,0)</f>
        <v>9.7667285495197358E-3</v>
      </c>
      <c r="Q7">
        <f>SUMIFS(banco!S:S,banco!$C:$C,$B7,banco!$A:$A,$A7)</f>
        <v>25</v>
      </c>
      <c r="R7" s="12">
        <f>IFERROR(Q7/$AN7,0)</f>
        <v>1.0421008753647354E-2</v>
      </c>
      <c r="S7">
        <f>SUMIFS(banco!U:U,banco!$C:$C,$B7,banco!$A:$A,$A7)</f>
        <v>456</v>
      </c>
      <c r="T7" s="12">
        <f>IFERROR(S7/$AM7,0)</f>
        <v>3.6806844781661151E-2</v>
      </c>
      <c r="U7">
        <f>SUMIFS(banco!W:W,banco!$C:$C,$B7,banco!$A:$A,$A7)</f>
        <v>64</v>
      </c>
      <c r="V7" s="12">
        <f>IFERROR(U7/$AN7,0)</f>
        <v>2.6677782409337224E-2</v>
      </c>
      <c r="W7">
        <f>SUMIFS(banco!Y:Y,banco!$C:$C,$B7,banco!$A:$A,$A7)</f>
        <v>8246</v>
      </c>
      <c r="X7" s="12">
        <f>IFERROR(W7/$AM7,0)</f>
        <v>0.66559044313503912</v>
      </c>
      <c r="Y7">
        <f>SUMIFS(banco!AA:AA,banco!$C:$C,$B7,banco!$A:$A,$A7)</f>
        <v>1730</v>
      </c>
      <c r="Z7" s="12">
        <f>IFERROR(Y7/$AN7,0)</f>
        <v>0.72113380575239683</v>
      </c>
      <c r="AA7">
        <f>SUMIFS(banco!AC:AC,banco!$C:$C,$B7,banco!$A:$A,$A7)</f>
        <v>2107</v>
      </c>
      <c r="AB7" s="12">
        <f>IFERROR(AA7/$AM7,0)</f>
        <v>0.17007022358543869</v>
      </c>
      <c r="AC7">
        <f>SUMIFS(banco!AE:AE,banco!$C:$C,$B7,banco!$A:$A,$A7)</f>
        <v>380</v>
      </c>
      <c r="AD7" s="12">
        <f>IFERROR(AC7/$AN7,0)</f>
        <v>0.15839933305543977</v>
      </c>
      <c r="AE7">
        <f>SUMIFS(banco!AG:AG,banco!$C:$C,$B7,banco!$A:$A,$A7)</f>
        <v>1145</v>
      </c>
      <c r="AF7" s="12">
        <f>IFERROR(AE7/$AM7,0)</f>
        <v>9.2420695778513196E-2</v>
      </c>
      <c r="AG7">
        <f>SUMIFS(banco!AI:AI,banco!$C:$C,$B7,banco!$A:$A,$A7)</f>
        <v>164</v>
      </c>
      <c r="AH7" s="12">
        <f>IFERROR(AG7/$AN7,0)</f>
        <v>6.8361817423926635E-2</v>
      </c>
      <c r="AI7">
        <f>SUMIFS(banco!AK:AK,banco!$C:$C,$B7,banco!$A:$A,$A7)</f>
        <v>314</v>
      </c>
      <c r="AJ7" s="12">
        <f>IFERROR(AI7/$AM7,0)</f>
        <v>2.5345064169828072E-2</v>
      </c>
      <c r="AK7">
        <f>SUMIFS(banco!AM:AM,banco!$C:$C,$B7,banco!$A:$A,$A7)</f>
        <v>36</v>
      </c>
      <c r="AL7" s="12">
        <f>IFERROR(AK7/$AN7,0)</f>
        <v>1.5006252605252188E-2</v>
      </c>
      <c r="AM7">
        <f>SUMIFS(banco!AO:AO,banco!$C:$C,$B7,banco!$A:$A,$A7)</f>
        <v>12389</v>
      </c>
      <c r="AN7">
        <f>SUMIFS(banco!AP:AP,banco!$C:$C,$B7,banco!$A:$A,$A7)</f>
        <v>2399</v>
      </c>
      <c r="AO7">
        <v>13158</v>
      </c>
    </row>
    <row r="8" spans="1:41" x14ac:dyDescent="0.25">
      <c r="A8" s="19">
        <v>2024</v>
      </c>
      <c r="B8" s="18" t="s">
        <v>149</v>
      </c>
      <c r="C8">
        <f>SUMIFS(banco!E:E,banco!$C:$C,$B8,banco!$A:$A,$A8)</f>
        <v>243</v>
      </c>
      <c r="D8" s="12">
        <f>IFERROR(C8/$AM8,0)</f>
        <v>1.1787533349502789E-2</v>
      </c>
      <c r="E8">
        <f>SUMIFS(banco!G:G,banco!$C:$C,$B8,banco!$A:$A,$A8)</f>
        <v>86</v>
      </c>
      <c r="F8" s="12">
        <f>IFERROR(E8/$AN8,0)</f>
        <v>1.7080436941410128E-2</v>
      </c>
      <c r="G8">
        <f>SUMIFS(banco!I:I,banco!$C:$C,$B8,banco!$A:$A,$A8)</f>
        <v>829</v>
      </c>
      <c r="H8" s="12">
        <f>IFERROR(G8/$AM8,0)</f>
        <v>4.0213436817851077E-2</v>
      </c>
      <c r="I8">
        <f>SUMIFS(banco!K:K,banco!$C:$C,$B8,banco!$A:$A,$A8)</f>
        <v>207</v>
      </c>
      <c r="J8" s="12">
        <f>IFERROR(I8/$AN8,0)</f>
        <v>4.1112214498510428E-2</v>
      </c>
      <c r="K8">
        <f>SUMIFS(banco!M:M,banco!$C:$C,$B8,banco!$A:$A,$A8)</f>
        <v>19543</v>
      </c>
      <c r="L8" s="12">
        <f>IFERROR(K8/$AM8,0)</f>
        <v>0.94799902983264617</v>
      </c>
      <c r="M8">
        <f>SUMIFS(banco!O:O,banco!$C:$C,$B8,banco!$A:$A,$A8)</f>
        <v>4742</v>
      </c>
      <c r="N8" s="12">
        <f>IFERROR(M8/$AN8,0)</f>
        <v>0.94180734856007942</v>
      </c>
      <c r="O8">
        <f>SUMIFS(banco!Q:Q,banco!$C:$C,$B8,banco!$A:$A,$A8)</f>
        <v>217</v>
      </c>
      <c r="P8" s="12">
        <f>IFERROR(O8/$AM8,0)</f>
        <v>1.0526315789473684E-2</v>
      </c>
      <c r="Q8">
        <f>SUMIFS(banco!S:S,banco!$C:$C,$B8,banco!$A:$A,$A8)</f>
        <v>66</v>
      </c>
      <c r="R8" s="12">
        <f>IFERROR(Q8/$AN8,0)</f>
        <v>1.310824230387289E-2</v>
      </c>
      <c r="S8">
        <f>SUMIFS(banco!U:U,banco!$C:$C,$B8,banco!$A:$A,$A8)</f>
        <v>790</v>
      </c>
      <c r="T8" s="12">
        <f>IFERROR(S8/$AM8,0)</f>
        <v>3.8321610477807425E-2</v>
      </c>
      <c r="U8">
        <f>SUMIFS(banco!W:W,banco!$C:$C,$B8,banco!$A:$A,$A8)</f>
        <v>161</v>
      </c>
      <c r="V8" s="12">
        <f>IFERROR(U8/$AN8,0)</f>
        <v>3.1976166832174774E-2</v>
      </c>
      <c r="W8">
        <f>SUMIFS(banco!Y:Y,banco!$C:$C,$B8,banco!$A:$A,$A8)</f>
        <v>13999</v>
      </c>
      <c r="X8" s="12">
        <f>IFERROR(W8/$AM8,0)</f>
        <v>0.67906863934028616</v>
      </c>
      <c r="Y8">
        <f>SUMIFS(banco!AA:AA,banco!$C:$C,$B8,banco!$A:$A,$A8)</f>
        <v>3192</v>
      </c>
      <c r="Z8" s="12">
        <f>IFERROR(Y8/$AN8,0)</f>
        <v>0.63396226415094337</v>
      </c>
      <c r="AA8">
        <f>SUMIFS(banco!AC:AC,banco!$C:$C,$B8,banco!$A:$A,$A8)</f>
        <v>3642</v>
      </c>
      <c r="AB8" s="12">
        <f>IFERROR(AA8/$AM8,0)</f>
        <v>0.17666747513946154</v>
      </c>
      <c r="AC8">
        <f>SUMIFS(banco!AE:AE,banco!$C:$C,$B8,banco!$A:$A,$A8)</f>
        <v>1187</v>
      </c>
      <c r="AD8" s="12">
        <f>IFERROR(AC8/$AN8,0)</f>
        <v>0.23574975173783516</v>
      </c>
      <c r="AE8">
        <f>SUMIFS(banco!AG:AG,banco!$C:$C,$B8,banco!$A:$A,$A8)</f>
        <v>1624</v>
      </c>
      <c r="AF8" s="12">
        <f>IFERROR(AE8/$AM8,0)</f>
        <v>7.8777589134125636E-2</v>
      </c>
      <c r="AG8">
        <f>SUMIFS(banco!AI:AI,banco!$C:$C,$B8,banco!$A:$A,$A8)</f>
        <v>375</v>
      </c>
      <c r="AH8" s="12">
        <f>IFERROR(AG8/$AN8,0)</f>
        <v>7.4478649453823237E-2</v>
      </c>
      <c r="AI8">
        <f>SUMIFS(banco!AK:AK,banco!$C:$C,$B8,banco!$A:$A,$A8)</f>
        <v>343</v>
      </c>
      <c r="AJ8" s="12">
        <f>IFERROR(AI8/$AM8,0)</f>
        <v>1.6638370118845502E-2</v>
      </c>
      <c r="AK8">
        <f>SUMIFS(banco!AM:AM,banco!$C:$C,$B8,banco!$A:$A,$A8)</f>
        <v>54</v>
      </c>
      <c r="AL8" s="12">
        <f>IFERROR(AK8/$AN8,0)</f>
        <v>1.0724925521350546E-2</v>
      </c>
      <c r="AM8">
        <f>SUMIFS(banco!AO:AO,banco!$C:$C,$B8,banco!$A:$A,$A8)</f>
        <v>20615</v>
      </c>
      <c r="AN8">
        <f>SUMIFS(banco!AP:AP,banco!$C:$C,$B8,banco!$A:$A,$A8)</f>
        <v>5035</v>
      </c>
      <c r="AO8">
        <v>23300</v>
      </c>
    </row>
    <row r="9" spans="1:41" x14ac:dyDescent="0.25">
      <c r="A9" s="19">
        <v>2024</v>
      </c>
      <c r="B9" s="18" t="s">
        <v>147</v>
      </c>
      <c r="C9">
        <f>SUMIFS(banco!E:E,banco!$C:$C,$B9,banco!$A:$A,$A9)</f>
        <v>82</v>
      </c>
      <c r="D9" s="12">
        <f>IFERROR(C9/$AM9,0)</f>
        <v>1.0738606600314301E-2</v>
      </c>
      <c r="E9">
        <f>SUMIFS(banco!G:G,banco!$C:$C,$B9,banco!$A:$A,$A9)</f>
        <v>21</v>
      </c>
      <c r="F9" s="12">
        <f>IFERROR(E9/$AN9,0)</f>
        <v>1.16991643454039E-2</v>
      </c>
      <c r="G9">
        <f>SUMIFS(banco!I:I,banco!$C:$C,$B9,banco!$A:$A,$A9)</f>
        <v>246</v>
      </c>
      <c r="H9" s="12">
        <f>IFERROR(G9/$AM9,0)</f>
        <v>3.2215819800942902E-2</v>
      </c>
      <c r="I9">
        <f>SUMIFS(banco!K:K,banco!$C:$C,$B9,banco!$A:$A,$A9)</f>
        <v>79</v>
      </c>
      <c r="J9" s="12">
        <f>IFERROR(I9/$AN9,0)</f>
        <v>4.4011142061281337E-2</v>
      </c>
      <c r="K9">
        <f>SUMIFS(banco!M:M,banco!$C:$C,$B9,banco!$A:$A,$A9)</f>
        <v>7308</v>
      </c>
      <c r="L9" s="12">
        <f>IFERROR(K9/$AM9,0)</f>
        <v>0.95704557359874276</v>
      </c>
      <c r="M9">
        <f>SUMIFS(banco!O:O,banco!$C:$C,$B9,banco!$A:$A,$A9)</f>
        <v>1695</v>
      </c>
      <c r="N9" s="12">
        <f>IFERROR(M9/$AN9,0)</f>
        <v>0.94428969359331472</v>
      </c>
      <c r="O9">
        <f>SUMIFS(banco!Q:Q,banco!$C:$C,$B9,banco!$A:$A,$A9)</f>
        <v>70</v>
      </c>
      <c r="P9" s="12">
        <f>IFERROR(O9/$AM9,0)</f>
        <v>9.1671031953902572E-3</v>
      </c>
      <c r="Q9">
        <f>SUMIFS(banco!S:S,banco!$C:$C,$B9,banco!$A:$A,$A9)</f>
        <v>28</v>
      </c>
      <c r="R9" s="12">
        <f>IFERROR(Q9/$AN9,0)</f>
        <v>1.5598885793871866E-2</v>
      </c>
      <c r="S9">
        <f>SUMIFS(banco!U:U,banco!$C:$C,$B9,banco!$A:$A,$A9)</f>
        <v>266</v>
      </c>
      <c r="T9" s="12">
        <f>IFERROR(S9/$AM9,0)</f>
        <v>3.4834992142482972E-2</v>
      </c>
      <c r="U9">
        <f>SUMIFS(banco!W:W,banco!$C:$C,$B9,banco!$A:$A,$A9)</f>
        <v>62</v>
      </c>
      <c r="V9" s="12">
        <f>IFERROR(U9/$AN9,0)</f>
        <v>3.4540389972144848E-2</v>
      </c>
      <c r="W9">
        <f>SUMIFS(banco!Y:Y,banco!$C:$C,$B9,banco!$A:$A,$A9)</f>
        <v>5316</v>
      </c>
      <c r="X9" s="12">
        <f>IFERROR(W9/$AM9,0)</f>
        <v>0.69617600838135152</v>
      </c>
      <c r="Y9">
        <f>SUMIFS(banco!AA:AA,banco!$C:$C,$B9,banco!$A:$A,$A9)</f>
        <v>1232</v>
      </c>
      <c r="Z9" s="12">
        <f>IFERROR(Y9/$AN9,0)</f>
        <v>0.68635097493036212</v>
      </c>
      <c r="AA9">
        <f>SUMIFS(banco!AC:AC,banco!$C:$C,$B9,banco!$A:$A,$A9)</f>
        <v>1233</v>
      </c>
      <c r="AB9" s="12">
        <f>IFERROR(AA9/$AM9,0)</f>
        <v>0.16147197485594553</v>
      </c>
      <c r="AC9">
        <f>SUMIFS(banco!AE:AE,banco!$C:$C,$B9,banco!$A:$A,$A9)</f>
        <v>311</v>
      </c>
      <c r="AD9" s="12">
        <f>IFERROR(AC9/$AN9,0)</f>
        <v>0.17325905292479107</v>
      </c>
      <c r="AE9">
        <f>SUMIFS(banco!AG:AG,banco!$C:$C,$B9,banco!$A:$A,$A9)</f>
        <v>604</v>
      </c>
      <c r="AF9" s="12">
        <f>IFERROR(AE9/$AM9,0)</f>
        <v>7.9099004714510215E-2</v>
      </c>
      <c r="AG9">
        <f>SUMIFS(banco!AI:AI,banco!$C:$C,$B9,banco!$A:$A,$A9)</f>
        <v>123</v>
      </c>
      <c r="AH9" s="12">
        <f>IFERROR(AG9/$AN9,0)</f>
        <v>6.8523676880222845E-2</v>
      </c>
      <c r="AI9">
        <f>SUMIFS(banco!AK:AK,banco!$C:$C,$B9,banco!$A:$A,$A9)</f>
        <v>147</v>
      </c>
      <c r="AJ9" s="12">
        <f>IFERROR(AI9/$AM9,0)</f>
        <v>1.9250916710319539E-2</v>
      </c>
      <c r="AK9">
        <f>SUMIFS(banco!AM:AM,banco!$C:$C,$B9,banco!$A:$A,$A9)</f>
        <v>39</v>
      </c>
      <c r="AL9" s="12">
        <f>IFERROR(AK9/$AN9,0)</f>
        <v>2.1727019498607242E-2</v>
      </c>
      <c r="AM9">
        <f>SUMIFS(banco!AO:AO,banco!$C:$C,$B9,banco!$A:$A,$A9)</f>
        <v>7636</v>
      </c>
      <c r="AN9">
        <f>SUMIFS(banco!AP:AP,banco!$C:$C,$B9,banco!$A:$A,$A9)</f>
        <v>1795</v>
      </c>
      <c r="AO9">
        <v>6725</v>
      </c>
    </row>
    <row r="10" spans="1:41" x14ac:dyDescent="0.25">
      <c r="A10" s="19">
        <v>2023</v>
      </c>
      <c r="B10" s="18" t="s">
        <v>151</v>
      </c>
      <c r="C10">
        <f>SUMIFS(banco!E:E,banco!$C:$C,$B10,banco!$A:$A,$A10)</f>
        <v>110</v>
      </c>
      <c r="D10" s="12">
        <f>IFERROR(C10/$AM10,0)</f>
        <v>1.0641385314888266E-2</v>
      </c>
      <c r="E10">
        <f>SUMIFS(banco!G:G,banco!$C:$C,$B10,banco!$A:$A,$A10)</f>
        <v>54</v>
      </c>
      <c r="F10" s="12">
        <f>IFERROR(E10/$AN10,0)</f>
        <v>2.3642732049036778E-2</v>
      </c>
      <c r="G10">
        <f>SUMIFS(banco!I:I,banco!$C:$C,$B10,banco!$A:$A,$A10)</f>
        <v>351</v>
      </c>
      <c r="H10" s="12">
        <f>IFERROR(G10/$AM10,0)</f>
        <v>3.3955693141143467E-2</v>
      </c>
      <c r="I10">
        <f>SUMIFS(banco!K:K,banco!$C:$C,$B10,banco!$A:$A,$A10)</f>
        <v>92</v>
      </c>
      <c r="J10" s="12">
        <f>IFERROR(I10/$AN10,0)</f>
        <v>4.0280210157618214E-2</v>
      </c>
      <c r="K10">
        <f>SUMIFS(banco!M:M,banco!$C:$C,$B10,banco!$A:$A,$A10)</f>
        <v>9876</v>
      </c>
      <c r="L10" s="12">
        <f>IFERROR(K10/$AM10,0)</f>
        <v>0.95540292154396822</v>
      </c>
      <c r="M10">
        <f>SUMIFS(banco!O:O,banco!$C:$C,$B10,banco!$A:$A,$A10)</f>
        <v>2138</v>
      </c>
      <c r="N10" s="12">
        <f>IFERROR(M10/$AN10,0)</f>
        <v>0.93607705779334505</v>
      </c>
      <c r="O10">
        <f>SUMIFS(banco!Q:Q,banco!$C:$C,$B10,banco!$A:$A,$A10)</f>
        <v>100</v>
      </c>
      <c r="P10" s="12">
        <f>IFERROR(O10/$AM10,0)</f>
        <v>9.6739866498984223E-3</v>
      </c>
      <c r="Q10">
        <f>SUMIFS(banco!S:S,banco!$C:$C,$B10,banco!$A:$A,$A10)</f>
        <v>33</v>
      </c>
      <c r="R10" s="12">
        <f>IFERROR(Q10/$AN10,0)</f>
        <v>1.4448336252189142E-2</v>
      </c>
      <c r="S10">
        <f>SUMIFS(banco!U:U,banco!$C:$C,$B10,banco!$A:$A,$A10)</f>
        <v>385</v>
      </c>
      <c r="T10" s="12">
        <f>IFERROR(S10/$AM10,0)</f>
        <v>3.7244848602108929E-2</v>
      </c>
      <c r="U10">
        <f>SUMIFS(banco!W:W,banco!$C:$C,$B10,banco!$A:$A,$A10)</f>
        <v>82</v>
      </c>
      <c r="V10" s="12">
        <f>IFERROR(U10/$AN10,0)</f>
        <v>3.5901926444833622E-2</v>
      </c>
      <c r="W10">
        <f>SUMIFS(banco!Y:Y,banco!$C:$C,$B10,banco!$A:$A,$A10)</f>
        <v>7064</v>
      </c>
      <c r="X10" s="12">
        <f>IFERROR(W10/$AM10,0)</f>
        <v>0.68337041694882461</v>
      </c>
      <c r="Y10">
        <f>SUMIFS(banco!AA:AA,banco!$C:$C,$B10,banco!$A:$A,$A10)</f>
        <v>1536</v>
      </c>
      <c r="Z10" s="12">
        <f>IFERROR(Y10/$AN10,0)</f>
        <v>0.67250437828371279</v>
      </c>
      <c r="AA10">
        <f>SUMIFS(banco!AC:AC,banco!$C:$C,$B10,banco!$A:$A,$A10)</f>
        <v>1707</v>
      </c>
      <c r="AB10" s="12">
        <f>IFERROR(AA10/$AM10,0)</f>
        <v>0.16513495211376608</v>
      </c>
      <c r="AC10">
        <f>SUMIFS(banco!AE:AE,banco!$C:$C,$B10,banco!$A:$A,$A10)</f>
        <v>385</v>
      </c>
      <c r="AD10" s="12">
        <f>IFERROR(AC10/$AN10,0)</f>
        <v>0.16856392294220665</v>
      </c>
      <c r="AE10">
        <f>SUMIFS(banco!AG:AG,banco!$C:$C,$B10,banco!$A:$A,$A10)</f>
        <v>843</v>
      </c>
      <c r="AF10" s="12">
        <f>IFERROR(AE10/$AM10,0)</f>
        <v>8.1551707458643707E-2</v>
      </c>
      <c r="AG10">
        <f>SUMIFS(banco!AI:AI,banco!$C:$C,$B10,banco!$A:$A,$A10)</f>
        <v>184</v>
      </c>
      <c r="AH10" s="12">
        <f>IFERROR(AG10/$AN10,0)</f>
        <v>8.0560420315236428E-2</v>
      </c>
      <c r="AI10">
        <f>SUMIFS(banco!AK:AK,banco!$C:$C,$B10,banco!$A:$A,$A10)</f>
        <v>238</v>
      </c>
      <c r="AJ10" s="12">
        <f>IFERROR(AI10/$AM10,0)</f>
        <v>2.3024088226758246E-2</v>
      </c>
      <c r="AK10">
        <f>SUMIFS(banco!AM:AM,banco!$C:$C,$B10,banco!$A:$A,$A10)</f>
        <v>64</v>
      </c>
      <c r="AL10" s="12">
        <f>IFERROR(AK10/$AN10,0)</f>
        <v>2.8021015761821366E-2</v>
      </c>
      <c r="AM10">
        <f>SUMIFS(banco!AO:AO,banco!$C:$C,$B10,banco!$A:$A,$A10)</f>
        <v>10337</v>
      </c>
      <c r="AN10">
        <f>SUMIFS(banco!AP:AP,banco!$C:$C,$B10,banco!$A:$A,$A10)</f>
        <v>2284</v>
      </c>
      <c r="AO10">
        <v>9855</v>
      </c>
    </row>
    <row r="11" spans="1:41" x14ac:dyDescent="0.25">
      <c r="A11" s="19">
        <v>2023</v>
      </c>
      <c r="B11" s="18" t="s">
        <v>145</v>
      </c>
      <c r="C11">
        <f>SUMIFS(banco!E:E,banco!$C:$C,$B11,banco!$A:$A,$A11)</f>
        <v>312</v>
      </c>
      <c r="D11" s="12">
        <f>IFERROR(C11/$AM11,0)</f>
        <v>1.678592564695755E-2</v>
      </c>
      <c r="E11">
        <f>SUMIFS(banco!G:G,banco!$C:$C,$B11,banco!$A:$A,$A11)</f>
        <v>139</v>
      </c>
      <c r="F11" s="12">
        <f>IFERROR(E11/$AN11,0)</f>
        <v>2.7513855898653999E-2</v>
      </c>
      <c r="G11">
        <f>SUMIFS(banco!I:I,banco!$C:$C,$B11,banco!$A:$A,$A11)</f>
        <v>1026</v>
      </c>
      <c r="H11" s="12">
        <f>IFERROR(G11/$AM11,0)</f>
        <v>5.5199870877495026E-2</v>
      </c>
      <c r="I11">
        <f>SUMIFS(banco!K:K,banco!$C:$C,$B11,banco!$A:$A,$A11)</f>
        <v>295</v>
      </c>
      <c r="J11" s="12">
        <f>IFERROR(I11/$AN11,0)</f>
        <v>5.8392715756136186E-2</v>
      </c>
      <c r="K11">
        <f>SUMIFS(banco!M:M,banco!$C:$C,$B11,banco!$A:$A,$A11)</f>
        <v>17249</v>
      </c>
      <c r="L11" s="12">
        <f>IFERROR(K11/$AM11,0)</f>
        <v>0.92801420347554742</v>
      </c>
      <c r="M11">
        <f>SUMIFS(banco!O:O,banco!$C:$C,$B11,banco!$A:$A,$A11)</f>
        <v>4618</v>
      </c>
      <c r="N11" s="12">
        <f>IFERROR(M11/$AN11,0)</f>
        <v>0.91409342834520979</v>
      </c>
      <c r="O11">
        <f>SUMIFS(banco!Q:Q,banco!$C:$C,$B11,banco!$A:$A,$A11)</f>
        <v>289</v>
      </c>
      <c r="P11" s="12">
        <f>IFERROR(O11/$AM11,0)</f>
        <v>1.5548501640931835E-2</v>
      </c>
      <c r="Q11">
        <f>SUMIFS(banco!S:S,banco!$C:$C,$B11,banco!$A:$A,$A11)</f>
        <v>98</v>
      </c>
      <c r="R11" s="12">
        <f>IFERROR(Q11/$AN11,0)</f>
        <v>1.9398258115597783E-2</v>
      </c>
      <c r="S11">
        <f>SUMIFS(banco!U:U,banco!$C:$C,$B11,banco!$A:$A,$A11)</f>
        <v>885</v>
      </c>
      <c r="T11" s="12">
        <f>IFERROR(S11/$AM11,0)</f>
        <v>4.7613923710119979E-2</v>
      </c>
      <c r="U11">
        <f>SUMIFS(banco!W:W,banco!$C:$C,$B11,banco!$A:$A,$A11)</f>
        <v>212</v>
      </c>
      <c r="V11" s="12">
        <f>IFERROR(U11/$AN11,0)</f>
        <v>4.1963578780680917E-2</v>
      </c>
      <c r="W11">
        <f>SUMIFS(banco!Y:Y,banco!$C:$C,$B11,banco!$A:$A,$A11)</f>
        <v>13470</v>
      </c>
      <c r="X11" s="12">
        <f>IFERROR(W11/$AM11,0)</f>
        <v>0.7247000591811481</v>
      </c>
      <c r="Y11">
        <f>SUMIFS(banco!AA:AA,banco!$C:$C,$B11,banco!$A:$A,$A11)</f>
        <v>3623</v>
      </c>
      <c r="Z11" s="12">
        <f>IFERROR(Y11/$AN11,0)</f>
        <v>0.71714172604908943</v>
      </c>
      <c r="AA11">
        <f>SUMIFS(banco!AC:AC,banco!$C:$C,$B11,banco!$A:$A,$A11)</f>
        <v>2634</v>
      </c>
      <c r="AB11" s="12">
        <f>IFERROR(AA11/$AM11,0)</f>
        <v>0.14171194921181471</v>
      </c>
      <c r="AC11">
        <f>SUMIFS(banco!AE:AE,banco!$C:$C,$B11,banco!$A:$A,$A11)</f>
        <v>783</v>
      </c>
      <c r="AD11" s="12">
        <f>IFERROR(AC11/$AN11,0)</f>
        <v>0.15498812351543942</v>
      </c>
      <c r="AE11">
        <f>SUMIFS(banco!AG:AG,banco!$C:$C,$B11,banco!$A:$A,$A11)</f>
        <v>1094</v>
      </c>
      <c r="AF11" s="12">
        <f>IFERROR(AE11/$AM11,0)</f>
        <v>5.8858341851831926E-2</v>
      </c>
      <c r="AG11">
        <f>SUMIFS(banco!AI:AI,banco!$C:$C,$B11,banco!$A:$A,$A11)</f>
        <v>279</v>
      </c>
      <c r="AH11" s="12">
        <f>IFERROR(AG11/$AN11,0)</f>
        <v>5.5225653206650828E-2</v>
      </c>
      <c r="AI11">
        <f>SUMIFS(banco!AK:AK,banco!$C:$C,$B11,banco!$A:$A,$A11)</f>
        <v>215</v>
      </c>
      <c r="AJ11" s="12">
        <f>IFERROR(AI11/$AM11,0)</f>
        <v>1.1567224404153441E-2</v>
      </c>
      <c r="AK11">
        <f>SUMIFS(banco!AM:AM,banco!$C:$C,$B11,banco!$A:$A,$A11)</f>
        <v>57</v>
      </c>
      <c r="AL11" s="12">
        <f>IFERROR(AK11/$AN11,0)</f>
        <v>1.1282660332541567E-2</v>
      </c>
      <c r="AM11">
        <f>SUMIFS(banco!AO:AO,banco!$C:$C,$B11,banco!$A:$A,$A11)</f>
        <v>18587</v>
      </c>
      <c r="AN11">
        <f>SUMIFS(banco!AP:AP,banco!$C:$C,$B11,banco!$A:$A,$A11)</f>
        <v>5052</v>
      </c>
      <c r="AO11">
        <v>17085</v>
      </c>
    </row>
    <row r="12" spans="1:41" x14ac:dyDescent="0.25">
      <c r="A12" s="19">
        <v>2023</v>
      </c>
      <c r="B12" s="18" t="s">
        <v>144</v>
      </c>
      <c r="C12">
        <f>SUMIFS(banco!E:E,banco!$C:$C,$B12,banco!$A:$A,$A12)</f>
        <v>84</v>
      </c>
      <c r="D12" s="12">
        <f>IFERROR(C12/$AM12,0)</f>
        <v>9.3074792243767312E-3</v>
      </c>
      <c r="E12">
        <f>SUMIFS(banco!G:G,banco!$C:$C,$B12,banco!$A:$A,$A12)</f>
        <v>37</v>
      </c>
      <c r="F12" s="12">
        <f>IFERROR(E12/$AN12,0)</f>
        <v>2.2248947684906796E-2</v>
      </c>
      <c r="G12">
        <f>SUMIFS(banco!I:I,banco!$C:$C,$B12,banco!$A:$A,$A12)</f>
        <v>289</v>
      </c>
      <c r="H12" s="12">
        <f>IFERROR(G12/$AM12,0)</f>
        <v>3.2022160664819943E-2</v>
      </c>
      <c r="I12">
        <f>SUMIFS(banco!K:K,banco!$C:$C,$B12,banco!$A:$A,$A12)</f>
        <v>70</v>
      </c>
      <c r="J12" s="12">
        <f>IFERROR(I12/$AN12,0)</f>
        <v>4.2092603728202047E-2</v>
      </c>
      <c r="K12">
        <f>SUMIFS(banco!M:M,banco!$C:$C,$B12,banco!$A:$A,$A12)</f>
        <v>8652</v>
      </c>
      <c r="L12" s="12">
        <f>IFERROR(K12/$AM12,0)</f>
        <v>0.95867036011080331</v>
      </c>
      <c r="M12">
        <f>SUMIFS(banco!O:O,banco!$C:$C,$B12,banco!$A:$A,$A12)</f>
        <v>1556</v>
      </c>
      <c r="N12" s="12">
        <f>IFERROR(M12/$AN12,0)</f>
        <v>0.93565844858689118</v>
      </c>
      <c r="O12">
        <f>SUMIFS(banco!Q:Q,banco!$C:$C,$B12,banco!$A:$A,$A12)</f>
        <v>76</v>
      </c>
      <c r="P12" s="12">
        <f>IFERROR(O12/$AM12,0)</f>
        <v>8.4210526315789472E-3</v>
      </c>
      <c r="Q12">
        <f>SUMIFS(banco!S:S,banco!$C:$C,$B12,banco!$A:$A,$A12)</f>
        <v>17</v>
      </c>
      <c r="R12" s="12">
        <f>IFERROR(Q12/$AN12,0)</f>
        <v>1.0222489476849068E-2</v>
      </c>
      <c r="S12">
        <f>SUMIFS(banco!U:U,banco!$C:$C,$B12,banco!$A:$A,$A12)</f>
        <v>336</v>
      </c>
      <c r="T12" s="12">
        <f>IFERROR(S12/$AM12,0)</f>
        <v>3.7229916897506925E-2</v>
      </c>
      <c r="U12">
        <f>SUMIFS(banco!W:W,banco!$C:$C,$B12,banco!$A:$A,$A12)</f>
        <v>52</v>
      </c>
      <c r="V12" s="12">
        <f>IFERROR(U12/$AN12,0)</f>
        <v>3.1268791340950092E-2</v>
      </c>
      <c r="W12">
        <f>SUMIFS(banco!Y:Y,banco!$C:$C,$B12,banco!$A:$A,$A12)</f>
        <v>6106</v>
      </c>
      <c r="X12" s="12">
        <f>IFERROR(W12/$AM12,0)</f>
        <v>0.67656509695290856</v>
      </c>
      <c r="Y12">
        <f>SUMIFS(banco!AA:AA,banco!$C:$C,$B12,banco!$A:$A,$A12)</f>
        <v>1139</v>
      </c>
      <c r="Z12" s="12">
        <f>IFERROR(Y12/$AN12,0)</f>
        <v>0.68490679494888751</v>
      </c>
      <c r="AA12">
        <f>SUMIFS(banco!AC:AC,banco!$C:$C,$B12,banco!$A:$A,$A12)</f>
        <v>1525</v>
      </c>
      <c r="AB12" s="12">
        <f>IFERROR(AA12/$AM12,0)</f>
        <v>0.16897506925207756</v>
      </c>
      <c r="AC12">
        <f>SUMIFS(banco!AE:AE,banco!$C:$C,$B12,banco!$A:$A,$A12)</f>
        <v>296</v>
      </c>
      <c r="AD12" s="12">
        <f>IFERROR(AC12/$AN12,0)</f>
        <v>0.17799158147925437</v>
      </c>
      <c r="AE12">
        <f>SUMIFS(banco!AG:AG,banco!$C:$C,$B12,banco!$A:$A,$A12)</f>
        <v>804</v>
      </c>
      <c r="AF12" s="12">
        <f>IFERROR(AE12/$AM12,0)</f>
        <v>8.9085872576177283E-2</v>
      </c>
      <c r="AG12">
        <f>SUMIFS(banco!AI:AI,banco!$C:$C,$B12,banco!$A:$A,$A12)</f>
        <v>128</v>
      </c>
      <c r="AH12" s="12">
        <f>IFERROR(AG12/$AN12,0)</f>
        <v>7.6969332531569457E-2</v>
      </c>
      <c r="AI12">
        <f>SUMIFS(banco!AK:AK,banco!$C:$C,$B12,banco!$A:$A,$A12)</f>
        <v>178</v>
      </c>
      <c r="AJ12" s="12">
        <f>IFERROR(AI12/$AM12,0)</f>
        <v>1.9722991689750693E-2</v>
      </c>
      <c r="AK12">
        <f>SUMIFS(banco!AM:AM,banco!$C:$C,$B12,banco!$A:$A,$A12)</f>
        <v>31</v>
      </c>
      <c r="AL12" s="12">
        <f>IFERROR(AK12/$AN12,0)</f>
        <v>1.8641010222489478E-2</v>
      </c>
      <c r="AM12">
        <f>SUMIFS(banco!AO:AO,banco!$C:$C,$B12,banco!$A:$A,$A12)</f>
        <v>9025</v>
      </c>
      <c r="AN12">
        <f>SUMIFS(banco!AP:AP,banco!$C:$C,$B12,banco!$A:$A,$A12)</f>
        <v>1663</v>
      </c>
      <c r="AO12">
        <v>10271</v>
      </c>
    </row>
    <row r="13" spans="1:41" x14ac:dyDescent="0.25">
      <c r="A13" s="19">
        <v>2023</v>
      </c>
      <c r="B13" s="18" t="s">
        <v>148</v>
      </c>
      <c r="C13">
        <f>SUMIFS(banco!E:E,banco!$C:$C,$B13,banco!$A:$A,$A13)</f>
        <v>301</v>
      </c>
      <c r="D13" s="12">
        <f>IFERROR(C13/$AM13,0)</f>
        <v>1.3906213906213907E-2</v>
      </c>
      <c r="E13">
        <f>SUMIFS(banco!G:G,banco!$C:$C,$B13,banco!$A:$A,$A13)</f>
        <v>166</v>
      </c>
      <c r="F13" s="12">
        <f>IFERROR(E13/$AN13,0)</f>
        <v>3.4368530020703933E-2</v>
      </c>
      <c r="G13">
        <f>SUMIFS(banco!I:I,banco!$C:$C,$B13,banco!$A:$A,$A13)</f>
        <v>760</v>
      </c>
      <c r="H13" s="12">
        <f>IFERROR(G13/$AM13,0)</f>
        <v>3.511203511203511E-2</v>
      </c>
      <c r="I13">
        <f>SUMIFS(banco!K:K,banco!$C:$C,$B13,banco!$A:$A,$A13)</f>
        <v>223</v>
      </c>
      <c r="J13" s="12">
        <f>IFERROR(I13/$AN13,0)</f>
        <v>4.6169772256728782E-2</v>
      </c>
      <c r="K13">
        <f>SUMIFS(banco!M:M,banco!$C:$C,$B13,banco!$A:$A,$A13)</f>
        <v>20584</v>
      </c>
      <c r="L13" s="12">
        <f>IFERROR(K13/$AM13,0)</f>
        <v>0.95098175098175097</v>
      </c>
      <c r="M13">
        <f>SUMIFS(banco!O:O,banco!$C:$C,$B13,banco!$A:$A,$A13)</f>
        <v>4441</v>
      </c>
      <c r="N13" s="12">
        <f>IFERROR(M13/$AN13,0)</f>
        <v>0.91946169772256725</v>
      </c>
      <c r="O13">
        <f>SUMIFS(banco!Q:Q,banco!$C:$C,$B13,banco!$A:$A,$A13)</f>
        <v>242</v>
      </c>
      <c r="P13" s="12">
        <f>IFERROR(O13/$AM13,0)</f>
        <v>1.118041118041118E-2</v>
      </c>
      <c r="Q13">
        <f>SUMIFS(banco!S:S,banco!$C:$C,$B13,banco!$A:$A,$A13)</f>
        <v>67</v>
      </c>
      <c r="R13" s="12">
        <f>IFERROR(Q13/$AN13,0)</f>
        <v>1.3871635610766046E-2</v>
      </c>
      <c r="S13">
        <f>SUMIFS(banco!U:U,banco!$C:$C,$B13,banco!$A:$A,$A13)</f>
        <v>850</v>
      </c>
      <c r="T13" s="12">
        <f>IFERROR(S13/$AM13,0)</f>
        <v>3.9270039270039268E-2</v>
      </c>
      <c r="U13">
        <f>SUMIFS(banco!W:W,banco!$C:$C,$B13,banco!$A:$A,$A13)</f>
        <v>177</v>
      </c>
      <c r="V13" s="12">
        <f>IFERROR(U13/$AN13,0)</f>
        <v>3.6645962732919257E-2</v>
      </c>
      <c r="W13">
        <f>SUMIFS(banco!Y:Y,banco!$C:$C,$B13,banco!$A:$A,$A13)</f>
        <v>15068</v>
      </c>
      <c r="X13" s="12">
        <f>IFERROR(W13/$AM13,0)</f>
        <v>0.69614229614229617</v>
      </c>
      <c r="Y13">
        <f>SUMIFS(banco!AA:AA,banco!$C:$C,$B13,banco!$A:$A,$A13)</f>
        <v>3363</v>
      </c>
      <c r="Z13" s="12">
        <f>IFERROR(Y13/$AN13,0)</f>
        <v>0.69627329192546583</v>
      </c>
      <c r="AA13">
        <f>SUMIFS(banco!AC:AC,banco!$C:$C,$B13,banco!$A:$A,$A13)</f>
        <v>3573</v>
      </c>
      <c r="AB13" s="12">
        <f>IFERROR(AA13/$AM13,0)</f>
        <v>0.16507276507276508</v>
      </c>
      <c r="AC13">
        <f>SUMIFS(banco!AE:AE,banco!$C:$C,$B13,banco!$A:$A,$A13)</f>
        <v>859</v>
      </c>
      <c r="AD13" s="12">
        <f>IFERROR(AC13/$AN13,0)</f>
        <v>0.17784679089026914</v>
      </c>
      <c r="AE13">
        <f>SUMIFS(banco!AG:AG,banco!$C:$C,$B13,banco!$A:$A,$A13)</f>
        <v>1546</v>
      </c>
      <c r="AF13" s="12">
        <f>IFERROR(AE13/$AM13,0)</f>
        <v>7.1425271425271428E-2</v>
      </c>
      <c r="AG13">
        <f>SUMIFS(banco!AI:AI,banco!$C:$C,$B13,banco!$A:$A,$A13)</f>
        <v>279</v>
      </c>
      <c r="AH13" s="12">
        <f>IFERROR(AG13/$AN13,0)</f>
        <v>5.77639751552795E-2</v>
      </c>
      <c r="AI13">
        <f>SUMIFS(banco!AK:AK,banco!$C:$C,$B13,banco!$A:$A,$A13)</f>
        <v>366</v>
      </c>
      <c r="AJ13" s="12">
        <f>IFERROR(AI13/$AM13,0)</f>
        <v>1.6909216909216908E-2</v>
      </c>
      <c r="AK13">
        <f>SUMIFS(banco!AM:AM,banco!$C:$C,$B13,banco!$A:$A,$A13)</f>
        <v>85</v>
      </c>
      <c r="AL13" s="12">
        <f>IFERROR(AK13/$AN13,0)</f>
        <v>1.7598343685300208E-2</v>
      </c>
      <c r="AM13">
        <f>SUMIFS(banco!AO:AO,banco!$C:$C,$B13,banco!$A:$A,$A13)</f>
        <v>21645</v>
      </c>
      <c r="AN13">
        <f>SUMIFS(banco!AP:AP,banco!$C:$C,$B13,banco!$A:$A,$A13)</f>
        <v>4830</v>
      </c>
      <c r="AO13">
        <v>30695</v>
      </c>
    </row>
    <row r="14" spans="1:41" x14ac:dyDescent="0.25">
      <c r="A14" s="19">
        <v>2023</v>
      </c>
      <c r="B14" s="18" t="s">
        <v>150</v>
      </c>
      <c r="C14">
        <f>SUMIFS(banco!E:E,banco!$C:$C,$B14,banco!$A:$A,$A14)</f>
        <v>168</v>
      </c>
      <c r="D14" s="12">
        <f>IFERROR(C14/$AM14,0)</f>
        <v>1.511879049676026E-2</v>
      </c>
      <c r="E14">
        <f>SUMIFS(banco!G:G,banco!$C:$C,$B14,banco!$A:$A,$A14)</f>
        <v>53</v>
      </c>
      <c r="F14" s="12">
        <f>IFERROR(E14/$AN14,0)</f>
        <v>2.5274201239866477E-2</v>
      </c>
      <c r="G14">
        <f>SUMIFS(banco!I:I,banco!$C:$C,$B14,banco!$A:$A,$A14)</f>
        <v>479</v>
      </c>
      <c r="H14" s="12">
        <f>IFERROR(G14/$AM14,0)</f>
        <v>4.3106551475881931E-2</v>
      </c>
      <c r="I14">
        <f>SUMIFS(banco!K:K,banco!$C:$C,$B14,banco!$A:$A,$A14)</f>
        <v>98</v>
      </c>
      <c r="J14" s="12">
        <f>IFERROR(I14/$AN14,0)</f>
        <v>4.6733428707677632E-2</v>
      </c>
      <c r="K14">
        <f>SUMIFS(banco!M:M,banco!$C:$C,$B14,banco!$A:$A,$A14)</f>
        <v>10465</v>
      </c>
      <c r="L14" s="12">
        <f>IFERROR(K14/$AM14,0)</f>
        <v>0.94177465802735782</v>
      </c>
      <c r="M14">
        <f>SUMIFS(banco!O:O,banco!$C:$C,$B14,banco!$A:$A,$A14)</f>
        <v>1946</v>
      </c>
      <c r="N14" s="12">
        <f>IFERROR(M14/$AN14,0)</f>
        <v>0.92799237005245594</v>
      </c>
      <c r="O14">
        <f>SUMIFS(banco!Q:Q,banco!$C:$C,$B14,banco!$A:$A,$A14)</f>
        <v>102</v>
      </c>
      <c r="P14" s="12">
        <f>IFERROR(O14/$AM14,0)</f>
        <v>9.1792656587473005E-3</v>
      </c>
      <c r="Q14">
        <f>SUMIFS(banco!S:S,banco!$C:$C,$B14,banco!$A:$A,$A14)</f>
        <v>29</v>
      </c>
      <c r="R14" s="12">
        <f>IFERROR(Q14/$AN14,0)</f>
        <v>1.3829279923700524E-2</v>
      </c>
      <c r="S14">
        <f>SUMIFS(banco!U:U,banco!$C:$C,$B14,banco!$A:$A,$A14)</f>
        <v>377</v>
      </c>
      <c r="T14" s="12">
        <f>IFERROR(S14/$AM14,0)</f>
        <v>3.3927285817134632E-2</v>
      </c>
      <c r="U14">
        <f>SUMIFS(banco!W:W,banco!$C:$C,$B14,banco!$A:$A,$A14)</f>
        <v>65</v>
      </c>
      <c r="V14" s="12">
        <f>IFERROR(U14/$AN14,0)</f>
        <v>3.0996661897949453E-2</v>
      </c>
      <c r="W14">
        <f>SUMIFS(banco!Y:Y,banco!$C:$C,$B14,banco!$A:$A,$A14)</f>
        <v>7682</v>
      </c>
      <c r="X14" s="12">
        <f>IFERROR(W14/$AM14,0)</f>
        <v>0.69132469402447805</v>
      </c>
      <c r="Y14">
        <f>SUMIFS(banco!AA:AA,banco!$C:$C,$B14,banco!$A:$A,$A14)</f>
        <v>1470</v>
      </c>
      <c r="Z14" s="12">
        <f>IFERROR(Y14/$AN14,0)</f>
        <v>0.70100143061516451</v>
      </c>
      <c r="AA14">
        <f>SUMIFS(banco!AC:AC,banco!$C:$C,$B14,banco!$A:$A,$A14)</f>
        <v>1865</v>
      </c>
      <c r="AB14" s="12">
        <f>IFERROR(AA14/$AM14,0)</f>
        <v>0.16783657307415406</v>
      </c>
      <c r="AC14">
        <f>SUMIFS(banco!AE:AE,banco!$C:$C,$B14,banco!$A:$A,$A14)</f>
        <v>374</v>
      </c>
      <c r="AD14" s="12">
        <f>IFERROR(AC14/$AN14,0)</f>
        <v>0.17835002384358609</v>
      </c>
      <c r="AE14">
        <f>SUMIFS(banco!AG:AG,banco!$C:$C,$B14,banco!$A:$A,$A14)</f>
        <v>871</v>
      </c>
      <c r="AF14" s="12">
        <f>IFERROR(AE14/$AM14,0)</f>
        <v>7.8383729301655866E-2</v>
      </c>
      <c r="AG14">
        <f>SUMIFS(banco!AI:AI,banco!$C:$C,$B14,banco!$A:$A,$A14)</f>
        <v>133</v>
      </c>
      <c r="AH14" s="12">
        <f>IFERROR(AG14/$AN14,0)</f>
        <v>6.3423938960419646E-2</v>
      </c>
      <c r="AI14">
        <f>SUMIFS(banco!AK:AK,banco!$C:$C,$B14,banco!$A:$A,$A14)</f>
        <v>215</v>
      </c>
      <c r="AJ14" s="12">
        <f>IFERROR(AI14/$AM14,0)</f>
        <v>1.9348452123830094E-2</v>
      </c>
      <c r="AK14">
        <f>SUMIFS(banco!AM:AM,banco!$C:$C,$B14,banco!$A:$A,$A14)</f>
        <v>26</v>
      </c>
      <c r="AL14" s="12">
        <f>IFERROR(AK14/$AN14,0)</f>
        <v>1.239866475917978E-2</v>
      </c>
      <c r="AM14">
        <f>SUMIFS(banco!AO:AO,banco!$C:$C,$B14,banco!$A:$A,$A14)</f>
        <v>11112</v>
      </c>
      <c r="AN14">
        <f>SUMIFS(banco!AP:AP,banco!$C:$C,$B14,banco!$A:$A,$A14)</f>
        <v>2097</v>
      </c>
      <c r="AO14">
        <v>12010</v>
      </c>
    </row>
    <row r="15" spans="1:41" x14ac:dyDescent="0.25">
      <c r="A15" s="19">
        <v>2023</v>
      </c>
      <c r="B15" s="18" t="s">
        <v>146</v>
      </c>
      <c r="C15">
        <f>SUMIFS(banco!E:E,banco!$C:$C,$B15,banco!$A:$A,$A15)</f>
        <v>194</v>
      </c>
      <c r="D15" s="12">
        <f>IFERROR(C15/$AM15,0)</f>
        <v>1.7212314790169461E-2</v>
      </c>
      <c r="E15">
        <f>SUMIFS(banco!G:G,banco!$C:$C,$B15,banco!$A:$A,$A15)</f>
        <v>120</v>
      </c>
      <c r="F15" s="12">
        <f>IFERROR(E15/$AN15,0)</f>
        <v>4.9261083743842367E-2</v>
      </c>
      <c r="G15">
        <f>SUMIFS(banco!I:I,banco!$C:$C,$B15,banco!$A:$A,$A15)</f>
        <v>684</v>
      </c>
      <c r="H15" s="12">
        <f>IFERROR(G15/$AM15,0)</f>
        <v>6.0686718126164496E-2</v>
      </c>
      <c r="I15">
        <f>SUMIFS(banco!K:K,banco!$C:$C,$B15,banco!$A:$A,$A15)</f>
        <v>413</v>
      </c>
      <c r="J15" s="12">
        <f>IFERROR(I15/$AN15,0)</f>
        <v>0.16954022988505746</v>
      </c>
      <c r="K15">
        <f>SUMIFS(banco!M:M,banco!$C:$C,$B15,banco!$A:$A,$A15)</f>
        <v>10393</v>
      </c>
      <c r="L15" s="12">
        <f>IFERROR(K15/$AM15,0)</f>
        <v>0.92210096708366607</v>
      </c>
      <c r="M15">
        <f>SUMIFS(banco!O:O,banco!$C:$C,$B15,banco!$A:$A,$A15)</f>
        <v>1903</v>
      </c>
      <c r="N15" s="12">
        <f>IFERROR(M15/$AN15,0)</f>
        <v>0.78119868637110013</v>
      </c>
      <c r="O15">
        <f>SUMIFS(banco!Q:Q,banco!$C:$C,$B15,banco!$A:$A,$A15)</f>
        <v>156</v>
      </c>
      <c r="P15" s="12">
        <f>IFERROR(O15/$AM15,0)</f>
        <v>1.384083044982699E-2</v>
      </c>
      <c r="Q15">
        <f>SUMIFS(banco!S:S,banco!$C:$C,$B15,banco!$A:$A,$A15)</f>
        <v>65</v>
      </c>
      <c r="R15" s="12">
        <f>IFERROR(Q15/$AN15,0)</f>
        <v>2.6683087027914613E-2</v>
      </c>
      <c r="S15">
        <f>SUMIFS(banco!U:U,banco!$C:$C,$B15,banco!$A:$A,$A15)</f>
        <v>367</v>
      </c>
      <c r="T15" s="12">
        <f>IFERROR(S15/$AM15,0)</f>
        <v>3.2561440865939137E-2</v>
      </c>
      <c r="U15">
        <f>SUMIFS(banco!W:W,banco!$C:$C,$B15,banco!$A:$A,$A15)</f>
        <v>60</v>
      </c>
      <c r="V15" s="12">
        <f>IFERROR(U15/$AN15,0)</f>
        <v>2.4630541871921183E-2</v>
      </c>
      <c r="W15">
        <f>SUMIFS(banco!Y:Y,banco!$C:$C,$B15,banco!$A:$A,$A15)</f>
        <v>7582</v>
      </c>
      <c r="X15" s="12">
        <f>IFERROR(W15/$AM15,0)</f>
        <v>0.67269984917043746</v>
      </c>
      <c r="Y15">
        <f>SUMIFS(banco!AA:AA,banco!$C:$C,$B15,banco!$A:$A,$A15)</f>
        <v>1842</v>
      </c>
      <c r="Z15" s="12">
        <f>IFERROR(Y15/$AN15,0)</f>
        <v>0.75615763546798032</v>
      </c>
      <c r="AA15">
        <f>SUMIFS(banco!AC:AC,banco!$C:$C,$B15,banco!$A:$A,$A15)</f>
        <v>1903</v>
      </c>
      <c r="AB15" s="12">
        <f>IFERROR(AA15/$AM15,0)</f>
        <v>0.16884038683346642</v>
      </c>
      <c r="AC15">
        <f>SUMIFS(banco!AE:AE,banco!$C:$C,$B15,banco!$A:$A,$A15)</f>
        <v>300</v>
      </c>
      <c r="AD15" s="12">
        <f>IFERROR(AC15/$AN15,0)</f>
        <v>0.12315270935960591</v>
      </c>
      <c r="AE15">
        <f>SUMIFS(banco!AG:AG,banco!$C:$C,$B15,banco!$A:$A,$A15)</f>
        <v>990</v>
      </c>
      <c r="AF15" s="12">
        <f>IFERROR(AE15/$AM15,0)</f>
        <v>8.7836039393132823E-2</v>
      </c>
      <c r="AG15">
        <f>SUMIFS(banco!AI:AI,banco!$C:$C,$B15,banco!$A:$A,$A15)</f>
        <v>139</v>
      </c>
      <c r="AH15" s="12">
        <f>IFERROR(AG15/$AN15,0)</f>
        <v>5.7060755336617405E-2</v>
      </c>
      <c r="AI15">
        <f>SUMIFS(banco!AK:AK,banco!$C:$C,$B15,banco!$A:$A,$A15)</f>
        <v>273</v>
      </c>
      <c r="AJ15" s="12">
        <f>IFERROR(AI15/$AM15,0)</f>
        <v>2.4221453287197232E-2</v>
      </c>
      <c r="AK15">
        <f>SUMIFS(banco!AM:AM,banco!$C:$C,$B15,banco!$A:$A,$A15)</f>
        <v>30</v>
      </c>
      <c r="AL15" s="12">
        <f>IFERROR(AK15/$AN15,0)</f>
        <v>1.2315270935960592E-2</v>
      </c>
      <c r="AM15">
        <f>SUMIFS(banco!AO:AO,banco!$C:$C,$B15,banco!$A:$A,$A15)</f>
        <v>11271</v>
      </c>
      <c r="AN15">
        <f>SUMIFS(banco!AP:AP,banco!$C:$C,$B15,banco!$A:$A,$A15)</f>
        <v>2436</v>
      </c>
      <c r="AO15">
        <v>13128</v>
      </c>
    </row>
    <row r="16" spans="1:41" x14ac:dyDescent="0.25">
      <c r="A16" s="19">
        <v>2023</v>
      </c>
      <c r="B16" s="18" t="s">
        <v>149</v>
      </c>
      <c r="C16">
        <f>SUMIFS(banco!E:E,banco!$C:$C,$B16,banco!$A:$A,$A16)</f>
        <v>215</v>
      </c>
      <c r="D16" s="12">
        <f>IFERROR(C16/$AM16,0)</f>
        <v>1.1067071601379524E-2</v>
      </c>
      <c r="E16">
        <f>SUMIFS(banco!G:G,banco!$C:$C,$B16,banco!$A:$A,$A16)</f>
        <v>87</v>
      </c>
      <c r="F16" s="12">
        <f>IFERROR(E16/$AN16,0)</f>
        <v>1.8023617153511497E-2</v>
      </c>
      <c r="G16">
        <f>SUMIFS(banco!I:I,banco!$C:$C,$B16,banco!$A:$A,$A16)</f>
        <v>929</v>
      </c>
      <c r="H16" s="12">
        <f>IFERROR(G16/$AM16,0)</f>
        <v>4.7820044268286406E-2</v>
      </c>
      <c r="I16">
        <f>SUMIFS(banco!K:K,banco!$C:$C,$B16,banco!$A:$A,$A16)</f>
        <v>276</v>
      </c>
      <c r="J16" s="12">
        <f>IFERROR(I16/$AN16,0)</f>
        <v>5.7178371659415785E-2</v>
      </c>
      <c r="K16">
        <f>SUMIFS(banco!M:M,banco!$C:$C,$B16,banco!$A:$A,$A16)</f>
        <v>18283</v>
      </c>
      <c r="L16" s="12">
        <f>IFERROR(K16/$AM16,0)</f>
        <v>0.94111288413033412</v>
      </c>
      <c r="M16">
        <f>SUMIFS(banco!O:O,banco!$C:$C,$B16,banco!$A:$A,$A16)</f>
        <v>4464</v>
      </c>
      <c r="N16" s="12">
        <f>IFERROR(M16/$AN16,0)</f>
        <v>0.92479801118707272</v>
      </c>
      <c r="O16">
        <f>SUMIFS(banco!Q:Q,banco!$C:$C,$B16,banco!$A:$A,$A16)</f>
        <v>181</v>
      </c>
      <c r="P16" s="12">
        <f>IFERROR(O16/$AM16,0)</f>
        <v>9.3169300458125284E-3</v>
      </c>
      <c r="Q16">
        <f>SUMIFS(banco!S:S,banco!$C:$C,$B16,banco!$A:$A,$A16)</f>
        <v>40</v>
      </c>
      <c r="R16" s="12">
        <f>IFERROR(Q16/$AN16,0)</f>
        <v>8.2867205303501137E-3</v>
      </c>
      <c r="S16">
        <f>SUMIFS(banco!U:U,banco!$C:$C,$B16,banco!$A:$A,$A16)</f>
        <v>706</v>
      </c>
      <c r="T16" s="12">
        <f>IFERROR(S16/$AM16,0)</f>
        <v>3.6341174653832298E-2</v>
      </c>
      <c r="U16">
        <f>SUMIFS(banco!W:W,banco!$C:$C,$B16,banco!$A:$A,$A16)</f>
        <v>158</v>
      </c>
      <c r="V16" s="12">
        <f>IFERROR(U16/$AN16,0)</f>
        <v>3.273254609488295E-2</v>
      </c>
      <c r="W16">
        <f>SUMIFS(banco!Y:Y,banco!$C:$C,$B16,banco!$A:$A,$A16)</f>
        <v>13977</v>
      </c>
      <c r="X16" s="12">
        <f>IFERROR(W16/$AM16,0)</f>
        <v>0.71946260359293768</v>
      </c>
      <c r="Y16">
        <f>SUMIFS(banco!AA:AA,banco!$C:$C,$B16,banco!$A:$A,$A16)</f>
        <v>3724</v>
      </c>
      <c r="Z16" s="12">
        <f>IFERROR(Y16/$AN16,0)</f>
        <v>0.7714936813755956</v>
      </c>
      <c r="AA16">
        <f>SUMIFS(banco!AC:AC,banco!$C:$C,$B16,banco!$A:$A,$A16)</f>
        <v>2923</v>
      </c>
      <c r="AB16" s="12">
        <f>IFERROR(AA16/$AM16,0)</f>
        <v>0.15046069902712719</v>
      </c>
      <c r="AC16">
        <f>SUMIFS(banco!AE:AE,banco!$C:$C,$B16,banco!$A:$A,$A16)</f>
        <v>632</v>
      </c>
      <c r="AD16" s="12">
        <f>IFERROR(AC16/$AN16,0)</f>
        <v>0.1309301843795318</v>
      </c>
      <c r="AE16">
        <f>SUMIFS(banco!AG:AG,banco!$C:$C,$B16,banco!$A:$A,$A16)</f>
        <v>1350</v>
      </c>
      <c r="AF16" s="12">
        <f>IFERROR(AE16/$AM16,0)</f>
        <v>6.9490914706336546E-2</v>
      </c>
      <c r="AG16">
        <f>SUMIFS(banco!AI:AI,banco!$C:$C,$B16,banco!$A:$A,$A16)</f>
        <v>219</v>
      </c>
      <c r="AH16" s="12">
        <f>IFERROR(AG16/$AN16,0)</f>
        <v>4.5369794903666875E-2</v>
      </c>
      <c r="AI16">
        <f>SUMIFS(banco!AK:AK,banco!$C:$C,$B16,banco!$A:$A,$A16)</f>
        <v>291</v>
      </c>
      <c r="AJ16" s="12">
        <f>IFERROR(AI16/$AM16,0)</f>
        <v>1.4979152725588099E-2</v>
      </c>
      <c r="AK16">
        <f>SUMIFS(banco!AM:AM,banco!$C:$C,$B16,banco!$A:$A,$A16)</f>
        <v>55</v>
      </c>
      <c r="AL16" s="12">
        <f>IFERROR(AK16/$AN16,0)</f>
        <v>1.1394240729231406E-2</v>
      </c>
      <c r="AM16">
        <f>SUMIFS(banco!AO:AO,banco!$C:$C,$B16,banco!$A:$A,$A16)</f>
        <v>19427</v>
      </c>
      <c r="AN16">
        <f>SUMIFS(banco!AP:AP,banco!$C:$C,$B16,banco!$A:$A,$A16)</f>
        <v>4827</v>
      </c>
      <c r="AO16">
        <v>23287</v>
      </c>
    </row>
    <row r="17" spans="1:41" x14ac:dyDescent="0.25">
      <c r="A17" s="19">
        <v>2023</v>
      </c>
      <c r="B17" s="18" t="s">
        <v>147</v>
      </c>
      <c r="C17">
        <f>SUMIFS(banco!E:E,banco!$C:$C,$B17,banco!$A:$A,$A17)</f>
        <v>70</v>
      </c>
      <c r="D17" s="12">
        <f>IFERROR(C17/$AM17,0)</f>
        <v>9.9502487562189053E-3</v>
      </c>
      <c r="E17">
        <f>SUMIFS(banco!G:G,banco!$C:$C,$B17,banco!$A:$A,$A17)</f>
        <v>18</v>
      </c>
      <c r="F17" s="12">
        <f>IFERROR(E17/$AN17,0)</f>
        <v>1.1842105263157895E-2</v>
      </c>
      <c r="G17">
        <f>SUMIFS(banco!I:I,banco!$C:$C,$B17,banco!$A:$A,$A17)</f>
        <v>234</v>
      </c>
      <c r="H17" s="12">
        <f>IFERROR(G17/$AM17,0)</f>
        <v>3.3262260127931771E-2</v>
      </c>
      <c r="I17">
        <f>SUMIFS(banco!K:K,banco!$C:$C,$B17,banco!$A:$A,$A17)</f>
        <v>52</v>
      </c>
      <c r="J17" s="12">
        <f>IFERROR(I17/$AN17,0)</f>
        <v>3.4210526315789476E-2</v>
      </c>
      <c r="K17">
        <f>SUMIFS(banco!M:M,banco!$C:$C,$B17,banco!$A:$A,$A17)</f>
        <v>6731</v>
      </c>
      <c r="L17" s="12">
        <f>IFERROR(K17/$AM17,0)</f>
        <v>0.95678749111584938</v>
      </c>
      <c r="M17">
        <f>SUMIFS(banco!O:O,banco!$C:$C,$B17,banco!$A:$A,$A17)</f>
        <v>1450</v>
      </c>
      <c r="N17" s="12">
        <f>IFERROR(M17/$AN17,0)</f>
        <v>0.95394736842105265</v>
      </c>
      <c r="O17">
        <f>SUMIFS(banco!Q:Q,banco!$C:$C,$B17,banco!$A:$A,$A17)</f>
        <v>70</v>
      </c>
      <c r="P17" s="12">
        <f>IFERROR(O17/$AM17,0)</f>
        <v>9.9502487562189053E-3</v>
      </c>
      <c r="Q17">
        <f>SUMIFS(banco!S:S,banco!$C:$C,$B17,banco!$A:$A,$A17)</f>
        <v>20</v>
      </c>
      <c r="R17" s="12">
        <f>IFERROR(Q17/$AN17,0)</f>
        <v>1.3157894736842105E-2</v>
      </c>
      <c r="S17">
        <f>SUMIFS(banco!U:U,banco!$C:$C,$B17,banco!$A:$A,$A17)</f>
        <v>267</v>
      </c>
      <c r="T17" s="12">
        <f>IFERROR(S17/$AM17,0)</f>
        <v>3.7953091684434968E-2</v>
      </c>
      <c r="U17">
        <f>SUMIFS(banco!W:W,banco!$C:$C,$B17,banco!$A:$A,$A17)</f>
        <v>58</v>
      </c>
      <c r="V17" s="12">
        <f>IFERROR(U17/$AN17,0)</f>
        <v>3.8157894736842106E-2</v>
      </c>
      <c r="W17">
        <f>SUMIFS(banco!Y:Y,banco!$C:$C,$B17,banco!$A:$A,$A17)</f>
        <v>4963</v>
      </c>
      <c r="X17" s="12">
        <f>IFERROR(W17/$AM17,0)</f>
        <v>0.70547263681592043</v>
      </c>
      <c r="Y17">
        <f>SUMIFS(banco!AA:AA,banco!$C:$C,$B17,banco!$A:$A,$A17)</f>
        <v>1089</v>
      </c>
      <c r="Z17" s="12">
        <f>IFERROR(Y17/$AN17,0)</f>
        <v>0.71644736842105261</v>
      </c>
      <c r="AA17">
        <f>SUMIFS(banco!AC:AC,banco!$C:$C,$B17,banco!$A:$A,$A17)</f>
        <v>1121</v>
      </c>
      <c r="AB17" s="12">
        <f>IFERROR(AA17/$AM17,0)</f>
        <v>0.15934612651030561</v>
      </c>
      <c r="AC17">
        <f>SUMIFS(banco!AE:AE,banco!$C:$C,$B17,banco!$A:$A,$A17)</f>
        <v>236</v>
      </c>
      <c r="AD17" s="12">
        <f>IFERROR(AC17/$AN17,0)</f>
        <v>0.15526315789473685</v>
      </c>
      <c r="AE17">
        <f>SUMIFS(banco!AG:AG,banco!$C:$C,$B17,banco!$A:$A,$A17)</f>
        <v>499</v>
      </c>
      <c r="AF17" s="12">
        <f>IFERROR(AE17/$AM17,0)</f>
        <v>7.0931058990760479E-2</v>
      </c>
      <c r="AG17">
        <f>SUMIFS(banco!AI:AI,banco!$C:$C,$B17,banco!$A:$A,$A17)</f>
        <v>92</v>
      </c>
      <c r="AH17" s="12">
        <f>IFERROR(AG17/$AN17,0)</f>
        <v>6.0526315789473685E-2</v>
      </c>
      <c r="AI17">
        <f>SUMIFS(banco!AK:AK,banco!$C:$C,$B17,banco!$A:$A,$A17)</f>
        <v>115</v>
      </c>
      <c r="AJ17" s="12">
        <f>IFERROR(AI17/$AM17,0)</f>
        <v>1.6346837242359632E-2</v>
      </c>
      <c r="AK17">
        <f>SUMIFS(banco!AM:AM,banco!$C:$C,$B17,banco!$A:$A,$A17)</f>
        <v>25</v>
      </c>
      <c r="AL17" s="12">
        <f>IFERROR(AK17/$AN17,0)</f>
        <v>1.6447368421052631E-2</v>
      </c>
      <c r="AM17">
        <f>SUMIFS(banco!AO:AO,banco!$C:$C,$B17,banco!$A:$A,$A17)</f>
        <v>7035</v>
      </c>
      <c r="AN17">
        <f>SUMIFS(banco!AP:AP,banco!$C:$C,$B17,banco!$A:$A,$A17)</f>
        <v>1520</v>
      </c>
      <c r="AO17">
        <v>6824</v>
      </c>
    </row>
    <row r="18" spans="1:41" x14ac:dyDescent="0.25">
      <c r="A18" s="19">
        <v>2022</v>
      </c>
      <c r="B18" s="18" t="s">
        <v>151</v>
      </c>
      <c r="C18">
        <f>SUMIFS(banco!E:E,banco!$C:$C,$B18,banco!$A:$A,$A18)</f>
        <v>84</v>
      </c>
      <c r="D18" s="12">
        <f>IFERROR(C18/$AM18,0)</f>
        <v>9.0400344382264314E-3</v>
      </c>
      <c r="E18">
        <f>SUMIFS(banco!G:G,banco!$C:$C,$B18,banco!$A:$A,$A18)</f>
        <v>35</v>
      </c>
      <c r="F18" s="12">
        <f>IFERROR(E18/$AN18,0)</f>
        <v>1.5099223468507334E-2</v>
      </c>
      <c r="G18">
        <f>SUMIFS(banco!I:I,banco!$C:$C,$B18,banco!$A:$A,$A18)</f>
        <v>269</v>
      </c>
      <c r="H18" s="12">
        <f>IFERROR(G18/$AM18,0)</f>
        <v>2.8949634093844167E-2</v>
      </c>
      <c r="I18">
        <f>SUMIFS(banco!K:K,banco!$C:$C,$B18,banco!$A:$A,$A18)</f>
        <v>77</v>
      </c>
      <c r="J18" s="12">
        <f>IFERROR(I18/$AN18,0)</f>
        <v>3.3218291630716136E-2</v>
      </c>
      <c r="K18">
        <f>SUMIFS(banco!M:M,banco!$C:$C,$B18,banco!$A:$A,$A18)</f>
        <v>8939</v>
      </c>
      <c r="L18" s="12">
        <f>IFERROR(K18/$AM18,0)</f>
        <v>0.96201033146792936</v>
      </c>
      <c r="M18">
        <f>SUMIFS(banco!O:O,banco!$C:$C,$B18,banco!$A:$A,$A18)</f>
        <v>2206</v>
      </c>
      <c r="N18" s="12">
        <f>IFERROR(M18/$AN18,0)</f>
        <v>0.95168248490077656</v>
      </c>
      <c r="O18">
        <f>SUMIFS(banco!Q:Q,banco!$C:$C,$B18,banco!$A:$A,$A18)</f>
        <v>87</v>
      </c>
      <c r="P18" s="12">
        <f>IFERROR(O18/$AM18,0)</f>
        <v>9.362892811020233E-3</v>
      </c>
      <c r="Q18">
        <f>SUMIFS(banco!S:S,banco!$C:$C,$B18,banco!$A:$A,$A18)</f>
        <v>33</v>
      </c>
      <c r="R18" s="12">
        <f>IFERROR(Q18/$AN18,0)</f>
        <v>1.4236410698878344E-2</v>
      </c>
      <c r="S18">
        <f>SUMIFS(banco!U:U,banco!$C:$C,$B18,banco!$A:$A,$A18)</f>
        <v>339</v>
      </c>
      <c r="T18" s="12">
        <f>IFERROR(S18/$AM18,0)</f>
        <v>3.6482996125699524E-2</v>
      </c>
      <c r="U18">
        <f>SUMIFS(banco!W:W,banco!$C:$C,$B18,banco!$A:$A,$A18)</f>
        <v>82</v>
      </c>
      <c r="V18" s="12">
        <f>IFERROR(U18/$AN18,0)</f>
        <v>3.5375323554788611E-2</v>
      </c>
      <c r="W18">
        <f>SUMIFS(banco!Y:Y,banco!$C:$C,$B18,banco!$A:$A,$A18)</f>
        <v>6381</v>
      </c>
      <c r="X18" s="12">
        <f>IFERROR(W18/$AM18,0)</f>
        <v>0.68671975893241499</v>
      </c>
      <c r="Y18">
        <f>SUMIFS(banco!AA:AA,banco!$C:$C,$B18,banco!$A:$A,$A18)</f>
        <v>1584</v>
      </c>
      <c r="Z18" s="12">
        <f>IFERROR(Y18/$AN18,0)</f>
        <v>0.68334771354616053</v>
      </c>
      <c r="AA18">
        <f>SUMIFS(banco!AC:AC,banco!$C:$C,$B18,banco!$A:$A,$A18)</f>
        <v>1484</v>
      </c>
      <c r="AB18" s="12">
        <f>IFERROR(AA18/$AM18,0)</f>
        <v>0.15970727507533361</v>
      </c>
      <c r="AC18">
        <f>SUMIFS(banco!AE:AE,banco!$C:$C,$B18,banco!$A:$A,$A18)</f>
        <v>380</v>
      </c>
      <c r="AD18" s="12">
        <f>IFERROR(AC18/$AN18,0)</f>
        <v>0.16393442622950818</v>
      </c>
      <c r="AE18">
        <f>SUMIFS(banco!AG:AG,banco!$C:$C,$B18,banco!$A:$A,$A18)</f>
        <v>833</v>
      </c>
      <c r="AF18" s="12">
        <f>IFERROR(AE18/$AM18,0)</f>
        <v>8.964700817907878E-2</v>
      </c>
      <c r="AG18">
        <f>SUMIFS(banco!AI:AI,banco!$C:$C,$B18,banco!$A:$A,$A18)</f>
        <v>196</v>
      </c>
      <c r="AH18" s="12">
        <f>IFERROR(AG18/$AN18,0)</f>
        <v>8.4555651423641076E-2</v>
      </c>
      <c r="AI18">
        <f>SUMIFS(banco!AK:AK,banco!$C:$C,$B18,banco!$A:$A,$A18)</f>
        <v>168</v>
      </c>
      <c r="AJ18" s="12">
        <f>IFERROR(AI18/$AM18,0)</f>
        <v>1.8080068876452863E-2</v>
      </c>
      <c r="AK18">
        <f>SUMIFS(banco!AM:AM,banco!$C:$C,$B18,banco!$A:$A,$A18)</f>
        <v>43</v>
      </c>
      <c r="AL18" s="12">
        <f>IFERROR(AK18/$AN18,0)</f>
        <v>1.8550474547023296E-2</v>
      </c>
      <c r="AM18">
        <f>SUMIFS(banco!AO:AO,banco!$C:$C,$B18,banco!$A:$A,$A18)</f>
        <v>9292</v>
      </c>
      <c r="AN18">
        <f>SUMIFS(banco!AP:AP,banco!$C:$C,$B18,banco!$A:$A,$A18)</f>
        <v>2318</v>
      </c>
      <c r="AO18">
        <v>9798</v>
      </c>
    </row>
    <row r="19" spans="1:41" x14ac:dyDescent="0.25">
      <c r="A19" s="19">
        <v>2022</v>
      </c>
      <c r="B19" s="18" t="s">
        <v>145</v>
      </c>
      <c r="C19">
        <f>SUMIFS(banco!E:E,banco!$C:$C,$B19,banco!$A:$A,$A19)</f>
        <v>351</v>
      </c>
      <c r="D19" s="12">
        <f>IFERROR(C19/$AM19,0)</f>
        <v>1.9256089532587228E-2</v>
      </c>
      <c r="E19">
        <f>SUMIFS(banco!G:G,banco!$C:$C,$B19,banco!$A:$A,$A19)</f>
        <v>148</v>
      </c>
      <c r="F19" s="12">
        <f>IFERROR(E19/$AN19,0)</f>
        <v>2.4334100624794474E-2</v>
      </c>
      <c r="G19">
        <f>SUMIFS(banco!I:I,banco!$C:$C,$B19,banco!$A:$A,$A19)</f>
        <v>1045</v>
      </c>
      <c r="H19" s="12">
        <f>IFERROR(G19/$AM19,0)</f>
        <v>5.7329383366249723E-2</v>
      </c>
      <c r="I19">
        <f>SUMIFS(banco!K:K,banco!$C:$C,$B19,banco!$A:$A,$A19)</f>
        <v>373</v>
      </c>
      <c r="J19" s="12">
        <f>IFERROR(I19/$AN19,0)</f>
        <v>6.1328510358434722E-2</v>
      </c>
      <c r="K19">
        <f>SUMIFS(banco!M:M,banco!$C:$C,$B19,banco!$A:$A,$A19)</f>
        <v>16832</v>
      </c>
      <c r="L19" s="12">
        <f>IFERROR(K19/$AM19,0)</f>
        <v>0.92341452710116301</v>
      </c>
      <c r="M19">
        <f>SUMIFS(banco!O:O,banco!$C:$C,$B19,banco!$A:$A,$A19)</f>
        <v>5561</v>
      </c>
      <c r="N19" s="12">
        <f>IFERROR(M19/$AN19,0)</f>
        <v>0.91433738901677075</v>
      </c>
      <c r="O19">
        <f>SUMIFS(banco!Q:Q,banco!$C:$C,$B19,banco!$A:$A,$A19)</f>
        <v>252</v>
      </c>
      <c r="P19" s="12">
        <f>IFERROR(O19/$AM19,0)</f>
        <v>1.3824884792626729E-2</v>
      </c>
      <c r="Q19">
        <f>SUMIFS(banco!S:S,banco!$C:$C,$B19,banco!$A:$A,$A19)</f>
        <v>103</v>
      </c>
      <c r="R19" s="12">
        <f>IFERROR(Q19/$AN19,0)</f>
        <v>1.6935218678066424E-2</v>
      </c>
      <c r="S19">
        <f>SUMIFS(banco!U:U,banco!$C:$C,$B19,banco!$A:$A,$A19)</f>
        <v>870</v>
      </c>
      <c r="T19" s="12">
        <f>IFERROR(S19/$AM19,0)</f>
        <v>4.772876892692561E-2</v>
      </c>
      <c r="U19">
        <f>SUMIFS(banco!W:W,banco!$C:$C,$B19,banco!$A:$A,$A19)</f>
        <v>268</v>
      </c>
      <c r="V19" s="12">
        <f>IFERROR(U19/$AN19,0)</f>
        <v>4.4064452482735945E-2</v>
      </c>
      <c r="W19">
        <f>SUMIFS(banco!Y:Y,banco!$C:$C,$B19,banco!$A:$A,$A19)</f>
        <v>13181</v>
      </c>
      <c r="X19" s="12">
        <f>IFERROR(W19/$AM19,0)</f>
        <v>0.7231182795698925</v>
      </c>
      <c r="Y19">
        <f>SUMIFS(banco!AA:AA,banco!$C:$C,$B19,banco!$A:$A,$A19)</f>
        <v>4377</v>
      </c>
      <c r="Z19" s="12">
        <f>IFERROR(Y19/$AN19,0)</f>
        <v>0.71966458401841504</v>
      </c>
      <c r="AA19">
        <f>SUMIFS(banco!AC:AC,banco!$C:$C,$B19,banco!$A:$A,$A19)</f>
        <v>2686</v>
      </c>
      <c r="AB19" s="12">
        <f>IFERROR(AA19/$AM19,0)</f>
        <v>0.14735571648014045</v>
      </c>
      <c r="AC19">
        <f>SUMIFS(banco!AE:AE,banco!$C:$C,$B19,banco!$A:$A,$A19)</f>
        <v>952</v>
      </c>
      <c r="AD19" s="12">
        <f>IFERROR(AC19/$AN19,0)</f>
        <v>0.15652745807300231</v>
      </c>
      <c r="AE19">
        <f>SUMIFS(banco!AG:AG,banco!$C:$C,$B19,banco!$A:$A,$A19)</f>
        <v>1053</v>
      </c>
      <c r="AF19" s="12">
        <f>IFERROR(AE19/$AM19,0)</f>
        <v>5.7768268597761685E-2</v>
      </c>
      <c r="AG19">
        <f>SUMIFS(banco!AI:AI,banco!$C:$C,$B19,banco!$A:$A,$A19)</f>
        <v>333</v>
      </c>
      <c r="AH19" s="12">
        <f>IFERROR(AG19/$AN19,0)</f>
        <v>5.4751726405787571E-2</v>
      </c>
      <c r="AI19">
        <f>SUMIFS(banco!AK:AK,banco!$C:$C,$B19,banco!$A:$A,$A19)</f>
        <v>186</v>
      </c>
      <c r="AJ19" s="12">
        <f>IFERROR(AI19/$AM19,0)</f>
        <v>1.020408163265306E-2</v>
      </c>
      <c r="AK19">
        <f>SUMIFS(banco!AM:AM,banco!$C:$C,$B19,banco!$A:$A,$A19)</f>
        <v>49</v>
      </c>
      <c r="AL19" s="12">
        <f>IFERROR(AK19/$AN19,0)</f>
        <v>8.0565603419927648E-3</v>
      </c>
      <c r="AM19">
        <f>SUMIFS(banco!AO:AO,banco!$C:$C,$B19,banco!$A:$A,$A19)</f>
        <v>18228</v>
      </c>
      <c r="AN19">
        <f>SUMIFS(banco!AP:AP,banco!$C:$C,$B19,banco!$A:$A,$A19)</f>
        <v>6082</v>
      </c>
      <c r="AO19">
        <v>17226</v>
      </c>
    </row>
    <row r="20" spans="1:41" x14ac:dyDescent="0.25">
      <c r="A20" s="19">
        <v>2022</v>
      </c>
      <c r="B20" s="18" t="s">
        <v>144</v>
      </c>
      <c r="C20">
        <f>SUMIFS(banco!E:E,banco!$C:$C,$B20,banco!$A:$A,$A20)</f>
        <v>81</v>
      </c>
      <c r="D20" s="12">
        <f>IFERROR(C20/$AM20,0)</f>
        <v>9.6142433234421357E-3</v>
      </c>
      <c r="E20">
        <f>SUMIFS(banco!G:G,banco!$C:$C,$B20,banco!$A:$A,$A20)</f>
        <v>41</v>
      </c>
      <c r="F20" s="12">
        <f>IFERROR(E20/$AN20,0)</f>
        <v>2.4361259655377301E-2</v>
      </c>
      <c r="G20">
        <f>SUMIFS(banco!I:I,banco!$C:$C,$B20,banco!$A:$A,$A20)</f>
        <v>280</v>
      </c>
      <c r="H20" s="12">
        <f>IFERROR(G20/$AM20,0)</f>
        <v>3.323442136498516E-2</v>
      </c>
      <c r="I20">
        <f>SUMIFS(banco!K:K,banco!$C:$C,$B20,banco!$A:$A,$A20)</f>
        <v>64</v>
      </c>
      <c r="J20" s="12">
        <f>IFERROR(I20/$AN20,0)</f>
        <v>3.8027332144979206E-2</v>
      </c>
      <c r="K20">
        <f>SUMIFS(banco!M:M,banco!$C:$C,$B20,banco!$A:$A,$A20)</f>
        <v>8064</v>
      </c>
      <c r="L20" s="12">
        <f>IFERROR(K20/$AM20,0)</f>
        <v>0.9571513353115727</v>
      </c>
      <c r="M20">
        <f>SUMIFS(banco!O:O,banco!$C:$C,$B20,banco!$A:$A,$A20)</f>
        <v>1578</v>
      </c>
      <c r="N20" s="12">
        <f>IFERROR(M20/$AN20,0)</f>
        <v>0.9376114081996435</v>
      </c>
      <c r="O20">
        <f>SUMIFS(banco!Q:Q,banco!$C:$C,$B20,banco!$A:$A,$A20)</f>
        <v>85</v>
      </c>
      <c r="P20" s="12">
        <f>IFERROR(O20/$AM20,0)</f>
        <v>1.0089020771513354E-2</v>
      </c>
      <c r="Q20">
        <f>SUMIFS(banco!S:S,banco!$C:$C,$B20,banco!$A:$A,$A20)</f>
        <v>24</v>
      </c>
      <c r="R20" s="12">
        <f>IFERROR(Q20/$AN20,0)</f>
        <v>1.4260249554367201E-2</v>
      </c>
      <c r="S20">
        <f>SUMIFS(banco!U:U,banco!$C:$C,$B20,banco!$A:$A,$A20)</f>
        <v>279</v>
      </c>
      <c r="T20" s="12">
        <f>IFERROR(S20/$AM20,0)</f>
        <v>3.311572700296736E-2</v>
      </c>
      <c r="U20">
        <f>SUMIFS(banco!W:W,banco!$C:$C,$B20,banco!$A:$A,$A20)</f>
        <v>54</v>
      </c>
      <c r="V20" s="12">
        <f>IFERROR(U20/$AN20,0)</f>
        <v>3.2085561497326207E-2</v>
      </c>
      <c r="W20">
        <f>SUMIFS(banco!Y:Y,banco!$C:$C,$B20,banco!$A:$A,$A20)</f>
        <v>5796</v>
      </c>
      <c r="X20" s="12">
        <f>IFERROR(W20/$AM20,0)</f>
        <v>0.68795252225519288</v>
      </c>
      <c r="Y20">
        <f>SUMIFS(banco!AA:AA,banco!$C:$C,$B20,banco!$A:$A,$A20)</f>
        <v>1133</v>
      </c>
      <c r="Z20" s="12">
        <f>IFERROR(Y20/$AN20,0)</f>
        <v>0.67320261437908502</v>
      </c>
      <c r="AA20">
        <f>SUMIFS(banco!AC:AC,banco!$C:$C,$B20,banco!$A:$A,$A20)</f>
        <v>1367</v>
      </c>
      <c r="AB20" s="12">
        <f>IFERROR(AA20/$AM20,0)</f>
        <v>0.16225519287833828</v>
      </c>
      <c r="AC20">
        <f>SUMIFS(banco!AE:AE,banco!$C:$C,$B20,banco!$A:$A,$A20)</f>
        <v>320</v>
      </c>
      <c r="AD20" s="12">
        <f>IFERROR(AC20/$AN20,0)</f>
        <v>0.19013666072489602</v>
      </c>
      <c r="AE20">
        <f>SUMIFS(banco!AG:AG,banco!$C:$C,$B20,banco!$A:$A,$A20)</f>
        <v>708</v>
      </c>
      <c r="AF20" s="12">
        <f>IFERROR(AE20/$AM20,0)</f>
        <v>8.4035608308605347E-2</v>
      </c>
      <c r="AG20">
        <f>SUMIFS(banco!AI:AI,banco!$C:$C,$B20,banco!$A:$A,$A20)</f>
        <v>119</v>
      </c>
      <c r="AH20" s="12">
        <f>IFERROR(AG20/$AN20,0)</f>
        <v>7.0707070707070704E-2</v>
      </c>
      <c r="AI20">
        <f>SUMIFS(banco!AK:AK,banco!$C:$C,$B20,banco!$A:$A,$A20)</f>
        <v>190</v>
      </c>
      <c r="AJ20" s="12">
        <f>IFERROR(AI20/$AM20,0)</f>
        <v>2.2551928783382788E-2</v>
      </c>
      <c r="AK20">
        <f>SUMIFS(banco!AM:AM,banco!$C:$C,$B20,banco!$A:$A,$A20)</f>
        <v>33</v>
      </c>
      <c r="AL20" s="12">
        <f>IFERROR(AK20/$AN20,0)</f>
        <v>1.9607843137254902E-2</v>
      </c>
      <c r="AM20">
        <f>SUMIFS(banco!AO:AO,banco!$C:$C,$B20,banco!$A:$A,$A20)</f>
        <v>8425</v>
      </c>
      <c r="AN20">
        <f>SUMIFS(banco!AP:AP,banco!$C:$C,$B20,banco!$A:$A,$A20)</f>
        <v>1683</v>
      </c>
      <c r="AO20">
        <v>10172</v>
      </c>
    </row>
    <row r="21" spans="1:41" x14ac:dyDescent="0.25">
      <c r="A21" s="19">
        <v>2022</v>
      </c>
      <c r="B21" s="18" t="s">
        <v>148</v>
      </c>
      <c r="C21">
        <f>SUMIFS(banco!E:E,banco!$C:$C,$B21,banco!$A:$A,$A21)</f>
        <v>275</v>
      </c>
      <c r="D21" s="12">
        <f>IFERROR(C21/$AM21,0)</f>
        <v>1.4238376307341824E-2</v>
      </c>
      <c r="E21">
        <f>SUMIFS(banco!G:G,banco!$C:$C,$B21,banco!$A:$A,$A21)</f>
        <v>145</v>
      </c>
      <c r="F21" s="12">
        <f>IFERROR(E21/$AN21,0)</f>
        <v>3.2165039929015087E-2</v>
      </c>
      <c r="G21">
        <f>SUMIFS(banco!I:I,banco!$C:$C,$B21,banco!$A:$A,$A21)</f>
        <v>690</v>
      </c>
      <c r="H21" s="12">
        <f>IFERROR(G21/$AM21,0)</f>
        <v>3.5725380552966757E-2</v>
      </c>
      <c r="I21">
        <f>SUMIFS(banco!K:K,banco!$C:$C,$B21,banco!$A:$A,$A21)</f>
        <v>240</v>
      </c>
      <c r="J21" s="12">
        <f>IFERROR(I21/$AN21,0)</f>
        <v>5.3238686779059449E-2</v>
      </c>
      <c r="K21">
        <f>SUMIFS(banco!M:M,banco!$C:$C,$B21,banco!$A:$A,$A21)</f>
        <v>18349</v>
      </c>
      <c r="L21" s="12">
        <f>IFERROR(K21/$AM21,0)</f>
        <v>0.95003624313969137</v>
      </c>
      <c r="M21">
        <f>SUMIFS(banco!O:O,banco!$C:$C,$B21,banco!$A:$A,$A21)</f>
        <v>4123</v>
      </c>
      <c r="N21" s="12">
        <f>IFERROR(M21/$AN21,0)</f>
        <v>0.9145962732919255</v>
      </c>
      <c r="O21">
        <f>SUMIFS(banco!Q:Q,banco!$C:$C,$B21,banco!$A:$A,$A21)</f>
        <v>227</v>
      </c>
      <c r="P21" s="12">
        <f>IFERROR(O21/$AM21,0)</f>
        <v>1.1753132442787615E-2</v>
      </c>
      <c r="Q21">
        <f>SUMIFS(banco!S:S,banco!$C:$C,$B21,banco!$A:$A,$A21)</f>
        <v>77</v>
      </c>
      <c r="R21" s="12">
        <f>IFERROR(Q21/$AN21,0)</f>
        <v>1.7080745341614908E-2</v>
      </c>
      <c r="S21">
        <f>SUMIFS(banco!U:U,banco!$C:$C,$B21,banco!$A:$A,$A21)</f>
        <v>754</v>
      </c>
      <c r="T21" s="12">
        <f>IFERROR(S21/$AM21,0)</f>
        <v>3.903903903903904E-2</v>
      </c>
      <c r="U21">
        <f>SUMIFS(banco!W:W,banco!$C:$C,$B21,banco!$A:$A,$A21)</f>
        <v>152</v>
      </c>
      <c r="V21" s="12">
        <f>IFERROR(U21/$AN21,0)</f>
        <v>3.3717834960070983E-2</v>
      </c>
      <c r="W21">
        <f>SUMIFS(banco!Y:Y,banco!$C:$C,$B21,banco!$A:$A,$A21)</f>
        <v>13443</v>
      </c>
      <c r="X21" s="12">
        <f>IFERROR(W21/$AM21,0)</f>
        <v>0.6960236098167133</v>
      </c>
      <c r="Y21">
        <f>SUMIFS(banco!AA:AA,banco!$C:$C,$B21,banco!$A:$A,$A21)</f>
        <v>3173</v>
      </c>
      <c r="Z21" s="12">
        <f>IFERROR(Y21/$AN21,0)</f>
        <v>0.7038598047914818</v>
      </c>
      <c r="AA21">
        <f>SUMIFS(banco!AC:AC,banco!$C:$C,$B21,banco!$A:$A,$A21)</f>
        <v>3175</v>
      </c>
      <c r="AB21" s="12">
        <f>IFERROR(AA21/$AM21,0)</f>
        <v>0.16438852645749197</v>
      </c>
      <c r="AC21">
        <f>SUMIFS(banco!AE:AE,banco!$C:$C,$B21,banco!$A:$A,$A21)</f>
        <v>795</v>
      </c>
      <c r="AD21" s="12">
        <f>IFERROR(AC21/$AN21,0)</f>
        <v>0.17635314995563442</v>
      </c>
      <c r="AE21">
        <f>SUMIFS(banco!AG:AG,banco!$C:$C,$B21,banco!$A:$A,$A21)</f>
        <v>1419</v>
      </c>
      <c r="AF21" s="12">
        <f>IFERROR(AE21/$AM21,0)</f>
        <v>7.347002174588381E-2</v>
      </c>
      <c r="AG21">
        <f>SUMIFS(banco!AI:AI,banco!$C:$C,$B21,banco!$A:$A,$A21)</f>
        <v>244</v>
      </c>
      <c r="AH21" s="12">
        <f>IFERROR(AG21/$AN21,0)</f>
        <v>5.4125998225377107E-2</v>
      </c>
      <c r="AI21">
        <f>SUMIFS(banco!AK:AK,banco!$C:$C,$B21,banco!$A:$A,$A21)</f>
        <v>296</v>
      </c>
      <c r="AJ21" s="12">
        <f>IFERROR(AI21/$AM21,0)</f>
        <v>1.532567049808429E-2</v>
      </c>
      <c r="AK21">
        <f>SUMIFS(banco!AM:AM,banco!$C:$C,$B21,banco!$A:$A,$A21)</f>
        <v>67</v>
      </c>
      <c r="AL21" s="12">
        <f>IFERROR(AK21/$AN21,0)</f>
        <v>1.4862466725820762E-2</v>
      </c>
      <c r="AM21">
        <f>SUMIFS(banco!AO:AO,banco!$C:$C,$B21,banco!$A:$A,$A21)</f>
        <v>19314</v>
      </c>
      <c r="AN21">
        <f>SUMIFS(banco!AP:AP,banco!$C:$C,$B21,banco!$A:$A,$A21)</f>
        <v>4508</v>
      </c>
      <c r="AO21">
        <v>30022</v>
      </c>
    </row>
    <row r="22" spans="1:41" x14ac:dyDescent="0.25">
      <c r="A22" s="19">
        <v>2022</v>
      </c>
      <c r="B22" s="18" t="s">
        <v>150</v>
      </c>
      <c r="C22">
        <f>SUMIFS(banco!E:E,banco!$C:$C,$B22,banco!$A:$A,$A22)</f>
        <v>155</v>
      </c>
      <c r="D22" s="12">
        <f>IFERROR(C22/$AM22,0)</f>
        <v>1.4746456093616212E-2</v>
      </c>
      <c r="E22">
        <f>SUMIFS(banco!G:G,banco!$C:$C,$B22,banco!$A:$A,$A22)</f>
        <v>76</v>
      </c>
      <c r="F22" s="12">
        <f>IFERROR(E22/$AN22,0)</f>
        <v>2.8668427008675973E-2</v>
      </c>
      <c r="G22">
        <f>SUMIFS(banco!I:I,banco!$C:$C,$B22,banco!$A:$A,$A22)</f>
        <v>511</v>
      </c>
      <c r="H22" s="12">
        <f>IFERROR(G22/$AM22,0)</f>
        <v>4.8615735895728283E-2</v>
      </c>
      <c r="I22">
        <f>SUMIFS(banco!K:K,banco!$C:$C,$B22,banco!$A:$A,$A22)</f>
        <v>147</v>
      </c>
      <c r="J22" s="12">
        <f>IFERROR(I22/$AN22,0)</f>
        <v>5.5450773293096944E-2</v>
      </c>
      <c r="K22">
        <f>SUMIFS(banco!M:M,banco!$C:$C,$B22,banco!$A:$A,$A22)</f>
        <v>9845</v>
      </c>
      <c r="L22" s="12">
        <f>IFERROR(K22/$AM22,0)</f>
        <v>0.93663780801065555</v>
      </c>
      <c r="M22">
        <f>SUMIFS(banco!O:O,banco!$C:$C,$B22,banco!$A:$A,$A22)</f>
        <v>2428</v>
      </c>
      <c r="N22" s="12">
        <f>IFERROR(M22/$AN22,0)</f>
        <v>0.91588079969822711</v>
      </c>
      <c r="O22">
        <f>SUMIFS(banco!Q:Q,banco!$C:$C,$B22,banco!$A:$A,$A22)</f>
        <v>111</v>
      </c>
      <c r="P22" s="12">
        <f>IFERROR(O22/$AM22,0)</f>
        <v>1.0560365331557416E-2</v>
      </c>
      <c r="Q22">
        <f>SUMIFS(banco!S:S,banco!$C:$C,$B22,banco!$A:$A,$A22)</f>
        <v>35</v>
      </c>
      <c r="R22" s="12">
        <f>IFERROR(Q22/$AN22,0)</f>
        <v>1.3202565069784986E-2</v>
      </c>
      <c r="S22">
        <f>SUMIFS(banco!U:U,banco!$C:$C,$B22,banco!$A:$A,$A22)</f>
        <v>374</v>
      </c>
      <c r="T22" s="12">
        <f>IFERROR(S22/$AM22,0)</f>
        <v>3.558177147749976E-2</v>
      </c>
      <c r="U22">
        <f>SUMIFS(banco!W:W,banco!$C:$C,$B22,banco!$A:$A,$A22)</f>
        <v>103</v>
      </c>
      <c r="V22" s="12">
        <f>IFERROR(U22/$AN22,0)</f>
        <v>3.8853262919652964E-2</v>
      </c>
      <c r="W22">
        <f>SUMIFS(banco!Y:Y,banco!$C:$C,$B22,banco!$A:$A,$A22)</f>
        <v>7134</v>
      </c>
      <c r="X22" s="12">
        <f>IFERROR(W22/$AM22,0)</f>
        <v>0.67871753401198742</v>
      </c>
      <c r="Y22">
        <f>SUMIFS(banco!AA:AA,banco!$C:$C,$B22,banco!$A:$A,$A22)</f>
        <v>1808</v>
      </c>
      <c r="Z22" s="12">
        <f>IFERROR(Y22/$AN22,0)</f>
        <v>0.68200678989060737</v>
      </c>
      <c r="AA22">
        <f>SUMIFS(banco!AC:AC,banco!$C:$C,$B22,banco!$A:$A,$A22)</f>
        <v>1848</v>
      </c>
      <c r="AB22" s="12">
        <f>IFERROR(AA22/$AM22,0)</f>
        <v>0.17581581200646942</v>
      </c>
      <c r="AC22">
        <f>SUMIFS(banco!AE:AE,banco!$C:$C,$B22,banco!$A:$A,$A22)</f>
        <v>484</v>
      </c>
      <c r="AD22" s="12">
        <f>IFERROR(AC22/$AN22,0)</f>
        <v>0.18257261410788381</v>
      </c>
      <c r="AE22">
        <f>SUMIFS(banco!AG:AG,banco!$C:$C,$B22,banco!$A:$A,$A22)</f>
        <v>847</v>
      </c>
      <c r="AF22" s="12">
        <f>IFERROR(AE22/$AM22,0)</f>
        <v>8.0582247169631818E-2</v>
      </c>
      <c r="AG22">
        <f>SUMIFS(banco!AI:AI,banco!$C:$C,$B22,banco!$A:$A,$A22)</f>
        <v>186</v>
      </c>
      <c r="AH22" s="12">
        <f>IFERROR(AG22/$AN22,0)</f>
        <v>7.0162202942285937E-2</v>
      </c>
      <c r="AI22">
        <f>SUMIFS(banco!AK:AK,banco!$C:$C,$B22,banco!$A:$A,$A22)</f>
        <v>197</v>
      </c>
      <c r="AJ22" s="12">
        <f>IFERROR(AI22/$AM22,0)</f>
        <v>1.8742270002854153E-2</v>
      </c>
      <c r="AK22">
        <f>SUMIFS(banco!AM:AM,banco!$C:$C,$B22,banco!$A:$A,$A22)</f>
        <v>35</v>
      </c>
      <c r="AL22" s="12">
        <f>IFERROR(AK22/$AN22,0)</f>
        <v>1.3202565069784986E-2</v>
      </c>
      <c r="AM22">
        <f>SUMIFS(banco!AO:AO,banco!$C:$C,$B22,banco!$A:$A,$A22)</f>
        <v>10511</v>
      </c>
      <c r="AN22">
        <f>SUMIFS(banco!AP:AP,banco!$C:$C,$B22,banco!$A:$A,$A22)</f>
        <v>2651</v>
      </c>
      <c r="AO22">
        <v>12024</v>
      </c>
    </row>
    <row r="23" spans="1:41" x14ac:dyDescent="0.25">
      <c r="A23" s="19">
        <v>2022</v>
      </c>
      <c r="B23" s="18" t="s">
        <v>146</v>
      </c>
      <c r="C23">
        <f>SUMIFS(banco!E:E,banco!$C:$C,$B23,banco!$A:$A,$A23)</f>
        <v>210</v>
      </c>
      <c r="D23" s="12">
        <f>IFERROR(C23/$AM23,0)</f>
        <v>2.2100610397810989E-2</v>
      </c>
      <c r="E23">
        <f>SUMIFS(banco!G:G,banco!$C:$C,$B23,banco!$A:$A,$A23)</f>
        <v>143</v>
      </c>
      <c r="F23" s="12">
        <f>IFERROR(E23/$AN23,0)</f>
        <v>4.9498096227068189E-2</v>
      </c>
      <c r="G23">
        <f>SUMIFS(banco!I:I,banco!$C:$C,$B23,banco!$A:$A,$A23)</f>
        <v>600</v>
      </c>
      <c r="H23" s="12">
        <f>IFERROR(G23/$AM23,0)</f>
        <v>6.3144601136602821E-2</v>
      </c>
      <c r="I23">
        <f>SUMIFS(banco!K:K,banco!$C:$C,$B23,banco!$A:$A,$A23)</f>
        <v>373</v>
      </c>
      <c r="J23" s="12">
        <f>IFERROR(I23/$AN23,0)</f>
        <v>0.12911041883004501</v>
      </c>
      <c r="K23">
        <f>SUMIFS(banco!M:M,banco!$C:$C,$B23,banco!$A:$A,$A23)</f>
        <v>8692</v>
      </c>
      <c r="L23" s="12">
        <f>IFERROR(K23/$AM23,0)</f>
        <v>0.91475478846558622</v>
      </c>
      <c r="M23">
        <f>SUMIFS(banco!O:O,banco!$C:$C,$B23,banco!$A:$A,$A23)</f>
        <v>2373</v>
      </c>
      <c r="N23" s="12">
        <f>IFERROR(M23/$AN23,0)</f>
        <v>0.82139148494288683</v>
      </c>
      <c r="O23">
        <f>SUMIFS(banco!Q:Q,banco!$C:$C,$B23,banco!$A:$A,$A23)</f>
        <v>97</v>
      </c>
      <c r="P23" s="12">
        <f>IFERROR(O23/$AM23,0)</f>
        <v>1.020837718375079E-2</v>
      </c>
      <c r="Q23">
        <f>SUMIFS(banco!S:S,banco!$C:$C,$B23,banco!$A:$A,$A23)</f>
        <v>37</v>
      </c>
      <c r="R23" s="12">
        <f>IFERROR(Q23/$AN23,0)</f>
        <v>1.2807199723087574E-2</v>
      </c>
      <c r="S23">
        <f>SUMIFS(banco!U:U,banco!$C:$C,$B23,banco!$A:$A,$A23)</f>
        <v>333</v>
      </c>
      <c r="T23" s="12">
        <f>IFERROR(S23/$AM23,0)</f>
        <v>3.5045253630814566E-2</v>
      </c>
      <c r="U23">
        <f>SUMIFS(banco!W:W,banco!$C:$C,$B23,banco!$A:$A,$A23)</f>
        <v>83</v>
      </c>
      <c r="V23" s="12">
        <f>IFERROR(U23/$AN23,0)</f>
        <v>2.8729664243682937E-2</v>
      </c>
      <c r="W23">
        <f>SUMIFS(banco!Y:Y,banco!$C:$C,$B23,banco!$A:$A,$A23)</f>
        <v>6435</v>
      </c>
      <c r="X23" s="12">
        <f>IFERROR(W23/$AM23,0)</f>
        <v>0.67722584719006529</v>
      </c>
      <c r="Y23">
        <f>SUMIFS(banco!AA:AA,banco!$C:$C,$B23,banco!$A:$A,$A23)</f>
        <v>2075</v>
      </c>
      <c r="Z23" s="12">
        <f>IFERROR(Y23/$AN23,0)</f>
        <v>0.71824160609207344</v>
      </c>
      <c r="AA23">
        <f>SUMIFS(banco!AC:AC,banco!$C:$C,$B23,banco!$A:$A,$A23)</f>
        <v>1620</v>
      </c>
      <c r="AB23" s="12">
        <f>IFERROR(AA23/$AM23,0)</f>
        <v>0.17049042306882761</v>
      </c>
      <c r="AC23">
        <f>SUMIFS(banco!AE:AE,banco!$C:$C,$B23,banco!$A:$A,$A23)</f>
        <v>451</v>
      </c>
      <c r="AD23" s="12">
        <f>IFERROR(AC23/$AN23,0)</f>
        <v>0.15610938040844582</v>
      </c>
      <c r="AE23">
        <f>SUMIFS(banco!AG:AG,banco!$C:$C,$B23,banco!$A:$A,$A23)</f>
        <v>820</v>
      </c>
      <c r="AF23" s="12">
        <f>IFERROR(AE23/$AM23,0)</f>
        <v>8.6297621553357184E-2</v>
      </c>
      <c r="AG23">
        <f>SUMIFS(banco!AI:AI,banco!$C:$C,$B23,banco!$A:$A,$A23)</f>
        <v>205</v>
      </c>
      <c r="AH23" s="12">
        <f>IFERROR(AG23/$AN23,0)</f>
        <v>7.0958809276566281E-2</v>
      </c>
      <c r="AI23">
        <f>SUMIFS(banco!AK:AK,banco!$C:$C,$B23,banco!$A:$A,$A23)</f>
        <v>197</v>
      </c>
      <c r="AJ23" s="12">
        <f>IFERROR(AI23/$AM23,0)</f>
        <v>2.0732477373184593E-2</v>
      </c>
      <c r="AK23">
        <f>SUMIFS(banco!AM:AM,banco!$C:$C,$B23,banco!$A:$A,$A23)</f>
        <v>38</v>
      </c>
      <c r="AL23" s="12">
        <f>IFERROR(AK23/$AN23,0)</f>
        <v>1.3153340256143994E-2</v>
      </c>
      <c r="AM23">
        <f>SUMIFS(banco!AO:AO,banco!$C:$C,$B23,banco!$A:$A,$A23)</f>
        <v>9502</v>
      </c>
      <c r="AN23">
        <f>SUMIFS(banco!AP:AP,banco!$C:$C,$B23,banco!$A:$A,$A23)</f>
        <v>2889</v>
      </c>
      <c r="AO23">
        <v>13074</v>
      </c>
    </row>
    <row r="24" spans="1:41" x14ac:dyDescent="0.25">
      <c r="A24" s="19">
        <v>2022</v>
      </c>
      <c r="B24" s="18" t="s">
        <v>149</v>
      </c>
      <c r="C24">
        <f>SUMIFS(banco!E:E,banco!$C:$C,$B24,banco!$A:$A,$A24)</f>
        <v>285</v>
      </c>
      <c r="D24" s="12">
        <f>IFERROR(C24/$AM24,0)</f>
        <v>1.6137251571258705E-2</v>
      </c>
      <c r="E24">
        <f>SUMIFS(banco!G:G,banco!$C:$C,$B24,banco!$A:$A,$A24)</f>
        <v>109</v>
      </c>
      <c r="F24" s="12">
        <f>IFERROR(E24/$AN24,0)</f>
        <v>2.0655675573242372E-2</v>
      </c>
      <c r="G24">
        <f>SUMIFS(banco!I:I,banco!$C:$C,$B24,banco!$A:$A,$A24)</f>
        <v>1146</v>
      </c>
      <c r="H24" s="12">
        <f>IFERROR(G24/$AM24,0)</f>
        <v>6.4888737897061316E-2</v>
      </c>
      <c r="I24">
        <f>SUMIFS(banco!K:K,banco!$C:$C,$B24,banco!$A:$A,$A24)</f>
        <v>548</v>
      </c>
      <c r="J24" s="12">
        <f>IFERROR(I24/$AN24,0)</f>
        <v>0.10384688269850294</v>
      </c>
      <c r="K24">
        <f>SUMIFS(banco!M:M,banco!$C:$C,$B24,banco!$A:$A,$A24)</f>
        <v>16230</v>
      </c>
      <c r="L24" s="12">
        <f>IFERROR(K24/$AM24,0)</f>
        <v>0.91897401053167993</v>
      </c>
      <c r="M24">
        <f>SUMIFS(banco!O:O,banco!$C:$C,$B24,banco!$A:$A,$A24)</f>
        <v>4620</v>
      </c>
      <c r="N24" s="12">
        <f>IFERROR(M24/$AN24,0)</f>
        <v>0.87549744172825472</v>
      </c>
      <c r="O24">
        <f>SUMIFS(banco!Q:Q,banco!$C:$C,$B24,banco!$A:$A,$A24)</f>
        <v>186</v>
      </c>
      <c r="P24" s="12">
        <f>IFERROR(O24/$AM24,0)</f>
        <v>1.0531679972821471E-2</v>
      </c>
      <c r="Q24">
        <f>SUMIFS(banco!S:S,banco!$C:$C,$B24,banco!$A:$A,$A24)</f>
        <v>61</v>
      </c>
      <c r="R24" s="12">
        <f>IFERROR(Q24/$AN24,0)</f>
        <v>1.1559598256585181E-2</v>
      </c>
      <c r="S24">
        <f>SUMIFS(banco!U:U,banco!$C:$C,$B24,banco!$A:$A,$A24)</f>
        <v>657</v>
      </c>
      <c r="T24" s="12">
        <f>IFERROR(S24/$AM24,0)</f>
        <v>3.7200611516901648E-2</v>
      </c>
      <c r="U24">
        <f>SUMIFS(banco!W:W,banco!$C:$C,$B24,banco!$A:$A,$A24)</f>
        <v>171</v>
      </c>
      <c r="V24" s="12">
        <f>IFERROR(U24/$AN24,0)</f>
        <v>3.2404775440591248E-2</v>
      </c>
      <c r="W24">
        <f>SUMIFS(banco!Y:Y,banco!$C:$C,$B24,banco!$A:$A,$A24)</f>
        <v>12704</v>
      </c>
      <c r="X24" s="12">
        <f>IFERROR(W24/$AM24,0)</f>
        <v>0.71932506653077399</v>
      </c>
      <c r="Y24">
        <f>SUMIFS(banco!AA:AA,banco!$C:$C,$B24,banco!$A:$A,$A24)</f>
        <v>4031</v>
      </c>
      <c r="Z24" s="12">
        <f>IFERROR(Y24/$AN24,0)</f>
        <v>0.76388099298844037</v>
      </c>
      <c r="AA24">
        <f>SUMIFS(banco!AC:AC,banco!$C:$C,$B24,banco!$A:$A,$A24)</f>
        <v>2662</v>
      </c>
      <c r="AB24" s="12">
        <f>IFERROR(AA24/$AM24,0)</f>
        <v>0.15072759186909007</v>
      </c>
      <c r="AC24">
        <f>SUMIFS(banco!AE:AE,banco!$C:$C,$B24,banco!$A:$A,$A24)</f>
        <v>694</v>
      </c>
      <c r="AD24" s="12">
        <f>IFERROR(AC24/$AN24,0)</f>
        <v>0.13151411787000189</v>
      </c>
      <c r="AE24">
        <f>SUMIFS(banco!AG:AG,banco!$C:$C,$B24,banco!$A:$A,$A24)</f>
        <v>1182</v>
      </c>
      <c r="AF24" s="12">
        <f>IFERROR(AE24/$AM24,0)</f>
        <v>6.6927127569220313E-2</v>
      </c>
      <c r="AG24">
        <f>SUMIFS(banco!AI:AI,banco!$C:$C,$B24,banco!$A:$A,$A24)</f>
        <v>262</v>
      </c>
      <c r="AH24" s="12">
        <f>IFERROR(AG24/$AN24,0)</f>
        <v>4.9649422020087174E-2</v>
      </c>
      <c r="AI24">
        <f>SUMIFS(banco!AK:AK,banco!$C:$C,$B24,banco!$A:$A,$A24)</f>
        <v>271</v>
      </c>
      <c r="AJ24" s="12">
        <f>IFERROR(AI24/$AM24,0)</f>
        <v>1.5344544476530208E-2</v>
      </c>
      <c r="AK24">
        <f>SUMIFS(banco!AM:AM,banco!$C:$C,$B24,banco!$A:$A,$A24)</f>
        <v>59</v>
      </c>
      <c r="AL24" s="12">
        <f>IFERROR(AK24/$AN24,0)</f>
        <v>1.1180595035057798E-2</v>
      </c>
      <c r="AM24">
        <f>SUMIFS(banco!AO:AO,banco!$C:$C,$B24,banco!$A:$A,$A24)</f>
        <v>17661</v>
      </c>
      <c r="AN24">
        <f>SUMIFS(banco!AP:AP,banco!$C:$C,$B24,banco!$A:$A,$A24)</f>
        <v>5277</v>
      </c>
      <c r="AO24">
        <v>23176</v>
      </c>
    </row>
    <row r="25" spans="1:41" x14ac:dyDescent="0.25">
      <c r="A25" s="19">
        <v>2022</v>
      </c>
      <c r="B25" s="18" t="s">
        <v>147</v>
      </c>
      <c r="C25">
        <f>SUMIFS(banco!E:E,banco!$C:$C,$B25,banco!$A:$A,$A25)</f>
        <v>92</v>
      </c>
      <c r="D25" s="12">
        <f>IFERROR(C25/$AM25,0)</f>
        <v>1.2265031329156113E-2</v>
      </c>
      <c r="E25">
        <f>SUMIFS(banco!G:G,banco!$C:$C,$B25,banco!$A:$A,$A25)</f>
        <v>45</v>
      </c>
      <c r="F25" s="12">
        <f>IFERROR(E25/$AN25,0)</f>
        <v>2.1106941838649154E-2</v>
      </c>
      <c r="G25">
        <f>SUMIFS(banco!I:I,banco!$C:$C,$B25,banco!$A:$A,$A25)</f>
        <v>265</v>
      </c>
      <c r="H25" s="12">
        <f>IFERROR(G25/$AM25,0)</f>
        <v>3.532862285028663E-2</v>
      </c>
      <c r="I25">
        <f>SUMIFS(banco!K:K,banco!$C:$C,$B25,banco!$A:$A,$A25)</f>
        <v>79</v>
      </c>
      <c r="J25" s="12">
        <f>IFERROR(I25/$AN25,0)</f>
        <v>3.7054409005628515E-2</v>
      </c>
      <c r="K25">
        <f>SUMIFS(banco!M:M,banco!$C:$C,$B25,banco!$A:$A,$A25)</f>
        <v>7144</v>
      </c>
      <c r="L25" s="12">
        <f>IFERROR(K25/$AM25,0)</f>
        <v>0.95240634582055728</v>
      </c>
      <c r="M25">
        <f>SUMIFS(banco!O:O,banco!$C:$C,$B25,banco!$A:$A,$A25)</f>
        <v>2008</v>
      </c>
      <c r="N25" s="12">
        <f>IFERROR(M25/$AN25,0)</f>
        <v>0.94183864915572235</v>
      </c>
      <c r="O25">
        <f>SUMIFS(banco!Q:Q,banco!$C:$C,$B25,banco!$A:$A,$A25)</f>
        <v>71</v>
      </c>
      <c r="P25" s="12">
        <f>IFERROR(O25/$AM25,0)</f>
        <v>9.4654046127183051E-3</v>
      </c>
      <c r="Q25">
        <f>SUMIFS(banco!S:S,banco!$C:$C,$B25,banco!$A:$A,$A25)</f>
        <v>27</v>
      </c>
      <c r="R25" s="12">
        <f>IFERROR(Q25/$AN25,0)</f>
        <v>1.2664165103189493E-2</v>
      </c>
      <c r="S25">
        <f>SUMIFS(banco!U:U,banco!$C:$C,$B25,banco!$A:$A,$A25)</f>
        <v>306</v>
      </c>
      <c r="T25" s="12">
        <f>IFERROR(S25/$AM25,0)</f>
        <v>4.0794560725236635E-2</v>
      </c>
      <c r="U25">
        <f>SUMIFS(banco!W:W,banco!$C:$C,$B25,banco!$A:$A,$A25)</f>
        <v>83</v>
      </c>
      <c r="V25" s="12">
        <f>IFERROR(U25/$AN25,0)</f>
        <v>3.8930581613508444E-2</v>
      </c>
      <c r="W25">
        <f>SUMIFS(banco!Y:Y,banco!$C:$C,$B25,banco!$A:$A,$A25)</f>
        <v>5307</v>
      </c>
      <c r="X25" s="12">
        <f>IFERROR(W25/$AM25,0)</f>
        <v>0.70750566591121189</v>
      </c>
      <c r="Y25">
        <f>SUMIFS(banco!AA:AA,banco!$C:$C,$B25,banco!$A:$A,$A25)</f>
        <v>1498</v>
      </c>
      <c r="Z25" s="12">
        <f>IFERROR(Y25/$AN25,0)</f>
        <v>0.70262664165103195</v>
      </c>
      <c r="AA25">
        <f>SUMIFS(banco!AC:AC,banco!$C:$C,$B25,banco!$A:$A,$A25)</f>
        <v>1170</v>
      </c>
      <c r="AB25" s="12">
        <f>IFERROR(AA25/$AM25,0)</f>
        <v>0.15597920277296359</v>
      </c>
      <c r="AC25">
        <f>SUMIFS(banco!AE:AE,banco!$C:$C,$B25,banco!$A:$A,$A25)</f>
        <v>353</v>
      </c>
      <c r="AD25" s="12">
        <f>IFERROR(AC25/$AN25,0)</f>
        <v>0.16557223264540338</v>
      </c>
      <c r="AE25">
        <f>SUMIFS(banco!AG:AG,banco!$C:$C,$B25,banco!$A:$A,$A25)</f>
        <v>550</v>
      </c>
      <c r="AF25" s="12">
        <f>IFERROR(AE25/$AM25,0)</f>
        <v>7.3323556859085454E-2</v>
      </c>
      <c r="AG25">
        <f>SUMIFS(banco!AI:AI,banco!$C:$C,$B25,banco!$A:$A,$A25)</f>
        <v>143</v>
      </c>
      <c r="AH25" s="12">
        <f>IFERROR(AG25/$AN25,0)</f>
        <v>6.7073170731707321E-2</v>
      </c>
      <c r="AI25">
        <f>SUMIFS(banco!AK:AK,banco!$C:$C,$B25,banco!$A:$A,$A25)</f>
        <v>97</v>
      </c>
      <c r="AJ25" s="12">
        <f>IFERROR(AI25/$AM25,0)</f>
        <v>1.2931609118784161E-2</v>
      </c>
      <c r="AK25">
        <f>SUMIFS(banco!AM:AM,banco!$C:$C,$B25,banco!$A:$A,$A25)</f>
        <v>28</v>
      </c>
      <c r="AL25" s="12">
        <f>IFERROR(AK25/$AN25,0)</f>
        <v>1.3133208255159476E-2</v>
      </c>
      <c r="AM25">
        <f>SUMIFS(banco!AO:AO,banco!$C:$C,$B25,banco!$A:$A,$A25)</f>
        <v>7501</v>
      </c>
      <c r="AN25">
        <f>SUMIFS(banco!AP:AP,banco!$C:$C,$B25,banco!$A:$A,$A25)</f>
        <v>2132</v>
      </c>
      <c r="AO25">
        <v>6926</v>
      </c>
    </row>
    <row r="26" spans="1:41" x14ac:dyDescent="0.25">
      <c r="A26" s="20">
        <v>2021</v>
      </c>
      <c r="B26" s="18" t="s">
        <v>151</v>
      </c>
      <c r="C26">
        <f>SUMIFS(banco!E:E,banco!$C:$C,$B26,banco!$A:$A,$A26)</f>
        <v>65</v>
      </c>
      <c r="D26" s="12">
        <f>IFERROR(C26/$AM26,0)</f>
        <v>1.7096265123619149E-2</v>
      </c>
      <c r="E26">
        <f>SUMIFS(banco!G:G,banco!$C:$C,$B26,banco!$A:$A,$A26)</f>
        <v>47</v>
      </c>
      <c r="F26" s="12">
        <f>IFERROR(E26/$AN26,0)</f>
        <v>2.5683060109289616E-2</v>
      </c>
      <c r="G26">
        <f>SUMIFS(banco!I:I,banco!$C:$C,$B26,banco!$A:$A,$A26)</f>
        <v>126</v>
      </c>
      <c r="H26" s="12">
        <f>IFERROR(G26/$AM26,0)</f>
        <v>3.314045239347712E-2</v>
      </c>
      <c r="I26">
        <f>SUMIFS(banco!K:K,banco!$C:$C,$B26,banco!$A:$A,$A26)</f>
        <v>76</v>
      </c>
      <c r="J26" s="12">
        <f>IFERROR(I26/$AN26,0)</f>
        <v>4.1530054644808745E-2</v>
      </c>
      <c r="K26">
        <f>SUMIFS(banco!M:M,banco!$C:$C,$B26,banco!$A:$A,$A26)</f>
        <v>3611</v>
      </c>
      <c r="L26" s="12">
        <f>IFERROR(K26/$AM26,0)</f>
        <v>0.94976328248290376</v>
      </c>
      <c r="M26">
        <f>SUMIFS(banco!O:O,banco!$C:$C,$B26,banco!$A:$A,$A26)</f>
        <v>1707</v>
      </c>
      <c r="N26" s="12">
        <f>IFERROR(M26/$AN26,0)</f>
        <v>0.93278688524590159</v>
      </c>
      <c r="O26">
        <f>SUMIFS(banco!Q:Q,banco!$C:$C,$B26,banco!$A:$A,$A26)</f>
        <v>45</v>
      </c>
      <c r="P26" s="12">
        <f>IFERROR(O26/$AM26,0)</f>
        <v>1.1835875854813256E-2</v>
      </c>
      <c r="Q26">
        <f>SUMIFS(banco!S:S,banco!$C:$C,$B26,banco!$A:$A,$A26)</f>
        <v>33</v>
      </c>
      <c r="R26" s="12">
        <f>IFERROR(Q26/$AN26,0)</f>
        <v>1.8032786885245903E-2</v>
      </c>
      <c r="S26">
        <f>SUMIFS(banco!U:U,banco!$C:$C,$B26,banco!$A:$A,$A26)</f>
        <v>153</v>
      </c>
      <c r="T26" s="12">
        <f>IFERROR(S26/$AM26,0)</f>
        <v>4.0241977906365071E-2</v>
      </c>
      <c r="U26">
        <f>SUMIFS(banco!W:W,banco!$C:$C,$B26,banco!$A:$A,$A26)</f>
        <v>82</v>
      </c>
      <c r="V26" s="12">
        <f>IFERROR(U26/$AN26,0)</f>
        <v>4.480874316939891E-2</v>
      </c>
      <c r="W26">
        <f>SUMIFS(banco!Y:Y,banco!$C:$C,$B26,banco!$A:$A,$A26)</f>
        <v>2440</v>
      </c>
      <c r="X26" s="12">
        <f>IFERROR(W26/$AM26,0)</f>
        <v>0.64176749079431883</v>
      </c>
      <c r="Y26">
        <f>SUMIFS(banco!AA:AA,banco!$C:$C,$B26,banco!$A:$A,$A26)</f>
        <v>1196</v>
      </c>
      <c r="Z26" s="12">
        <f>IFERROR(Y26/$AN26,0)</f>
        <v>0.65355191256830603</v>
      </c>
      <c r="AA26">
        <f>SUMIFS(banco!AC:AC,banco!$C:$C,$B26,banco!$A:$A,$A26)</f>
        <v>697</v>
      </c>
      <c r="AB26" s="12">
        <f>IFERROR(AA26/$AM26,0)</f>
        <v>0.18332456601788533</v>
      </c>
      <c r="AC26">
        <f>SUMIFS(banco!AE:AE,banco!$C:$C,$B26,banco!$A:$A,$A26)</f>
        <v>315</v>
      </c>
      <c r="AD26" s="12">
        <f>IFERROR(AC26/$AN26,0)</f>
        <v>0.1721311475409836</v>
      </c>
      <c r="AE26">
        <f>SUMIFS(banco!AG:AG,banco!$C:$C,$B26,banco!$A:$A,$A26)</f>
        <v>382</v>
      </c>
      <c r="AF26" s="12">
        <f>IFERROR(AE26/$AM26,0)</f>
        <v>0.10047343503419252</v>
      </c>
      <c r="AG26">
        <f>SUMIFS(banco!AI:AI,banco!$C:$C,$B26,banco!$A:$A,$A26)</f>
        <v>173</v>
      </c>
      <c r="AH26" s="12">
        <f>IFERROR(AG26/$AN26,0)</f>
        <v>9.453551912568306E-2</v>
      </c>
      <c r="AI26">
        <f>SUMIFS(banco!AK:AK,banco!$C:$C,$B26,banco!$A:$A,$A26)</f>
        <v>85</v>
      </c>
      <c r="AJ26" s="12">
        <f>IFERROR(AI26/$AM26,0)</f>
        <v>2.235665439242504E-2</v>
      </c>
      <c r="AK26">
        <f>SUMIFS(banco!AM:AM,banco!$C:$C,$B26,banco!$A:$A,$A26)</f>
        <v>31</v>
      </c>
      <c r="AL26" s="12">
        <f>IFERROR(AK26/$AN26,0)</f>
        <v>1.6939890710382512E-2</v>
      </c>
      <c r="AM26">
        <f>SUMIFS(banco!AO:AO,banco!$C:$C,$B26,banco!$A:$A,$A26)</f>
        <v>3802</v>
      </c>
      <c r="AN26">
        <f>SUMIFS(banco!AP:AP,banco!$C:$C,$B26,banco!$A:$A,$A26)</f>
        <v>1830</v>
      </c>
      <c r="AO26">
        <v>9804</v>
      </c>
    </row>
    <row r="27" spans="1:41" x14ac:dyDescent="0.25">
      <c r="A27" s="20">
        <v>2021</v>
      </c>
      <c r="B27" s="18" t="s">
        <v>145</v>
      </c>
      <c r="C27">
        <f>SUMIFS(banco!E:E,banco!$C:$C,$B27,banco!$A:$A,$A27)</f>
        <v>231</v>
      </c>
      <c r="D27" s="12">
        <f>IFERROR(C27/$AM27,0)</f>
        <v>2.0388349514563107E-2</v>
      </c>
      <c r="E27">
        <f>SUMIFS(banco!G:G,banco!$C:$C,$B27,banco!$A:$A,$A27)</f>
        <v>148</v>
      </c>
      <c r="F27" s="12">
        <f>IFERROR(E27/$AN27,0)</f>
        <v>2.4886497393643854E-2</v>
      </c>
      <c r="G27">
        <f>SUMIFS(banco!I:I,banco!$C:$C,$B27,banco!$A:$A,$A27)</f>
        <v>785</v>
      </c>
      <c r="H27" s="12">
        <f>IFERROR(G27/$AM27,0)</f>
        <v>6.928508384819064E-2</v>
      </c>
      <c r="I27">
        <f>SUMIFS(banco!K:K,banco!$C:$C,$B27,banco!$A:$A,$A27)</f>
        <v>413</v>
      </c>
      <c r="J27" s="12">
        <f>IFERROR(I27/$AN27,0)</f>
        <v>6.9446779889019677E-2</v>
      </c>
      <c r="K27">
        <f>SUMIFS(banco!M:M,banco!$C:$C,$B27,banco!$A:$A,$A27)</f>
        <v>10314</v>
      </c>
      <c r="L27" s="12">
        <f>IFERROR(K27/$AM27,0)</f>
        <v>0.9103265666372462</v>
      </c>
      <c r="M27">
        <f>SUMIFS(banco!O:O,banco!$C:$C,$B27,banco!$A:$A,$A27)</f>
        <v>5386</v>
      </c>
      <c r="N27" s="12">
        <f>IFERROR(M27/$AN27,0)</f>
        <v>0.9056667227173365</v>
      </c>
      <c r="O27">
        <f>SUMIFS(banco!Q:Q,banco!$C:$C,$B27,banco!$A:$A,$A27)</f>
        <v>175</v>
      </c>
      <c r="P27" s="12">
        <f>IFERROR(O27/$AM27,0)</f>
        <v>1.5445719329214475E-2</v>
      </c>
      <c r="Q27">
        <f>SUMIFS(banco!S:S,banco!$C:$C,$B27,banco!$A:$A,$A27)</f>
        <v>93</v>
      </c>
      <c r="R27" s="12">
        <f>IFERROR(Q27/$AN27,0)</f>
        <v>1.5638136875735665E-2</v>
      </c>
      <c r="S27">
        <f>SUMIFS(banco!U:U,banco!$C:$C,$B27,banco!$A:$A,$A27)</f>
        <v>491</v>
      </c>
      <c r="T27" s="12">
        <f>IFERROR(S27/$AM27,0)</f>
        <v>4.3336275375110325E-2</v>
      </c>
      <c r="U27">
        <f>SUMIFS(banco!W:W,banco!$C:$C,$B27,banco!$A:$A,$A27)</f>
        <v>259</v>
      </c>
      <c r="V27" s="12">
        <f>IFERROR(U27/$AN27,0)</f>
        <v>4.3551370438876746E-2</v>
      </c>
      <c r="W27">
        <f>SUMIFS(banco!Y:Y,banco!$C:$C,$B27,banco!$A:$A,$A27)</f>
        <v>8075</v>
      </c>
      <c r="X27" s="12">
        <f>IFERROR(W27/$AM27,0)</f>
        <v>0.71270962047661079</v>
      </c>
      <c r="Y27">
        <f>SUMIFS(banco!AA:AA,banco!$C:$C,$B27,banco!$A:$A,$A27)</f>
        <v>4331</v>
      </c>
      <c r="Z27" s="12">
        <f>IFERROR(Y27/$AN27,0)</f>
        <v>0.72826635278291574</v>
      </c>
      <c r="AA27">
        <f>SUMIFS(banco!AC:AC,banco!$C:$C,$B27,banco!$A:$A,$A27)</f>
        <v>1751</v>
      </c>
      <c r="AB27" s="12">
        <f>IFERROR(AA27/$AM27,0)</f>
        <v>0.15454545454545454</v>
      </c>
      <c r="AC27">
        <f>SUMIFS(banco!AE:AE,banco!$C:$C,$B27,banco!$A:$A,$A27)</f>
        <v>877</v>
      </c>
      <c r="AD27" s="12">
        <f>IFERROR(AC27/$AN27,0)</f>
        <v>0.1474693122582815</v>
      </c>
      <c r="AE27">
        <f>SUMIFS(banco!AG:AG,banco!$C:$C,$B27,banco!$A:$A,$A27)</f>
        <v>730</v>
      </c>
      <c r="AF27" s="12">
        <f>IFERROR(AE27/$AM27,0)</f>
        <v>6.4430714916151807E-2</v>
      </c>
      <c r="AG27">
        <f>SUMIFS(banco!AI:AI,banco!$C:$C,$B27,banco!$A:$A,$A27)</f>
        <v>342</v>
      </c>
      <c r="AH27" s="12">
        <f>IFERROR(AG27/$AN27,0)</f>
        <v>5.7507987220447282E-2</v>
      </c>
      <c r="AI27">
        <f>SUMIFS(banco!AK:AK,banco!$C:$C,$B27,banco!$A:$A,$A27)</f>
        <v>108</v>
      </c>
      <c r="AJ27" s="12">
        <f>IFERROR(AI27/$AM27,0)</f>
        <v>9.5322153574580754E-3</v>
      </c>
      <c r="AK27">
        <f>SUMIFS(banco!AM:AM,banco!$C:$C,$B27,banco!$A:$A,$A27)</f>
        <v>45</v>
      </c>
      <c r="AL27" s="12">
        <f>IFERROR(AK27/$AN27,0)</f>
        <v>7.5668404237430641E-3</v>
      </c>
      <c r="AM27">
        <f>SUMIFS(banco!AO:AO,banco!$C:$C,$B27,banco!$A:$A,$A27)</f>
        <v>11330</v>
      </c>
      <c r="AN27">
        <f>SUMIFS(banco!AP:AP,banco!$C:$C,$B27,banco!$A:$A,$A27)</f>
        <v>5947</v>
      </c>
      <c r="AO27">
        <v>17475</v>
      </c>
    </row>
    <row r="28" spans="1:41" x14ac:dyDescent="0.25">
      <c r="A28" s="20">
        <v>2021</v>
      </c>
      <c r="B28" s="18" t="s">
        <v>144</v>
      </c>
      <c r="C28">
        <f>SUMIFS(banco!E:E,banco!$C:$C,$B28,banco!$A:$A,$A28)</f>
        <v>74</v>
      </c>
      <c r="D28" s="12">
        <f>IFERROR(C28/$AM28,0)</f>
        <v>1.9956850053937433E-2</v>
      </c>
      <c r="E28">
        <f>SUMIFS(banco!G:G,banco!$C:$C,$B28,banco!$A:$A,$A28)</f>
        <v>50</v>
      </c>
      <c r="F28" s="12">
        <f>IFERROR(E28/$AN28,0)</f>
        <v>2.8835063437139562E-2</v>
      </c>
      <c r="G28">
        <f>SUMIFS(banco!I:I,banco!$C:$C,$B28,banco!$A:$A,$A28)</f>
        <v>153</v>
      </c>
      <c r="H28" s="12">
        <f>IFERROR(G28/$AM28,0)</f>
        <v>4.12621359223301E-2</v>
      </c>
      <c r="I28">
        <f>SUMIFS(banco!K:K,banco!$C:$C,$B28,banco!$A:$A,$A28)</f>
        <v>77</v>
      </c>
      <c r="J28" s="12">
        <f>IFERROR(I28/$AN28,0)</f>
        <v>4.4405997693194928E-2</v>
      </c>
      <c r="K28">
        <f>SUMIFS(banco!M:M,banco!$C:$C,$B28,banco!$A:$A,$A28)</f>
        <v>3481</v>
      </c>
      <c r="L28" s="12">
        <f>IFERROR(K28/$AM28,0)</f>
        <v>0.93878101402373249</v>
      </c>
      <c r="M28">
        <f>SUMIFS(banco!O:O,banco!$C:$C,$B28,banco!$A:$A,$A28)</f>
        <v>1607</v>
      </c>
      <c r="N28" s="12">
        <f>IFERROR(M28/$AN28,0)</f>
        <v>0.92675893886966554</v>
      </c>
      <c r="O28">
        <f>SUMIFS(banco!Q:Q,banco!$C:$C,$B28,banco!$A:$A,$A28)</f>
        <v>37</v>
      </c>
      <c r="P28" s="12">
        <f>IFERROR(O28/$AM28,0)</f>
        <v>9.9784250269687163E-3</v>
      </c>
      <c r="Q28">
        <f>SUMIFS(banco!S:S,banco!$C:$C,$B28,banco!$A:$A,$A28)</f>
        <v>25</v>
      </c>
      <c r="R28" s="12">
        <f>IFERROR(Q28/$AN28,0)</f>
        <v>1.4417531718569781E-2</v>
      </c>
      <c r="S28">
        <f>SUMIFS(banco!U:U,banco!$C:$C,$B28,banco!$A:$A,$A28)</f>
        <v>97</v>
      </c>
      <c r="T28" s="12">
        <f>IFERROR(S28/$AM28,0)</f>
        <v>2.61596548004315E-2</v>
      </c>
      <c r="U28">
        <f>SUMIFS(banco!W:W,banco!$C:$C,$B28,banco!$A:$A,$A28)</f>
        <v>45</v>
      </c>
      <c r="V28" s="12">
        <f>IFERROR(U28/$AN28,0)</f>
        <v>2.5951557093425604E-2</v>
      </c>
      <c r="W28">
        <f>SUMIFS(banco!Y:Y,banco!$C:$C,$B28,banco!$A:$A,$A28)</f>
        <v>2438</v>
      </c>
      <c r="X28" s="12">
        <f>IFERROR(W28/$AM28,0)</f>
        <v>0.65749730312837107</v>
      </c>
      <c r="Y28">
        <f>SUMIFS(banco!AA:AA,banco!$C:$C,$B28,banco!$A:$A,$A28)</f>
        <v>1164</v>
      </c>
      <c r="Z28" s="12">
        <f>IFERROR(Y28/$AN28,0)</f>
        <v>0.67128027681660896</v>
      </c>
      <c r="AA28">
        <f>SUMIFS(banco!AC:AC,banco!$C:$C,$B28,banco!$A:$A,$A28)</f>
        <v>720</v>
      </c>
      <c r="AB28" s="12">
        <f>IFERROR(AA28/$AM28,0)</f>
        <v>0.1941747572815534</v>
      </c>
      <c r="AC28">
        <f>SUMIFS(banco!AE:AE,banco!$C:$C,$B28,banco!$A:$A,$A28)</f>
        <v>336</v>
      </c>
      <c r="AD28" s="12">
        <f>IFERROR(AC28/$AN28,0)</f>
        <v>0.19377162629757785</v>
      </c>
      <c r="AE28">
        <f>SUMIFS(banco!AG:AG,banco!$C:$C,$B28,banco!$A:$A,$A28)</f>
        <v>334</v>
      </c>
      <c r="AF28" s="12">
        <f>IFERROR(AE28/$AM28,0)</f>
        <v>9.0075512405609487E-2</v>
      </c>
      <c r="AG28">
        <f>SUMIFS(banco!AI:AI,banco!$C:$C,$B28,banco!$A:$A,$A28)</f>
        <v>132</v>
      </c>
      <c r="AH28" s="12">
        <f>IFERROR(AG28/$AN28,0)</f>
        <v>7.6124567474048443E-2</v>
      </c>
      <c r="AI28">
        <f>SUMIFS(banco!AK:AK,banco!$C:$C,$B28,banco!$A:$A,$A28)</f>
        <v>82</v>
      </c>
      <c r="AJ28" s="12">
        <f>IFERROR(AI28/$AM28,0)</f>
        <v>2.2114347357065803E-2</v>
      </c>
      <c r="AK28">
        <f>SUMIFS(banco!AM:AM,banco!$C:$C,$B28,banco!$A:$A,$A28)</f>
        <v>32</v>
      </c>
      <c r="AL28" s="12">
        <f>IFERROR(AK28/$AN28,0)</f>
        <v>1.845444059976932E-2</v>
      </c>
      <c r="AM28">
        <f>SUMIFS(banco!AO:AO,banco!$C:$C,$B28,banco!$A:$A,$A28)</f>
        <v>3708</v>
      </c>
      <c r="AN28">
        <f>SUMIFS(banco!AP:AP,banco!$C:$C,$B28,banco!$A:$A,$A28)</f>
        <v>1734</v>
      </c>
      <c r="AO28">
        <v>10159</v>
      </c>
    </row>
    <row r="29" spans="1:41" x14ac:dyDescent="0.25">
      <c r="A29" s="20">
        <v>2021</v>
      </c>
      <c r="B29" s="18" t="s">
        <v>148</v>
      </c>
      <c r="C29">
        <f>SUMIFS(banco!E:E,banco!$C:$C,$B29,banco!$A:$A,$A29)</f>
        <v>226</v>
      </c>
      <c r="D29" s="12">
        <f>IFERROR(C29/$AM29,0)</f>
        <v>2.7564337114282231E-2</v>
      </c>
      <c r="E29">
        <f>SUMIFS(banco!G:G,banco!$C:$C,$B29,banco!$A:$A,$A29)</f>
        <v>156</v>
      </c>
      <c r="F29" s="12">
        <f>IFERROR(E29/$AN29,0)</f>
        <v>3.9969254419677171E-2</v>
      </c>
      <c r="G29">
        <f>SUMIFS(banco!I:I,banco!$C:$C,$B29,banco!$A:$A,$A29)</f>
        <v>402</v>
      </c>
      <c r="H29" s="12">
        <f>IFERROR(G29/$AM29,0)</f>
        <v>4.903036955726308E-2</v>
      </c>
      <c r="I29">
        <f>SUMIFS(banco!K:K,banco!$C:$C,$B29,banco!$A:$A,$A29)</f>
        <v>215</v>
      </c>
      <c r="J29" s="12">
        <f>IFERROR(I29/$AN29,0)</f>
        <v>5.5085831411734565E-2</v>
      </c>
      <c r="K29">
        <f>SUMIFS(banco!M:M,banco!$C:$C,$B29,banco!$A:$A,$A29)</f>
        <v>7571</v>
      </c>
      <c r="L29" s="12">
        <f>IFERROR(K29/$AM29,0)</f>
        <v>0.92340529332845467</v>
      </c>
      <c r="M29">
        <f>SUMIFS(banco!O:O,banco!$C:$C,$B29,banco!$A:$A,$A29)</f>
        <v>3532</v>
      </c>
      <c r="N29" s="12">
        <f>IFERROR(M29/$AN29,0)</f>
        <v>0.90494491416858824</v>
      </c>
      <c r="O29">
        <f>SUMIFS(banco!Q:Q,banco!$C:$C,$B29,banco!$A:$A,$A29)</f>
        <v>105</v>
      </c>
      <c r="P29" s="12">
        <f>IFERROR(O29/$AM29,0)</f>
        <v>1.2806439809732895E-2</v>
      </c>
      <c r="Q29">
        <f>SUMIFS(banco!S:S,banco!$C:$C,$B29,banco!$A:$A,$A29)</f>
        <v>64</v>
      </c>
      <c r="R29" s="12">
        <f>IFERROR(Q29/$AN29,0)</f>
        <v>1.6397642838841917E-2</v>
      </c>
      <c r="S29">
        <f>SUMIFS(banco!U:U,banco!$C:$C,$B29,banco!$A:$A,$A29)</f>
        <v>286</v>
      </c>
      <c r="T29" s="12">
        <f>IFERROR(S29/$AM29,0)</f>
        <v>3.4882302719843883E-2</v>
      </c>
      <c r="U29">
        <f>SUMIFS(banco!W:W,banco!$C:$C,$B29,banco!$A:$A,$A29)</f>
        <v>130</v>
      </c>
      <c r="V29" s="12">
        <f>IFERROR(U29/$AN29,0)</f>
        <v>3.3307712016397643E-2</v>
      </c>
      <c r="W29">
        <f>SUMIFS(banco!Y:Y,banco!$C:$C,$B29,banco!$A:$A,$A29)</f>
        <v>5392</v>
      </c>
      <c r="X29" s="12">
        <f>IFERROR(W29/$AM29,0)</f>
        <v>0.65764117575314063</v>
      </c>
      <c r="Y29">
        <f>SUMIFS(banco!AA:AA,banco!$C:$C,$B29,banco!$A:$A,$A29)</f>
        <v>2691</v>
      </c>
      <c r="Z29" s="12">
        <f>IFERROR(Y29/$AN29,0)</f>
        <v>0.68946963873943123</v>
      </c>
      <c r="AA29">
        <f>SUMIFS(banco!AC:AC,banco!$C:$C,$B29,banco!$A:$A,$A29)</f>
        <v>1550</v>
      </c>
      <c r="AB29" s="12">
        <f>IFERROR(AA29/$AM29,0)</f>
        <v>0.18904744481034272</v>
      </c>
      <c r="AC29">
        <f>SUMIFS(banco!AE:AE,banco!$C:$C,$B29,banco!$A:$A,$A29)</f>
        <v>686</v>
      </c>
      <c r="AD29" s="12">
        <f>IFERROR(AC29/$AN29,0)</f>
        <v>0.1757622341788368</v>
      </c>
      <c r="AE29">
        <f>SUMIFS(banco!AG:AG,banco!$C:$C,$B29,banco!$A:$A,$A29)</f>
        <v>676</v>
      </c>
      <c r="AF29" s="12">
        <f>IFERROR(AE29/$AM29,0)</f>
        <v>8.2449079155994628E-2</v>
      </c>
      <c r="AG29">
        <f>SUMIFS(banco!AI:AI,banco!$C:$C,$B29,banco!$A:$A,$A29)</f>
        <v>257</v>
      </c>
      <c r="AH29" s="12">
        <f>IFERROR(AG29/$AN29,0)</f>
        <v>6.5846784524724575E-2</v>
      </c>
      <c r="AI29">
        <f>SUMIFS(banco!AK:AK,banco!$C:$C,$B29,banco!$A:$A,$A29)</f>
        <v>190</v>
      </c>
      <c r="AJ29" s="12">
        <f>IFERROR(AI29/$AM29,0)</f>
        <v>2.3173557750945237E-2</v>
      </c>
      <c r="AK29">
        <f>SUMIFS(banco!AM:AM,banco!$C:$C,$B29,banco!$A:$A,$A29)</f>
        <v>75</v>
      </c>
      <c r="AL29" s="12">
        <f>IFERROR(AK29/$AN29,0)</f>
        <v>1.921598770176787E-2</v>
      </c>
      <c r="AM29">
        <f>SUMIFS(banco!AO:AO,banco!$C:$C,$B29,banco!$A:$A,$A29)</f>
        <v>8199</v>
      </c>
      <c r="AN29">
        <f>SUMIFS(banco!AP:AP,banco!$C:$C,$B29,banco!$A:$A,$A29)</f>
        <v>3903</v>
      </c>
      <c r="AO29">
        <v>29884</v>
      </c>
    </row>
    <row r="30" spans="1:41" x14ac:dyDescent="0.25">
      <c r="A30" s="20">
        <v>2021</v>
      </c>
      <c r="B30" s="18" t="s">
        <v>150</v>
      </c>
      <c r="C30">
        <f>SUMIFS(banco!E:E,banco!$C:$C,$B30,banco!$A:$A,$A30)</f>
        <v>82</v>
      </c>
      <c r="D30" s="12">
        <f>IFERROR(C30/$AM30,0)</f>
        <v>1.9830713422007255E-2</v>
      </c>
      <c r="E30">
        <f>SUMIFS(banco!G:G,banco!$C:$C,$B30,banco!$A:$A,$A30)</f>
        <v>63</v>
      </c>
      <c r="F30" s="12">
        <f>IFERROR(E30/$AN30,0)</f>
        <v>2.5703794369645042E-2</v>
      </c>
      <c r="G30">
        <f>SUMIFS(banco!I:I,banco!$C:$C,$B30,banco!$A:$A,$A30)</f>
        <v>209</v>
      </c>
      <c r="H30" s="12">
        <f>IFERROR(G30/$AM30,0)</f>
        <v>5.0544135429262393E-2</v>
      </c>
      <c r="I30">
        <f>SUMIFS(banco!K:K,banco!$C:$C,$B30,banco!$A:$A,$A30)</f>
        <v>120</v>
      </c>
      <c r="J30" s="12">
        <f>IFERROR(I30/$AN30,0)</f>
        <v>4.8959608323133418E-2</v>
      </c>
      <c r="K30">
        <f>SUMIFS(banco!M:M,banco!$C:$C,$B30,banco!$A:$A,$A30)</f>
        <v>3844</v>
      </c>
      <c r="L30" s="12">
        <f>IFERROR(K30/$AM30,0)</f>
        <v>0.92962515114873034</v>
      </c>
      <c r="M30">
        <f>SUMIFS(banco!O:O,banco!$C:$C,$B30,banco!$A:$A,$A30)</f>
        <v>2268</v>
      </c>
      <c r="N30" s="12">
        <f>IFERROR(M30/$AN30,0)</f>
        <v>0.92533659730722151</v>
      </c>
      <c r="O30">
        <f>SUMIFS(banco!Q:Q,banco!$C:$C,$B30,banco!$A:$A,$A30)</f>
        <v>47</v>
      </c>
      <c r="P30" s="12">
        <f>IFERROR(O30/$AM30,0)</f>
        <v>1.1366384522370012E-2</v>
      </c>
      <c r="Q30">
        <f>SUMIFS(banco!S:S,banco!$C:$C,$B30,banco!$A:$A,$A30)</f>
        <v>32</v>
      </c>
      <c r="R30" s="12">
        <f>IFERROR(Q30/$AN30,0)</f>
        <v>1.3055895552835577E-2</v>
      </c>
      <c r="S30">
        <f>SUMIFS(banco!U:U,banco!$C:$C,$B30,banco!$A:$A,$A30)</f>
        <v>125</v>
      </c>
      <c r="T30" s="12">
        <f>IFERROR(S30/$AM30,0)</f>
        <v>3.0229746070133012E-2</v>
      </c>
      <c r="U30">
        <f>SUMIFS(banco!W:W,banco!$C:$C,$B30,banco!$A:$A,$A30)</f>
        <v>79</v>
      </c>
      <c r="V30" s="12">
        <f>IFERROR(U30/$AN30,0)</f>
        <v>3.2231742146062829E-2</v>
      </c>
      <c r="W30">
        <f>SUMIFS(banco!Y:Y,banco!$C:$C,$B30,banco!$A:$A,$A30)</f>
        <v>2715</v>
      </c>
      <c r="X30" s="12">
        <f>IFERROR(W30/$AM30,0)</f>
        <v>0.65659008464328905</v>
      </c>
      <c r="Y30">
        <f>SUMIFS(banco!AA:AA,banco!$C:$C,$B30,banco!$A:$A,$A30)</f>
        <v>1644</v>
      </c>
      <c r="Z30" s="12">
        <f>IFERROR(Y30/$AN30,0)</f>
        <v>0.6707466340269278</v>
      </c>
      <c r="AA30">
        <f>SUMIFS(banco!AC:AC,banco!$C:$C,$B30,banco!$A:$A,$A30)</f>
        <v>768</v>
      </c>
      <c r="AB30" s="12">
        <f>IFERROR(AA30/$AM30,0)</f>
        <v>0.18573155985489723</v>
      </c>
      <c r="AC30">
        <f>SUMIFS(banco!AE:AE,banco!$C:$C,$B30,banco!$A:$A,$A30)</f>
        <v>453</v>
      </c>
      <c r="AD30" s="12">
        <f>IFERROR(AC30/$AN30,0)</f>
        <v>0.18482252141982863</v>
      </c>
      <c r="AE30">
        <f>SUMIFS(banco!AG:AG,banco!$C:$C,$B30,banco!$A:$A,$A30)</f>
        <v>383</v>
      </c>
      <c r="AF30" s="12">
        <f>IFERROR(AE30/$AM30,0)</f>
        <v>9.262394195888754E-2</v>
      </c>
      <c r="AG30">
        <f>SUMIFS(banco!AI:AI,banco!$C:$C,$B30,banco!$A:$A,$A30)</f>
        <v>201</v>
      </c>
      <c r="AH30" s="12">
        <f>IFERROR(AG30/$AN30,0)</f>
        <v>8.2007343941248464E-2</v>
      </c>
      <c r="AI30">
        <f>SUMIFS(banco!AK:AK,banco!$C:$C,$B30,banco!$A:$A,$A30)</f>
        <v>97</v>
      </c>
      <c r="AJ30" s="12">
        <f>IFERROR(AI30/$AM30,0)</f>
        <v>2.3458282950423216E-2</v>
      </c>
      <c r="AK30">
        <f>SUMIFS(banco!AM:AM,banco!$C:$C,$B30,banco!$A:$A,$A30)</f>
        <v>42</v>
      </c>
      <c r="AL30" s="12">
        <f>IFERROR(AK30/$AN30,0)</f>
        <v>1.7135862913096694E-2</v>
      </c>
      <c r="AM30">
        <f>SUMIFS(banco!AO:AO,banco!$C:$C,$B30,banco!$A:$A,$A30)</f>
        <v>4135</v>
      </c>
      <c r="AN30">
        <f>SUMIFS(banco!AP:AP,banco!$C:$C,$B30,banco!$A:$A,$A30)</f>
        <v>2451</v>
      </c>
      <c r="AO30">
        <v>12113</v>
      </c>
    </row>
    <row r="31" spans="1:41" x14ac:dyDescent="0.25">
      <c r="A31" s="20">
        <v>2021</v>
      </c>
      <c r="B31" s="18" t="s">
        <v>146</v>
      </c>
      <c r="C31">
        <f>SUMIFS(banco!E:E,banco!$C:$C,$B31,banco!$A:$A,$A31)</f>
        <v>152</v>
      </c>
      <c r="D31" s="12">
        <f>IFERROR(C31/$AM31,0)</f>
        <v>2.8252788104089221E-2</v>
      </c>
      <c r="E31">
        <f>SUMIFS(banco!G:G,banco!$C:$C,$B31,banco!$A:$A,$A31)</f>
        <v>133</v>
      </c>
      <c r="F31" s="12">
        <f>IFERROR(E31/$AN31,0)</f>
        <v>4.3336591723688499E-2</v>
      </c>
      <c r="G31">
        <f>SUMIFS(banco!I:I,banco!$C:$C,$B31,banco!$A:$A,$A31)</f>
        <v>539</v>
      </c>
      <c r="H31" s="12">
        <f>IFERROR(G31/$AM31,0)</f>
        <v>0.10018587360594795</v>
      </c>
      <c r="I31">
        <f>SUMIFS(banco!K:K,banco!$C:$C,$B31,banco!$A:$A,$A31)</f>
        <v>461</v>
      </c>
      <c r="J31" s="12">
        <f>IFERROR(I31/$AN31,0)</f>
        <v>0.15021179537308568</v>
      </c>
      <c r="K31">
        <f>SUMIFS(banco!M:M,banco!$C:$C,$B31,banco!$A:$A,$A31)</f>
        <v>4689</v>
      </c>
      <c r="L31" s="12">
        <f>IFERROR(K31/$AM31,0)</f>
        <v>0.87156133828996285</v>
      </c>
      <c r="M31">
        <f>SUMIFS(banco!O:O,banco!$C:$C,$B31,banco!$A:$A,$A31)</f>
        <v>2475</v>
      </c>
      <c r="N31" s="12">
        <f>IFERROR(M31/$AN31,0)</f>
        <v>0.80645161290322576</v>
      </c>
      <c r="O31">
        <f>SUMIFS(banco!Q:Q,banco!$C:$C,$B31,banco!$A:$A,$A31)</f>
        <v>93</v>
      </c>
      <c r="P31" s="12">
        <f>IFERROR(O31/$AM31,0)</f>
        <v>1.7286245353159851E-2</v>
      </c>
      <c r="Q31">
        <f>SUMIFS(banco!S:S,banco!$C:$C,$B31,banco!$A:$A,$A31)</f>
        <v>65</v>
      </c>
      <c r="R31" s="12">
        <f>IFERROR(Q31/$AN31,0)</f>
        <v>2.1179537308569567E-2</v>
      </c>
      <c r="S31">
        <f>SUMIFS(banco!U:U,banco!$C:$C,$B31,banco!$A:$A,$A31)</f>
        <v>158</v>
      </c>
      <c r="T31" s="12">
        <f>IFERROR(S31/$AM31,0)</f>
        <v>2.9368029739776952E-2</v>
      </c>
      <c r="U31">
        <f>SUMIFS(banco!W:W,banco!$C:$C,$B31,banco!$A:$A,$A31)</f>
        <v>89</v>
      </c>
      <c r="V31" s="12">
        <f>IFERROR(U31/$AN31,0)</f>
        <v>2.8999674160964484E-2</v>
      </c>
      <c r="W31">
        <f>SUMIFS(banco!Y:Y,banco!$C:$C,$B31,banco!$A:$A,$A31)</f>
        <v>3507</v>
      </c>
      <c r="X31" s="12">
        <f>IFERROR(W31/$AM31,0)</f>
        <v>0.65185873605947953</v>
      </c>
      <c r="Y31">
        <f>SUMIFS(banco!AA:AA,banco!$C:$C,$B31,banco!$A:$A,$A31)</f>
        <v>2127</v>
      </c>
      <c r="Z31" s="12">
        <f>IFERROR(Y31/$AN31,0)</f>
        <v>0.69305962854349956</v>
      </c>
      <c r="AA31">
        <f>SUMIFS(banco!AC:AC,banco!$C:$C,$B31,banco!$A:$A,$A31)</f>
        <v>1013</v>
      </c>
      <c r="AB31" s="12">
        <f>IFERROR(AA31/$AM31,0)</f>
        <v>0.18828996282527882</v>
      </c>
      <c r="AC31">
        <f>SUMIFS(banco!AE:AE,banco!$C:$C,$B31,banco!$A:$A,$A31)</f>
        <v>542</v>
      </c>
      <c r="AD31" s="12">
        <f>IFERROR(AC31/$AN31,0)</f>
        <v>0.17660475724991853</v>
      </c>
      <c r="AE31">
        <f>SUMIFS(banco!AG:AG,banco!$C:$C,$B31,banco!$A:$A,$A31)</f>
        <v>478</v>
      </c>
      <c r="AF31" s="12">
        <f>IFERROR(AE31/$AM31,0)</f>
        <v>8.8847583643122674E-2</v>
      </c>
      <c r="AG31">
        <f>SUMIFS(banco!AI:AI,banco!$C:$C,$B31,banco!$A:$A,$A31)</f>
        <v>199</v>
      </c>
      <c r="AH31" s="12">
        <f>IFERROR(AG31/$AN31,0)</f>
        <v>6.4841968067774522E-2</v>
      </c>
      <c r="AI31">
        <f>SUMIFS(banco!AK:AK,banco!$C:$C,$B31,banco!$A:$A,$A31)</f>
        <v>133</v>
      </c>
      <c r="AJ31" s="12">
        <f>IFERROR(AI31/$AM31,0)</f>
        <v>2.4721189591078066E-2</v>
      </c>
      <c r="AK31">
        <f>SUMIFS(banco!AM:AM,banco!$C:$C,$B31,banco!$A:$A,$A31)</f>
        <v>49</v>
      </c>
      <c r="AL31" s="12">
        <f>IFERROR(AK31/$AN31,0)</f>
        <v>1.596611274030629E-2</v>
      </c>
      <c r="AM31">
        <f>SUMIFS(banco!AO:AO,banco!$C:$C,$B31,banco!$A:$A,$A31)</f>
        <v>5380</v>
      </c>
      <c r="AN31">
        <f>SUMIFS(banco!AP:AP,banco!$C:$C,$B31,banco!$A:$A,$A31)</f>
        <v>3069</v>
      </c>
      <c r="AO31">
        <v>13112</v>
      </c>
    </row>
    <row r="32" spans="1:41" x14ac:dyDescent="0.25">
      <c r="A32" s="20">
        <v>2021</v>
      </c>
      <c r="B32" s="18" t="s">
        <v>149</v>
      </c>
      <c r="C32">
        <f>SUMIFS(banco!E:E,banco!$C:$C,$B32,banco!$A:$A,$A32)</f>
        <v>234</v>
      </c>
      <c r="D32" s="12">
        <f>IFERROR(C32/$AM32,0)</f>
        <v>2.538236251220306E-2</v>
      </c>
      <c r="E32">
        <f>SUMIFS(banco!G:G,banco!$C:$C,$B32,banco!$A:$A,$A32)</f>
        <v>148</v>
      </c>
      <c r="F32" s="12">
        <f>IFERROR(E32/$AN32,0)</f>
        <v>3.3805390589310189E-2</v>
      </c>
      <c r="G32">
        <f>SUMIFS(banco!I:I,banco!$C:$C,$B32,banco!$A:$A,$A32)</f>
        <v>512</v>
      </c>
      <c r="H32" s="12">
        <f>IFERROR(G32/$AM32,0)</f>
        <v>5.5537476949777634E-2</v>
      </c>
      <c r="I32">
        <f>SUMIFS(banco!K:K,banco!$C:$C,$B32,banco!$A:$A,$A32)</f>
        <v>250</v>
      </c>
      <c r="J32" s="12">
        <f>IFERROR(I32/$AN32,0)</f>
        <v>5.7103700319780723E-2</v>
      </c>
      <c r="K32">
        <f>SUMIFS(banco!M:M,banco!$C:$C,$B32,banco!$A:$A,$A32)</f>
        <v>8473</v>
      </c>
      <c r="L32" s="12">
        <f>IFERROR(K32/$AM32,0)</f>
        <v>0.91908016053801933</v>
      </c>
      <c r="M32">
        <f>SUMIFS(banco!O:O,banco!$C:$C,$B32,banco!$A:$A,$A32)</f>
        <v>3980</v>
      </c>
      <c r="N32" s="12">
        <f>IFERROR(M32/$AN32,0)</f>
        <v>0.90909090909090906</v>
      </c>
      <c r="O32">
        <f>SUMIFS(banco!Q:Q,banco!$C:$C,$B32,banco!$A:$A,$A32)</f>
        <v>104</v>
      </c>
      <c r="P32" s="12">
        <f>IFERROR(O32/$AM32,0)</f>
        <v>1.1281050005423583E-2</v>
      </c>
      <c r="Q32">
        <f>SUMIFS(banco!S:S,banco!$C:$C,$B32,banco!$A:$A,$A32)</f>
        <v>56</v>
      </c>
      <c r="R32" s="12">
        <f>IFERROR(Q32/$AN32,0)</f>
        <v>1.2791228871630882E-2</v>
      </c>
      <c r="S32">
        <f>SUMIFS(banco!U:U,banco!$C:$C,$B32,banco!$A:$A,$A32)</f>
        <v>304</v>
      </c>
      <c r="T32" s="12">
        <f>IFERROR(S32/$AM32,0)</f>
        <v>3.2975376938930469E-2</v>
      </c>
      <c r="U32">
        <f>SUMIFS(banco!W:W,banco!$C:$C,$B32,banco!$A:$A,$A32)</f>
        <v>126</v>
      </c>
      <c r="V32" s="12">
        <f>IFERROR(U32/$AN32,0)</f>
        <v>2.8780264961169484E-2</v>
      </c>
      <c r="W32">
        <f>SUMIFS(banco!Y:Y,banco!$C:$C,$B32,banco!$A:$A,$A32)</f>
        <v>6263</v>
      </c>
      <c r="X32" s="12">
        <f>IFERROR(W32/$AM32,0)</f>
        <v>0.67935784792276821</v>
      </c>
      <c r="Y32">
        <f>SUMIFS(banco!AA:AA,banco!$C:$C,$B32,banco!$A:$A,$A32)</f>
        <v>3142</v>
      </c>
      <c r="Z32" s="12">
        <f>IFERROR(Y32/$AN32,0)</f>
        <v>0.71767930561900406</v>
      </c>
      <c r="AA32">
        <f>SUMIFS(banco!AC:AC,banco!$C:$C,$B32,banco!$A:$A,$A32)</f>
        <v>1666</v>
      </c>
      <c r="AB32" s="12">
        <f>IFERROR(AA32/$AM32,0)</f>
        <v>0.18071374335611237</v>
      </c>
      <c r="AC32">
        <f>SUMIFS(banco!AE:AE,banco!$C:$C,$B32,banco!$A:$A,$A32)</f>
        <v>748</v>
      </c>
      <c r="AD32" s="12">
        <f>IFERROR(AC32/$AN32,0)</f>
        <v>0.17085427135678391</v>
      </c>
      <c r="AE32">
        <f>SUMIFS(banco!AG:AG,banco!$C:$C,$B32,banco!$A:$A,$A32)</f>
        <v>729</v>
      </c>
      <c r="AF32" s="12">
        <f>IFERROR(AE32/$AM32,0)</f>
        <v>7.9075821672632607E-2</v>
      </c>
      <c r="AG32">
        <f>SUMIFS(banco!AI:AI,banco!$C:$C,$B32,banco!$A:$A,$A32)</f>
        <v>252</v>
      </c>
      <c r="AH32" s="12">
        <f>IFERROR(AG32/$AN32,0)</f>
        <v>5.7560529922338968E-2</v>
      </c>
      <c r="AI32">
        <f>SUMIFS(banco!AK:AK,banco!$C:$C,$B32,banco!$A:$A,$A32)</f>
        <v>153</v>
      </c>
      <c r="AJ32" s="12">
        <f>IFERROR(AI32/$AM32,0)</f>
        <v>1.6596160104132771E-2</v>
      </c>
      <c r="AK32">
        <f>SUMIFS(banco!AM:AM,banco!$C:$C,$B32,banco!$A:$A,$A32)</f>
        <v>54</v>
      </c>
      <c r="AL32" s="12">
        <f>IFERROR(AK32/$AN32,0)</f>
        <v>1.2334399269072635E-2</v>
      </c>
      <c r="AM32">
        <f>SUMIFS(banco!AO:AO,banco!$C:$C,$B32,banco!$A:$A,$A32)</f>
        <v>9219</v>
      </c>
      <c r="AN32">
        <f>SUMIFS(banco!AP:AP,banco!$C:$C,$B32,banco!$A:$A,$A32)</f>
        <v>4378</v>
      </c>
      <c r="AO32">
        <v>23249</v>
      </c>
    </row>
    <row r="33" spans="1:41" x14ac:dyDescent="0.25">
      <c r="A33" s="20">
        <v>2021</v>
      </c>
      <c r="B33" s="18" t="s">
        <v>147</v>
      </c>
      <c r="C33">
        <f>SUMIFS(banco!E:E,banco!$C:$C,$B33,banco!$A:$A,$A33)</f>
        <v>60</v>
      </c>
      <c r="D33" s="12">
        <f>IFERROR(C33/$AM33,0)</f>
        <v>1.6787912702853944E-2</v>
      </c>
      <c r="E33">
        <f>SUMIFS(banco!G:G,banco!$C:$C,$B33,banco!$A:$A,$A33)</f>
        <v>38</v>
      </c>
      <c r="F33" s="12">
        <f>IFERROR(E33/$AN33,0)</f>
        <v>2.2418879056047197E-2</v>
      </c>
      <c r="G33">
        <f>SUMIFS(banco!I:I,banco!$C:$C,$B33,banco!$A:$A,$A33)</f>
        <v>157</v>
      </c>
      <c r="H33" s="12">
        <f>IFERROR(G33/$AM33,0)</f>
        <v>4.3928371572467824E-2</v>
      </c>
      <c r="I33">
        <f>SUMIFS(banco!K:K,banco!$C:$C,$B33,banco!$A:$A,$A33)</f>
        <v>77</v>
      </c>
      <c r="J33" s="12">
        <f>IFERROR(I33/$AN33,0)</f>
        <v>4.5427728613569321E-2</v>
      </c>
      <c r="K33">
        <f>SUMIFS(banco!M:M,banco!$C:$C,$B33,banco!$A:$A,$A33)</f>
        <v>3357</v>
      </c>
      <c r="L33" s="12">
        <f>IFERROR(K33/$AM33,0)</f>
        <v>0.93928371572467828</v>
      </c>
      <c r="M33">
        <f>SUMIFS(banco!O:O,banco!$C:$C,$B33,banco!$A:$A,$A33)</f>
        <v>1580</v>
      </c>
      <c r="N33" s="12">
        <f>IFERROR(M33/$AN33,0)</f>
        <v>0.93215339233038352</v>
      </c>
      <c r="O33">
        <f>SUMIFS(banco!Q:Q,banco!$C:$C,$B33,banco!$A:$A,$A33)</f>
        <v>42</v>
      </c>
      <c r="P33" s="12">
        <f>IFERROR(O33/$AM33,0)</f>
        <v>1.1751538891997761E-2</v>
      </c>
      <c r="Q33">
        <f>SUMIFS(banco!S:S,banco!$C:$C,$B33,banco!$A:$A,$A33)</f>
        <v>28</v>
      </c>
      <c r="R33" s="12">
        <f>IFERROR(Q33/$AN33,0)</f>
        <v>1.6519174041297935E-2</v>
      </c>
      <c r="S33">
        <f>SUMIFS(banco!U:U,banco!$C:$C,$B33,banco!$A:$A,$A33)</f>
        <v>136</v>
      </c>
      <c r="T33" s="12">
        <f>IFERROR(S33/$AM33,0)</f>
        <v>3.8052602126468944E-2</v>
      </c>
      <c r="U33">
        <f>SUMIFS(banco!W:W,banco!$C:$C,$B33,banco!$A:$A,$A33)</f>
        <v>70</v>
      </c>
      <c r="V33" s="12">
        <f>IFERROR(U33/$AN33,0)</f>
        <v>4.1297935103244837E-2</v>
      </c>
      <c r="W33">
        <f>SUMIFS(banco!Y:Y,banco!$C:$C,$B33,banco!$A:$A,$A33)</f>
        <v>2490</v>
      </c>
      <c r="X33" s="12">
        <f>IFERROR(W33/$AM33,0)</f>
        <v>0.69669837716843874</v>
      </c>
      <c r="Y33">
        <f>SUMIFS(banco!AA:AA,banco!$C:$C,$B33,banco!$A:$A,$A33)</f>
        <v>1183</v>
      </c>
      <c r="Z33" s="12">
        <f>IFERROR(Y33/$AN33,0)</f>
        <v>0.69793510324483776</v>
      </c>
      <c r="AA33">
        <f>SUMIFS(banco!AC:AC,banco!$C:$C,$B33,banco!$A:$A,$A33)</f>
        <v>611</v>
      </c>
      <c r="AB33" s="12">
        <f>IFERROR(AA33/$AM33,0)</f>
        <v>0.17095691102406269</v>
      </c>
      <c r="AC33">
        <f>SUMIFS(banco!AE:AE,banco!$C:$C,$B33,banco!$A:$A,$A33)</f>
        <v>282</v>
      </c>
      <c r="AD33" s="12">
        <f>IFERROR(AC33/$AN33,0)</f>
        <v>0.1663716814159292</v>
      </c>
      <c r="AE33">
        <f>SUMIFS(banco!AG:AG,banco!$C:$C,$B33,banco!$A:$A,$A33)</f>
        <v>232</v>
      </c>
      <c r="AF33" s="12">
        <f>IFERROR(AE33/$AM33,0)</f>
        <v>6.491326245103525E-2</v>
      </c>
      <c r="AG33">
        <f>SUMIFS(banco!AI:AI,banco!$C:$C,$B33,banco!$A:$A,$A33)</f>
        <v>110</v>
      </c>
      <c r="AH33" s="12">
        <f>IFERROR(AG33/$AN33,0)</f>
        <v>6.4896755162241887E-2</v>
      </c>
      <c r="AI33">
        <f>SUMIFS(banco!AK:AK,banco!$C:$C,$B33,banco!$A:$A,$A33)</f>
        <v>63</v>
      </c>
      <c r="AJ33" s="12">
        <f>IFERROR(AI33/$AM33,0)</f>
        <v>1.7627308337996642E-2</v>
      </c>
      <c r="AK33">
        <f>SUMIFS(banco!AM:AM,banco!$C:$C,$B33,banco!$A:$A,$A33)</f>
        <v>22</v>
      </c>
      <c r="AL33" s="12">
        <f>IFERROR(AK33/$AN33,0)</f>
        <v>1.2979351032448377E-2</v>
      </c>
      <c r="AM33">
        <f>SUMIFS(banco!AO:AO,banco!$C:$C,$B33,banco!$A:$A,$A33)</f>
        <v>3574</v>
      </c>
      <c r="AN33">
        <f>SUMIFS(banco!AP:AP,banco!$C:$C,$B33,banco!$A:$A,$A33)</f>
        <v>1695</v>
      </c>
      <c r="AO33">
        <v>7087</v>
      </c>
    </row>
    <row r="34" spans="1:41" x14ac:dyDescent="0.25">
      <c r="A34" s="20">
        <v>2020</v>
      </c>
      <c r="B34" s="18" t="s">
        <v>151</v>
      </c>
      <c r="C34">
        <f>SUMIFS(banco!E:E,banco!$C:$C,$B34,banco!$A:$A,$A34)</f>
        <v>32</v>
      </c>
      <c r="D34" s="12">
        <f>IFERROR(C34/$AM34,0)</f>
        <v>1.6640665626625067E-2</v>
      </c>
      <c r="E34">
        <f>SUMIFS(banco!G:G,banco!$C:$C,$B34,banco!$A:$A,$A34)</f>
        <v>19</v>
      </c>
      <c r="F34" s="12">
        <f>IFERROR(E34/$AN34,0)</f>
        <v>2.0105820105820106E-2</v>
      </c>
      <c r="G34">
        <f>SUMIFS(banco!I:I,banco!$C:$C,$B34,banco!$A:$A,$A34)</f>
        <v>67</v>
      </c>
      <c r="H34" s="12">
        <f>IFERROR(G34/$AM34,0)</f>
        <v>3.4841393655746226E-2</v>
      </c>
      <c r="I34">
        <f>SUMIFS(banco!K:K,banco!$C:$C,$B34,banco!$A:$A,$A34)</f>
        <v>33</v>
      </c>
      <c r="J34" s="12">
        <f>IFERROR(I34/$AN34,0)</f>
        <v>3.4920634920634921E-2</v>
      </c>
      <c r="K34">
        <f>SUMIFS(banco!M:M,banco!$C:$C,$B34,banco!$A:$A,$A34)</f>
        <v>1824</v>
      </c>
      <c r="L34" s="12">
        <f>IFERROR(K34/$AM34,0)</f>
        <v>0.94851794071762874</v>
      </c>
      <c r="M34">
        <f>SUMIFS(banco!O:O,banco!$C:$C,$B34,banco!$A:$A,$A34)</f>
        <v>893</v>
      </c>
      <c r="N34" s="12">
        <f>IFERROR(M34/$AN34,0)</f>
        <v>0.94497354497354502</v>
      </c>
      <c r="O34">
        <f>SUMIFS(banco!Q:Q,banco!$C:$C,$B34,banco!$A:$A,$A34)</f>
        <v>16</v>
      </c>
      <c r="P34" s="12">
        <f>IFERROR(O34/$AM34,0)</f>
        <v>8.3203328133125334E-3</v>
      </c>
      <c r="Q34">
        <f>SUMIFS(banco!S:S,banco!$C:$C,$B34,banco!$A:$A,$A34)</f>
        <v>7</v>
      </c>
      <c r="R34" s="12">
        <f>IFERROR(Q34/$AN34,0)</f>
        <v>7.4074074074074077E-3</v>
      </c>
      <c r="S34">
        <f>SUMIFS(banco!U:U,banco!$C:$C,$B34,banco!$A:$A,$A34)</f>
        <v>75</v>
      </c>
      <c r="T34" s="12">
        <f>IFERROR(S34/$AM34,0)</f>
        <v>3.9001560062402497E-2</v>
      </c>
      <c r="U34">
        <f>SUMIFS(banco!W:W,banco!$C:$C,$B34,banco!$A:$A,$A34)</f>
        <v>37</v>
      </c>
      <c r="V34" s="12">
        <f>IFERROR(U34/$AN34,0)</f>
        <v>3.9153439153439155E-2</v>
      </c>
      <c r="W34">
        <f>SUMIFS(banco!Y:Y,banco!$C:$C,$B34,banco!$A:$A,$A34)</f>
        <v>1224</v>
      </c>
      <c r="X34" s="12">
        <f>IFERROR(W34/$AM34,0)</f>
        <v>0.6365054602184087</v>
      </c>
      <c r="Y34">
        <f>SUMIFS(banco!AA:AA,banco!$C:$C,$B34,banco!$A:$A,$A34)</f>
        <v>628</v>
      </c>
      <c r="Z34" s="12">
        <f>IFERROR(Y34/$AN34,0)</f>
        <v>0.66455026455026456</v>
      </c>
      <c r="AA34">
        <f>SUMIFS(banco!AC:AC,banco!$C:$C,$B34,banco!$A:$A,$A34)</f>
        <v>382</v>
      </c>
      <c r="AB34" s="12">
        <f>IFERROR(AA34/$AM34,0)</f>
        <v>0.19864794591783672</v>
      </c>
      <c r="AC34">
        <f>SUMIFS(banco!AE:AE,banco!$C:$C,$B34,banco!$A:$A,$A34)</f>
        <v>187</v>
      </c>
      <c r="AD34" s="12">
        <f>IFERROR(AC34/$AN34,0)</f>
        <v>0.19788359788359788</v>
      </c>
      <c r="AE34">
        <f>SUMIFS(banco!AG:AG,banco!$C:$C,$B34,banco!$A:$A,$A34)</f>
        <v>180</v>
      </c>
      <c r="AF34" s="12">
        <f>IFERROR(AE34/$AM34,0)</f>
        <v>9.3603744149765994E-2</v>
      </c>
      <c r="AG34">
        <f>SUMIFS(banco!AI:AI,banco!$C:$C,$B34,banco!$A:$A,$A34)</f>
        <v>67</v>
      </c>
      <c r="AH34" s="12">
        <f>IFERROR(AG34/$AN34,0)</f>
        <v>7.0899470899470893E-2</v>
      </c>
      <c r="AI34">
        <f>SUMIFS(banco!AK:AK,banco!$C:$C,$B34,banco!$A:$A,$A34)</f>
        <v>46</v>
      </c>
      <c r="AJ34" s="12">
        <f>IFERROR(AI34/$AM34,0)</f>
        <v>2.3920956838273531E-2</v>
      </c>
      <c r="AK34">
        <f>SUMIFS(banco!AM:AM,banco!$C:$C,$B34,banco!$A:$A,$A34)</f>
        <v>19</v>
      </c>
      <c r="AL34" s="12">
        <f>IFERROR(AK34/$AN34,0)</f>
        <v>2.0105820105820106E-2</v>
      </c>
      <c r="AM34">
        <f>SUMIFS(banco!AO:AO,banco!$C:$C,$B34,banco!$A:$A,$A34)</f>
        <v>1923</v>
      </c>
      <c r="AN34">
        <f>SUMIFS(banco!AP:AP,banco!$C:$C,$B34,banco!$A:$A,$A34)</f>
        <v>945</v>
      </c>
      <c r="AO34">
        <v>9797</v>
      </c>
    </row>
    <row r="35" spans="1:41" x14ac:dyDescent="0.25">
      <c r="A35" s="20">
        <v>2020</v>
      </c>
      <c r="B35" s="18" t="s">
        <v>145</v>
      </c>
      <c r="C35">
        <f>SUMIFS(banco!E:E,banco!$C:$C,$B35,banco!$A:$A,$A35)</f>
        <v>161</v>
      </c>
      <c r="D35" s="12">
        <f>IFERROR(C35/$AM35,0)</f>
        <v>2.3185483870967742E-2</v>
      </c>
      <c r="E35">
        <f>SUMIFS(banco!G:G,banco!$C:$C,$B35,banco!$A:$A,$A35)</f>
        <v>68</v>
      </c>
      <c r="F35" s="12">
        <f>IFERROR(E35/$AN35,0)</f>
        <v>2.4182076813655761E-2</v>
      </c>
      <c r="G35">
        <f>SUMIFS(banco!I:I,banco!$C:$C,$B35,banco!$A:$A,$A35)</f>
        <v>551</v>
      </c>
      <c r="H35" s="12">
        <f>IFERROR(G35/$AM35,0)</f>
        <v>7.9349078341013832E-2</v>
      </c>
      <c r="I35">
        <f>SUMIFS(banco!K:K,banco!$C:$C,$B35,banco!$A:$A,$A35)</f>
        <v>233</v>
      </c>
      <c r="J35" s="12">
        <f>IFERROR(I35/$AN35,0)</f>
        <v>8.285917496443812E-2</v>
      </c>
      <c r="K35">
        <f>SUMIFS(banco!M:M,banco!$C:$C,$B35,banco!$A:$A,$A35)</f>
        <v>6232</v>
      </c>
      <c r="L35" s="12">
        <f>IFERROR(K35/$AM35,0)</f>
        <v>0.89746543778801846</v>
      </c>
      <c r="M35">
        <f>SUMIFS(banco!O:O,banco!$C:$C,$B35,banco!$A:$A,$A35)</f>
        <v>2511</v>
      </c>
      <c r="N35" s="12">
        <f>IFERROR(M35/$AN35,0)</f>
        <v>0.89295874822190613</v>
      </c>
      <c r="O35">
        <f>SUMIFS(banco!Q:Q,banco!$C:$C,$B35,banco!$A:$A,$A35)</f>
        <v>100</v>
      </c>
      <c r="P35" s="12">
        <f>IFERROR(O35/$AM35,0)</f>
        <v>1.4400921658986175E-2</v>
      </c>
      <c r="Q35">
        <f>SUMIFS(banco!S:S,banco!$C:$C,$B35,banco!$A:$A,$A35)</f>
        <v>49</v>
      </c>
      <c r="R35" s="12">
        <f>IFERROR(Q35/$AN35,0)</f>
        <v>1.7425320056899004E-2</v>
      </c>
      <c r="S35">
        <f>SUMIFS(banco!U:U,banco!$C:$C,$B35,banco!$A:$A,$A35)</f>
        <v>286</v>
      </c>
      <c r="T35" s="12">
        <f>IFERROR(S35/$AM35,0)</f>
        <v>4.1186635944700463E-2</v>
      </c>
      <c r="U35">
        <f>SUMIFS(banco!W:W,banco!$C:$C,$B35,banco!$A:$A,$A35)</f>
        <v>135</v>
      </c>
      <c r="V35" s="12">
        <f>IFERROR(U35/$AN35,0)</f>
        <v>4.8008534850640112E-2</v>
      </c>
      <c r="W35">
        <f>SUMIFS(banco!Y:Y,banco!$C:$C,$B35,banco!$A:$A,$A35)</f>
        <v>4890</v>
      </c>
      <c r="X35" s="12">
        <f>IFERROR(W35/$AM35,0)</f>
        <v>0.70420506912442393</v>
      </c>
      <c r="Y35">
        <f>SUMIFS(banco!AA:AA,banco!$C:$C,$B35,banco!$A:$A,$A35)</f>
        <v>1960</v>
      </c>
      <c r="Z35" s="12">
        <f>IFERROR(Y35/$AN35,0)</f>
        <v>0.69701280227596019</v>
      </c>
      <c r="AA35">
        <f>SUMIFS(banco!AC:AC,banco!$C:$C,$B35,banco!$A:$A,$A35)</f>
        <v>1137</v>
      </c>
      <c r="AB35" s="12">
        <f>IFERROR(AA35/$AM35,0)</f>
        <v>0.16373847926267282</v>
      </c>
      <c r="AC35">
        <f>SUMIFS(banco!AE:AE,banco!$C:$C,$B35,banco!$A:$A,$A35)</f>
        <v>486</v>
      </c>
      <c r="AD35" s="12">
        <f>IFERROR(AC35/$AN35,0)</f>
        <v>0.17283072546230441</v>
      </c>
      <c r="AE35">
        <f>SUMIFS(banco!AG:AG,banco!$C:$C,$B35,banco!$A:$A,$A35)</f>
        <v>458</v>
      </c>
      <c r="AF35" s="12">
        <f>IFERROR(AE35/$AM35,0)</f>
        <v>6.5956221198156681E-2</v>
      </c>
      <c r="AG35">
        <f>SUMIFS(banco!AI:AI,banco!$C:$C,$B35,banco!$A:$A,$A35)</f>
        <v>153</v>
      </c>
      <c r="AH35" s="12">
        <f>IFERROR(AG35/$AN35,0)</f>
        <v>5.440967283072546E-2</v>
      </c>
      <c r="AI35">
        <f>SUMIFS(banco!AK:AK,banco!$C:$C,$B35,banco!$A:$A,$A35)</f>
        <v>73</v>
      </c>
      <c r="AJ35" s="12">
        <f>IFERROR(AI35/$AM35,0)</f>
        <v>1.0512672811059907E-2</v>
      </c>
      <c r="AK35">
        <f>SUMIFS(banco!AM:AM,banco!$C:$C,$B35,banco!$A:$A,$A35)</f>
        <v>29</v>
      </c>
      <c r="AL35" s="12">
        <f>IFERROR(AK35/$AN35,0)</f>
        <v>1.0312944523470839E-2</v>
      </c>
      <c r="AM35">
        <f>SUMIFS(banco!AO:AO,banco!$C:$C,$B35,banco!$A:$A,$A35)</f>
        <v>6944</v>
      </c>
      <c r="AN35">
        <f>SUMIFS(banco!AP:AP,banco!$C:$C,$B35,banco!$A:$A,$A35)</f>
        <v>2812</v>
      </c>
      <c r="AO35">
        <v>17696</v>
      </c>
    </row>
    <row r="36" spans="1:41" x14ac:dyDescent="0.25">
      <c r="A36" s="20">
        <v>2020</v>
      </c>
      <c r="B36" s="18" t="s">
        <v>144</v>
      </c>
      <c r="C36">
        <f>SUMIFS(banco!E:E,banco!$C:$C,$B36,banco!$A:$A,$A36)</f>
        <v>36</v>
      </c>
      <c r="D36" s="12">
        <f>IFERROR(C36/$AM36,0)</f>
        <v>1.4297061159650517E-2</v>
      </c>
      <c r="E36">
        <f>SUMIFS(banco!G:G,banco!$C:$C,$B36,banco!$A:$A,$A36)</f>
        <v>17</v>
      </c>
      <c r="F36" s="12">
        <f>IFERROR(E36/$AN36,0)</f>
        <v>1.1619958988380041E-2</v>
      </c>
      <c r="G36">
        <f>SUMIFS(banco!I:I,banco!$C:$C,$B36,banco!$A:$A,$A36)</f>
        <v>106</v>
      </c>
      <c r="H36" s="12">
        <f>IFERROR(G36/$AM36,0)</f>
        <v>4.2096902303415409E-2</v>
      </c>
      <c r="I36">
        <f>SUMIFS(banco!K:K,banco!$C:$C,$B36,banco!$A:$A,$A36)</f>
        <v>67</v>
      </c>
      <c r="J36" s="12">
        <f>IFERROR(I36/$AN36,0)</f>
        <v>4.5796308954203689E-2</v>
      </c>
      <c r="K36">
        <f>SUMIFS(banco!M:M,banco!$C:$C,$B36,banco!$A:$A,$A36)</f>
        <v>2376</v>
      </c>
      <c r="L36" s="12">
        <f>IFERROR(K36/$AM36,0)</f>
        <v>0.94360603653693409</v>
      </c>
      <c r="M36">
        <f>SUMIFS(banco!O:O,banco!$C:$C,$B36,banco!$A:$A,$A36)</f>
        <v>1379</v>
      </c>
      <c r="N36" s="12">
        <f>IFERROR(M36/$AN36,0)</f>
        <v>0.9425837320574163</v>
      </c>
      <c r="O36">
        <f>SUMIFS(banco!Q:Q,banco!$C:$C,$B36,banco!$A:$A,$A36)</f>
        <v>19</v>
      </c>
      <c r="P36" s="12">
        <f>IFERROR(O36/$AM36,0)</f>
        <v>7.5456711675933284E-3</v>
      </c>
      <c r="Q36">
        <f>SUMIFS(banco!S:S,banco!$C:$C,$B36,banco!$A:$A,$A36)</f>
        <v>14</v>
      </c>
      <c r="R36" s="12">
        <f>IFERROR(Q36/$AN36,0)</f>
        <v>9.5693779904306216E-3</v>
      </c>
      <c r="S36">
        <f>SUMIFS(banco!U:U,banco!$C:$C,$B36,banco!$A:$A,$A36)</f>
        <v>69</v>
      </c>
      <c r="T36" s="12">
        <f>IFERROR(S36/$AM36,0)</f>
        <v>2.7402700555996824E-2</v>
      </c>
      <c r="U36">
        <f>SUMIFS(banco!W:W,banco!$C:$C,$B36,banco!$A:$A,$A36)</f>
        <v>47</v>
      </c>
      <c r="V36" s="12">
        <f>IFERROR(U36/$AN36,0)</f>
        <v>3.2125768967874231E-2</v>
      </c>
      <c r="W36">
        <f>SUMIFS(banco!Y:Y,banco!$C:$C,$B36,banco!$A:$A,$A36)</f>
        <v>1665</v>
      </c>
      <c r="X36" s="12">
        <f>IFERROR(W36/$AM36,0)</f>
        <v>0.66123907863383635</v>
      </c>
      <c r="Y36">
        <f>SUMIFS(banco!AA:AA,banco!$C:$C,$B36,banco!$A:$A,$A36)</f>
        <v>1010</v>
      </c>
      <c r="Z36" s="12">
        <f>IFERROR(Y36/$AN36,0)</f>
        <v>0.69036226930963773</v>
      </c>
      <c r="AA36">
        <f>SUMIFS(banco!AC:AC,banco!$C:$C,$B36,banco!$A:$A,$A36)</f>
        <v>488</v>
      </c>
      <c r="AB36" s="12">
        <f>IFERROR(AA36/$AM36,0)</f>
        <v>0.1938046068308181</v>
      </c>
      <c r="AC36">
        <f>SUMIFS(banco!AE:AE,banco!$C:$C,$B36,banco!$A:$A,$A36)</f>
        <v>273</v>
      </c>
      <c r="AD36" s="12">
        <f>IFERROR(AC36/$AN36,0)</f>
        <v>0.18660287081339713</v>
      </c>
      <c r="AE36">
        <f>SUMIFS(banco!AG:AG,banco!$C:$C,$B36,banco!$A:$A,$A36)</f>
        <v>242</v>
      </c>
      <c r="AF36" s="12">
        <f>IFERROR(AE36/$AM36,0)</f>
        <v>9.6108022239872914E-2</v>
      </c>
      <c r="AG36">
        <f>SUMIFS(banco!AI:AI,banco!$C:$C,$B36,banco!$A:$A,$A36)</f>
        <v>109</v>
      </c>
      <c r="AH36" s="12">
        <f>IFERROR(AG36/$AN36,0)</f>
        <v>7.4504442925495559E-2</v>
      </c>
      <c r="AI36">
        <f>SUMIFS(banco!AK:AK,banco!$C:$C,$B36,banco!$A:$A,$A36)</f>
        <v>35</v>
      </c>
      <c r="AJ36" s="12">
        <f>IFERROR(AI36/$AM36,0)</f>
        <v>1.3899920571882446E-2</v>
      </c>
      <c r="AK36">
        <f>SUMIFS(banco!AM:AM,banco!$C:$C,$B36,banco!$A:$A,$A36)</f>
        <v>10</v>
      </c>
      <c r="AL36" s="12">
        <f>IFERROR(AK36/$AN36,0)</f>
        <v>6.8352699931647299E-3</v>
      </c>
      <c r="AM36">
        <f>SUMIFS(banco!AO:AO,banco!$C:$C,$B36,banco!$A:$A,$A36)</f>
        <v>2518</v>
      </c>
      <c r="AN36">
        <f>SUMIFS(banco!AP:AP,banco!$C:$C,$B36,banco!$A:$A,$A36)</f>
        <v>1463</v>
      </c>
      <c r="AO36">
        <v>10108</v>
      </c>
    </row>
    <row r="37" spans="1:41" x14ac:dyDescent="0.25">
      <c r="A37" s="20">
        <v>2020</v>
      </c>
      <c r="B37" s="18" t="s">
        <v>148</v>
      </c>
      <c r="C37">
        <f>SUMIFS(banco!E:E,banco!$C:$C,$B37,banco!$A:$A,$A37)</f>
        <v>184</v>
      </c>
      <c r="D37" s="12">
        <f>IFERROR(C37/$AM37,0)</f>
        <v>2.7438115120787355E-2</v>
      </c>
      <c r="E37">
        <f>SUMIFS(banco!G:G,banco!$C:$C,$B37,banco!$A:$A,$A37)</f>
        <v>138</v>
      </c>
      <c r="F37" s="12">
        <f>IFERROR(E37/$AN37,0)</f>
        <v>4.0576301087915316E-2</v>
      </c>
      <c r="G37">
        <f>SUMIFS(banco!I:I,banco!$C:$C,$B37,banco!$A:$A,$A37)</f>
        <v>367</v>
      </c>
      <c r="H37" s="12">
        <f>IFERROR(G37/$AM37,0)</f>
        <v>5.4727110050700863E-2</v>
      </c>
      <c r="I37">
        <f>SUMIFS(banco!K:K,banco!$C:$C,$B37,banco!$A:$A,$A37)</f>
        <v>203</v>
      </c>
      <c r="J37" s="12">
        <f>IFERROR(I37/$AN37,0)</f>
        <v>5.9688326962658043E-2</v>
      </c>
      <c r="K37">
        <f>SUMIFS(banco!M:M,banco!$C:$C,$B37,banco!$A:$A,$A37)</f>
        <v>6155</v>
      </c>
      <c r="L37" s="12">
        <f>IFERROR(K37/$AM37,0)</f>
        <v>0.91783477482851183</v>
      </c>
      <c r="M37">
        <f>SUMIFS(banco!O:O,banco!$C:$C,$B37,banco!$A:$A,$A37)</f>
        <v>3060</v>
      </c>
      <c r="N37" s="12">
        <f>IFERROR(M37/$AN37,0)</f>
        <v>0.89973537194942665</v>
      </c>
      <c r="O37">
        <f>SUMIFS(banco!Q:Q,banco!$C:$C,$B37,banco!$A:$A,$A37)</f>
        <v>96</v>
      </c>
      <c r="P37" s="12">
        <f>IFERROR(O37/$AM37,0)</f>
        <v>1.4315538323889055E-2</v>
      </c>
      <c r="Q37">
        <f>SUMIFS(banco!S:S,banco!$C:$C,$B37,banco!$A:$A,$A37)</f>
        <v>49</v>
      </c>
      <c r="R37" s="12">
        <f>IFERROR(Q37/$AN37,0)</f>
        <v>1.4407527197882975E-2</v>
      </c>
      <c r="S37">
        <f>SUMIFS(banco!U:U,banco!$C:$C,$B37,banco!$A:$A,$A37)</f>
        <v>249</v>
      </c>
      <c r="T37" s="12">
        <f>IFERROR(S37/$AM37,0)</f>
        <v>3.7130927527587232E-2</v>
      </c>
      <c r="U37">
        <f>SUMIFS(banco!W:W,banco!$C:$C,$B37,banco!$A:$A,$A37)</f>
        <v>134</v>
      </c>
      <c r="V37" s="12">
        <f>IFERROR(U37/$AN37,0)</f>
        <v>3.9400176418700382E-2</v>
      </c>
      <c r="W37">
        <f>SUMIFS(banco!Y:Y,banco!$C:$C,$B37,banco!$A:$A,$A37)</f>
        <v>4425</v>
      </c>
      <c r="X37" s="12">
        <f>IFERROR(W37/$AM37,0)</f>
        <v>0.65985684461676108</v>
      </c>
      <c r="Y37">
        <f>SUMIFS(banco!AA:AA,banco!$C:$C,$B37,banco!$A:$A,$A37)</f>
        <v>2370</v>
      </c>
      <c r="Z37" s="12">
        <f>IFERROR(Y37/$AN37,0)</f>
        <v>0.69685386650985004</v>
      </c>
      <c r="AA37">
        <f>SUMIFS(banco!AC:AC,banco!$C:$C,$B37,banco!$A:$A,$A37)</f>
        <v>1272</v>
      </c>
      <c r="AB37" s="12">
        <f>IFERROR(AA37/$AM37,0)</f>
        <v>0.18968088279152998</v>
      </c>
      <c r="AC37">
        <f>SUMIFS(banco!AE:AE,banco!$C:$C,$B37,banco!$A:$A,$A37)</f>
        <v>590</v>
      </c>
      <c r="AD37" s="12">
        <f>IFERROR(AC37/$AN37,0)</f>
        <v>0.17347838870920318</v>
      </c>
      <c r="AE37">
        <f>SUMIFS(banco!AG:AG,banco!$C:$C,$B37,banco!$A:$A,$A37)</f>
        <v>535</v>
      </c>
      <c r="AF37" s="12">
        <f>IFERROR(AE37/$AM37,0)</f>
        <v>7.9779302117506709E-2</v>
      </c>
      <c r="AG37">
        <f>SUMIFS(banco!AI:AI,banco!$C:$C,$B37,banco!$A:$A,$A37)</f>
        <v>198</v>
      </c>
      <c r="AH37" s="12">
        <f>IFERROR(AG37/$AN37,0)</f>
        <v>5.8218171126139369E-2</v>
      </c>
      <c r="AI37">
        <f>SUMIFS(banco!AK:AK,banco!$C:$C,$B37,banco!$A:$A,$A37)</f>
        <v>129</v>
      </c>
      <c r="AJ37" s="12">
        <f>IFERROR(AI37/$AM37,0)</f>
        <v>1.9236504622725917E-2</v>
      </c>
      <c r="AK37">
        <f>SUMIFS(banco!AM:AM,banco!$C:$C,$B37,banco!$A:$A,$A37)</f>
        <v>60</v>
      </c>
      <c r="AL37" s="12">
        <f>IFERROR(AK37/$AN37,0)</f>
        <v>1.7641870038224053E-2</v>
      </c>
      <c r="AM37">
        <f>SUMIFS(banco!AO:AO,banco!$C:$C,$B37,banco!$A:$A,$A37)</f>
        <v>6706</v>
      </c>
      <c r="AN37">
        <f>SUMIFS(banco!AP:AP,banco!$C:$C,$B37,banco!$A:$A,$A37)</f>
        <v>3401</v>
      </c>
      <c r="AO37">
        <v>29712</v>
      </c>
    </row>
    <row r="38" spans="1:41" x14ac:dyDescent="0.25">
      <c r="A38" s="20">
        <v>2020</v>
      </c>
      <c r="B38" s="18" t="s">
        <v>150</v>
      </c>
      <c r="C38">
        <f>SUMIFS(banco!E:E,banco!$C:$C,$B38,banco!$A:$A,$A38)</f>
        <v>53</v>
      </c>
      <c r="D38" s="12">
        <f>IFERROR(C38/$AM38,0)</f>
        <v>1.5896820635872826E-2</v>
      </c>
      <c r="E38">
        <f>SUMIFS(banco!G:G,banco!$C:$C,$B38,banco!$A:$A,$A38)</f>
        <v>39</v>
      </c>
      <c r="F38" s="12">
        <f>IFERROR(E38/$AN38,0)</f>
        <v>2.1161150298426478E-2</v>
      </c>
      <c r="G38">
        <f>SUMIFS(banco!I:I,banco!$C:$C,$B38,banco!$A:$A,$A38)</f>
        <v>187</v>
      </c>
      <c r="H38" s="12">
        <f>IFERROR(G38/$AM38,0)</f>
        <v>5.6088782243551287E-2</v>
      </c>
      <c r="I38">
        <f>SUMIFS(banco!K:K,banco!$C:$C,$B38,banco!$A:$A,$A38)</f>
        <v>107</v>
      </c>
      <c r="J38" s="12">
        <f>IFERROR(I38/$AN38,0)</f>
        <v>5.8057514921323931E-2</v>
      </c>
      <c r="K38">
        <f>SUMIFS(banco!M:M,banco!$C:$C,$B38,banco!$A:$A,$A38)</f>
        <v>3094</v>
      </c>
      <c r="L38" s="12">
        <f>IFERROR(K38/$AM38,0)</f>
        <v>0.92801439712057587</v>
      </c>
      <c r="M38">
        <f>SUMIFS(banco!O:O,banco!$C:$C,$B38,banco!$A:$A,$A38)</f>
        <v>1697</v>
      </c>
      <c r="N38" s="12">
        <f>IFERROR(M38/$AN38,0)</f>
        <v>0.92078133478024959</v>
      </c>
      <c r="O38">
        <f>SUMIFS(banco!Q:Q,banco!$C:$C,$B38,banco!$A:$A,$A38)</f>
        <v>31</v>
      </c>
      <c r="P38" s="12">
        <f>IFERROR(O38/$AM38,0)</f>
        <v>9.2981403719256152E-3</v>
      </c>
      <c r="Q38">
        <f>SUMIFS(banco!S:S,banco!$C:$C,$B38,banco!$A:$A,$A38)</f>
        <v>21</v>
      </c>
      <c r="R38" s="12">
        <f>IFERROR(Q38/$AN38,0)</f>
        <v>1.1394465545306565E-2</v>
      </c>
      <c r="S38">
        <f>SUMIFS(banco!U:U,banco!$C:$C,$B38,banco!$A:$A,$A38)</f>
        <v>108</v>
      </c>
      <c r="T38" s="12">
        <f>IFERROR(S38/$AM38,0)</f>
        <v>3.239352129574085E-2</v>
      </c>
      <c r="U38">
        <f>SUMIFS(banco!W:W,banco!$C:$C,$B38,banco!$A:$A,$A38)</f>
        <v>61</v>
      </c>
      <c r="V38" s="12">
        <f>IFERROR(U38/$AN38,0)</f>
        <v>3.3098209441128595E-2</v>
      </c>
      <c r="W38">
        <f>SUMIFS(banco!Y:Y,banco!$C:$C,$B38,banco!$A:$A,$A38)</f>
        <v>2242</v>
      </c>
      <c r="X38" s="12">
        <f>IFERROR(W38/$AM38,0)</f>
        <v>0.67246550689862028</v>
      </c>
      <c r="Y38">
        <f>SUMIFS(banco!AA:AA,banco!$C:$C,$B38,banco!$A:$A,$A38)</f>
        <v>1287</v>
      </c>
      <c r="Z38" s="12">
        <f>IFERROR(Y38/$AN38,0)</f>
        <v>0.69831795984807377</v>
      </c>
      <c r="AA38">
        <f>SUMIFS(banco!AC:AC,banco!$C:$C,$B38,banco!$A:$A,$A38)</f>
        <v>610</v>
      </c>
      <c r="AB38" s="12">
        <f>IFERROR(AA38/$AM38,0)</f>
        <v>0.1829634073185363</v>
      </c>
      <c r="AC38">
        <f>SUMIFS(banco!AE:AE,banco!$C:$C,$B38,banco!$A:$A,$A38)</f>
        <v>305</v>
      </c>
      <c r="AD38" s="12">
        <f>IFERROR(AC38/$AN38,0)</f>
        <v>0.16549104720564298</v>
      </c>
      <c r="AE38">
        <f>SUMIFS(banco!AG:AG,banco!$C:$C,$B38,banco!$A:$A,$A38)</f>
        <v>285</v>
      </c>
      <c r="AF38" s="12">
        <f>IFERROR(AE38/$AM38,0)</f>
        <v>8.5482903419316136E-2</v>
      </c>
      <c r="AG38">
        <f>SUMIFS(banco!AI:AI,banco!$C:$C,$B38,banco!$A:$A,$A38)</f>
        <v>145</v>
      </c>
      <c r="AH38" s="12">
        <f>IFERROR(AG38/$AN38,0)</f>
        <v>7.8676071622354862E-2</v>
      </c>
      <c r="AI38">
        <f>SUMIFS(banco!AK:AK,banco!$C:$C,$B38,banco!$A:$A,$A38)</f>
        <v>58</v>
      </c>
      <c r="AJ38" s="12">
        <f>IFERROR(AI38/$AM38,0)</f>
        <v>1.7396520695860829E-2</v>
      </c>
      <c r="AK38">
        <f>SUMIFS(banco!AM:AM,banco!$C:$C,$B38,banco!$A:$A,$A38)</f>
        <v>24</v>
      </c>
      <c r="AL38" s="12">
        <f>IFERROR(AK38/$AN38,0)</f>
        <v>1.3022246337493217E-2</v>
      </c>
      <c r="AM38">
        <f>SUMIFS(banco!AO:AO,banco!$C:$C,$B38,banco!$A:$A,$A38)</f>
        <v>3334</v>
      </c>
      <c r="AN38">
        <f>SUMIFS(banco!AP:AP,banco!$C:$C,$B38,banco!$A:$A,$A38)</f>
        <v>1843</v>
      </c>
      <c r="AO38">
        <v>12166</v>
      </c>
    </row>
    <row r="39" spans="1:41" x14ac:dyDescent="0.25">
      <c r="A39" s="20">
        <v>2020</v>
      </c>
      <c r="B39" s="18" t="s">
        <v>146</v>
      </c>
      <c r="C39">
        <f>SUMIFS(banco!E:E,banco!$C:$C,$B39,banco!$A:$A,$A39)</f>
        <v>64</v>
      </c>
      <c r="D39" s="12">
        <f>IFERROR(C39/$AM39,0)</f>
        <v>1.7577588574567427E-2</v>
      </c>
      <c r="E39">
        <f>SUMIFS(banco!G:G,banco!$C:$C,$B39,banco!$A:$A,$A39)</f>
        <v>50</v>
      </c>
      <c r="F39" s="12">
        <f>IFERROR(E39/$AN39,0)</f>
        <v>2.589331952356292E-2</v>
      </c>
      <c r="G39">
        <f>SUMIFS(banco!I:I,banco!$C:$C,$B39,banco!$A:$A,$A39)</f>
        <v>206</v>
      </c>
      <c r="H39" s="12">
        <f>IFERROR(G39/$AM39,0)</f>
        <v>5.6577863224388902E-2</v>
      </c>
      <c r="I39">
        <f>SUMIFS(banco!K:K,banco!$C:$C,$B39,banco!$A:$A,$A39)</f>
        <v>129</v>
      </c>
      <c r="J39" s="12">
        <f>IFERROR(I39/$AN39,0)</f>
        <v>6.680476437079233E-2</v>
      </c>
      <c r="K39">
        <f>SUMIFS(banco!M:M,banco!$C:$C,$B39,banco!$A:$A,$A39)</f>
        <v>3371</v>
      </c>
      <c r="L39" s="12">
        <f>IFERROR(K39/$AM39,0)</f>
        <v>0.92584454820104367</v>
      </c>
      <c r="M39">
        <f>SUMIFS(banco!O:O,banco!$C:$C,$B39,banco!$A:$A,$A39)</f>
        <v>1752</v>
      </c>
      <c r="N39" s="12">
        <f>IFERROR(M39/$AN39,0)</f>
        <v>0.9073019161056447</v>
      </c>
      <c r="O39">
        <f>SUMIFS(banco!Q:Q,banco!$C:$C,$B39,banco!$A:$A,$A39)</f>
        <v>42</v>
      </c>
      <c r="P39" s="12">
        <f>IFERROR(O39/$AM39,0)</f>
        <v>1.1535292502059874E-2</v>
      </c>
      <c r="Q39">
        <f>SUMIFS(banco!S:S,banco!$C:$C,$B39,banco!$A:$A,$A39)</f>
        <v>27</v>
      </c>
      <c r="R39" s="12">
        <f>IFERROR(Q39/$AN39,0)</f>
        <v>1.3982392542723977E-2</v>
      </c>
      <c r="S39">
        <f>SUMIFS(banco!U:U,banco!$C:$C,$B39,banco!$A:$A,$A39)</f>
        <v>145</v>
      </c>
      <c r="T39" s="12">
        <f>IFERROR(S39/$AM39,0)</f>
        <v>3.9824224114254327E-2</v>
      </c>
      <c r="U39">
        <f>SUMIFS(banco!W:W,banco!$C:$C,$B39,banco!$A:$A,$A39)</f>
        <v>90</v>
      </c>
      <c r="V39" s="12">
        <f>IFERROR(U39/$AN39,0)</f>
        <v>4.6607975142413258E-2</v>
      </c>
      <c r="W39">
        <f>SUMIFS(banco!Y:Y,banco!$C:$C,$B39,banco!$A:$A,$A39)</f>
        <v>2388</v>
      </c>
      <c r="X39" s="12">
        <f>IFERROR(W39/$AM39,0)</f>
        <v>0.65586377368854709</v>
      </c>
      <c r="Y39">
        <f>SUMIFS(banco!AA:AA,banco!$C:$C,$B39,banco!$A:$A,$A39)</f>
        <v>1311</v>
      </c>
      <c r="Z39" s="12">
        <f>IFERROR(Y39/$AN39,0)</f>
        <v>0.67892283790781982</v>
      </c>
      <c r="AA39">
        <f>SUMIFS(banco!AC:AC,banco!$C:$C,$B39,banco!$A:$A,$A39)</f>
        <v>650</v>
      </c>
      <c r="AB39" s="12">
        <f>IFERROR(AA39/$AM39,0)</f>
        <v>0.17852238396045042</v>
      </c>
      <c r="AC39">
        <f>SUMIFS(banco!AE:AE,banco!$C:$C,$B39,banco!$A:$A,$A39)</f>
        <v>318</v>
      </c>
      <c r="AD39" s="12">
        <f>IFERROR(AC39/$AN39,0)</f>
        <v>0.16468151216986018</v>
      </c>
      <c r="AE39">
        <f>SUMIFS(banco!AG:AG,banco!$C:$C,$B39,banco!$A:$A,$A39)</f>
        <v>341</v>
      </c>
      <c r="AF39" s="12">
        <f>IFERROR(AE39/$AM39,0)</f>
        <v>9.3655589123867067E-2</v>
      </c>
      <c r="AG39">
        <f>SUMIFS(banco!AI:AI,banco!$C:$C,$B39,banco!$A:$A,$A39)</f>
        <v>156</v>
      </c>
      <c r="AH39" s="12">
        <f>IFERROR(AG39/$AN39,0)</f>
        <v>8.0787156913516317E-2</v>
      </c>
      <c r="AI39">
        <f>SUMIFS(banco!AK:AK,banco!$C:$C,$B39,banco!$A:$A,$A39)</f>
        <v>75</v>
      </c>
      <c r="AJ39" s="12">
        <f>IFERROR(AI39/$AM39,0)</f>
        <v>2.0598736610821202E-2</v>
      </c>
      <c r="AK39">
        <f>SUMIFS(banco!AM:AM,banco!$C:$C,$B39,banco!$A:$A,$A39)</f>
        <v>29</v>
      </c>
      <c r="AL39" s="12">
        <f>IFERROR(AK39/$AN39,0)</f>
        <v>1.5018125323666495E-2</v>
      </c>
      <c r="AM39">
        <f>SUMIFS(banco!AO:AO,banco!$C:$C,$B39,banco!$A:$A,$A39)</f>
        <v>3641</v>
      </c>
      <c r="AN39">
        <f>SUMIFS(banco!AP:AP,banco!$C:$C,$B39,banco!$A:$A,$A39)</f>
        <v>1931</v>
      </c>
      <c r="AO39">
        <v>13131</v>
      </c>
    </row>
    <row r="40" spans="1:41" x14ac:dyDescent="0.25">
      <c r="A40" s="20">
        <v>2020</v>
      </c>
      <c r="B40" s="18" t="s">
        <v>149</v>
      </c>
      <c r="C40">
        <f>SUMIFS(banco!E:E,banco!$C:$C,$B40,banco!$A:$A,$A40)</f>
        <v>126</v>
      </c>
      <c r="D40" s="12">
        <f>IFERROR(C40/$AM40,0)</f>
        <v>2.3661971830985916E-2</v>
      </c>
      <c r="E40">
        <f>SUMIFS(banco!G:G,banco!$C:$C,$B40,banco!$A:$A,$A40)</f>
        <v>53</v>
      </c>
      <c r="F40" s="12">
        <f>IFERROR(E40/$AN40,0)</f>
        <v>2.3660714285714285E-2</v>
      </c>
      <c r="G40">
        <f>SUMIFS(banco!I:I,banco!$C:$C,$B40,banco!$A:$A,$A40)</f>
        <v>353</v>
      </c>
      <c r="H40" s="12">
        <f>IFERROR(G40/$AM40,0)</f>
        <v>6.6291079812206569E-2</v>
      </c>
      <c r="I40">
        <f>SUMIFS(banco!K:K,banco!$C:$C,$B40,banco!$A:$A,$A40)</f>
        <v>137</v>
      </c>
      <c r="J40" s="12">
        <f>IFERROR(I40/$AN40,0)</f>
        <v>6.1160714285714284E-2</v>
      </c>
      <c r="K40">
        <f>SUMIFS(banco!M:M,banco!$C:$C,$B40,banco!$A:$A,$A40)</f>
        <v>4846</v>
      </c>
      <c r="L40" s="12">
        <f>IFERROR(K40/$AM40,0)</f>
        <v>0.91004694835680755</v>
      </c>
      <c r="M40">
        <f>SUMIFS(banco!O:O,banco!$C:$C,$B40,banco!$A:$A,$A40)</f>
        <v>2050</v>
      </c>
      <c r="N40" s="12">
        <f>IFERROR(M40/$AN40,0)</f>
        <v>0.9151785714285714</v>
      </c>
      <c r="O40">
        <f>SUMIFS(banco!Q:Q,banco!$C:$C,$B40,banco!$A:$A,$A40)</f>
        <v>52</v>
      </c>
      <c r="P40" s="12">
        <f>IFERROR(O40/$AM40,0)</f>
        <v>9.7652582159624413E-3</v>
      </c>
      <c r="Q40">
        <f>SUMIFS(banco!S:S,banco!$C:$C,$B40,banco!$A:$A,$A40)</f>
        <v>17</v>
      </c>
      <c r="R40" s="12">
        <f>IFERROR(Q40/$AN40,0)</f>
        <v>7.5892857142857142E-3</v>
      </c>
      <c r="S40">
        <f>SUMIFS(banco!U:U,banco!$C:$C,$B40,banco!$A:$A,$A40)</f>
        <v>198</v>
      </c>
      <c r="T40" s="12">
        <f>IFERROR(S40/$AM40,0)</f>
        <v>3.7183098591549293E-2</v>
      </c>
      <c r="U40">
        <f>SUMIFS(banco!W:W,banco!$C:$C,$B40,banco!$A:$A,$A40)</f>
        <v>76</v>
      </c>
      <c r="V40" s="12">
        <f>IFERROR(U40/$AN40,0)</f>
        <v>3.3928571428571426E-2</v>
      </c>
      <c r="W40">
        <f>SUMIFS(banco!Y:Y,banco!$C:$C,$B40,banco!$A:$A,$A40)</f>
        <v>3605</v>
      </c>
      <c r="X40" s="12">
        <f>IFERROR(W40/$AM40,0)</f>
        <v>0.67699530516431927</v>
      </c>
      <c r="Y40">
        <f>SUMIFS(banco!AA:AA,banco!$C:$C,$B40,banco!$A:$A,$A40)</f>
        <v>1622</v>
      </c>
      <c r="Z40" s="12">
        <f>IFERROR(Y40/$AN40,0)</f>
        <v>0.72410714285714284</v>
      </c>
      <c r="AA40">
        <f>SUMIFS(banco!AC:AC,banco!$C:$C,$B40,banco!$A:$A,$A40)</f>
        <v>941</v>
      </c>
      <c r="AB40" s="12">
        <f>IFERROR(AA40/$AM40,0)</f>
        <v>0.17671361502347419</v>
      </c>
      <c r="AC40">
        <f>SUMIFS(banco!AE:AE,banco!$C:$C,$B40,banco!$A:$A,$A40)</f>
        <v>352</v>
      </c>
      <c r="AD40" s="12">
        <f>IFERROR(AC40/$AN40,0)</f>
        <v>0.15714285714285714</v>
      </c>
      <c r="AE40">
        <f>SUMIFS(banco!AG:AG,banco!$C:$C,$B40,banco!$A:$A,$A40)</f>
        <v>432</v>
      </c>
      <c r="AF40" s="12">
        <f>IFERROR(AE40/$AM40,0)</f>
        <v>8.1126760563380279E-2</v>
      </c>
      <c r="AG40">
        <f>SUMIFS(banco!AI:AI,banco!$C:$C,$B40,banco!$A:$A,$A40)</f>
        <v>147</v>
      </c>
      <c r="AH40" s="12">
        <f>IFERROR(AG40/$AN40,0)</f>
        <v>6.5625000000000003E-2</v>
      </c>
      <c r="AI40">
        <f>SUMIFS(banco!AK:AK,banco!$C:$C,$B40,banco!$A:$A,$A40)</f>
        <v>97</v>
      </c>
      <c r="AJ40" s="12">
        <f>IFERROR(AI40/$AM40,0)</f>
        <v>1.8215962441314553E-2</v>
      </c>
      <c r="AK40">
        <f>SUMIFS(banco!AM:AM,banco!$C:$C,$B40,banco!$A:$A,$A40)</f>
        <v>26</v>
      </c>
      <c r="AL40" s="12">
        <f>IFERROR(AK40/$AN40,0)</f>
        <v>1.1607142857142858E-2</v>
      </c>
      <c r="AM40">
        <f>SUMIFS(banco!AO:AO,banco!$C:$C,$B40,banco!$A:$A,$A40)</f>
        <v>5325</v>
      </c>
      <c r="AN40">
        <f>SUMIFS(banco!AP:AP,banco!$C:$C,$B40,banco!$A:$A,$A40)</f>
        <v>2240</v>
      </c>
      <c r="AO40">
        <v>23268</v>
      </c>
    </row>
    <row r="41" spans="1:41" x14ac:dyDescent="0.25">
      <c r="A41" s="20">
        <v>2020</v>
      </c>
      <c r="B41" s="18" t="s">
        <v>147</v>
      </c>
      <c r="C41">
        <f>SUMIFS(banco!E:E,banco!$C:$C,$B41,banco!$A:$A,$A41)</f>
        <v>48</v>
      </c>
      <c r="D41" s="12">
        <f>IFERROR(C41/$AM41,0)</f>
        <v>1.9184652278177457E-2</v>
      </c>
      <c r="E41">
        <f>SUMIFS(banco!G:G,banco!$C:$C,$B41,banco!$A:$A,$A41)</f>
        <v>31</v>
      </c>
      <c r="F41" s="12">
        <f>IFERROR(E41/$AN41,0)</f>
        <v>2.2447501810282405E-2</v>
      </c>
      <c r="G41">
        <f>SUMIFS(banco!I:I,banco!$C:$C,$B41,banco!$A:$A,$A41)</f>
        <v>122</v>
      </c>
      <c r="H41" s="12">
        <f>IFERROR(G41/$AM41,0)</f>
        <v>4.8760991207034372E-2</v>
      </c>
      <c r="I41">
        <f>SUMIFS(banco!K:K,banco!$C:$C,$B41,banco!$A:$A,$A41)</f>
        <v>65</v>
      </c>
      <c r="J41" s="12">
        <f>IFERROR(I41/$AN41,0)</f>
        <v>4.7067342505430848E-2</v>
      </c>
      <c r="K41">
        <f>SUMIFS(banco!M:M,banco!$C:$C,$B41,banco!$A:$A,$A41)</f>
        <v>2332</v>
      </c>
      <c r="L41" s="12">
        <f>IFERROR(K41/$AM41,0)</f>
        <v>0.93205435651478818</v>
      </c>
      <c r="M41">
        <f>SUMIFS(banco!O:O,banco!$C:$C,$B41,banco!$A:$A,$A41)</f>
        <v>1285</v>
      </c>
      <c r="N41" s="12">
        <f>IFERROR(M41/$AN41,0)</f>
        <v>0.9304851556842868</v>
      </c>
      <c r="O41">
        <f>SUMIFS(banco!Q:Q,banco!$C:$C,$B41,banco!$A:$A,$A41)</f>
        <v>21</v>
      </c>
      <c r="P41" s="12">
        <f>IFERROR(O41/$AM41,0)</f>
        <v>8.3932853717026377E-3</v>
      </c>
      <c r="Q41">
        <f>SUMIFS(banco!S:S,banco!$C:$C,$B41,banco!$A:$A,$A41)</f>
        <v>13</v>
      </c>
      <c r="R41" s="12">
        <f>IFERROR(Q41/$AN41,0)</f>
        <v>9.4134685010861703E-3</v>
      </c>
      <c r="S41">
        <f>SUMIFS(banco!U:U,banco!$C:$C,$B41,banco!$A:$A,$A41)</f>
        <v>77</v>
      </c>
      <c r="T41" s="12">
        <f>IFERROR(S41/$AM41,0)</f>
        <v>3.0775379696243006E-2</v>
      </c>
      <c r="U41">
        <f>SUMIFS(banco!W:W,banco!$C:$C,$B41,banco!$A:$A,$A41)</f>
        <v>43</v>
      </c>
      <c r="V41" s="12">
        <f>IFERROR(U41/$AN41,0)</f>
        <v>3.1136857349746562E-2</v>
      </c>
      <c r="W41">
        <f>SUMIFS(banco!Y:Y,banco!$C:$C,$B41,banco!$A:$A,$A41)</f>
        <v>1728</v>
      </c>
      <c r="X41" s="12">
        <f>IFERROR(W41/$AM41,0)</f>
        <v>0.69064748201438853</v>
      </c>
      <c r="Y41">
        <f>SUMIFS(banco!AA:AA,banco!$C:$C,$B41,banco!$A:$A,$A41)</f>
        <v>992</v>
      </c>
      <c r="Z41" s="12">
        <f>IFERROR(Y41/$AN41,0)</f>
        <v>0.71832005792903697</v>
      </c>
      <c r="AA41">
        <f>SUMIFS(banco!AC:AC,banco!$C:$C,$B41,banco!$A:$A,$A41)</f>
        <v>448</v>
      </c>
      <c r="AB41" s="12">
        <f>IFERROR(AA41/$AM41,0)</f>
        <v>0.17905675459632295</v>
      </c>
      <c r="AC41">
        <f>SUMIFS(banco!AE:AE,banco!$C:$C,$B41,banco!$A:$A,$A41)</f>
        <v>212</v>
      </c>
      <c r="AD41" s="12">
        <f>IFERROR(AC41/$AN41,0)</f>
        <v>0.15351194786386677</v>
      </c>
      <c r="AE41">
        <f>SUMIFS(banco!AG:AG,banco!$C:$C,$B41,banco!$A:$A,$A41)</f>
        <v>189</v>
      </c>
      <c r="AF41" s="12">
        <f>IFERROR(AE41/$AM41,0)</f>
        <v>7.5539568345323743E-2</v>
      </c>
      <c r="AG41">
        <f>SUMIFS(banco!AI:AI,banco!$C:$C,$B41,banco!$A:$A,$A41)</f>
        <v>104</v>
      </c>
      <c r="AH41" s="12">
        <f>IFERROR(AG41/$AN41,0)</f>
        <v>7.5307748008689362E-2</v>
      </c>
      <c r="AI41">
        <f>SUMIFS(banco!AK:AK,banco!$C:$C,$B41,banco!$A:$A,$A41)</f>
        <v>39</v>
      </c>
      <c r="AJ41" s="12">
        <f>IFERROR(AI41/$AM41,0)</f>
        <v>1.5587529976019185E-2</v>
      </c>
      <c r="AK41">
        <f>SUMIFS(banco!AM:AM,banco!$C:$C,$B41,banco!$A:$A,$A41)</f>
        <v>17</v>
      </c>
      <c r="AL41" s="12">
        <f>IFERROR(AK41/$AN41,0)</f>
        <v>1.2309920347574221E-2</v>
      </c>
      <c r="AM41">
        <f>SUMIFS(banco!AO:AO,banco!$C:$C,$B41,banco!$A:$A,$A41)</f>
        <v>2502</v>
      </c>
      <c r="AN41">
        <f>SUMIFS(banco!AP:AP,banco!$C:$C,$B41,banco!$A:$A,$A41)</f>
        <v>1381</v>
      </c>
      <c r="AO41">
        <v>7239</v>
      </c>
    </row>
    <row r="42" spans="1:41" x14ac:dyDescent="0.25">
      <c r="A42" s="20">
        <v>2019</v>
      </c>
      <c r="B42" s="18" t="s">
        <v>151</v>
      </c>
      <c r="C42">
        <f>SUMIFS(banco!E:E,banco!$C:$C,$B42,banco!$A:$A,$A42)</f>
        <v>104</v>
      </c>
      <c r="D42" s="12">
        <f>IFERROR(C42/$AM42,0)</f>
        <v>1.6809439146597705E-2</v>
      </c>
      <c r="E42">
        <f>SUMIFS(banco!G:G,banco!$C:$C,$B42,banco!$A:$A,$A42)</f>
        <v>72</v>
      </c>
      <c r="F42" s="12">
        <f>IFERROR(E42/$AN42,0)</f>
        <v>1.8838304552590265E-2</v>
      </c>
      <c r="G42">
        <f>SUMIFS(banco!I:I,banco!$C:$C,$B42,banco!$A:$A,$A42)</f>
        <v>219</v>
      </c>
      <c r="H42" s="12">
        <f>IFERROR(G42/$AM42,0)</f>
        <v>3.5396799741393245E-2</v>
      </c>
      <c r="I42">
        <f>SUMIFS(banco!K:K,banco!$C:$C,$B42,banco!$A:$A,$A42)</f>
        <v>144</v>
      </c>
      <c r="J42" s="12">
        <f>IFERROR(I42/$AN42,0)</f>
        <v>3.7676609105180531E-2</v>
      </c>
      <c r="K42">
        <f>SUMIFS(banco!M:M,banco!$C:$C,$B42,banco!$A:$A,$A42)</f>
        <v>5864</v>
      </c>
      <c r="L42" s="12">
        <f>IFERROR(K42/$AM42,0)</f>
        <v>0.94779376111200908</v>
      </c>
      <c r="M42">
        <f>SUMIFS(banco!O:O,banco!$C:$C,$B42,banco!$A:$A,$A42)</f>
        <v>3606</v>
      </c>
      <c r="N42" s="12">
        <f>IFERROR(M42/$AN42,0)</f>
        <v>0.94348508634222916</v>
      </c>
      <c r="O42">
        <f>SUMIFS(banco!Q:Q,banco!$C:$C,$B42,banco!$A:$A,$A42)</f>
        <v>79</v>
      </c>
      <c r="P42" s="12">
        <f>IFERROR(O42/$AM42,0)</f>
        <v>1.2768708582511718E-2</v>
      </c>
      <c r="Q42">
        <f>SUMIFS(banco!S:S,banco!$C:$C,$B42,banco!$A:$A,$A42)</f>
        <v>51</v>
      </c>
      <c r="R42" s="12">
        <f>IFERROR(Q42/$AN42,0)</f>
        <v>1.3343799058084773E-2</v>
      </c>
      <c r="S42">
        <f>SUMIFS(banco!U:U,banco!$C:$C,$B42,banco!$A:$A,$A42)</f>
        <v>254</v>
      </c>
      <c r="T42" s="12">
        <f>IFERROR(S42/$AM42,0)</f>
        <v>4.1053822531113622E-2</v>
      </c>
      <c r="U42">
        <f>SUMIFS(banco!W:W,banco!$C:$C,$B42,banco!$A:$A,$A42)</f>
        <v>148</v>
      </c>
      <c r="V42" s="12">
        <f>IFERROR(U42/$AN42,0)</f>
        <v>3.8723181580324437E-2</v>
      </c>
      <c r="W42">
        <f>SUMIFS(banco!Y:Y,banco!$C:$C,$B42,banco!$A:$A,$A42)</f>
        <v>4339</v>
      </c>
      <c r="X42" s="12">
        <f>IFERROR(W42/$AM42,0)</f>
        <v>0.70130919670276382</v>
      </c>
      <c r="Y42">
        <f>SUMIFS(banco!AA:AA,banco!$C:$C,$B42,banco!$A:$A,$A42)</f>
        <v>2701</v>
      </c>
      <c r="Z42" s="12">
        <f>IFERROR(Y42/$AN42,0)</f>
        <v>0.70669806384092093</v>
      </c>
      <c r="AA42">
        <f>SUMIFS(banco!AC:AC,banco!$C:$C,$B42,banco!$A:$A,$A42)</f>
        <v>966</v>
      </c>
      <c r="AB42" s="12">
        <f>IFERROR(AA42/$AM42,0)</f>
        <v>0.15613382899628253</v>
      </c>
      <c r="AC42">
        <f>SUMIFS(banco!AE:AE,banco!$C:$C,$B42,banco!$A:$A,$A42)</f>
        <v>606</v>
      </c>
      <c r="AD42" s="12">
        <f>IFERROR(AC42/$AN42,0)</f>
        <v>0.15855572998430142</v>
      </c>
      <c r="AE42">
        <f>SUMIFS(banco!AG:AG,banco!$C:$C,$B42,banco!$A:$A,$A42)</f>
        <v>452</v>
      </c>
      <c r="AF42" s="12">
        <f>IFERROR(AE42/$AM42,0)</f>
        <v>7.3056408598674641E-2</v>
      </c>
      <c r="AG42">
        <f>SUMIFS(banco!AI:AI,banco!$C:$C,$B42,banco!$A:$A,$A42)</f>
        <v>258</v>
      </c>
      <c r="AH42" s="12">
        <f>IFERROR(AG42/$AN42,0)</f>
        <v>6.7503924646781788E-2</v>
      </c>
      <c r="AI42">
        <f>SUMIFS(banco!AK:AK,banco!$C:$C,$B42,banco!$A:$A,$A42)</f>
        <v>97</v>
      </c>
      <c r="AJ42" s="12">
        <f>IFERROR(AI42/$AM42,0)</f>
        <v>1.567803458865363E-2</v>
      </c>
      <c r="AK42">
        <f>SUMIFS(banco!AM:AM,banco!$C:$C,$B42,banco!$A:$A,$A42)</f>
        <v>58</v>
      </c>
      <c r="AL42" s="12">
        <f>IFERROR(AK42/$AN42,0)</f>
        <v>1.5175300889586603E-2</v>
      </c>
      <c r="AM42">
        <f>SUMIFS(banco!AO:AO,banco!$C:$C,$B42,banco!$A:$A,$A42)</f>
        <v>6187</v>
      </c>
      <c r="AN42">
        <f>SUMIFS(banco!AP:AP,banco!$C:$C,$B42,banco!$A:$A,$A42)</f>
        <v>3822</v>
      </c>
      <c r="AO42">
        <v>9714</v>
      </c>
    </row>
    <row r="43" spans="1:41" x14ac:dyDescent="0.25">
      <c r="A43" s="20">
        <v>2019</v>
      </c>
      <c r="B43" s="18" t="s">
        <v>145</v>
      </c>
      <c r="C43">
        <f>SUMIFS(banco!E:E,banco!$C:$C,$B43,banco!$A:$A,$A43)</f>
        <v>362</v>
      </c>
      <c r="D43" s="12">
        <f>IFERROR(C43/$AM43,0)</f>
        <v>2.2305748967896975E-2</v>
      </c>
      <c r="E43">
        <f>SUMIFS(banco!G:G,banco!$C:$C,$B43,banco!$A:$A,$A43)</f>
        <v>229</v>
      </c>
      <c r="F43" s="12">
        <f>IFERROR(E43/$AN43,0)</f>
        <v>2.5681282942693732E-2</v>
      </c>
      <c r="G43">
        <f>SUMIFS(banco!I:I,banco!$C:$C,$B43,banco!$A:$A,$A43)</f>
        <v>1297</v>
      </c>
      <c r="H43" s="12">
        <f>IFERROR(G43/$AM43,0)</f>
        <v>7.9918664119785571E-2</v>
      </c>
      <c r="I43">
        <f>SUMIFS(banco!K:K,banco!$C:$C,$B43,banco!$A:$A,$A43)</f>
        <v>709</v>
      </c>
      <c r="J43" s="12">
        <f>IFERROR(I43/$AN43,0)</f>
        <v>7.9511046316025569E-2</v>
      </c>
      <c r="K43">
        <f>SUMIFS(banco!M:M,banco!$C:$C,$B43,banco!$A:$A,$A43)</f>
        <v>14570</v>
      </c>
      <c r="L43" s="12">
        <f>IFERROR(K43/$AM43,0)</f>
        <v>0.8977755869123174</v>
      </c>
      <c r="M43">
        <f>SUMIFS(banco!O:O,banco!$C:$C,$B43,banco!$A:$A,$A43)</f>
        <v>7979</v>
      </c>
      <c r="N43" s="12">
        <f>IFERROR(M43/$AN43,0)</f>
        <v>0.89480767074128065</v>
      </c>
      <c r="O43">
        <f>SUMIFS(banco!Q:Q,banco!$C:$C,$B43,banco!$A:$A,$A43)</f>
        <v>199</v>
      </c>
      <c r="P43" s="12">
        <f>IFERROR(O43/$AM43,0)</f>
        <v>1.2262000123236182E-2</v>
      </c>
      <c r="Q43">
        <f>SUMIFS(banco!S:S,banco!$C:$C,$B43,banco!$A:$A,$A43)</f>
        <v>118</v>
      </c>
      <c r="R43" s="12">
        <f>IFERROR(Q43/$AN43,0)</f>
        <v>1.3233150162610743E-2</v>
      </c>
      <c r="S43">
        <f>SUMIFS(banco!U:U,banco!$C:$C,$B43,banco!$A:$A,$A43)</f>
        <v>726</v>
      </c>
      <c r="T43" s="12">
        <f>IFERROR(S43/$AM43,0)</f>
        <v>4.4734734117937026E-2</v>
      </c>
      <c r="U43">
        <f>SUMIFS(banco!W:W,banco!$C:$C,$B43,banco!$A:$A,$A43)</f>
        <v>375</v>
      </c>
      <c r="V43" s="12">
        <f>IFERROR(U43/$AN43,0)</f>
        <v>4.2054502635415499E-2</v>
      </c>
      <c r="W43">
        <f>SUMIFS(banco!Y:Y,banco!$C:$C,$B43,banco!$A:$A,$A43)</f>
        <v>12002</v>
      </c>
      <c r="X43" s="12">
        <f>IFERROR(W43/$AM43,0)</f>
        <v>0.73954032904060629</v>
      </c>
      <c r="Y43">
        <f>SUMIFS(banco!AA:AA,banco!$C:$C,$B43,banco!$A:$A,$A43)</f>
        <v>6604</v>
      </c>
      <c r="Z43" s="12">
        <f>IFERROR(Y43/$AN43,0)</f>
        <v>0.7406078277447572</v>
      </c>
      <c r="AA43">
        <f>SUMIFS(banco!AC:AC,banco!$C:$C,$B43,banco!$A:$A,$A43)</f>
        <v>2346</v>
      </c>
      <c r="AB43" s="12">
        <f>IFERROR(AA43/$AM43,0)</f>
        <v>0.14455604165382957</v>
      </c>
      <c r="AC43">
        <f>SUMIFS(banco!AE:AE,banco!$C:$C,$B43,banco!$A:$A,$A43)</f>
        <v>1327</v>
      </c>
      <c r="AD43" s="12">
        <f>IFERROR(AC43/$AN43,0)</f>
        <v>0.14881686665919031</v>
      </c>
      <c r="AE43">
        <f>SUMIFS(banco!AG:AG,banco!$C:$C,$B43,banco!$A:$A,$A43)</f>
        <v>816</v>
      </c>
      <c r="AF43" s="12">
        <f>IFERROR(AE43/$AM43,0)</f>
        <v>5.02803623143755E-2</v>
      </c>
      <c r="AG43">
        <f>SUMIFS(banco!AI:AI,banco!$C:$C,$B43,banco!$A:$A,$A43)</f>
        <v>405</v>
      </c>
      <c r="AH43" s="12">
        <f>IFERROR(AG43/$AN43,0)</f>
        <v>4.5418862846248735E-2</v>
      </c>
      <c r="AI43">
        <f>SUMIFS(banco!AK:AK,banco!$C:$C,$B43,banco!$A:$A,$A43)</f>
        <v>140</v>
      </c>
      <c r="AJ43" s="12">
        <f>IFERROR(AI43/$AM43,0)</f>
        <v>8.6265327500154049E-3</v>
      </c>
      <c r="AK43">
        <f>SUMIFS(banco!AM:AM,banco!$C:$C,$B43,banco!$A:$A,$A43)</f>
        <v>88</v>
      </c>
      <c r="AL43" s="12">
        <f>IFERROR(AK43/$AN43,0)</f>
        <v>9.8687899517775034E-3</v>
      </c>
      <c r="AM43">
        <f>SUMIFS(banco!AO:AO,banco!$C:$C,$B43,banco!$A:$A,$A43)</f>
        <v>16229</v>
      </c>
      <c r="AN43">
        <f>SUMIFS(banco!AP:AP,banco!$C:$C,$B43,banco!$A:$A,$A43)</f>
        <v>8917</v>
      </c>
      <c r="AO43">
        <v>17804</v>
      </c>
    </row>
    <row r="44" spans="1:41" x14ac:dyDescent="0.25">
      <c r="A44" s="20">
        <v>2019</v>
      </c>
      <c r="B44" s="18" t="s">
        <v>144</v>
      </c>
      <c r="C44">
        <f>SUMIFS(banco!E:E,banco!$C:$C,$B44,banco!$A:$A,$A44)</f>
        <v>89</v>
      </c>
      <c r="D44" s="12">
        <f>IFERROR(C44/$AM44,0)</f>
        <v>1.6613776367369798E-2</v>
      </c>
      <c r="E44">
        <f>SUMIFS(banco!G:G,banco!$C:$C,$B44,banco!$A:$A,$A44)</f>
        <v>62</v>
      </c>
      <c r="F44" s="12">
        <f>IFERROR(E44/$AN44,0)</f>
        <v>2.3142963792459875E-2</v>
      </c>
      <c r="G44">
        <f>SUMIFS(banco!I:I,banco!$C:$C,$B44,banco!$A:$A,$A44)</f>
        <v>241</v>
      </c>
      <c r="H44" s="12">
        <f>IFERROR(G44/$AM44,0)</f>
        <v>4.4987866343102485E-2</v>
      </c>
      <c r="I44">
        <f>SUMIFS(banco!K:K,banco!$C:$C,$B44,banco!$A:$A,$A44)</f>
        <v>129</v>
      </c>
      <c r="J44" s="12">
        <f>IFERROR(I44/$AN44,0)</f>
        <v>4.8152295632698766E-2</v>
      </c>
      <c r="K44">
        <f>SUMIFS(banco!M:M,banco!$C:$C,$B44,banco!$A:$A,$A44)</f>
        <v>5027</v>
      </c>
      <c r="L44" s="12">
        <f>IFERROR(K44/$AM44,0)</f>
        <v>0.9383983572895277</v>
      </c>
      <c r="M44">
        <f>SUMIFS(banco!O:O,banco!$C:$C,$B44,banco!$A:$A,$A44)</f>
        <v>2488</v>
      </c>
      <c r="N44" s="12">
        <f>IFERROR(M44/$AN44,0)</f>
        <v>0.92870474057484131</v>
      </c>
      <c r="O44">
        <f>SUMIFS(banco!Q:Q,banco!$C:$C,$B44,banco!$A:$A,$A44)</f>
        <v>59</v>
      </c>
      <c r="P44" s="12">
        <f>IFERROR(O44/$AM44,0)</f>
        <v>1.1013627030054134E-2</v>
      </c>
      <c r="Q44">
        <f>SUMIFS(banco!S:S,banco!$C:$C,$B44,banco!$A:$A,$A44)</f>
        <v>32</v>
      </c>
      <c r="R44" s="12">
        <f>IFERROR(Q44/$AN44,0)</f>
        <v>1.1944755505785741E-2</v>
      </c>
      <c r="S44">
        <f>SUMIFS(banco!U:U,banco!$C:$C,$B44,banco!$A:$A,$A44)</f>
        <v>183</v>
      </c>
      <c r="T44" s="12">
        <f>IFERROR(S44/$AM44,0)</f>
        <v>3.4160910957625537E-2</v>
      </c>
      <c r="U44">
        <f>SUMIFS(banco!W:W,banco!$C:$C,$B44,banco!$A:$A,$A44)</f>
        <v>78</v>
      </c>
      <c r="V44" s="12">
        <f>IFERROR(U44/$AN44,0)</f>
        <v>2.9115341545352745E-2</v>
      </c>
      <c r="W44">
        <f>SUMIFS(banco!Y:Y,banco!$C:$C,$B44,banco!$A:$A,$A44)</f>
        <v>3671</v>
      </c>
      <c r="X44" s="12">
        <f>IFERROR(W44/$AM44,0)</f>
        <v>0.68527160724285985</v>
      </c>
      <c r="Y44">
        <f>SUMIFS(banco!AA:AA,banco!$C:$C,$B44,banco!$A:$A,$A44)</f>
        <v>1862</v>
      </c>
      <c r="Z44" s="12">
        <f>IFERROR(Y44/$AN44,0)</f>
        <v>0.69503546099290781</v>
      </c>
      <c r="AA44">
        <f>SUMIFS(banco!AC:AC,banco!$C:$C,$B44,banco!$A:$A,$A44)</f>
        <v>955</v>
      </c>
      <c r="AB44" s="12">
        <f>IFERROR(AA44/$AM44,0)</f>
        <v>0.17827142057121523</v>
      </c>
      <c r="AC44">
        <f>SUMIFS(banco!AE:AE,banco!$C:$C,$B44,banco!$A:$A,$A44)</f>
        <v>487</v>
      </c>
      <c r="AD44" s="12">
        <f>IFERROR(AC44/$AN44,0)</f>
        <v>0.18178424785367675</v>
      </c>
      <c r="AE44">
        <f>SUMIFS(banco!AG:AG,banco!$C:$C,$B44,banco!$A:$A,$A44)</f>
        <v>429</v>
      </c>
      <c r="AF44" s="12">
        <f>IFERROR(AE44/$AM44,0)</f>
        <v>8.0082135523613956E-2</v>
      </c>
      <c r="AG44">
        <f>SUMIFS(banco!AI:AI,banco!$C:$C,$B44,banco!$A:$A,$A44)</f>
        <v>186</v>
      </c>
      <c r="AH44" s="12">
        <f>IFERROR(AG44/$AN44,0)</f>
        <v>6.942889137737962E-2</v>
      </c>
      <c r="AI44">
        <f>SUMIFS(banco!AK:AK,banco!$C:$C,$B44,banco!$A:$A,$A44)</f>
        <v>60</v>
      </c>
      <c r="AJ44" s="12">
        <f>IFERROR(AI44/$AM44,0)</f>
        <v>1.1200298674631324E-2</v>
      </c>
      <c r="AK44">
        <f>SUMIFS(banco!AM:AM,banco!$C:$C,$B44,banco!$A:$A,$A44)</f>
        <v>34</v>
      </c>
      <c r="AL44" s="12">
        <f>IFERROR(AK44/$AN44,0)</f>
        <v>1.269130272489735E-2</v>
      </c>
      <c r="AM44">
        <f>SUMIFS(banco!AO:AO,banco!$C:$C,$B44,banco!$A:$A,$A44)</f>
        <v>5357</v>
      </c>
      <c r="AN44">
        <f>SUMIFS(banco!AP:AP,banco!$C:$C,$B44,banco!$A:$A,$A44)</f>
        <v>2679</v>
      </c>
      <c r="AO44">
        <v>9990</v>
      </c>
    </row>
    <row r="45" spans="1:41" x14ac:dyDescent="0.25">
      <c r="A45" s="20">
        <v>2019</v>
      </c>
      <c r="B45" s="18" t="s">
        <v>148</v>
      </c>
      <c r="C45">
        <f>SUMIFS(banco!E:E,banco!$C:$C,$B45,banco!$A:$A,$A45)</f>
        <v>357</v>
      </c>
      <c r="D45" s="12">
        <f>IFERROR(C45/$AM45,0)</f>
        <v>2.3897181872949997E-2</v>
      </c>
      <c r="E45">
        <f>SUMIFS(banco!G:G,banco!$C:$C,$B45,banco!$A:$A,$A45)</f>
        <v>229</v>
      </c>
      <c r="F45" s="12">
        <f>IFERROR(E45/$AN45,0)</f>
        <v>3.859767402663071E-2</v>
      </c>
      <c r="G45">
        <f>SUMIFS(banco!I:I,banco!$C:$C,$B45,banco!$A:$A,$A45)</f>
        <v>742</v>
      </c>
      <c r="H45" s="12">
        <f>IFERROR(G45/$AM45,0)</f>
        <v>4.9668652520249011E-2</v>
      </c>
      <c r="I45">
        <f>SUMIFS(banco!K:K,banco!$C:$C,$B45,banco!$A:$A,$A45)</f>
        <v>326</v>
      </c>
      <c r="J45" s="12">
        <f>IFERROR(I45/$AN45,0)</f>
        <v>5.4946907129614024E-2</v>
      </c>
      <c r="K45">
        <f>SUMIFS(banco!M:M,banco!$C:$C,$B45,banco!$A:$A,$A45)</f>
        <v>13840</v>
      </c>
      <c r="L45" s="12">
        <f>IFERROR(K45/$AM45,0)</f>
        <v>0.92643416560680103</v>
      </c>
      <c r="M45">
        <f>SUMIFS(banco!O:O,banco!$C:$C,$B45,banco!$A:$A,$A45)</f>
        <v>5378</v>
      </c>
      <c r="N45" s="12">
        <f>IFERROR(M45/$AN45,0)</f>
        <v>0.90645541884375525</v>
      </c>
      <c r="O45">
        <f>SUMIFS(banco!Q:Q,banco!$C:$C,$B45,banco!$A:$A,$A45)</f>
        <v>221</v>
      </c>
      <c r="P45" s="12">
        <f>IFERROR(O45/$AM45,0)</f>
        <v>1.4793493540397617E-2</v>
      </c>
      <c r="Q45">
        <f>SUMIFS(banco!S:S,banco!$C:$C,$B45,banco!$A:$A,$A45)</f>
        <v>125</v>
      </c>
      <c r="R45" s="12">
        <f>IFERROR(Q45/$AN45,0)</f>
        <v>2.1068599359514578E-2</v>
      </c>
      <c r="S45">
        <f>SUMIFS(banco!U:U,banco!$C:$C,$B45,banco!$A:$A,$A45)</f>
        <v>613</v>
      </c>
      <c r="T45" s="12">
        <f>IFERROR(S45/$AM45,0)</f>
        <v>4.1033536381283889E-2</v>
      </c>
      <c r="U45">
        <f>SUMIFS(banco!W:W,banco!$C:$C,$B45,banco!$A:$A,$A45)</f>
        <v>249</v>
      </c>
      <c r="V45" s="12">
        <f>IFERROR(U45/$AN45,0)</f>
        <v>4.1968649924153043E-2</v>
      </c>
      <c r="W45">
        <f>SUMIFS(banco!Y:Y,banco!$C:$C,$B45,banco!$A:$A,$A45)</f>
        <v>10556</v>
      </c>
      <c r="X45" s="12">
        <f>IFERROR(W45/$AM45,0)</f>
        <v>0.70660686792958027</v>
      </c>
      <c r="Y45">
        <f>SUMIFS(banco!AA:AA,banco!$C:$C,$B45,banco!$A:$A,$A45)</f>
        <v>4225</v>
      </c>
      <c r="Z45" s="12">
        <f>IFERROR(Y45/$AN45,0)</f>
        <v>0.71211865835159283</v>
      </c>
      <c r="AA45">
        <f>SUMIFS(banco!AC:AC,banco!$C:$C,$B45,banco!$A:$A,$A45)</f>
        <v>2438</v>
      </c>
      <c r="AB45" s="12">
        <f>IFERROR(AA45/$AM45,0)</f>
        <v>0.16319700113796104</v>
      </c>
      <c r="AC45">
        <f>SUMIFS(banco!AE:AE,banco!$C:$C,$B45,banco!$A:$A,$A45)</f>
        <v>967</v>
      </c>
      <c r="AD45" s="12">
        <f>IFERROR(AC45/$AN45,0)</f>
        <v>0.1629866846452048</v>
      </c>
      <c r="AE45">
        <f>SUMIFS(banco!AG:AG,banco!$C:$C,$B45,banco!$A:$A,$A45)</f>
        <v>908</v>
      </c>
      <c r="AF45" s="12">
        <f>IFERROR(AE45/$AM45,0)</f>
        <v>6.0780507396746772E-2</v>
      </c>
      <c r="AG45">
        <f>SUMIFS(banco!AI:AI,banco!$C:$C,$B45,banco!$A:$A,$A45)</f>
        <v>290</v>
      </c>
      <c r="AH45" s="12">
        <f>IFERROR(AG45/$AN45,0)</f>
        <v>4.8879150514073821E-2</v>
      </c>
      <c r="AI45">
        <f>SUMIFS(banco!AK:AK,banco!$C:$C,$B45,banco!$A:$A,$A45)</f>
        <v>203</v>
      </c>
      <c r="AJ45" s="12">
        <f>IFERROR(AI45/$AM45,0)</f>
        <v>1.358859361403039E-2</v>
      </c>
      <c r="AK45">
        <f>SUMIFS(banco!AM:AM,banco!$C:$C,$B45,banco!$A:$A,$A45)</f>
        <v>77</v>
      </c>
      <c r="AL45" s="12">
        <f>IFERROR(AK45/$AN45,0)</f>
        <v>1.2978257205460982E-2</v>
      </c>
      <c r="AM45">
        <f>SUMIFS(banco!AO:AO,banco!$C:$C,$B45,banco!$A:$A,$A45)</f>
        <v>14939</v>
      </c>
      <c r="AN45">
        <f>SUMIFS(banco!AP:AP,banco!$C:$C,$B45,banco!$A:$A,$A45)</f>
        <v>5933</v>
      </c>
      <c r="AO45">
        <v>29374</v>
      </c>
    </row>
    <row r="46" spans="1:41" x14ac:dyDescent="0.25">
      <c r="A46" s="20">
        <v>2019</v>
      </c>
      <c r="B46" s="18" t="s">
        <v>150</v>
      </c>
      <c r="C46">
        <f>SUMIFS(banco!E:E,banco!$C:$C,$B46,banco!$A:$A,$A46)</f>
        <v>168</v>
      </c>
      <c r="D46" s="12">
        <f>IFERROR(C46/$AM46,0)</f>
        <v>1.735357917570499E-2</v>
      </c>
      <c r="E46">
        <f>SUMIFS(banco!G:G,banco!$C:$C,$B46,banco!$A:$A,$A46)</f>
        <v>98</v>
      </c>
      <c r="F46" s="12">
        <f>IFERROR(E46/$AN46,0)</f>
        <v>2.209695603156708E-2</v>
      </c>
      <c r="G46">
        <f>SUMIFS(banco!I:I,banco!$C:$C,$B46,banco!$A:$A,$A46)</f>
        <v>530</v>
      </c>
      <c r="H46" s="12">
        <f>IFERROR(G46/$AM46,0)</f>
        <v>5.4746410494783598E-2</v>
      </c>
      <c r="I46">
        <f>SUMIFS(banco!K:K,banco!$C:$C,$B46,banco!$A:$A,$A46)</f>
        <v>260</v>
      </c>
      <c r="J46" s="12">
        <f>IFERROR(I46/$AN46,0)</f>
        <v>5.8624577226606536E-2</v>
      </c>
      <c r="K46">
        <f>SUMIFS(banco!M:M,banco!$C:$C,$B46,banco!$A:$A,$A46)</f>
        <v>8983</v>
      </c>
      <c r="L46" s="12">
        <f>IFERROR(K46/$AM46,0)</f>
        <v>0.92790001032951142</v>
      </c>
      <c r="M46">
        <f>SUMIFS(banco!O:O,banco!$C:$C,$B46,banco!$A:$A,$A46)</f>
        <v>4077</v>
      </c>
      <c r="N46" s="12">
        <f>IFERROR(M46/$AN46,0)</f>
        <v>0.91927846674182634</v>
      </c>
      <c r="O46">
        <f>SUMIFS(banco!Q:Q,banco!$C:$C,$B46,banco!$A:$A,$A46)</f>
        <v>112</v>
      </c>
      <c r="P46" s="12">
        <f>IFERROR(O46/$AM46,0)</f>
        <v>1.1569052783803326E-2</v>
      </c>
      <c r="Q46">
        <f>SUMIFS(banco!S:S,banco!$C:$C,$B46,banco!$A:$A,$A46)</f>
        <v>56</v>
      </c>
      <c r="R46" s="12">
        <f>IFERROR(Q46/$AN46,0)</f>
        <v>1.2626832018038332E-2</v>
      </c>
      <c r="S46">
        <f>SUMIFS(banco!U:U,banco!$C:$C,$B46,banco!$A:$A,$A46)</f>
        <v>310</v>
      </c>
      <c r="T46" s="12">
        <f>IFERROR(S46/$AM46,0)</f>
        <v>3.2021485383741347E-2</v>
      </c>
      <c r="U46">
        <f>SUMIFS(banco!W:W,banco!$C:$C,$B46,banco!$A:$A,$A46)</f>
        <v>136</v>
      </c>
      <c r="V46" s="12">
        <f>IFERROR(U46/$AN46,0)</f>
        <v>3.0665163472378805E-2</v>
      </c>
      <c r="W46">
        <f>SUMIFS(banco!Y:Y,banco!$C:$C,$B46,banco!$A:$A,$A46)</f>
        <v>6850</v>
      </c>
      <c r="X46" s="12">
        <f>IFERROR(W46/$AM46,0)</f>
        <v>0.70757153186654276</v>
      </c>
      <c r="Y46">
        <f>SUMIFS(banco!AA:AA,banco!$C:$C,$B46,banco!$A:$A,$A46)</f>
        <v>3193</v>
      </c>
      <c r="Z46" s="12">
        <f>IFERROR(Y46/$AN46,0)</f>
        <v>0.7199549041713641</v>
      </c>
      <c r="AA46">
        <f>SUMIFS(banco!AC:AC,banco!$C:$C,$B46,banco!$A:$A,$A46)</f>
        <v>1597</v>
      </c>
      <c r="AB46" s="12">
        <f>IFERROR(AA46/$AM46,0)</f>
        <v>0.1649622972833385</v>
      </c>
      <c r="AC46">
        <f>SUMIFS(banco!AE:AE,banco!$C:$C,$B46,banco!$A:$A,$A46)</f>
        <v>735</v>
      </c>
      <c r="AD46" s="12">
        <f>IFERROR(AC46/$AN46,0)</f>
        <v>0.1657271702367531</v>
      </c>
      <c r="AE46">
        <f>SUMIFS(banco!AG:AG,banco!$C:$C,$B46,banco!$A:$A,$A46)</f>
        <v>673</v>
      </c>
      <c r="AF46" s="12">
        <f>IFERROR(AE46/$AM46,0)</f>
        <v>6.9517611816961061E-2</v>
      </c>
      <c r="AG46">
        <f>SUMIFS(banco!AI:AI,banco!$C:$C,$B46,banco!$A:$A,$A46)</f>
        <v>250</v>
      </c>
      <c r="AH46" s="12">
        <f>IFERROR(AG46/$AN46,0)</f>
        <v>5.6369785794813977E-2</v>
      </c>
      <c r="AI46">
        <f>SUMIFS(banco!AK:AK,banco!$C:$C,$B46,banco!$A:$A,$A46)</f>
        <v>139</v>
      </c>
      <c r="AJ46" s="12">
        <f>IFERROR(AI46/$AM46,0)</f>
        <v>1.4358020865613056E-2</v>
      </c>
      <c r="AK46">
        <f>SUMIFS(banco!AM:AM,banco!$C:$C,$B46,banco!$A:$A,$A46)</f>
        <v>65</v>
      </c>
      <c r="AL46" s="12">
        <f>IFERROR(AK46/$AN46,0)</f>
        <v>1.4656144306651634E-2</v>
      </c>
      <c r="AM46">
        <f>SUMIFS(banco!AO:AO,banco!$C:$C,$B46,banco!$A:$A,$A46)</f>
        <v>9681</v>
      </c>
      <c r="AN46">
        <f>SUMIFS(banco!AP:AP,banco!$C:$C,$B46,banco!$A:$A,$A46)</f>
        <v>4435</v>
      </c>
      <c r="AO46">
        <v>12150</v>
      </c>
    </row>
    <row r="47" spans="1:41" x14ac:dyDescent="0.25">
      <c r="A47" s="20">
        <v>2019</v>
      </c>
      <c r="B47" s="18" t="s">
        <v>146</v>
      </c>
      <c r="C47">
        <f>SUMIFS(banco!E:E,banco!$C:$C,$B47,banco!$A:$A,$A47)</f>
        <v>112</v>
      </c>
      <c r="D47" s="12">
        <f>IFERROR(C47/$AM47,0)</f>
        <v>1.3347634370158503E-2</v>
      </c>
      <c r="E47">
        <f>SUMIFS(banco!G:G,banco!$C:$C,$B47,banco!$A:$A,$A47)</f>
        <v>73</v>
      </c>
      <c r="F47" s="12">
        <f>IFERROR(E47/$AN47,0)</f>
        <v>1.7548076923076923E-2</v>
      </c>
      <c r="G47">
        <f>SUMIFS(banco!I:I,banco!$C:$C,$B47,banco!$A:$A,$A47)</f>
        <v>518</v>
      </c>
      <c r="H47" s="12">
        <f>IFERROR(G47/$AM47,0)</f>
        <v>6.1732808961983077E-2</v>
      </c>
      <c r="I47">
        <f>SUMIFS(banco!K:K,banco!$C:$C,$B47,banco!$A:$A,$A47)</f>
        <v>347</v>
      </c>
      <c r="J47" s="12">
        <f>IFERROR(I47/$AN47,0)</f>
        <v>8.3413461538461534E-2</v>
      </c>
      <c r="K47">
        <f>SUMIFS(banco!M:M,banco!$C:$C,$B47,banco!$A:$A,$A47)</f>
        <v>7761</v>
      </c>
      <c r="L47" s="12">
        <f>IFERROR(K47/$AM47,0)</f>
        <v>0.92491955666785841</v>
      </c>
      <c r="M47">
        <f>SUMIFS(banco!O:O,banco!$C:$C,$B47,banco!$A:$A,$A47)</f>
        <v>3740</v>
      </c>
      <c r="N47" s="12">
        <f>IFERROR(M47/$AN47,0)</f>
        <v>0.89903846153846156</v>
      </c>
      <c r="O47">
        <f>SUMIFS(banco!Q:Q,banco!$C:$C,$B47,banco!$A:$A,$A47)</f>
        <v>77</v>
      </c>
      <c r="P47" s="12">
        <f>IFERROR(O47/$AM47,0)</f>
        <v>9.1764986294839701E-3</v>
      </c>
      <c r="Q47">
        <f>SUMIFS(banco!S:S,banco!$C:$C,$B47,banco!$A:$A,$A47)</f>
        <v>44</v>
      </c>
      <c r="R47" s="12">
        <f>IFERROR(Q47/$AN47,0)</f>
        <v>1.0576923076923078E-2</v>
      </c>
      <c r="S47">
        <f>SUMIFS(banco!U:U,banco!$C:$C,$B47,banco!$A:$A,$A47)</f>
        <v>304</v>
      </c>
      <c r="T47" s="12">
        <f>IFERROR(S47/$AM47,0)</f>
        <v>3.6229293290430224E-2</v>
      </c>
      <c r="U47">
        <f>SUMIFS(banco!W:W,banco!$C:$C,$B47,banco!$A:$A,$A47)</f>
        <v>131</v>
      </c>
      <c r="V47" s="12">
        <f>IFERROR(U47/$AN47,0)</f>
        <v>3.1490384615384615E-2</v>
      </c>
      <c r="W47">
        <f>SUMIFS(banco!Y:Y,banco!$C:$C,$B47,banco!$A:$A,$A47)</f>
        <v>5967</v>
      </c>
      <c r="X47" s="12">
        <f>IFERROR(W47/$AM47,0)</f>
        <v>0.71111905613156956</v>
      </c>
      <c r="Y47">
        <f>SUMIFS(banco!AA:AA,banco!$C:$C,$B47,banco!$A:$A,$A47)</f>
        <v>3101</v>
      </c>
      <c r="Z47" s="12">
        <f>IFERROR(Y47/$AN47,0)</f>
        <v>0.74543269230769227</v>
      </c>
      <c r="AA47">
        <f>SUMIFS(banco!AC:AC,banco!$C:$C,$B47,banco!$A:$A,$A47)</f>
        <v>1305</v>
      </c>
      <c r="AB47" s="12">
        <f>IFERROR(AA47/$AM47,0)</f>
        <v>0.15552377547372184</v>
      </c>
      <c r="AC47">
        <f>SUMIFS(banco!AE:AE,banco!$C:$C,$B47,banco!$A:$A,$A47)</f>
        <v>615</v>
      </c>
      <c r="AD47" s="12">
        <f>IFERROR(AC47/$AN47,0)</f>
        <v>0.14783653846153846</v>
      </c>
      <c r="AE47">
        <f>SUMIFS(banco!AG:AG,banco!$C:$C,$B47,banco!$A:$A,$A47)</f>
        <v>589</v>
      </c>
      <c r="AF47" s="12">
        <f>IFERROR(AE47/$AM47,0)</f>
        <v>7.0194255750208559E-2</v>
      </c>
      <c r="AG47">
        <f>SUMIFS(banco!AI:AI,banco!$C:$C,$B47,banco!$A:$A,$A47)</f>
        <v>216</v>
      </c>
      <c r="AH47" s="12">
        <f>IFERROR(AG47/$AN47,0)</f>
        <v>5.1923076923076926E-2</v>
      </c>
      <c r="AI47">
        <f>SUMIFS(banco!AK:AK,banco!$C:$C,$B47,banco!$A:$A,$A47)</f>
        <v>149</v>
      </c>
      <c r="AJ47" s="12">
        <f>IFERROR(AI47/$AM47,0)</f>
        <v>1.7757120724585865E-2</v>
      </c>
      <c r="AK47">
        <f>SUMIFS(banco!AM:AM,banco!$C:$C,$B47,banco!$A:$A,$A47)</f>
        <v>53</v>
      </c>
      <c r="AL47" s="12">
        <f>IFERROR(AK47/$AN47,0)</f>
        <v>1.2740384615384615E-2</v>
      </c>
      <c r="AM47">
        <f>SUMIFS(banco!AO:AO,banco!$C:$C,$B47,banco!$A:$A,$A47)</f>
        <v>8391</v>
      </c>
      <c r="AN47">
        <f>SUMIFS(banco!AP:AP,banco!$C:$C,$B47,banco!$A:$A,$A47)</f>
        <v>4160</v>
      </c>
      <c r="AO47">
        <v>13054</v>
      </c>
    </row>
    <row r="48" spans="1:41" x14ac:dyDescent="0.25">
      <c r="A48" s="20">
        <v>2019</v>
      </c>
      <c r="B48" s="18" t="s">
        <v>149</v>
      </c>
      <c r="C48">
        <f>SUMIFS(banco!E:E,banco!$C:$C,$B48,banco!$A:$A,$A48)</f>
        <v>270</v>
      </c>
      <c r="D48" s="12">
        <f>IFERROR(C48/$AM48,0)</f>
        <v>2.1036229061160889E-2</v>
      </c>
      <c r="E48">
        <f>SUMIFS(banco!G:G,banco!$C:$C,$B48,banco!$A:$A,$A48)</f>
        <v>165</v>
      </c>
      <c r="F48" s="12">
        <f>IFERROR(E48/$AN48,0)</f>
        <v>2.4098145173068498E-2</v>
      </c>
      <c r="G48">
        <f>SUMIFS(banco!I:I,banco!$C:$C,$B48,banco!$A:$A,$A48)</f>
        <v>778</v>
      </c>
      <c r="H48" s="12">
        <f>IFERROR(G48/$AM48,0)</f>
        <v>6.0615504479937674E-2</v>
      </c>
      <c r="I48">
        <f>SUMIFS(banco!K:K,banco!$C:$C,$B48,banco!$A:$A,$A48)</f>
        <v>381</v>
      </c>
      <c r="J48" s="12">
        <f>IFERROR(I48/$AN48,0)</f>
        <v>5.5644807945085438E-2</v>
      </c>
      <c r="K48">
        <f>SUMIFS(banco!M:M,banco!$C:$C,$B48,banco!$A:$A,$A48)</f>
        <v>11787</v>
      </c>
      <c r="L48" s="12">
        <f>IFERROR(K48/$AM48,0)</f>
        <v>0.91834826645890144</v>
      </c>
      <c r="M48">
        <f>SUMIFS(banco!O:O,banco!$C:$C,$B48,banco!$A:$A,$A48)</f>
        <v>6301</v>
      </c>
      <c r="N48" s="12">
        <f>IFERROR(M48/$AN48,0)</f>
        <v>0.92025704688184606</v>
      </c>
      <c r="O48">
        <f>SUMIFS(banco!Q:Q,banco!$C:$C,$B48,banco!$A:$A,$A48)</f>
        <v>140</v>
      </c>
      <c r="P48" s="12">
        <f>IFERROR(O48/$AM48,0)</f>
        <v>1.090767432800935E-2</v>
      </c>
      <c r="Q48">
        <f>SUMIFS(banco!S:S,banco!$C:$C,$B48,banco!$A:$A,$A48)</f>
        <v>81</v>
      </c>
      <c r="R48" s="12">
        <f>IFERROR(Q48/$AN48,0)</f>
        <v>1.1829998539506352E-2</v>
      </c>
      <c r="S48">
        <f>SUMIFS(banco!U:U,banco!$C:$C,$B48,banco!$A:$A,$A48)</f>
        <v>447</v>
      </c>
      <c r="T48" s="12">
        <f>IFERROR(S48/$AM48,0)</f>
        <v>3.4826645890144135E-2</v>
      </c>
      <c r="U48">
        <f>SUMIFS(banco!W:W,banco!$C:$C,$B48,banco!$A:$A,$A48)</f>
        <v>197</v>
      </c>
      <c r="V48" s="12">
        <f>IFERROR(U48/$AN48,0)</f>
        <v>2.8771724842996935E-2</v>
      </c>
      <c r="W48">
        <f>SUMIFS(banco!Y:Y,banco!$C:$C,$B48,banco!$A:$A,$A48)</f>
        <v>9339</v>
      </c>
      <c r="X48" s="12">
        <f>IFERROR(W48/$AM48,0)</f>
        <v>0.72761978963770935</v>
      </c>
      <c r="Y48">
        <f>SUMIFS(banco!AA:AA,banco!$C:$C,$B48,banco!$A:$A,$A48)</f>
        <v>5155</v>
      </c>
      <c r="Z48" s="12">
        <f>IFERROR(Y48/$AN48,0)</f>
        <v>0.75288447495253397</v>
      </c>
      <c r="AA48">
        <f>SUMIFS(banco!AC:AC,banco!$C:$C,$B48,banco!$A:$A,$A48)</f>
        <v>1993</v>
      </c>
      <c r="AB48" s="12">
        <f>IFERROR(AA48/$AM48,0)</f>
        <v>0.15527853525516166</v>
      </c>
      <c r="AC48">
        <f>SUMIFS(banco!AE:AE,banco!$C:$C,$B48,banco!$A:$A,$A48)</f>
        <v>1032</v>
      </c>
      <c r="AD48" s="12">
        <f>IFERROR(AC48/$AN48,0)</f>
        <v>0.15072294435519207</v>
      </c>
      <c r="AE48">
        <f>SUMIFS(banco!AG:AG,banco!$C:$C,$B48,banco!$A:$A,$A48)</f>
        <v>780</v>
      </c>
      <c r="AF48" s="12">
        <f>IFERROR(AE48/$AM48,0)</f>
        <v>6.0771328398909231E-2</v>
      </c>
      <c r="AG48">
        <f>SUMIFS(banco!AI:AI,banco!$C:$C,$B48,banco!$A:$A,$A48)</f>
        <v>322</v>
      </c>
      <c r="AH48" s="12">
        <f>IFERROR(AG48/$AN48,0)</f>
        <v>4.7027895428654883E-2</v>
      </c>
      <c r="AI48">
        <f>SUMIFS(banco!AK:AK,banco!$C:$C,$B48,banco!$A:$A,$A48)</f>
        <v>136</v>
      </c>
      <c r="AJ48" s="12">
        <f>IFERROR(AI48/$AM48,0)</f>
        <v>1.0596026490066225E-2</v>
      </c>
      <c r="AK48">
        <f>SUMIFS(banco!AM:AM,banco!$C:$C,$B48,banco!$A:$A,$A48)</f>
        <v>60</v>
      </c>
      <c r="AL48" s="12">
        <f>IFERROR(AK48/$AN48,0)</f>
        <v>8.7629618811158171E-3</v>
      </c>
      <c r="AM48">
        <f>SUMIFS(banco!AO:AO,banco!$C:$C,$B48,banco!$A:$A,$A48)</f>
        <v>12835</v>
      </c>
      <c r="AN48">
        <f>SUMIFS(banco!AP:AP,banco!$C:$C,$B48,banco!$A:$A,$A48)</f>
        <v>6847</v>
      </c>
      <c r="AO48">
        <v>23147</v>
      </c>
    </row>
    <row r="49" spans="1:41" x14ac:dyDescent="0.25">
      <c r="A49" s="20">
        <v>2019</v>
      </c>
      <c r="B49" s="18" t="s">
        <v>147</v>
      </c>
      <c r="C49">
        <f>SUMIFS(banco!E:E,banco!$C:$C,$B49,banco!$A:$A,$A49)</f>
        <v>98</v>
      </c>
      <c r="D49" s="12">
        <f>IFERROR(C49/$AM49,0)</f>
        <v>1.602878639188747E-2</v>
      </c>
      <c r="E49">
        <f>SUMIFS(banco!G:G,banco!$C:$C,$B49,banco!$A:$A,$A49)</f>
        <v>81</v>
      </c>
      <c r="F49" s="12">
        <f>IFERROR(E49/$AN49,0)</f>
        <v>2.0584498094027955E-2</v>
      </c>
      <c r="G49">
        <f>SUMIFS(banco!I:I,banco!$C:$C,$B49,banco!$A:$A,$A49)</f>
        <v>270</v>
      </c>
      <c r="H49" s="12">
        <f>IFERROR(G49/$AM49,0)</f>
        <v>4.4160942100098133E-2</v>
      </c>
      <c r="I49">
        <f>SUMIFS(banco!K:K,banco!$C:$C,$B49,banco!$A:$A,$A49)</f>
        <v>181</v>
      </c>
      <c r="J49" s="12">
        <f>IFERROR(I49/$AN49,0)</f>
        <v>4.5997458703939009E-2</v>
      </c>
      <c r="K49">
        <f>SUMIFS(banco!M:M,banco!$C:$C,$B49,banco!$A:$A,$A49)</f>
        <v>5746</v>
      </c>
      <c r="L49" s="12">
        <f>IFERROR(K49/$AM49,0)</f>
        <v>0.93981027150801444</v>
      </c>
      <c r="M49">
        <f>SUMIFS(banco!O:O,banco!$C:$C,$B49,banco!$A:$A,$A49)</f>
        <v>3673</v>
      </c>
      <c r="N49" s="12">
        <f>IFERROR(M49/$AN49,0)</f>
        <v>0.93341804320203303</v>
      </c>
      <c r="O49">
        <f>SUMIFS(banco!Q:Q,banco!$C:$C,$B49,banco!$A:$A,$A49)</f>
        <v>70</v>
      </c>
      <c r="P49" s="12">
        <f>IFERROR(O49/$AM49,0)</f>
        <v>1.144913313706248E-2</v>
      </c>
      <c r="Q49">
        <f>SUMIFS(banco!S:S,banco!$C:$C,$B49,banco!$A:$A,$A49)</f>
        <v>45</v>
      </c>
      <c r="R49" s="12">
        <f>IFERROR(Q49/$AN49,0)</f>
        <v>1.1435832274459974E-2</v>
      </c>
      <c r="S49">
        <f>SUMIFS(banco!U:U,banco!$C:$C,$B49,banco!$A:$A,$A49)</f>
        <v>228</v>
      </c>
      <c r="T49" s="12">
        <f>IFERROR(S49/$AM49,0)</f>
        <v>3.7291462217860651E-2</v>
      </c>
      <c r="U49">
        <f>SUMIFS(banco!W:W,banco!$C:$C,$B49,banco!$A:$A,$A49)</f>
        <v>134</v>
      </c>
      <c r="V49" s="12">
        <f>IFERROR(U49/$AN49,0)</f>
        <v>3.4053367217280812E-2</v>
      </c>
      <c r="W49">
        <f>SUMIFS(banco!Y:Y,banco!$C:$C,$B49,banco!$A:$A,$A49)</f>
        <v>4462</v>
      </c>
      <c r="X49" s="12">
        <f>IFERROR(W49/$AM49,0)</f>
        <v>0.72980045796532544</v>
      </c>
      <c r="Y49">
        <f>SUMIFS(banco!AA:AA,banco!$C:$C,$B49,banco!$A:$A,$A49)</f>
        <v>2880</v>
      </c>
      <c r="Z49" s="12">
        <f>IFERROR(Y49/$AN49,0)</f>
        <v>0.73189326556543832</v>
      </c>
      <c r="AA49">
        <f>SUMIFS(banco!AC:AC,banco!$C:$C,$B49,banco!$A:$A,$A49)</f>
        <v>911</v>
      </c>
      <c r="AB49" s="12">
        <f>IFERROR(AA49/$AM49,0)</f>
        <v>0.14900228982662742</v>
      </c>
      <c r="AC49">
        <f>SUMIFS(banco!AE:AE,banco!$C:$C,$B49,banco!$A:$A,$A49)</f>
        <v>602</v>
      </c>
      <c r="AD49" s="12">
        <f>IFERROR(AC49/$AN49,0)</f>
        <v>0.15298602287166455</v>
      </c>
      <c r="AE49">
        <f>SUMIFS(banco!AG:AG,banco!$C:$C,$B49,banco!$A:$A,$A49)</f>
        <v>362</v>
      </c>
      <c r="AF49" s="12">
        <f>IFERROR(AE49/$AM49,0)</f>
        <v>5.9208374223094537E-2</v>
      </c>
      <c r="AG49">
        <f>SUMIFS(banco!AI:AI,banco!$C:$C,$B49,banco!$A:$A,$A49)</f>
        <v>229</v>
      </c>
      <c r="AH49" s="12">
        <f>IFERROR(AG49/$AN49,0)</f>
        <v>5.8195679796696313E-2</v>
      </c>
      <c r="AI49">
        <f>SUMIFS(banco!AK:AK,banco!$C:$C,$B49,banco!$A:$A,$A49)</f>
        <v>81</v>
      </c>
      <c r="AJ49" s="12">
        <f>IFERROR(AI49/$AM49,0)</f>
        <v>1.324828263002944E-2</v>
      </c>
      <c r="AK49">
        <f>SUMIFS(banco!AM:AM,banco!$C:$C,$B49,banco!$A:$A,$A49)</f>
        <v>45</v>
      </c>
      <c r="AL49" s="12">
        <f>IFERROR(AK49/$AN49,0)</f>
        <v>1.1435832274459974E-2</v>
      </c>
      <c r="AM49">
        <f>SUMIFS(banco!AO:AO,banco!$C:$C,$B49,banco!$A:$A,$A49)</f>
        <v>6114</v>
      </c>
      <c r="AN49">
        <f>SUMIFS(banco!AP:AP,banco!$C:$C,$B49,banco!$A:$A,$A49)</f>
        <v>3935</v>
      </c>
      <c r="AO49">
        <v>7349</v>
      </c>
    </row>
    <row r="50" spans="1:41" x14ac:dyDescent="0.25">
      <c r="A50" s="20">
        <v>2018</v>
      </c>
      <c r="B50" s="18" t="s">
        <v>151</v>
      </c>
      <c r="C50">
        <f>SUMIFS(banco!E:E,banco!$C:$C,$B50,banco!$A:$A,$A50)</f>
        <v>0</v>
      </c>
      <c r="D50" s="12">
        <f>IFERROR(C50/$AM50,0)</f>
        <v>0</v>
      </c>
      <c r="E50">
        <f>SUMIFS(banco!G:G,banco!$C:$C,$B50,banco!$A:$A,$A50)</f>
        <v>0</v>
      </c>
      <c r="F50" s="12">
        <f>IFERROR(E50/$AN50,0)</f>
        <v>0</v>
      </c>
      <c r="G50">
        <f>SUMIFS(banco!I:I,banco!$C:$C,$B50,banco!$A:$A,$A50)</f>
        <v>0</v>
      </c>
      <c r="H50" s="12">
        <f>IFERROR(G50/$AM50,0)</f>
        <v>0</v>
      </c>
      <c r="I50">
        <f>SUMIFS(banco!K:K,banco!$C:$C,$B50,banco!$A:$A,$A50)</f>
        <v>0</v>
      </c>
      <c r="J50" s="12">
        <f>IFERROR(I50/$AN50,0)</f>
        <v>0</v>
      </c>
      <c r="K50">
        <f>SUMIFS(banco!M:M,banco!$C:$C,$B50,banco!$A:$A,$A50)</f>
        <v>0</v>
      </c>
      <c r="L50" s="12">
        <f>IFERROR(K50/$AM50,0)</f>
        <v>0</v>
      </c>
      <c r="M50">
        <f>SUMIFS(banco!O:O,banco!$C:$C,$B50,banco!$A:$A,$A50)</f>
        <v>0</v>
      </c>
      <c r="N50" s="12">
        <f>IFERROR(M50/$AN50,0)</f>
        <v>0</v>
      </c>
      <c r="O50">
        <f>SUMIFS(banco!Q:Q,banco!$C:$C,$B50,banco!$A:$A,$A50)</f>
        <v>0</v>
      </c>
      <c r="P50" s="12">
        <f>IFERROR(O50/$AM50,0)</f>
        <v>0</v>
      </c>
      <c r="Q50">
        <f>SUMIFS(banco!S:S,banco!$C:$C,$B50,banco!$A:$A,$A50)</f>
        <v>0</v>
      </c>
      <c r="R50" s="12">
        <f>IFERROR(Q50/$AN50,0)</f>
        <v>0</v>
      </c>
      <c r="S50">
        <f>SUMIFS(banco!U:U,banco!$C:$C,$B50,banco!$A:$A,$A50)</f>
        <v>0</v>
      </c>
      <c r="T50" s="12">
        <f>IFERROR(S50/$AM50,0)</f>
        <v>0</v>
      </c>
      <c r="U50">
        <f>SUMIFS(banco!W:W,banco!$C:$C,$B50,banco!$A:$A,$A50)</f>
        <v>0</v>
      </c>
      <c r="V50" s="12">
        <f>IFERROR(U50/$AN50,0)</f>
        <v>0</v>
      </c>
      <c r="W50">
        <f>SUMIFS(banco!Y:Y,banco!$C:$C,$B50,banco!$A:$A,$A50)</f>
        <v>0</v>
      </c>
      <c r="X50" s="12">
        <f>IFERROR(W50/$AM50,0)</f>
        <v>0</v>
      </c>
      <c r="Y50">
        <f>SUMIFS(banco!AA:AA,banco!$C:$C,$B50,banco!$A:$A,$A50)</f>
        <v>0</v>
      </c>
      <c r="Z50" s="12">
        <f>IFERROR(Y50/$AN50,0)</f>
        <v>0</v>
      </c>
      <c r="AA50">
        <f>SUMIFS(banco!AC:AC,banco!$C:$C,$B50,banco!$A:$A,$A50)</f>
        <v>0</v>
      </c>
      <c r="AB50" s="12">
        <f>IFERROR(AA50/$AM50,0)</f>
        <v>0</v>
      </c>
      <c r="AC50">
        <f>SUMIFS(banco!AE:AE,banco!$C:$C,$B50,banco!$A:$A,$A50)</f>
        <v>0</v>
      </c>
      <c r="AD50" s="12">
        <f>IFERROR(AC50/$AN50,0)</f>
        <v>0</v>
      </c>
      <c r="AE50">
        <f>SUMIFS(banco!AG:AG,banco!$C:$C,$B50,banco!$A:$A,$A50)</f>
        <v>0</v>
      </c>
      <c r="AF50" s="12">
        <f>IFERROR(AE50/$AM50,0)</f>
        <v>0</v>
      </c>
      <c r="AG50">
        <f>SUMIFS(banco!AI:AI,banco!$C:$C,$B50,banco!$A:$A,$A50)</f>
        <v>0</v>
      </c>
      <c r="AH50" s="12">
        <f>IFERROR(AG50/$AN50,0)</f>
        <v>0</v>
      </c>
      <c r="AI50">
        <f>SUMIFS(banco!AK:AK,banco!$C:$C,$B50,banco!$A:$A,$A50)</f>
        <v>0</v>
      </c>
      <c r="AJ50" s="12">
        <f>IFERROR(AI50/$AM50,0)</f>
        <v>0</v>
      </c>
      <c r="AK50">
        <f>SUMIFS(banco!AM:AM,banco!$C:$C,$B50,banco!$A:$A,$A50)</f>
        <v>0</v>
      </c>
      <c r="AL50" s="12">
        <f>IFERROR(AK50/$AN50,0)</f>
        <v>0</v>
      </c>
      <c r="AM50">
        <f>SUMIFS(banco!AO:AO,banco!$C:$C,$B50,banco!$A:$A,$A50)</f>
        <v>0</v>
      </c>
      <c r="AN50">
        <f>SUMIFS(banco!AP:AP,banco!$C:$C,$B50,banco!$A:$A,$A50)</f>
        <v>0</v>
      </c>
      <c r="AO50">
        <v>9727</v>
      </c>
    </row>
    <row r="51" spans="1:41" x14ac:dyDescent="0.25">
      <c r="A51" s="20">
        <v>2018</v>
      </c>
      <c r="B51" s="18" t="s">
        <v>145</v>
      </c>
      <c r="C51">
        <f>SUMIFS(banco!E:E,banco!$C:$C,$B51,banco!$A:$A,$A51)</f>
        <v>0</v>
      </c>
      <c r="D51" s="12">
        <f>IFERROR(C51/$AM51,0)</f>
        <v>0</v>
      </c>
      <c r="E51">
        <f>SUMIFS(banco!G:G,banco!$C:$C,$B51,banco!$A:$A,$A51)</f>
        <v>0</v>
      </c>
      <c r="F51" s="12">
        <f>IFERROR(E51/$AN51,0)</f>
        <v>0</v>
      </c>
      <c r="G51">
        <f>SUMIFS(banco!I:I,banco!$C:$C,$B51,banco!$A:$A,$A51)</f>
        <v>0</v>
      </c>
      <c r="H51" s="12">
        <f>IFERROR(G51/$AM51,0)</f>
        <v>0</v>
      </c>
      <c r="I51">
        <f>SUMIFS(banco!K:K,banco!$C:$C,$B51,banco!$A:$A,$A51)</f>
        <v>0</v>
      </c>
      <c r="J51" s="12">
        <f>IFERROR(I51/$AN51,0)</f>
        <v>0</v>
      </c>
      <c r="K51">
        <f>SUMIFS(banco!M:M,banco!$C:$C,$B51,banco!$A:$A,$A51)</f>
        <v>0</v>
      </c>
      <c r="L51" s="12">
        <f>IFERROR(K51/$AM51,0)</f>
        <v>0</v>
      </c>
      <c r="M51">
        <f>SUMIFS(banco!O:O,banco!$C:$C,$B51,banco!$A:$A,$A51)</f>
        <v>0</v>
      </c>
      <c r="N51" s="12">
        <f>IFERROR(M51/$AN51,0)</f>
        <v>0</v>
      </c>
      <c r="O51">
        <f>SUMIFS(banco!Q:Q,banco!$C:$C,$B51,banco!$A:$A,$A51)</f>
        <v>0</v>
      </c>
      <c r="P51" s="12">
        <f>IFERROR(O51/$AM51,0)</f>
        <v>0</v>
      </c>
      <c r="Q51">
        <f>SUMIFS(banco!S:S,banco!$C:$C,$B51,banco!$A:$A,$A51)</f>
        <v>0</v>
      </c>
      <c r="R51" s="12">
        <f>IFERROR(Q51/$AN51,0)</f>
        <v>0</v>
      </c>
      <c r="S51">
        <f>SUMIFS(banco!U:U,banco!$C:$C,$B51,banco!$A:$A,$A51)</f>
        <v>0</v>
      </c>
      <c r="T51" s="12">
        <f>IFERROR(S51/$AM51,0)</f>
        <v>0</v>
      </c>
      <c r="U51">
        <f>SUMIFS(banco!W:W,banco!$C:$C,$B51,banco!$A:$A,$A51)</f>
        <v>0</v>
      </c>
      <c r="V51" s="12">
        <f>IFERROR(U51/$AN51,0)</f>
        <v>0</v>
      </c>
      <c r="W51">
        <f>SUMIFS(banco!Y:Y,banco!$C:$C,$B51,banco!$A:$A,$A51)</f>
        <v>0</v>
      </c>
      <c r="X51" s="12">
        <f>IFERROR(W51/$AM51,0)</f>
        <v>0</v>
      </c>
      <c r="Y51">
        <f>SUMIFS(banco!AA:AA,banco!$C:$C,$B51,banco!$A:$A,$A51)</f>
        <v>0</v>
      </c>
      <c r="Z51" s="12">
        <f>IFERROR(Y51/$AN51,0)</f>
        <v>0</v>
      </c>
      <c r="AA51">
        <f>SUMIFS(banco!AC:AC,banco!$C:$C,$B51,banco!$A:$A,$A51)</f>
        <v>0</v>
      </c>
      <c r="AB51" s="12">
        <f>IFERROR(AA51/$AM51,0)</f>
        <v>0</v>
      </c>
      <c r="AC51">
        <f>SUMIFS(banco!AE:AE,banco!$C:$C,$B51,banco!$A:$A,$A51)</f>
        <v>0</v>
      </c>
      <c r="AD51" s="12">
        <f>IFERROR(AC51/$AN51,0)</f>
        <v>0</v>
      </c>
      <c r="AE51">
        <f>SUMIFS(banco!AG:AG,banco!$C:$C,$B51,banco!$A:$A,$A51)</f>
        <v>0</v>
      </c>
      <c r="AF51" s="12">
        <f>IFERROR(AE51/$AM51,0)</f>
        <v>0</v>
      </c>
      <c r="AG51">
        <f>SUMIFS(banco!AI:AI,banco!$C:$C,$B51,banco!$A:$A,$A51)</f>
        <v>0</v>
      </c>
      <c r="AH51" s="12">
        <f>IFERROR(AG51/$AN51,0)</f>
        <v>0</v>
      </c>
      <c r="AI51">
        <f>SUMIFS(banco!AK:AK,banco!$C:$C,$B51,banco!$A:$A,$A51)</f>
        <v>0</v>
      </c>
      <c r="AJ51" s="12">
        <f>IFERROR(AI51/$AM51,0)</f>
        <v>0</v>
      </c>
      <c r="AK51">
        <f>SUMIFS(banco!AM:AM,banco!$C:$C,$B51,banco!$A:$A,$A51)</f>
        <v>0</v>
      </c>
      <c r="AL51" s="12">
        <f>IFERROR(AK51/$AN51,0)</f>
        <v>0</v>
      </c>
      <c r="AM51">
        <f>SUMIFS(banco!AO:AO,banco!$C:$C,$B51,banco!$A:$A,$A51)</f>
        <v>0</v>
      </c>
      <c r="AN51">
        <f>SUMIFS(banco!AP:AP,banco!$C:$C,$B51,banco!$A:$A,$A51)</f>
        <v>0</v>
      </c>
      <c r="AO51">
        <v>18079</v>
      </c>
    </row>
    <row r="52" spans="1:41" x14ac:dyDescent="0.25">
      <c r="A52" s="20">
        <v>2018</v>
      </c>
      <c r="B52" s="18" t="s">
        <v>144</v>
      </c>
      <c r="C52">
        <f>SUMIFS(banco!E:E,banco!$C:$C,$B52,banco!$A:$A,$A52)</f>
        <v>0</v>
      </c>
      <c r="D52" s="12">
        <f>IFERROR(C52/$AM52,0)</f>
        <v>0</v>
      </c>
      <c r="E52">
        <f>SUMIFS(banco!G:G,banco!$C:$C,$B52,banco!$A:$A,$A52)</f>
        <v>0</v>
      </c>
      <c r="F52" s="12">
        <f>IFERROR(E52/$AN52,0)</f>
        <v>0</v>
      </c>
      <c r="G52">
        <f>SUMIFS(banco!I:I,banco!$C:$C,$B52,banco!$A:$A,$A52)</f>
        <v>0</v>
      </c>
      <c r="H52" s="12">
        <f>IFERROR(G52/$AM52,0)</f>
        <v>0</v>
      </c>
      <c r="I52">
        <f>SUMIFS(banco!K:K,banco!$C:$C,$B52,banco!$A:$A,$A52)</f>
        <v>0</v>
      </c>
      <c r="J52" s="12">
        <f>IFERROR(I52/$AN52,0)</f>
        <v>0</v>
      </c>
      <c r="K52">
        <f>SUMIFS(banco!M:M,banco!$C:$C,$B52,banco!$A:$A,$A52)</f>
        <v>0</v>
      </c>
      <c r="L52" s="12">
        <f>IFERROR(K52/$AM52,0)</f>
        <v>0</v>
      </c>
      <c r="M52">
        <f>SUMIFS(banco!O:O,banco!$C:$C,$B52,banco!$A:$A,$A52)</f>
        <v>0</v>
      </c>
      <c r="N52" s="12">
        <f>IFERROR(M52/$AN52,0)</f>
        <v>0</v>
      </c>
      <c r="O52">
        <f>SUMIFS(banco!Q:Q,banco!$C:$C,$B52,banco!$A:$A,$A52)</f>
        <v>0</v>
      </c>
      <c r="P52" s="12">
        <f>IFERROR(O52/$AM52,0)</f>
        <v>0</v>
      </c>
      <c r="Q52">
        <f>SUMIFS(banco!S:S,banco!$C:$C,$B52,banco!$A:$A,$A52)</f>
        <v>0</v>
      </c>
      <c r="R52" s="12">
        <f>IFERROR(Q52/$AN52,0)</f>
        <v>0</v>
      </c>
      <c r="S52">
        <f>SUMIFS(banco!U:U,banco!$C:$C,$B52,banco!$A:$A,$A52)</f>
        <v>0</v>
      </c>
      <c r="T52" s="12">
        <f>IFERROR(S52/$AM52,0)</f>
        <v>0</v>
      </c>
      <c r="U52">
        <f>SUMIFS(banco!W:W,banco!$C:$C,$B52,banco!$A:$A,$A52)</f>
        <v>0</v>
      </c>
      <c r="V52" s="12">
        <f>IFERROR(U52/$AN52,0)</f>
        <v>0</v>
      </c>
      <c r="W52">
        <f>SUMIFS(banco!Y:Y,banco!$C:$C,$B52,banco!$A:$A,$A52)</f>
        <v>0</v>
      </c>
      <c r="X52" s="12">
        <f>IFERROR(W52/$AM52,0)</f>
        <v>0</v>
      </c>
      <c r="Y52">
        <f>SUMIFS(banco!AA:AA,banco!$C:$C,$B52,banco!$A:$A,$A52)</f>
        <v>0</v>
      </c>
      <c r="Z52" s="12">
        <f>IFERROR(Y52/$AN52,0)</f>
        <v>0</v>
      </c>
      <c r="AA52">
        <f>SUMIFS(banco!AC:AC,banco!$C:$C,$B52,banco!$A:$A,$A52)</f>
        <v>0</v>
      </c>
      <c r="AB52" s="12">
        <f>IFERROR(AA52/$AM52,0)</f>
        <v>0</v>
      </c>
      <c r="AC52">
        <f>SUMIFS(banco!AE:AE,banco!$C:$C,$B52,banco!$A:$A,$A52)</f>
        <v>0</v>
      </c>
      <c r="AD52" s="12">
        <f>IFERROR(AC52/$AN52,0)</f>
        <v>0</v>
      </c>
      <c r="AE52">
        <f>SUMIFS(banco!AG:AG,banco!$C:$C,$B52,banco!$A:$A,$A52)</f>
        <v>0</v>
      </c>
      <c r="AF52" s="12">
        <f>IFERROR(AE52/$AM52,0)</f>
        <v>0</v>
      </c>
      <c r="AG52">
        <f>SUMIFS(banco!AI:AI,banco!$C:$C,$B52,banco!$A:$A,$A52)</f>
        <v>0</v>
      </c>
      <c r="AH52" s="12">
        <f>IFERROR(AG52/$AN52,0)</f>
        <v>0</v>
      </c>
      <c r="AI52">
        <f>SUMIFS(banco!AK:AK,banco!$C:$C,$B52,banco!$A:$A,$A52)</f>
        <v>0</v>
      </c>
      <c r="AJ52" s="12">
        <f>IFERROR(AI52/$AM52,0)</f>
        <v>0</v>
      </c>
      <c r="AK52">
        <f>SUMIFS(banco!AM:AM,banco!$C:$C,$B52,banco!$A:$A,$A52)</f>
        <v>0</v>
      </c>
      <c r="AL52" s="12">
        <f>IFERROR(AK52/$AN52,0)</f>
        <v>0</v>
      </c>
      <c r="AM52">
        <f>SUMIFS(banco!AO:AO,banco!$C:$C,$B52,banco!$A:$A,$A52)</f>
        <v>0</v>
      </c>
      <c r="AN52">
        <f>SUMIFS(banco!AP:AP,banco!$C:$C,$B52,banco!$A:$A,$A52)</f>
        <v>0</v>
      </c>
      <c r="AO52">
        <v>9974</v>
      </c>
    </row>
    <row r="53" spans="1:41" x14ac:dyDescent="0.25">
      <c r="A53" s="20">
        <v>2018</v>
      </c>
      <c r="B53" s="18" t="s">
        <v>148</v>
      </c>
      <c r="C53">
        <f>SUMIFS(banco!E:E,banco!$C:$C,$B53,banco!$A:$A,$A53)</f>
        <v>0</v>
      </c>
      <c r="D53" s="12">
        <f>IFERROR(C53/$AM53,0)</f>
        <v>0</v>
      </c>
      <c r="E53">
        <f>SUMIFS(banco!G:G,banco!$C:$C,$B53,banco!$A:$A,$A53)</f>
        <v>0</v>
      </c>
      <c r="F53" s="12">
        <f>IFERROR(E53/$AN53,0)</f>
        <v>0</v>
      </c>
      <c r="G53">
        <f>SUMIFS(banco!I:I,banco!$C:$C,$B53,banco!$A:$A,$A53)</f>
        <v>0</v>
      </c>
      <c r="H53" s="12">
        <f>IFERROR(G53/$AM53,0)</f>
        <v>0</v>
      </c>
      <c r="I53">
        <f>SUMIFS(banco!K:K,banco!$C:$C,$B53,banco!$A:$A,$A53)</f>
        <v>0</v>
      </c>
      <c r="J53" s="12">
        <f>IFERROR(I53/$AN53,0)</f>
        <v>0</v>
      </c>
      <c r="K53">
        <f>SUMIFS(banco!M:M,banco!$C:$C,$B53,banco!$A:$A,$A53)</f>
        <v>0</v>
      </c>
      <c r="L53" s="12">
        <f>IFERROR(K53/$AM53,0)</f>
        <v>0</v>
      </c>
      <c r="M53">
        <f>SUMIFS(banco!O:O,banco!$C:$C,$B53,banco!$A:$A,$A53)</f>
        <v>0</v>
      </c>
      <c r="N53" s="12">
        <f>IFERROR(M53/$AN53,0)</f>
        <v>0</v>
      </c>
      <c r="O53">
        <f>SUMIFS(banco!Q:Q,banco!$C:$C,$B53,banco!$A:$A,$A53)</f>
        <v>0</v>
      </c>
      <c r="P53" s="12">
        <f>IFERROR(O53/$AM53,0)</f>
        <v>0</v>
      </c>
      <c r="Q53">
        <f>SUMIFS(banco!S:S,banco!$C:$C,$B53,banco!$A:$A,$A53)</f>
        <v>0</v>
      </c>
      <c r="R53" s="12">
        <f>IFERROR(Q53/$AN53,0)</f>
        <v>0</v>
      </c>
      <c r="S53">
        <f>SUMIFS(banco!U:U,banco!$C:$C,$B53,banco!$A:$A,$A53)</f>
        <v>0</v>
      </c>
      <c r="T53" s="12">
        <f>IFERROR(S53/$AM53,0)</f>
        <v>0</v>
      </c>
      <c r="U53">
        <f>SUMIFS(banco!W:W,banco!$C:$C,$B53,banco!$A:$A,$A53)</f>
        <v>0</v>
      </c>
      <c r="V53" s="12">
        <f>IFERROR(U53/$AN53,0)</f>
        <v>0</v>
      </c>
      <c r="W53">
        <f>SUMIFS(banco!Y:Y,banco!$C:$C,$B53,banco!$A:$A,$A53)</f>
        <v>0</v>
      </c>
      <c r="X53" s="12">
        <f>IFERROR(W53/$AM53,0)</f>
        <v>0</v>
      </c>
      <c r="Y53">
        <f>SUMIFS(banco!AA:AA,banco!$C:$C,$B53,banco!$A:$A,$A53)</f>
        <v>0</v>
      </c>
      <c r="Z53" s="12">
        <f>IFERROR(Y53/$AN53,0)</f>
        <v>0</v>
      </c>
      <c r="AA53">
        <f>SUMIFS(banco!AC:AC,banco!$C:$C,$B53,banco!$A:$A,$A53)</f>
        <v>0</v>
      </c>
      <c r="AB53" s="12">
        <f>IFERROR(AA53/$AM53,0)</f>
        <v>0</v>
      </c>
      <c r="AC53">
        <f>SUMIFS(banco!AE:AE,banco!$C:$C,$B53,banco!$A:$A,$A53)</f>
        <v>0</v>
      </c>
      <c r="AD53" s="12">
        <f>IFERROR(AC53/$AN53,0)</f>
        <v>0</v>
      </c>
      <c r="AE53">
        <f>SUMIFS(banco!AG:AG,banco!$C:$C,$B53,banco!$A:$A,$A53)</f>
        <v>0</v>
      </c>
      <c r="AF53" s="12">
        <f>IFERROR(AE53/$AM53,0)</f>
        <v>0</v>
      </c>
      <c r="AG53">
        <f>SUMIFS(banco!AI:AI,banco!$C:$C,$B53,banco!$A:$A,$A53)</f>
        <v>0</v>
      </c>
      <c r="AH53" s="12">
        <f>IFERROR(AG53/$AN53,0)</f>
        <v>0</v>
      </c>
      <c r="AI53">
        <f>SUMIFS(banco!AK:AK,banco!$C:$C,$B53,banco!$A:$A,$A53)</f>
        <v>0</v>
      </c>
      <c r="AJ53" s="12">
        <f>IFERROR(AI53/$AM53,0)</f>
        <v>0</v>
      </c>
      <c r="AK53">
        <f>SUMIFS(banco!AM:AM,banco!$C:$C,$B53,banco!$A:$A,$A53)</f>
        <v>0</v>
      </c>
      <c r="AL53" s="12">
        <f>IFERROR(AK53/$AN53,0)</f>
        <v>0</v>
      </c>
      <c r="AM53">
        <f>SUMIFS(banco!AO:AO,banco!$C:$C,$B53,banco!$A:$A,$A53)</f>
        <v>0</v>
      </c>
      <c r="AN53">
        <f>SUMIFS(banco!AP:AP,banco!$C:$C,$B53,banco!$A:$A,$A53)</f>
        <v>0</v>
      </c>
      <c r="AO53">
        <v>29309</v>
      </c>
    </row>
    <row r="54" spans="1:41" x14ac:dyDescent="0.25">
      <c r="A54" s="20">
        <v>2018</v>
      </c>
      <c r="B54" s="18" t="s">
        <v>150</v>
      </c>
      <c r="C54">
        <f>SUMIFS(banco!E:E,banco!$C:$C,$B54,banco!$A:$A,$A54)</f>
        <v>0</v>
      </c>
      <c r="D54" s="12">
        <f>IFERROR(C54/$AM54,0)</f>
        <v>0</v>
      </c>
      <c r="E54">
        <f>SUMIFS(banco!G:G,banco!$C:$C,$B54,banco!$A:$A,$A54)</f>
        <v>0</v>
      </c>
      <c r="F54" s="12">
        <f>IFERROR(E54/$AN54,0)</f>
        <v>0</v>
      </c>
      <c r="G54">
        <f>SUMIFS(banco!I:I,banco!$C:$C,$B54,banco!$A:$A,$A54)</f>
        <v>0</v>
      </c>
      <c r="H54" s="12">
        <f>IFERROR(G54/$AM54,0)</f>
        <v>0</v>
      </c>
      <c r="I54">
        <f>SUMIFS(banco!K:K,banco!$C:$C,$B54,banco!$A:$A,$A54)</f>
        <v>0</v>
      </c>
      <c r="J54" s="12">
        <f>IFERROR(I54/$AN54,0)</f>
        <v>0</v>
      </c>
      <c r="K54">
        <f>SUMIFS(banco!M:M,banco!$C:$C,$B54,banco!$A:$A,$A54)</f>
        <v>0</v>
      </c>
      <c r="L54" s="12">
        <f>IFERROR(K54/$AM54,0)</f>
        <v>0</v>
      </c>
      <c r="M54">
        <f>SUMIFS(banco!O:O,banco!$C:$C,$B54,banco!$A:$A,$A54)</f>
        <v>0</v>
      </c>
      <c r="N54" s="12">
        <f>IFERROR(M54/$AN54,0)</f>
        <v>0</v>
      </c>
      <c r="O54">
        <f>SUMIFS(banco!Q:Q,banco!$C:$C,$B54,banco!$A:$A,$A54)</f>
        <v>0</v>
      </c>
      <c r="P54" s="12">
        <f>IFERROR(O54/$AM54,0)</f>
        <v>0</v>
      </c>
      <c r="Q54">
        <f>SUMIFS(banco!S:S,banco!$C:$C,$B54,banco!$A:$A,$A54)</f>
        <v>0</v>
      </c>
      <c r="R54" s="12">
        <f>IFERROR(Q54/$AN54,0)</f>
        <v>0</v>
      </c>
      <c r="S54">
        <f>SUMIFS(banco!U:U,banco!$C:$C,$B54,banco!$A:$A,$A54)</f>
        <v>0</v>
      </c>
      <c r="T54" s="12">
        <f>IFERROR(S54/$AM54,0)</f>
        <v>0</v>
      </c>
      <c r="U54">
        <f>SUMIFS(banco!W:W,banco!$C:$C,$B54,banco!$A:$A,$A54)</f>
        <v>0</v>
      </c>
      <c r="V54" s="12">
        <f>IFERROR(U54/$AN54,0)</f>
        <v>0</v>
      </c>
      <c r="W54">
        <f>SUMIFS(banco!Y:Y,banco!$C:$C,$B54,banco!$A:$A,$A54)</f>
        <v>0</v>
      </c>
      <c r="X54" s="12">
        <f>IFERROR(W54/$AM54,0)</f>
        <v>0</v>
      </c>
      <c r="Y54">
        <f>SUMIFS(banco!AA:AA,banco!$C:$C,$B54,banco!$A:$A,$A54)</f>
        <v>0</v>
      </c>
      <c r="Z54" s="12">
        <f>IFERROR(Y54/$AN54,0)</f>
        <v>0</v>
      </c>
      <c r="AA54">
        <f>SUMIFS(banco!AC:AC,banco!$C:$C,$B54,banco!$A:$A,$A54)</f>
        <v>0</v>
      </c>
      <c r="AB54" s="12">
        <f>IFERROR(AA54/$AM54,0)</f>
        <v>0</v>
      </c>
      <c r="AC54">
        <f>SUMIFS(banco!AE:AE,banco!$C:$C,$B54,banco!$A:$A,$A54)</f>
        <v>0</v>
      </c>
      <c r="AD54" s="12">
        <f>IFERROR(AC54/$AN54,0)</f>
        <v>0</v>
      </c>
      <c r="AE54">
        <f>SUMIFS(banco!AG:AG,banco!$C:$C,$B54,banco!$A:$A,$A54)</f>
        <v>0</v>
      </c>
      <c r="AF54" s="12">
        <f>IFERROR(AE54/$AM54,0)</f>
        <v>0</v>
      </c>
      <c r="AG54">
        <f>SUMIFS(banco!AI:AI,banco!$C:$C,$B54,banco!$A:$A,$A54)</f>
        <v>0</v>
      </c>
      <c r="AH54" s="12">
        <f>IFERROR(AG54/$AN54,0)</f>
        <v>0</v>
      </c>
      <c r="AI54">
        <f>SUMIFS(banco!AK:AK,banco!$C:$C,$B54,banco!$A:$A,$A54)</f>
        <v>0</v>
      </c>
      <c r="AJ54" s="12">
        <f>IFERROR(AI54/$AM54,0)</f>
        <v>0</v>
      </c>
      <c r="AK54">
        <f>SUMIFS(banco!AM:AM,banco!$C:$C,$B54,banco!$A:$A,$A54)</f>
        <v>0</v>
      </c>
      <c r="AL54" s="12">
        <f>IFERROR(AK54/$AN54,0)</f>
        <v>0</v>
      </c>
      <c r="AM54">
        <f>SUMIFS(banco!AO:AO,banco!$C:$C,$B54,banco!$A:$A,$A54)</f>
        <v>0</v>
      </c>
      <c r="AN54">
        <f>SUMIFS(banco!AP:AP,banco!$C:$C,$B54,banco!$A:$A,$A54)</f>
        <v>0</v>
      </c>
      <c r="AO54">
        <v>12246</v>
      </c>
    </row>
    <row r="55" spans="1:41" x14ac:dyDescent="0.25">
      <c r="A55" s="20">
        <v>2018</v>
      </c>
      <c r="B55" s="18" t="s">
        <v>146</v>
      </c>
      <c r="C55">
        <f>SUMIFS(banco!E:E,banco!$C:$C,$B55,banco!$A:$A,$A55)</f>
        <v>0</v>
      </c>
      <c r="D55" s="12">
        <f>IFERROR(C55/$AM55,0)</f>
        <v>0</v>
      </c>
      <c r="E55">
        <f>SUMIFS(banco!G:G,banco!$C:$C,$B55,banco!$A:$A,$A55)</f>
        <v>0</v>
      </c>
      <c r="F55" s="12">
        <f>IFERROR(E55/$AN55,0)</f>
        <v>0</v>
      </c>
      <c r="G55">
        <f>SUMIFS(banco!I:I,banco!$C:$C,$B55,banco!$A:$A,$A55)</f>
        <v>0</v>
      </c>
      <c r="H55" s="12">
        <f>IFERROR(G55/$AM55,0)</f>
        <v>0</v>
      </c>
      <c r="I55">
        <f>SUMIFS(banco!K:K,banco!$C:$C,$B55,banco!$A:$A,$A55)</f>
        <v>0</v>
      </c>
      <c r="J55" s="12">
        <f>IFERROR(I55/$AN55,0)</f>
        <v>0</v>
      </c>
      <c r="K55">
        <f>SUMIFS(banco!M:M,banco!$C:$C,$B55,banco!$A:$A,$A55)</f>
        <v>0</v>
      </c>
      <c r="L55" s="12">
        <f>IFERROR(K55/$AM55,0)</f>
        <v>0</v>
      </c>
      <c r="M55">
        <f>SUMIFS(banco!O:O,banco!$C:$C,$B55,banco!$A:$A,$A55)</f>
        <v>0</v>
      </c>
      <c r="N55" s="12">
        <f>IFERROR(M55/$AN55,0)</f>
        <v>0</v>
      </c>
      <c r="O55">
        <f>SUMIFS(banco!Q:Q,banco!$C:$C,$B55,banco!$A:$A,$A55)</f>
        <v>0</v>
      </c>
      <c r="P55" s="12">
        <f>IFERROR(O55/$AM55,0)</f>
        <v>0</v>
      </c>
      <c r="Q55">
        <f>SUMIFS(banco!S:S,banco!$C:$C,$B55,banco!$A:$A,$A55)</f>
        <v>0</v>
      </c>
      <c r="R55" s="12">
        <f>IFERROR(Q55/$AN55,0)</f>
        <v>0</v>
      </c>
      <c r="S55">
        <f>SUMIFS(banco!U:U,banco!$C:$C,$B55,banco!$A:$A,$A55)</f>
        <v>0</v>
      </c>
      <c r="T55" s="12">
        <f>IFERROR(S55/$AM55,0)</f>
        <v>0</v>
      </c>
      <c r="U55">
        <f>SUMIFS(banco!W:W,banco!$C:$C,$B55,banco!$A:$A,$A55)</f>
        <v>0</v>
      </c>
      <c r="V55" s="12">
        <f>IFERROR(U55/$AN55,0)</f>
        <v>0</v>
      </c>
      <c r="W55">
        <f>SUMIFS(banco!Y:Y,banco!$C:$C,$B55,banco!$A:$A,$A55)</f>
        <v>0</v>
      </c>
      <c r="X55" s="12">
        <f>IFERROR(W55/$AM55,0)</f>
        <v>0</v>
      </c>
      <c r="Y55">
        <f>SUMIFS(banco!AA:AA,banco!$C:$C,$B55,banco!$A:$A,$A55)</f>
        <v>0</v>
      </c>
      <c r="Z55" s="12">
        <f>IFERROR(Y55/$AN55,0)</f>
        <v>0</v>
      </c>
      <c r="AA55">
        <f>SUMIFS(banco!AC:AC,banco!$C:$C,$B55,banco!$A:$A,$A55)</f>
        <v>0</v>
      </c>
      <c r="AB55" s="12">
        <f>IFERROR(AA55/$AM55,0)</f>
        <v>0</v>
      </c>
      <c r="AC55">
        <f>SUMIFS(banco!AE:AE,banco!$C:$C,$B55,banco!$A:$A,$A55)</f>
        <v>0</v>
      </c>
      <c r="AD55" s="12">
        <f>IFERROR(AC55/$AN55,0)</f>
        <v>0</v>
      </c>
      <c r="AE55">
        <f>SUMIFS(banco!AG:AG,banco!$C:$C,$B55,banco!$A:$A,$A55)</f>
        <v>0</v>
      </c>
      <c r="AF55" s="12">
        <f>IFERROR(AE55/$AM55,0)</f>
        <v>0</v>
      </c>
      <c r="AG55">
        <f>SUMIFS(banco!AI:AI,banco!$C:$C,$B55,banco!$A:$A,$A55)</f>
        <v>0</v>
      </c>
      <c r="AH55" s="12">
        <f>IFERROR(AG55/$AN55,0)</f>
        <v>0</v>
      </c>
      <c r="AI55">
        <f>SUMIFS(banco!AK:AK,banco!$C:$C,$B55,banco!$A:$A,$A55)</f>
        <v>0</v>
      </c>
      <c r="AJ55" s="12">
        <f>IFERROR(AI55/$AM55,0)</f>
        <v>0</v>
      </c>
      <c r="AK55">
        <f>SUMIFS(banco!AM:AM,banco!$C:$C,$B55,banco!$A:$A,$A55)</f>
        <v>0</v>
      </c>
      <c r="AL55" s="12">
        <f>IFERROR(AK55/$AN55,0)</f>
        <v>0</v>
      </c>
      <c r="AM55">
        <f>SUMIFS(banco!AO:AO,banco!$C:$C,$B55,banco!$A:$A,$A55)</f>
        <v>0</v>
      </c>
      <c r="AN55">
        <f>SUMIFS(banco!AP:AP,banco!$C:$C,$B55,banco!$A:$A,$A55)</f>
        <v>0</v>
      </c>
      <c r="AO55">
        <v>13122</v>
      </c>
    </row>
    <row r="56" spans="1:41" x14ac:dyDescent="0.25">
      <c r="A56" s="20">
        <v>2018</v>
      </c>
      <c r="B56" s="18" t="s">
        <v>149</v>
      </c>
      <c r="C56">
        <f>SUMIFS(banco!E:E,banco!$C:$C,$B56,banco!$A:$A,$A56)</f>
        <v>0</v>
      </c>
      <c r="D56" s="12">
        <f>IFERROR(C56/$AM56,0)</f>
        <v>0</v>
      </c>
      <c r="E56">
        <f>SUMIFS(banco!G:G,banco!$C:$C,$B56,banco!$A:$A,$A56)</f>
        <v>0</v>
      </c>
      <c r="F56" s="12">
        <f>IFERROR(E56/$AN56,0)</f>
        <v>0</v>
      </c>
      <c r="G56">
        <f>SUMIFS(banco!I:I,banco!$C:$C,$B56,banco!$A:$A,$A56)</f>
        <v>0</v>
      </c>
      <c r="H56" s="12">
        <f>IFERROR(G56/$AM56,0)</f>
        <v>0</v>
      </c>
      <c r="I56">
        <f>SUMIFS(banco!K:K,banco!$C:$C,$B56,banco!$A:$A,$A56)</f>
        <v>0</v>
      </c>
      <c r="J56" s="12">
        <f>IFERROR(I56/$AN56,0)</f>
        <v>0</v>
      </c>
      <c r="K56">
        <f>SUMIFS(banco!M:M,banco!$C:$C,$B56,banco!$A:$A,$A56)</f>
        <v>0</v>
      </c>
      <c r="L56" s="12">
        <f>IFERROR(K56/$AM56,0)</f>
        <v>0</v>
      </c>
      <c r="M56">
        <f>SUMIFS(banco!O:O,banco!$C:$C,$B56,banco!$A:$A,$A56)</f>
        <v>0</v>
      </c>
      <c r="N56" s="12">
        <f>IFERROR(M56/$AN56,0)</f>
        <v>0</v>
      </c>
      <c r="O56">
        <f>SUMIFS(banco!Q:Q,banco!$C:$C,$B56,banco!$A:$A,$A56)</f>
        <v>0</v>
      </c>
      <c r="P56" s="12">
        <f>IFERROR(O56/$AM56,0)</f>
        <v>0</v>
      </c>
      <c r="Q56">
        <f>SUMIFS(banco!S:S,banco!$C:$C,$B56,banco!$A:$A,$A56)</f>
        <v>0</v>
      </c>
      <c r="R56" s="12">
        <f>IFERROR(Q56/$AN56,0)</f>
        <v>0</v>
      </c>
      <c r="S56">
        <f>SUMIFS(banco!U:U,banco!$C:$C,$B56,banco!$A:$A,$A56)</f>
        <v>0</v>
      </c>
      <c r="T56" s="12">
        <f>IFERROR(S56/$AM56,0)</f>
        <v>0</v>
      </c>
      <c r="U56">
        <f>SUMIFS(banco!W:W,banco!$C:$C,$B56,banco!$A:$A,$A56)</f>
        <v>0</v>
      </c>
      <c r="V56" s="12">
        <f>IFERROR(U56/$AN56,0)</f>
        <v>0</v>
      </c>
      <c r="W56">
        <f>SUMIFS(banco!Y:Y,banco!$C:$C,$B56,banco!$A:$A,$A56)</f>
        <v>0</v>
      </c>
      <c r="X56" s="12">
        <f>IFERROR(W56/$AM56,0)</f>
        <v>0</v>
      </c>
      <c r="Y56">
        <f>SUMIFS(banco!AA:AA,banco!$C:$C,$B56,banco!$A:$A,$A56)</f>
        <v>0</v>
      </c>
      <c r="Z56" s="12">
        <f>IFERROR(Y56/$AN56,0)</f>
        <v>0</v>
      </c>
      <c r="AA56">
        <f>SUMIFS(banco!AC:AC,banco!$C:$C,$B56,banco!$A:$A,$A56)</f>
        <v>0</v>
      </c>
      <c r="AB56" s="12">
        <f>IFERROR(AA56/$AM56,0)</f>
        <v>0</v>
      </c>
      <c r="AC56">
        <f>SUMIFS(banco!AE:AE,banco!$C:$C,$B56,banco!$A:$A,$A56)</f>
        <v>0</v>
      </c>
      <c r="AD56" s="12">
        <f>IFERROR(AC56/$AN56,0)</f>
        <v>0</v>
      </c>
      <c r="AE56">
        <f>SUMIFS(banco!AG:AG,banco!$C:$C,$B56,banco!$A:$A,$A56)</f>
        <v>0</v>
      </c>
      <c r="AF56" s="12">
        <f>IFERROR(AE56/$AM56,0)</f>
        <v>0</v>
      </c>
      <c r="AG56">
        <f>SUMIFS(banco!AI:AI,banco!$C:$C,$B56,banco!$A:$A,$A56)</f>
        <v>0</v>
      </c>
      <c r="AH56" s="12">
        <f>IFERROR(AG56/$AN56,0)</f>
        <v>0</v>
      </c>
      <c r="AI56">
        <f>SUMIFS(banco!AK:AK,banco!$C:$C,$B56,banco!$A:$A,$A56)</f>
        <v>0</v>
      </c>
      <c r="AJ56" s="12">
        <f>IFERROR(AI56/$AM56,0)</f>
        <v>0</v>
      </c>
      <c r="AK56">
        <f>SUMIFS(banco!AM:AM,banco!$C:$C,$B56,banco!$A:$A,$A56)</f>
        <v>0</v>
      </c>
      <c r="AL56" s="12">
        <f>IFERROR(AK56/$AN56,0)</f>
        <v>0</v>
      </c>
      <c r="AM56">
        <f>SUMIFS(banco!AO:AO,banco!$C:$C,$B56,banco!$A:$A,$A56)</f>
        <v>0</v>
      </c>
      <c r="AN56">
        <f>SUMIFS(banco!AP:AP,banco!$C:$C,$B56,banco!$A:$A,$A56)</f>
        <v>0</v>
      </c>
      <c r="AO56">
        <v>23222</v>
      </c>
    </row>
    <row r="57" spans="1:41" x14ac:dyDescent="0.25">
      <c r="A57" s="20">
        <v>2018</v>
      </c>
      <c r="B57" s="18" t="s">
        <v>147</v>
      </c>
      <c r="C57">
        <f>SUMIFS(banco!E:E,banco!$C:$C,$B57,banco!$A:$A,$A57)</f>
        <v>0</v>
      </c>
      <c r="D57" s="12">
        <f>IFERROR(C57/$AM57,0)</f>
        <v>0</v>
      </c>
      <c r="E57">
        <f>SUMIFS(banco!G:G,banco!$C:$C,$B57,banco!$A:$A,$A57)</f>
        <v>0</v>
      </c>
      <c r="F57" s="12">
        <f>IFERROR(E57/$AN57,0)</f>
        <v>0</v>
      </c>
      <c r="G57">
        <f>SUMIFS(banco!I:I,banco!$C:$C,$B57,banco!$A:$A,$A57)</f>
        <v>0</v>
      </c>
      <c r="H57" s="12">
        <f>IFERROR(G57/$AM57,0)</f>
        <v>0</v>
      </c>
      <c r="I57">
        <f>SUMIFS(banco!K:K,banco!$C:$C,$B57,banco!$A:$A,$A57)</f>
        <v>0</v>
      </c>
      <c r="J57" s="12">
        <f>IFERROR(I57/$AN57,0)</f>
        <v>0</v>
      </c>
      <c r="K57">
        <f>SUMIFS(banco!M:M,banco!$C:$C,$B57,banco!$A:$A,$A57)</f>
        <v>0</v>
      </c>
      <c r="L57" s="12">
        <f>IFERROR(K57/$AM57,0)</f>
        <v>0</v>
      </c>
      <c r="M57">
        <f>SUMIFS(banco!O:O,banco!$C:$C,$B57,banco!$A:$A,$A57)</f>
        <v>0</v>
      </c>
      <c r="N57" s="12">
        <f>IFERROR(M57/$AN57,0)</f>
        <v>0</v>
      </c>
      <c r="O57">
        <f>SUMIFS(banco!Q:Q,banco!$C:$C,$B57,banco!$A:$A,$A57)</f>
        <v>0</v>
      </c>
      <c r="P57" s="12">
        <f>IFERROR(O57/$AM57,0)</f>
        <v>0</v>
      </c>
      <c r="Q57">
        <f>SUMIFS(banco!S:S,banco!$C:$C,$B57,banco!$A:$A,$A57)</f>
        <v>0</v>
      </c>
      <c r="R57" s="12">
        <f>IFERROR(Q57/$AN57,0)</f>
        <v>0</v>
      </c>
      <c r="S57">
        <f>SUMIFS(banco!U:U,banco!$C:$C,$B57,banco!$A:$A,$A57)</f>
        <v>0</v>
      </c>
      <c r="T57" s="12">
        <f>IFERROR(S57/$AM57,0)</f>
        <v>0</v>
      </c>
      <c r="U57">
        <f>SUMIFS(banco!W:W,banco!$C:$C,$B57,banco!$A:$A,$A57)</f>
        <v>0</v>
      </c>
      <c r="V57" s="12">
        <f>IFERROR(U57/$AN57,0)</f>
        <v>0</v>
      </c>
      <c r="W57">
        <f>SUMIFS(banco!Y:Y,banco!$C:$C,$B57,banco!$A:$A,$A57)</f>
        <v>0</v>
      </c>
      <c r="X57" s="12">
        <f>IFERROR(W57/$AM57,0)</f>
        <v>0</v>
      </c>
      <c r="Y57">
        <f>SUMIFS(banco!AA:AA,banco!$C:$C,$B57,banco!$A:$A,$A57)</f>
        <v>0</v>
      </c>
      <c r="Z57" s="12">
        <f>IFERROR(Y57/$AN57,0)</f>
        <v>0</v>
      </c>
      <c r="AA57">
        <f>SUMIFS(banco!AC:AC,banco!$C:$C,$B57,banco!$A:$A,$A57)</f>
        <v>0</v>
      </c>
      <c r="AB57" s="12">
        <f>IFERROR(AA57/$AM57,0)</f>
        <v>0</v>
      </c>
      <c r="AC57">
        <f>SUMIFS(banco!AE:AE,banco!$C:$C,$B57,banco!$A:$A,$A57)</f>
        <v>0</v>
      </c>
      <c r="AD57" s="12">
        <f>IFERROR(AC57/$AN57,0)</f>
        <v>0</v>
      </c>
      <c r="AE57">
        <f>SUMIFS(banco!AG:AG,banco!$C:$C,$B57,banco!$A:$A,$A57)</f>
        <v>0</v>
      </c>
      <c r="AF57" s="12">
        <f>IFERROR(AE57/$AM57,0)</f>
        <v>0</v>
      </c>
      <c r="AG57">
        <f>SUMIFS(banco!AI:AI,banco!$C:$C,$B57,banco!$A:$A,$A57)</f>
        <v>0</v>
      </c>
      <c r="AH57" s="12">
        <f>IFERROR(AG57/$AN57,0)</f>
        <v>0</v>
      </c>
      <c r="AI57">
        <f>SUMIFS(banco!AK:AK,banco!$C:$C,$B57,banco!$A:$A,$A57)</f>
        <v>0</v>
      </c>
      <c r="AJ57" s="12">
        <f>IFERROR(AI57/$AM57,0)</f>
        <v>0</v>
      </c>
      <c r="AK57">
        <f>SUMIFS(banco!AM:AM,banco!$C:$C,$B57,banco!$A:$A,$A57)</f>
        <v>0</v>
      </c>
      <c r="AL57" s="12">
        <f>IFERROR(AK57/$AN57,0)</f>
        <v>0</v>
      </c>
      <c r="AM57">
        <f>SUMIFS(banco!AO:AO,banco!$C:$C,$B57,banco!$A:$A,$A57)</f>
        <v>0</v>
      </c>
      <c r="AN57">
        <f>SUMIFS(banco!AP:AP,banco!$C:$C,$B57,banco!$A:$A,$A57)</f>
        <v>0</v>
      </c>
      <c r="AO57">
        <v>7525</v>
      </c>
    </row>
    <row r="58" spans="1:41" x14ac:dyDescent="0.25">
      <c r="A58" s="20">
        <v>2017</v>
      </c>
      <c r="B58" s="18" t="s">
        <v>151</v>
      </c>
      <c r="C58">
        <f>SUMIFS(banco!E:E,banco!$C:$C,$B58,banco!$A:$A,$A58)</f>
        <v>0</v>
      </c>
      <c r="D58" s="12">
        <f>IFERROR(C58/$AM58,0)</f>
        <v>0</v>
      </c>
      <c r="E58">
        <f>SUMIFS(banco!G:G,banco!$C:$C,$B58,banco!$A:$A,$A58)</f>
        <v>0</v>
      </c>
      <c r="F58" s="12">
        <f>IFERROR(E58/$AN58,0)</f>
        <v>0</v>
      </c>
      <c r="G58">
        <f>SUMIFS(banco!I:I,banco!$C:$C,$B58,banco!$A:$A,$A58)</f>
        <v>0</v>
      </c>
      <c r="H58" s="12">
        <f>IFERROR(G58/$AM58,0)</f>
        <v>0</v>
      </c>
      <c r="I58">
        <f>SUMIFS(banco!K:K,banco!$C:$C,$B58,banco!$A:$A,$A58)</f>
        <v>0</v>
      </c>
      <c r="J58" s="12">
        <f>IFERROR(I58/$AN58,0)</f>
        <v>0</v>
      </c>
      <c r="K58">
        <f>SUMIFS(banco!M:M,banco!$C:$C,$B58,banco!$A:$A,$A58)</f>
        <v>0</v>
      </c>
      <c r="L58" s="12">
        <f>IFERROR(K58/$AM58,0)</f>
        <v>0</v>
      </c>
      <c r="M58">
        <f>SUMIFS(banco!O:O,banco!$C:$C,$B58,banco!$A:$A,$A58)</f>
        <v>0</v>
      </c>
      <c r="N58" s="12">
        <f>IFERROR(M58/$AN58,0)</f>
        <v>0</v>
      </c>
      <c r="O58">
        <f>SUMIFS(banco!Q:Q,banco!$C:$C,$B58,banco!$A:$A,$A58)</f>
        <v>0</v>
      </c>
      <c r="P58" s="12">
        <f>IFERROR(O58/$AM58,0)</f>
        <v>0</v>
      </c>
      <c r="Q58">
        <f>SUMIFS(banco!S:S,banco!$C:$C,$B58,banco!$A:$A,$A58)</f>
        <v>0</v>
      </c>
      <c r="R58" s="12">
        <f>IFERROR(Q58/$AN58,0)</f>
        <v>0</v>
      </c>
      <c r="S58">
        <f>SUMIFS(banco!U:U,banco!$C:$C,$B58,banco!$A:$A,$A58)</f>
        <v>0</v>
      </c>
      <c r="T58" s="12">
        <f>IFERROR(S58/$AM58,0)</f>
        <v>0</v>
      </c>
      <c r="U58">
        <f>SUMIFS(banco!W:W,banco!$C:$C,$B58,banco!$A:$A,$A58)</f>
        <v>0</v>
      </c>
      <c r="V58" s="12">
        <f>IFERROR(U58/$AN58,0)</f>
        <v>0</v>
      </c>
      <c r="W58">
        <f>SUMIFS(banco!Y:Y,banco!$C:$C,$B58,banco!$A:$A,$A58)</f>
        <v>0</v>
      </c>
      <c r="X58" s="12">
        <f>IFERROR(W58/$AM58,0)</f>
        <v>0</v>
      </c>
      <c r="Y58">
        <f>SUMIFS(banco!AA:AA,banco!$C:$C,$B58,banco!$A:$A,$A58)</f>
        <v>0</v>
      </c>
      <c r="Z58" s="12">
        <f>IFERROR(Y58/$AN58,0)</f>
        <v>0</v>
      </c>
      <c r="AA58">
        <f>SUMIFS(banco!AC:AC,banco!$C:$C,$B58,banco!$A:$A,$A58)</f>
        <v>0</v>
      </c>
      <c r="AB58" s="12">
        <f>IFERROR(AA58/$AM58,0)</f>
        <v>0</v>
      </c>
      <c r="AC58">
        <f>SUMIFS(banco!AE:AE,banco!$C:$C,$B58,banco!$A:$A,$A58)</f>
        <v>0</v>
      </c>
      <c r="AD58" s="12">
        <f>IFERROR(AC58/$AN58,0)</f>
        <v>0</v>
      </c>
      <c r="AE58">
        <f>SUMIFS(banco!AG:AG,banco!$C:$C,$B58,banco!$A:$A,$A58)</f>
        <v>0</v>
      </c>
      <c r="AF58" s="12">
        <f>IFERROR(AE58/$AM58,0)</f>
        <v>0</v>
      </c>
      <c r="AG58">
        <f>SUMIFS(banco!AI:AI,banco!$C:$C,$B58,banco!$A:$A,$A58)</f>
        <v>0</v>
      </c>
      <c r="AH58" s="12">
        <f>IFERROR(AG58/$AN58,0)</f>
        <v>0</v>
      </c>
      <c r="AI58">
        <f>SUMIFS(banco!AK:AK,banco!$C:$C,$B58,banco!$A:$A,$A58)</f>
        <v>0</v>
      </c>
      <c r="AJ58" s="12">
        <f>IFERROR(AI58/$AM58,0)</f>
        <v>0</v>
      </c>
      <c r="AK58">
        <f>SUMIFS(banco!AM:AM,banco!$C:$C,$B58,banco!$A:$A,$A58)</f>
        <v>0</v>
      </c>
      <c r="AL58" s="12">
        <f>IFERROR(AK58/$AN58,0)</f>
        <v>0</v>
      </c>
      <c r="AM58">
        <f>SUMIFS(banco!AO:AO,banco!$C:$C,$B58,banco!$A:$A,$A58)</f>
        <v>0</v>
      </c>
      <c r="AN58">
        <f>SUMIFS(banco!AP:AP,banco!$C:$C,$B58,banco!$A:$A,$A58)</f>
        <v>0</v>
      </c>
      <c r="AO58">
        <v>9763</v>
      </c>
    </row>
    <row r="59" spans="1:41" x14ac:dyDescent="0.25">
      <c r="A59" s="20">
        <v>2017</v>
      </c>
      <c r="B59" s="18" t="s">
        <v>145</v>
      </c>
      <c r="C59">
        <f>SUMIFS(banco!E:E,banco!$C:$C,$B59,banco!$A:$A,$A59)</f>
        <v>0</v>
      </c>
      <c r="D59" s="12">
        <f>IFERROR(C59/$AM59,0)</f>
        <v>0</v>
      </c>
      <c r="E59">
        <f>SUMIFS(banco!G:G,banco!$C:$C,$B59,banco!$A:$A,$A59)</f>
        <v>0</v>
      </c>
      <c r="F59" s="12">
        <f>IFERROR(E59/$AN59,0)</f>
        <v>0</v>
      </c>
      <c r="G59">
        <f>SUMIFS(banco!I:I,banco!$C:$C,$B59,banco!$A:$A,$A59)</f>
        <v>0</v>
      </c>
      <c r="H59" s="12">
        <f>IFERROR(G59/$AM59,0)</f>
        <v>0</v>
      </c>
      <c r="I59">
        <f>SUMIFS(banco!K:K,banco!$C:$C,$B59,banco!$A:$A,$A59)</f>
        <v>0</v>
      </c>
      <c r="J59" s="12">
        <f>IFERROR(I59/$AN59,0)</f>
        <v>0</v>
      </c>
      <c r="K59">
        <f>SUMIFS(banco!M:M,banco!$C:$C,$B59,banco!$A:$A,$A59)</f>
        <v>0</v>
      </c>
      <c r="L59" s="12">
        <f>IFERROR(K59/$AM59,0)</f>
        <v>0</v>
      </c>
      <c r="M59">
        <f>SUMIFS(banco!O:O,banco!$C:$C,$B59,banco!$A:$A,$A59)</f>
        <v>0</v>
      </c>
      <c r="N59" s="12">
        <f>IFERROR(M59/$AN59,0)</f>
        <v>0</v>
      </c>
      <c r="O59">
        <f>SUMIFS(banco!Q:Q,banco!$C:$C,$B59,banco!$A:$A,$A59)</f>
        <v>0</v>
      </c>
      <c r="P59" s="12">
        <f>IFERROR(O59/$AM59,0)</f>
        <v>0</v>
      </c>
      <c r="Q59">
        <f>SUMIFS(banco!S:S,banco!$C:$C,$B59,banco!$A:$A,$A59)</f>
        <v>0</v>
      </c>
      <c r="R59" s="12">
        <f>IFERROR(Q59/$AN59,0)</f>
        <v>0</v>
      </c>
      <c r="S59">
        <f>SUMIFS(banco!U:U,banco!$C:$C,$B59,banco!$A:$A,$A59)</f>
        <v>0</v>
      </c>
      <c r="T59" s="12">
        <f>IFERROR(S59/$AM59,0)</f>
        <v>0</v>
      </c>
      <c r="U59">
        <f>SUMIFS(banco!W:W,banco!$C:$C,$B59,banco!$A:$A,$A59)</f>
        <v>0</v>
      </c>
      <c r="V59" s="12">
        <f>IFERROR(U59/$AN59,0)</f>
        <v>0</v>
      </c>
      <c r="W59">
        <f>SUMIFS(banco!Y:Y,banco!$C:$C,$B59,banco!$A:$A,$A59)</f>
        <v>0</v>
      </c>
      <c r="X59" s="12">
        <f>IFERROR(W59/$AM59,0)</f>
        <v>0</v>
      </c>
      <c r="Y59">
        <f>SUMIFS(banco!AA:AA,banco!$C:$C,$B59,banco!$A:$A,$A59)</f>
        <v>0</v>
      </c>
      <c r="Z59" s="12">
        <f>IFERROR(Y59/$AN59,0)</f>
        <v>0</v>
      </c>
      <c r="AA59">
        <f>SUMIFS(banco!AC:AC,banco!$C:$C,$B59,banco!$A:$A,$A59)</f>
        <v>0</v>
      </c>
      <c r="AB59" s="12">
        <f>IFERROR(AA59/$AM59,0)</f>
        <v>0</v>
      </c>
      <c r="AC59">
        <f>SUMIFS(banco!AE:AE,banco!$C:$C,$B59,banco!$A:$A,$A59)</f>
        <v>0</v>
      </c>
      <c r="AD59" s="12">
        <f>IFERROR(AC59/$AN59,0)</f>
        <v>0</v>
      </c>
      <c r="AE59">
        <f>SUMIFS(banco!AG:AG,banco!$C:$C,$B59,banco!$A:$A,$A59)</f>
        <v>0</v>
      </c>
      <c r="AF59" s="12">
        <f>IFERROR(AE59/$AM59,0)</f>
        <v>0</v>
      </c>
      <c r="AG59">
        <f>SUMIFS(banco!AI:AI,banco!$C:$C,$B59,banco!$A:$A,$A59)</f>
        <v>0</v>
      </c>
      <c r="AH59" s="12">
        <f>IFERROR(AG59/$AN59,0)</f>
        <v>0</v>
      </c>
      <c r="AI59">
        <f>SUMIFS(banco!AK:AK,banco!$C:$C,$B59,banco!$A:$A,$A59)</f>
        <v>0</v>
      </c>
      <c r="AJ59" s="12">
        <f>IFERROR(AI59/$AM59,0)</f>
        <v>0</v>
      </c>
      <c r="AK59">
        <f>SUMIFS(banco!AM:AM,banco!$C:$C,$B59,banco!$A:$A,$A59)</f>
        <v>0</v>
      </c>
      <c r="AL59" s="12">
        <f>IFERROR(AK59/$AN59,0)</f>
        <v>0</v>
      </c>
      <c r="AM59">
        <f>SUMIFS(banco!AO:AO,banco!$C:$C,$B59,banco!$A:$A,$A59)</f>
        <v>0</v>
      </c>
      <c r="AN59">
        <f>SUMIFS(banco!AP:AP,banco!$C:$C,$B59,banco!$A:$A,$A59)</f>
        <v>0</v>
      </c>
      <c r="AO59">
        <v>18401</v>
      </c>
    </row>
    <row r="60" spans="1:41" x14ac:dyDescent="0.25">
      <c r="A60" s="20">
        <v>2017</v>
      </c>
      <c r="B60" s="18" t="s">
        <v>144</v>
      </c>
      <c r="C60">
        <f>SUMIFS(banco!E:E,banco!$C:$C,$B60,banco!$A:$A,$A60)</f>
        <v>0</v>
      </c>
      <c r="D60" s="12">
        <f>IFERROR(C60/$AM60,0)</f>
        <v>0</v>
      </c>
      <c r="E60">
        <f>SUMIFS(banco!G:G,banco!$C:$C,$B60,banco!$A:$A,$A60)</f>
        <v>0</v>
      </c>
      <c r="F60" s="12">
        <f>IFERROR(E60/$AN60,0)</f>
        <v>0</v>
      </c>
      <c r="G60">
        <f>SUMIFS(banco!I:I,banco!$C:$C,$B60,banco!$A:$A,$A60)</f>
        <v>0</v>
      </c>
      <c r="H60" s="12">
        <f>IFERROR(G60/$AM60,0)</f>
        <v>0</v>
      </c>
      <c r="I60">
        <f>SUMIFS(banco!K:K,banco!$C:$C,$B60,banco!$A:$A,$A60)</f>
        <v>0</v>
      </c>
      <c r="J60" s="12">
        <f>IFERROR(I60/$AN60,0)</f>
        <v>0</v>
      </c>
      <c r="K60">
        <f>SUMIFS(banco!M:M,banco!$C:$C,$B60,banco!$A:$A,$A60)</f>
        <v>0</v>
      </c>
      <c r="L60" s="12">
        <f>IFERROR(K60/$AM60,0)</f>
        <v>0</v>
      </c>
      <c r="M60">
        <f>SUMIFS(banco!O:O,banco!$C:$C,$B60,banco!$A:$A,$A60)</f>
        <v>0</v>
      </c>
      <c r="N60" s="12">
        <f>IFERROR(M60/$AN60,0)</f>
        <v>0</v>
      </c>
      <c r="O60">
        <f>SUMIFS(banco!Q:Q,banco!$C:$C,$B60,banco!$A:$A,$A60)</f>
        <v>0</v>
      </c>
      <c r="P60" s="12">
        <f>IFERROR(O60/$AM60,0)</f>
        <v>0</v>
      </c>
      <c r="Q60">
        <f>SUMIFS(banco!S:S,banco!$C:$C,$B60,banco!$A:$A,$A60)</f>
        <v>0</v>
      </c>
      <c r="R60" s="12">
        <f>IFERROR(Q60/$AN60,0)</f>
        <v>0</v>
      </c>
      <c r="S60">
        <f>SUMIFS(banco!U:U,banco!$C:$C,$B60,banco!$A:$A,$A60)</f>
        <v>0</v>
      </c>
      <c r="T60" s="12">
        <f>IFERROR(S60/$AM60,0)</f>
        <v>0</v>
      </c>
      <c r="U60">
        <f>SUMIFS(banco!W:W,banco!$C:$C,$B60,banco!$A:$A,$A60)</f>
        <v>0</v>
      </c>
      <c r="V60" s="12">
        <f>IFERROR(U60/$AN60,0)</f>
        <v>0</v>
      </c>
      <c r="W60">
        <f>SUMIFS(banco!Y:Y,banco!$C:$C,$B60,banco!$A:$A,$A60)</f>
        <v>0</v>
      </c>
      <c r="X60" s="12">
        <f>IFERROR(W60/$AM60,0)</f>
        <v>0</v>
      </c>
      <c r="Y60">
        <f>SUMIFS(banco!AA:AA,banco!$C:$C,$B60,banco!$A:$A,$A60)</f>
        <v>0</v>
      </c>
      <c r="Z60" s="12">
        <f>IFERROR(Y60/$AN60,0)</f>
        <v>0</v>
      </c>
      <c r="AA60">
        <f>SUMIFS(banco!AC:AC,banco!$C:$C,$B60,banco!$A:$A,$A60)</f>
        <v>0</v>
      </c>
      <c r="AB60" s="12">
        <f>IFERROR(AA60/$AM60,0)</f>
        <v>0</v>
      </c>
      <c r="AC60">
        <f>SUMIFS(banco!AE:AE,banco!$C:$C,$B60,banco!$A:$A,$A60)</f>
        <v>0</v>
      </c>
      <c r="AD60" s="12">
        <f>IFERROR(AC60/$AN60,0)</f>
        <v>0</v>
      </c>
      <c r="AE60">
        <f>SUMIFS(banco!AG:AG,banco!$C:$C,$B60,banco!$A:$A,$A60)</f>
        <v>0</v>
      </c>
      <c r="AF60" s="12">
        <f>IFERROR(AE60/$AM60,0)</f>
        <v>0</v>
      </c>
      <c r="AG60">
        <f>SUMIFS(banco!AI:AI,banco!$C:$C,$B60,banco!$A:$A,$A60)</f>
        <v>0</v>
      </c>
      <c r="AH60" s="12">
        <f>IFERROR(AG60/$AN60,0)</f>
        <v>0</v>
      </c>
      <c r="AI60">
        <f>SUMIFS(banco!AK:AK,banco!$C:$C,$B60,banco!$A:$A,$A60)</f>
        <v>0</v>
      </c>
      <c r="AJ60" s="12">
        <f>IFERROR(AI60/$AM60,0)</f>
        <v>0</v>
      </c>
      <c r="AK60">
        <f>SUMIFS(banco!AM:AM,banco!$C:$C,$B60,banco!$A:$A,$A60)</f>
        <v>0</v>
      </c>
      <c r="AL60" s="12">
        <f>IFERROR(AK60/$AN60,0)</f>
        <v>0</v>
      </c>
      <c r="AM60">
        <f>SUMIFS(banco!AO:AO,banco!$C:$C,$B60,banco!$A:$A,$A60)</f>
        <v>0</v>
      </c>
      <c r="AN60">
        <f>SUMIFS(banco!AP:AP,banco!$C:$C,$B60,banco!$A:$A,$A60)</f>
        <v>0</v>
      </c>
      <c r="AO60">
        <v>10028</v>
      </c>
    </row>
    <row r="61" spans="1:41" x14ac:dyDescent="0.25">
      <c r="A61" s="20">
        <v>2017</v>
      </c>
      <c r="B61" s="18" t="s">
        <v>148</v>
      </c>
      <c r="C61">
        <f>SUMIFS(banco!E:E,banco!$C:$C,$B61,banco!$A:$A,$A61)</f>
        <v>0</v>
      </c>
      <c r="D61" s="12">
        <f>IFERROR(C61/$AM61,0)</f>
        <v>0</v>
      </c>
      <c r="E61">
        <f>SUMIFS(banco!G:G,banco!$C:$C,$B61,banco!$A:$A,$A61)</f>
        <v>0</v>
      </c>
      <c r="F61" s="12">
        <f>IFERROR(E61/$AN61,0)</f>
        <v>0</v>
      </c>
      <c r="G61">
        <f>SUMIFS(banco!I:I,banco!$C:$C,$B61,banco!$A:$A,$A61)</f>
        <v>0</v>
      </c>
      <c r="H61" s="12">
        <f>IFERROR(G61/$AM61,0)</f>
        <v>0</v>
      </c>
      <c r="I61">
        <f>SUMIFS(banco!K:K,banco!$C:$C,$B61,banco!$A:$A,$A61)</f>
        <v>0</v>
      </c>
      <c r="J61" s="12">
        <f>IFERROR(I61/$AN61,0)</f>
        <v>0</v>
      </c>
      <c r="K61">
        <f>SUMIFS(banco!M:M,banco!$C:$C,$B61,banco!$A:$A,$A61)</f>
        <v>0</v>
      </c>
      <c r="L61" s="12">
        <f>IFERROR(K61/$AM61,0)</f>
        <v>0</v>
      </c>
      <c r="M61">
        <f>SUMIFS(banco!O:O,banco!$C:$C,$B61,banco!$A:$A,$A61)</f>
        <v>0</v>
      </c>
      <c r="N61" s="12">
        <f>IFERROR(M61/$AN61,0)</f>
        <v>0</v>
      </c>
      <c r="O61">
        <f>SUMIFS(banco!Q:Q,banco!$C:$C,$B61,banco!$A:$A,$A61)</f>
        <v>0</v>
      </c>
      <c r="P61" s="12">
        <f>IFERROR(O61/$AM61,0)</f>
        <v>0</v>
      </c>
      <c r="Q61">
        <f>SUMIFS(banco!S:S,banco!$C:$C,$B61,banco!$A:$A,$A61)</f>
        <v>0</v>
      </c>
      <c r="R61" s="12">
        <f>IFERROR(Q61/$AN61,0)</f>
        <v>0</v>
      </c>
      <c r="S61">
        <f>SUMIFS(banco!U:U,banco!$C:$C,$B61,banco!$A:$A,$A61)</f>
        <v>0</v>
      </c>
      <c r="T61" s="12">
        <f>IFERROR(S61/$AM61,0)</f>
        <v>0</v>
      </c>
      <c r="U61">
        <f>SUMIFS(banco!W:W,banco!$C:$C,$B61,banco!$A:$A,$A61)</f>
        <v>0</v>
      </c>
      <c r="V61" s="12">
        <f>IFERROR(U61/$AN61,0)</f>
        <v>0</v>
      </c>
      <c r="W61">
        <f>SUMIFS(banco!Y:Y,banco!$C:$C,$B61,banco!$A:$A,$A61)</f>
        <v>0</v>
      </c>
      <c r="X61" s="12">
        <f>IFERROR(W61/$AM61,0)</f>
        <v>0</v>
      </c>
      <c r="Y61">
        <f>SUMIFS(banco!AA:AA,banco!$C:$C,$B61,banco!$A:$A,$A61)</f>
        <v>0</v>
      </c>
      <c r="Z61" s="12">
        <f>IFERROR(Y61/$AN61,0)</f>
        <v>0</v>
      </c>
      <c r="AA61">
        <f>SUMIFS(banco!AC:AC,banco!$C:$C,$B61,banco!$A:$A,$A61)</f>
        <v>0</v>
      </c>
      <c r="AB61" s="12">
        <f>IFERROR(AA61/$AM61,0)</f>
        <v>0</v>
      </c>
      <c r="AC61">
        <f>SUMIFS(banco!AE:AE,banco!$C:$C,$B61,banco!$A:$A,$A61)</f>
        <v>0</v>
      </c>
      <c r="AD61" s="12">
        <f>IFERROR(AC61/$AN61,0)</f>
        <v>0</v>
      </c>
      <c r="AE61">
        <f>SUMIFS(banco!AG:AG,banco!$C:$C,$B61,banco!$A:$A,$A61)</f>
        <v>0</v>
      </c>
      <c r="AF61" s="12">
        <f>IFERROR(AE61/$AM61,0)</f>
        <v>0</v>
      </c>
      <c r="AG61">
        <f>SUMIFS(banco!AI:AI,banco!$C:$C,$B61,banco!$A:$A,$A61)</f>
        <v>0</v>
      </c>
      <c r="AH61" s="12">
        <f>IFERROR(AG61/$AN61,0)</f>
        <v>0</v>
      </c>
      <c r="AI61">
        <f>SUMIFS(banco!AK:AK,banco!$C:$C,$B61,banco!$A:$A,$A61)</f>
        <v>0</v>
      </c>
      <c r="AJ61" s="12">
        <f>IFERROR(AI61/$AM61,0)</f>
        <v>0</v>
      </c>
      <c r="AK61">
        <f>SUMIFS(banco!AM:AM,banco!$C:$C,$B61,banco!$A:$A,$A61)</f>
        <v>0</v>
      </c>
      <c r="AL61" s="12">
        <f>IFERROR(AK61/$AN61,0)</f>
        <v>0</v>
      </c>
      <c r="AM61">
        <f>SUMIFS(banco!AO:AO,banco!$C:$C,$B61,banco!$A:$A,$A61)</f>
        <v>0</v>
      </c>
      <c r="AN61">
        <f>SUMIFS(banco!AP:AP,banco!$C:$C,$B61,banco!$A:$A,$A61)</f>
        <v>0</v>
      </c>
      <c r="AO61">
        <v>29227</v>
      </c>
    </row>
    <row r="62" spans="1:41" x14ac:dyDescent="0.25">
      <c r="A62" s="20">
        <v>2017</v>
      </c>
      <c r="B62" s="18" t="s">
        <v>150</v>
      </c>
      <c r="C62">
        <f>SUMIFS(banco!E:E,banco!$C:$C,$B62,banco!$A:$A,$A62)</f>
        <v>0</v>
      </c>
      <c r="D62" s="12">
        <f>IFERROR(C62/$AM62,0)</f>
        <v>0</v>
      </c>
      <c r="E62">
        <f>SUMIFS(banco!G:G,banco!$C:$C,$B62,banco!$A:$A,$A62)</f>
        <v>0</v>
      </c>
      <c r="F62" s="12">
        <f>IFERROR(E62/$AN62,0)</f>
        <v>0</v>
      </c>
      <c r="G62">
        <f>SUMIFS(banco!I:I,banco!$C:$C,$B62,banco!$A:$A,$A62)</f>
        <v>0</v>
      </c>
      <c r="H62" s="12">
        <f>IFERROR(G62/$AM62,0)</f>
        <v>0</v>
      </c>
      <c r="I62">
        <f>SUMIFS(banco!K:K,banco!$C:$C,$B62,banco!$A:$A,$A62)</f>
        <v>0</v>
      </c>
      <c r="J62" s="12">
        <f>IFERROR(I62/$AN62,0)</f>
        <v>0</v>
      </c>
      <c r="K62">
        <f>SUMIFS(banco!M:M,banco!$C:$C,$B62,banco!$A:$A,$A62)</f>
        <v>0</v>
      </c>
      <c r="L62" s="12">
        <f>IFERROR(K62/$AM62,0)</f>
        <v>0</v>
      </c>
      <c r="M62">
        <f>SUMIFS(banco!O:O,banco!$C:$C,$B62,banco!$A:$A,$A62)</f>
        <v>0</v>
      </c>
      <c r="N62" s="12">
        <f>IFERROR(M62/$AN62,0)</f>
        <v>0</v>
      </c>
      <c r="O62">
        <f>SUMIFS(banco!Q:Q,banco!$C:$C,$B62,banco!$A:$A,$A62)</f>
        <v>0</v>
      </c>
      <c r="P62" s="12">
        <f>IFERROR(O62/$AM62,0)</f>
        <v>0</v>
      </c>
      <c r="Q62">
        <f>SUMIFS(banco!S:S,banco!$C:$C,$B62,banco!$A:$A,$A62)</f>
        <v>0</v>
      </c>
      <c r="R62" s="12">
        <f>IFERROR(Q62/$AN62,0)</f>
        <v>0</v>
      </c>
      <c r="S62">
        <f>SUMIFS(banco!U:U,banco!$C:$C,$B62,banco!$A:$A,$A62)</f>
        <v>0</v>
      </c>
      <c r="T62" s="12">
        <f>IFERROR(S62/$AM62,0)</f>
        <v>0</v>
      </c>
      <c r="U62">
        <f>SUMIFS(banco!W:W,banco!$C:$C,$B62,banco!$A:$A,$A62)</f>
        <v>0</v>
      </c>
      <c r="V62" s="12">
        <f>IFERROR(U62/$AN62,0)</f>
        <v>0</v>
      </c>
      <c r="W62">
        <f>SUMIFS(banco!Y:Y,banco!$C:$C,$B62,banco!$A:$A,$A62)</f>
        <v>0</v>
      </c>
      <c r="X62" s="12">
        <f>IFERROR(W62/$AM62,0)</f>
        <v>0</v>
      </c>
      <c r="Y62">
        <f>SUMIFS(banco!AA:AA,banco!$C:$C,$B62,banco!$A:$A,$A62)</f>
        <v>0</v>
      </c>
      <c r="Z62" s="12">
        <f>IFERROR(Y62/$AN62,0)</f>
        <v>0</v>
      </c>
      <c r="AA62">
        <f>SUMIFS(banco!AC:AC,banco!$C:$C,$B62,banco!$A:$A,$A62)</f>
        <v>0</v>
      </c>
      <c r="AB62" s="12">
        <f>IFERROR(AA62/$AM62,0)</f>
        <v>0</v>
      </c>
      <c r="AC62">
        <f>SUMIFS(banco!AE:AE,banco!$C:$C,$B62,banco!$A:$A,$A62)</f>
        <v>0</v>
      </c>
      <c r="AD62" s="12">
        <f>IFERROR(AC62/$AN62,0)</f>
        <v>0</v>
      </c>
      <c r="AE62">
        <f>SUMIFS(banco!AG:AG,banco!$C:$C,$B62,banco!$A:$A,$A62)</f>
        <v>0</v>
      </c>
      <c r="AF62" s="12">
        <f>IFERROR(AE62/$AM62,0)</f>
        <v>0</v>
      </c>
      <c r="AG62">
        <f>SUMIFS(banco!AI:AI,banco!$C:$C,$B62,banco!$A:$A,$A62)</f>
        <v>0</v>
      </c>
      <c r="AH62" s="12">
        <f>IFERROR(AG62/$AN62,0)</f>
        <v>0</v>
      </c>
      <c r="AI62">
        <f>SUMIFS(banco!AK:AK,banco!$C:$C,$B62,banco!$A:$A,$A62)</f>
        <v>0</v>
      </c>
      <c r="AJ62" s="12">
        <f>IFERROR(AI62/$AM62,0)</f>
        <v>0</v>
      </c>
      <c r="AK62">
        <f>SUMIFS(banco!AM:AM,banco!$C:$C,$B62,banco!$A:$A,$A62)</f>
        <v>0</v>
      </c>
      <c r="AL62" s="12">
        <f>IFERROR(AK62/$AN62,0)</f>
        <v>0</v>
      </c>
      <c r="AM62">
        <f>SUMIFS(banco!AO:AO,banco!$C:$C,$B62,banco!$A:$A,$A62)</f>
        <v>0</v>
      </c>
      <c r="AN62">
        <f>SUMIFS(banco!AP:AP,banco!$C:$C,$B62,banco!$A:$A,$A62)</f>
        <v>0</v>
      </c>
      <c r="AO62">
        <v>12420</v>
      </c>
    </row>
    <row r="63" spans="1:41" x14ac:dyDescent="0.25">
      <c r="A63" s="20">
        <v>2017</v>
      </c>
      <c r="B63" s="18" t="s">
        <v>146</v>
      </c>
      <c r="C63">
        <f>SUMIFS(banco!E:E,banco!$C:$C,$B63,banco!$A:$A,$A63)</f>
        <v>0</v>
      </c>
      <c r="D63" s="12">
        <f>IFERROR(C63/$AM63,0)</f>
        <v>0</v>
      </c>
      <c r="E63">
        <f>SUMIFS(banco!G:G,banco!$C:$C,$B63,banco!$A:$A,$A63)</f>
        <v>0</v>
      </c>
      <c r="F63" s="12">
        <f>IFERROR(E63/$AN63,0)</f>
        <v>0</v>
      </c>
      <c r="G63">
        <f>SUMIFS(banco!I:I,banco!$C:$C,$B63,banco!$A:$A,$A63)</f>
        <v>0</v>
      </c>
      <c r="H63" s="12">
        <f>IFERROR(G63/$AM63,0)</f>
        <v>0</v>
      </c>
      <c r="I63">
        <f>SUMIFS(banco!K:K,banco!$C:$C,$B63,banco!$A:$A,$A63)</f>
        <v>0</v>
      </c>
      <c r="J63" s="12">
        <f>IFERROR(I63/$AN63,0)</f>
        <v>0</v>
      </c>
      <c r="K63">
        <f>SUMIFS(banco!M:M,banco!$C:$C,$B63,banco!$A:$A,$A63)</f>
        <v>0</v>
      </c>
      <c r="L63" s="12">
        <f>IFERROR(K63/$AM63,0)</f>
        <v>0</v>
      </c>
      <c r="M63">
        <f>SUMIFS(banco!O:O,banco!$C:$C,$B63,banco!$A:$A,$A63)</f>
        <v>0</v>
      </c>
      <c r="N63" s="12">
        <f>IFERROR(M63/$AN63,0)</f>
        <v>0</v>
      </c>
      <c r="O63">
        <f>SUMIFS(banco!Q:Q,banco!$C:$C,$B63,banco!$A:$A,$A63)</f>
        <v>0</v>
      </c>
      <c r="P63" s="12">
        <f>IFERROR(O63/$AM63,0)</f>
        <v>0</v>
      </c>
      <c r="Q63">
        <f>SUMIFS(banco!S:S,banco!$C:$C,$B63,banco!$A:$A,$A63)</f>
        <v>0</v>
      </c>
      <c r="R63" s="12">
        <f>IFERROR(Q63/$AN63,0)</f>
        <v>0</v>
      </c>
      <c r="S63">
        <f>SUMIFS(banco!U:U,banco!$C:$C,$B63,banco!$A:$A,$A63)</f>
        <v>0</v>
      </c>
      <c r="T63" s="12">
        <f>IFERROR(S63/$AM63,0)</f>
        <v>0</v>
      </c>
      <c r="U63">
        <f>SUMIFS(banco!W:W,banco!$C:$C,$B63,banco!$A:$A,$A63)</f>
        <v>0</v>
      </c>
      <c r="V63" s="12">
        <f>IFERROR(U63/$AN63,0)</f>
        <v>0</v>
      </c>
      <c r="W63">
        <f>SUMIFS(banco!Y:Y,banco!$C:$C,$B63,banco!$A:$A,$A63)</f>
        <v>0</v>
      </c>
      <c r="X63" s="12">
        <f>IFERROR(W63/$AM63,0)</f>
        <v>0</v>
      </c>
      <c r="Y63">
        <f>SUMIFS(banco!AA:AA,banco!$C:$C,$B63,banco!$A:$A,$A63)</f>
        <v>0</v>
      </c>
      <c r="Z63" s="12">
        <f>IFERROR(Y63/$AN63,0)</f>
        <v>0</v>
      </c>
      <c r="AA63">
        <f>SUMIFS(banco!AC:AC,banco!$C:$C,$B63,banco!$A:$A,$A63)</f>
        <v>0</v>
      </c>
      <c r="AB63" s="12">
        <f>IFERROR(AA63/$AM63,0)</f>
        <v>0</v>
      </c>
      <c r="AC63">
        <f>SUMIFS(banco!AE:AE,banco!$C:$C,$B63,banco!$A:$A,$A63)</f>
        <v>0</v>
      </c>
      <c r="AD63" s="12">
        <f>IFERROR(AC63/$AN63,0)</f>
        <v>0</v>
      </c>
      <c r="AE63">
        <f>SUMIFS(banco!AG:AG,banco!$C:$C,$B63,banco!$A:$A,$A63)</f>
        <v>0</v>
      </c>
      <c r="AF63" s="12">
        <f>IFERROR(AE63/$AM63,0)</f>
        <v>0</v>
      </c>
      <c r="AG63">
        <f>SUMIFS(banco!AI:AI,banco!$C:$C,$B63,banco!$A:$A,$A63)</f>
        <v>0</v>
      </c>
      <c r="AH63" s="12">
        <f>IFERROR(AG63/$AN63,0)</f>
        <v>0</v>
      </c>
      <c r="AI63">
        <f>SUMIFS(banco!AK:AK,banco!$C:$C,$B63,banco!$A:$A,$A63)</f>
        <v>0</v>
      </c>
      <c r="AJ63" s="12">
        <f>IFERROR(AI63/$AM63,0)</f>
        <v>0</v>
      </c>
      <c r="AK63">
        <f>SUMIFS(banco!AM:AM,banco!$C:$C,$B63,banco!$A:$A,$A63)</f>
        <v>0</v>
      </c>
      <c r="AL63" s="12">
        <f>IFERROR(AK63/$AN63,0)</f>
        <v>0</v>
      </c>
      <c r="AM63">
        <f>SUMIFS(banco!AO:AO,banco!$C:$C,$B63,banco!$A:$A,$A63)</f>
        <v>0</v>
      </c>
      <c r="AN63">
        <f>SUMIFS(banco!AP:AP,banco!$C:$C,$B63,banco!$A:$A,$A63)</f>
        <v>0</v>
      </c>
      <c r="AO63">
        <v>13278</v>
      </c>
    </row>
    <row r="64" spans="1:41" x14ac:dyDescent="0.25">
      <c r="A64" s="20">
        <v>2017</v>
      </c>
      <c r="B64" s="18" t="s">
        <v>149</v>
      </c>
      <c r="C64">
        <f>SUMIFS(banco!E:E,banco!$C:$C,$B64,banco!$A:$A,$A64)</f>
        <v>0</v>
      </c>
      <c r="D64" s="12">
        <f>IFERROR(C64/$AM64,0)</f>
        <v>0</v>
      </c>
      <c r="E64">
        <f>SUMIFS(banco!G:G,banco!$C:$C,$B64,banco!$A:$A,$A64)</f>
        <v>0</v>
      </c>
      <c r="F64" s="12">
        <f>IFERROR(E64/$AN64,0)</f>
        <v>0</v>
      </c>
      <c r="G64">
        <f>SUMIFS(banco!I:I,banco!$C:$C,$B64,banco!$A:$A,$A64)</f>
        <v>0</v>
      </c>
      <c r="H64" s="12">
        <f>IFERROR(G64/$AM64,0)</f>
        <v>0</v>
      </c>
      <c r="I64">
        <f>SUMIFS(banco!K:K,banco!$C:$C,$B64,banco!$A:$A,$A64)</f>
        <v>0</v>
      </c>
      <c r="J64" s="12">
        <f>IFERROR(I64/$AN64,0)</f>
        <v>0</v>
      </c>
      <c r="K64">
        <f>SUMIFS(banco!M:M,banco!$C:$C,$B64,banco!$A:$A,$A64)</f>
        <v>0</v>
      </c>
      <c r="L64" s="12">
        <f>IFERROR(K64/$AM64,0)</f>
        <v>0</v>
      </c>
      <c r="M64">
        <f>SUMIFS(banco!O:O,banco!$C:$C,$B64,banco!$A:$A,$A64)</f>
        <v>0</v>
      </c>
      <c r="N64" s="12">
        <f>IFERROR(M64/$AN64,0)</f>
        <v>0</v>
      </c>
      <c r="O64">
        <f>SUMIFS(banco!Q:Q,banco!$C:$C,$B64,banco!$A:$A,$A64)</f>
        <v>0</v>
      </c>
      <c r="P64" s="12">
        <f>IFERROR(O64/$AM64,0)</f>
        <v>0</v>
      </c>
      <c r="Q64">
        <f>SUMIFS(banco!S:S,banco!$C:$C,$B64,banco!$A:$A,$A64)</f>
        <v>0</v>
      </c>
      <c r="R64" s="12">
        <f>IFERROR(Q64/$AN64,0)</f>
        <v>0</v>
      </c>
      <c r="S64">
        <f>SUMIFS(banco!U:U,banco!$C:$C,$B64,banco!$A:$A,$A64)</f>
        <v>0</v>
      </c>
      <c r="T64" s="12">
        <f>IFERROR(S64/$AM64,0)</f>
        <v>0</v>
      </c>
      <c r="U64">
        <f>SUMIFS(banco!W:W,banco!$C:$C,$B64,banco!$A:$A,$A64)</f>
        <v>0</v>
      </c>
      <c r="V64" s="12">
        <f>IFERROR(U64/$AN64,0)</f>
        <v>0</v>
      </c>
      <c r="W64">
        <f>SUMIFS(banco!Y:Y,banco!$C:$C,$B64,banco!$A:$A,$A64)</f>
        <v>0</v>
      </c>
      <c r="X64" s="12">
        <f>IFERROR(W64/$AM64,0)</f>
        <v>0</v>
      </c>
      <c r="Y64">
        <f>SUMIFS(banco!AA:AA,banco!$C:$C,$B64,banco!$A:$A,$A64)</f>
        <v>0</v>
      </c>
      <c r="Z64" s="12">
        <f>IFERROR(Y64/$AN64,0)</f>
        <v>0</v>
      </c>
      <c r="AA64">
        <f>SUMIFS(banco!AC:AC,banco!$C:$C,$B64,banco!$A:$A,$A64)</f>
        <v>0</v>
      </c>
      <c r="AB64" s="12">
        <f>IFERROR(AA64/$AM64,0)</f>
        <v>0</v>
      </c>
      <c r="AC64">
        <f>SUMIFS(banco!AE:AE,banco!$C:$C,$B64,banco!$A:$A,$A64)</f>
        <v>0</v>
      </c>
      <c r="AD64" s="12">
        <f>IFERROR(AC64/$AN64,0)</f>
        <v>0</v>
      </c>
      <c r="AE64">
        <f>SUMIFS(banco!AG:AG,banco!$C:$C,$B64,banco!$A:$A,$A64)</f>
        <v>0</v>
      </c>
      <c r="AF64" s="12">
        <f>IFERROR(AE64/$AM64,0)</f>
        <v>0</v>
      </c>
      <c r="AG64">
        <f>SUMIFS(banco!AI:AI,banco!$C:$C,$B64,banco!$A:$A,$A64)</f>
        <v>0</v>
      </c>
      <c r="AH64" s="12">
        <f>IFERROR(AG64/$AN64,0)</f>
        <v>0</v>
      </c>
      <c r="AI64">
        <f>SUMIFS(banco!AK:AK,banco!$C:$C,$B64,banco!$A:$A,$A64)</f>
        <v>0</v>
      </c>
      <c r="AJ64" s="12">
        <f>IFERROR(AI64/$AM64,0)</f>
        <v>0</v>
      </c>
      <c r="AK64">
        <f>SUMIFS(banco!AM:AM,banco!$C:$C,$B64,banco!$A:$A,$A64)</f>
        <v>0</v>
      </c>
      <c r="AL64" s="12">
        <f>IFERROR(AK64/$AN64,0)</f>
        <v>0</v>
      </c>
      <c r="AM64">
        <f>SUMIFS(banco!AO:AO,banco!$C:$C,$B64,banco!$A:$A,$A64)</f>
        <v>0</v>
      </c>
      <c r="AN64">
        <f>SUMIFS(banco!AP:AP,banco!$C:$C,$B64,banco!$A:$A,$A64)</f>
        <v>0</v>
      </c>
      <c r="AO64">
        <v>23401</v>
      </c>
    </row>
    <row r="65" spans="1:41" x14ac:dyDescent="0.25">
      <c r="A65" s="20">
        <v>2017</v>
      </c>
      <c r="B65" s="18" t="s">
        <v>147</v>
      </c>
      <c r="C65">
        <f>SUMIFS(banco!E:E,banco!$C:$C,$B65,banco!$A:$A,$A65)</f>
        <v>0</v>
      </c>
      <c r="D65" s="12">
        <f>IFERROR(C65/$AM65,0)</f>
        <v>0</v>
      </c>
      <c r="E65">
        <f>SUMIFS(banco!G:G,banco!$C:$C,$B65,banco!$A:$A,$A65)</f>
        <v>0</v>
      </c>
      <c r="F65" s="12">
        <f>IFERROR(E65/$AN65,0)</f>
        <v>0</v>
      </c>
      <c r="G65">
        <f>SUMIFS(banco!I:I,banco!$C:$C,$B65,banco!$A:$A,$A65)</f>
        <v>0</v>
      </c>
      <c r="H65" s="12">
        <f>IFERROR(G65/$AM65,0)</f>
        <v>0</v>
      </c>
      <c r="I65">
        <f>SUMIFS(banco!K:K,banco!$C:$C,$B65,banco!$A:$A,$A65)</f>
        <v>0</v>
      </c>
      <c r="J65" s="12">
        <f>IFERROR(I65/$AN65,0)</f>
        <v>0</v>
      </c>
      <c r="K65">
        <f>SUMIFS(banco!M:M,banco!$C:$C,$B65,banco!$A:$A,$A65)</f>
        <v>0</v>
      </c>
      <c r="L65" s="12">
        <f>IFERROR(K65/$AM65,0)</f>
        <v>0</v>
      </c>
      <c r="M65">
        <f>SUMIFS(banco!O:O,banco!$C:$C,$B65,banco!$A:$A,$A65)</f>
        <v>0</v>
      </c>
      <c r="N65" s="12">
        <f>IFERROR(M65/$AN65,0)</f>
        <v>0</v>
      </c>
      <c r="O65">
        <f>SUMIFS(banco!Q:Q,banco!$C:$C,$B65,banco!$A:$A,$A65)</f>
        <v>0</v>
      </c>
      <c r="P65" s="12">
        <f>IFERROR(O65/$AM65,0)</f>
        <v>0</v>
      </c>
      <c r="Q65">
        <f>SUMIFS(banco!S:S,banco!$C:$C,$B65,banco!$A:$A,$A65)</f>
        <v>0</v>
      </c>
      <c r="R65" s="12">
        <f>IFERROR(Q65/$AN65,0)</f>
        <v>0</v>
      </c>
      <c r="S65">
        <f>SUMIFS(banco!U:U,banco!$C:$C,$B65,banco!$A:$A,$A65)</f>
        <v>0</v>
      </c>
      <c r="T65" s="12">
        <f>IFERROR(S65/$AM65,0)</f>
        <v>0</v>
      </c>
      <c r="U65">
        <f>SUMIFS(banco!W:W,banco!$C:$C,$B65,banco!$A:$A,$A65)</f>
        <v>0</v>
      </c>
      <c r="V65" s="12">
        <f>IFERROR(U65/$AN65,0)</f>
        <v>0</v>
      </c>
      <c r="W65">
        <f>SUMIFS(banco!Y:Y,banco!$C:$C,$B65,banco!$A:$A,$A65)</f>
        <v>0</v>
      </c>
      <c r="X65" s="12">
        <f>IFERROR(W65/$AM65,0)</f>
        <v>0</v>
      </c>
      <c r="Y65">
        <f>SUMIFS(banco!AA:AA,banco!$C:$C,$B65,banco!$A:$A,$A65)</f>
        <v>0</v>
      </c>
      <c r="Z65" s="12">
        <f>IFERROR(Y65/$AN65,0)</f>
        <v>0</v>
      </c>
      <c r="AA65">
        <f>SUMIFS(banco!AC:AC,banco!$C:$C,$B65,banco!$A:$A,$A65)</f>
        <v>0</v>
      </c>
      <c r="AB65" s="12">
        <f>IFERROR(AA65/$AM65,0)</f>
        <v>0</v>
      </c>
      <c r="AC65">
        <f>SUMIFS(banco!AE:AE,banco!$C:$C,$B65,banco!$A:$A,$A65)</f>
        <v>0</v>
      </c>
      <c r="AD65" s="12">
        <f>IFERROR(AC65/$AN65,0)</f>
        <v>0</v>
      </c>
      <c r="AE65">
        <f>SUMIFS(banco!AG:AG,banco!$C:$C,$B65,banco!$A:$A,$A65)</f>
        <v>0</v>
      </c>
      <c r="AF65" s="12">
        <f>IFERROR(AE65/$AM65,0)</f>
        <v>0</v>
      </c>
      <c r="AG65">
        <f>SUMIFS(banco!AI:AI,banco!$C:$C,$B65,banco!$A:$A,$A65)</f>
        <v>0</v>
      </c>
      <c r="AH65" s="12">
        <f>IFERROR(AG65/$AN65,0)</f>
        <v>0</v>
      </c>
      <c r="AI65">
        <f>SUMIFS(banco!AK:AK,banco!$C:$C,$B65,banco!$A:$A,$A65)</f>
        <v>0</v>
      </c>
      <c r="AJ65" s="12">
        <f>IFERROR(AI65/$AM65,0)</f>
        <v>0</v>
      </c>
      <c r="AK65">
        <f>SUMIFS(banco!AM:AM,banco!$C:$C,$B65,banco!$A:$A,$A65)</f>
        <v>0</v>
      </c>
      <c r="AL65" s="12">
        <f>IFERROR(AK65/$AN65,0)</f>
        <v>0</v>
      </c>
      <c r="AM65">
        <f>SUMIFS(banco!AO:AO,banco!$C:$C,$B65,banco!$A:$A,$A65)</f>
        <v>0</v>
      </c>
      <c r="AN65">
        <f>SUMIFS(banco!AP:AP,banco!$C:$C,$B65,banco!$A:$A,$A65)</f>
        <v>0</v>
      </c>
      <c r="AO65">
        <v>7736</v>
      </c>
    </row>
    <row r="66" spans="1:41" x14ac:dyDescent="0.25">
      <c r="A66" s="20">
        <v>2016</v>
      </c>
      <c r="B66" s="18" t="s">
        <v>151</v>
      </c>
      <c r="C66">
        <f>SUMIFS(banco!E:E,banco!$C:$C,$B66,banco!$A:$A,$A66)</f>
        <v>0</v>
      </c>
      <c r="D66" s="12">
        <f>IFERROR(C66/$AM66,0)</f>
        <v>0</v>
      </c>
      <c r="E66">
        <f>SUMIFS(banco!G:G,banco!$C:$C,$B66,banco!$A:$A,$A66)</f>
        <v>0</v>
      </c>
      <c r="F66" s="12">
        <f>IFERROR(E66/$AN66,0)</f>
        <v>0</v>
      </c>
      <c r="G66">
        <f>SUMIFS(banco!I:I,banco!$C:$C,$B66,banco!$A:$A,$A66)</f>
        <v>0</v>
      </c>
      <c r="H66" s="12">
        <f>IFERROR(G66/$AM66,0)</f>
        <v>0</v>
      </c>
      <c r="I66">
        <f>SUMIFS(banco!K:K,banco!$C:$C,$B66,banco!$A:$A,$A66)</f>
        <v>0</v>
      </c>
      <c r="J66" s="12">
        <f>IFERROR(I66/$AN66,0)</f>
        <v>0</v>
      </c>
      <c r="K66">
        <f>SUMIFS(banco!M:M,banco!$C:$C,$B66,banco!$A:$A,$A66)</f>
        <v>0</v>
      </c>
      <c r="L66" s="12">
        <f>IFERROR(K66/$AM66,0)</f>
        <v>0</v>
      </c>
      <c r="M66">
        <f>SUMIFS(banco!O:O,banco!$C:$C,$B66,banco!$A:$A,$A66)</f>
        <v>0</v>
      </c>
      <c r="N66" s="12">
        <f>IFERROR(M66/$AN66,0)</f>
        <v>0</v>
      </c>
      <c r="O66">
        <f>SUMIFS(banco!Q:Q,banco!$C:$C,$B66,banco!$A:$A,$A66)</f>
        <v>0</v>
      </c>
      <c r="P66" s="12">
        <f>IFERROR(O66/$AM66,0)</f>
        <v>0</v>
      </c>
      <c r="Q66">
        <f>SUMIFS(banco!S:S,banco!$C:$C,$B66,banco!$A:$A,$A66)</f>
        <v>0</v>
      </c>
      <c r="R66" s="12">
        <f>IFERROR(Q66/$AN66,0)</f>
        <v>0</v>
      </c>
      <c r="S66">
        <f>SUMIFS(banco!U:U,banco!$C:$C,$B66,banco!$A:$A,$A66)</f>
        <v>0</v>
      </c>
      <c r="T66" s="12">
        <f>IFERROR(S66/$AM66,0)</f>
        <v>0</v>
      </c>
      <c r="U66">
        <f>SUMIFS(banco!W:W,banco!$C:$C,$B66,banco!$A:$A,$A66)</f>
        <v>0</v>
      </c>
      <c r="V66" s="12">
        <f>IFERROR(U66/$AN66,0)</f>
        <v>0</v>
      </c>
      <c r="W66">
        <f>SUMIFS(banco!Y:Y,banco!$C:$C,$B66,banco!$A:$A,$A66)</f>
        <v>0</v>
      </c>
      <c r="X66" s="12">
        <f>IFERROR(W66/$AM66,0)</f>
        <v>0</v>
      </c>
      <c r="Y66">
        <f>SUMIFS(banco!AA:AA,banco!$C:$C,$B66,banco!$A:$A,$A66)</f>
        <v>0</v>
      </c>
      <c r="Z66" s="12">
        <f>IFERROR(Y66/$AN66,0)</f>
        <v>0</v>
      </c>
      <c r="AA66">
        <f>SUMIFS(banco!AC:AC,banco!$C:$C,$B66,banco!$A:$A,$A66)</f>
        <v>0</v>
      </c>
      <c r="AB66" s="12">
        <f>IFERROR(AA66/$AM66,0)</f>
        <v>0</v>
      </c>
      <c r="AC66">
        <f>SUMIFS(banco!AE:AE,banco!$C:$C,$B66,banco!$A:$A,$A66)</f>
        <v>0</v>
      </c>
      <c r="AD66" s="12">
        <f>IFERROR(AC66/$AN66,0)</f>
        <v>0</v>
      </c>
      <c r="AE66">
        <f>SUMIFS(banco!AG:AG,banco!$C:$C,$B66,banco!$A:$A,$A66)</f>
        <v>0</v>
      </c>
      <c r="AF66" s="12">
        <f>IFERROR(AE66/$AM66,0)</f>
        <v>0</v>
      </c>
      <c r="AG66">
        <f>SUMIFS(banco!AI:AI,banco!$C:$C,$B66,banco!$A:$A,$A66)</f>
        <v>0</v>
      </c>
      <c r="AH66" s="12">
        <f>IFERROR(AG66/$AN66,0)</f>
        <v>0</v>
      </c>
      <c r="AI66">
        <f>SUMIFS(banco!AK:AK,banco!$C:$C,$B66,banco!$A:$A,$A66)</f>
        <v>0</v>
      </c>
      <c r="AJ66" s="12">
        <f>IFERROR(AI66/$AM66,0)</f>
        <v>0</v>
      </c>
      <c r="AK66">
        <f>SUMIFS(banco!AM:AM,banco!$C:$C,$B66,banco!$A:$A,$A66)</f>
        <v>0</v>
      </c>
      <c r="AL66" s="12">
        <f>IFERROR(AK66/$AN66,0)</f>
        <v>0</v>
      </c>
      <c r="AM66">
        <f>SUMIFS(banco!AO:AO,banco!$C:$C,$B66,banco!$A:$A,$A66)</f>
        <v>0</v>
      </c>
      <c r="AN66">
        <f>SUMIFS(banco!AP:AP,banco!$C:$C,$B66,banco!$A:$A,$A66)</f>
        <v>0</v>
      </c>
      <c r="AO66">
        <v>9802</v>
      </c>
    </row>
    <row r="67" spans="1:41" x14ac:dyDescent="0.25">
      <c r="A67" s="20">
        <v>2016</v>
      </c>
      <c r="B67" s="18" t="s">
        <v>145</v>
      </c>
      <c r="C67">
        <f>SUMIFS(banco!E:E,banco!$C:$C,$B67,banco!$A:$A,$A67)</f>
        <v>0</v>
      </c>
      <c r="D67" s="12">
        <f>IFERROR(C67/$AM67,0)</f>
        <v>0</v>
      </c>
      <c r="E67">
        <f>SUMIFS(banco!G:G,banco!$C:$C,$B67,banco!$A:$A,$A67)</f>
        <v>0</v>
      </c>
      <c r="F67" s="12">
        <f>IFERROR(E67/$AN67,0)</f>
        <v>0</v>
      </c>
      <c r="G67">
        <f>SUMIFS(banco!I:I,banco!$C:$C,$B67,banco!$A:$A,$A67)</f>
        <v>0</v>
      </c>
      <c r="H67" s="12">
        <f>IFERROR(G67/$AM67,0)</f>
        <v>0</v>
      </c>
      <c r="I67">
        <f>SUMIFS(banco!K:K,banco!$C:$C,$B67,banco!$A:$A,$A67)</f>
        <v>0</v>
      </c>
      <c r="J67" s="12">
        <f>IFERROR(I67/$AN67,0)</f>
        <v>0</v>
      </c>
      <c r="K67">
        <f>SUMIFS(banco!M:M,banco!$C:$C,$B67,banco!$A:$A,$A67)</f>
        <v>0</v>
      </c>
      <c r="L67" s="12">
        <f>IFERROR(K67/$AM67,0)</f>
        <v>0</v>
      </c>
      <c r="M67">
        <f>SUMIFS(banco!O:O,banco!$C:$C,$B67,banco!$A:$A,$A67)</f>
        <v>0</v>
      </c>
      <c r="N67" s="12">
        <f>IFERROR(M67/$AN67,0)</f>
        <v>0</v>
      </c>
      <c r="O67">
        <f>SUMIFS(banco!Q:Q,banco!$C:$C,$B67,banco!$A:$A,$A67)</f>
        <v>0</v>
      </c>
      <c r="P67" s="12">
        <f>IFERROR(O67/$AM67,0)</f>
        <v>0</v>
      </c>
      <c r="Q67">
        <f>SUMIFS(banco!S:S,banco!$C:$C,$B67,banco!$A:$A,$A67)</f>
        <v>0</v>
      </c>
      <c r="R67" s="12">
        <f>IFERROR(Q67/$AN67,0)</f>
        <v>0</v>
      </c>
      <c r="S67">
        <f>SUMIFS(banco!U:U,banco!$C:$C,$B67,banco!$A:$A,$A67)</f>
        <v>0</v>
      </c>
      <c r="T67" s="12">
        <f>IFERROR(S67/$AM67,0)</f>
        <v>0</v>
      </c>
      <c r="U67">
        <f>SUMIFS(banco!W:W,banco!$C:$C,$B67,banco!$A:$A,$A67)</f>
        <v>0</v>
      </c>
      <c r="V67" s="12">
        <f>IFERROR(U67/$AN67,0)</f>
        <v>0</v>
      </c>
      <c r="W67">
        <f>SUMIFS(banco!Y:Y,banco!$C:$C,$B67,banco!$A:$A,$A67)</f>
        <v>0</v>
      </c>
      <c r="X67" s="12">
        <f>IFERROR(W67/$AM67,0)</f>
        <v>0</v>
      </c>
      <c r="Y67">
        <f>SUMIFS(banco!AA:AA,banco!$C:$C,$B67,banco!$A:$A,$A67)</f>
        <v>0</v>
      </c>
      <c r="Z67" s="12">
        <f>IFERROR(Y67/$AN67,0)</f>
        <v>0</v>
      </c>
      <c r="AA67">
        <f>SUMIFS(banco!AC:AC,banco!$C:$C,$B67,banco!$A:$A,$A67)</f>
        <v>0</v>
      </c>
      <c r="AB67" s="12">
        <f>IFERROR(AA67/$AM67,0)</f>
        <v>0</v>
      </c>
      <c r="AC67">
        <f>SUMIFS(banco!AE:AE,banco!$C:$C,$B67,banco!$A:$A,$A67)</f>
        <v>0</v>
      </c>
      <c r="AD67" s="12">
        <f>IFERROR(AC67/$AN67,0)</f>
        <v>0</v>
      </c>
      <c r="AE67">
        <f>SUMIFS(banco!AG:AG,banco!$C:$C,$B67,banco!$A:$A,$A67)</f>
        <v>0</v>
      </c>
      <c r="AF67" s="12">
        <f>IFERROR(AE67/$AM67,0)</f>
        <v>0</v>
      </c>
      <c r="AG67">
        <f>SUMIFS(banco!AI:AI,banco!$C:$C,$B67,banco!$A:$A,$A67)</f>
        <v>0</v>
      </c>
      <c r="AH67" s="12">
        <f>IFERROR(AG67/$AN67,0)</f>
        <v>0</v>
      </c>
      <c r="AI67">
        <f>SUMIFS(banco!AK:AK,banco!$C:$C,$B67,banco!$A:$A,$A67)</f>
        <v>0</v>
      </c>
      <c r="AJ67" s="12">
        <f>IFERROR(AI67/$AM67,0)</f>
        <v>0</v>
      </c>
      <c r="AK67">
        <f>SUMIFS(banco!AM:AM,banco!$C:$C,$B67,banco!$A:$A,$A67)</f>
        <v>0</v>
      </c>
      <c r="AL67" s="12">
        <f>IFERROR(AK67/$AN67,0)</f>
        <v>0</v>
      </c>
      <c r="AM67">
        <f>SUMIFS(banco!AO:AO,banco!$C:$C,$B67,banco!$A:$A,$A67)</f>
        <v>0</v>
      </c>
      <c r="AN67">
        <f>SUMIFS(banco!AP:AP,banco!$C:$C,$B67,banco!$A:$A,$A67)</f>
        <v>0</v>
      </c>
      <c r="AO67">
        <v>18751</v>
      </c>
    </row>
    <row r="68" spans="1:41" x14ac:dyDescent="0.25">
      <c r="A68" s="20">
        <v>2016</v>
      </c>
      <c r="B68" s="18" t="s">
        <v>144</v>
      </c>
      <c r="C68">
        <f>SUMIFS(banco!E:E,banco!$C:$C,$B68,banco!$A:$A,$A68)</f>
        <v>0</v>
      </c>
      <c r="D68" s="12">
        <f>IFERROR(C68/$AM68,0)</f>
        <v>0</v>
      </c>
      <c r="E68">
        <f>SUMIFS(banco!G:G,banco!$C:$C,$B68,banco!$A:$A,$A68)</f>
        <v>0</v>
      </c>
      <c r="F68" s="12">
        <f>IFERROR(E68/$AN68,0)</f>
        <v>0</v>
      </c>
      <c r="G68">
        <f>SUMIFS(banco!I:I,banco!$C:$C,$B68,banco!$A:$A,$A68)</f>
        <v>0</v>
      </c>
      <c r="H68" s="12">
        <f>IFERROR(G68/$AM68,0)</f>
        <v>0</v>
      </c>
      <c r="I68">
        <f>SUMIFS(banco!K:K,banco!$C:$C,$B68,banco!$A:$A,$A68)</f>
        <v>0</v>
      </c>
      <c r="J68" s="12">
        <f>IFERROR(I68/$AN68,0)</f>
        <v>0</v>
      </c>
      <c r="K68">
        <f>SUMIFS(banco!M:M,banco!$C:$C,$B68,banco!$A:$A,$A68)</f>
        <v>0</v>
      </c>
      <c r="L68" s="12">
        <f>IFERROR(K68/$AM68,0)</f>
        <v>0</v>
      </c>
      <c r="M68">
        <f>SUMIFS(banco!O:O,banco!$C:$C,$B68,banco!$A:$A,$A68)</f>
        <v>0</v>
      </c>
      <c r="N68" s="12">
        <f>IFERROR(M68/$AN68,0)</f>
        <v>0</v>
      </c>
      <c r="O68">
        <f>SUMIFS(banco!Q:Q,banco!$C:$C,$B68,banco!$A:$A,$A68)</f>
        <v>0</v>
      </c>
      <c r="P68" s="12">
        <f>IFERROR(O68/$AM68,0)</f>
        <v>0</v>
      </c>
      <c r="Q68">
        <f>SUMIFS(banco!S:S,banco!$C:$C,$B68,banco!$A:$A,$A68)</f>
        <v>0</v>
      </c>
      <c r="R68" s="12">
        <f>IFERROR(Q68/$AN68,0)</f>
        <v>0</v>
      </c>
      <c r="S68">
        <f>SUMIFS(banco!U:U,banco!$C:$C,$B68,banco!$A:$A,$A68)</f>
        <v>0</v>
      </c>
      <c r="T68" s="12">
        <f>IFERROR(S68/$AM68,0)</f>
        <v>0</v>
      </c>
      <c r="U68">
        <f>SUMIFS(banco!W:W,banco!$C:$C,$B68,banco!$A:$A,$A68)</f>
        <v>0</v>
      </c>
      <c r="V68" s="12">
        <f>IFERROR(U68/$AN68,0)</f>
        <v>0</v>
      </c>
      <c r="W68">
        <f>SUMIFS(banco!Y:Y,banco!$C:$C,$B68,banco!$A:$A,$A68)</f>
        <v>0</v>
      </c>
      <c r="X68" s="12">
        <f>IFERROR(W68/$AM68,0)</f>
        <v>0</v>
      </c>
      <c r="Y68">
        <f>SUMIFS(banco!AA:AA,banco!$C:$C,$B68,banco!$A:$A,$A68)</f>
        <v>0</v>
      </c>
      <c r="Z68" s="12">
        <f>IFERROR(Y68/$AN68,0)</f>
        <v>0</v>
      </c>
      <c r="AA68">
        <f>SUMIFS(banco!AC:AC,banco!$C:$C,$B68,banco!$A:$A,$A68)</f>
        <v>0</v>
      </c>
      <c r="AB68" s="12">
        <f>IFERROR(AA68/$AM68,0)</f>
        <v>0</v>
      </c>
      <c r="AC68">
        <f>SUMIFS(banco!AE:AE,banco!$C:$C,$B68,banco!$A:$A,$A68)</f>
        <v>0</v>
      </c>
      <c r="AD68" s="12">
        <f>IFERROR(AC68/$AN68,0)</f>
        <v>0</v>
      </c>
      <c r="AE68">
        <f>SUMIFS(banco!AG:AG,banco!$C:$C,$B68,banco!$A:$A,$A68)</f>
        <v>0</v>
      </c>
      <c r="AF68" s="12">
        <f>IFERROR(AE68/$AM68,0)</f>
        <v>0</v>
      </c>
      <c r="AG68">
        <f>SUMIFS(banco!AI:AI,banco!$C:$C,$B68,banco!$A:$A,$A68)</f>
        <v>0</v>
      </c>
      <c r="AH68" s="12">
        <f>IFERROR(AG68/$AN68,0)</f>
        <v>0</v>
      </c>
      <c r="AI68">
        <f>SUMIFS(banco!AK:AK,banco!$C:$C,$B68,banco!$A:$A,$A68)</f>
        <v>0</v>
      </c>
      <c r="AJ68" s="12">
        <f>IFERROR(AI68/$AM68,0)</f>
        <v>0</v>
      </c>
      <c r="AK68">
        <f>SUMIFS(banco!AM:AM,banco!$C:$C,$B68,banco!$A:$A,$A68)</f>
        <v>0</v>
      </c>
      <c r="AL68" s="12">
        <f>IFERROR(AK68/$AN68,0)</f>
        <v>0</v>
      </c>
      <c r="AM68">
        <f>SUMIFS(banco!AO:AO,banco!$C:$C,$B68,banco!$A:$A,$A68)</f>
        <v>0</v>
      </c>
      <c r="AN68">
        <f>SUMIFS(banco!AP:AP,banco!$C:$C,$B68,banco!$A:$A,$A68)</f>
        <v>0</v>
      </c>
      <c r="AO68">
        <v>10125</v>
      </c>
    </row>
    <row r="69" spans="1:41" x14ac:dyDescent="0.25">
      <c r="A69" s="20">
        <v>2016</v>
      </c>
      <c r="B69" s="18" t="s">
        <v>148</v>
      </c>
      <c r="C69">
        <f>SUMIFS(banco!E:E,banco!$C:$C,$B69,banco!$A:$A,$A69)</f>
        <v>0</v>
      </c>
      <c r="D69" s="12">
        <f>IFERROR(C69/$AM69,0)</f>
        <v>0</v>
      </c>
      <c r="E69">
        <f>SUMIFS(banco!G:G,banco!$C:$C,$B69,banco!$A:$A,$A69)</f>
        <v>0</v>
      </c>
      <c r="F69" s="12">
        <f>IFERROR(E69/$AN69,0)</f>
        <v>0</v>
      </c>
      <c r="G69">
        <f>SUMIFS(banco!I:I,banco!$C:$C,$B69,banco!$A:$A,$A69)</f>
        <v>0</v>
      </c>
      <c r="H69" s="12">
        <f>IFERROR(G69/$AM69,0)</f>
        <v>0</v>
      </c>
      <c r="I69">
        <f>SUMIFS(banco!K:K,banco!$C:$C,$B69,banco!$A:$A,$A69)</f>
        <v>0</v>
      </c>
      <c r="J69" s="12">
        <f>IFERROR(I69/$AN69,0)</f>
        <v>0</v>
      </c>
      <c r="K69">
        <f>SUMIFS(banco!M:M,banco!$C:$C,$B69,banco!$A:$A,$A69)</f>
        <v>0</v>
      </c>
      <c r="L69" s="12">
        <f>IFERROR(K69/$AM69,0)</f>
        <v>0</v>
      </c>
      <c r="M69">
        <f>SUMIFS(banco!O:O,banco!$C:$C,$B69,banco!$A:$A,$A69)</f>
        <v>0</v>
      </c>
      <c r="N69" s="12">
        <f>IFERROR(M69/$AN69,0)</f>
        <v>0</v>
      </c>
      <c r="O69">
        <f>SUMIFS(banco!Q:Q,banco!$C:$C,$B69,banco!$A:$A,$A69)</f>
        <v>0</v>
      </c>
      <c r="P69" s="12">
        <f>IFERROR(O69/$AM69,0)</f>
        <v>0</v>
      </c>
      <c r="Q69">
        <f>SUMIFS(banco!S:S,banco!$C:$C,$B69,banco!$A:$A,$A69)</f>
        <v>0</v>
      </c>
      <c r="R69" s="12">
        <f>IFERROR(Q69/$AN69,0)</f>
        <v>0</v>
      </c>
      <c r="S69">
        <f>SUMIFS(banco!U:U,banco!$C:$C,$B69,banco!$A:$A,$A69)</f>
        <v>0</v>
      </c>
      <c r="T69" s="12">
        <f>IFERROR(S69/$AM69,0)</f>
        <v>0</v>
      </c>
      <c r="U69">
        <f>SUMIFS(banco!W:W,banco!$C:$C,$B69,banco!$A:$A,$A69)</f>
        <v>0</v>
      </c>
      <c r="V69" s="12">
        <f>IFERROR(U69/$AN69,0)</f>
        <v>0</v>
      </c>
      <c r="W69">
        <f>SUMIFS(banco!Y:Y,banco!$C:$C,$B69,banco!$A:$A,$A69)</f>
        <v>0</v>
      </c>
      <c r="X69" s="12">
        <f>IFERROR(W69/$AM69,0)</f>
        <v>0</v>
      </c>
      <c r="Y69">
        <f>SUMIFS(banco!AA:AA,banco!$C:$C,$B69,banco!$A:$A,$A69)</f>
        <v>0</v>
      </c>
      <c r="Z69" s="12">
        <f>IFERROR(Y69/$AN69,0)</f>
        <v>0</v>
      </c>
      <c r="AA69">
        <f>SUMIFS(banco!AC:AC,banco!$C:$C,$B69,banco!$A:$A,$A69)</f>
        <v>0</v>
      </c>
      <c r="AB69" s="12">
        <f>IFERROR(AA69/$AM69,0)</f>
        <v>0</v>
      </c>
      <c r="AC69">
        <f>SUMIFS(banco!AE:AE,banco!$C:$C,$B69,banco!$A:$A,$A69)</f>
        <v>0</v>
      </c>
      <c r="AD69" s="12">
        <f>IFERROR(AC69/$AN69,0)</f>
        <v>0</v>
      </c>
      <c r="AE69">
        <f>SUMIFS(banco!AG:AG,banco!$C:$C,$B69,banco!$A:$A,$A69)</f>
        <v>0</v>
      </c>
      <c r="AF69" s="12">
        <f>IFERROR(AE69/$AM69,0)</f>
        <v>0</v>
      </c>
      <c r="AG69">
        <f>SUMIFS(banco!AI:AI,banco!$C:$C,$B69,banco!$A:$A,$A69)</f>
        <v>0</v>
      </c>
      <c r="AH69" s="12">
        <f>IFERROR(AG69/$AN69,0)</f>
        <v>0</v>
      </c>
      <c r="AI69">
        <f>SUMIFS(banco!AK:AK,banco!$C:$C,$B69,banco!$A:$A,$A69)</f>
        <v>0</v>
      </c>
      <c r="AJ69" s="12">
        <f>IFERROR(AI69/$AM69,0)</f>
        <v>0</v>
      </c>
      <c r="AK69">
        <f>SUMIFS(banco!AM:AM,banco!$C:$C,$B69,banco!$A:$A,$A69)</f>
        <v>0</v>
      </c>
      <c r="AL69" s="12">
        <f>IFERROR(AK69/$AN69,0)</f>
        <v>0</v>
      </c>
      <c r="AM69">
        <f>SUMIFS(banco!AO:AO,banco!$C:$C,$B69,banco!$A:$A,$A69)</f>
        <v>0</v>
      </c>
      <c r="AN69">
        <f>SUMIFS(banco!AP:AP,banco!$C:$C,$B69,banco!$A:$A,$A69)</f>
        <v>0</v>
      </c>
      <c r="AO69">
        <v>29079</v>
      </c>
    </row>
    <row r="70" spans="1:41" x14ac:dyDescent="0.25">
      <c r="A70" s="20">
        <v>2016</v>
      </c>
      <c r="B70" s="18" t="s">
        <v>150</v>
      </c>
      <c r="C70">
        <f>SUMIFS(banco!E:E,banco!$C:$C,$B70,banco!$A:$A,$A70)</f>
        <v>0</v>
      </c>
      <c r="D70" s="12">
        <f>IFERROR(C70/$AM70,0)</f>
        <v>0</v>
      </c>
      <c r="E70">
        <f>SUMIFS(banco!G:G,banco!$C:$C,$B70,banco!$A:$A,$A70)</f>
        <v>0</v>
      </c>
      <c r="F70" s="12">
        <f>IFERROR(E70/$AN70,0)</f>
        <v>0</v>
      </c>
      <c r="G70">
        <f>SUMIFS(banco!I:I,banco!$C:$C,$B70,banco!$A:$A,$A70)</f>
        <v>0</v>
      </c>
      <c r="H70" s="12">
        <f>IFERROR(G70/$AM70,0)</f>
        <v>0</v>
      </c>
      <c r="I70">
        <f>SUMIFS(banco!K:K,banco!$C:$C,$B70,banco!$A:$A,$A70)</f>
        <v>0</v>
      </c>
      <c r="J70" s="12">
        <f>IFERROR(I70/$AN70,0)</f>
        <v>0</v>
      </c>
      <c r="K70">
        <f>SUMIFS(banco!M:M,banco!$C:$C,$B70,banco!$A:$A,$A70)</f>
        <v>0</v>
      </c>
      <c r="L70" s="12">
        <f>IFERROR(K70/$AM70,0)</f>
        <v>0</v>
      </c>
      <c r="M70">
        <f>SUMIFS(banco!O:O,banco!$C:$C,$B70,banco!$A:$A,$A70)</f>
        <v>0</v>
      </c>
      <c r="N70" s="12">
        <f>IFERROR(M70/$AN70,0)</f>
        <v>0</v>
      </c>
      <c r="O70">
        <f>SUMIFS(banco!Q:Q,banco!$C:$C,$B70,banco!$A:$A,$A70)</f>
        <v>0</v>
      </c>
      <c r="P70" s="12">
        <f>IFERROR(O70/$AM70,0)</f>
        <v>0</v>
      </c>
      <c r="Q70">
        <f>SUMIFS(banco!S:S,banco!$C:$C,$B70,banco!$A:$A,$A70)</f>
        <v>0</v>
      </c>
      <c r="R70" s="12">
        <f>IFERROR(Q70/$AN70,0)</f>
        <v>0</v>
      </c>
      <c r="S70">
        <f>SUMIFS(banco!U:U,banco!$C:$C,$B70,banco!$A:$A,$A70)</f>
        <v>0</v>
      </c>
      <c r="T70" s="12">
        <f>IFERROR(S70/$AM70,0)</f>
        <v>0</v>
      </c>
      <c r="U70">
        <f>SUMIFS(banco!W:W,banco!$C:$C,$B70,banco!$A:$A,$A70)</f>
        <v>0</v>
      </c>
      <c r="V70" s="12">
        <f>IFERROR(U70/$AN70,0)</f>
        <v>0</v>
      </c>
      <c r="W70">
        <f>SUMIFS(banco!Y:Y,banco!$C:$C,$B70,banco!$A:$A,$A70)</f>
        <v>0</v>
      </c>
      <c r="X70" s="12">
        <f>IFERROR(W70/$AM70,0)</f>
        <v>0</v>
      </c>
      <c r="Y70">
        <f>SUMIFS(banco!AA:AA,banco!$C:$C,$B70,banco!$A:$A,$A70)</f>
        <v>0</v>
      </c>
      <c r="Z70" s="12">
        <f>IFERROR(Y70/$AN70,0)</f>
        <v>0</v>
      </c>
      <c r="AA70">
        <f>SUMIFS(banco!AC:AC,banco!$C:$C,$B70,banco!$A:$A,$A70)</f>
        <v>0</v>
      </c>
      <c r="AB70" s="12">
        <f>IFERROR(AA70/$AM70,0)</f>
        <v>0</v>
      </c>
      <c r="AC70">
        <f>SUMIFS(banco!AE:AE,banco!$C:$C,$B70,banco!$A:$A,$A70)</f>
        <v>0</v>
      </c>
      <c r="AD70" s="12">
        <f>IFERROR(AC70/$AN70,0)</f>
        <v>0</v>
      </c>
      <c r="AE70">
        <f>SUMIFS(banco!AG:AG,banco!$C:$C,$B70,banco!$A:$A,$A70)</f>
        <v>0</v>
      </c>
      <c r="AF70" s="12">
        <f>IFERROR(AE70/$AM70,0)</f>
        <v>0</v>
      </c>
      <c r="AG70">
        <f>SUMIFS(banco!AI:AI,banco!$C:$C,$B70,banco!$A:$A,$A70)</f>
        <v>0</v>
      </c>
      <c r="AH70" s="12">
        <f>IFERROR(AG70/$AN70,0)</f>
        <v>0</v>
      </c>
      <c r="AI70">
        <f>SUMIFS(banco!AK:AK,banco!$C:$C,$B70,banco!$A:$A,$A70)</f>
        <v>0</v>
      </c>
      <c r="AJ70" s="12">
        <f>IFERROR(AI70/$AM70,0)</f>
        <v>0</v>
      </c>
      <c r="AK70">
        <f>SUMIFS(banco!AM:AM,banco!$C:$C,$B70,banco!$A:$A,$A70)</f>
        <v>0</v>
      </c>
      <c r="AL70" s="12">
        <f>IFERROR(AK70/$AN70,0)</f>
        <v>0</v>
      </c>
      <c r="AM70">
        <f>SUMIFS(banco!AO:AO,banco!$C:$C,$B70,banco!$A:$A,$A70)</f>
        <v>0</v>
      </c>
      <c r="AN70">
        <f>SUMIFS(banco!AP:AP,banco!$C:$C,$B70,banco!$A:$A,$A70)</f>
        <v>0</v>
      </c>
      <c r="AO70">
        <v>12633</v>
      </c>
    </row>
    <row r="71" spans="1:41" x14ac:dyDescent="0.25">
      <c r="A71" s="20">
        <v>2016</v>
      </c>
      <c r="B71" s="18" t="s">
        <v>146</v>
      </c>
      <c r="C71">
        <f>SUMIFS(banco!E:E,banco!$C:$C,$B71,banco!$A:$A,$A71)</f>
        <v>0</v>
      </c>
      <c r="D71" s="12">
        <f>IFERROR(C71/$AM71,0)</f>
        <v>0</v>
      </c>
      <c r="E71">
        <f>SUMIFS(banco!G:G,banco!$C:$C,$B71,banco!$A:$A,$A71)</f>
        <v>0</v>
      </c>
      <c r="F71" s="12">
        <f>IFERROR(E71/$AN71,0)</f>
        <v>0</v>
      </c>
      <c r="G71">
        <f>SUMIFS(banco!I:I,banco!$C:$C,$B71,banco!$A:$A,$A71)</f>
        <v>0</v>
      </c>
      <c r="H71" s="12">
        <f>IFERROR(G71/$AM71,0)</f>
        <v>0</v>
      </c>
      <c r="I71">
        <f>SUMIFS(banco!K:K,banco!$C:$C,$B71,banco!$A:$A,$A71)</f>
        <v>0</v>
      </c>
      <c r="J71" s="12">
        <f>IFERROR(I71/$AN71,0)</f>
        <v>0</v>
      </c>
      <c r="K71">
        <f>SUMIFS(banco!M:M,banco!$C:$C,$B71,banco!$A:$A,$A71)</f>
        <v>0</v>
      </c>
      <c r="L71" s="12">
        <f>IFERROR(K71/$AM71,0)</f>
        <v>0</v>
      </c>
      <c r="M71">
        <f>SUMIFS(banco!O:O,banco!$C:$C,$B71,banco!$A:$A,$A71)</f>
        <v>0</v>
      </c>
      <c r="N71" s="12">
        <f>IFERROR(M71/$AN71,0)</f>
        <v>0</v>
      </c>
      <c r="O71">
        <f>SUMIFS(banco!Q:Q,banco!$C:$C,$B71,banco!$A:$A,$A71)</f>
        <v>0</v>
      </c>
      <c r="P71" s="12">
        <f>IFERROR(O71/$AM71,0)</f>
        <v>0</v>
      </c>
      <c r="Q71">
        <f>SUMIFS(banco!S:S,banco!$C:$C,$B71,banco!$A:$A,$A71)</f>
        <v>0</v>
      </c>
      <c r="R71" s="12">
        <f>IFERROR(Q71/$AN71,0)</f>
        <v>0</v>
      </c>
      <c r="S71">
        <f>SUMIFS(banco!U:U,banco!$C:$C,$B71,banco!$A:$A,$A71)</f>
        <v>0</v>
      </c>
      <c r="T71" s="12">
        <f>IFERROR(S71/$AM71,0)</f>
        <v>0</v>
      </c>
      <c r="U71">
        <f>SUMIFS(banco!W:W,banco!$C:$C,$B71,banco!$A:$A,$A71)</f>
        <v>0</v>
      </c>
      <c r="V71" s="12">
        <f>IFERROR(U71/$AN71,0)</f>
        <v>0</v>
      </c>
      <c r="W71">
        <f>SUMIFS(banco!Y:Y,banco!$C:$C,$B71,banco!$A:$A,$A71)</f>
        <v>0</v>
      </c>
      <c r="X71" s="12">
        <f>IFERROR(W71/$AM71,0)</f>
        <v>0</v>
      </c>
      <c r="Y71">
        <f>SUMIFS(banco!AA:AA,banco!$C:$C,$B71,banco!$A:$A,$A71)</f>
        <v>0</v>
      </c>
      <c r="Z71" s="12">
        <f>IFERROR(Y71/$AN71,0)</f>
        <v>0</v>
      </c>
      <c r="AA71">
        <f>SUMIFS(banco!AC:AC,banco!$C:$C,$B71,banco!$A:$A,$A71)</f>
        <v>0</v>
      </c>
      <c r="AB71" s="12">
        <f>IFERROR(AA71/$AM71,0)</f>
        <v>0</v>
      </c>
      <c r="AC71">
        <f>SUMIFS(banco!AE:AE,banco!$C:$C,$B71,banco!$A:$A,$A71)</f>
        <v>0</v>
      </c>
      <c r="AD71" s="12">
        <f>IFERROR(AC71/$AN71,0)</f>
        <v>0</v>
      </c>
      <c r="AE71">
        <f>SUMIFS(banco!AG:AG,banco!$C:$C,$B71,banco!$A:$A,$A71)</f>
        <v>0</v>
      </c>
      <c r="AF71" s="12">
        <f>IFERROR(AE71/$AM71,0)</f>
        <v>0</v>
      </c>
      <c r="AG71">
        <f>SUMIFS(banco!AI:AI,banco!$C:$C,$B71,banco!$A:$A,$A71)</f>
        <v>0</v>
      </c>
      <c r="AH71" s="12">
        <f>IFERROR(AG71/$AN71,0)</f>
        <v>0</v>
      </c>
      <c r="AI71">
        <f>SUMIFS(banco!AK:AK,banco!$C:$C,$B71,banco!$A:$A,$A71)</f>
        <v>0</v>
      </c>
      <c r="AJ71" s="12">
        <f>IFERROR(AI71/$AM71,0)</f>
        <v>0</v>
      </c>
      <c r="AK71">
        <f>SUMIFS(banco!AM:AM,banco!$C:$C,$B71,banco!$A:$A,$A71)</f>
        <v>0</v>
      </c>
      <c r="AL71" s="12">
        <f>IFERROR(AK71/$AN71,0)</f>
        <v>0</v>
      </c>
      <c r="AM71">
        <f>SUMIFS(banco!AO:AO,banco!$C:$C,$B71,banco!$A:$A,$A71)</f>
        <v>0</v>
      </c>
      <c r="AN71">
        <f>SUMIFS(banco!AP:AP,banco!$C:$C,$B71,banco!$A:$A,$A71)</f>
        <v>0</v>
      </c>
      <c r="AO71">
        <v>13489</v>
      </c>
    </row>
    <row r="72" spans="1:41" x14ac:dyDescent="0.25">
      <c r="A72" s="20">
        <v>2016</v>
      </c>
      <c r="B72" s="18" t="s">
        <v>149</v>
      </c>
      <c r="C72">
        <f>SUMIFS(banco!E:E,banco!$C:$C,$B72,banco!$A:$A,$A72)</f>
        <v>0</v>
      </c>
      <c r="D72" s="12">
        <f>IFERROR(C72/$AM72,0)</f>
        <v>0</v>
      </c>
      <c r="E72">
        <f>SUMIFS(banco!G:G,banco!$C:$C,$B72,banco!$A:$A,$A72)</f>
        <v>0</v>
      </c>
      <c r="F72" s="12">
        <f>IFERROR(E72/$AN72,0)</f>
        <v>0</v>
      </c>
      <c r="G72">
        <f>SUMIFS(banco!I:I,banco!$C:$C,$B72,banco!$A:$A,$A72)</f>
        <v>0</v>
      </c>
      <c r="H72" s="12">
        <f>IFERROR(G72/$AM72,0)</f>
        <v>0</v>
      </c>
      <c r="I72">
        <f>SUMIFS(banco!K:K,banco!$C:$C,$B72,banco!$A:$A,$A72)</f>
        <v>0</v>
      </c>
      <c r="J72" s="12">
        <f>IFERROR(I72/$AN72,0)</f>
        <v>0</v>
      </c>
      <c r="K72">
        <f>SUMIFS(banco!M:M,banco!$C:$C,$B72,banco!$A:$A,$A72)</f>
        <v>0</v>
      </c>
      <c r="L72" s="12">
        <f>IFERROR(K72/$AM72,0)</f>
        <v>0</v>
      </c>
      <c r="M72">
        <f>SUMIFS(banco!O:O,banco!$C:$C,$B72,banco!$A:$A,$A72)</f>
        <v>0</v>
      </c>
      <c r="N72" s="12">
        <f>IFERROR(M72/$AN72,0)</f>
        <v>0</v>
      </c>
      <c r="O72">
        <f>SUMIFS(banco!Q:Q,banco!$C:$C,$B72,banco!$A:$A,$A72)</f>
        <v>0</v>
      </c>
      <c r="P72" s="12">
        <f>IFERROR(O72/$AM72,0)</f>
        <v>0</v>
      </c>
      <c r="Q72">
        <f>SUMIFS(banco!S:S,banco!$C:$C,$B72,banco!$A:$A,$A72)</f>
        <v>0</v>
      </c>
      <c r="R72" s="12">
        <f>IFERROR(Q72/$AN72,0)</f>
        <v>0</v>
      </c>
      <c r="S72">
        <f>SUMIFS(banco!U:U,banco!$C:$C,$B72,banco!$A:$A,$A72)</f>
        <v>0</v>
      </c>
      <c r="T72" s="12">
        <f>IFERROR(S72/$AM72,0)</f>
        <v>0</v>
      </c>
      <c r="U72">
        <f>SUMIFS(banco!W:W,banco!$C:$C,$B72,banco!$A:$A,$A72)</f>
        <v>0</v>
      </c>
      <c r="V72" s="12">
        <f>IFERROR(U72/$AN72,0)</f>
        <v>0</v>
      </c>
      <c r="W72">
        <f>SUMIFS(banco!Y:Y,banco!$C:$C,$B72,banco!$A:$A,$A72)</f>
        <v>0</v>
      </c>
      <c r="X72" s="12">
        <f>IFERROR(W72/$AM72,0)</f>
        <v>0</v>
      </c>
      <c r="Y72">
        <f>SUMIFS(banco!AA:AA,banco!$C:$C,$B72,banco!$A:$A,$A72)</f>
        <v>0</v>
      </c>
      <c r="Z72" s="12">
        <f>IFERROR(Y72/$AN72,0)</f>
        <v>0</v>
      </c>
      <c r="AA72">
        <f>SUMIFS(banco!AC:AC,banco!$C:$C,$B72,banco!$A:$A,$A72)</f>
        <v>0</v>
      </c>
      <c r="AB72" s="12">
        <f>IFERROR(AA72/$AM72,0)</f>
        <v>0</v>
      </c>
      <c r="AC72">
        <f>SUMIFS(banco!AE:AE,banco!$C:$C,$B72,banco!$A:$A,$A72)</f>
        <v>0</v>
      </c>
      <c r="AD72" s="12">
        <f>IFERROR(AC72/$AN72,0)</f>
        <v>0</v>
      </c>
      <c r="AE72">
        <f>SUMIFS(banco!AG:AG,banco!$C:$C,$B72,banco!$A:$A,$A72)</f>
        <v>0</v>
      </c>
      <c r="AF72" s="12">
        <f>IFERROR(AE72/$AM72,0)</f>
        <v>0</v>
      </c>
      <c r="AG72">
        <f>SUMIFS(banco!AI:AI,banco!$C:$C,$B72,banco!$A:$A,$A72)</f>
        <v>0</v>
      </c>
      <c r="AH72" s="12">
        <f>IFERROR(AG72/$AN72,0)</f>
        <v>0</v>
      </c>
      <c r="AI72">
        <f>SUMIFS(banco!AK:AK,banco!$C:$C,$B72,banco!$A:$A,$A72)</f>
        <v>0</v>
      </c>
      <c r="AJ72" s="12">
        <f>IFERROR(AI72/$AM72,0)</f>
        <v>0</v>
      </c>
      <c r="AK72">
        <f>SUMIFS(banco!AM:AM,banco!$C:$C,$B72,banco!$A:$A,$A72)</f>
        <v>0</v>
      </c>
      <c r="AL72" s="12">
        <f>IFERROR(AK72/$AN72,0)</f>
        <v>0</v>
      </c>
      <c r="AM72">
        <f>SUMIFS(banco!AO:AO,banco!$C:$C,$B72,banco!$A:$A,$A72)</f>
        <v>0</v>
      </c>
      <c r="AN72">
        <f>SUMIFS(banco!AP:AP,banco!$C:$C,$B72,banco!$A:$A,$A72)</f>
        <v>0</v>
      </c>
      <c r="AO72">
        <v>23625</v>
      </c>
    </row>
    <row r="73" spans="1:41" x14ac:dyDescent="0.25">
      <c r="A73" s="20">
        <v>2016</v>
      </c>
      <c r="B73" s="18" t="s">
        <v>147</v>
      </c>
      <c r="C73">
        <f>SUMIFS(banco!E:E,banco!$C:$C,$B73,banco!$A:$A,$A73)</f>
        <v>0</v>
      </c>
      <c r="D73" s="12">
        <f>IFERROR(C73/$AM73,0)</f>
        <v>0</v>
      </c>
      <c r="E73">
        <f>SUMIFS(banco!G:G,banco!$C:$C,$B73,banco!$A:$A,$A73)</f>
        <v>0</v>
      </c>
      <c r="F73" s="12">
        <f>IFERROR(E73/$AN73,0)</f>
        <v>0</v>
      </c>
      <c r="G73">
        <f>SUMIFS(banco!I:I,banco!$C:$C,$B73,banco!$A:$A,$A73)</f>
        <v>0</v>
      </c>
      <c r="H73" s="12">
        <f>IFERROR(G73/$AM73,0)</f>
        <v>0</v>
      </c>
      <c r="I73">
        <f>SUMIFS(banco!K:K,banco!$C:$C,$B73,banco!$A:$A,$A73)</f>
        <v>0</v>
      </c>
      <c r="J73" s="12">
        <f>IFERROR(I73/$AN73,0)</f>
        <v>0</v>
      </c>
      <c r="K73">
        <f>SUMIFS(banco!M:M,banco!$C:$C,$B73,banco!$A:$A,$A73)</f>
        <v>0</v>
      </c>
      <c r="L73" s="12">
        <f>IFERROR(K73/$AM73,0)</f>
        <v>0</v>
      </c>
      <c r="M73">
        <f>SUMIFS(banco!O:O,banco!$C:$C,$B73,banco!$A:$A,$A73)</f>
        <v>0</v>
      </c>
      <c r="N73" s="12">
        <f>IFERROR(M73/$AN73,0)</f>
        <v>0</v>
      </c>
      <c r="O73">
        <f>SUMIFS(banco!Q:Q,banco!$C:$C,$B73,banco!$A:$A,$A73)</f>
        <v>0</v>
      </c>
      <c r="P73" s="12">
        <f>IFERROR(O73/$AM73,0)</f>
        <v>0</v>
      </c>
      <c r="Q73">
        <f>SUMIFS(banco!S:S,banco!$C:$C,$B73,banco!$A:$A,$A73)</f>
        <v>0</v>
      </c>
      <c r="R73" s="12">
        <f>IFERROR(Q73/$AN73,0)</f>
        <v>0</v>
      </c>
      <c r="S73">
        <f>SUMIFS(banco!U:U,banco!$C:$C,$B73,banco!$A:$A,$A73)</f>
        <v>0</v>
      </c>
      <c r="T73" s="12">
        <f>IFERROR(S73/$AM73,0)</f>
        <v>0</v>
      </c>
      <c r="U73">
        <f>SUMIFS(banco!W:W,banco!$C:$C,$B73,banco!$A:$A,$A73)</f>
        <v>0</v>
      </c>
      <c r="V73" s="12">
        <f>IFERROR(U73/$AN73,0)</f>
        <v>0</v>
      </c>
      <c r="W73">
        <f>SUMIFS(banco!Y:Y,banco!$C:$C,$B73,banco!$A:$A,$A73)</f>
        <v>0</v>
      </c>
      <c r="X73" s="12">
        <f>IFERROR(W73/$AM73,0)</f>
        <v>0</v>
      </c>
      <c r="Y73">
        <f>SUMIFS(banco!AA:AA,banco!$C:$C,$B73,banco!$A:$A,$A73)</f>
        <v>0</v>
      </c>
      <c r="Z73" s="12">
        <f>IFERROR(Y73/$AN73,0)</f>
        <v>0</v>
      </c>
      <c r="AA73">
        <f>SUMIFS(banco!AC:AC,banco!$C:$C,$B73,banco!$A:$A,$A73)</f>
        <v>0</v>
      </c>
      <c r="AB73" s="12">
        <f>IFERROR(AA73/$AM73,0)</f>
        <v>0</v>
      </c>
      <c r="AC73">
        <f>SUMIFS(banco!AE:AE,banco!$C:$C,$B73,banco!$A:$A,$A73)</f>
        <v>0</v>
      </c>
      <c r="AD73" s="12">
        <f>IFERROR(AC73/$AN73,0)</f>
        <v>0</v>
      </c>
      <c r="AE73">
        <f>SUMIFS(banco!AG:AG,banco!$C:$C,$B73,banco!$A:$A,$A73)</f>
        <v>0</v>
      </c>
      <c r="AF73" s="12">
        <f>IFERROR(AE73/$AM73,0)</f>
        <v>0</v>
      </c>
      <c r="AG73">
        <f>SUMIFS(banco!AI:AI,banco!$C:$C,$B73,banco!$A:$A,$A73)</f>
        <v>0</v>
      </c>
      <c r="AH73" s="12">
        <f>IFERROR(AG73/$AN73,0)</f>
        <v>0</v>
      </c>
      <c r="AI73">
        <f>SUMIFS(banco!AK:AK,banco!$C:$C,$B73,banco!$A:$A,$A73)</f>
        <v>0</v>
      </c>
      <c r="AJ73" s="12">
        <f>IFERROR(AI73/$AM73,0)</f>
        <v>0</v>
      </c>
      <c r="AK73">
        <f>SUMIFS(banco!AM:AM,banco!$C:$C,$B73,banco!$A:$A,$A73)</f>
        <v>0</v>
      </c>
      <c r="AL73" s="12">
        <f>IFERROR(AK73/$AN73,0)</f>
        <v>0</v>
      </c>
      <c r="AM73">
        <f>SUMIFS(banco!AO:AO,banco!$C:$C,$B73,banco!$A:$A,$A73)</f>
        <v>0</v>
      </c>
      <c r="AN73">
        <f>SUMIFS(banco!AP:AP,banco!$C:$C,$B73,banco!$A:$A,$A73)</f>
        <v>0</v>
      </c>
      <c r="AO73">
        <v>7949</v>
      </c>
    </row>
    <row r="74" spans="1:41" x14ac:dyDescent="0.25">
      <c r="A74" s="20">
        <v>2015</v>
      </c>
      <c r="B74" s="18" t="s">
        <v>151</v>
      </c>
      <c r="C74">
        <f>SUMIFS(banco!E:E,banco!$C:$C,$B74,banco!$A:$A,$A74)</f>
        <v>0</v>
      </c>
      <c r="D74" s="12">
        <f>IFERROR(C74/$AM74,0)</f>
        <v>0</v>
      </c>
      <c r="E74">
        <f>SUMIFS(banco!G:G,banco!$C:$C,$B74,banco!$A:$A,$A74)</f>
        <v>0</v>
      </c>
      <c r="F74" s="12">
        <f>IFERROR(E74/$AN74,0)</f>
        <v>0</v>
      </c>
      <c r="G74">
        <f>SUMIFS(banco!I:I,banco!$C:$C,$B74,banco!$A:$A,$A74)</f>
        <v>0</v>
      </c>
      <c r="H74" s="12">
        <f>IFERROR(G74/$AM74,0)</f>
        <v>0</v>
      </c>
      <c r="I74">
        <f>SUMIFS(banco!K:K,banco!$C:$C,$B74,banco!$A:$A,$A74)</f>
        <v>0</v>
      </c>
      <c r="J74" s="12">
        <f>IFERROR(I74/$AN74,0)</f>
        <v>0</v>
      </c>
      <c r="K74">
        <f>SUMIFS(banco!M:M,banco!$C:$C,$B74,banco!$A:$A,$A74)</f>
        <v>0</v>
      </c>
      <c r="L74" s="12">
        <f>IFERROR(K74/$AM74,0)</f>
        <v>0</v>
      </c>
      <c r="M74">
        <f>SUMIFS(banco!O:O,banco!$C:$C,$B74,banco!$A:$A,$A74)</f>
        <v>0</v>
      </c>
      <c r="N74" s="12">
        <f>IFERROR(M74/$AN74,0)</f>
        <v>0</v>
      </c>
      <c r="O74">
        <f>SUMIFS(banco!Q:Q,banco!$C:$C,$B74,banco!$A:$A,$A74)</f>
        <v>0</v>
      </c>
      <c r="P74" s="12">
        <f>IFERROR(O74/$AM74,0)</f>
        <v>0</v>
      </c>
      <c r="Q74">
        <f>SUMIFS(banco!S:S,banco!$C:$C,$B74,banco!$A:$A,$A74)</f>
        <v>0</v>
      </c>
      <c r="R74" s="12">
        <f>IFERROR(Q74/$AN74,0)</f>
        <v>0</v>
      </c>
      <c r="S74">
        <f>SUMIFS(banco!U:U,banco!$C:$C,$B74,banco!$A:$A,$A74)</f>
        <v>0</v>
      </c>
      <c r="T74" s="12">
        <f>IFERROR(S74/$AM74,0)</f>
        <v>0</v>
      </c>
      <c r="U74">
        <f>SUMIFS(banco!W:W,banco!$C:$C,$B74,banco!$A:$A,$A74)</f>
        <v>0</v>
      </c>
      <c r="V74" s="12">
        <f>IFERROR(U74/$AN74,0)</f>
        <v>0</v>
      </c>
      <c r="W74">
        <f>SUMIFS(banco!Y:Y,banco!$C:$C,$B74,banco!$A:$A,$A74)</f>
        <v>0</v>
      </c>
      <c r="X74" s="12">
        <f>IFERROR(W74/$AM74,0)</f>
        <v>0</v>
      </c>
      <c r="Y74">
        <f>SUMIFS(banco!AA:AA,banco!$C:$C,$B74,banco!$A:$A,$A74)</f>
        <v>0</v>
      </c>
      <c r="Z74" s="12">
        <f>IFERROR(Y74/$AN74,0)</f>
        <v>0</v>
      </c>
      <c r="AA74">
        <f>SUMIFS(banco!AC:AC,banco!$C:$C,$B74,banco!$A:$A,$A74)</f>
        <v>0</v>
      </c>
      <c r="AB74" s="12">
        <f>IFERROR(AA74/$AM74,0)</f>
        <v>0</v>
      </c>
      <c r="AC74">
        <f>SUMIFS(banco!AE:AE,banco!$C:$C,$B74,banco!$A:$A,$A74)</f>
        <v>0</v>
      </c>
      <c r="AD74" s="12">
        <f>IFERROR(AC74/$AN74,0)</f>
        <v>0</v>
      </c>
      <c r="AE74">
        <f>SUMIFS(banco!AG:AG,banco!$C:$C,$B74,banco!$A:$A,$A74)</f>
        <v>0</v>
      </c>
      <c r="AF74" s="12">
        <f>IFERROR(AE74/$AM74,0)</f>
        <v>0</v>
      </c>
      <c r="AG74">
        <f>SUMIFS(banco!AI:AI,banco!$C:$C,$B74,banco!$A:$A,$A74)</f>
        <v>0</v>
      </c>
      <c r="AH74" s="12">
        <f>IFERROR(AG74/$AN74,0)</f>
        <v>0</v>
      </c>
      <c r="AI74">
        <f>SUMIFS(banco!AK:AK,banco!$C:$C,$B74,banco!$A:$A,$A74)</f>
        <v>0</v>
      </c>
      <c r="AJ74" s="12">
        <f>IFERROR(AI74/$AM74,0)</f>
        <v>0</v>
      </c>
      <c r="AK74">
        <f>SUMIFS(banco!AM:AM,banco!$C:$C,$B74,banco!$A:$A,$A74)</f>
        <v>0</v>
      </c>
      <c r="AL74" s="12">
        <f>IFERROR(AK74/$AN74,0)</f>
        <v>0</v>
      </c>
      <c r="AM74">
        <f>SUMIFS(banco!AO:AO,banco!C:C,Tabela1[[#This Row],[REGIÃO DE SAÚDE]],banco!A:A,Tabela1[[#This Row],[Ano]])</f>
        <v>0</v>
      </c>
      <c r="AN74">
        <f>SUMIFS(banco!AP:AP,banco!$C:$C,$B74,banco!$A:$A,$A74)</f>
        <v>0</v>
      </c>
      <c r="AO74">
        <v>9902</v>
      </c>
    </row>
    <row r="75" spans="1:41" x14ac:dyDescent="0.25">
      <c r="A75" s="20">
        <v>2015</v>
      </c>
      <c r="B75" s="18" t="s">
        <v>145</v>
      </c>
      <c r="C75">
        <f>SUMIFS(banco!E:E,banco!$C:$C,$B75,banco!$A:$A,$A75)</f>
        <v>0</v>
      </c>
      <c r="D75" s="12">
        <f>IFERROR(C75/$AM75,0)</f>
        <v>0</v>
      </c>
      <c r="E75">
        <f>SUMIFS(banco!G:G,banco!$C:$C,$B75,banco!$A:$A,$A75)</f>
        <v>0</v>
      </c>
      <c r="F75" s="12">
        <f>IFERROR(E75/$AN75,0)</f>
        <v>0</v>
      </c>
      <c r="G75">
        <f>SUMIFS(banco!I:I,banco!$C:$C,$B75,banco!$A:$A,$A75)</f>
        <v>0</v>
      </c>
      <c r="H75" s="12">
        <f>IFERROR(G75/$AM75,0)</f>
        <v>0</v>
      </c>
      <c r="I75">
        <f>SUMIFS(banco!K:K,banco!$C:$C,$B75,banco!$A:$A,$A75)</f>
        <v>0</v>
      </c>
      <c r="J75" s="12">
        <f>IFERROR(I75/$AN75,0)</f>
        <v>0</v>
      </c>
      <c r="K75">
        <f>SUMIFS(banco!M:M,banco!$C:$C,$B75,banco!$A:$A,$A75)</f>
        <v>0</v>
      </c>
      <c r="L75" s="12">
        <f>IFERROR(K75/$AM75,0)</f>
        <v>0</v>
      </c>
      <c r="M75">
        <f>SUMIFS(banco!O:O,banco!$C:$C,$B75,banco!$A:$A,$A75)</f>
        <v>0</v>
      </c>
      <c r="N75" s="12">
        <f>IFERROR(M75/$AN75,0)</f>
        <v>0</v>
      </c>
      <c r="O75">
        <f>SUMIFS(banco!Q:Q,banco!$C:$C,$B75,banco!$A:$A,$A75)</f>
        <v>0</v>
      </c>
      <c r="P75" s="12">
        <f>IFERROR(O75/$AM75,0)</f>
        <v>0</v>
      </c>
      <c r="Q75">
        <f>SUMIFS(banco!S:S,banco!$C:$C,$B75,banco!$A:$A,$A75)</f>
        <v>0</v>
      </c>
      <c r="R75" s="12">
        <f>IFERROR(Q75/$AN75,0)</f>
        <v>0</v>
      </c>
      <c r="S75">
        <f>SUMIFS(banco!U:U,banco!$C:$C,$B75,banco!$A:$A,$A75)</f>
        <v>0</v>
      </c>
      <c r="T75" s="12">
        <f>IFERROR(S75/$AM75,0)</f>
        <v>0</v>
      </c>
      <c r="U75">
        <f>SUMIFS(banco!W:W,banco!$C:$C,$B75,banco!$A:$A,$A75)</f>
        <v>0</v>
      </c>
      <c r="V75" s="12">
        <f>IFERROR(U75/$AN75,0)</f>
        <v>0</v>
      </c>
      <c r="W75">
        <f>SUMIFS(banco!Y:Y,banco!$C:$C,$B75,banco!$A:$A,$A75)</f>
        <v>0</v>
      </c>
      <c r="X75" s="12">
        <f>IFERROR(W75/$AM75,0)</f>
        <v>0</v>
      </c>
      <c r="Y75">
        <f>SUMIFS(banco!AA:AA,banco!$C:$C,$B75,banco!$A:$A,$A75)</f>
        <v>0</v>
      </c>
      <c r="Z75" s="12">
        <f>IFERROR(Y75/$AN75,0)</f>
        <v>0</v>
      </c>
      <c r="AA75">
        <f>SUMIFS(banco!AC:AC,banco!$C:$C,$B75,banco!$A:$A,$A75)</f>
        <v>0</v>
      </c>
      <c r="AB75" s="12">
        <f>IFERROR(AA75/$AM75,0)</f>
        <v>0</v>
      </c>
      <c r="AC75">
        <f>SUMIFS(banco!AE:AE,banco!$C:$C,$B75,banco!$A:$A,$A75)</f>
        <v>0</v>
      </c>
      <c r="AD75" s="12">
        <f>IFERROR(AC75/$AN75,0)</f>
        <v>0</v>
      </c>
      <c r="AE75">
        <f>SUMIFS(banco!AG:AG,banco!$C:$C,$B75,banco!$A:$A,$A75)</f>
        <v>0</v>
      </c>
      <c r="AF75" s="12">
        <f>IFERROR(AE75/$AM75,0)</f>
        <v>0</v>
      </c>
      <c r="AG75">
        <f>SUMIFS(banco!AI:AI,banco!$C:$C,$B75,banco!$A:$A,$A75)</f>
        <v>0</v>
      </c>
      <c r="AH75" s="12">
        <f>IFERROR(AG75/$AN75,0)</f>
        <v>0</v>
      </c>
      <c r="AI75">
        <f>SUMIFS(banco!AK:AK,banco!$C:$C,$B75,banco!$A:$A,$A75)</f>
        <v>0</v>
      </c>
      <c r="AJ75" s="12">
        <f>IFERROR(AI75/$AM75,0)</f>
        <v>0</v>
      </c>
      <c r="AK75">
        <f>SUMIFS(banco!AM:AM,banco!$C:$C,$B75,banco!$A:$A,$A75)</f>
        <v>0</v>
      </c>
      <c r="AL75" s="12">
        <f>IFERROR(AK75/$AN75,0)</f>
        <v>0</v>
      </c>
      <c r="AM75">
        <f>SUMIFS(banco!AO:AO,banco!$C:$C,$B75,banco!$A:$A,$A75)</f>
        <v>0</v>
      </c>
      <c r="AN75">
        <f>SUMIFS(banco!AP:AP,banco!$C:$C,$B75,banco!$A:$A,$A75)</f>
        <v>0</v>
      </c>
      <c r="AO75">
        <v>19224</v>
      </c>
    </row>
    <row r="76" spans="1:41" x14ac:dyDescent="0.25">
      <c r="A76" s="20">
        <v>2015</v>
      </c>
      <c r="B76" s="18" t="s">
        <v>144</v>
      </c>
      <c r="C76">
        <f>SUMIFS(banco!E:E,banco!$C:$C,$B76,banco!$A:$A,$A76)</f>
        <v>0</v>
      </c>
      <c r="D76" s="12">
        <f>IFERROR(C76/$AM76,0)</f>
        <v>0</v>
      </c>
      <c r="E76">
        <f>SUMIFS(banco!G:G,banco!$C:$C,$B76,banco!$A:$A,$A76)</f>
        <v>0</v>
      </c>
      <c r="F76" s="12">
        <f>IFERROR(E76/$AN76,0)</f>
        <v>0</v>
      </c>
      <c r="G76">
        <f>SUMIFS(banco!I:I,banco!$C:$C,$B76,banco!$A:$A,$A76)</f>
        <v>0</v>
      </c>
      <c r="H76" s="12">
        <f>IFERROR(G76/$AM76,0)</f>
        <v>0</v>
      </c>
      <c r="I76">
        <f>SUMIFS(banco!K:K,banco!$C:$C,$B76,banco!$A:$A,$A76)</f>
        <v>0</v>
      </c>
      <c r="J76" s="12">
        <f>IFERROR(I76/$AN76,0)</f>
        <v>0</v>
      </c>
      <c r="K76">
        <f>SUMIFS(banco!M:M,banco!$C:$C,$B76,banco!$A:$A,$A76)</f>
        <v>0</v>
      </c>
      <c r="L76" s="12">
        <f>IFERROR(K76/$AM76,0)</f>
        <v>0</v>
      </c>
      <c r="M76">
        <f>SUMIFS(banco!O:O,banco!$C:$C,$B76,banco!$A:$A,$A76)</f>
        <v>0</v>
      </c>
      <c r="N76" s="12">
        <f>IFERROR(M76/$AN76,0)</f>
        <v>0</v>
      </c>
      <c r="O76">
        <f>SUMIFS(banco!Q:Q,banco!$C:$C,$B76,banco!$A:$A,$A76)</f>
        <v>0</v>
      </c>
      <c r="P76" s="12">
        <f>IFERROR(O76/$AM76,0)</f>
        <v>0</v>
      </c>
      <c r="Q76">
        <f>SUMIFS(banco!S:S,banco!$C:$C,$B76,banco!$A:$A,$A76)</f>
        <v>0</v>
      </c>
      <c r="R76" s="12">
        <f>IFERROR(Q76/$AN76,0)</f>
        <v>0</v>
      </c>
      <c r="S76">
        <f>SUMIFS(banco!U:U,banco!$C:$C,$B76,banco!$A:$A,$A76)</f>
        <v>0</v>
      </c>
      <c r="T76" s="12">
        <f>IFERROR(S76/$AM76,0)</f>
        <v>0</v>
      </c>
      <c r="U76">
        <f>SUMIFS(banco!W:W,banco!$C:$C,$B76,banco!$A:$A,$A76)</f>
        <v>0</v>
      </c>
      <c r="V76" s="12">
        <f>IFERROR(U76/$AN76,0)</f>
        <v>0</v>
      </c>
      <c r="W76">
        <f>SUMIFS(banco!Y:Y,banco!$C:$C,$B76,banco!$A:$A,$A76)</f>
        <v>0</v>
      </c>
      <c r="X76" s="12">
        <f>IFERROR(W76/$AM76,0)</f>
        <v>0</v>
      </c>
      <c r="Y76">
        <f>SUMIFS(banco!AA:AA,banco!$C:$C,$B76,banco!$A:$A,$A76)</f>
        <v>0</v>
      </c>
      <c r="Z76" s="12">
        <f>IFERROR(Y76/$AN76,0)</f>
        <v>0</v>
      </c>
      <c r="AA76">
        <f>SUMIFS(banco!AC:AC,banco!$C:$C,$B76,banco!$A:$A,$A76)</f>
        <v>0</v>
      </c>
      <c r="AB76" s="12">
        <f>IFERROR(AA76/$AM76,0)</f>
        <v>0</v>
      </c>
      <c r="AC76">
        <f>SUMIFS(banco!AE:AE,banco!$C:$C,$B76,banco!$A:$A,$A76)</f>
        <v>0</v>
      </c>
      <c r="AD76" s="12">
        <f>IFERROR(AC76/$AN76,0)</f>
        <v>0</v>
      </c>
      <c r="AE76">
        <f>SUMIFS(banco!AG:AG,banco!$C:$C,$B76,banco!$A:$A,$A76)</f>
        <v>0</v>
      </c>
      <c r="AF76" s="12">
        <f>IFERROR(AE76/$AM76,0)</f>
        <v>0</v>
      </c>
      <c r="AG76">
        <f>SUMIFS(banco!AI:AI,banco!$C:$C,$B76,banco!$A:$A,$A76)</f>
        <v>0</v>
      </c>
      <c r="AH76" s="12">
        <f>IFERROR(AG76/$AN76,0)</f>
        <v>0</v>
      </c>
      <c r="AI76">
        <f>SUMIFS(banco!AK:AK,banco!$C:$C,$B76,banco!$A:$A,$A76)</f>
        <v>0</v>
      </c>
      <c r="AJ76" s="12">
        <f>IFERROR(AI76/$AM76,0)</f>
        <v>0</v>
      </c>
      <c r="AK76">
        <f>SUMIFS(banco!AM:AM,banco!$C:$C,$B76,banco!$A:$A,$A76)</f>
        <v>0</v>
      </c>
      <c r="AL76" s="12">
        <f>IFERROR(AK76/$AN76,0)</f>
        <v>0</v>
      </c>
      <c r="AM76">
        <f>SUMIFS(banco!AO:AO,banco!$C:$C,$B76,banco!$A:$A,$A76)</f>
        <v>0</v>
      </c>
      <c r="AN76">
        <f>SUMIFS(banco!AP:AP,banco!$C:$C,$B76,banco!$A:$A,$A76)</f>
        <v>0</v>
      </c>
      <c r="AO76">
        <v>10333</v>
      </c>
    </row>
    <row r="77" spans="1:41" x14ac:dyDescent="0.25">
      <c r="A77" s="20">
        <v>2015</v>
      </c>
      <c r="B77" s="18" t="s">
        <v>148</v>
      </c>
      <c r="C77">
        <f>SUMIFS(banco!E:E,banco!$C:$C,$B77,banco!$A:$A,$A77)</f>
        <v>0</v>
      </c>
      <c r="D77" s="12">
        <f>IFERROR(C77/$AM77,0)</f>
        <v>0</v>
      </c>
      <c r="E77">
        <f>SUMIFS(banco!G:G,banco!$C:$C,$B77,banco!$A:$A,$A77)</f>
        <v>0</v>
      </c>
      <c r="F77" s="12">
        <f>IFERROR(E77/$AN77,0)</f>
        <v>0</v>
      </c>
      <c r="G77">
        <f>SUMIFS(banco!I:I,banco!$C:$C,$B77,banco!$A:$A,$A77)</f>
        <v>0</v>
      </c>
      <c r="H77" s="12">
        <f>IFERROR(G77/$AM77,0)</f>
        <v>0</v>
      </c>
      <c r="I77">
        <f>SUMIFS(banco!K:K,banco!$C:$C,$B77,banco!$A:$A,$A77)</f>
        <v>0</v>
      </c>
      <c r="J77" s="12">
        <f>IFERROR(I77/$AN77,0)</f>
        <v>0</v>
      </c>
      <c r="K77">
        <f>SUMIFS(banco!M:M,banco!$C:$C,$B77,banco!$A:$A,$A77)</f>
        <v>0</v>
      </c>
      <c r="L77" s="12">
        <f>IFERROR(K77/$AM77,0)</f>
        <v>0</v>
      </c>
      <c r="M77">
        <f>SUMIFS(banco!O:O,banco!$C:$C,$B77,banco!$A:$A,$A77)</f>
        <v>0</v>
      </c>
      <c r="N77" s="12">
        <f>IFERROR(M77/$AN77,0)</f>
        <v>0</v>
      </c>
      <c r="O77">
        <f>SUMIFS(banco!Q:Q,banco!$C:$C,$B77,banco!$A:$A,$A77)</f>
        <v>0</v>
      </c>
      <c r="P77" s="12">
        <f>IFERROR(O77/$AM77,0)</f>
        <v>0</v>
      </c>
      <c r="Q77">
        <f>SUMIFS(banco!S:S,banco!$C:$C,$B77,banco!$A:$A,$A77)</f>
        <v>0</v>
      </c>
      <c r="R77" s="12">
        <f>IFERROR(Q77/$AN77,0)</f>
        <v>0</v>
      </c>
      <c r="S77">
        <f>SUMIFS(banco!U:U,banco!$C:$C,$B77,banco!$A:$A,$A77)</f>
        <v>0</v>
      </c>
      <c r="T77" s="12">
        <f>IFERROR(S77/$AM77,0)</f>
        <v>0</v>
      </c>
      <c r="U77">
        <f>SUMIFS(banco!W:W,banco!$C:$C,$B77,banco!$A:$A,$A77)</f>
        <v>0</v>
      </c>
      <c r="V77" s="12">
        <f>IFERROR(U77/$AN77,0)</f>
        <v>0</v>
      </c>
      <c r="W77">
        <f>SUMIFS(banco!Y:Y,banco!$C:$C,$B77,banco!$A:$A,$A77)</f>
        <v>0</v>
      </c>
      <c r="X77" s="12">
        <f>IFERROR(W77/$AM77,0)</f>
        <v>0</v>
      </c>
      <c r="Y77">
        <f>SUMIFS(banco!AA:AA,banco!$C:$C,$B77,banco!$A:$A,$A77)</f>
        <v>0</v>
      </c>
      <c r="Z77" s="12">
        <f>IFERROR(Y77/$AN77,0)</f>
        <v>0</v>
      </c>
      <c r="AA77">
        <f>SUMIFS(banco!AC:AC,banco!$C:$C,$B77,banco!$A:$A,$A77)</f>
        <v>0</v>
      </c>
      <c r="AB77" s="12">
        <f>IFERROR(AA77/$AM77,0)</f>
        <v>0</v>
      </c>
      <c r="AC77">
        <f>SUMIFS(banco!AE:AE,banco!$C:$C,$B77,banco!$A:$A,$A77)</f>
        <v>0</v>
      </c>
      <c r="AD77" s="12">
        <f>IFERROR(AC77/$AN77,0)</f>
        <v>0</v>
      </c>
      <c r="AE77">
        <f>SUMIFS(banco!AG:AG,banco!$C:$C,$B77,banco!$A:$A,$A77)</f>
        <v>0</v>
      </c>
      <c r="AF77" s="12">
        <f>IFERROR(AE77/$AM77,0)</f>
        <v>0</v>
      </c>
      <c r="AG77">
        <f>SUMIFS(banco!AI:AI,banco!$C:$C,$B77,banco!$A:$A,$A77)</f>
        <v>0</v>
      </c>
      <c r="AH77" s="12">
        <f>IFERROR(AG77/$AN77,0)</f>
        <v>0</v>
      </c>
      <c r="AI77">
        <f>SUMIFS(banco!AK:AK,banco!$C:$C,$B77,banco!$A:$A,$A77)</f>
        <v>0</v>
      </c>
      <c r="AJ77" s="12">
        <f>IFERROR(AI77/$AM77,0)</f>
        <v>0</v>
      </c>
      <c r="AK77">
        <f>SUMIFS(banco!AM:AM,banco!$C:$C,$B77,banco!$A:$A,$A77)</f>
        <v>0</v>
      </c>
      <c r="AL77" s="12">
        <f>IFERROR(AK77/$AN77,0)</f>
        <v>0</v>
      </c>
      <c r="AM77">
        <f>SUMIFS(banco!AO:AO,banco!$C:$C,$B77,banco!$A:$A,$A77)</f>
        <v>0</v>
      </c>
      <c r="AN77">
        <f>SUMIFS(banco!AP:AP,banco!$C:$C,$B77,banco!$A:$A,$A77)</f>
        <v>0</v>
      </c>
      <c r="AO77">
        <v>29079</v>
      </c>
    </row>
    <row r="78" spans="1:41" x14ac:dyDescent="0.25">
      <c r="A78" s="20">
        <v>2015</v>
      </c>
      <c r="B78" s="18" t="s">
        <v>150</v>
      </c>
      <c r="C78">
        <f>SUMIFS(banco!E:E,banco!$C:$C,$B78,banco!$A:$A,$A78)</f>
        <v>0</v>
      </c>
      <c r="D78" s="12">
        <f>IFERROR(C78/$AM78,0)</f>
        <v>0</v>
      </c>
      <c r="E78">
        <f>SUMIFS(banco!G:G,banco!$C:$C,$B78,banco!$A:$A,$A78)</f>
        <v>0</v>
      </c>
      <c r="F78" s="12">
        <f>IFERROR(E78/$AN78,0)</f>
        <v>0</v>
      </c>
      <c r="G78">
        <f>SUMIFS(banco!I:I,banco!$C:$C,$B78,banco!$A:$A,$A78)</f>
        <v>0</v>
      </c>
      <c r="H78" s="12">
        <f>IFERROR(G78/$AM78,0)</f>
        <v>0</v>
      </c>
      <c r="I78">
        <f>SUMIFS(banco!K:K,banco!$C:$C,$B78,banco!$A:$A,$A78)</f>
        <v>0</v>
      </c>
      <c r="J78" s="12">
        <f>IFERROR(I78/$AN78,0)</f>
        <v>0</v>
      </c>
      <c r="K78">
        <f>SUMIFS(banco!M:M,banco!$C:$C,$B78,banco!$A:$A,$A78)</f>
        <v>0</v>
      </c>
      <c r="L78" s="12">
        <f>IFERROR(K78/$AM78,0)</f>
        <v>0</v>
      </c>
      <c r="M78">
        <f>SUMIFS(banco!O:O,banco!$C:$C,$B78,banco!$A:$A,$A78)</f>
        <v>0</v>
      </c>
      <c r="N78" s="12">
        <f>IFERROR(M78/$AN78,0)</f>
        <v>0</v>
      </c>
      <c r="O78">
        <f>SUMIFS(banco!Q:Q,banco!$C:$C,$B78,banco!$A:$A,$A78)</f>
        <v>0</v>
      </c>
      <c r="P78" s="12">
        <f>IFERROR(O78/$AM78,0)</f>
        <v>0</v>
      </c>
      <c r="Q78">
        <f>SUMIFS(banco!S:S,banco!$C:$C,$B78,banco!$A:$A,$A78)</f>
        <v>0</v>
      </c>
      <c r="R78" s="12">
        <f>IFERROR(Q78/$AN78,0)</f>
        <v>0</v>
      </c>
      <c r="S78">
        <f>SUMIFS(banco!U:U,banco!$C:$C,$B78,banco!$A:$A,$A78)</f>
        <v>0</v>
      </c>
      <c r="T78" s="12">
        <f>IFERROR(S78/$AM78,0)</f>
        <v>0</v>
      </c>
      <c r="U78">
        <f>SUMIFS(banco!W:W,banco!$C:$C,$B78,banco!$A:$A,$A78)</f>
        <v>0</v>
      </c>
      <c r="V78" s="12">
        <f>IFERROR(U78/$AN78,0)</f>
        <v>0</v>
      </c>
      <c r="W78">
        <f>SUMIFS(banco!Y:Y,banco!$C:$C,$B78,banco!$A:$A,$A78)</f>
        <v>0</v>
      </c>
      <c r="X78" s="12">
        <f>IFERROR(W78/$AM78,0)</f>
        <v>0</v>
      </c>
      <c r="Y78">
        <f>SUMIFS(banco!AA:AA,banco!$C:$C,$B78,banco!$A:$A,$A78)</f>
        <v>0</v>
      </c>
      <c r="Z78" s="12">
        <f>IFERROR(Y78/$AN78,0)</f>
        <v>0</v>
      </c>
      <c r="AA78">
        <f>SUMIFS(banco!AC:AC,banco!$C:$C,$B78,banco!$A:$A,$A78)</f>
        <v>0</v>
      </c>
      <c r="AB78" s="12">
        <f>IFERROR(AA78/$AM78,0)</f>
        <v>0</v>
      </c>
      <c r="AC78">
        <f>SUMIFS(banco!AE:AE,banco!$C:$C,$B78,banco!$A:$A,$A78)</f>
        <v>0</v>
      </c>
      <c r="AD78" s="12">
        <f>IFERROR(AC78/$AN78,0)</f>
        <v>0</v>
      </c>
      <c r="AE78">
        <f>SUMIFS(banco!AG:AG,banco!$C:$C,$B78,banco!$A:$A,$A78)</f>
        <v>0</v>
      </c>
      <c r="AF78" s="12">
        <f>IFERROR(AE78/$AM78,0)</f>
        <v>0</v>
      </c>
      <c r="AG78">
        <f>SUMIFS(banco!AI:AI,banco!$C:$C,$B78,banco!$A:$A,$A78)</f>
        <v>0</v>
      </c>
      <c r="AH78" s="12">
        <f>IFERROR(AG78/$AN78,0)</f>
        <v>0</v>
      </c>
      <c r="AI78">
        <f>SUMIFS(banco!AK:AK,banco!$C:$C,$B78,banco!$A:$A,$A78)</f>
        <v>0</v>
      </c>
      <c r="AJ78" s="12">
        <f>IFERROR(AI78/$AM78,0)</f>
        <v>0</v>
      </c>
      <c r="AK78">
        <f>SUMIFS(banco!AM:AM,banco!$C:$C,$B78,banco!$A:$A,$A78)</f>
        <v>0</v>
      </c>
      <c r="AL78" s="12">
        <f>IFERROR(AK78/$AN78,0)</f>
        <v>0</v>
      </c>
      <c r="AM78">
        <f>SUMIFS(banco!AO:AO,banco!$C:$C,$B78,banco!$A:$A,$A78)</f>
        <v>0</v>
      </c>
      <c r="AN78">
        <f>SUMIFS(banco!AP:AP,banco!$C:$C,$B78,banco!$A:$A,$A78)</f>
        <v>0</v>
      </c>
      <c r="AO78">
        <v>12965</v>
      </c>
    </row>
    <row r="79" spans="1:41" x14ac:dyDescent="0.25">
      <c r="A79" s="20">
        <v>2015</v>
      </c>
      <c r="B79" s="18" t="s">
        <v>146</v>
      </c>
      <c r="C79">
        <f>SUMIFS(banco!E:E,banco!$C:$C,$B79,banco!$A:$A,$A79)</f>
        <v>0</v>
      </c>
      <c r="D79" s="12">
        <f>IFERROR(C79/$AM79,0)</f>
        <v>0</v>
      </c>
      <c r="E79">
        <f>SUMIFS(banco!G:G,banco!$C:$C,$B79,banco!$A:$A,$A79)</f>
        <v>0</v>
      </c>
      <c r="F79" s="12">
        <f>IFERROR(E79/$AN79,0)</f>
        <v>0</v>
      </c>
      <c r="G79">
        <f>SUMIFS(banco!I:I,banco!$C:$C,$B79,banco!$A:$A,$A79)</f>
        <v>0</v>
      </c>
      <c r="H79" s="12">
        <f>IFERROR(G79/$AM79,0)</f>
        <v>0</v>
      </c>
      <c r="I79">
        <f>SUMIFS(banco!K:K,banco!$C:$C,$B79,banco!$A:$A,$A79)</f>
        <v>0</v>
      </c>
      <c r="J79" s="12">
        <f>IFERROR(I79/$AN79,0)</f>
        <v>0</v>
      </c>
      <c r="K79">
        <f>SUMIFS(banco!M:M,banco!$C:$C,$B79,banco!$A:$A,$A79)</f>
        <v>0</v>
      </c>
      <c r="L79" s="12">
        <f>IFERROR(K79/$AM79,0)</f>
        <v>0</v>
      </c>
      <c r="M79">
        <f>SUMIFS(banco!O:O,banco!$C:$C,$B79,banco!$A:$A,$A79)</f>
        <v>0</v>
      </c>
      <c r="N79" s="12">
        <f>IFERROR(M79/$AN79,0)</f>
        <v>0</v>
      </c>
      <c r="O79">
        <f>SUMIFS(banco!Q:Q,banco!$C:$C,$B79,banco!$A:$A,$A79)</f>
        <v>0</v>
      </c>
      <c r="P79" s="12">
        <f>IFERROR(O79/$AM79,0)</f>
        <v>0</v>
      </c>
      <c r="Q79">
        <f>SUMIFS(banco!S:S,banco!$C:$C,$B79,banco!$A:$A,$A79)</f>
        <v>0</v>
      </c>
      <c r="R79" s="12">
        <f>IFERROR(Q79/$AN79,0)</f>
        <v>0</v>
      </c>
      <c r="S79">
        <f>SUMIFS(banco!U:U,banco!$C:$C,$B79,banco!$A:$A,$A79)</f>
        <v>0</v>
      </c>
      <c r="T79" s="12">
        <f>IFERROR(S79/$AM79,0)</f>
        <v>0</v>
      </c>
      <c r="U79">
        <f>SUMIFS(banco!W:W,banco!$C:$C,$B79,banco!$A:$A,$A79)</f>
        <v>0</v>
      </c>
      <c r="V79" s="12">
        <f>IFERROR(U79/$AN79,0)</f>
        <v>0</v>
      </c>
      <c r="W79">
        <f>SUMIFS(banco!Y:Y,banco!$C:$C,$B79,banco!$A:$A,$A79)</f>
        <v>0</v>
      </c>
      <c r="X79" s="12">
        <f>IFERROR(W79/$AM79,0)</f>
        <v>0</v>
      </c>
      <c r="Y79">
        <f>SUMIFS(banco!AA:AA,banco!$C:$C,$B79,banco!$A:$A,$A79)</f>
        <v>0</v>
      </c>
      <c r="Z79" s="12">
        <f>IFERROR(Y79/$AN79,0)</f>
        <v>0</v>
      </c>
      <c r="AA79">
        <f>SUMIFS(banco!AC:AC,banco!$C:$C,$B79,banco!$A:$A,$A79)</f>
        <v>0</v>
      </c>
      <c r="AB79" s="12">
        <f>IFERROR(AA79/$AM79,0)</f>
        <v>0</v>
      </c>
      <c r="AC79">
        <f>SUMIFS(banco!AE:AE,banco!$C:$C,$B79,banco!$A:$A,$A79)</f>
        <v>0</v>
      </c>
      <c r="AD79" s="12">
        <f>IFERROR(AC79/$AN79,0)</f>
        <v>0</v>
      </c>
      <c r="AE79">
        <f>SUMIFS(banco!AG:AG,banco!$C:$C,$B79,banco!$A:$A,$A79)</f>
        <v>0</v>
      </c>
      <c r="AF79" s="12">
        <f>IFERROR(AE79/$AM79,0)</f>
        <v>0</v>
      </c>
      <c r="AG79">
        <f>SUMIFS(banco!AI:AI,banco!$C:$C,$B79,banco!$A:$A,$A79)</f>
        <v>0</v>
      </c>
      <c r="AH79" s="12">
        <f>IFERROR(AG79/$AN79,0)</f>
        <v>0</v>
      </c>
      <c r="AI79">
        <f>SUMIFS(banco!AK:AK,banco!$C:$C,$B79,banco!$A:$A,$A79)</f>
        <v>0</v>
      </c>
      <c r="AJ79" s="12">
        <f>IFERROR(AI79/$AM79,0)</f>
        <v>0</v>
      </c>
      <c r="AK79">
        <f>SUMIFS(banco!AM:AM,banco!$C:$C,$B79,banco!$A:$A,$A79)</f>
        <v>0</v>
      </c>
      <c r="AL79" s="12">
        <f>IFERROR(AK79/$AN79,0)</f>
        <v>0</v>
      </c>
      <c r="AM79">
        <f>SUMIFS(banco!AO:AO,banco!$C:$C,$B79,banco!$A:$A,$A79)</f>
        <v>0</v>
      </c>
      <c r="AN79">
        <f>SUMIFS(banco!AP:AP,banco!$C:$C,$B79,banco!$A:$A,$A79)</f>
        <v>0</v>
      </c>
      <c r="AO79">
        <v>13861</v>
      </c>
    </row>
    <row r="80" spans="1:41" x14ac:dyDescent="0.25">
      <c r="A80" s="20">
        <v>2015</v>
      </c>
      <c r="B80" s="18" t="s">
        <v>149</v>
      </c>
      <c r="C80">
        <f>SUMIFS(banco!E:E,banco!$C:$C,$B80,banco!$A:$A,$A80)</f>
        <v>0</v>
      </c>
      <c r="D80" s="12">
        <f>IFERROR(C80/$AM80,0)</f>
        <v>0</v>
      </c>
      <c r="E80">
        <f>SUMIFS(banco!G:G,banco!$C:$C,$B80,banco!$A:$A,$A80)</f>
        <v>0</v>
      </c>
      <c r="F80" s="12">
        <f>IFERROR(E80/$AN80,0)</f>
        <v>0</v>
      </c>
      <c r="G80">
        <f>SUMIFS(banco!I:I,banco!$C:$C,$B80,banco!$A:$A,$A80)</f>
        <v>0</v>
      </c>
      <c r="H80" s="12">
        <f>IFERROR(G80/$AM80,0)</f>
        <v>0</v>
      </c>
      <c r="I80">
        <f>SUMIFS(banco!K:K,banco!$C:$C,$B80,banco!$A:$A,$A80)</f>
        <v>0</v>
      </c>
      <c r="J80" s="12">
        <f>IFERROR(I80/$AN80,0)</f>
        <v>0</v>
      </c>
      <c r="K80">
        <f>SUMIFS(banco!M:M,banco!$C:$C,$B80,banco!$A:$A,$A80)</f>
        <v>0</v>
      </c>
      <c r="L80" s="12">
        <f>IFERROR(K80/$AM80,0)</f>
        <v>0</v>
      </c>
      <c r="M80">
        <f>SUMIFS(banco!O:O,banco!$C:$C,$B80,banco!$A:$A,$A80)</f>
        <v>0</v>
      </c>
      <c r="N80" s="12">
        <f>IFERROR(M80/$AN80,0)</f>
        <v>0</v>
      </c>
      <c r="O80">
        <f>SUMIFS(banco!Q:Q,banco!$C:$C,$B80,banco!$A:$A,$A80)</f>
        <v>0</v>
      </c>
      <c r="P80" s="12">
        <f>IFERROR(O80/$AM80,0)</f>
        <v>0</v>
      </c>
      <c r="Q80">
        <f>SUMIFS(banco!S:S,banco!$C:$C,$B80,banco!$A:$A,$A80)</f>
        <v>0</v>
      </c>
      <c r="R80" s="12">
        <f>IFERROR(Q80/$AN80,0)</f>
        <v>0</v>
      </c>
      <c r="S80">
        <f>SUMIFS(banco!U:U,banco!$C:$C,$B80,banco!$A:$A,$A80)</f>
        <v>0</v>
      </c>
      <c r="T80" s="12">
        <f>IFERROR(S80/$AM80,0)</f>
        <v>0</v>
      </c>
      <c r="U80">
        <f>SUMIFS(banco!W:W,banco!$C:$C,$B80,banco!$A:$A,$A80)</f>
        <v>0</v>
      </c>
      <c r="V80" s="12">
        <f>IFERROR(U80/$AN80,0)</f>
        <v>0</v>
      </c>
      <c r="W80">
        <f>SUMIFS(banco!Y:Y,banco!$C:$C,$B80,banco!$A:$A,$A80)</f>
        <v>0</v>
      </c>
      <c r="X80" s="12">
        <f>IFERROR(W80/$AM80,0)</f>
        <v>0</v>
      </c>
      <c r="Y80">
        <f>SUMIFS(banco!AA:AA,banco!$C:$C,$B80,banco!$A:$A,$A80)</f>
        <v>0</v>
      </c>
      <c r="Z80" s="12">
        <f>IFERROR(Y80/$AN80,0)</f>
        <v>0</v>
      </c>
      <c r="AA80">
        <f>SUMIFS(banco!AC:AC,banco!$C:$C,$B80,banco!$A:$A,$A80)</f>
        <v>0</v>
      </c>
      <c r="AB80" s="12">
        <f>IFERROR(AA80/$AM80,0)</f>
        <v>0</v>
      </c>
      <c r="AC80">
        <f>SUMIFS(banco!AE:AE,banco!$C:$C,$B80,banco!$A:$A,$A80)</f>
        <v>0</v>
      </c>
      <c r="AD80" s="12">
        <f>IFERROR(AC80/$AN80,0)</f>
        <v>0</v>
      </c>
      <c r="AE80">
        <f>SUMIFS(banco!AG:AG,banco!$C:$C,$B80,banco!$A:$A,$A80)</f>
        <v>0</v>
      </c>
      <c r="AF80" s="12">
        <f>IFERROR(AE80/$AM80,0)</f>
        <v>0</v>
      </c>
      <c r="AG80">
        <f>SUMIFS(banco!AI:AI,banco!$C:$C,$B80,banco!$A:$A,$A80)</f>
        <v>0</v>
      </c>
      <c r="AH80" s="12">
        <f>IFERROR(AG80/$AN80,0)</f>
        <v>0</v>
      </c>
      <c r="AI80">
        <f>SUMIFS(banco!AK:AK,banco!$C:$C,$B80,banco!$A:$A,$A80)</f>
        <v>0</v>
      </c>
      <c r="AJ80" s="12">
        <f>IFERROR(AI80/$AM80,0)</f>
        <v>0</v>
      </c>
      <c r="AK80">
        <f>SUMIFS(banco!AM:AM,banco!$C:$C,$B80,banco!$A:$A,$A80)</f>
        <v>0</v>
      </c>
      <c r="AL80" s="12">
        <f>IFERROR(AK80/$AN80,0)</f>
        <v>0</v>
      </c>
      <c r="AM80">
        <f>SUMIFS(banco!AO:AO,banco!$C:$C,$B80,banco!$A:$A,$A80)</f>
        <v>0</v>
      </c>
      <c r="AN80">
        <f>SUMIFS(banco!AP:AP,banco!$C:$C,$B80,banco!$A:$A,$A80)</f>
        <v>0</v>
      </c>
      <c r="AO80">
        <v>24037</v>
      </c>
    </row>
    <row r="81" spans="1:43" x14ac:dyDescent="0.25">
      <c r="A81" s="20">
        <v>2015</v>
      </c>
      <c r="B81" s="18" t="s">
        <v>147</v>
      </c>
      <c r="C81">
        <f>SUMIFS(banco!E:E,banco!$C:$C,$B81,banco!$A:$A,$A81)</f>
        <v>0</v>
      </c>
      <c r="D81" s="12">
        <f>IFERROR(C81/$AM81,0)</f>
        <v>0</v>
      </c>
      <c r="E81">
        <f>SUMIFS(banco!G:G,banco!$C:$C,$B81,banco!$A:$A,$A81)</f>
        <v>0</v>
      </c>
      <c r="F81" s="12">
        <f>IFERROR(E81/$AN81,0)</f>
        <v>0</v>
      </c>
      <c r="G81">
        <f>SUMIFS(banco!I:I,banco!$C:$C,$B81,banco!$A:$A,$A81)</f>
        <v>0</v>
      </c>
      <c r="H81" s="12">
        <f>IFERROR(G81/$AM81,0)</f>
        <v>0</v>
      </c>
      <c r="I81">
        <f>SUMIFS(banco!K:K,banco!$C:$C,$B81,banco!$A:$A,$A81)</f>
        <v>0</v>
      </c>
      <c r="J81" s="12">
        <f>IFERROR(I81/$AN81,0)</f>
        <v>0</v>
      </c>
      <c r="K81">
        <f>SUMIFS(banco!M:M,banco!$C:$C,$B81,banco!$A:$A,$A81)</f>
        <v>0</v>
      </c>
      <c r="L81" s="12">
        <f>IFERROR(K81/$AM81,0)</f>
        <v>0</v>
      </c>
      <c r="M81">
        <f>SUMIFS(banco!O:O,banco!$C:$C,$B81,banco!$A:$A,$A81)</f>
        <v>0</v>
      </c>
      <c r="N81" s="12">
        <f>IFERROR(M81/$AN81,0)</f>
        <v>0</v>
      </c>
      <c r="O81">
        <f>SUMIFS(banco!Q:Q,banco!$C:$C,$B81,banco!$A:$A,$A81)</f>
        <v>0</v>
      </c>
      <c r="P81" s="12">
        <f>IFERROR(O81/$AM81,0)</f>
        <v>0</v>
      </c>
      <c r="Q81">
        <f>SUMIFS(banco!S:S,banco!$C:$C,$B81,banco!$A:$A,$A81)</f>
        <v>0</v>
      </c>
      <c r="R81" s="12">
        <f>IFERROR(Q81/$AN81,0)</f>
        <v>0</v>
      </c>
      <c r="S81">
        <f>SUMIFS(banco!U:U,banco!$C:$C,$B81,banco!$A:$A,$A81)</f>
        <v>0</v>
      </c>
      <c r="T81" s="12">
        <f>IFERROR(S81/$AM81,0)</f>
        <v>0</v>
      </c>
      <c r="U81">
        <f>SUMIFS(banco!W:W,banco!$C:$C,$B81,banco!$A:$A,$A81)</f>
        <v>0</v>
      </c>
      <c r="V81" s="12">
        <f>IFERROR(U81/$AN81,0)</f>
        <v>0</v>
      </c>
      <c r="W81">
        <f>SUMIFS(banco!Y:Y,banco!$C:$C,$B81,banco!$A:$A,$A81)</f>
        <v>0</v>
      </c>
      <c r="X81" s="12">
        <f>IFERROR(W81/$AM81,0)</f>
        <v>0</v>
      </c>
      <c r="Y81">
        <f>SUMIFS(banco!AA:AA,banco!$C:$C,$B81,banco!$A:$A,$A81)</f>
        <v>0</v>
      </c>
      <c r="Z81" s="12">
        <f>IFERROR(Y81/$AN81,0)</f>
        <v>0</v>
      </c>
      <c r="AA81">
        <f>SUMIFS(banco!AC:AC,banco!$C:$C,$B81,banco!$A:$A,$A81)</f>
        <v>0</v>
      </c>
      <c r="AB81" s="12">
        <f>IFERROR(AA81/$AM81,0)</f>
        <v>0</v>
      </c>
      <c r="AC81">
        <f>SUMIFS(banco!AE:AE,banco!$C:$C,$B81,banco!$A:$A,$A81)</f>
        <v>0</v>
      </c>
      <c r="AD81" s="12">
        <f>IFERROR(AC81/$AN81,0)</f>
        <v>0</v>
      </c>
      <c r="AE81">
        <f>SUMIFS(banco!AG:AG,banco!$C:$C,$B81,banco!$A:$A,$A81)</f>
        <v>0</v>
      </c>
      <c r="AF81" s="12">
        <f>IFERROR(AE81/$AM81,0)</f>
        <v>0</v>
      </c>
      <c r="AG81">
        <f>SUMIFS(banco!AI:AI,banco!$C:$C,$B81,banco!$A:$A,$A81)</f>
        <v>0</v>
      </c>
      <c r="AH81" s="12">
        <f>IFERROR(AG81/$AN81,0)</f>
        <v>0</v>
      </c>
      <c r="AI81">
        <f>SUMIFS(banco!AK:AK,banco!$C:$C,$B81,banco!$A:$A,$A81)</f>
        <v>0</v>
      </c>
      <c r="AJ81" s="12">
        <f>IFERROR(AI81/$AM81,0)</f>
        <v>0</v>
      </c>
      <c r="AK81">
        <f>SUMIFS(banco!AM:AM,banco!$C:$C,$B81,banco!$A:$A,$A81)</f>
        <v>0</v>
      </c>
      <c r="AL81" s="12">
        <f>IFERROR(AK81/$AN81,0)</f>
        <v>0</v>
      </c>
      <c r="AM81">
        <f>SUMIFS(banco!AO:AO,banco!$C:$C,$B81,banco!$A:$A,$A81)</f>
        <v>0</v>
      </c>
      <c r="AN81">
        <f>SUMIFS(banco!AP:AP,banco!$C:$C,$B81,banco!$A:$A,$A81)</f>
        <v>0</v>
      </c>
      <c r="AO81">
        <v>8221</v>
      </c>
    </row>
    <row r="82" spans="1:43" x14ac:dyDescent="0.25">
      <c r="A82" s="21"/>
      <c r="B82" s="18"/>
      <c r="D82" s="12"/>
      <c r="F82" s="12"/>
      <c r="H82" s="12"/>
      <c r="J82" s="12"/>
      <c r="L82" s="12"/>
      <c r="N82" s="12"/>
      <c r="P82" s="12"/>
      <c r="R82" s="12"/>
      <c r="T82" s="12"/>
      <c r="V82" s="12"/>
      <c r="X82" s="12"/>
      <c r="Z82" s="12"/>
      <c r="AB82" s="12"/>
      <c r="AD82" s="12"/>
      <c r="AF82" s="12"/>
      <c r="AH82" s="12"/>
      <c r="AJ82" s="12"/>
      <c r="AL82" s="12"/>
      <c r="AN82">
        <f>SUBTOTAL(109,Tabela1[TOTAL_PBF])</f>
        <v>159743</v>
      </c>
    </row>
    <row r="87" spans="1:43" x14ac:dyDescent="0.25">
      <c r="AJ87" s="8"/>
      <c r="AK87" s="8"/>
      <c r="AL87" s="8"/>
      <c r="AM87" s="8"/>
      <c r="AN87" s="8"/>
      <c r="AO87" s="8"/>
      <c r="AP87" s="8"/>
      <c r="AQ87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92"/>
  <sheetViews>
    <sheetView workbookViewId="0">
      <selection activeCell="AA38" sqref="AA38"/>
    </sheetView>
  </sheetViews>
  <sheetFormatPr defaultRowHeight="15" x14ac:dyDescent="0.25"/>
  <cols>
    <col min="1" max="1" width="7.42578125" bestFit="1" customWidth="1"/>
    <col min="2" max="3" width="34.7109375" customWidth="1"/>
    <col min="16" max="16" width="26" customWidth="1"/>
  </cols>
  <sheetData>
    <row r="1" spans="1:27" x14ac:dyDescent="0.25">
      <c r="A1" t="s">
        <v>152</v>
      </c>
      <c r="B1" t="s">
        <v>348</v>
      </c>
      <c r="C1" t="s">
        <v>344</v>
      </c>
      <c r="D1" t="s">
        <v>334</v>
      </c>
      <c r="E1" t="s">
        <v>335</v>
      </c>
      <c r="F1" t="s">
        <v>336</v>
      </c>
      <c r="G1" t="s">
        <v>337</v>
      </c>
      <c r="H1" t="s">
        <v>338</v>
      </c>
      <c r="I1" t="s">
        <v>339</v>
      </c>
      <c r="J1" t="s">
        <v>340</v>
      </c>
      <c r="K1" t="s">
        <v>345</v>
      </c>
      <c r="L1" t="s">
        <v>346</v>
      </c>
      <c r="M1" t="s">
        <v>341</v>
      </c>
    </row>
    <row r="2" spans="1:27" x14ac:dyDescent="0.25">
      <c r="A2">
        <v>170025</v>
      </c>
      <c r="B2" t="str">
        <f>VLOOKUP(Tabela3[[#This Row],[IBGE]],procv!$A$2:$D$142,4,FALSE)</f>
        <v>Cantão</v>
      </c>
      <c r="C2" t="s">
        <v>5</v>
      </c>
      <c r="D2">
        <v>246</v>
      </c>
      <c r="E2">
        <v>233</v>
      </c>
      <c r="F2">
        <v>229</v>
      </c>
      <c r="G2">
        <v>222</v>
      </c>
      <c r="H2">
        <v>218</v>
      </c>
      <c r="I2">
        <v>214</v>
      </c>
      <c r="J2">
        <v>212</v>
      </c>
      <c r="K2">
        <v>209</v>
      </c>
      <c r="L2">
        <v>208</v>
      </c>
      <c r="M2">
        <v>210</v>
      </c>
    </row>
    <row r="3" spans="1:27" x14ac:dyDescent="0.25">
      <c r="A3">
        <v>170030</v>
      </c>
      <c r="B3" t="str">
        <f>VLOOKUP(Tabela3[[#This Row],[IBGE]],procv!$A$2:$D$142,4,FALSE)</f>
        <v>Bico do Papagaio</v>
      </c>
      <c r="C3" t="s">
        <v>6</v>
      </c>
      <c r="D3">
        <v>510</v>
      </c>
      <c r="E3">
        <v>488</v>
      </c>
      <c r="F3">
        <v>467</v>
      </c>
      <c r="G3">
        <v>451</v>
      </c>
      <c r="H3">
        <v>433</v>
      </c>
      <c r="I3">
        <v>423</v>
      </c>
      <c r="J3">
        <v>408</v>
      </c>
      <c r="K3">
        <v>394</v>
      </c>
      <c r="L3">
        <v>384</v>
      </c>
      <c r="M3">
        <v>374</v>
      </c>
      <c r="P3" t="s">
        <v>348</v>
      </c>
      <c r="Q3">
        <v>2015</v>
      </c>
      <c r="R3">
        <v>2016</v>
      </c>
      <c r="S3">
        <v>2017</v>
      </c>
      <c r="T3">
        <v>2018</v>
      </c>
      <c r="U3">
        <v>2019</v>
      </c>
      <c r="V3">
        <v>2020</v>
      </c>
      <c r="W3">
        <v>2021</v>
      </c>
      <c r="X3">
        <v>2022</v>
      </c>
      <c r="Y3">
        <v>2023</v>
      </c>
      <c r="Z3">
        <v>2024</v>
      </c>
    </row>
    <row r="4" spans="1:27" x14ac:dyDescent="0.25">
      <c r="A4">
        <v>170035</v>
      </c>
      <c r="B4" t="str">
        <f>VLOOKUP(Tabela3[[#This Row],[IBGE]],procv!$A$2:$D$142,4,FALSE)</f>
        <v>Ilha do Bananal</v>
      </c>
      <c r="C4" t="s">
        <v>7</v>
      </c>
      <c r="D4">
        <v>423</v>
      </c>
      <c r="E4">
        <v>404</v>
      </c>
      <c r="F4">
        <v>393</v>
      </c>
      <c r="G4">
        <v>386</v>
      </c>
      <c r="H4">
        <v>383</v>
      </c>
      <c r="I4">
        <v>385</v>
      </c>
      <c r="J4">
        <v>383</v>
      </c>
      <c r="K4">
        <v>379</v>
      </c>
      <c r="L4">
        <v>372</v>
      </c>
      <c r="M4">
        <v>363</v>
      </c>
      <c r="P4" s="18" t="s">
        <v>151</v>
      </c>
      <c r="Q4" s="8">
        <v>9902</v>
      </c>
      <c r="R4" s="8">
        <v>9802</v>
      </c>
      <c r="S4" s="8">
        <v>9763</v>
      </c>
      <c r="T4" s="8">
        <v>9727</v>
      </c>
      <c r="U4" s="8">
        <v>9714</v>
      </c>
      <c r="V4" s="8">
        <v>9797</v>
      </c>
      <c r="W4" s="8">
        <v>9804</v>
      </c>
      <c r="X4" s="8">
        <v>9798</v>
      </c>
      <c r="Y4" s="8">
        <v>9855</v>
      </c>
      <c r="Z4" s="8">
        <v>9900</v>
      </c>
      <c r="AA4">
        <f>AVERAGE(Q4:Z4)</f>
        <v>9806.2000000000007</v>
      </c>
    </row>
    <row r="5" spans="1:27" x14ac:dyDescent="0.25">
      <c r="A5">
        <v>170040</v>
      </c>
      <c r="B5" t="str">
        <f>VLOOKUP(Tabela3[[#This Row],[IBGE]],procv!$A$2:$D$142,4,FALSE)</f>
        <v>Sudeste</v>
      </c>
      <c r="C5" t="s">
        <v>8</v>
      </c>
      <c r="D5">
        <v>721</v>
      </c>
      <c r="E5">
        <v>697</v>
      </c>
      <c r="F5">
        <v>676</v>
      </c>
      <c r="G5">
        <v>650</v>
      </c>
      <c r="H5">
        <v>623</v>
      </c>
      <c r="I5">
        <v>603</v>
      </c>
      <c r="J5">
        <v>581</v>
      </c>
      <c r="K5">
        <v>561</v>
      </c>
      <c r="L5">
        <v>550</v>
      </c>
      <c r="M5">
        <v>539</v>
      </c>
      <c r="P5" s="18" t="s">
        <v>145</v>
      </c>
      <c r="Q5" s="8">
        <v>19224</v>
      </c>
      <c r="R5" s="8">
        <v>18751</v>
      </c>
      <c r="S5" s="8">
        <v>18401</v>
      </c>
      <c r="T5" s="8">
        <v>18079</v>
      </c>
      <c r="U5" s="8">
        <v>17804</v>
      </c>
      <c r="V5" s="8">
        <v>17696</v>
      </c>
      <c r="W5" s="8">
        <v>17475</v>
      </c>
      <c r="X5" s="8">
        <v>17226</v>
      </c>
      <c r="Y5" s="8">
        <v>17085</v>
      </c>
      <c r="Z5" s="8">
        <v>16928</v>
      </c>
      <c r="AA5">
        <f t="shared" ref="AA5:AA12" si="0">AVERAGE(Q5:Z5)</f>
        <v>17866.900000000001</v>
      </c>
    </row>
    <row r="6" spans="1:27" x14ac:dyDescent="0.25">
      <c r="A6">
        <v>170070</v>
      </c>
      <c r="B6" t="str">
        <f>VLOOKUP(Tabela3[[#This Row],[IBGE]],procv!$A$2:$D$142,4,FALSE)</f>
        <v>Ilha do Bananal</v>
      </c>
      <c r="C6" t="s">
        <v>9</v>
      </c>
      <c r="D6">
        <v>683</v>
      </c>
      <c r="E6">
        <v>662</v>
      </c>
      <c r="F6">
        <v>647</v>
      </c>
      <c r="G6">
        <v>642</v>
      </c>
      <c r="H6">
        <v>644</v>
      </c>
      <c r="I6">
        <v>653</v>
      </c>
      <c r="J6">
        <v>658</v>
      </c>
      <c r="K6">
        <v>660</v>
      </c>
      <c r="L6">
        <v>667</v>
      </c>
      <c r="M6">
        <v>670</v>
      </c>
      <c r="P6" s="18" t="s">
        <v>144</v>
      </c>
      <c r="Q6" s="8">
        <v>10333</v>
      </c>
      <c r="R6" s="8">
        <v>10125</v>
      </c>
      <c r="S6" s="8">
        <v>10028</v>
      </c>
      <c r="T6" s="8">
        <v>9974</v>
      </c>
      <c r="U6" s="8">
        <v>9990</v>
      </c>
      <c r="V6" s="8">
        <v>10108</v>
      </c>
      <c r="W6" s="8">
        <v>10159</v>
      </c>
      <c r="X6" s="8">
        <v>10172</v>
      </c>
      <c r="Y6" s="8">
        <v>10271</v>
      </c>
      <c r="Z6" s="8">
        <v>10353</v>
      </c>
      <c r="AA6">
        <f t="shared" si="0"/>
        <v>10151.299999999999</v>
      </c>
    </row>
    <row r="7" spans="1:27" x14ac:dyDescent="0.25">
      <c r="A7">
        <v>170100</v>
      </c>
      <c r="B7" t="str">
        <f>VLOOKUP(Tabela3[[#This Row],[IBGE]],procv!$A$2:$D$142,4,FALSE)</f>
        <v>Bico do Papagaio</v>
      </c>
      <c r="C7" t="s">
        <v>10</v>
      </c>
      <c r="D7">
        <v>945</v>
      </c>
      <c r="E7">
        <v>925</v>
      </c>
      <c r="F7">
        <v>912</v>
      </c>
      <c r="G7">
        <v>898</v>
      </c>
      <c r="H7">
        <v>882</v>
      </c>
      <c r="I7">
        <v>874</v>
      </c>
      <c r="J7">
        <v>861</v>
      </c>
      <c r="K7">
        <v>850</v>
      </c>
      <c r="L7">
        <v>846</v>
      </c>
      <c r="M7">
        <v>837</v>
      </c>
      <c r="P7" s="18" t="s">
        <v>148</v>
      </c>
      <c r="Q7" s="8">
        <v>29079</v>
      </c>
      <c r="R7" s="8">
        <v>29079</v>
      </c>
      <c r="S7" s="8">
        <v>29227</v>
      </c>
      <c r="T7" s="8">
        <v>29309</v>
      </c>
      <c r="U7" s="8">
        <v>29374</v>
      </c>
      <c r="V7" s="8">
        <v>29712</v>
      </c>
      <c r="W7" s="8">
        <v>29884</v>
      </c>
      <c r="X7" s="8">
        <v>30022</v>
      </c>
      <c r="Y7" s="8">
        <v>30695</v>
      </c>
      <c r="Z7" s="8">
        <v>31007</v>
      </c>
      <c r="AA7">
        <f t="shared" si="0"/>
        <v>29738.799999999999</v>
      </c>
    </row>
    <row r="8" spans="1:27" x14ac:dyDescent="0.25">
      <c r="A8">
        <v>170105</v>
      </c>
      <c r="B8" t="str">
        <f>VLOOKUP(Tabela3[[#This Row],[IBGE]],procv!$A$2:$D$142,4,FALSE)</f>
        <v>Bico do Papagaio</v>
      </c>
      <c r="C8" t="s">
        <v>11</v>
      </c>
      <c r="D8">
        <v>276</v>
      </c>
      <c r="E8">
        <v>264</v>
      </c>
      <c r="F8">
        <v>258</v>
      </c>
      <c r="G8">
        <v>254</v>
      </c>
      <c r="H8">
        <v>254</v>
      </c>
      <c r="I8">
        <v>255</v>
      </c>
      <c r="J8">
        <v>253</v>
      </c>
      <c r="K8">
        <v>246</v>
      </c>
      <c r="L8">
        <v>234</v>
      </c>
      <c r="M8">
        <v>223</v>
      </c>
      <c r="P8" s="18" t="s">
        <v>150</v>
      </c>
      <c r="Q8" s="8">
        <v>12965</v>
      </c>
      <c r="R8" s="8">
        <v>12633</v>
      </c>
      <c r="S8" s="8">
        <v>12420</v>
      </c>
      <c r="T8" s="8">
        <v>12246</v>
      </c>
      <c r="U8" s="8">
        <v>12150</v>
      </c>
      <c r="V8" s="8">
        <v>12166</v>
      </c>
      <c r="W8" s="8">
        <v>12113</v>
      </c>
      <c r="X8" s="8">
        <v>12024</v>
      </c>
      <c r="Y8" s="8">
        <v>12010</v>
      </c>
      <c r="Z8" s="8">
        <v>11999</v>
      </c>
      <c r="AA8">
        <f t="shared" si="0"/>
        <v>12272.6</v>
      </c>
    </row>
    <row r="9" spans="1:27" x14ac:dyDescent="0.25">
      <c r="A9">
        <v>170110</v>
      </c>
      <c r="B9" t="str">
        <f>VLOOKUP(Tabela3[[#This Row],[IBGE]],procv!$A$2:$D$142,4,FALSE)</f>
        <v>Capim Dourado</v>
      </c>
      <c r="C9" t="s">
        <v>12</v>
      </c>
      <c r="D9">
        <v>432</v>
      </c>
      <c r="E9">
        <v>427</v>
      </c>
      <c r="F9">
        <v>424</v>
      </c>
      <c r="G9">
        <v>417</v>
      </c>
      <c r="H9">
        <v>413</v>
      </c>
      <c r="I9">
        <v>409</v>
      </c>
      <c r="J9">
        <v>402</v>
      </c>
      <c r="K9">
        <v>398</v>
      </c>
      <c r="L9">
        <v>400</v>
      </c>
      <c r="M9">
        <v>400</v>
      </c>
      <c r="P9" s="18" t="s">
        <v>146</v>
      </c>
      <c r="Q9" s="8">
        <v>13861</v>
      </c>
      <c r="R9" s="8">
        <v>13489</v>
      </c>
      <c r="S9" s="8">
        <v>13278</v>
      </c>
      <c r="T9" s="8">
        <v>13122</v>
      </c>
      <c r="U9" s="8">
        <v>13054</v>
      </c>
      <c r="V9" s="8">
        <v>13131</v>
      </c>
      <c r="W9" s="8">
        <v>13112</v>
      </c>
      <c r="X9" s="8">
        <v>13074</v>
      </c>
      <c r="Y9" s="8">
        <v>13128</v>
      </c>
      <c r="Z9" s="8">
        <v>13158</v>
      </c>
      <c r="AA9">
        <f t="shared" si="0"/>
        <v>13240.7</v>
      </c>
    </row>
    <row r="10" spans="1:27" x14ac:dyDescent="0.25">
      <c r="A10">
        <v>170130</v>
      </c>
      <c r="B10" t="str">
        <f>VLOOKUP(Tabela3[[#This Row],[IBGE]],procv!$A$2:$D$142,4,FALSE)</f>
        <v>Médio Norte Araguaia</v>
      </c>
      <c r="C10" t="s">
        <v>13</v>
      </c>
      <c r="D10">
        <v>529</v>
      </c>
      <c r="E10">
        <v>507</v>
      </c>
      <c r="F10">
        <v>489</v>
      </c>
      <c r="G10">
        <v>470</v>
      </c>
      <c r="H10">
        <v>449</v>
      </c>
      <c r="I10">
        <v>433</v>
      </c>
      <c r="J10">
        <v>414</v>
      </c>
      <c r="K10">
        <v>397</v>
      </c>
      <c r="L10">
        <v>389</v>
      </c>
      <c r="M10">
        <v>381</v>
      </c>
      <c r="P10" s="18" t="s">
        <v>149</v>
      </c>
      <c r="Q10" s="8">
        <v>24037</v>
      </c>
      <c r="R10" s="8">
        <v>23625</v>
      </c>
      <c r="S10" s="8">
        <v>23401</v>
      </c>
      <c r="T10" s="8">
        <v>23222</v>
      </c>
      <c r="U10" s="8">
        <v>23147</v>
      </c>
      <c r="V10" s="8">
        <v>23268</v>
      </c>
      <c r="W10" s="8">
        <v>23249</v>
      </c>
      <c r="X10" s="8">
        <v>23176</v>
      </c>
      <c r="Y10" s="8">
        <v>23287</v>
      </c>
      <c r="Z10" s="8">
        <v>23300</v>
      </c>
      <c r="AA10">
        <f t="shared" si="0"/>
        <v>23371.200000000001</v>
      </c>
    </row>
    <row r="11" spans="1:27" x14ac:dyDescent="0.25">
      <c r="A11">
        <v>170190</v>
      </c>
      <c r="B11" t="str">
        <f>VLOOKUP(Tabela3[[#This Row],[IBGE]],procv!$A$2:$D$142,4,FALSE)</f>
        <v>Cantão</v>
      </c>
      <c r="C11" t="s">
        <v>14</v>
      </c>
      <c r="D11">
        <v>560</v>
      </c>
      <c r="E11">
        <v>532</v>
      </c>
      <c r="F11">
        <v>515</v>
      </c>
      <c r="G11">
        <v>505</v>
      </c>
      <c r="H11">
        <v>500</v>
      </c>
      <c r="I11">
        <v>503</v>
      </c>
      <c r="J11">
        <v>502</v>
      </c>
      <c r="K11">
        <v>495</v>
      </c>
      <c r="L11">
        <v>491</v>
      </c>
      <c r="M11">
        <v>482</v>
      </c>
      <c r="P11" s="18" t="s">
        <v>147</v>
      </c>
      <c r="Q11" s="8">
        <v>8221</v>
      </c>
      <c r="R11" s="8">
        <v>7947</v>
      </c>
      <c r="S11" s="8">
        <v>7736</v>
      </c>
      <c r="T11" s="8">
        <v>7525</v>
      </c>
      <c r="U11" s="8">
        <v>7349</v>
      </c>
      <c r="V11" s="8">
        <v>7239</v>
      </c>
      <c r="W11" s="8">
        <v>7087</v>
      </c>
      <c r="X11" s="8">
        <v>6926</v>
      </c>
      <c r="Y11" s="8">
        <v>6824</v>
      </c>
      <c r="Z11" s="8">
        <v>6725</v>
      </c>
      <c r="AA11">
        <f t="shared" si="0"/>
        <v>7357.9</v>
      </c>
    </row>
    <row r="12" spans="1:27" x14ac:dyDescent="0.25">
      <c r="A12">
        <v>170200</v>
      </c>
      <c r="B12" t="str">
        <f>VLOOKUP(Tabela3[[#This Row],[IBGE]],procv!$A$2:$D$142,4,FALSE)</f>
        <v>Ilha do Bananal</v>
      </c>
      <c r="C12" t="s">
        <v>15</v>
      </c>
      <c r="D12">
        <v>586</v>
      </c>
      <c r="E12">
        <v>561</v>
      </c>
      <c r="F12">
        <v>548</v>
      </c>
      <c r="G12">
        <v>542</v>
      </c>
      <c r="H12">
        <v>547</v>
      </c>
      <c r="I12">
        <v>561</v>
      </c>
      <c r="J12">
        <v>567</v>
      </c>
      <c r="K12">
        <v>572</v>
      </c>
      <c r="L12">
        <v>574</v>
      </c>
      <c r="M12">
        <v>576</v>
      </c>
      <c r="P12" s="22" t="s">
        <v>333</v>
      </c>
      <c r="Q12" s="23">
        <v>127622</v>
      </c>
      <c r="R12" s="23">
        <v>125451</v>
      </c>
      <c r="S12" s="23">
        <v>124254</v>
      </c>
      <c r="T12" s="23">
        <v>123204</v>
      </c>
      <c r="U12" s="23">
        <v>122582</v>
      </c>
      <c r="V12" s="23">
        <v>123117</v>
      </c>
      <c r="W12" s="23">
        <v>122883</v>
      </c>
      <c r="X12" s="23">
        <v>122418</v>
      </c>
      <c r="Y12" s="23">
        <v>123155</v>
      </c>
      <c r="Z12" s="23">
        <v>123370</v>
      </c>
      <c r="AA12">
        <f t="shared" si="0"/>
        <v>123805.6</v>
      </c>
    </row>
    <row r="13" spans="1:27" x14ac:dyDescent="0.25">
      <c r="A13">
        <v>170210</v>
      </c>
      <c r="B13" t="str">
        <f>VLOOKUP(Tabela3[[#This Row],[IBGE]],procv!$A$2:$D$142,4,FALSE)</f>
        <v>Médio Norte Araguaia</v>
      </c>
      <c r="C13" t="s">
        <v>16</v>
      </c>
      <c r="D13">
        <v>13534</v>
      </c>
      <c r="E13">
        <v>13444</v>
      </c>
      <c r="F13">
        <v>13447</v>
      </c>
      <c r="G13">
        <v>13464</v>
      </c>
      <c r="H13">
        <v>13525</v>
      </c>
      <c r="I13">
        <v>13710</v>
      </c>
      <c r="J13">
        <v>13801</v>
      </c>
      <c r="K13">
        <v>13864</v>
      </c>
      <c r="L13">
        <v>14049</v>
      </c>
      <c r="M13">
        <v>14162</v>
      </c>
    </row>
    <row r="14" spans="1:27" x14ac:dyDescent="0.25">
      <c r="A14">
        <v>170215</v>
      </c>
      <c r="B14" t="str">
        <f>VLOOKUP(Tabela3[[#This Row],[IBGE]],procv!$A$2:$D$142,4,FALSE)</f>
        <v>Médio Norte Araguaia</v>
      </c>
      <c r="C14" t="s">
        <v>17</v>
      </c>
      <c r="D14">
        <v>437</v>
      </c>
      <c r="E14">
        <v>419</v>
      </c>
      <c r="F14">
        <v>409</v>
      </c>
      <c r="G14">
        <v>402</v>
      </c>
      <c r="H14">
        <v>404</v>
      </c>
      <c r="I14">
        <v>405</v>
      </c>
      <c r="J14">
        <v>406</v>
      </c>
      <c r="K14">
        <v>401</v>
      </c>
      <c r="L14">
        <v>391</v>
      </c>
      <c r="M14">
        <v>380</v>
      </c>
    </row>
    <row r="15" spans="1:27" x14ac:dyDescent="0.25">
      <c r="A15">
        <v>170220</v>
      </c>
      <c r="B15" t="str">
        <f>VLOOKUP(Tabela3[[#This Row],[IBGE]],procv!$A$2:$D$142,4,FALSE)</f>
        <v>Bico do Papagaio</v>
      </c>
      <c r="C15" t="s">
        <v>18</v>
      </c>
      <c r="D15">
        <v>3175</v>
      </c>
      <c r="E15">
        <v>3073</v>
      </c>
      <c r="F15">
        <v>2986</v>
      </c>
      <c r="G15">
        <v>2898</v>
      </c>
      <c r="H15">
        <v>2814</v>
      </c>
      <c r="I15">
        <v>2758</v>
      </c>
      <c r="J15">
        <v>2693</v>
      </c>
      <c r="K15">
        <v>2636</v>
      </c>
      <c r="L15">
        <v>2633</v>
      </c>
      <c r="M15">
        <v>2631</v>
      </c>
    </row>
    <row r="16" spans="1:27" x14ac:dyDescent="0.25">
      <c r="A16">
        <v>170230</v>
      </c>
      <c r="B16" t="str">
        <f>VLOOKUP(Tabela3[[#This Row],[IBGE]],procv!$A$2:$D$142,4,FALSE)</f>
        <v>Cerrado Tocantins Araguaia</v>
      </c>
      <c r="C16" t="s">
        <v>19</v>
      </c>
      <c r="D16">
        <v>526</v>
      </c>
      <c r="E16">
        <v>499</v>
      </c>
      <c r="F16">
        <v>480</v>
      </c>
      <c r="G16">
        <v>461</v>
      </c>
      <c r="H16">
        <v>449</v>
      </c>
      <c r="I16">
        <v>443</v>
      </c>
      <c r="J16">
        <v>433</v>
      </c>
      <c r="K16">
        <v>422</v>
      </c>
      <c r="L16">
        <v>414</v>
      </c>
      <c r="M16">
        <v>408</v>
      </c>
      <c r="S16" t="s">
        <v>351</v>
      </c>
    </row>
    <row r="17" spans="1:27" x14ac:dyDescent="0.25">
      <c r="A17">
        <v>170240</v>
      </c>
      <c r="B17" t="str">
        <f>VLOOKUP(Tabela3[[#This Row],[IBGE]],procv!$A$2:$D$142,4,FALSE)</f>
        <v>Sudeste</v>
      </c>
      <c r="C17" t="s">
        <v>20</v>
      </c>
      <c r="D17">
        <v>884</v>
      </c>
      <c r="E17">
        <v>857</v>
      </c>
      <c r="F17">
        <v>841</v>
      </c>
      <c r="G17">
        <v>825</v>
      </c>
      <c r="H17">
        <v>814</v>
      </c>
      <c r="I17">
        <v>810</v>
      </c>
      <c r="J17">
        <v>800</v>
      </c>
      <c r="K17">
        <v>786</v>
      </c>
      <c r="L17">
        <v>770</v>
      </c>
      <c r="M17">
        <v>752</v>
      </c>
      <c r="P17" s="25" t="s">
        <v>348</v>
      </c>
      <c r="Q17" s="25">
        <v>2015</v>
      </c>
      <c r="R17" s="25">
        <v>2016</v>
      </c>
      <c r="S17" s="25">
        <v>2017</v>
      </c>
      <c r="T17" s="25">
        <v>2018</v>
      </c>
      <c r="U17" s="25">
        <v>2019</v>
      </c>
      <c r="V17" s="25">
        <v>2020</v>
      </c>
      <c r="W17" s="25">
        <v>2021</v>
      </c>
      <c r="X17" s="25">
        <v>2022</v>
      </c>
      <c r="Y17" s="25">
        <v>2023</v>
      </c>
      <c r="Z17" s="25">
        <v>2024</v>
      </c>
      <c r="AA17" s="25" t="s">
        <v>333</v>
      </c>
    </row>
    <row r="18" spans="1:27" x14ac:dyDescent="0.25">
      <c r="A18">
        <v>170255</v>
      </c>
      <c r="B18" t="str">
        <f>VLOOKUP(Tabela3[[#This Row],[IBGE]],procv!$A$2:$D$142,4,FALSE)</f>
        <v>Bico do Papagaio</v>
      </c>
      <c r="C18" t="s">
        <v>21</v>
      </c>
      <c r="D18">
        <v>1599</v>
      </c>
      <c r="E18">
        <v>1577</v>
      </c>
      <c r="F18">
        <v>1561</v>
      </c>
      <c r="G18">
        <v>1535</v>
      </c>
      <c r="H18">
        <v>1510</v>
      </c>
      <c r="I18">
        <v>1498</v>
      </c>
      <c r="J18">
        <v>1476</v>
      </c>
      <c r="K18">
        <v>1460</v>
      </c>
      <c r="L18">
        <v>1471</v>
      </c>
      <c r="M18">
        <v>1480</v>
      </c>
      <c r="P18" s="18" t="s">
        <v>151</v>
      </c>
      <c r="Q18" s="8">
        <v>4094</v>
      </c>
      <c r="R18" s="8">
        <v>4171</v>
      </c>
      <c r="S18" s="8">
        <v>4131</v>
      </c>
      <c r="T18" s="8">
        <v>5556</v>
      </c>
      <c r="U18" s="8">
        <v>6059</v>
      </c>
      <c r="V18" s="8">
        <v>1187</v>
      </c>
      <c r="W18" s="8">
        <v>2979</v>
      </c>
      <c r="X18" s="8">
        <v>6404</v>
      </c>
      <c r="Y18" s="8">
        <v>7397</v>
      </c>
      <c r="Z18" s="8">
        <v>6858</v>
      </c>
      <c r="AA18">
        <f t="shared" ref="AA18:AA26" si="1">AVERAGE(Q18:Z18)</f>
        <v>4883.6000000000004</v>
      </c>
    </row>
    <row r="19" spans="1:27" x14ac:dyDescent="0.25">
      <c r="A19">
        <v>170270</v>
      </c>
      <c r="B19" t="str">
        <f>VLOOKUP(Tabela3[[#This Row],[IBGE]],procv!$A$2:$D$142,4,FALSE)</f>
        <v>Sudeste</v>
      </c>
      <c r="C19" t="s">
        <v>22</v>
      </c>
      <c r="D19">
        <v>279</v>
      </c>
      <c r="E19">
        <v>270</v>
      </c>
      <c r="F19">
        <v>260</v>
      </c>
      <c r="G19">
        <v>247</v>
      </c>
      <c r="H19">
        <v>238</v>
      </c>
      <c r="I19">
        <v>229</v>
      </c>
      <c r="J19">
        <v>218</v>
      </c>
      <c r="K19">
        <v>209</v>
      </c>
      <c r="L19">
        <v>205</v>
      </c>
      <c r="M19">
        <v>206</v>
      </c>
      <c r="P19" s="18" t="s">
        <v>145</v>
      </c>
      <c r="Q19" s="8">
        <v>10457</v>
      </c>
      <c r="R19" s="8">
        <v>9645</v>
      </c>
      <c r="S19" s="8">
        <v>10867</v>
      </c>
      <c r="T19" s="8">
        <v>12416</v>
      </c>
      <c r="U19" s="8">
        <v>11701</v>
      </c>
      <c r="V19" s="8">
        <v>4847</v>
      </c>
      <c r="W19" s="8">
        <v>8988</v>
      </c>
      <c r="X19" s="8">
        <v>12990</v>
      </c>
      <c r="Y19" s="8">
        <v>12984</v>
      </c>
      <c r="Z19" s="8">
        <v>13164</v>
      </c>
      <c r="AA19">
        <f t="shared" si="1"/>
        <v>10805.9</v>
      </c>
    </row>
    <row r="20" spans="1:27" x14ac:dyDescent="0.25">
      <c r="A20">
        <v>170290</v>
      </c>
      <c r="B20" t="str">
        <f>VLOOKUP(Tabela3[[#This Row],[IBGE]],procv!$A$2:$D$142,4,FALSE)</f>
        <v>Bico do Papagaio</v>
      </c>
      <c r="C20" t="s">
        <v>23</v>
      </c>
      <c r="D20">
        <v>955</v>
      </c>
      <c r="E20">
        <v>931</v>
      </c>
      <c r="F20">
        <v>918</v>
      </c>
      <c r="G20">
        <v>909</v>
      </c>
      <c r="H20">
        <v>910</v>
      </c>
      <c r="I20">
        <v>917</v>
      </c>
      <c r="J20">
        <v>924</v>
      </c>
      <c r="K20">
        <v>932</v>
      </c>
      <c r="L20">
        <v>957</v>
      </c>
      <c r="M20">
        <v>984</v>
      </c>
      <c r="P20" s="18" t="s">
        <v>144</v>
      </c>
      <c r="Q20" s="8">
        <v>4092</v>
      </c>
      <c r="R20" s="8">
        <v>3322</v>
      </c>
      <c r="S20" s="8">
        <v>4027</v>
      </c>
      <c r="T20" s="8">
        <v>4532</v>
      </c>
      <c r="U20" s="8">
        <v>4294</v>
      </c>
      <c r="V20" s="8">
        <v>1988</v>
      </c>
      <c r="W20" s="8">
        <v>2909</v>
      </c>
      <c r="X20" s="8">
        <v>5762</v>
      </c>
      <c r="Y20" s="8">
        <v>6508</v>
      </c>
      <c r="Z20" s="8">
        <v>6129</v>
      </c>
      <c r="AA20">
        <f t="shared" si="1"/>
        <v>4356.3</v>
      </c>
    </row>
    <row r="21" spans="1:27" x14ac:dyDescent="0.25">
      <c r="A21">
        <v>170300</v>
      </c>
      <c r="B21" t="str">
        <f>VLOOKUP(Tabela3[[#This Row],[IBGE]],procv!$A$2:$D$142,4,FALSE)</f>
        <v>Médio Norte Araguaia</v>
      </c>
      <c r="C21" t="s">
        <v>24</v>
      </c>
      <c r="D21">
        <v>730</v>
      </c>
      <c r="E21">
        <v>692</v>
      </c>
      <c r="F21">
        <v>665</v>
      </c>
      <c r="G21">
        <v>644</v>
      </c>
      <c r="H21">
        <v>629</v>
      </c>
      <c r="I21">
        <v>619</v>
      </c>
      <c r="J21">
        <v>605</v>
      </c>
      <c r="K21">
        <v>585</v>
      </c>
      <c r="L21">
        <v>562</v>
      </c>
      <c r="M21">
        <v>536</v>
      </c>
      <c r="P21" s="18" t="s">
        <v>148</v>
      </c>
      <c r="Q21" s="8">
        <v>8421</v>
      </c>
      <c r="R21" s="8">
        <v>12403</v>
      </c>
      <c r="S21" s="8">
        <v>12838</v>
      </c>
      <c r="T21" s="8">
        <v>12312</v>
      </c>
      <c r="U21" s="8">
        <v>12372</v>
      </c>
      <c r="V21" s="8">
        <v>5054</v>
      </c>
      <c r="W21" s="8">
        <v>6239</v>
      </c>
      <c r="X21" s="8">
        <v>13206</v>
      </c>
      <c r="Y21" s="8">
        <v>14786</v>
      </c>
      <c r="Z21" s="8">
        <v>15028</v>
      </c>
      <c r="AA21">
        <f t="shared" si="1"/>
        <v>11265.9</v>
      </c>
    </row>
    <row r="22" spans="1:27" x14ac:dyDescent="0.25">
      <c r="A22">
        <v>170305</v>
      </c>
      <c r="B22" t="str">
        <f>VLOOKUP(Tabela3[[#This Row],[IBGE]],procv!$A$2:$D$142,4,FALSE)</f>
        <v>Cerrado Tocantins Araguaia</v>
      </c>
      <c r="C22" t="s">
        <v>25</v>
      </c>
      <c r="D22">
        <v>304</v>
      </c>
      <c r="E22">
        <v>294</v>
      </c>
      <c r="F22">
        <v>283</v>
      </c>
      <c r="G22">
        <v>278</v>
      </c>
      <c r="H22">
        <v>271</v>
      </c>
      <c r="I22">
        <v>267</v>
      </c>
      <c r="J22">
        <v>264</v>
      </c>
      <c r="K22">
        <v>266</v>
      </c>
      <c r="L22">
        <v>270</v>
      </c>
      <c r="M22">
        <v>282</v>
      </c>
      <c r="P22" s="18" t="s">
        <v>150</v>
      </c>
      <c r="Q22" s="8">
        <v>7214</v>
      </c>
      <c r="R22" s="8">
        <v>5650</v>
      </c>
      <c r="S22" s="8">
        <v>5850</v>
      </c>
      <c r="T22" s="8">
        <v>6683</v>
      </c>
      <c r="U22" s="8">
        <v>6934</v>
      </c>
      <c r="V22" s="8">
        <v>2322</v>
      </c>
      <c r="W22" s="8">
        <v>3186</v>
      </c>
      <c r="X22" s="8">
        <v>6752</v>
      </c>
      <c r="Y22" s="8">
        <v>7173</v>
      </c>
      <c r="Z22" s="8">
        <v>7569</v>
      </c>
      <c r="AA22">
        <f t="shared" si="1"/>
        <v>5933.3</v>
      </c>
    </row>
    <row r="23" spans="1:27" x14ac:dyDescent="0.25">
      <c r="A23">
        <v>170307</v>
      </c>
      <c r="B23" t="str">
        <f>VLOOKUP(Tabela3[[#This Row],[IBGE]],procv!$A$2:$D$142,4,FALSE)</f>
        <v>Médio Norte Araguaia</v>
      </c>
      <c r="C23" t="s">
        <v>26</v>
      </c>
      <c r="D23">
        <v>444</v>
      </c>
      <c r="E23">
        <v>431</v>
      </c>
      <c r="F23">
        <v>420</v>
      </c>
      <c r="G23">
        <v>414</v>
      </c>
      <c r="H23">
        <v>407</v>
      </c>
      <c r="I23">
        <v>406</v>
      </c>
      <c r="J23">
        <v>405</v>
      </c>
      <c r="K23">
        <v>401</v>
      </c>
      <c r="L23">
        <v>401</v>
      </c>
      <c r="M23">
        <v>402</v>
      </c>
      <c r="P23" s="18" t="s">
        <v>146</v>
      </c>
      <c r="Q23" s="8">
        <v>6366</v>
      </c>
      <c r="R23" s="8">
        <v>5188</v>
      </c>
      <c r="S23" s="8">
        <v>5125</v>
      </c>
      <c r="T23" s="8">
        <v>6623</v>
      </c>
      <c r="U23" s="8">
        <v>5669</v>
      </c>
      <c r="V23" s="8">
        <v>2352</v>
      </c>
      <c r="W23" s="8">
        <v>4279</v>
      </c>
      <c r="X23" s="8">
        <v>6605</v>
      </c>
      <c r="Y23" s="8">
        <v>7446</v>
      </c>
      <c r="Z23" s="8">
        <v>8116</v>
      </c>
      <c r="AA23">
        <f t="shared" si="1"/>
        <v>5776.9</v>
      </c>
    </row>
    <row r="24" spans="1:27" x14ac:dyDescent="0.25">
      <c r="A24">
        <v>170310</v>
      </c>
      <c r="B24" t="str">
        <f>VLOOKUP(Tabela3[[#This Row],[IBGE]],procv!$A$2:$D$142,4,FALSE)</f>
        <v>Cantão</v>
      </c>
      <c r="C24" t="s">
        <v>27</v>
      </c>
      <c r="D24">
        <v>404</v>
      </c>
      <c r="E24">
        <v>385</v>
      </c>
      <c r="F24">
        <v>373</v>
      </c>
      <c r="G24">
        <v>364</v>
      </c>
      <c r="H24">
        <v>362</v>
      </c>
      <c r="I24">
        <v>361</v>
      </c>
      <c r="J24">
        <v>359</v>
      </c>
      <c r="K24">
        <v>353</v>
      </c>
      <c r="L24">
        <v>342</v>
      </c>
      <c r="M24">
        <v>333</v>
      </c>
      <c r="P24" s="18" t="s">
        <v>149</v>
      </c>
      <c r="Q24" s="8">
        <v>9618</v>
      </c>
      <c r="R24" s="8">
        <v>9278</v>
      </c>
      <c r="S24" s="8">
        <v>10848</v>
      </c>
      <c r="T24" s="8">
        <v>11564</v>
      </c>
      <c r="U24" s="8">
        <v>10363</v>
      </c>
      <c r="V24" s="8">
        <v>3672</v>
      </c>
      <c r="W24" s="8">
        <v>7593</v>
      </c>
      <c r="X24" s="8">
        <v>12578</v>
      </c>
      <c r="Y24" s="8">
        <v>13787</v>
      </c>
      <c r="Z24" s="8">
        <v>14753</v>
      </c>
      <c r="AA24">
        <f t="shared" si="1"/>
        <v>10405.4</v>
      </c>
    </row>
    <row r="25" spans="1:27" x14ac:dyDescent="0.25">
      <c r="A25">
        <v>170320</v>
      </c>
      <c r="B25" t="str">
        <f>VLOOKUP(Tabela3[[#This Row],[IBGE]],procv!$A$2:$D$142,4,FALSE)</f>
        <v>Cerrado Tocantins Araguaia</v>
      </c>
      <c r="C25" t="s">
        <v>28</v>
      </c>
      <c r="D25">
        <v>379</v>
      </c>
      <c r="E25">
        <v>369</v>
      </c>
      <c r="F25">
        <v>363</v>
      </c>
      <c r="G25">
        <v>357</v>
      </c>
      <c r="H25">
        <v>352</v>
      </c>
      <c r="I25">
        <v>350</v>
      </c>
      <c r="J25">
        <v>347</v>
      </c>
      <c r="K25">
        <v>340</v>
      </c>
      <c r="L25">
        <v>335</v>
      </c>
      <c r="M25">
        <v>327</v>
      </c>
      <c r="P25" s="18" t="s">
        <v>147</v>
      </c>
      <c r="Q25" s="8">
        <v>4574</v>
      </c>
      <c r="R25" s="8">
        <v>4244</v>
      </c>
      <c r="S25" s="8">
        <v>4476</v>
      </c>
      <c r="T25" s="8">
        <v>4710</v>
      </c>
      <c r="U25" s="8">
        <v>4379</v>
      </c>
      <c r="V25" s="8">
        <v>1647</v>
      </c>
      <c r="W25" s="8">
        <v>2476</v>
      </c>
      <c r="X25" s="8">
        <v>4702</v>
      </c>
      <c r="Y25" s="8">
        <v>4522</v>
      </c>
      <c r="Z25" s="8">
        <v>4804</v>
      </c>
      <c r="AA25">
        <f t="shared" si="1"/>
        <v>4053.4</v>
      </c>
    </row>
    <row r="26" spans="1:27" x14ac:dyDescent="0.25">
      <c r="A26">
        <v>170330</v>
      </c>
      <c r="B26" t="str">
        <f>VLOOKUP(Tabela3[[#This Row],[IBGE]],procv!$A$2:$D$142,4,FALSE)</f>
        <v>Cerrado Tocantins Araguaia</v>
      </c>
      <c r="C26" t="s">
        <v>29</v>
      </c>
      <c r="D26">
        <v>399</v>
      </c>
      <c r="E26">
        <v>392</v>
      </c>
      <c r="F26">
        <v>388</v>
      </c>
      <c r="G26">
        <v>385</v>
      </c>
      <c r="H26">
        <v>389</v>
      </c>
      <c r="I26">
        <v>392</v>
      </c>
      <c r="J26">
        <v>394</v>
      </c>
      <c r="K26">
        <v>393</v>
      </c>
      <c r="L26">
        <v>396</v>
      </c>
      <c r="M26">
        <v>400</v>
      </c>
      <c r="P26" s="22" t="s">
        <v>333</v>
      </c>
      <c r="Q26" s="23">
        <v>54836</v>
      </c>
      <c r="R26" s="23">
        <v>53901</v>
      </c>
      <c r="S26" s="23">
        <v>58162</v>
      </c>
      <c r="T26" s="23">
        <v>64396</v>
      </c>
      <c r="U26" s="23">
        <v>61771</v>
      </c>
      <c r="V26" s="23">
        <v>23069</v>
      </c>
      <c r="W26" s="23">
        <v>38649</v>
      </c>
      <c r="X26" s="23">
        <v>68999</v>
      </c>
      <c r="Y26" s="23">
        <v>74603</v>
      </c>
      <c r="Z26" s="23">
        <v>76421</v>
      </c>
      <c r="AA26">
        <f t="shared" si="1"/>
        <v>57480.7</v>
      </c>
    </row>
    <row r="27" spans="1:27" x14ac:dyDescent="0.25">
      <c r="A27">
        <v>170360</v>
      </c>
      <c r="B27" t="str">
        <f>VLOOKUP(Tabela3[[#This Row],[IBGE]],procv!$A$2:$D$142,4,FALSE)</f>
        <v>Cerrado Tocantins Araguaia</v>
      </c>
      <c r="C27" t="s">
        <v>30</v>
      </c>
      <c r="D27">
        <v>189</v>
      </c>
      <c r="E27">
        <v>183</v>
      </c>
      <c r="F27">
        <v>179</v>
      </c>
      <c r="G27">
        <v>174</v>
      </c>
      <c r="H27">
        <v>172</v>
      </c>
      <c r="I27">
        <v>171</v>
      </c>
      <c r="J27">
        <v>169</v>
      </c>
      <c r="K27">
        <v>164</v>
      </c>
      <c r="L27">
        <v>156</v>
      </c>
      <c r="M27">
        <v>152</v>
      </c>
    </row>
    <row r="28" spans="1:27" x14ac:dyDescent="0.25">
      <c r="A28">
        <v>170370</v>
      </c>
      <c r="B28" t="str">
        <f>VLOOKUP(Tabela3[[#This Row],[IBGE]],procv!$A$2:$D$142,4,FALSE)</f>
        <v>Amor Perfeito</v>
      </c>
      <c r="C28" t="s">
        <v>31</v>
      </c>
      <c r="D28">
        <v>442</v>
      </c>
      <c r="E28">
        <v>424</v>
      </c>
      <c r="F28">
        <v>410</v>
      </c>
      <c r="G28">
        <v>399</v>
      </c>
      <c r="H28">
        <v>390</v>
      </c>
      <c r="I28">
        <v>386</v>
      </c>
      <c r="J28">
        <v>377</v>
      </c>
      <c r="K28">
        <v>366</v>
      </c>
      <c r="L28">
        <v>358</v>
      </c>
      <c r="M28">
        <v>347</v>
      </c>
      <c r="S28" t="s">
        <v>352</v>
      </c>
    </row>
    <row r="29" spans="1:27" x14ac:dyDescent="0.25">
      <c r="A29">
        <v>170380</v>
      </c>
      <c r="B29" t="str">
        <f>VLOOKUP(Tabela3[[#This Row],[IBGE]],procv!$A$2:$D$142,4,FALSE)</f>
        <v>Bico do Papagaio</v>
      </c>
      <c r="C29" t="s">
        <v>32</v>
      </c>
      <c r="D29">
        <v>910</v>
      </c>
      <c r="E29">
        <v>893</v>
      </c>
      <c r="F29">
        <v>887</v>
      </c>
      <c r="G29">
        <v>892</v>
      </c>
      <c r="H29">
        <v>901</v>
      </c>
      <c r="I29">
        <v>920</v>
      </c>
      <c r="J29">
        <v>931</v>
      </c>
      <c r="K29">
        <v>931</v>
      </c>
      <c r="L29">
        <v>926</v>
      </c>
      <c r="M29">
        <v>909</v>
      </c>
      <c r="P29" s="26"/>
      <c r="Q29" s="27">
        <v>2015</v>
      </c>
      <c r="R29" s="27">
        <v>2016</v>
      </c>
      <c r="S29" s="27">
        <v>2017</v>
      </c>
      <c r="T29" s="27">
        <v>2018</v>
      </c>
      <c r="U29" s="27">
        <v>2019</v>
      </c>
      <c r="V29" s="27">
        <v>2020</v>
      </c>
      <c r="W29" s="27">
        <v>2021</v>
      </c>
      <c r="X29" s="27">
        <v>2022</v>
      </c>
      <c r="Y29" s="27">
        <v>2023</v>
      </c>
      <c r="Z29" s="27">
        <v>2024</v>
      </c>
      <c r="AA29" s="31" t="s">
        <v>353</v>
      </c>
    </row>
    <row r="30" spans="1:27" x14ac:dyDescent="0.25">
      <c r="A30">
        <v>170382</v>
      </c>
      <c r="B30" t="str">
        <f>VLOOKUP(Tabela3[[#This Row],[IBGE]],procv!$A$2:$D$142,4,FALSE)</f>
        <v>Bico do Papagaio</v>
      </c>
      <c r="C30" t="s">
        <v>33</v>
      </c>
      <c r="D30">
        <v>210</v>
      </c>
      <c r="E30">
        <v>205</v>
      </c>
      <c r="F30">
        <v>198</v>
      </c>
      <c r="G30">
        <v>189</v>
      </c>
      <c r="H30">
        <v>176</v>
      </c>
      <c r="I30">
        <v>165</v>
      </c>
      <c r="J30">
        <v>156</v>
      </c>
      <c r="K30">
        <v>151</v>
      </c>
      <c r="L30">
        <v>149</v>
      </c>
      <c r="M30">
        <v>155</v>
      </c>
      <c r="P30" s="28" t="s">
        <v>151</v>
      </c>
      <c r="Q30" s="30">
        <f t="shared" ref="Q30:Q35" si="2">Q18/Q4</f>
        <v>0.41345182791355284</v>
      </c>
      <c r="R30" s="30">
        <f t="shared" ref="R30:Z30" si="3">R18/R4</f>
        <v>0.42552540297898389</v>
      </c>
      <c r="S30" s="30">
        <f t="shared" si="3"/>
        <v>0.42312813684318346</v>
      </c>
      <c r="T30" s="30">
        <f t="shared" si="3"/>
        <v>0.57119358486686544</v>
      </c>
      <c r="U30" s="30">
        <f t="shared" si="3"/>
        <v>0.6237389334980441</v>
      </c>
      <c r="V30" s="30">
        <f t="shared" si="3"/>
        <v>0.1211595386342758</v>
      </c>
      <c r="W30" s="30">
        <f t="shared" si="3"/>
        <v>0.30385556915544676</v>
      </c>
      <c r="X30" s="30">
        <f t="shared" si="3"/>
        <v>0.65360277607675032</v>
      </c>
      <c r="Y30" s="30">
        <f t="shared" si="3"/>
        <v>0.75058346017250122</v>
      </c>
      <c r="Z30" s="30">
        <f t="shared" si="3"/>
        <v>0.69272727272727275</v>
      </c>
      <c r="AA30" s="30">
        <f t="shared" ref="AA30" si="4">AA18/AA4</f>
        <v>0.49801146213619957</v>
      </c>
    </row>
    <row r="31" spans="1:27" x14ac:dyDescent="0.25">
      <c r="A31">
        <v>170384</v>
      </c>
      <c r="B31" t="str">
        <f>VLOOKUP(Tabela3[[#This Row],[IBGE]],procv!$A$2:$D$142,4,FALSE)</f>
        <v>Médio Norte Araguaia</v>
      </c>
      <c r="C31" t="s">
        <v>34</v>
      </c>
      <c r="D31">
        <v>979</v>
      </c>
      <c r="E31">
        <v>956</v>
      </c>
      <c r="F31">
        <v>940</v>
      </c>
      <c r="G31">
        <v>928</v>
      </c>
      <c r="H31">
        <v>919</v>
      </c>
      <c r="I31">
        <v>917</v>
      </c>
      <c r="J31">
        <v>910</v>
      </c>
      <c r="K31">
        <v>902</v>
      </c>
      <c r="L31">
        <v>904</v>
      </c>
      <c r="M31">
        <v>904</v>
      </c>
      <c r="P31" s="28" t="s">
        <v>145</v>
      </c>
      <c r="Q31" s="30">
        <f t="shared" si="2"/>
        <v>0.54395547232625885</v>
      </c>
      <c r="R31" s="30">
        <f t="shared" ref="R31:Z31" si="5">R19/R5</f>
        <v>0.5143725667964375</v>
      </c>
      <c r="S31" s="30">
        <f t="shared" si="5"/>
        <v>0.59056573012336289</v>
      </c>
      <c r="T31" s="30">
        <f t="shared" si="5"/>
        <v>0.68676364843188231</v>
      </c>
      <c r="U31" s="30">
        <f t="shared" si="5"/>
        <v>0.65721186250280839</v>
      </c>
      <c r="V31" s="30">
        <f t="shared" si="5"/>
        <v>0.27390370705244121</v>
      </c>
      <c r="W31" s="30">
        <f t="shared" si="5"/>
        <v>0.51433476394849786</v>
      </c>
      <c r="X31" s="30">
        <f t="shared" si="5"/>
        <v>0.75409265064437481</v>
      </c>
      <c r="Y31" s="30">
        <f t="shared" si="5"/>
        <v>0.75996488147497809</v>
      </c>
      <c r="Z31" s="30">
        <f t="shared" si="5"/>
        <v>0.77764650283553871</v>
      </c>
      <c r="AA31" s="30">
        <f t="shared" ref="AA31" si="6">AA19/AA5</f>
        <v>0.60479993731425141</v>
      </c>
    </row>
    <row r="32" spans="1:27" x14ac:dyDescent="0.25">
      <c r="A32">
        <v>170386</v>
      </c>
      <c r="B32" t="str">
        <f>VLOOKUP(Tabela3[[#This Row],[IBGE]],procv!$A$2:$D$142,4,FALSE)</f>
        <v>Ilha do Bananal</v>
      </c>
      <c r="C32" t="s">
        <v>35</v>
      </c>
      <c r="D32">
        <v>290</v>
      </c>
      <c r="E32">
        <v>285</v>
      </c>
      <c r="F32">
        <v>284</v>
      </c>
      <c r="G32">
        <v>285</v>
      </c>
      <c r="H32">
        <v>287</v>
      </c>
      <c r="I32">
        <v>292</v>
      </c>
      <c r="J32">
        <v>293</v>
      </c>
      <c r="K32">
        <v>294</v>
      </c>
      <c r="L32">
        <v>292</v>
      </c>
      <c r="M32">
        <v>290</v>
      </c>
      <c r="P32" s="28" t="s">
        <v>144</v>
      </c>
      <c r="Q32" s="30">
        <f t="shared" si="2"/>
        <v>0.39601277460563244</v>
      </c>
      <c r="R32" s="30">
        <f t="shared" ref="R32:Z32" si="7">R20/R6</f>
        <v>0.32809876543209876</v>
      </c>
      <c r="S32" s="30">
        <f t="shared" si="7"/>
        <v>0.4015755883526127</v>
      </c>
      <c r="T32" s="30">
        <f t="shared" si="7"/>
        <v>0.45438139161820734</v>
      </c>
      <c r="U32" s="30">
        <f t="shared" si="7"/>
        <v>0.42982982982982981</v>
      </c>
      <c r="V32" s="30">
        <f t="shared" si="7"/>
        <v>0.19667590027700832</v>
      </c>
      <c r="W32" s="30">
        <f t="shared" si="7"/>
        <v>0.28634708140565018</v>
      </c>
      <c r="X32" s="30">
        <f t="shared" si="7"/>
        <v>0.56645694062131335</v>
      </c>
      <c r="Y32" s="30">
        <f t="shared" si="7"/>
        <v>0.6336286632265602</v>
      </c>
      <c r="Z32" s="30">
        <f t="shared" si="7"/>
        <v>0.59200231816864679</v>
      </c>
      <c r="AA32" s="30">
        <f t="shared" ref="AA32" si="8">AA20/AA6</f>
        <v>0.42913715484716247</v>
      </c>
    </row>
    <row r="33" spans="1:27" x14ac:dyDescent="0.25">
      <c r="A33">
        <v>170388</v>
      </c>
      <c r="B33" t="str">
        <f>VLOOKUP(Tabela3[[#This Row],[IBGE]],procv!$A$2:$D$142,4,FALSE)</f>
        <v>Médio Norte Araguaia</v>
      </c>
      <c r="C33" t="s">
        <v>36</v>
      </c>
      <c r="D33">
        <v>203</v>
      </c>
      <c r="E33">
        <v>196</v>
      </c>
      <c r="F33">
        <v>191</v>
      </c>
      <c r="G33">
        <v>185</v>
      </c>
      <c r="H33">
        <v>185</v>
      </c>
      <c r="I33">
        <v>182</v>
      </c>
      <c r="J33">
        <v>181</v>
      </c>
      <c r="K33">
        <v>180</v>
      </c>
      <c r="L33">
        <v>179</v>
      </c>
      <c r="M33">
        <v>181</v>
      </c>
      <c r="P33" s="28" t="s">
        <v>148</v>
      </c>
      <c r="Q33" s="30">
        <f t="shared" si="2"/>
        <v>0.28959042608067675</v>
      </c>
      <c r="R33" s="30">
        <f t="shared" ref="R33:Z33" si="9">R21/R7</f>
        <v>0.42652773479143025</v>
      </c>
      <c r="S33" s="30">
        <f t="shared" si="9"/>
        <v>0.43925137715126422</v>
      </c>
      <c r="T33" s="30">
        <f t="shared" si="9"/>
        <v>0.42007574465181341</v>
      </c>
      <c r="U33" s="30">
        <f t="shared" si="9"/>
        <v>0.42118880642745282</v>
      </c>
      <c r="V33" s="30">
        <f t="shared" si="9"/>
        <v>0.17009962304792675</v>
      </c>
      <c r="W33" s="30">
        <f t="shared" si="9"/>
        <v>0.20877392584660687</v>
      </c>
      <c r="X33" s="30">
        <f t="shared" si="9"/>
        <v>0.4398774232229698</v>
      </c>
      <c r="Y33" s="30">
        <f t="shared" si="9"/>
        <v>0.48170711842319597</v>
      </c>
      <c r="Z33" s="30">
        <f t="shared" si="9"/>
        <v>0.48466475312026319</v>
      </c>
      <c r="AA33" s="30">
        <f t="shared" ref="AA33" si="10">AA21/AA7</f>
        <v>0.37882833201070654</v>
      </c>
    </row>
    <row r="34" spans="1:27" x14ac:dyDescent="0.25">
      <c r="A34">
        <v>170389</v>
      </c>
      <c r="B34" t="str">
        <f>VLOOKUP(Tabela3[[#This Row],[IBGE]],procv!$A$2:$D$142,4,FALSE)</f>
        <v>Bico do Papagaio</v>
      </c>
      <c r="C34" t="s">
        <v>37</v>
      </c>
      <c r="D34">
        <v>400</v>
      </c>
      <c r="E34">
        <v>385</v>
      </c>
      <c r="F34">
        <v>372</v>
      </c>
      <c r="G34">
        <v>355</v>
      </c>
      <c r="H34">
        <v>339</v>
      </c>
      <c r="I34">
        <v>326</v>
      </c>
      <c r="J34">
        <v>312</v>
      </c>
      <c r="K34">
        <v>302</v>
      </c>
      <c r="L34">
        <v>295</v>
      </c>
      <c r="M34">
        <v>293</v>
      </c>
      <c r="P34" s="28" t="s">
        <v>150</v>
      </c>
      <c r="Q34" s="30">
        <f t="shared" si="2"/>
        <v>0.55642113382182801</v>
      </c>
      <c r="R34" s="30">
        <f t="shared" ref="R34:Z34" si="11">R22/R8</f>
        <v>0.44724135201456505</v>
      </c>
      <c r="S34" s="30">
        <f t="shared" si="11"/>
        <v>0.47101449275362317</v>
      </c>
      <c r="T34" s="30">
        <f t="shared" si="11"/>
        <v>0.54572921770373994</v>
      </c>
      <c r="U34" s="30">
        <f t="shared" si="11"/>
        <v>0.57069958847736624</v>
      </c>
      <c r="V34" s="30">
        <f t="shared" si="11"/>
        <v>0.19085977313825414</v>
      </c>
      <c r="W34" s="30">
        <f t="shared" si="11"/>
        <v>0.26302319821679188</v>
      </c>
      <c r="X34" s="30">
        <f t="shared" si="11"/>
        <v>0.56154357950765132</v>
      </c>
      <c r="Y34" s="30">
        <f t="shared" si="11"/>
        <v>0.5972522897585345</v>
      </c>
      <c r="Z34" s="30">
        <f t="shared" si="11"/>
        <v>0.63080256688057335</v>
      </c>
      <c r="AA34" s="30">
        <f t="shared" ref="AA34" si="12">AA22/AA8</f>
        <v>0.48345908772387269</v>
      </c>
    </row>
    <row r="35" spans="1:27" x14ac:dyDescent="0.25">
      <c r="A35">
        <v>170390</v>
      </c>
      <c r="B35" t="str">
        <f>VLOOKUP(Tabela3[[#This Row],[IBGE]],procv!$A$2:$D$142,4,FALSE)</f>
        <v>Cantão</v>
      </c>
      <c r="C35" t="s">
        <v>38</v>
      </c>
      <c r="D35">
        <v>457</v>
      </c>
      <c r="E35">
        <v>439</v>
      </c>
      <c r="F35">
        <v>428</v>
      </c>
      <c r="G35">
        <v>419</v>
      </c>
      <c r="H35">
        <v>414</v>
      </c>
      <c r="I35">
        <v>414</v>
      </c>
      <c r="J35">
        <v>411</v>
      </c>
      <c r="K35">
        <v>411</v>
      </c>
      <c r="L35">
        <v>415</v>
      </c>
      <c r="M35">
        <v>423</v>
      </c>
      <c r="P35" s="28" t="s">
        <v>146</v>
      </c>
      <c r="Q35" s="30">
        <f t="shared" si="2"/>
        <v>0.4592742226390592</v>
      </c>
      <c r="R35" s="30">
        <f t="shared" ref="R35:Z35" si="13">R23/R9</f>
        <v>0.38460968196308104</v>
      </c>
      <c r="S35" s="30">
        <f t="shared" si="13"/>
        <v>0.38597680373550236</v>
      </c>
      <c r="T35" s="30">
        <f t="shared" si="13"/>
        <v>0.5047248894985521</v>
      </c>
      <c r="U35" s="30">
        <f t="shared" si="13"/>
        <v>0.43427301976405697</v>
      </c>
      <c r="V35" s="30">
        <f t="shared" si="13"/>
        <v>0.17911811743203107</v>
      </c>
      <c r="W35" s="30">
        <f t="shared" si="13"/>
        <v>0.32634228187919462</v>
      </c>
      <c r="X35" s="30">
        <f t="shared" si="13"/>
        <v>0.50520116261281933</v>
      </c>
      <c r="Y35" s="30">
        <f t="shared" si="13"/>
        <v>0.56718464351005482</v>
      </c>
      <c r="Z35" s="30">
        <f t="shared" si="13"/>
        <v>0.61681106551147591</v>
      </c>
      <c r="AA35" s="30">
        <f t="shared" ref="AA35" si="14">AA23/AA9</f>
        <v>0.43629868511483527</v>
      </c>
    </row>
    <row r="36" spans="1:27" x14ac:dyDescent="0.25">
      <c r="A36">
        <v>170410</v>
      </c>
      <c r="B36" t="str">
        <f>VLOOKUP(Tabela3[[#This Row],[IBGE]],procv!$A$2:$D$142,4,FALSE)</f>
        <v>Cerrado Tocantins Araguaia</v>
      </c>
      <c r="C36" t="s">
        <v>39</v>
      </c>
      <c r="D36">
        <v>195</v>
      </c>
      <c r="E36">
        <v>181</v>
      </c>
      <c r="F36">
        <v>175</v>
      </c>
      <c r="G36">
        <v>171</v>
      </c>
      <c r="H36">
        <v>169</v>
      </c>
      <c r="I36">
        <v>172</v>
      </c>
      <c r="J36">
        <v>170</v>
      </c>
      <c r="K36">
        <v>164</v>
      </c>
      <c r="L36">
        <v>155</v>
      </c>
      <c r="M36">
        <v>148</v>
      </c>
      <c r="P36" s="28" t="s">
        <v>149</v>
      </c>
      <c r="Q36" s="30">
        <f t="shared" ref="Q36:Z38" si="15">Q24/Q10</f>
        <v>0.40013312809418811</v>
      </c>
      <c r="R36" s="30">
        <f t="shared" si="15"/>
        <v>0.39271957671957675</v>
      </c>
      <c r="S36" s="30">
        <f t="shared" si="15"/>
        <v>0.46356993290885007</v>
      </c>
      <c r="T36" s="30">
        <f t="shared" si="15"/>
        <v>0.4979760571871501</v>
      </c>
      <c r="U36" s="30">
        <f t="shared" si="15"/>
        <v>0.44770380610878302</v>
      </c>
      <c r="V36" s="30">
        <f t="shared" si="15"/>
        <v>0.15781330582774625</v>
      </c>
      <c r="W36" s="30">
        <f t="shared" si="15"/>
        <v>0.32659469224482773</v>
      </c>
      <c r="X36" s="30">
        <f t="shared" si="15"/>
        <v>0.5427166033828098</v>
      </c>
      <c r="Y36" s="30">
        <f t="shared" si="15"/>
        <v>0.59204706488598791</v>
      </c>
      <c r="Z36" s="30">
        <f t="shared" si="15"/>
        <v>0.63317596566523604</v>
      </c>
      <c r="AA36" s="30">
        <f t="shared" ref="AA36" si="16">AA24/AA10</f>
        <v>0.44522318066680355</v>
      </c>
    </row>
    <row r="37" spans="1:27" x14ac:dyDescent="0.25">
      <c r="A37">
        <v>170460</v>
      </c>
      <c r="B37" t="str">
        <f>VLOOKUP(Tabela3[[#This Row],[IBGE]],procv!$A$2:$D$142,4,FALSE)</f>
        <v>Cantão</v>
      </c>
      <c r="C37" t="s">
        <v>41</v>
      </c>
      <c r="D37">
        <v>111</v>
      </c>
      <c r="E37">
        <v>111</v>
      </c>
      <c r="F37">
        <v>111</v>
      </c>
      <c r="G37">
        <v>112</v>
      </c>
      <c r="H37">
        <v>113</v>
      </c>
      <c r="I37">
        <v>115</v>
      </c>
      <c r="J37">
        <v>114</v>
      </c>
      <c r="K37">
        <v>113</v>
      </c>
      <c r="L37">
        <v>113</v>
      </c>
      <c r="M37">
        <v>118</v>
      </c>
      <c r="P37" s="28" t="s">
        <v>147</v>
      </c>
      <c r="Q37" s="30">
        <f t="shared" si="15"/>
        <v>0.55638000243279406</v>
      </c>
      <c r="R37" s="30">
        <f t="shared" si="15"/>
        <v>0.53403800176167104</v>
      </c>
      <c r="S37" s="30">
        <f t="shared" si="15"/>
        <v>0.57859358841778696</v>
      </c>
      <c r="T37" s="30">
        <f t="shared" si="15"/>
        <v>0.62591362126245842</v>
      </c>
      <c r="U37" s="30">
        <f t="shared" si="15"/>
        <v>0.59586338277316642</v>
      </c>
      <c r="V37" s="30">
        <f t="shared" si="15"/>
        <v>0.2275176129299627</v>
      </c>
      <c r="W37" s="30">
        <f t="shared" si="15"/>
        <v>0.34937208974178074</v>
      </c>
      <c r="X37" s="30">
        <f t="shared" si="15"/>
        <v>0.67889113485417263</v>
      </c>
      <c r="Y37" s="30">
        <f t="shared" si="15"/>
        <v>0.66266119577960136</v>
      </c>
      <c r="Z37" s="30">
        <f t="shared" si="15"/>
        <v>0.71434944237918219</v>
      </c>
      <c r="AA37" s="30">
        <f t="shared" ref="AA37" si="17">AA25/AA11</f>
        <v>0.5508908791910736</v>
      </c>
    </row>
    <row r="38" spans="1:27" x14ac:dyDescent="0.25">
      <c r="A38">
        <v>170510</v>
      </c>
      <c r="B38" t="str">
        <f>VLOOKUP(Tabela3[[#This Row],[IBGE]],procv!$A$2:$D$142,4,FALSE)</f>
        <v>Amor Perfeito</v>
      </c>
      <c r="C38" t="s">
        <v>40</v>
      </c>
      <c r="D38">
        <v>285</v>
      </c>
      <c r="E38">
        <v>276</v>
      </c>
      <c r="F38">
        <v>272</v>
      </c>
      <c r="G38">
        <v>268</v>
      </c>
      <c r="H38">
        <v>266</v>
      </c>
      <c r="I38">
        <v>271</v>
      </c>
      <c r="J38">
        <v>270</v>
      </c>
      <c r="K38">
        <v>266</v>
      </c>
      <c r="L38">
        <v>259</v>
      </c>
      <c r="M38">
        <v>256</v>
      </c>
      <c r="P38" s="29" t="s">
        <v>349</v>
      </c>
      <c r="Q38" s="30">
        <f t="shared" si="15"/>
        <v>0.42967513438121951</v>
      </c>
      <c r="R38" s="30">
        <f t="shared" si="15"/>
        <v>0.42965779467680609</v>
      </c>
      <c r="S38" s="30">
        <f t="shared" si="15"/>
        <v>0.46808955848503869</v>
      </c>
      <c r="T38" s="30">
        <f t="shared" si="15"/>
        <v>0.52267783513522292</v>
      </c>
      <c r="U38" s="30">
        <f t="shared" si="15"/>
        <v>0.50391574619438417</v>
      </c>
      <c r="V38" s="30">
        <f t="shared" si="15"/>
        <v>0.18737461114224679</v>
      </c>
      <c r="W38" s="30">
        <f t="shared" si="15"/>
        <v>0.31451868850858133</v>
      </c>
      <c r="X38" s="30">
        <f t="shared" si="15"/>
        <v>0.56363443284484305</v>
      </c>
      <c r="Y38" s="30">
        <f t="shared" si="15"/>
        <v>0.60576509276927448</v>
      </c>
      <c r="Z38" s="30">
        <f t="shared" si="15"/>
        <v>0.61944557023587588</v>
      </c>
      <c r="AA38" s="30">
        <f t="shared" ref="AA38" si="18">AA26/AA12</f>
        <v>0.46428190647272816</v>
      </c>
    </row>
    <row r="39" spans="1:27" x14ac:dyDescent="0.25">
      <c r="A39">
        <v>170550</v>
      </c>
      <c r="B39" t="str">
        <f>VLOOKUP(Tabela3[[#This Row],[IBGE]],procv!$A$2:$D$142,4,FALSE)</f>
        <v>Cerrado Tocantins Araguaia</v>
      </c>
      <c r="C39" t="s">
        <v>42</v>
      </c>
      <c r="D39">
        <v>2792</v>
      </c>
      <c r="E39">
        <v>2756</v>
      </c>
      <c r="F39">
        <v>2744</v>
      </c>
      <c r="G39">
        <v>2740</v>
      </c>
      <c r="H39">
        <v>2755</v>
      </c>
      <c r="I39">
        <v>2793</v>
      </c>
      <c r="J39">
        <v>2811</v>
      </c>
      <c r="K39">
        <v>2827</v>
      </c>
      <c r="L39">
        <v>2862</v>
      </c>
      <c r="M39">
        <v>2882</v>
      </c>
      <c r="V39" s="32"/>
      <c r="W39" s="32"/>
    </row>
    <row r="40" spans="1:27" x14ac:dyDescent="0.25">
      <c r="A40">
        <v>170555</v>
      </c>
      <c r="B40" t="str">
        <f>VLOOKUP(Tabela3[[#This Row],[IBGE]],procv!$A$2:$D$142,4,FALSE)</f>
        <v>Sudeste</v>
      </c>
      <c r="C40" t="s">
        <v>44</v>
      </c>
      <c r="D40">
        <v>410</v>
      </c>
      <c r="E40">
        <v>398</v>
      </c>
      <c r="F40">
        <v>389</v>
      </c>
      <c r="G40">
        <v>380</v>
      </c>
      <c r="H40">
        <v>373</v>
      </c>
      <c r="I40">
        <v>369</v>
      </c>
      <c r="J40">
        <v>360</v>
      </c>
      <c r="K40">
        <v>353</v>
      </c>
      <c r="L40">
        <v>348</v>
      </c>
      <c r="M40">
        <v>346</v>
      </c>
    </row>
    <row r="41" spans="1:27" x14ac:dyDescent="0.25">
      <c r="A41">
        <v>170560</v>
      </c>
      <c r="B41" t="str">
        <f>VLOOKUP(Tabela3[[#This Row],[IBGE]],procv!$A$2:$D$142,4,FALSE)</f>
        <v>Sudeste</v>
      </c>
      <c r="C41" t="s">
        <v>45</v>
      </c>
      <c r="D41">
        <v>402</v>
      </c>
      <c r="E41">
        <v>390</v>
      </c>
      <c r="F41">
        <v>377</v>
      </c>
      <c r="G41">
        <v>363</v>
      </c>
      <c r="H41">
        <v>349</v>
      </c>
      <c r="I41">
        <v>339</v>
      </c>
      <c r="J41">
        <v>329</v>
      </c>
      <c r="K41">
        <v>318</v>
      </c>
      <c r="L41">
        <v>313</v>
      </c>
      <c r="M41">
        <v>314</v>
      </c>
    </row>
    <row r="42" spans="1:27" x14ac:dyDescent="0.25">
      <c r="A42">
        <v>170600</v>
      </c>
      <c r="B42" t="str">
        <f>VLOOKUP(Tabela3[[#This Row],[IBGE]],procv!$A$2:$D$142,4,FALSE)</f>
        <v>Cerrado Tocantins Araguaia</v>
      </c>
      <c r="C42" t="s">
        <v>46</v>
      </c>
      <c r="D42">
        <v>479</v>
      </c>
      <c r="E42">
        <v>469</v>
      </c>
      <c r="F42">
        <v>465</v>
      </c>
      <c r="G42">
        <v>462</v>
      </c>
      <c r="H42">
        <v>465</v>
      </c>
      <c r="I42">
        <v>474</v>
      </c>
      <c r="J42">
        <v>474</v>
      </c>
      <c r="K42">
        <v>471</v>
      </c>
      <c r="L42">
        <v>464</v>
      </c>
      <c r="M42">
        <v>457</v>
      </c>
    </row>
    <row r="43" spans="1:27" x14ac:dyDescent="0.25">
      <c r="A43">
        <v>170610</v>
      </c>
      <c r="B43" t="str">
        <f>VLOOKUP(Tabela3[[#This Row],[IBGE]],procv!$A$2:$D$142,4,FALSE)</f>
        <v>Cantão</v>
      </c>
      <c r="C43" t="s">
        <v>47</v>
      </c>
      <c r="D43">
        <v>539</v>
      </c>
      <c r="E43">
        <v>509</v>
      </c>
      <c r="F43">
        <v>486</v>
      </c>
      <c r="G43">
        <v>469</v>
      </c>
      <c r="H43">
        <v>458</v>
      </c>
      <c r="I43">
        <v>455</v>
      </c>
      <c r="J43">
        <v>446</v>
      </c>
      <c r="K43">
        <v>436</v>
      </c>
      <c r="L43">
        <v>433</v>
      </c>
      <c r="M43">
        <v>430</v>
      </c>
    </row>
    <row r="44" spans="1:27" x14ac:dyDescent="0.25">
      <c r="A44">
        <v>170625</v>
      </c>
      <c r="B44" t="str">
        <f>VLOOKUP(Tabela3[[#This Row],[IBGE]],procv!$A$2:$D$142,4,FALSE)</f>
        <v>Ilha do Bananal</v>
      </c>
      <c r="C44" t="s">
        <v>48</v>
      </c>
      <c r="D44">
        <v>127</v>
      </c>
      <c r="E44">
        <v>119</v>
      </c>
      <c r="F44">
        <v>115</v>
      </c>
      <c r="G44">
        <v>112</v>
      </c>
      <c r="H44">
        <v>116</v>
      </c>
      <c r="I44">
        <v>122</v>
      </c>
      <c r="J44">
        <v>122</v>
      </c>
      <c r="K44">
        <v>123</v>
      </c>
      <c r="L44">
        <v>118</v>
      </c>
      <c r="M44">
        <v>116</v>
      </c>
    </row>
    <row r="45" spans="1:27" x14ac:dyDescent="0.25">
      <c r="A45">
        <v>170650</v>
      </c>
      <c r="B45" t="str">
        <f>VLOOKUP(Tabela3[[#This Row],[IBGE]],procv!$A$2:$D$142,4,FALSE)</f>
        <v>Médio Norte Araguaia</v>
      </c>
      <c r="C45" t="s">
        <v>49</v>
      </c>
      <c r="D45">
        <v>547</v>
      </c>
      <c r="E45">
        <v>540</v>
      </c>
      <c r="F45">
        <v>535</v>
      </c>
      <c r="G45">
        <v>524</v>
      </c>
      <c r="H45">
        <v>512</v>
      </c>
      <c r="I45">
        <v>505</v>
      </c>
      <c r="J45">
        <v>495</v>
      </c>
      <c r="K45">
        <v>490</v>
      </c>
      <c r="L45">
        <v>495</v>
      </c>
      <c r="M45">
        <v>502</v>
      </c>
    </row>
    <row r="46" spans="1:27" x14ac:dyDescent="0.25">
      <c r="A46">
        <v>170700</v>
      </c>
      <c r="B46" t="str">
        <f>VLOOKUP(Tabela3[[#This Row],[IBGE]],procv!$A$2:$D$142,4,FALSE)</f>
        <v>Sudeste</v>
      </c>
      <c r="C46" t="s">
        <v>50</v>
      </c>
      <c r="D46">
        <v>1713</v>
      </c>
      <c r="E46">
        <v>1652</v>
      </c>
      <c r="F46">
        <v>1606</v>
      </c>
      <c r="G46">
        <v>1565</v>
      </c>
      <c r="H46">
        <v>1532</v>
      </c>
      <c r="I46">
        <v>1511</v>
      </c>
      <c r="J46">
        <v>1485</v>
      </c>
      <c r="K46">
        <v>1459</v>
      </c>
      <c r="L46">
        <v>1451</v>
      </c>
      <c r="M46">
        <v>1441</v>
      </c>
    </row>
    <row r="47" spans="1:27" x14ac:dyDescent="0.25">
      <c r="A47">
        <v>170710</v>
      </c>
      <c r="B47" t="str">
        <f>VLOOKUP(Tabela3[[#This Row],[IBGE]],procv!$A$2:$D$142,4,FALSE)</f>
        <v>Cantão</v>
      </c>
      <c r="C47" t="s">
        <v>51</v>
      </c>
      <c r="D47">
        <v>554</v>
      </c>
      <c r="E47">
        <v>539</v>
      </c>
      <c r="F47">
        <v>532</v>
      </c>
      <c r="G47">
        <v>524</v>
      </c>
      <c r="H47">
        <v>523</v>
      </c>
      <c r="I47">
        <v>525</v>
      </c>
      <c r="J47">
        <v>526</v>
      </c>
      <c r="K47">
        <v>524</v>
      </c>
      <c r="L47">
        <v>533</v>
      </c>
      <c r="M47">
        <v>539</v>
      </c>
    </row>
    <row r="48" spans="1:27" x14ac:dyDescent="0.25">
      <c r="A48">
        <v>170720</v>
      </c>
      <c r="B48" t="str">
        <f>VLOOKUP(Tabela3[[#This Row],[IBGE]],procv!$A$2:$D$142,4,FALSE)</f>
        <v>Cantão</v>
      </c>
      <c r="C48" t="s">
        <v>52</v>
      </c>
      <c r="D48">
        <v>556</v>
      </c>
      <c r="E48">
        <v>534</v>
      </c>
      <c r="F48">
        <v>516</v>
      </c>
      <c r="G48">
        <v>500</v>
      </c>
      <c r="H48">
        <v>490</v>
      </c>
      <c r="I48">
        <v>483</v>
      </c>
      <c r="J48">
        <v>472</v>
      </c>
      <c r="K48">
        <v>460</v>
      </c>
      <c r="L48">
        <v>455</v>
      </c>
      <c r="M48">
        <v>449</v>
      </c>
    </row>
    <row r="49" spans="1:13" x14ac:dyDescent="0.25">
      <c r="A49">
        <v>170730</v>
      </c>
      <c r="B49" t="str">
        <f>VLOOKUP(Tabela3[[#This Row],[IBGE]],procv!$A$2:$D$142,4,FALSE)</f>
        <v>Ilha do Bananal</v>
      </c>
      <c r="C49" t="s">
        <v>53</v>
      </c>
      <c r="D49">
        <v>361</v>
      </c>
      <c r="E49">
        <v>346</v>
      </c>
      <c r="F49">
        <v>333</v>
      </c>
      <c r="G49">
        <v>325</v>
      </c>
      <c r="H49">
        <v>315</v>
      </c>
      <c r="I49">
        <v>306</v>
      </c>
      <c r="J49">
        <v>297</v>
      </c>
      <c r="K49">
        <v>293</v>
      </c>
      <c r="L49">
        <v>292</v>
      </c>
      <c r="M49">
        <v>294</v>
      </c>
    </row>
    <row r="50" spans="1:13" x14ac:dyDescent="0.25">
      <c r="A50">
        <v>170740</v>
      </c>
      <c r="B50" t="str">
        <f>VLOOKUP(Tabela3[[#This Row],[IBGE]],procv!$A$2:$D$142,4,FALSE)</f>
        <v>Bico do Papagaio</v>
      </c>
      <c r="C50" t="s">
        <v>54</v>
      </c>
      <c r="D50">
        <v>925</v>
      </c>
      <c r="E50">
        <v>878</v>
      </c>
      <c r="F50">
        <v>839</v>
      </c>
      <c r="G50">
        <v>806</v>
      </c>
      <c r="H50">
        <v>778</v>
      </c>
      <c r="I50">
        <v>758</v>
      </c>
      <c r="J50">
        <v>731</v>
      </c>
      <c r="K50">
        <v>701</v>
      </c>
      <c r="L50">
        <v>671</v>
      </c>
      <c r="M50">
        <v>642</v>
      </c>
    </row>
    <row r="51" spans="1:13" x14ac:dyDescent="0.25">
      <c r="A51">
        <v>170755</v>
      </c>
      <c r="B51" t="str">
        <f>VLOOKUP(Tabela3[[#This Row],[IBGE]],procv!$A$2:$D$142,4,FALSE)</f>
        <v>Amor Perfeito</v>
      </c>
      <c r="C51" t="s">
        <v>55</v>
      </c>
      <c r="D51">
        <v>294</v>
      </c>
      <c r="E51">
        <v>279</v>
      </c>
      <c r="F51">
        <v>271</v>
      </c>
      <c r="G51">
        <v>264</v>
      </c>
      <c r="H51">
        <v>260</v>
      </c>
      <c r="I51">
        <v>262</v>
      </c>
      <c r="J51">
        <v>259</v>
      </c>
      <c r="K51">
        <v>258</v>
      </c>
      <c r="L51">
        <v>255</v>
      </c>
      <c r="M51">
        <v>256</v>
      </c>
    </row>
    <row r="52" spans="1:13" x14ac:dyDescent="0.25">
      <c r="A52">
        <v>170765</v>
      </c>
      <c r="B52" t="str">
        <f>VLOOKUP(Tabela3[[#This Row],[IBGE]],procv!$A$2:$D$142,4,FALSE)</f>
        <v>Ilha do Bananal</v>
      </c>
      <c r="C52" t="s">
        <v>56</v>
      </c>
      <c r="D52">
        <v>382</v>
      </c>
      <c r="E52">
        <v>370</v>
      </c>
      <c r="F52">
        <v>364</v>
      </c>
      <c r="G52">
        <v>361</v>
      </c>
      <c r="H52">
        <v>362</v>
      </c>
      <c r="I52">
        <v>368</v>
      </c>
      <c r="J52">
        <v>372</v>
      </c>
      <c r="K52">
        <v>367</v>
      </c>
      <c r="L52">
        <v>365</v>
      </c>
      <c r="M52">
        <v>361</v>
      </c>
    </row>
    <row r="53" spans="1:13" x14ac:dyDescent="0.25">
      <c r="A53">
        <v>170770</v>
      </c>
      <c r="B53" t="str">
        <f>VLOOKUP(Tabela3[[#This Row],[IBGE]],procv!$A$2:$D$142,4,FALSE)</f>
        <v>Médio Norte Araguaia</v>
      </c>
      <c r="C53" t="s">
        <v>57</v>
      </c>
      <c r="D53">
        <v>760</v>
      </c>
      <c r="E53">
        <v>728</v>
      </c>
      <c r="F53">
        <v>701</v>
      </c>
      <c r="G53">
        <v>676</v>
      </c>
      <c r="H53">
        <v>652</v>
      </c>
      <c r="I53">
        <v>634</v>
      </c>
      <c r="J53">
        <v>615</v>
      </c>
      <c r="K53">
        <v>599</v>
      </c>
      <c r="L53">
        <v>589</v>
      </c>
      <c r="M53">
        <v>581</v>
      </c>
    </row>
    <row r="54" spans="1:13" x14ac:dyDescent="0.25">
      <c r="A54">
        <v>170820</v>
      </c>
      <c r="B54" t="str">
        <f>VLOOKUP(Tabela3[[#This Row],[IBGE]],procv!$A$2:$D$142,4,FALSE)</f>
        <v>Ilha do Bananal</v>
      </c>
      <c r="C54" t="s">
        <v>58</v>
      </c>
      <c r="D54">
        <v>1583</v>
      </c>
      <c r="E54">
        <v>1528</v>
      </c>
      <c r="F54">
        <v>1491</v>
      </c>
      <c r="G54">
        <v>1462</v>
      </c>
      <c r="H54">
        <v>1441</v>
      </c>
      <c r="I54">
        <v>1438</v>
      </c>
      <c r="J54">
        <v>1429</v>
      </c>
      <c r="K54">
        <v>1422</v>
      </c>
      <c r="L54">
        <v>1438</v>
      </c>
      <c r="M54">
        <v>1449</v>
      </c>
    </row>
    <row r="55" spans="1:13" x14ac:dyDescent="0.25">
      <c r="A55">
        <v>170825</v>
      </c>
      <c r="B55" t="str">
        <f>VLOOKUP(Tabela3[[#This Row],[IBGE]],procv!$A$2:$D$142,4,FALSE)</f>
        <v>Capim Dourado</v>
      </c>
      <c r="C55" t="s">
        <v>347</v>
      </c>
      <c r="D55">
        <v>242</v>
      </c>
      <c r="E55">
        <v>251</v>
      </c>
      <c r="F55">
        <v>260</v>
      </c>
      <c r="G55">
        <v>269</v>
      </c>
      <c r="H55">
        <v>277</v>
      </c>
      <c r="I55">
        <v>286</v>
      </c>
      <c r="J55">
        <v>295</v>
      </c>
      <c r="K55">
        <v>301</v>
      </c>
      <c r="L55">
        <v>305</v>
      </c>
      <c r="M55">
        <v>308</v>
      </c>
    </row>
    <row r="56" spans="1:13" x14ac:dyDescent="0.25">
      <c r="A56">
        <v>170830</v>
      </c>
      <c r="B56" t="str">
        <f>VLOOKUP(Tabela3[[#This Row],[IBGE]],procv!$A$2:$D$142,4,FALSE)</f>
        <v>Cerrado Tocantins Araguaia</v>
      </c>
      <c r="C56" t="s">
        <v>59</v>
      </c>
      <c r="D56">
        <v>400</v>
      </c>
      <c r="E56">
        <v>380</v>
      </c>
      <c r="F56">
        <v>367</v>
      </c>
      <c r="G56">
        <v>357</v>
      </c>
      <c r="H56">
        <v>349</v>
      </c>
      <c r="I56">
        <v>347</v>
      </c>
      <c r="J56">
        <v>343</v>
      </c>
      <c r="K56">
        <v>339</v>
      </c>
      <c r="L56">
        <v>338</v>
      </c>
      <c r="M56">
        <v>339</v>
      </c>
    </row>
    <row r="57" spans="1:13" x14ac:dyDescent="0.25">
      <c r="A57">
        <v>170900</v>
      </c>
      <c r="B57" t="str">
        <f>VLOOKUP(Tabela3[[#This Row],[IBGE]],procv!$A$2:$D$142,4,FALSE)</f>
        <v>Médio Norte Araguaia</v>
      </c>
      <c r="C57" t="s">
        <v>60</v>
      </c>
      <c r="D57">
        <v>1355</v>
      </c>
      <c r="E57">
        <v>1324</v>
      </c>
      <c r="F57">
        <v>1307</v>
      </c>
      <c r="G57">
        <v>1300</v>
      </c>
      <c r="H57">
        <v>1305</v>
      </c>
      <c r="I57">
        <v>1321</v>
      </c>
      <c r="J57">
        <v>1325</v>
      </c>
      <c r="K57">
        <v>1320</v>
      </c>
      <c r="L57">
        <v>1312</v>
      </c>
      <c r="M57">
        <v>1295</v>
      </c>
    </row>
    <row r="58" spans="1:13" x14ac:dyDescent="0.25">
      <c r="A58">
        <v>170930</v>
      </c>
      <c r="B58" t="str">
        <f>VLOOKUP(Tabela3[[#This Row],[IBGE]],procv!$A$2:$D$142,4,FALSE)</f>
        <v>Cerrado Tocantins Araguaia</v>
      </c>
      <c r="C58" t="s">
        <v>61</v>
      </c>
      <c r="D58">
        <v>1880</v>
      </c>
      <c r="E58">
        <v>1840</v>
      </c>
      <c r="F58">
        <v>1814</v>
      </c>
      <c r="G58">
        <v>1790</v>
      </c>
      <c r="H58">
        <v>1777</v>
      </c>
      <c r="I58">
        <v>1779</v>
      </c>
      <c r="J58">
        <v>1773</v>
      </c>
      <c r="K58">
        <v>1765</v>
      </c>
      <c r="L58">
        <v>1778</v>
      </c>
      <c r="M58">
        <v>1782</v>
      </c>
    </row>
    <row r="59" spans="1:13" x14ac:dyDescent="0.25">
      <c r="A59">
        <v>170950</v>
      </c>
      <c r="B59" t="str">
        <f>VLOOKUP(Tabela3[[#This Row],[IBGE]],procv!$A$2:$D$142,4,FALSE)</f>
        <v>Ilha do Bananal</v>
      </c>
      <c r="C59" t="s">
        <v>62</v>
      </c>
      <c r="D59">
        <v>6266</v>
      </c>
      <c r="E59">
        <v>6182</v>
      </c>
      <c r="F59">
        <v>6151</v>
      </c>
      <c r="G59">
        <v>6132</v>
      </c>
      <c r="H59">
        <v>6142</v>
      </c>
      <c r="I59">
        <v>6211</v>
      </c>
      <c r="J59">
        <v>6241</v>
      </c>
      <c r="K59">
        <v>6257</v>
      </c>
      <c r="L59">
        <v>6335</v>
      </c>
      <c r="M59">
        <v>6379</v>
      </c>
    </row>
    <row r="60" spans="1:13" x14ac:dyDescent="0.25">
      <c r="A60">
        <v>170980</v>
      </c>
      <c r="B60" t="str">
        <f>VLOOKUP(Tabela3[[#This Row],[IBGE]],procv!$A$2:$D$142,4,FALSE)</f>
        <v>Amor Perfeito</v>
      </c>
      <c r="C60" t="s">
        <v>63</v>
      </c>
      <c r="D60">
        <v>162</v>
      </c>
      <c r="E60">
        <v>158</v>
      </c>
      <c r="F60">
        <v>152</v>
      </c>
      <c r="G60">
        <v>146</v>
      </c>
      <c r="H60">
        <v>141</v>
      </c>
      <c r="I60">
        <v>138</v>
      </c>
      <c r="J60">
        <v>130</v>
      </c>
      <c r="K60">
        <v>125</v>
      </c>
      <c r="L60">
        <v>117</v>
      </c>
      <c r="M60">
        <v>116</v>
      </c>
    </row>
    <row r="61" spans="1:13" x14ac:dyDescent="0.25">
      <c r="A61">
        <v>171050</v>
      </c>
      <c r="B61" t="str">
        <f>VLOOKUP(Tabela3[[#This Row],[IBGE]],procv!$A$2:$D$142,4,FALSE)</f>
        <v>Cerrado Tocantins Araguaia</v>
      </c>
      <c r="C61" t="s">
        <v>64</v>
      </c>
      <c r="D61">
        <v>710</v>
      </c>
      <c r="E61">
        <v>689</v>
      </c>
      <c r="F61">
        <v>677</v>
      </c>
      <c r="G61">
        <v>668</v>
      </c>
      <c r="H61">
        <v>664</v>
      </c>
      <c r="I61">
        <v>665</v>
      </c>
      <c r="J61">
        <v>661</v>
      </c>
      <c r="K61">
        <v>653</v>
      </c>
      <c r="L61">
        <v>640</v>
      </c>
      <c r="M61">
        <v>624</v>
      </c>
    </row>
    <row r="62" spans="1:13" x14ac:dyDescent="0.25">
      <c r="A62">
        <v>171070</v>
      </c>
      <c r="B62" t="str">
        <f>VLOOKUP(Tabela3[[#This Row],[IBGE]],procv!$A$2:$D$142,4,FALSE)</f>
        <v>Bico do Papagaio</v>
      </c>
      <c r="C62" t="s">
        <v>65</v>
      </c>
      <c r="D62">
        <v>540</v>
      </c>
      <c r="E62">
        <v>516</v>
      </c>
      <c r="F62">
        <v>493</v>
      </c>
      <c r="G62">
        <v>472</v>
      </c>
      <c r="H62">
        <v>451</v>
      </c>
      <c r="I62">
        <v>434</v>
      </c>
      <c r="J62">
        <v>417</v>
      </c>
      <c r="K62">
        <v>403</v>
      </c>
      <c r="L62">
        <v>393</v>
      </c>
      <c r="M62">
        <v>387</v>
      </c>
    </row>
    <row r="63" spans="1:13" x14ac:dyDescent="0.25">
      <c r="A63">
        <v>171090</v>
      </c>
      <c r="B63" t="str">
        <f>VLOOKUP(Tabela3[[#This Row],[IBGE]],procv!$A$2:$D$142,4,FALSE)</f>
        <v>Cerrado Tocantins Araguaia</v>
      </c>
      <c r="C63" t="s">
        <v>66</v>
      </c>
      <c r="D63">
        <v>316</v>
      </c>
      <c r="E63">
        <v>305</v>
      </c>
      <c r="F63">
        <v>297</v>
      </c>
      <c r="G63">
        <v>291</v>
      </c>
      <c r="H63">
        <v>285</v>
      </c>
      <c r="I63">
        <v>282</v>
      </c>
      <c r="J63">
        <v>278</v>
      </c>
      <c r="K63">
        <v>274</v>
      </c>
      <c r="L63">
        <v>274</v>
      </c>
      <c r="M63">
        <v>279</v>
      </c>
    </row>
    <row r="64" spans="1:13" x14ac:dyDescent="0.25">
      <c r="A64">
        <v>171110</v>
      </c>
      <c r="B64" t="str">
        <f>VLOOKUP(Tabela3[[#This Row],[IBGE]],procv!$A$2:$D$142,4,FALSE)</f>
        <v>Cerrado Tocantins Araguaia</v>
      </c>
      <c r="C64" t="s">
        <v>67</v>
      </c>
      <c r="D64">
        <v>208</v>
      </c>
      <c r="E64">
        <v>203</v>
      </c>
      <c r="F64">
        <v>201</v>
      </c>
      <c r="G64">
        <v>196</v>
      </c>
      <c r="H64">
        <v>194</v>
      </c>
      <c r="I64">
        <v>190</v>
      </c>
      <c r="J64">
        <v>187</v>
      </c>
      <c r="K64">
        <v>183</v>
      </c>
      <c r="L64">
        <v>179</v>
      </c>
      <c r="M64">
        <v>177</v>
      </c>
    </row>
    <row r="65" spans="1:13" x14ac:dyDescent="0.25">
      <c r="A65">
        <v>171150</v>
      </c>
      <c r="B65" t="str">
        <f>VLOOKUP(Tabela3[[#This Row],[IBGE]],procv!$A$2:$D$142,4,FALSE)</f>
        <v>Ilha do Bananal</v>
      </c>
      <c r="C65" t="s">
        <v>68</v>
      </c>
      <c r="D65">
        <v>298</v>
      </c>
      <c r="E65">
        <v>285</v>
      </c>
      <c r="F65">
        <v>275</v>
      </c>
      <c r="G65">
        <v>266</v>
      </c>
      <c r="H65">
        <v>256</v>
      </c>
      <c r="I65">
        <v>249</v>
      </c>
      <c r="J65">
        <v>242</v>
      </c>
      <c r="K65">
        <v>235</v>
      </c>
      <c r="L65">
        <v>231</v>
      </c>
      <c r="M65">
        <v>228</v>
      </c>
    </row>
    <row r="66" spans="1:13" x14ac:dyDescent="0.25">
      <c r="A66">
        <v>171180</v>
      </c>
      <c r="B66" t="str">
        <f>VLOOKUP(Tabela3[[#This Row],[IBGE]],procv!$A$2:$D$142,4,FALSE)</f>
        <v>Cerrado Tocantins Araguaia</v>
      </c>
      <c r="C66" t="s">
        <v>69</v>
      </c>
      <c r="D66">
        <v>194</v>
      </c>
      <c r="E66">
        <v>188</v>
      </c>
      <c r="F66">
        <v>185</v>
      </c>
      <c r="G66">
        <v>184</v>
      </c>
      <c r="H66">
        <v>185</v>
      </c>
      <c r="I66">
        <v>190</v>
      </c>
      <c r="J66">
        <v>194</v>
      </c>
      <c r="K66">
        <v>195</v>
      </c>
      <c r="L66">
        <v>191</v>
      </c>
      <c r="M66">
        <v>189</v>
      </c>
    </row>
    <row r="67" spans="1:13" x14ac:dyDescent="0.25">
      <c r="A67">
        <v>171190</v>
      </c>
      <c r="B67" t="str">
        <f>VLOOKUP(Tabela3[[#This Row],[IBGE]],procv!$A$2:$D$142,4,FALSE)</f>
        <v>Cantão</v>
      </c>
      <c r="C67" t="s">
        <v>70</v>
      </c>
      <c r="D67">
        <v>1263</v>
      </c>
      <c r="E67">
        <v>1277</v>
      </c>
      <c r="F67">
        <v>1297</v>
      </c>
      <c r="G67">
        <v>1315</v>
      </c>
      <c r="H67">
        <v>1331</v>
      </c>
      <c r="I67">
        <v>1362</v>
      </c>
      <c r="J67">
        <v>1387</v>
      </c>
      <c r="K67">
        <v>1415</v>
      </c>
      <c r="L67">
        <v>1470</v>
      </c>
      <c r="M67">
        <v>1527</v>
      </c>
    </row>
    <row r="68" spans="1:13" x14ac:dyDescent="0.25">
      <c r="A68">
        <v>171195</v>
      </c>
      <c r="B68" t="str">
        <f>VLOOKUP(Tabela3[[#This Row],[IBGE]],procv!$A$2:$D$142,4,FALSE)</f>
        <v>Capim Dourado</v>
      </c>
      <c r="C68" t="s">
        <v>71</v>
      </c>
      <c r="D68">
        <v>435</v>
      </c>
      <c r="E68">
        <v>425</v>
      </c>
      <c r="F68">
        <v>413</v>
      </c>
      <c r="G68">
        <v>402</v>
      </c>
      <c r="H68">
        <v>390</v>
      </c>
      <c r="I68">
        <v>378</v>
      </c>
      <c r="J68">
        <v>366</v>
      </c>
      <c r="K68">
        <v>356</v>
      </c>
      <c r="L68">
        <v>348</v>
      </c>
      <c r="M68">
        <v>343</v>
      </c>
    </row>
    <row r="69" spans="1:13" x14ac:dyDescent="0.25">
      <c r="A69">
        <v>171200</v>
      </c>
      <c r="B69" t="str">
        <f>VLOOKUP(Tabela3[[#This Row],[IBGE]],procv!$A$2:$D$142,4,FALSE)</f>
        <v>Capim Dourado</v>
      </c>
      <c r="C69" t="s">
        <v>72</v>
      </c>
      <c r="D69">
        <v>289</v>
      </c>
      <c r="E69">
        <v>286</v>
      </c>
      <c r="F69">
        <v>287</v>
      </c>
      <c r="G69">
        <v>286</v>
      </c>
      <c r="H69">
        <v>285</v>
      </c>
      <c r="I69">
        <v>286</v>
      </c>
      <c r="J69">
        <v>286</v>
      </c>
      <c r="K69">
        <v>286</v>
      </c>
      <c r="L69">
        <v>285</v>
      </c>
      <c r="M69">
        <v>285</v>
      </c>
    </row>
    <row r="70" spans="1:13" x14ac:dyDescent="0.25">
      <c r="A70">
        <v>171215</v>
      </c>
      <c r="B70" t="str">
        <f>VLOOKUP(Tabela3[[#This Row],[IBGE]],procv!$A$2:$D$142,4,FALSE)</f>
        <v>Sudeste</v>
      </c>
      <c r="C70" t="s">
        <v>73</v>
      </c>
      <c r="D70">
        <v>156</v>
      </c>
      <c r="E70">
        <v>152</v>
      </c>
      <c r="F70">
        <v>149</v>
      </c>
      <c r="G70">
        <v>142</v>
      </c>
      <c r="H70">
        <v>138</v>
      </c>
      <c r="I70">
        <v>133</v>
      </c>
      <c r="J70">
        <v>130</v>
      </c>
      <c r="K70">
        <v>124</v>
      </c>
      <c r="L70">
        <v>124</v>
      </c>
      <c r="M70">
        <v>124</v>
      </c>
    </row>
    <row r="71" spans="1:13" x14ac:dyDescent="0.25">
      <c r="A71">
        <v>171240</v>
      </c>
      <c r="B71" t="str">
        <f>VLOOKUP(Tabela3[[#This Row],[IBGE]],procv!$A$2:$D$142,4,FALSE)</f>
        <v>Capim Dourado</v>
      </c>
      <c r="C71" t="s">
        <v>74</v>
      </c>
      <c r="D71">
        <v>344</v>
      </c>
      <c r="E71">
        <v>325</v>
      </c>
      <c r="F71">
        <v>307</v>
      </c>
      <c r="G71">
        <v>291</v>
      </c>
      <c r="H71">
        <v>275</v>
      </c>
      <c r="I71">
        <v>263</v>
      </c>
      <c r="J71">
        <v>247</v>
      </c>
      <c r="K71">
        <v>238</v>
      </c>
      <c r="L71">
        <v>229</v>
      </c>
      <c r="M71">
        <v>231</v>
      </c>
    </row>
    <row r="72" spans="1:13" x14ac:dyDescent="0.25">
      <c r="A72">
        <v>171245</v>
      </c>
      <c r="B72" t="str">
        <f>VLOOKUP(Tabela3[[#This Row],[IBGE]],procv!$A$2:$D$142,4,FALSE)</f>
        <v>Bico do Papagaio</v>
      </c>
      <c r="C72" t="s">
        <v>75</v>
      </c>
      <c r="D72">
        <v>286</v>
      </c>
      <c r="E72">
        <v>283</v>
      </c>
      <c r="F72">
        <v>277</v>
      </c>
      <c r="G72">
        <v>265</v>
      </c>
      <c r="H72">
        <v>253</v>
      </c>
      <c r="I72">
        <v>240</v>
      </c>
      <c r="J72">
        <v>229</v>
      </c>
      <c r="K72">
        <v>221</v>
      </c>
      <c r="L72">
        <v>217</v>
      </c>
      <c r="M72">
        <v>218</v>
      </c>
    </row>
    <row r="73" spans="1:13" x14ac:dyDescent="0.25">
      <c r="A73">
        <v>171250</v>
      </c>
      <c r="B73" t="str">
        <f>VLOOKUP(Tabela3[[#This Row],[IBGE]],procv!$A$2:$D$142,4,FALSE)</f>
        <v>Cantão</v>
      </c>
      <c r="C73" t="s">
        <v>76</v>
      </c>
      <c r="D73">
        <v>422</v>
      </c>
      <c r="E73">
        <v>415</v>
      </c>
      <c r="F73">
        <v>406</v>
      </c>
      <c r="G73">
        <v>397</v>
      </c>
      <c r="H73">
        <v>390</v>
      </c>
      <c r="I73">
        <v>386</v>
      </c>
      <c r="J73">
        <v>381</v>
      </c>
      <c r="K73">
        <v>374</v>
      </c>
      <c r="L73">
        <v>374</v>
      </c>
      <c r="M73">
        <v>370</v>
      </c>
    </row>
    <row r="74" spans="1:13" x14ac:dyDescent="0.25">
      <c r="A74">
        <v>171270</v>
      </c>
      <c r="B74" t="str">
        <f>VLOOKUP(Tabela3[[#This Row],[IBGE]],procv!$A$2:$D$142,4,FALSE)</f>
        <v>Amor Perfeito</v>
      </c>
      <c r="C74" t="s">
        <v>77</v>
      </c>
      <c r="D74">
        <v>299</v>
      </c>
      <c r="E74">
        <v>298</v>
      </c>
      <c r="F74">
        <v>294</v>
      </c>
      <c r="G74">
        <v>282</v>
      </c>
      <c r="H74">
        <v>266</v>
      </c>
      <c r="I74">
        <v>248</v>
      </c>
      <c r="J74">
        <v>236</v>
      </c>
      <c r="K74">
        <v>228</v>
      </c>
      <c r="L74">
        <v>227</v>
      </c>
      <c r="M74">
        <v>234</v>
      </c>
    </row>
    <row r="75" spans="1:13" x14ac:dyDescent="0.25">
      <c r="A75">
        <v>171280</v>
      </c>
      <c r="B75" t="str">
        <f>VLOOKUP(Tabela3[[#This Row],[IBGE]],procv!$A$2:$D$142,4,FALSE)</f>
        <v>Bico do Papagaio</v>
      </c>
      <c r="C75" t="s">
        <v>78</v>
      </c>
      <c r="D75">
        <v>321</v>
      </c>
      <c r="E75">
        <v>315</v>
      </c>
      <c r="F75">
        <v>310</v>
      </c>
      <c r="G75">
        <v>303</v>
      </c>
      <c r="H75">
        <v>298</v>
      </c>
      <c r="I75">
        <v>299</v>
      </c>
      <c r="J75">
        <v>296</v>
      </c>
      <c r="K75">
        <v>291</v>
      </c>
      <c r="L75">
        <v>284</v>
      </c>
      <c r="M75">
        <v>280</v>
      </c>
    </row>
    <row r="76" spans="1:13" x14ac:dyDescent="0.25">
      <c r="A76">
        <v>171320</v>
      </c>
      <c r="B76" t="str">
        <f>VLOOKUP(Tabela3[[#This Row],[IBGE]],procv!$A$2:$D$142,4,FALSE)</f>
        <v>Capim Dourado</v>
      </c>
      <c r="C76" t="s">
        <v>79</v>
      </c>
      <c r="D76">
        <v>1664</v>
      </c>
      <c r="E76">
        <v>1587</v>
      </c>
      <c r="F76">
        <v>1530</v>
      </c>
      <c r="G76">
        <v>1489</v>
      </c>
      <c r="H76">
        <v>1457</v>
      </c>
      <c r="I76">
        <v>1441</v>
      </c>
      <c r="J76">
        <v>1416</v>
      </c>
      <c r="K76">
        <v>1380</v>
      </c>
      <c r="L76">
        <v>1353</v>
      </c>
      <c r="M76">
        <v>1316</v>
      </c>
    </row>
    <row r="77" spans="1:13" x14ac:dyDescent="0.25">
      <c r="A77">
        <v>171330</v>
      </c>
      <c r="B77" t="str">
        <f>VLOOKUP(Tabela3[[#This Row],[IBGE]],procv!$A$2:$D$142,4,FALSE)</f>
        <v>Capim Dourado</v>
      </c>
      <c r="C77" t="s">
        <v>80</v>
      </c>
      <c r="D77">
        <v>1031</v>
      </c>
      <c r="E77">
        <v>1001</v>
      </c>
      <c r="F77">
        <v>978</v>
      </c>
      <c r="G77">
        <v>958</v>
      </c>
      <c r="H77">
        <v>943</v>
      </c>
      <c r="I77">
        <v>935</v>
      </c>
      <c r="J77">
        <v>924</v>
      </c>
      <c r="K77">
        <v>915</v>
      </c>
      <c r="L77">
        <v>918</v>
      </c>
      <c r="M77">
        <v>919</v>
      </c>
    </row>
    <row r="78" spans="1:13" x14ac:dyDescent="0.25">
      <c r="A78">
        <v>171360</v>
      </c>
      <c r="B78" t="str">
        <f>VLOOKUP(Tabela3[[#This Row],[IBGE]],procv!$A$2:$D$142,4,FALSE)</f>
        <v>Amor Perfeito</v>
      </c>
      <c r="C78" t="s">
        <v>81</v>
      </c>
      <c r="D78">
        <v>604</v>
      </c>
      <c r="E78">
        <v>582</v>
      </c>
      <c r="F78">
        <v>562</v>
      </c>
      <c r="G78">
        <v>542</v>
      </c>
      <c r="H78">
        <v>523</v>
      </c>
      <c r="I78">
        <v>506</v>
      </c>
      <c r="J78">
        <v>488</v>
      </c>
      <c r="K78">
        <v>471</v>
      </c>
      <c r="L78">
        <v>459</v>
      </c>
      <c r="M78">
        <v>447</v>
      </c>
    </row>
    <row r="79" spans="1:13" x14ac:dyDescent="0.25">
      <c r="A79">
        <v>171370</v>
      </c>
      <c r="B79" t="str">
        <f>VLOOKUP(Tabela3[[#This Row],[IBGE]],procv!$A$2:$D$142,4,FALSE)</f>
        <v>Cantão</v>
      </c>
      <c r="C79" t="s">
        <v>82</v>
      </c>
      <c r="D79">
        <v>173</v>
      </c>
      <c r="E79">
        <v>171</v>
      </c>
      <c r="F79">
        <v>171</v>
      </c>
      <c r="G79">
        <v>175</v>
      </c>
      <c r="H79">
        <v>179</v>
      </c>
      <c r="I79">
        <v>188</v>
      </c>
      <c r="J79">
        <v>191</v>
      </c>
      <c r="K79">
        <v>189</v>
      </c>
      <c r="L79">
        <v>183</v>
      </c>
      <c r="M79">
        <v>180</v>
      </c>
    </row>
    <row r="80" spans="1:13" x14ac:dyDescent="0.25">
      <c r="A80">
        <v>171380</v>
      </c>
      <c r="B80" t="str">
        <f>VLOOKUP(Tabela3[[#This Row],[IBGE]],procv!$A$2:$D$142,4,FALSE)</f>
        <v>Bico do Papagaio</v>
      </c>
      <c r="C80" t="s">
        <v>94</v>
      </c>
      <c r="D80">
        <v>509</v>
      </c>
      <c r="E80">
        <v>490</v>
      </c>
      <c r="F80">
        <v>476</v>
      </c>
      <c r="G80">
        <v>461</v>
      </c>
      <c r="H80">
        <v>448</v>
      </c>
      <c r="I80">
        <v>438</v>
      </c>
      <c r="J80">
        <v>425</v>
      </c>
      <c r="K80">
        <v>411</v>
      </c>
      <c r="L80">
        <v>396</v>
      </c>
      <c r="M80">
        <v>379</v>
      </c>
    </row>
    <row r="81" spans="1:13" x14ac:dyDescent="0.25">
      <c r="A81">
        <v>171395</v>
      </c>
      <c r="B81" t="str">
        <f>VLOOKUP(Tabela3[[#This Row],[IBGE]],procv!$A$2:$D$142,4,FALSE)</f>
        <v>Médio Norte Araguaia</v>
      </c>
      <c r="C81" t="s">
        <v>83</v>
      </c>
      <c r="D81">
        <v>321</v>
      </c>
      <c r="E81">
        <v>313</v>
      </c>
      <c r="F81">
        <v>306</v>
      </c>
      <c r="G81">
        <v>301</v>
      </c>
      <c r="H81">
        <v>299</v>
      </c>
      <c r="I81">
        <v>299</v>
      </c>
      <c r="J81">
        <v>296</v>
      </c>
      <c r="K81">
        <v>294</v>
      </c>
      <c r="L81">
        <v>290</v>
      </c>
      <c r="M81">
        <v>290</v>
      </c>
    </row>
    <row r="82" spans="1:13" x14ac:dyDescent="0.25">
      <c r="A82">
        <v>171420</v>
      </c>
      <c r="B82" t="str">
        <f>VLOOKUP(Tabela3[[#This Row],[IBGE]],procv!$A$2:$D$142,4,FALSE)</f>
        <v>Amor Perfeito</v>
      </c>
      <c r="C82" t="s">
        <v>84</v>
      </c>
      <c r="D82">
        <v>781</v>
      </c>
      <c r="E82">
        <v>759</v>
      </c>
      <c r="F82">
        <v>739</v>
      </c>
      <c r="G82">
        <v>716</v>
      </c>
      <c r="H82">
        <v>692</v>
      </c>
      <c r="I82">
        <v>675</v>
      </c>
      <c r="J82">
        <v>658</v>
      </c>
      <c r="K82">
        <v>645</v>
      </c>
      <c r="L82">
        <v>644</v>
      </c>
      <c r="M82">
        <v>649</v>
      </c>
    </row>
    <row r="83" spans="1:13" x14ac:dyDescent="0.25">
      <c r="A83">
        <v>171430</v>
      </c>
      <c r="B83" t="str">
        <f>VLOOKUP(Tabela3[[#This Row],[IBGE]],procv!$A$2:$D$142,4,FALSE)</f>
        <v>Bico do Papagaio</v>
      </c>
      <c r="C83" t="s">
        <v>85</v>
      </c>
      <c r="D83">
        <v>414</v>
      </c>
      <c r="E83">
        <v>403</v>
      </c>
      <c r="F83">
        <v>390</v>
      </c>
      <c r="G83">
        <v>374</v>
      </c>
      <c r="H83">
        <v>360</v>
      </c>
      <c r="I83">
        <v>348</v>
      </c>
      <c r="J83">
        <v>335</v>
      </c>
      <c r="K83">
        <v>326</v>
      </c>
      <c r="L83">
        <v>324</v>
      </c>
      <c r="M83">
        <v>325</v>
      </c>
    </row>
    <row r="84" spans="1:13" x14ac:dyDescent="0.25">
      <c r="A84">
        <v>171488</v>
      </c>
      <c r="B84" t="str">
        <f>VLOOKUP(Tabela3[[#This Row],[IBGE]],procv!$A$2:$D$142,4,FALSE)</f>
        <v>Médio Norte Araguaia</v>
      </c>
      <c r="C84" t="s">
        <v>86</v>
      </c>
      <c r="D84">
        <v>1035</v>
      </c>
      <c r="E84">
        <v>1012</v>
      </c>
      <c r="F84">
        <v>992</v>
      </c>
      <c r="G84">
        <v>970</v>
      </c>
      <c r="H84">
        <v>949</v>
      </c>
      <c r="I84">
        <v>935</v>
      </c>
      <c r="J84">
        <v>913</v>
      </c>
      <c r="K84">
        <v>891</v>
      </c>
      <c r="L84">
        <v>873</v>
      </c>
      <c r="M84">
        <v>848</v>
      </c>
    </row>
    <row r="85" spans="1:13" x14ac:dyDescent="0.25">
      <c r="A85">
        <v>171500</v>
      </c>
      <c r="B85" t="str">
        <f>VLOOKUP(Tabela3[[#This Row],[IBGE]],procv!$A$2:$D$142,4,FALSE)</f>
        <v>Cantão</v>
      </c>
      <c r="C85" t="s">
        <v>87</v>
      </c>
      <c r="D85">
        <v>322</v>
      </c>
      <c r="E85">
        <v>308</v>
      </c>
      <c r="F85">
        <v>295</v>
      </c>
      <c r="G85">
        <v>288</v>
      </c>
      <c r="H85">
        <v>281</v>
      </c>
      <c r="I85">
        <v>278</v>
      </c>
      <c r="J85">
        <v>273</v>
      </c>
      <c r="K85">
        <v>267</v>
      </c>
      <c r="L85">
        <v>264</v>
      </c>
      <c r="M85">
        <v>265</v>
      </c>
    </row>
    <row r="86" spans="1:13" x14ac:dyDescent="0.25">
      <c r="A86">
        <v>171510</v>
      </c>
      <c r="B86" t="str">
        <f>VLOOKUP(Tabela3[[#This Row],[IBGE]],procv!$A$2:$D$142,4,FALSE)</f>
        <v>Capim Dourado</v>
      </c>
      <c r="C86" t="s">
        <v>88</v>
      </c>
      <c r="D86">
        <v>372</v>
      </c>
      <c r="E86">
        <v>362</v>
      </c>
      <c r="F86">
        <v>359</v>
      </c>
      <c r="G86">
        <v>355</v>
      </c>
      <c r="H86">
        <v>354</v>
      </c>
      <c r="I86">
        <v>357</v>
      </c>
      <c r="J86">
        <v>356</v>
      </c>
      <c r="K86">
        <v>353</v>
      </c>
      <c r="L86">
        <v>352</v>
      </c>
      <c r="M86">
        <v>348</v>
      </c>
    </row>
    <row r="87" spans="1:13" x14ac:dyDescent="0.25">
      <c r="A87">
        <v>171515</v>
      </c>
      <c r="B87" t="str">
        <f>VLOOKUP(Tabela3[[#This Row],[IBGE]],procv!$A$2:$D$142,4,FALSE)</f>
        <v>Sudeste</v>
      </c>
      <c r="C87" t="s">
        <v>89</v>
      </c>
      <c r="D87">
        <v>168</v>
      </c>
      <c r="E87">
        <v>162</v>
      </c>
      <c r="F87">
        <v>156</v>
      </c>
      <c r="G87">
        <v>147</v>
      </c>
      <c r="H87">
        <v>138</v>
      </c>
      <c r="I87">
        <v>127</v>
      </c>
      <c r="J87">
        <v>118</v>
      </c>
      <c r="K87">
        <v>110</v>
      </c>
      <c r="L87">
        <v>103</v>
      </c>
      <c r="M87">
        <v>100</v>
      </c>
    </row>
    <row r="88" spans="1:13" x14ac:dyDescent="0.25">
      <c r="A88">
        <v>171525</v>
      </c>
      <c r="B88" t="str">
        <f>VLOOKUP(Tabela3[[#This Row],[IBGE]],procv!$A$2:$D$142,4,FALSE)</f>
        <v>Sudeste</v>
      </c>
      <c r="C88" t="s">
        <v>90</v>
      </c>
      <c r="D88">
        <v>256</v>
      </c>
      <c r="E88">
        <v>242</v>
      </c>
      <c r="F88">
        <v>231</v>
      </c>
      <c r="G88">
        <v>221</v>
      </c>
      <c r="H88">
        <v>212</v>
      </c>
      <c r="I88">
        <v>205</v>
      </c>
      <c r="J88">
        <v>198</v>
      </c>
      <c r="K88">
        <v>194</v>
      </c>
      <c r="L88">
        <v>192</v>
      </c>
      <c r="M88">
        <v>193</v>
      </c>
    </row>
    <row r="89" spans="1:13" x14ac:dyDescent="0.25">
      <c r="A89">
        <v>171550</v>
      </c>
      <c r="B89" t="str">
        <f>VLOOKUP(Tabela3[[#This Row],[IBGE]],procv!$A$2:$D$142,4,FALSE)</f>
        <v>Amor Perfeito</v>
      </c>
      <c r="C89" t="s">
        <v>91</v>
      </c>
      <c r="D89">
        <v>112</v>
      </c>
      <c r="E89">
        <v>109</v>
      </c>
      <c r="F89">
        <v>109</v>
      </c>
      <c r="G89">
        <v>109</v>
      </c>
      <c r="H89">
        <v>107</v>
      </c>
      <c r="I89">
        <v>108</v>
      </c>
      <c r="J89">
        <v>106</v>
      </c>
      <c r="K89">
        <v>106</v>
      </c>
      <c r="L89">
        <v>107</v>
      </c>
      <c r="M89">
        <v>109</v>
      </c>
    </row>
    <row r="90" spans="1:13" x14ac:dyDescent="0.25">
      <c r="A90">
        <v>171570</v>
      </c>
      <c r="B90" t="str">
        <f>VLOOKUP(Tabela3[[#This Row],[IBGE]],procv!$A$2:$D$142,4,FALSE)</f>
        <v>Cerrado Tocantins Araguaia</v>
      </c>
      <c r="C90" t="s">
        <v>93</v>
      </c>
      <c r="D90">
        <v>489</v>
      </c>
      <c r="E90">
        <v>471</v>
      </c>
      <c r="F90">
        <v>453</v>
      </c>
      <c r="G90">
        <v>434</v>
      </c>
      <c r="H90">
        <v>413</v>
      </c>
      <c r="I90">
        <v>396</v>
      </c>
      <c r="J90">
        <v>379</v>
      </c>
      <c r="K90">
        <v>364</v>
      </c>
      <c r="L90">
        <v>360</v>
      </c>
      <c r="M90">
        <v>357</v>
      </c>
    </row>
    <row r="91" spans="1:13" x14ac:dyDescent="0.25">
      <c r="A91">
        <v>171575</v>
      </c>
      <c r="B91" t="str">
        <f>VLOOKUP(Tabela3[[#This Row],[IBGE]],procv!$A$2:$D$142,4,FALSE)</f>
        <v>Ilha do Bananal</v>
      </c>
      <c r="C91" t="s">
        <v>95</v>
      </c>
      <c r="D91">
        <v>567</v>
      </c>
      <c r="E91">
        <v>544</v>
      </c>
      <c r="F91">
        <v>529</v>
      </c>
      <c r="G91">
        <v>513</v>
      </c>
      <c r="H91">
        <v>501</v>
      </c>
      <c r="I91">
        <v>497</v>
      </c>
      <c r="J91">
        <v>489</v>
      </c>
      <c r="K91">
        <v>480</v>
      </c>
      <c r="L91">
        <v>480</v>
      </c>
      <c r="M91">
        <v>478</v>
      </c>
    </row>
    <row r="92" spans="1:13" x14ac:dyDescent="0.25">
      <c r="A92">
        <v>171610</v>
      </c>
      <c r="B92" t="str">
        <f>VLOOKUP(Tabela3[[#This Row],[IBGE]],procv!$A$2:$D$142,4,FALSE)</f>
        <v>Cantão</v>
      </c>
      <c r="C92" t="s">
        <v>96</v>
      </c>
      <c r="D92">
        <v>3868</v>
      </c>
      <c r="E92">
        <v>3836</v>
      </c>
      <c r="F92">
        <v>3843</v>
      </c>
      <c r="G92">
        <v>3868</v>
      </c>
      <c r="H92">
        <v>3917</v>
      </c>
      <c r="I92">
        <v>4007</v>
      </c>
      <c r="J92">
        <v>4067</v>
      </c>
      <c r="K92">
        <v>4111</v>
      </c>
      <c r="L92">
        <v>4180</v>
      </c>
      <c r="M92">
        <v>4221</v>
      </c>
    </row>
    <row r="93" spans="1:13" x14ac:dyDescent="0.25">
      <c r="A93">
        <v>171620</v>
      </c>
      <c r="B93" t="str">
        <f>VLOOKUP(Tabela3[[#This Row],[IBGE]],procv!$A$2:$D$142,4,FALSE)</f>
        <v>Sudeste</v>
      </c>
      <c r="C93" t="s">
        <v>97</v>
      </c>
      <c r="D93">
        <v>1006</v>
      </c>
      <c r="E93">
        <v>981</v>
      </c>
      <c r="F93">
        <v>959</v>
      </c>
      <c r="G93">
        <v>932</v>
      </c>
      <c r="H93">
        <v>906</v>
      </c>
      <c r="I93">
        <v>887</v>
      </c>
      <c r="J93">
        <v>863</v>
      </c>
      <c r="K93">
        <v>839</v>
      </c>
      <c r="L93">
        <v>829</v>
      </c>
      <c r="M93">
        <v>816</v>
      </c>
    </row>
    <row r="94" spans="1:13" x14ac:dyDescent="0.25">
      <c r="A94">
        <v>171630</v>
      </c>
      <c r="B94" t="str">
        <f>VLOOKUP(Tabela3[[#This Row],[IBGE]],procv!$A$2:$D$142,4,FALSE)</f>
        <v>Médio Norte Araguaia</v>
      </c>
      <c r="C94" t="s">
        <v>98</v>
      </c>
      <c r="D94">
        <v>382</v>
      </c>
      <c r="E94">
        <v>372</v>
      </c>
      <c r="F94">
        <v>365</v>
      </c>
      <c r="G94">
        <v>357</v>
      </c>
      <c r="H94">
        <v>353</v>
      </c>
      <c r="I94">
        <v>352</v>
      </c>
      <c r="J94">
        <v>350</v>
      </c>
      <c r="K94">
        <v>344</v>
      </c>
      <c r="L94">
        <v>341</v>
      </c>
      <c r="M94">
        <v>335</v>
      </c>
    </row>
    <row r="95" spans="1:13" x14ac:dyDescent="0.25">
      <c r="A95">
        <v>171650</v>
      </c>
      <c r="B95" t="str">
        <f>VLOOKUP(Tabela3[[#This Row],[IBGE]],procv!$A$2:$D$142,4,FALSE)</f>
        <v>Cerrado Tocantins Araguaia</v>
      </c>
      <c r="C95" t="s">
        <v>99</v>
      </c>
      <c r="D95">
        <v>1081</v>
      </c>
      <c r="E95">
        <v>1086</v>
      </c>
      <c r="F95">
        <v>1098</v>
      </c>
      <c r="G95">
        <v>1110</v>
      </c>
      <c r="H95">
        <v>1124</v>
      </c>
      <c r="I95">
        <v>1147</v>
      </c>
      <c r="J95">
        <v>1167</v>
      </c>
      <c r="K95">
        <v>1177</v>
      </c>
      <c r="L95">
        <v>1197</v>
      </c>
      <c r="M95">
        <v>1207</v>
      </c>
    </row>
    <row r="96" spans="1:13" x14ac:dyDescent="0.25">
      <c r="A96">
        <v>171660</v>
      </c>
      <c r="B96" t="str">
        <f>VLOOKUP(Tabela3[[#This Row],[IBGE]],procv!$A$2:$D$142,4,FALSE)</f>
        <v>Ilha do Bananal</v>
      </c>
      <c r="C96" t="s">
        <v>100</v>
      </c>
      <c r="D96">
        <v>821</v>
      </c>
      <c r="E96">
        <v>785</v>
      </c>
      <c r="F96">
        <v>760</v>
      </c>
      <c r="G96">
        <v>737</v>
      </c>
      <c r="H96">
        <v>718</v>
      </c>
      <c r="I96">
        <v>707</v>
      </c>
      <c r="J96">
        <v>691</v>
      </c>
      <c r="K96">
        <v>679</v>
      </c>
      <c r="L96">
        <v>675</v>
      </c>
      <c r="M96">
        <v>669</v>
      </c>
    </row>
    <row r="97" spans="1:13" x14ac:dyDescent="0.25">
      <c r="A97">
        <v>171665</v>
      </c>
      <c r="B97" t="str">
        <f>VLOOKUP(Tabela3[[#This Row],[IBGE]],procv!$A$2:$D$142,4,FALSE)</f>
        <v>Cerrado Tocantins Araguaia</v>
      </c>
      <c r="C97" t="s">
        <v>101</v>
      </c>
      <c r="D97">
        <v>437</v>
      </c>
      <c r="E97">
        <v>419</v>
      </c>
      <c r="F97">
        <v>407</v>
      </c>
      <c r="G97">
        <v>395</v>
      </c>
      <c r="H97">
        <v>387</v>
      </c>
      <c r="I97">
        <v>384</v>
      </c>
      <c r="J97">
        <v>377</v>
      </c>
      <c r="K97">
        <v>367</v>
      </c>
      <c r="L97">
        <v>359</v>
      </c>
      <c r="M97">
        <v>355</v>
      </c>
    </row>
    <row r="98" spans="1:13" x14ac:dyDescent="0.25">
      <c r="A98">
        <v>171670</v>
      </c>
      <c r="B98" t="str">
        <f>VLOOKUP(Tabela3[[#This Row],[IBGE]],procv!$A$2:$D$142,4,FALSE)</f>
        <v>Cerrado Tocantins Araguaia</v>
      </c>
      <c r="C98" t="s">
        <v>43</v>
      </c>
      <c r="D98">
        <v>692</v>
      </c>
      <c r="E98">
        <v>670</v>
      </c>
      <c r="F98">
        <v>655</v>
      </c>
      <c r="G98">
        <v>643</v>
      </c>
      <c r="H98">
        <v>636</v>
      </c>
      <c r="I98">
        <v>633</v>
      </c>
      <c r="J98">
        <v>628</v>
      </c>
      <c r="K98">
        <v>623</v>
      </c>
      <c r="L98">
        <v>626</v>
      </c>
      <c r="M98">
        <v>626</v>
      </c>
    </row>
    <row r="99" spans="1:13" x14ac:dyDescent="0.25">
      <c r="A99">
        <v>171700</v>
      </c>
      <c r="B99" t="str">
        <f>VLOOKUP(Tabela3[[#This Row],[IBGE]],procv!$A$2:$D$142,4,FALSE)</f>
        <v>Amor Perfeito</v>
      </c>
      <c r="C99" t="s">
        <v>102</v>
      </c>
      <c r="D99">
        <v>427</v>
      </c>
      <c r="E99">
        <v>416</v>
      </c>
      <c r="F99">
        <v>405</v>
      </c>
      <c r="G99">
        <v>397</v>
      </c>
      <c r="H99">
        <v>391</v>
      </c>
      <c r="I99">
        <v>390</v>
      </c>
      <c r="J99">
        <v>386</v>
      </c>
      <c r="K99">
        <v>378</v>
      </c>
      <c r="L99">
        <v>367</v>
      </c>
      <c r="M99">
        <v>356</v>
      </c>
    </row>
    <row r="100" spans="1:13" x14ac:dyDescent="0.25">
      <c r="A100">
        <v>171720</v>
      </c>
      <c r="B100" t="str">
        <f>VLOOKUP(Tabela3[[#This Row],[IBGE]],procv!$A$2:$D$142,4,FALSE)</f>
        <v>Médio Norte Araguaia</v>
      </c>
      <c r="C100" t="s">
        <v>103</v>
      </c>
      <c r="D100">
        <v>210</v>
      </c>
      <c r="E100">
        <v>193</v>
      </c>
      <c r="F100">
        <v>185</v>
      </c>
      <c r="G100">
        <v>180</v>
      </c>
      <c r="H100">
        <v>178</v>
      </c>
      <c r="I100">
        <v>177</v>
      </c>
      <c r="J100">
        <v>176</v>
      </c>
      <c r="K100">
        <v>173</v>
      </c>
      <c r="L100">
        <v>170</v>
      </c>
      <c r="M100">
        <v>168</v>
      </c>
    </row>
    <row r="101" spans="1:13" x14ac:dyDescent="0.25">
      <c r="A101">
        <v>171750</v>
      </c>
      <c r="B101" t="str">
        <f>VLOOKUP(Tabela3[[#This Row],[IBGE]],procv!$A$2:$D$142,4,FALSE)</f>
        <v>Cantão</v>
      </c>
      <c r="C101" t="s">
        <v>104</v>
      </c>
      <c r="D101">
        <v>631</v>
      </c>
      <c r="E101">
        <v>619</v>
      </c>
      <c r="F101">
        <v>615</v>
      </c>
      <c r="G101">
        <v>613</v>
      </c>
      <c r="H101">
        <v>616</v>
      </c>
      <c r="I101">
        <v>625</v>
      </c>
      <c r="J101">
        <v>631</v>
      </c>
      <c r="K101">
        <v>633</v>
      </c>
      <c r="L101">
        <v>639</v>
      </c>
      <c r="M101">
        <v>640</v>
      </c>
    </row>
    <row r="102" spans="1:13" x14ac:dyDescent="0.25">
      <c r="A102">
        <v>171780</v>
      </c>
      <c r="B102" t="str">
        <f>VLOOKUP(Tabela3[[#This Row],[IBGE]],procv!$A$2:$D$142,4,FALSE)</f>
        <v>Sudeste</v>
      </c>
      <c r="C102" t="s">
        <v>105</v>
      </c>
      <c r="D102">
        <v>383</v>
      </c>
      <c r="E102">
        <v>371</v>
      </c>
      <c r="F102">
        <v>360</v>
      </c>
      <c r="G102">
        <v>352</v>
      </c>
      <c r="H102">
        <v>345</v>
      </c>
      <c r="I102">
        <v>338</v>
      </c>
      <c r="J102">
        <v>329</v>
      </c>
      <c r="K102">
        <v>319</v>
      </c>
      <c r="L102">
        <v>306</v>
      </c>
      <c r="M102">
        <v>298</v>
      </c>
    </row>
    <row r="103" spans="1:13" x14ac:dyDescent="0.25">
      <c r="A103">
        <v>171790</v>
      </c>
      <c r="B103" t="str">
        <f>VLOOKUP(Tabela3[[#This Row],[IBGE]],procv!$A$2:$D$142,4,FALSE)</f>
        <v>Amor Perfeito</v>
      </c>
      <c r="C103" t="s">
        <v>106</v>
      </c>
      <c r="D103">
        <v>712</v>
      </c>
      <c r="E103">
        <v>698</v>
      </c>
      <c r="F103">
        <v>690</v>
      </c>
      <c r="G103">
        <v>684</v>
      </c>
      <c r="H103">
        <v>678</v>
      </c>
      <c r="I103">
        <v>679</v>
      </c>
      <c r="J103">
        <v>674</v>
      </c>
      <c r="K103">
        <v>666</v>
      </c>
      <c r="L103">
        <v>662</v>
      </c>
      <c r="M103">
        <v>657</v>
      </c>
    </row>
    <row r="104" spans="1:13" x14ac:dyDescent="0.25">
      <c r="A104">
        <v>171800</v>
      </c>
      <c r="B104" t="str">
        <f>VLOOKUP(Tabela3[[#This Row],[IBGE]],procv!$A$2:$D$142,4,FALSE)</f>
        <v>Sudeste</v>
      </c>
      <c r="C104" t="s">
        <v>107</v>
      </c>
      <c r="D104">
        <v>264</v>
      </c>
      <c r="E104">
        <v>261</v>
      </c>
      <c r="F104">
        <v>261</v>
      </c>
      <c r="G104">
        <v>260</v>
      </c>
      <c r="H104">
        <v>260</v>
      </c>
      <c r="I104">
        <v>262</v>
      </c>
      <c r="J104">
        <v>264</v>
      </c>
      <c r="K104">
        <v>261</v>
      </c>
      <c r="L104">
        <v>259</v>
      </c>
      <c r="M104">
        <v>255</v>
      </c>
    </row>
    <row r="105" spans="1:13" x14ac:dyDescent="0.25">
      <c r="A105">
        <v>171820</v>
      </c>
      <c r="B105" t="str">
        <f>VLOOKUP(Tabela3[[#This Row],[IBGE]],procv!$A$2:$D$142,4,FALSE)</f>
        <v>Amor Perfeito</v>
      </c>
      <c r="C105" t="s">
        <v>108</v>
      </c>
      <c r="D105">
        <v>4863</v>
      </c>
      <c r="E105">
        <v>4900</v>
      </c>
      <c r="F105">
        <v>4971</v>
      </c>
      <c r="G105">
        <v>5047</v>
      </c>
      <c r="H105">
        <v>5137</v>
      </c>
      <c r="I105">
        <v>5276</v>
      </c>
      <c r="J105">
        <v>5375</v>
      </c>
      <c r="K105">
        <v>5455</v>
      </c>
      <c r="L105">
        <v>5570</v>
      </c>
      <c r="M105">
        <v>5652</v>
      </c>
    </row>
    <row r="106" spans="1:13" x14ac:dyDescent="0.25">
      <c r="A106">
        <v>171830</v>
      </c>
      <c r="B106" t="str">
        <f>VLOOKUP(Tabela3[[#This Row],[IBGE]],procv!$A$2:$D$142,4,FALSE)</f>
        <v>Bico do Papagaio</v>
      </c>
      <c r="C106" t="s">
        <v>109</v>
      </c>
      <c r="D106">
        <v>942</v>
      </c>
      <c r="E106">
        <v>932</v>
      </c>
      <c r="F106">
        <v>928</v>
      </c>
      <c r="G106">
        <v>927</v>
      </c>
      <c r="H106">
        <v>927</v>
      </c>
      <c r="I106">
        <v>934</v>
      </c>
      <c r="J106">
        <v>931</v>
      </c>
      <c r="K106">
        <v>919</v>
      </c>
      <c r="L106">
        <v>905</v>
      </c>
      <c r="M106">
        <v>883</v>
      </c>
    </row>
    <row r="107" spans="1:13" x14ac:dyDescent="0.25">
      <c r="A107">
        <v>171840</v>
      </c>
      <c r="B107" t="str">
        <f>VLOOKUP(Tabela3[[#This Row],[IBGE]],procv!$A$2:$D$142,4,FALSE)</f>
        <v>Cerrado Tocantins Araguaia</v>
      </c>
      <c r="C107" t="s">
        <v>110</v>
      </c>
      <c r="D107">
        <v>278</v>
      </c>
      <c r="E107">
        <v>259</v>
      </c>
      <c r="F107">
        <v>247</v>
      </c>
      <c r="G107">
        <v>240</v>
      </c>
      <c r="H107">
        <v>236</v>
      </c>
      <c r="I107">
        <v>238</v>
      </c>
      <c r="J107">
        <v>235</v>
      </c>
      <c r="K107">
        <v>232</v>
      </c>
      <c r="L107">
        <v>223</v>
      </c>
      <c r="M107">
        <v>216</v>
      </c>
    </row>
    <row r="108" spans="1:13" x14ac:dyDescent="0.25">
      <c r="A108">
        <v>171845</v>
      </c>
      <c r="B108" t="str">
        <f>VLOOKUP(Tabela3[[#This Row],[IBGE]],procv!$A$2:$D$142,4,FALSE)</f>
        <v>Cantão</v>
      </c>
      <c r="C108" t="s">
        <v>111</v>
      </c>
      <c r="D108">
        <v>227</v>
      </c>
      <c r="E108">
        <v>217</v>
      </c>
      <c r="F108">
        <v>211</v>
      </c>
      <c r="G108">
        <v>203</v>
      </c>
      <c r="H108">
        <v>198</v>
      </c>
      <c r="I108">
        <v>192</v>
      </c>
      <c r="J108">
        <v>187</v>
      </c>
      <c r="K108">
        <v>182</v>
      </c>
      <c r="L108">
        <v>171</v>
      </c>
      <c r="M108">
        <v>166</v>
      </c>
    </row>
    <row r="109" spans="1:13" x14ac:dyDescent="0.25">
      <c r="A109">
        <v>171850</v>
      </c>
      <c r="B109" t="str">
        <f>VLOOKUP(Tabela3[[#This Row],[IBGE]],procv!$A$2:$D$142,4,FALSE)</f>
        <v>Cerrado Tocantins Araguaia</v>
      </c>
      <c r="C109" t="s">
        <v>112</v>
      </c>
      <c r="D109">
        <v>417</v>
      </c>
      <c r="E109">
        <v>394</v>
      </c>
      <c r="F109">
        <v>371</v>
      </c>
      <c r="G109">
        <v>354</v>
      </c>
      <c r="H109">
        <v>336</v>
      </c>
      <c r="I109">
        <v>320</v>
      </c>
      <c r="J109">
        <v>306</v>
      </c>
      <c r="K109">
        <v>293</v>
      </c>
      <c r="L109">
        <v>287</v>
      </c>
      <c r="M109">
        <v>285</v>
      </c>
    </row>
    <row r="110" spans="1:13" x14ac:dyDescent="0.25">
      <c r="A110">
        <v>171855</v>
      </c>
      <c r="B110" t="str">
        <f>VLOOKUP(Tabela3[[#This Row],[IBGE]],procv!$A$2:$D$142,4,FALSE)</f>
        <v>Bico do Papagaio</v>
      </c>
      <c r="C110" t="s">
        <v>113</v>
      </c>
      <c r="D110">
        <v>401</v>
      </c>
      <c r="E110">
        <v>391</v>
      </c>
      <c r="F110">
        <v>382</v>
      </c>
      <c r="G110">
        <v>371</v>
      </c>
      <c r="H110">
        <v>362</v>
      </c>
      <c r="I110">
        <v>358</v>
      </c>
      <c r="J110">
        <v>350</v>
      </c>
      <c r="K110">
        <v>341</v>
      </c>
      <c r="L110">
        <v>330</v>
      </c>
      <c r="M110">
        <v>319</v>
      </c>
    </row>
    <row r="111" spans="1:13" x14ac:dyDescent="0.25">
      <c r="A111">
        <v>171865</v>
      </c>
      <c r="B111" t="str">
        <f>VLOOKUP(Tabela3[[#This Row],[IBGE]],procv!$A$2:$D$142,4,FALSE)</f>
        <v>Sudeste</v>
      </c>
      <c r="C111" t="s">
        <v>114</v>
      </c>
      <c r="D111">
        <v>161</v>
      </c>
      <c r="E111">
        <v>155</v>
      </c>
      <c r="F111">
        <v>153</v>
      </c>
      <c r="G111">
        <v>157</v>
      </c>
      <c r="H111">
        <v>161</v>
      </c>
      <c r="I111">
        <v>172</v>
      </c>
      <c r="J111">
        <v>178</v>
      </c>
      <c r="K111">
        <v>181</v>
      </c>
      <c r="L111">
        <v>178</v>
      </c>
      <c r="M111">
        <v>165</v>
      </c>
    </row>
    <row r="112" spans="1:13" x14ac:dyDescent="0.25">
      <c r="A112">
        <v>171870</v>
      </c>
      <c r="B112" t="str">
        <f>VLOOKUP(Tabela3[[#This Row],[IBGE]],procv!$A$2:$D$142,4,FALSE)</f>
        <v>Capim Dourado</v>
      </c>
      <c r="C112" t="s">
        <v>115</v>
      </c>
      <c r="D112">
        <v>242</v>
      </c>
      <c r="E112">
        <v>236</v>
      </c>
      <c r="F112">
        <v>231</v>
      </c>
      <c r="G112">
        <v>225</v>
      </c>
      <c r="H112">
        <v>220</v>
      </c>
      <c r="I112">
        <v>217</v>
      </c>
      <c r="J112">
        <v>213</v>
      </c>
      <c r="K112">
        <v>210</v>
      </c>
      <c r="L112">
        <v>212</v>
      </c>
      <c r="M112">
        <v>217</v>
      </c>
    </row>
    <row r="113" spans="1:13" x14ac:dyDescent="0.25">
      <c r="A113">
        <v>171875</v>
      </c>
      <c r="B113" t="str">
        <f>VLOOKUP(Tabela3[[#This Row],[IBGE]],procv!$A$2:$D$142,4,FALSE)</f>
        <v>Capim Dourado</v>
      </c>
      <c r="C113" t="s">
        <v>116</v>
      </c>
      <c r="D113">
        <v>489</v>
      </c>
      <c r="E113">
        <v>460</v>
      </c>
      <c r="F113">
        <v>438</v>
      </c>
      <c r="G113">
        <v>419</v>
      </c>
      <c r="H113">
        <v>406</v>
      </c>
      <c r="I113">
        <v>394</v>
      </c>
      <c r="J113">
        <v>383</v>
      </c>
      <c r="K113">
        <v>376</v>
      </c>
      <c r="L113">
        <v>372</v>
      </c>
      <c r="M113">
        <v>367</v>
      </c>
    </row>
    <row r="114" spans="1:13" x14ac:dyDescent="0.25">
      <c r="A114">
        <v>171880</v>
      </c>
      <c r="B114" t="str">
        <f>VLOOKUP(Tabela3[[#This Row],[IBGE]],procv!$A$2:$D$142,4,FALSE)</f>
        <v>Bico do Papagaio</v>
      </c>
      <c r="C114" t="s">
        <v>117</v>
      </c>
      <c r="D114">
        <v>431</v>
      </c>
      <c r="E114">
        <v>419</v>
      </c>
      <c r="F114">
        <v>409</v>
      </c>
      <c r="G114">
        <v>404</v>
      </c>
      <c r="H114">
        <v>401</v>
      </c>
      <c r="I114">
        <v>400</v>
      </c>
      <c r="J114">
        <v>398</v>
      </c>
      <c r="K114">
        <v>393</v>
      </c>
      <c r="L114">
        <v>388</v>
      </c>
      <c r="M114">
        <v>386</v>
      </c>
    </row>
    <row r="115" spans="1:13" x14ac:dyDescent="0.25">
      <c r="A115">
        <v>171884</v>
      </c>
      <c r="B115" t="str">
        <f>VLOOKUP(Tabela3[[#This Row],[IBGE]],procv!$A$2:$D$142,4,FALSE)</f>
        <v>Ilha do Bananal</v>
      </c>
      <c r="C115" t="s">
        <v>118</v>
      </c>
      <c r="D115">
        <v>319</v>
      </c>
      <c r="E115">
        <v>315</v>
      </c>
      <c r="F115">
        <v>310</v>
      </c>
      <c r="G115">
        <v>302</v>
      </c>
      <c r="H115">
        <v>293</v>
      </c>
      <c r="I115">
        <v>288</v>
      </c>
      <c r="J115">
        <v>281</v>
      </c>
      <c r="K115">
        <v>275</v>
      </c>
      <c r="L115">
        <v>276</v>
      </c>
      <c r="M115">
        <v>279</v>
      </c>
    </row>
    <row r="116" spans="1:13" x14ac:dyDescent="0.25">
      <c r="A116">
        <v>171886</v>
      </c>
      <c r="B116" t="str">
        <f>VLOOKUP(Tabela3[[#This Row],[IBGE]],procv!$A$2:$D$142,4,FALSE)</f>
        <v>Médio Norte Araguaia</v>
      </c>
      <c r="C116" t="s">
        <v>119</v>
      </c>
      <c r="D116">
        <v>661</v>
      </c>
      <c r="E116">
        <v>645</v>
      </c>
      <c r="F116">
        <v>638</v>
      </c>
      <c r="G116">
        <v>630</v>
      </c>
      <c r="H116">
        <v>627</v>
      </c>
      <c r="I116">
        <v>628</v>
      </c>
      <c r="J116">
        <v>628</v>
      </c>
      <c r="K116">
        <v>627</v>
      </c>
      <c r="L116">
        <v>632</v>
      </c>
      <c r="M116">
        <v>636</v>
      </c>
    </row>
    <row r="117" spans="1:13" x14ac:dyDescent="0.25">
      <c r="A117">
        <v>171888</v>
      </c>
      <c r="B117" t="str">
        <f>VLOOKUP(Tabela3[[#This Row],[IBGE]],procv!$A$2:$D$142,4,FALSE)</f>
        <v>Cerrado Tocantins Araguaia</v>
      </c>
      <c r="C117" t="s">
        <v>120</v>
      </c>
      <c r="D117">
        <v>273</v>
      </c>
      <c r="E117">
        <v>268</v>
      </c>
      <c r="F117">
        <v>257</v>
      </c>
      <c r="G117">
        <v>248</v>
      </c>
      <c r="H117">
        <v>238</v>
      </c>
      <c r="I117">
        <v>231</v>
      </c>
      <c r="J117">
        <v>225</v>
      </c>
      <c r="K117">
        <v>220</v>
      </c>
      <c r="L117">
        <v>215</v>
      </c>
      <c r="M117">
        <v>216</v>
      </c>
    </row>
    <row r="118" spans="1:13" x14ac:dyDescent="0.25">
      <c r="A118">
        <v>171889</v>
      </c>
      <c r="B118" t="str">
        <f>VLOOKUP(Tabela3[[#This Row],[IBGE]],procv!$A$2:$D$142,4,FALSE)</f>
        <v>Ilha do Bananal</v>
      </c>
      <c r="C118" t="s">
        <v>121</v>
      </c>
      <c r="D118">
        <v>190</v>
      </c>
      <c r="E118">
        <v>183</v>
      </c>
      <c r="F118">
        <v>178</v>
      </c>
      <c r="G118">
        <v>175</v>
      </c>
      <c r="H118">
        <v>173</v>
      </c>
      <c r="I118">
        <v>173</v>
      </c>
      <c r="J118">
        <v>171</v>
      </c>
      <c r="K118">
        <v>171</v>
      </c>
      <c r="L118">
        <v>170</v>
      </c>
      <c r="M118">
        <v>172</v>
      </c>
    </row>
    <row r="119" spans="1:13" x14ac:dyDescent="0.25">
      <c r="A119">
        <v>171890</v>
      </c>
      <c r="B119" t="str">
        <f>VLOOKUP(Tabela3[[#This Row],[IBGE]],procv!$A$2:$D$142,4,FALSE)</f>
        <v>Amor Perfeito</v>
      </c>
      <c r="C119" t="s">
        <v>122</v>
      </c>
      <c r="D119">
        <v>461</v>
      </c>
      <c r="E119">
        <v>445</v>
      </c>
      <c r="F119">
        <v>435</v>
      </c>
      <c r="G119">
        <v>424</v>
      </c>
      <c r="H119">
        <v>417</v>
      </c>
      <c r="I119">
        <v>413</v>
      </c>
      <c r="J119">
        <v>406</v>
      </c>
      <c r="K119">
        <v>401</v>
      </c>
      <c r="L119">
        <v>402</v>
      </c>
      <c r="M119">
        <v>401</v>
      </c>
    </row>
    <row r="120" spans="1:13" x14ac:dyDescent="0.25">
      <c r="A120">
        <v>171900</v>
      </c>
      <c r="B120" t="str">
        <f>VLOOKUP(Tabela3[[#This Row],[IBGE]],procv!$A$2:$D$142,4,FALSE)</f>
        <v>Capim Dourado</v>
      </c>
      <c r="C120" t="s">
        <v>123</v>
      </c>
      <c r="D120">
        <v>262</v>
      </c>
      <c r="E120">
        <v>264</v>
      </c>
      <c r="F120">
        <v>268</v>
      </c>
      <c r="G120">
        <v>268</v>
      </c>
      <c r="H120">
        <v>269</v>
      </c>
      <c r="I120">
        <v>269</v>
      </c>
      <c r="J120">
        <v>268</v>
      </c>
      <c r="K120">
        <v>268</v>
      </c>
      <c r="L120">
        <v>271</v>
      </c>
      <c r="M120">
        <v>278</v>
      </c>
    </row>
    <row r="121" spans="1:13" x14ac:dyDescent="0.25">
      <c r="A121">
        <v>172000</v>
      </c>
      <c r="B121" t="str">
        <f>VLOOKUP(Tabela3[[#This Row],[IBGE]],procv!$A$2:$D$142,4,FALSE)</f>
        <v>Bico do Papagaio</v>
      </c>
      <c r="C121" t="s">
        <v>124</v>
      </c>
      <c r="D121">
        <v>223</v>
      </c>
      <c r="E121">
        <v>217</v>
      </c>
      <c r="F121">
        <v>214</v>
      </c>
      <c r="G121">
        <v>215</v>
      </c>
      <c r="H121">
        <v>215</v>
      </c>
      <c r="I121">
        <v>218</v>
      </c>
      <c r="J121">
        <v>218</v>
      </c>
      <c r="K121">
        <v>217</v>
      </c>
      <c r="L121">
        <v>205</v>
      </c>
      <c r="M121">
        <v>197</v>
      </c>
    </row>
    <row r="122" spans="1:13" x14ac:dyDescent="0.25">
      <c r="A122">
        <v>172010</v>
      </c>
      <c r="B122" t="str">
        <f>VLOOKUP(Tabela3[[#This Row],[IBGE]],procv!$A$2:$D$142,4,FALSE)</f>
        <v>Bico do Papagaio</v>
      </c>
      <c r="C122" t="s">
        <v>125</v>
      </c>
      <c r="D122">
        <v>527</v>
      </c>
      <c r="E122">
        <v>523</v>
      </c>
      <c r="F122">
        <v>522</v>
      </c>
      <c r="G122">
        <v>522</v>
      </c>
      <c r="H122">
        <v>521</v>
      </c>
      <c r="I122">
        <v>525</v>
      </c>
      <c r="J122">
        <v>526</v>
      </c>
      <c r="K122">
        <v>526</v>
      </c>
      <c r="L122">
        <v>528</v>
      </c>
      <c r="M122">
        <v>528</v>
      </c>
    </row>
    <row r="123" spans="1:13" x14ac:dyDescent="0.25">
      <c r="A123">
        <v>172015</v>
      </c>
      <c r="B123" t="str">
        <f>VLOOKUP(Tabela3[[#This Row],[IBGE]],procv!$A$2:$D$142,4,FALSE)</f>
        <v>Capim Dourado</v>
      </c>
      <c r="C123" t="s">
        <v>126</v>
      </c>
      <c r="D123">
        <v>180</v>
      </c>
      <c r="E123">
        <v>182</v>
      </c>
      <c r="F123">
        <v>181</v>
      </c>
      <c r="G123">
        <v>177</v>
      </c>
      <c r="H123">
        <v>172</v>
      </c>
      <c r="I123">
        <v>167</v>
      </c>
      <c r="J123">
        <v>162</v>
      </c>
      <c r="K123">
        <v>160</v>
      </c>
      <c r="L123">
        <v>160</v>
      </c>
      <c r="M123">
        <v>167</v>
      </c>
    </row>
    <row r="124" spans="1:13" x14ac:dyDescent="0.25">
      <c r="A124">
        <v>172020</v>
      </c>
      <c r="B124" t="str">
        <f>VLOOKUP(Tabela3[[#This Row],[IBGE]],procv!$A$2:$D$142,4,FALSE)</f>
        <v>Bico do Papagaio</v>
      </c>
      <c r="C124" t="s">
        <v>127</v>
      </c>
      <c r="D124">
        <v>1192</v>
      </c>
      <c r="E124">
        <v>1176</v>
      </c>
      <c r="F124">
        <v>1173</v>
      </c>
      <c r="G124">
        <v>1176</v>
      </c>
      <c r="H124">
        <v>1186</v>
      </c>
      <c r="I124">
        <v>1206</v>
      </c>
      <c r="J124">
        <v>1215</v>
      </c>
      <c r="K124">
        <v>1220</v>
      </c>
      <c r="L124">
        <v>1224</v>
      </c>
      <c r="M124">
        <v>1223</v>
      </c>
    </row>
    <row r="125" spans="1:13" x14ac:dyDescent="0.25">
      <c r="A125">
        <v>172025</v>
      </c>
      <c r="B125" t="str">
        <f>VLOOKUP(Tabela3[[#This Row],[IBGE]],procv!$A$2:$D$142,4,FALSE)</f>
        <v>Ilha do Bananal</v>
      </c>
      <c r="C125" t="s">
        <v>128</v>
      </c>
      <c r="D125">
        <v>241</v>
      </c>
      <c r="E125">
        <v>227</v>
      </c>
      <c r="F125">
        <v>221</v>
      </c>
      <c r="G125">
        <v>211</v>
      </c>
      <c r="H125">
        <v>204</v>
      </c>
      <c r="I125">
        <v>201</v>
      </c>
      <c r="J125">
        <v>197</v>
      </c>
      <c r="K125">
        <v>191</v>
      </c>
      <c r="L125">
        <v>187</v>
      </c>
      <c r="M125">
        <v>189</v>
      </c>
    </row>
    <row r="126" spans="1:13" x14ac:dyDescent="0.25">
      <c r="A126">
        <v>172030</v>
      </c>
      <c r="B126" t="str">
        <f>VLOOKUP(Tabela3[[#This Row],[IBGE]],procv!$A$2:$D$142,4,FALSE)</f>
        <v>Bico do Papagaio</v>
      </c>
      <c r="C126" t="s">
        <v>129</v>
      </c>
      <c r="D126">
        <v>446</v>
      </c>
      <c r="E126">
        <v>433</v>
      </c>
      <c r="F126">
        <v>420</v>
      </c>
      <c r="G126">
        <v>409</v>
      </c>
      <c r="H126">
        <v>397</v>
      </c>
      <c r="I126">
        <v>389</v>
      </c>
      <c r="J126">
        <v>380</v>
      </c>
      <c r="K126">
        <v>371</v>
      </c>
      <c r="L126">
        <v>363</v>
      </c>
      <c r="M126">
        <v>356</v>
      </c>
    </row>
    <row r="127" spans="1:13" x14ac:dyDescent="0.25">
      <c r="A127">
        <v>172049</v>
      </c>
      <c r="B127" t="str">
        <f>VLOOKUP(Tabela3[[#This Row],[IBGE]],procv!$A$2:$D$142,4,FALSE)</f>
        <v>Ilha do Bananal</v>
      </c>
      <c r="C127" t="s">
        <v>130</v>
      </c>
      <c r="D127">
        <v>386</v>
      </c>
      <c r="E127">
        <v>371</v>
      </c>
      <c r="F127">
        <v>367</v>
      </c>
      <c r="G127">
        <v>364</v>
      </c>
      <c r="H127">
        <v>366</v>
      </c>
      <c r="I127">
        <v>371</v>
      </c>
      <c r="J127">
        <v>370</v>
      </c>
      <c r="K127">
        <v>367</v>
      </c>
      <c r="L127">
        <v>358</v>
      </c>
      <c r="M127">
        <v>349</v>
      </c>
    </row>
    <row r="128" spans="1:13" x14ac:dyDescent="0.25">
      <c r="A128">
        <v>172065</v>
      </c>
      <c r="B128" t="str">
        <f>VLOOKUP(Tabela3[[#This Row],[IBGE]],procv!$A$2:$D$142,4,FALSE)</f>
        <v>Amor Perfeito</v>
      </c>
      <c r="C128" t="s">
        <v>131</v>
      </c>
      <c r="D128">
        <v>460</v>
      </c>
      <c r="E128">
        <v>458</v>
      </c>
      <c r="F128">
        <v>453</v>
      </c>
      <c r="G128">
        <v>449</v>
      </c>
      <c r="H128">
        <v>446</v>
      </c>
      <c r="I128">
        <v>445</v>
      </c>
      <c r="J128">
        <v>439</v>
      </c>
      <c r="K128">
        <v>433</v>
      </c>
      <c r="L128">
        <v>428</v>
      </c>
      <c r="M128">
        <v>420</v>
      </c>
    </row>
    <row r="129" spans="1:13" x14ac:dyDescent="0.25">
      <c r="A129">
        <v>172080</v>
      </c>
      <c r="B129" t="str">
        <f>VLOOKUP(Tabela3[[#This Row],[IBGE]],procv!$A$2:$D$142,4,FALSE)</f>
        <v>Bico do Papagaio</v>
      </c>
      <c r="C129" t="s">
        <v>132</v>
      </c>
      <c r="D129">
        <v>931</v>
      </c>
      <c r="E129">
        <v>917</v>
      </c>
      <c r="F129">
        <v>916</v>
      </c>
      <c r="G129">
        <v>921</v>
      </c>
      <c r="H129">
        <v>933</v>
      </c>
      <c r="I129">
        <v>956</v>
      </c>
      <c r="J129">
        <v>968</v>
      </c>
      <c r="K129">
        <v>969</v>
      </c>
      <c r="L129">
        <v>962</v>
      </c>
      <c r="M129">
        <v>948</v>
      </c>
    </row>
    <row r="130" spans="1:13" x14ac:dyDescent="0.25">
      <c r="A130">
        <v>172085</v>
      </c>
      <c r="B130" t="str">
        <f>VLOOKUP(Tabela3[[#This Row],[IBGE]],procv!$A$2:$D$142,4,FALSE)</f>
        <v>Ilha do Bananal</v>
      </c>
      <c r="C130" t="s">
        <v>133</v>
      </c>
      <c r="D130">
        <v>143</v>
      </c>
      <c r="E130">
        <v>137</v>
      </c>
      <c r="F130">
        <v>133</v>
      </c>
      <c r="G130">
        <v>129</v>
      </c>
      <c r="H130">
        <v>126</v>
      </c>
      <c r="I130">
        <v>126</v>
      </c>
      <c r="J130">
        <v>126</v>
      </c>
      <c r="K130">
        <v>124</v>
      </c>
      <c r="L130">
        <v>117</v>
      </c>
      <c r="M130">
        <v>115</v>
      </c>
    </row>
    <row r="131" spans="1:13" x14ac:dyDescent="0.25">
      <c r="A131">
        <v>172090</v>
      </c>
      <c r="B131" t="str">
        <f>VLOOKUP(Tabela3[[#This Row],[IBGE]],procv!$A$2:$D$142,4,FALSE)</f>
        <v>Sudeste</v>
      </c>
      <c r="C131" t="s">
        <v>135</v>
      </c>
      <c r="D131">
        <v>1234</v>
      </c>
      <c r="E131">
        <v>1181</v>
      </c>
      <c r="F131">
        <v>1142</v>
      </c>
      <c r="G131">
        <v>1112</v>
      </c>
      <c r="H131">
        <v>1088</v>
      </c>
      <c r="I131">
        <v>1081</v>
      </c>
      <c r="J131">
        <v>1060</v>
      </c>
      <c r="K131">
        <v>1037</v>
      </c>
      <c r="L131">
        <v>1021</v>
      </c>
      <c r="M131">
        <v>999</v>
      </c>
    </row>
    <row r="132" spans="1:13" x14ac:dyDescent="0.25">
      <c r="A132">
        <v>172093</v>
      </c>
      <c r="B132" t="str">
        <f>VLOOKUP(Tabela3[[#This Row],[IBGE]],procv!$A$2:$D$142,4,FALSE)</f>
        <v>Sudeste</v>
      </c>
      <c r="C132" t="s">
        <v>136</v>
      </c>
      <c r="D132">
        <v>184</v>
      </c>
      <c r="E132">
        <v>178</v>
      </c>
      <c r="F132">
        <v>176</v>
      </c>
      <c r="G132">
        <v>172</v>
      </c>
      <c r="H132">
        <v>172</v>
      </c>
      <c r="I132">
        <v>173</v>
      </c>
      <c r="J132">
        <v>174</v>
      </c>
      <c r="K132">
        <v>175</v>
      </c>
      <c r="L132">
        <v>175</v>
      </c>
      <c r="M132">
        <v>177</v>
      </c>
    </row>
    <row r="133" spans="1:13" x14ac:dyDescent="0.25">
      <c r="A133">
        <v>172097</v>
      </c>
      <c r="B133" t="str">
        <f>VLOOKUP(Tabela3[[#This Row],[IBGE]],procv!$A$2:$D$142,4,FALSE)</f>
        <v>Ilha do Bananal</v>
      </c>
      <c r="C133" t="s">
        <v>137</v>
      </c>
      <c r="D133">
        <v>195</v>
      </c>
      <c r="E133">
        <v>185</v>
      </c>
      <c r="F133">
        <v>179</v>
      </c>
      <c r="G133">
        <v>178</v>
      </c>
      <c r="H133">
        <v>180</v>
      </c>
      <c r="I133">
        <v>183</v>
      </c>
      <c r="J133">
        <v>183</v>
      </c>
      <c r="K133">
        <v>185</v>
      </c>
      <c r="L133">
        <v>181</v>
      </c>
      <c r="M133">
        <v>181</v>
      </c>
    </row>
    <row r="134" spans="1:13" x14ac:dyDescent="0.25">
      <c r="A134">
        <v>172100</v>
      </c>
      <c r="B134" t="str">
        <f>VLOOKUP(Tabela3[[#This Row],[IBGE]],procv!$A$2:$D$142,4,FALSE)</f>
        <v>Capim Dourado</v>
      </c>
      <c r="C134" t="s">
        <v>92</v>
      </c>
      <c r="D134">
        <v>22232</v>
      </c>
      <c r="E134">
        <v>22414</v>
      </c>
      <c r="F134">
        <v>22688</v>
      </c>
      <c r="G134">
        <v>22887</v>
      </c>
      <c r="H134">
        <v>23037</v>
      </c>
      <c r="I134">
        <v>23417</v>
      </c>
      <c r="J134">
        <v>23665</v>
      </c>
      <c r="K134">
        <v>23879</v>
      </c>
      <c r="L134">
        <v>24582</v>
      </c>
      <c r="M134">
        <v>24925</v>
      </c>
    </row>
    <row r="135" spans="1:13" x14ac:dyDescent="0.25">
      <c r="A135">
        <v>172110</v>
      </c>
      <c r="B135" t="str">
        <f>VLOOKUP(Tabela3[[#This Row],[IBGE]],procv!$A$2:$D$142,4,FALSE)</f>
        <v>Capim Dourado</v>
      </c>
      <c r="C135" t="s">
        <v>138</v>
      </c>
      <c r="D135">
        <v>865</v>
      </c>
      <c r="E135">
        <v>859</v>
      </c>
      <c r="F135">
        <v>863</v>
      </c>
      <c r="G135">
        <v>866</v>
      </c>
      <c r="H135">
        <v>876</v>
      </c>
      <c r="I135">
        <v>893</v>
      </c>
      <c r="J135">
        <v>901</v>
      </c>
      <c r="K135">
        <v>902</v>
      </c>
      <c r="L135">
        <v>908</v>
      </c>
      <c r="M135">
        <v>903</v>
      </c>
    </row>
    <row r="136" spans="1:13" x14ac:dyDescent="0.25">
      <c r="A136">
        <v>172120</v>
      </c>
      <c r="B136" t="str">
        <f>VLOOKUP(Tabela3[[#This Row],[IBGE]],procv!$A$2:$D$142,4,FALSE)</f>
        <v>Bico do Papagaio</v>
      </c>
      <c r="C136" t="s">
        <v>139</v>
      </c>
      <c r="D136">
        <v>2156</v>
      </c>
      <c r="E136">
        <v>2117</v>
      </c>
      <c r="F136">
        <v>2093</v>
      </c>
      <c r="G136">
        <v>2072</v>
      </c>
      <c r="H136">
        <v>2055</v>
      </c>
      <c r="I136">
        <v>2057</v>
      </c>
      <c r="J136">
        <v>2042</v>
      </c>
      <c r="K136">
        <v>2015</v>
      </c>
      <c r="L136">
        <v>2000</v>
      </c>
      <c r="M136">
        <v>1971</v>
      </c>
    </row>
    <row r="137" spans="1:13" x14ac:dyDescent="0.25">
      <c r="A137">
        <v>172125</v>
      </c>
      <c r="B137" t="str">
        <f>VLOOKUP(Tabela3[[#This Row],[IBGE]],procv!$A$2:$D$142,4,FALSE)</f>
        <v>Cerrado Tocantins Araguaia</v>
      </c>
      <c r="C137" t="s">
        <v>140</v>
      </c>
      <c r="D137">
        <v>154</v>
      </c>
      <c r="E137">
        <v>153</v>
      </c>
      <c r="F137">
        <v>156</v>
      </c>
      <c r="G137">
        <v>156</v>
      </c>
      <c r="H137">
        <v>158</v>
      </c>
      <c r="I137">
        <v>160</v>
      </c>
      <c r="J137">
        <v>160</v>
      </c>
      <c r="K137">
        <v>160</v>
      </c>
      <c r="L137">
        <v>161</v>
      </c>
      <c r="M137">
        <v>163</v>
      </c>
    </row>
    <row r="138" spans="1:13" x14ac:dyDescent="0.25">
      <c r="A138">
        <v>172130</v>
      </c>
      <c r="B138" t="str">
        <f>VLOOKUP(Tabela3[[#This Row],[IBGE]],procv!$A$2:$D$142,4,FALSE)</f>
        <v>Cerrado Tocantins Araguaia</v>
      </c>
      <c r="C138" t="s">
        <v>141</v>
      </c>
      <c r="D138">
        <v>173</v>
      </c>
      <c r="E138">
        <v>165</v>
      </c>
      <c r="F138">
        <v>158</v>
      </c>
      <c r="G138">
        <v>152</v>
      </c>
      <c r="H138">
        <v>146</v>
      </c>
      <c r="I138">
        <v>142</v>
      </c>
      <c r="J138">
        <v>138</v>
      </c>
      <c r="K138">
        <v>132</v>
      </c>
      <c r="L138">
        <v>130</v>
      </c>
      <c r="M138">
        <v>128</v>
      </c>
    </row>
    <row r="139" spans="1:13" x14ac:dyDescent="0.25">
      <c r="A139">
        <v>172208</v>
      </c>
      <c r="B139" t="str">
        <f>VLOOKUP(Tabela3[[#This Row],[IBGE]],procv!$A$2:$D$142,4,FALSE)</f>
        <v>Médio Norte Araguaia</v>
      </c>
      <c r="C139" t="s">
        <v>142</v>
      </c>
      <c r="D139">
        <v>945</v>
      </c>
      <c r="E139">
        <v>913</v>
      </c>
      <c r="F139">
        <v>891</v>
      </c>
      <c r="G139">
        <v>878</v>
      </c>
      <c r="H139">
        <v>872</v>
      </c>
      <c r="I139">
        <v>875</v>
      </c>
      <c r="J139">
        <v>872</v>
      </c>
      <c r="K139">
        <v>868</v>
      </c>
      <c r="L139">
        <v>874</v>
      </c>
      <c r="M139">
        <v>871</v>
      </c>
    </row>
    <row r="140" spans="1:13" x14ac:dyDescent="0.25">
      <c r="A140">
        <v>172210</v>
      </c>
      <c r="B140" t="str">
        <f>VLOOKUP(Tabela3[[#This Row],[IBGE]],procv!$A$2:$D$142,4,FALSE)</f>
        <v>Médio Norte Araguaia</v>
      </c>
      <c r="C140" t="s">
        <v>143</v>
      </c>
      <c r="D140">
        <v>965</v>
      </c>
      <c r="E140">
        <v>940</v>
      </c>
      <c r="F140">
        <v>920</v>
      </c>
      <c r="G140">
        <v>899</v>
      </c>
      <c r="H140">
        <v>882</v>
      </c>
      <c r="I140">
        <v>870</v>
      </c>
      <c r="J140">
        <v>857</v>
      </c>
      <c r="K140">
        <v>840</v>
      </c>
      <c r="L140">
        <v>836</v>
      </c>
      <c r="M140">
        <v>828</v>
      </c>
    </row>
    <row r="141" spans="1:13" x14ac:dyDescent="0.25">
      <c r="A141">
        <v>17</v>
      </c>
      <c r="B141" t="s">
        <v>350</v>
      </c>
      <c r="C141" t="s">
        <v>349</v>
      </c>
      <c r="D141">
        <v>127622</v>
      </c>
      <c r="E141">
        <v>125451</v>
      </c>
      <c r="F141">
        <v>124254</v>
      </c>
      <c r="G141">
        <v>123204</v>
      </c>
      <c r="H141">
        <v>122582</v>
      </c>
      <c r="I141">
        <v>123117</v>
      </c>
      <c r="J141">
        <v>122883</v>
      </c>
      <c r="K141">
        <v>122418</v>
      </c>
      <c r="L141">
        <v>123155</v>
      </c>
      <c r="M141">
        <v>123370</v>
      </c>
    </row>
    <row r="142" spans="1:13" x14ac:dyDescent="0.25">
      <c r="D142" s="8"/>
    </row>
    <row r="143" spans="1:13" x14ac:dyDescent="0.25">
      <c r="D143" s="8"/>
    </row>
    <row r="144" spans="1:13" x14ac:dyDescent="0.25">
      <c r="D144" s="8"/>
    </row>
    <row r="145" spans="4:4" x14ac:dyDescent="0.25">
      <c r="D145" s="8"/>
    </row>
    <row r="146" spans="4:4" x14ac:dyDescent="0.25">
      <c r="D146" s="8"/>
    </row>
    <row r="147" spans="4:4" x14ac:dyDescent="0.25">
      <c r="D147" s="8"/>
    </row>
    <row r="148" spans="4:4" x14ac:dyDescent="0.25">
      <c r="D148" s="8"/>
    </row>
    <row r="149" spans="4:4" x14ac:dyDescent="0.25">
      <c r="D149" s="8"/>
    </row>
    <row r="150" spans="4:4" x14ac:dyDescent="0.25">
      <c r="D150" s="8"/>
    </row>
    <row r="151" spans="4:4" x14ac:dyDescent="0.25">
      <c r="D151" s="8"/>
    </row>
    <row r="152" spans="4:4" x14ac:dyDescent="0.25">
      <c r="D152" s="8"/>
    </row>
    <row r="153" spans="4:4" x14ac:dyDescent="0.25">
      <c r="D153" s="8"/>
    </row>
    <row r="154" spans="4:4" x14ac:dyDescent="0.25">
      <c r="D154" s="8"/>
    </row>
    <row r="155" spans="4:4" x14ac:dyDescent="0.25">
      <c r="D155" s="8"/>
    </row>
    <row r="156" spans="4:4" x14ac:dyDescent="0.25">
      <c r="D156" s="8"/>
    </row>
    <row r="157" spans="4:4" x14ac:dyDescent="0.25">
      <c r="D157" s="8"/>
    </row>
    <row r="158" spans="4:4" x14ac:dyDescent="0.25">
      <c r="D158" s="8"/>
    </row>
    <row r="159" spans="4:4" x14ac:dyDescent="0.25">
      <c r="D159" s="8"/>
    </row>
    <row r="160" spans="4:4" x14ac:dyDescent="0.25">
      <c r="D160" s="8"/>
    </row>
    <row r="161" spans="4:4" x14ac:dyDescent="0.25">
      <c r="D161" s="8"/>
    </row>
    <row r="162" spans="4:4" x14ac:dyDescent="0.25">
      <c r="D162" s="8"/>
    </row>
    <row r="163" spans="4:4" x14ac:dyDescent="0.25">
      <c r="D163" s="8"/>
    </row>
    <row r="164" spans="4:4" x14ac:dyDescent="0.25">
      <c r="D164" s="8"/>
    </row>
    <row r="165" spans="4:4" x14ac:dyDescent="0.25">
      <c r="D165" s="8"/>
    </row>
    <row r="166" spans="4:4" x14ac:dyDescent="0.25">
      <c r="D166" s="8"/>
    </row>
    <row r="167" spans="4:4" x14ac:dyDescent="0.25">
      <c r="D167" s="8"/>
    </row>
    <row r="168" spans="4:4" x14ac:dyDescent="0.25">
      <c r="D168" s="8"/>
    </row>
    <row r="169" spans="4:4" x14ac:dyDescent="0.25">
      <c r="D169" s="8"/>
    </row>
    <row r="170" spans="4:4" x14ac:dyDescent="0.25">
      <c r="D170" s="8"/>
    </row>
    <row r="171" spans="4:4" x14ac:dyDescent="0.25">
      <c r="D171" s="8"/>
    </row>
    <row r="172" spans="4:4" x14ac:dyDescent="0.25">
      <c r="D172" s="8"/>
    </row>
    <row r="173" spans="4:4" x14ac:dyDescent="0.25">
      <c r="D173" s="8"/>
    </row>
    <row r="174" spans="4:4" x14ac:dyDescent="0.25">
      <c r="D174" s="8"/>
    </row>
    <row r="175" spans="4:4" x14ac:dyDescent="0.25">
      <c r="D175" s="8"/>
    </row>
    <row r="176" spans="4:4" x14ac:dyDescent="0.25">
      <c r="D176" s="8"/>
    </row>
    <row r="177" spans="4:4" x14ac:dyDescent="0.25">
      <c r="D177" s="8"/>
    </row>
    <row r="178" spans="4:4" x14ac:dyDescent="0.25">
      <c r="D178" s="8"/>
    </row>
    <row r="179" spans="4:4" x14ac:dyDescent="0.25">
      <c r="D179" s="8"/>
    </row>
    <row r="180" spans="4:4" x14ac:dyDescent="0.25">
      <c r="D180" s="8"/>
    </row>
    <row r="181" spans="4:4" x14ac:dyDescent="0.25">
      <c r="D181" s="8"/>
    </row>
    <row r="182" spans="4:4" x14ac:dyDescent="0.25">
      <c r="D182" s="8"/>
    </row>
    <row r="183" spans="4:4" x14ac:dyDescent="0.25">
      <c r="D183" s="8"/>
    </row>
    <row r="184" spans="4:4" x14ac:dyDescent="0.25">
      <c r="D184" s="8"/>
    </row>
    <row r="185" spans="4:4" x14ac:dyDescent="0.25">
      <c r="D185" s="8"/>
    </row>
    <row r="186" spans="4:4" x14ac:dyDescent="0.25">
      <c r="D186" s="8"/>
    </row>
    <row r="187" spans="4:4" x14ac:dyDescent="0.25">
      <c r="D187" s="8"/>
    </row>
    <row r="188" spans="4:4" x14ac:dyDescent="0.25">
      <c r="D188" s="8"/>
    </row>
    <row r="189" spans="4:4" x14ac:dyDescent="0.25">
      <c r="D189" s="8"/>
    </row>
    <row r="190" spans="4:4" x14ac:dyDescent="0.25">
      <c r="D190" s="8"/>
    </row>
    <row r="191" spans="4:4" x14ac:dyDescent="0.25">
      <c r="D191" s="8"/>
    </row>
    <row r="192" spans="4:4" x14ac:dyDescent="0.25">
      <c r="D192" s="8"/>
    </row>
    <row r="193" spans="4:4" x14ac:dyDescent="0.25">
      <c r="D193" s="8"/>
    </row>
    <row r="194" spans="4:4" x14ac:dyDescent="0.25">
      <c r="D194" s="8"/>
    </row>
    <row r="195" spans="4:4" x14ac:dyDescent="0.25">
      <c r="D195" s="8"/>
    </row>
    <row r="196" spans="4:4" x14ac:dyDescent="0.25">
      <c r="D196" s="8"/>
    </row>
    <row r="197" spans="4:4" x14ac:dyDescent="0.25">
      <c r="D197" s="8"/>
    </row>
    <row r="198" spans="4:4" x14ac:dyDescent="0.25">
      <c r="D198" s="8"/>
    </row>
    <row r="199" spans="4:4" x14ac:dyDescent="0.25">
      <c r="D199" s="8"/>
    </row>
    <row r="200" spans="4:4" x14ac:dyDescent="0.25">
      <c r="D200" s="8"/>
    </row>
    <row r="201" spans="4:4" x14ac:dyDescent="0.25">
      <c r="D201" s="8"/>
    </row>
    <row r="202" spans="4:4" x14ac:dyDescent="0.25">
      <c r="D202" s="8"/>
    </row>
    <row r="203" spans="4:4" x14ac:dyDescent="0.25">
      <c r="D203" s="8"/>
    </row>
    <row r="204" spans="4:4" x14ac:dyDescent="0.25">
      <c r="D204" s="8"/>
    </row>
    <row r="205" spans="4:4" x14ac:dyDescent="0.25">
      <c r="D205" s="8"/>
    </row>
    <row r="206" spans="4:4" x14ac:dyDescent="0.25">
      <c r="D206" s="8"/>
    </row>
    <row r="207" spans="4:4" x14ac:dyDescent="0.25">
      <c r="D207" s="8"/>
    </row>
    <row r="208" spans="4:4" x14ac:dyDescent="0.25">
      <c r="D208" s="8"/>
    </row>
    <row r="209" spans="4:4" x14ac:dyDescent="0.25">
      <c r="D209" s="8"/>
    </row>
    <row r="210" spans="4:4" x14ac:dyDescent="0.25">
      <c r="D210" s="8"/>
    </row>
    <row r="211" spans="4:4" x14ac:dyDescent="0.25">
      <c r="D211" s="8"/>
    </row>
    <row r="212" spans="4:4" x14ac:dyDescent="0.25">
      <c r="D212" s="8"/>
    </row>
    <row r="213" spans="4:4" x14ac:dyDescent="0.25">
      <c r="D213" s="8"/>
    </row>
    <row r="214" spans="4:4" x14ac:dyDescent="0.25">
      <c r="D214" s="8"/>
    </row>
    <row r="215" spans="4:4" x14ac:dyDescent="0.25">
      <c r="D215" s="8"/>
    </row>
    <row r="216" spans="4:4" x14ac:dyDescent="0.25">
      <c r="D216" s="8"/>
    </row>
    <row r="217" spans="4:4" x14ac:dyDescent="0.25">
      <c r="D217" s="8"/>
    </row>
    <row r="218" spans="4:4" x14ac:dyDescent="0.25">
      <c r="D218" s="8"/>
    </row>
    <row r="219" spans="4:4" x14ac:dyDescent="0.25">
      <c r="D219" s="8"/>
    </row>
    <row r="220" spans="4:4" x14ac:dyDescent="0.25">
      <c r="D220" s="8"/>
    </row>
    <row r="221" spans="4:4" x14ac:dyDescent="0.25">
      <c r="D221" s="8"/>
    </row>
    <row r="222" spans="4:4" x14ac:dyDescent="0.25">
      <c r="D222" s="8"/>
    </row>
    <row r="223" spans="4:4" x14ac:dyDescent="0.25">
      <c r="D223" s="8"/>
    </row>
    <row r="224" spans="4:4" x14ac:dyDescent="0.25">
      <c r="D224" s="8"/>
    </row>
    <row r="225" spans="4:4" x14ac:dyDescent="0.25">
      <c r="D225" s="8"/>
    </row>
    <row r="226" spans="4:4" x14ac:dyDescent="0.25">
      <c r="D226" s="8"/>
    </row>
    <row r="227" spans="4:4" x14ac:dyDescent="0.25">
      <c r="D227" s="8"/>
    </row>
    <row r="228" spans="4:4" x14ac:dyDescent="0.25">
      <c r="D228" s="8"/>
    </row>
    <row r="229" spans="4:4" x14ac:dyDescent="0.25">
      <c r="D229" s="8"/>
    </row>
    <row r="230" spans="4:4" x14ac:dyDescent="0.25">
      <c r="D230" s="8"/>
    </row>
    <row r="231" spans="4:4" x14ac:dyDescent="0.25">
      <c r="D231" s="8"/>
    </row>
    <row r="232" spans="4:4" x14ac:dyDescent="0.25">
      <c r="D232" s="8"/>
    </row>
    <row r="233" spans="4:4" x14ac:dyDescent="0.25">
      <c r="D233" s="8"/>
    </row>
    <row r="234" spans="4:4" x14ac:dyDescent="0.25">
      <c r="D234" s="8"/>
    </row>
    <row r="235" spans="4:4" x14ac:dyDescent="0.25">
      <c r="D235" s="8"/>
    </row>
    <row r="236" spans="4:4" x14ac:dyDescent="0.25">
      <c r="D236" s="8"/>
    </row>
    <row r="237" spans="4:4" x14ac:dyDescent="0.25">
      <c r="D237" s="8"/>
    </row>
    <row r="238" spans="4:4" x14ac:dyDescent="0.25">
      <c r="D238" s="8"/>
    </row>
    <row r="239" spans="4:4" x14ac:dyDescent="0.25">
      <c r="D239" s="8"/>
    </row>
    <row r="240" spans="4:4" x14ac:dyDescent="0.25">
      <c r="D240" s="8"/>
    </row>
    <row r="241" spans="4:4" x14ac:dyDescent="0.25">
      <c r="D241" s="8"/>
    </row>
    <row r="242" spans="4:4" x14ac:dyDescent="0.25">
      <c r="D242" s="8"/>
    </row>
    <row r="243" spans="4:4" x14ac:dyDescent="0.25">
      <c r="D243" s="8"/>
    </row>
    <row r="244" spans="4:4" x14ac:dyDescent="0.25">
      <c r="D244" s="8"/>
    </row>
    <row r="245" spans="4:4" x14ac:dyDescent="0.25">
      <c r="D245" s="8"/>
    </row>
    <row r="246" spans="4:4" x14ac:dyDescent="0.25">
      <c r="D246" s="8"/>
    </row>
    <row r="247" spans="4:4" x14ac:dyDescent="0.25">
      <c r="D247" s="8"/>
    </row>
    <row r="248" spans="4:4" x14ac:dyDescent="0.25">
      <c r="D248" s="8"/>
    </row>
    <row r="249" spans="4:4" x14ac:dyDescent="0.25">
      <c r="D249" s="8"/>
    </row>
    <row r="250" spans="4:4" x14ac:dyDescent="0.25">
      <c r="D250" s="8"/>
    </row>
    <row r="251" spans="4:4" x14ac:dyDescent="0.25">
      <c r="D251" s="8"/>
    </row>
    <row r="252" spans="4:4" x14ac:dyDescent="0.25">
      <c r="D252" s="8"/>
    </row>
    <row r="253" spans="4:4" x14ac:dyDescent="0.25">
      <c r="D253" s="8"/>
    </row>
    <row r="254" spans="4:4" x14ac:dyDescent="0.25">
      <c r="D254" s="8"/>
    </row>
    <row r="255" spans="4:4" x14ac:dyDescent="0.25">
      <c r="D255" s="8"/>
    </row>
    <row r="256" spans="4:4" x14ac:dyDescent="0.25">
      <c r="D256" s="8"/>
    </row>
    <row r="257" spans="4:4" x14ac:dyDescent="0.25">
      <c r="D257" s="8"/>
    </row>
    <row r="258" spans="4:4" x14ac:dyDescent="0.25">
      <c r="D258" s="8"/>
    </row>
    <row r="259" spans="4:4" x14ac:dyDescent="0.25">
      <c r="D259" s="8"/>
    </row>
    <row r="260" spans="4:4" x14ac:dyDescent="0.25">
      <c r="D260" s="8"/>
    </row>
    <row r="261" spans="4:4" x14ac:dyDescent="0.25">
      <c r="D261" s="8"/>
    </row>
    <row r="262" spans="4:4" x14ac:dyDescent="0.25">
      <c r="D262" s="8"/>
    </row>
    <row r="263" spans="4:4" x14ac:dyDescent="0.25">
      <c r="D263" s="8"/>
    </row>
    <row r="264" spans="4:4" x14ac:dyDescent="0.25">
      <c r="D264" s="8"/>
    </row>
    <row r="265" spans="4:4" x14ac:dyDescent="0.25">
      <c r="D265" s="8"/>
    </row>
    <row r="266" spans="4:4" x14ac:dyDescent="0.25">
      <c r="D266" s="8"/>
    </row>
    <row r="267" spans="4:4" x14ac:dyDescent="0.25">
      <c r="D267" s="8"/>
    </row>
    <row r="268" spans="4:4" x14ac:dyDescent="0.25">
      <c r="D268" s="8"/>
    </row>
    <row r="269" spans="4:4" x14ac:dyDescent="0.25">
      <c r="D269" s="8"/>
    </row>
    <row r="270" spans="4:4" x14ac:dyDescent="0.25">
      <c r="D270" s="8"/>
    </row>
    <row r="271" spans="4:4" x14ac:dyDescent="0.25">
      <c r="D271" s="8"/>
    </row>
    <row r="272" spans="4:4" x14ac:dyDescent="0.25">
      <c r="D272" s="8"/>
    </row>
    <row r="273" spans="4:4" x14ac:dyDescent="0.25">
      <c r="D273" s="8"/>
    </row>
    <row r="274" spans="4:4" x14ac:dyDescent="0.25">
      <c r="D274" s="8"/>
    </row>
    <row r="275" spans="4:4" x14ac:dyDescent="0.25">
      <c r="D275" s="8"/>
    </row>
    <row r="276" spans="4:4" x14ac:dyDescent="0.25">
      <c r="D276" s="8"/>
    </row>
    <row r="277" spans="4:4" x14ac:dyDescent="0.25">
      <c r="D277" s="8"/>
    </row>
    <row r="278" spans="4:4" x14ac:dyDescent="0.25">
      <c r="D278" s="8"/>
    </row>
    <row r="279" spans="4:4" x14ac:dyDescent="0.25">
      <c r="D279" s="8"/>
    </row>
    <row r="280" spans="4:4" x14ac:dyDescent="0.25">
      <c r="D280" s="8"/>
    </row>
    <row r="281" spans="4:4" x14ac:dyDescent="0.25">
      <c r="D281" s="8"/>
    </row>
    <row r="282" spans="4:4" x14ac:dyDescent="0.25">
      <c r="D282" s="8"/>
    </row>
    <row r="283" spans="4:4" x14ac:dyDescent="0.25">
      <c r="D283" s="8"/>
    </row>
    <row r="284" spans="4:4" x14ac:dyDescent="0.25">
      <c r="D284" s="8"/>
    </row>
    <row r="285" spans="4:4" x14ac:dyDescent="0.25">
      <c r="D285" s="8"/>
    </row>
    <row r="286" spans="4:4" x14ac:dyDescent="0.25">
      <c r="D286" s="8"/>
    </row>
    <row r="287" spans="4:4" x14ac:dyDescent="0.25">
      <c r="D287" s="8"/>
    </row>
    <row r="288" spans="4:4" x14ac:dyDescent="0.25">
      <c r="D288" s="8"/>
    </row>
    <row r="289" spans="4:4" x14ac:dyDescent="0.25">
      <c r="D289" s="8"/>
    </row>
    <row r="290" spans="4:4" x14ac:dyDescent="0.25">
      <c r="D290" s="8"/>
    </row>
    <row r="291" spans="4:4" x14ac:dyDescent="0.25">
      <c r="D291" s="8"/>
    </row>
    <row r="292" spans="4:4" x14ac:dyDescent="0.25">
      <c r="D292" s="8"/>
    </row>
    <row r="293" spans="4:4" x14ac:dyDescent="0.25">
      <c r="D293" s="8"/>
    </row>
    <row r="294" spans="4:4" x14ac:dyDescent="0.25">
      <c r="D294" s="8"/>
    </row>
    <row r="295" spans="4:4" x14ac:dyDescent="0.25">
      <c r="D295" s="8"/>
    </row>
    <row r="296" spans="4:4" x14ac:dyDescent="0.25">
      <c r="D296" s="8"/>
    </row>
    <row r="297" spans="4:4" x14ac:dyDescent="0.25">
      <c r="D297" s="8"/>
    </row>
    <row r="298" spans="4:4" x14ac:dyDescent="0.25">
      <c r="D298" s="8"/>
    </row>
    <row r="299" spans="4:4" x14ac:dyDescent="0.25">
      <c r="D299" s="8"/>
    </row>
    <row r="300" spans="4:4" x14ac:dyDescent="0.25">
      <c r="D300" s="8"/>
    </row>
    <row r="301" spans="4:4" x14ac:dyDescent="0.25">
      <c r="D301" s="8"/>
    </row>
    <row r="302" spans="4:4" x14ac:dyDescent="0.25">
      <c r="D302" s="8"/>
    </row>
    <row r="303" spans="4:4" x14ac:dyDescent="0.25">
      <c r="D303" s="8"/>
    </row>
    <row r="304" spans="4:4" x14ac:dyDescent="0.25">
      <c r="D304" s="8"/>
    </row>
    <row r="305" spans="4:4" x14ac:dyDescent="0.25">
      <c r="D305" s="8"/>
    </row>
    <row r="306" spans="4:4" x14ac:dyDescent="0.25">
      <c r="D306" s="8"/>
    </row>
    <row r="307" spans="4:4" x14ac:dyDescent="0.25">
      <c r="D307" s="8"/>
    </row>
    <row r="308" spans="4:4" x14ac:dyDescent="0.25">
      <c r="D308" s="8"/>
    </row>
    <row r="309" spans="4:4" x14ac:dyDescent="0.25">
      <c r="D309" s="8"/>
    </row>
    <row r="310" spans="4:4" x14ac:dyDescent="0.25">
      <c r="D310" s="8"/>
    </row>
    <row r="311" spans="4:4" x14ac:dyDescent="0.25">
      <c r="D311" s="8"/>
    </row>
    <row r="312" spans="4:4" x14ac:dyDescent="0.25">
      <c r="D312" s="8"/>
    </row>
    <row r="313" spans="4:4" x14ac:dyDescent="0.25">
      <c r="D313" s="8"/>
    </row>
    <row r="314" spans="4:4" x14ac:dyDescent="0.25">
      <c r="D314" s="8"/>
    </row>
    <row r="315" spans="4:4" x14ac:dyDescent="0.25">
      <c r="D315" s="8"/>
    </row>
    <row r="316" spans="4:4" x14ac:dyDescent="0.25">
      <c r="D316" s="8"/>
    </row>
    <row r="317" spans="4:4" x14ac:dyDescent="0.25">
      <c r="D317" s="8"/>
    </row>
    <row r="318" spans="4:4" x14ac:dyDescent="0.25">
      <c r="D318" s="8"/>
    </row>
    <row r="319" spans="4:4" x14ac:dyDescent="0.25">
      <c r="D319" s="8"/>
    </row>
    <row r="320" spans="4:4" x14ac:dyDescent="0.25">
      <c r="D320" s="8"/>
    </row>
    <row r="321" spans="4:4" x14ac:dyDescent="0.25">
      <c r="D321" s="8"/>
    </row>
    <row r="322" spans="4:4" x14ac:dyDescent="0.25">
      <c r="D322" s="8"/>
    </row>
    <row r="323" spans="4:4" x14ac:dyDescent="0.25">
      <c r="D323" s="8"/>
    </row>
    <row r="324" spans="4:4" x14ac:dyDescent="0.25">
      <c r="D324" s="8"/>
    </row>
    <row r="325" spans="4:4" x14ac:dyDescent="0.25">
      <c r="D325" s="8"/>
    </row>
    <row r="326" spans="4:4" x14ac:dyDescent="0.25">
      <c r="D326" s="8"/>
    </row>
    <row r="327" spans="4:4" x14ac:dyDescent="0.25">
      <c r="D327" s="8"/>
    </row>
    <row r="328" spans="4:4" x14ac:dyDescent="0.25">
      <c r="D328" s="8"/>
    </row>
    <row r="329" spans="4:4" x14ac:dyDescent="0.25">
      <c r="D329" s="8"/>
    </row>
    <row r="330" spans="4:4" x14ac:dyDescent="0.25">
      <c r="D330" s="8"/>
    </row>
    <row r="331" spans="4:4" x14ac:dyDescent="0.25">
      <c r="D331" s="8"/>
    </row>
    <row r="332" spans="4:4" x14ac:dyDescent="0.25">
      <c r="D332" s="8"/>
    </row>
    <row r="333" spans="4:4" x14ac:dyDescent="0.25">
      <c r="D333" s="8"/>
    </row>
    <row r="334" spans="4:4" x14ac:dyDescent="0.25">
      <c r="D334" s="8"/>
    </row>
    <row r="335" spans="4:4" x14ac:dyDescent="0.25">
      <c r="D335" s="8"/>
    </row>
    <row r="336" spans="4:4" x14ac:dyDescent="0.25">
      <c r="D336" s="8"/>
    </row>
    <row r="337" spans="4:4" x14ac:dyDescent="0.25">
      <c r="D337" s="8"/>
    </row>
    <row r="338" spans="4:4" x14ac:dyDescent="0.25">
      <c r="D338" s="8"/>
    </row>
    <row r="339" spans="4:4" x14ac:dyDescent="0.25">
      <c r="D339" s="8"/>
    </row>
    <row r="340" spans="4:4" x14ac:dyDescent="0.25">
      <c r="D340" s="8"/>
    </row>
    <row r="341" spans="4:4" x14ac:dyDescent="0.25">
      <c r="D341" s="8"/>
    </row>
    <row r="342" spans="4:4" x14ac:dyDescent="0.25">
      <c r="D342" s="8"/>
    </row>
    <row r="343" spans="4:4" x14ac:dyDescent="0.25">
      <c r="D343" s="8"/>
    </row>
    <row r="344" spans="4:4" x14ac:dyDescent="0.25">
      <c r="D344" s="8"/>
    </row>
    <row r="345" spans="4:4" x14ac:dyDescent="0.25">
      <c r="D345" s="8"/>
    </row>
    <row r="346" spans="4:4" x14ac:dyDescent="0.25">
      <c r="D346" s="8"/>
    </row>
    <row r="347" spans="4:4" x14ac:dyDescent="0.25">
      <c r="D347" s="8"/>
    </row>
    <row r="348" spans="4:4" x14ac:dyDescent="0.25">
      <c r="D348" s="8"/>
    </row>
    <row r="349" spans="4:4" x14ac:dyDescent="0.25">
      <c r="D349" s="8"/>
    </row>
    <row r="350" spans="4:4" x14ac:dyDescent="0.25">
      <c r="D350" s="8"/>
    </row>
    <row r="351" spans="4:4" x14ac:dyDescent="0.25">
      <c r="D351" s="8"/>
    </row>
    <row r="352" spans="4:4" x14ac:dyDescent="0.25">
      <c r="D352" s="8"/>
    </row>
    <row r="353" spans="4:4" x14ac:dyDescent="0.25">
      <c r="D353" s="8"/>
    </row>
    <row r="354" spans="4:4" x14ac:dyDescent="0.25">
      <c r="D354" s="8"/>
    </row>
    <row r="355" spans="4:4" x14ac:dyDescent="0.25">
      <c r="D355" s="8"/>
    </row>
    <row r="356" spans="4:4" x14ac:dyDescent="0.25">
      <c r="D356" s="8"/>
    </row>
    <row r="357" spans="4:4" x14ac:dyDescent="0.25">
      <c r="D357" s="8"/>
    </row>
    <row r="358" spans="4:4" x14ac:dyDescent="0.25">
      <c r="D358" s="8"/>
    </row>
    <row r="359" spans="4:4" x14ac:dyDescent="0.25">
      <c r="D359" s="8"/>
    </row>
    <row r="360" spans="4:4" x14ac:dyDescent="0.25">
      <c r="D360" s="8"/>
    </row>
    <row r="361" spans="4:4" x14ac:dyDescent="0.25">
      <c r="D361" s="8"/>
    </row>
    <row r="362" spans="4:4" x14ac:dyDescent="0.25">
      <c r="D362" s="8"/>
    </row>
    <row r="363" spans="4:4" x14ac:dyDescent="0.25">
      <c r="D363" s="8"/>
    </row>
    <row r="364" spans="4:4" x14ac:dyDescent="0.25">
      <c r="D364" s="8"/>
    </row>
    <row r="365" spans="4:4" x14ac:dyDescent="0.25">
      <c r="D365" s="8"/>
    </row>
    <row r="366" spans="4:4" x14ac:dyDescent="0.25">
      <c r="D366" s="8"/>
    </row>
    <row r="367" spans="4:4" x14ac:dyDescent="0.25">
      <c r="D367" s="8"/>
    </row>
    <row r="368" spans="4:4" x14ac:dyDescent="0.25">
      <c r="D368" s="8"/>
    </row>
    <row r="369" spans="4:4" x14ac:dyDescent="0.25">
      <c r="D369" s="8"/>
    </row>
    <row r="370" spans="4:4" x14ac:dyDescent="0.25">
      <c r="D370" s="8"/>
    </row>
    <row r="371" spans="4:4" x14ac:dyDescent="0.25">
      <c r="D371" s="8"/>
    </row>
    <row r="372" spans="4:4" x14ac:dyDescent="0.25">
      <c r="D372" s="8"/>
    </row>
    <row r="373" spans="4:4" x14ac:dyDescent="0.25">
      <c r="D373" s="8"/>
    </row>
    <row r="374" spans="4:4" x14ac:dyDescent="0.25">
      <c r="D374" s="8"/>
    </row>
    <row r="375" spans="4:4" x14ac:dyDescent="0.25">
      <c r="D375" s="8"/>
    </row>
    <row r="376" spans="4:4" x14ac:dyDescent="0.25">
      <c r="D376" s="8"/>
    </row>
    <row r="377" spans="4:4" x14ac:dyDescent="0.25">
      <c r="D377" s="8"/>
    </row>
    <row r="378" spans="4:4" x14ac:dyDescent="0.25">
      <c r="D378" s="8"/>
    </row>
    <row r="379" spans="4:4" x14ac:dyDescent="0.25">
      <c r="D379" s="8"/>
    </row>
    <row r="380" spans="4:4" x14ac:dyDescent="0.25">
      <c r="D380" s="8"/>
    </row>
    <row r="381" spans="4:4" x14ac:dyDescent="0.25">
      <c r="D381" s="8"/>
    </row>
    <row r="382" spans="4:4" x14ac:dyDescent="0.25">
      <c r="D382" s="8"/>
    </row>
    <row r="383" spans="4:4" x14ac:dyDescent="0.25">
      <c r="D383" s="8"/>
    </row>
    <row r="384" spans="4:4" x14ac:dyDescent="0.25">
      <c r="D384" s="8"/>
    </row>
    <row r="385" spans="4:4" x14ac:dyDescent="0.25">
      <c r="D385" s="8"/>
    </row>
    <row r="386" spans="4:4" x14ac:dyDescent="0.25">
      <c r="D386" s="8"/>
    </row>
    <row r="387" spans="4:4" x14ac:dyDescent="0.25">
      <c r="D387" s="8"/>
    </row>
    <row r="388" spans="4:4" x14ac:dyDescent="0.25">
      <c r="D388" s="8"/>
    </row>
    <row r="389" spans="4:4" x14ac:dyDescent="0.25">
      <c r="D389" s="8"/>
    </row>
    <row r="390" spans="4:4" x14ac:dyDescent="0.25">
      <c r="D390" s="8"/>
    </row>
    <row r="391" spans="4:4" x14ac:dyDescent="0.25">
      <c r="D391" s="8"/>
    </row>
    <row r="392" spans="4:4" x14ac:dyDescent="0.25">
      <c r="D392" s="8"/>
    </row>
    <row r="393" spans="4:4" x14ac:dyDescent="0.25">
      <c r="D393" s="8"/>
    </row>
    <row r="394" spans="4:4" x14ac:dyDescent="0.25">
      <c r="D394" s="8"/>
    </row>
    <row r="395" spans="4:4" x14ac:dyDescent="0.25">
      <c r="D395" s="8"/>
    </row>
    <row r="396" spans="4:4" x14ac:dyDescent="0.25">
      <c r="D396" s="8"/>
    </row>
    <row r="397" spans="4:4" x14ac:dyDescent="0.25">
      <c r="D397" s="8"/>
    </row>
    <row r="398" spans="4:4" x14ac:dyDescent="0.25">
      <c r="D398" s="8"/>
    </row>
    <row r="399" spans="4:4" x14ac:dyDescent="0.25">
      <c r="D399" s="8"/>
    </row>
    <row r="400" spans="4:4" x14ac:dyDescent="0.25">
      <c r="D400" s="8"/>
    </row>
    <row r="401" spans="4:4" x14ac:dyDescent="0.25">
      <c r="D401" s="8"/>
    </row>
    <row r="402" spans="4:4" x14ac:dyDescent="0.25">
      <c r="D402" s="8"/>
    </row>
    <row r="403" spans="4:4" x14ac:dyDescent="0.25">
      <c r="D403" s="8"/>
    </row>
    <row r="404" spans="4:4" x14ac:dyDescent="0.25">
      <c r="D404" s="8"/>
    </row>
    <row r="405" spans="4:4" x14ac:dyDescent="0.25">
      <c r="D405" s="8"/>
    </row>
    <row r="406" spans="4:4" x14ac:dyDescent="0.25">
      <c r="D406" s="8"/>
    </row>
    <row r="407" spans="4:4" x14ac:dyDescent="0.25">
      <c r="D407" s="8"/>
    </row>
    <row r="408" spans="4:4" x14ac:dyDescent="0.25">
      <c r="D408" s="8"/>
    </row>
    <row r="409" spans="4:4" x14ac:dyDescent="0.25">
      <c r="D409" s="8"/>
    </row>
    <row r="410" spans="4:4" x14ac:dyDescent="0.25">
      <c r="D410" s="8"/>
    </row>
    <row r="411" spans="4:4" x14ac:dyDescent="0.25">
      <c r="D411" s="8"/>
    </row>
    <row r="412" spans="4:4" x14ac:dyDescent="0.25">
      <c r="D412" s="8"/>
    </row>
    <row r="413" spans="4:4" x14ac:dyDescent="0.25">
      <c r="D413" s="8"/>
    </row>
    <row r="414" spans="4:4" x14ac:dyDescent="0.25">
      <c r="D414" s="8"/>
    </row>
    <row r="415" spans="4:4" x14ac:dyDescent="0.25">
      <c r="D415" s="8"/>
    </row>
    <row r="416" spans="4:4" x14ac:dyDescent="0.25">
      <c r="D416" s="8"/>
    </row>
    <row r="417" spans="4:4" x14ac:dyDescent="0.25">
      <c r="D417" s="8"/>
    </row>
    <row r="418" spans="4:4" x14ac:dyDescent="0.25">
      <c r="D418" s="8"/>
    </row>
    <row r="419" spans="4:4" x14ac:dyDescent="0.25">
      <c r="D419" s="8"/>
    </row>
    <row r="420" spans="4:4" x14ac:dyDescent="0.25">
      <c r="D420" s="8"/>
    </row>
    <row r="421" spans="4:4" x14ac:dyDescent="0.25">
      <c r="D421" s="8"/>
    </row>
    <row r="422" spans="4:4" x14ac:dyDescent="0.25">
      <c r="D422" s="8"/>
    </row>
    <row r="423" spans="4:4" x14ac:dyDescent="0.25">
      <c r="D423" s="8"/>
    </row>
    <row r="424" spans="4:4" x14ac:dyDescent="0.25">
      <c r="D424" s="8"/>
    </row>
    <row r="425" spans="4:4" x14ac:dyDescent="0.25">
      <c r="D425" s="8"/>
    </row>
    <row r="426" spans="4:4" x14ac:dyDescent="0.25">
      <c r="D426" s="8"/>
    </row>
    <row r="427" spans="4:4" x14ac:dyDescent="0.25">
      <c r="D427" s="8"/>
    </row>
    <row r="428" spans="4:4" x14ac:dyDescent="0.25">
      <c r="D428" s="8"/>
    </row>
    <row r="429" spans="4:4" x14ac:dyDescent="0.25">
      <c r="D429" s="8"/>
    </row>
    <row r="430" spans="4:4" x14ac:dyDescent="0.25">
      <c r="D430" s="8"/>
    </row>
    <row r="431" spans="4:4" x14ac:dyDescent="0.25">
      <c r="D431" s="8"/>
    </row>
    <row r="432" spans="4:4" x14ac:dyDescent="0.25">
      <c r="D432" s="8"/>
    </row>
    <row r="433" spans="4:4" x14ac:dyDescent="0.25">
      <c r="D433" s="8"/>
    </row>
    <row r="434" spans="4:4" x14ac:dyDescent="0.25">
      <c r="D434" s="8"/>
    </row>
    <row r="435" spans="4:4" x14ac:dyDescent="0.25">
      <c r="D435" s="8"/>
    </row>
    <row r="436" spans="4:4" x14ac:dyDescent="0.25">
      <c r="D436" s="8"/>
    </row>
    <row r="437" spans="4:4" x14ac:dyDescent="0.25">
      <c r="D437" s="8"/>
    </row>
    <row r="438" spans="4:4" x14ac:dyDescent="0.25">
      <c r="D438" s="8"/>
    </row>
    <row r="439" spans="4:4" x14ac:dyDescent="0.25">
      <c r="D439" s="8"/>
    </row>
    <row r="440" spans="4:4" x14ac:dyDescent="0.25">
      <c r="D440" s="8"/>
    </row>
    <row r="441" spans="4:4" x14ac:dyDescent="0.25">
      <c r="D441" s="8"/>
    </row>
    <row r="442" spans="4:4" x14ac:dyDescent="0.25">
      <c r="D442" s="8"/>
    </row>
    <row r="443" spans="4:4" x14ac:dyDescent="0.25">
      <c r="D443" s="8"/>
    </row>
    <row r="444" spans="4:4" x14ac:dyDescent="0.25">
      <c r="D444" s="8"/>
    </row>
    <row r="445" spans="4:4" x14ac:dyDescent="0.25">
      <c r="D445" s="8"/>
    </row>
    <row r="446" spans="4:4" x14ac:dyDescent="0.25">
      <c r="D446" s="8"/>
    </row>
    <row r="447" spans="4:4" x14ac:dyDescent="0.25">
      <c r="D447" s="8"/>
    </row>
    <row r="448" spans="4:4" x14ac:dyDescent="0.25">
      <c r="D448" s="8"/>
    </row>
    <row r="449" spans="4:4" x14ac:dyDescent="0.25">
      <c r="D449" s="8"/>
    </row>
    <row r="450" spans="4:4" x14ac:dyDescent="0.25">
      <c r="D450" s="8"/>
    </row>
    <row r="451" spans="4:4" x14ac:dyDescent="0.25">
      <c r="D451" s="8"/>
    </row>
    <row r="452" spans="4:4" x14ac:dyDescent="0.25">
      <c r="D452" s="8"/>
    </row>
    <row r="453" spans="4:4" x14ac:dyDescent="0.25">
      <c r="D453" s="8"/>
    </row>
    <row r="454" spans="4:4" x14ac:dyDescent="0.25">
      <c r="D454" s="8"/>
    </row>
    <row r="455" spans="4:4" x14ac:dyDescent="0.25">
      <c r="D455" s="8"/>
    </row>
    <row r="456" spans="4:4" x14ac:dyDescent="0.25">
      <c r="D456" s="8"/>
    </row>
    <row r="457" spans="4:4" x14ac:dyDescent="0.25">
      <c r="D457" s="8"/>
    </row>
    <row r="458" spans="4:4" x14ac:dyDescent="0.25">
      <c r="D458" s="8"/>
    </row>
    <row r="459" spans="4:4" x14ac:dyDescent="0.25">
      <c r="D459" s="8"/>
    </row>
    <row r="460" spans="4:4" x14ac:dyDescent="0.25">
      <c r="D460" s="8"/>
    </row>
    <row r="461" spans="4:4" x14ac:dyDescent="0.25">
      <c r="D461" s="8"/>
    </row>
    <row r="462" spans="4:4" x14ac:dyDescent="0.25">
      <c r="D462" s="8"/>
    </row>
    <row r="463" spans="4:4" x14ac:dyDescent="0.25">
      <c r="D463" s="8"/>
    </row>
    <row r="464" spans="4:4" x14ac:dyDescent="0.25">
      <c r="D464" s="8"/>
    </row>
    <row r="465" spans="4:4" x14ac:dyDescent="0.25">
      <c r="D465" s="8"/>
    </row>
    <row r="466" spans="4:4" x14ac:dyDescent="0.25">
      <c r="D466" s="8"/>
    </row>
    <row r="467" spans="4:4" x14ac:dyDescent="0.25">
      <c r="D467" s="8"/>
    </row>
    <row r="468" spans="4:4" x14ac:dyDescent="0.25">
      <c r="D468" s="8"/>
    </row>
    <row r="469" spans="4:4" x14ac:dyDescent="0.25">
      <c r="D469" s="8"/>
    </row>
    <row r="470" spans="4:4" x14ac:dyDescent="0.25">
      <c r="D470" s="8"/>
    </row>
    <row r="471" spans="4:4" x14ac:dyDescent="0.25">
      <c r="D471" s="8"/>
    </row>
    <row r="472" spans="4:4" x14ac:dyDescent="0.25">
      <c r="D472" s="8"/>
    </row>
    <row r="473" spans="4:4" x14ac:dyDescent="0.25">
      <c r="D473" s="8"/>
    </row>
    <row r="474" spans="4:4" x14ac:dyDescent="0.25">
      <c r="D474" s="8"/>
    </row>
    <row r="475" spans="4:4" x14ac:dyDescent="0.25">
      <c r="D475" s="8"/>
    </row>
    <row r="476" spans="4:4" x14ac:dyDescent="0.25">
      <c r="D476" s="8"/>
    </row>
    <row r="477" spans="4:4" x14ac:dyDescent="0.25">
      <c r="D477" s="8"/>
    </row>
    <row r="478" spans="4:4" x14ac:dyDescent="0.25">
      <c r="D478" s="8"/>
    </row>
    <row r="479" spans="4:4" x14ac:dyDescent="0.25">
      <c r="D479" s="8"/>
    </row>
    <row r="480" spans="4:4" x14ac:dyDescent="0.25">
      <c r="D480" s="8"/>
    </row>
    <row r="481" spans="4:4" x14ac:dyDescent="0.25">
      <c r="D481" s="8"/>
    </row>
    <row r="482" spans="4:4" x14ac:dyDescent="0.25">
      <c r="D482" s="8"/>
    </row>
    <row r="483" spans="4:4" x14ac:dyDescent="0.25">
      <c r="D483" s="8"/>
    </row>
    <row r="484" spans="4:4" x14ac:dyDescent="0.25">
      <c r="D484" s="8"/>
    </row>
    <row r="485" spans="4:4" x14ac:dyDescent="0.25">
      <c r="D485" s="8"/>
    </row>
    <row r="486" spans="4:4" x14ac:dyDescent="0.25">
      <c r="D486" s="8"/>
    </row>
    <row r="487" spans="4:4" x14ac:dyDescent="0.25">
      <c r="D487" s="8"/>
    </row>
    <row r="488" spans="4:4" x14ac:dyDescent="0.25">
      <c r="D488" s="8"/>
    </row>
    <row r="489" spans="4:4" x14ac:dyDescent="0.25">
      <c r="D489" s="8"/>
    </row>
    <row r="490" spans="4:4" x14ac:dyDescent="0.25">
      <c r="D490" s="8"/>
    </row>
    <row r="491" spans="4:4" x14ac:dyDescent="0.25">
      <c r="D491" s="8"/>
    </row>
    <row r="492" spans="4:4" x14ac:dyDescent="0.25">
      <c r="D492" s="8"/>
    </row>
    <row r="493" spans="4:4" x14ac:dyDescent="0.25">
      <c r="D493" s="8"/>
    </row>
    <row r="494" spans="4:4" x14ac:dyDescent="0.25">
      <c r="D494" s="8"/>
    </row>
    <row r="495" spans="4:4" x14ac:dyDescent="0.25">
      <c r="D495" s="8"/>
    </row>
    <row r="496" spans="4:4" x14ac:dyDescent="0.25">
      <c r="D496" s="8"/>
    </row>
    <row r="497" spans="4:4" x14ac:dyDescent="0.25">
      <c r="D497" s="8"/>
    </row>
    <row r="498" spans="4:4" x14ac:dyDescent="0.25">
      <c r="D498" s="8"/>
    </row>
    <row r="499" spans="4:4" x14ac:dyDescent="0.25">
      <c r="D499" s="8"/>
    </row>
    <row r="500" spans="4:4" x14ac:dyDescent="0.25">
      <c r="D500" s="8"/>
    </row>
    <row r="501" spans="4:4" x14ac:dyDescent="0.25">
      <c r="D501" s="8"/>
    </row>
    <row r="502" spans="4:4" x14ac:dyDescent="0.25">
      <c r="D502" s="8"/>
    </row>
    <row r="503" spans="4:4" x14ac:dyDescent="0.25">
      <c r="D503" s="8"/>
    </row>
    <row r="504" spans="4:4" x14ac:dyDescent="0.25">
      <c r="D504" s="8"/>
    </row>
    <row r="505" spans="4:4" x14ac:dyDescent="0.25">
      <c r="D505" s="8"/>
    </row>
    <row r="506" spans="4:4" x14ac:dyDescent="0.25">
      <c r="D506" s="8"/>
    </row>
    <row r="507" spans="4:4" x14ac:dyDescent="0.25">
      <c r="D507" s="8"/>
    </row>
    <row r="508" spans="4:4" x14ac:dyDescent="0.25">
      <c r="D508" s="8"/>
    </row>
    <row r="509" spans="4:4" x14ac:dyDescent="0.25">
      <c r="D509" s="8"/>
    </row>
    <row r="510" spans="4:4" x14ac:dyDescent="0.25">
      <c r="D510" s="8"/>
    </row>
    <row r="511" spans="4:4" x14ac:dyDescent="0.25">
      <c r="D511" s="8"/>
    </row>
    <row r="512" spans="4:4" x14ac:dyDescent="0.25">
      <c r="D512" s="8"/>
    </row>
    <row r="513" spans="4:4" x14ac:dyDescent="0.25">
      <c r="D513" s="8"/>
    </row>
    <row r="514" spans="4:4" x14ac:dyDescent="0.25">
      <c r="D514" s="8"/>
    </row>
    <row r="515" spans="4:4" x14ac:dyDescent="0.25">
      <c r="D515" s="8"/>
    </row>
    <row r="516" spans="4:4" x14ac:dyDescent="0.25">
      <c r="D516" s="8"/>
    </row>
    <row r="517" spans="4:4" x14ac:dyDescent="0.25">
      <c r="D517" s="8"/>
    </row>
    <row r="518" spans="4:4" x14ac:dyDescent="0.25">
      <c r="D518" s="8"/>
    </row>
    <row r="519" spans="4:4" x14ac:dyDescent="0.25">
      <c r="D519" s="8"/>
    </row>
    <row r="520" spans="4:4" x14ac:dyDescent="0.25">
      <c r="D520" s="8"/>
    </row>
    <row r="521" spans="4:4" x14ac:dyDescent="0.25">
      <c r="D521" s="8"/>
    </row>
    <row r="522" spans="4:4" x14ac:dyDescent="0.25">
      <c r="D522" s="8"/>
    </row>
    <row r="523" spans="4:4" x14ac:dyDescent="0.25">
      <c r="D523" s="8"/>
    </row>
    <row r="524" spans="4:4" x14ac:dyDescent="0.25">
      <c r="D524" s="8"/>
    </row>
    <row r="525" spans="4:4" x14ac:dyDescent="0.25">
      <c r="D525" s="8"/>
    </row>
    <row r="526" spans="4:4" x14ac:dyDescent="0.25">
      <c r="D526" s="8"/>
    </row>
    <row r="527" spans="4:4" x14ac:dyDescent="0.25">
      <c r="D527" s="8"/>
    </row>
    <row r="528" spans="4:4" x14ac:dyDescent="0.25">
      <c r="D528" s="8"/>
    </row>
    <row r="529" spans="4:4" x14ac:dyDescent="0.25">
      <c r="D529" s="8"/>
    </row>
    <row r="530" spans="4:4" x14ac:dyDescent="0.25">
      <c r="D530" s="8"/>
    </row>
    <row r="531" spans="4:4" x14ac:dyDescent="0.25">
      <c r="D531" s="8"/>
    </row>
    <row r="532" spans="4:4" x14ac:dyDescent="0.25">
      <c r="D532" s="8"/>
    </row>
    <row r="533" spans="4:4" x14ac:dyDescent="0.25">
      <c r="D533" s="8"/>
    </row>
    <row r="534" spans="4:4" x14ac:dyDescent="0.25">
      <c r="D534" s="8"/>
    </row>
    <row r="535" spans="4:4" x14ac:dyDescent="0.25">
      <c r="D535" s="8"/>
    </row>
    <row r="536" spans="4:4" x14ac:dyDescent="0.25">
      <c r="D536" s="8"/>
    </row>
    <row r="537" spans="4:4" x14ac:dyDescent="0.25">
      <c r="D537" s="8"/>
    </row>
    <row r="538" spans="4:4" x14ac:dyDescent="0.25">
      <c r="D538" s="8"/>
    </row>
    <row r="539" spans="4:4" x14ac:dyDescent="0.25">
      <c r="D539" s="8"/>
    </row>
    <row r="540" spans="4:4" x14ac:dyDescent="0.25">
      <c r="D540" s="8"/>
    </row>
    <row r="541" spans="4:4" x14ac:dyDescent="0.25">
      <c r="D541" s="8"/>
    </row>
    <row r="542" spans="4:4" x14ac:dyDescent="0.25">
      <c r="D542" s="8"/>
    </row>
    <row r="543" spans="4:4" x14ac:dyDescent="0.25">
      <c r="D543" s="8"/>
    </row>
    <row r="544" spans="4:4" x14ac:dyDescent="0.25">
      <c r="D544" s="8"/>
    </row>
    <row r="545" spans="4:4" x14ac:dyDescent="0.25">
      <c r="D545" s="8"/>
    </row>
    <row r="546" spans="4:4" x14ac:dyDescent="0.25">
      <c r="D546" s="8"/>
    </row>
    <row r="547" spans="4:4" x14ac:dyDescent="0.25">
      <c r="D547" s="8"/>
    </row>
    <row r="548" spans="4:4" x14ac:dyDescent="0.25">
      <c r="D548" s="8"/>
    </row>
    <row r="549" spans="4:4" x14ac:dyDescent="0.25">
      <c r="D549" s="8"/>
    </row>
    <row r="550" spans="4:4" x14ac:dyDescent="0.25">
      <c r="D550" s="8"/>
    </row>
    <row r="551" spans="4:4" x14ac:dyDescent="0.25">
      <c r="D551" s="8"/>
    </row>
    <row r="552" spans="4:4" x14ac:dyDescent="0.25">
      <c r="D552" s="8"/>
    </row>
    <row r="553" spans="4:4" x14ac:dyDescent="0.25">
      <c r="D553" s="8"/>
    </row>
    <row r="554" spans="4:4" x14ac:dyDescent="0.25">
      <c r="D554" s="8"/>
    </row>
    <row r="555" spans="4:4" x14ac:dyDescent="0.25">
      <c r="D555" s="8"/>
    </row>
    <row r="556" spans="4:4" x14ac:dyDescent="0.25">
      <c r="D556" s="8"/>
    </row>
    <row r="557" spans="4:4" x14ac:dyDescent="0.25">
      <c r="D557" s="8"/>
    </row>
    <row r="558" spans="4:4" x14ac:dyDescent="0.25">
      <c r="D558" s="8"/>
    </row>
    <row r="559" spans="4:4" x14ac:dyDescent="0.25">
      <c r="D559" s="8"/>
    </row>
    <row r="560" spans="4:4" x14ac:dyDescent="0.25">
      <c r="D560" s="8"/>
    </row>
    <row r="561" spans="4:4" x14ac:dyDescent="0.25">
      <c r="D561" s="8"/>
    </row>
    <row r="562" spans="4:4" x14ac:dyDescent="0.25">
      <c r="D562" s="8"/>
    </row>
    <row r="563" spans="4:4" x14ac:dyDescent="0.25">
      <c r="D563" s="8"/>
    </row>
    <row r="564" spans="4:4" x14ac:dyDescent="0.25">
      <c r="D564" s="8"/>
    </row>
    <row r="565" spans="4:4" x14ac:dyDescent="0.25">
      <c r="D565" s="8"/>
    </row>
    <row r="566" spans="4:4" x14ac:dyDescent="0.25">
      <c r="D566" s="8"/>
    </row>
    <row r="567" spans="4:4" x14ac:dyDescent="0.25">
      <c r="D567" s="8"/>
    </row>
    <row r="568" spans="4:4" x14ac:dyDescent="0.25">
      <c r="D568" s="8"/>
    </row>
    <row r="569" spans="4:4" x14ac:dyDescent="0.25">
      <c r="D569" s="8"/>
    </row>
    <row r="570" spans="4:4" x14ac:dyDescent="0.25">
      <c r="D570" s="8"/>
    </row>
    <row r="571" spans="4:4" x14ac:dyDescent="0.25">
      <c r="D571" s="8"/>
    </row>
    <row r="572" spans="4:4" x14ac:dyDescent="0.25">
      <c r="D572" s="8"/>
    </row>
    <row r="573" spans="4:4" x14ac:dyDescent="0.25">
      <c r="D573" s="8"/>
    </row>
    <row r="574" spans="4:4" x14ac:dyDescent="0.25">
      <c r="D574" s="8"/>
    </row>
    <row r="575" spans="4:4" x14ac:dyDescent="0.25">
      <c r="D575" s="8"/>
    </row>
    <row r="576" spans="4:4" x14ac:dyDescent="0.25">
      <c r="D576" s="8"/>
    </row>
    <row r="577" spans="4:4" x14ac:dyDescent="0.25">
      <c r="D577" s="8"/>
    </row>
    <row r="578" spans="4:4" x14ac:dyDescent="0.25">
      <c r="D578" s="8"/>
    </row>
    <row r="579" spans="4:4" x14ac:dyDescent="0.25">
      <c r="D579" s="8"/>
    </row>
    <row r="580" spans="4:4" x14ac:dyDescent="0.25">
      <c r="D580" s="8"/>
    </row>
    <row r="581" spans="4:4" x14ac:dyDescent="0.25">
      <c r="D581" s="8"/>
    </row>
    <row r="582" spans="4:4" x14ac:dyDescent="0.25">
      <c r="D582" s="8"/>
    </row>
    <row r="583" spans="4:4" x14ac:dyDescent="0.25">
      <c r="D583" s="8"/>
    </row>
    <row r="584" spans="4:4" x14ac:dyDescent="0.25">
      <c r="D584" s="8"/>
    </row>
    <row r="585" spans="4:4" x14ac:dyDescent="0.25">
      <c r="D585" s="8"/>
    </row>
    <row r="586" spans="4:4" x14ac:dyDescent="0.25">
      <c r="D586" s="8"/>
    </row>
    <row r="587" spans="4:4" x14ac:dyDescent="0.25">
      <c r="D587" s="8"/>
    </row>
    <row r="588" spans="4:4" x14ac:dyDescent="0.25">
      <c r="D588" s="8"/>
    </row>
    <row r="589" spans="4:4" x14ac:dyDescent="0.25">
      <c r="D589" s="8"/>
    </row>
    <row r="590" spans="4:4" x14ac:dyDescent="0.25">
      <c r="D590" s="8"/>
    </row>
    <row r="591" spans="4:4" x14ac:dyDescent="0.25">
      <c r="D591" s="8"/>
    </row>
    <row r="592" spans="4:4" x14ac:dyDescent="0.25">
      <c r="D592" s="8"/>
    </row>
    <row r="593" spans="4:4" x14ac:dyDescent="0.25">
      <c r="D593" s="8"/>
    </row>
    <row r="594" spans="4:4" x14ac:dyDescent="0.25">
      <c r="D594" s="8"/>
    </row>
    <row r="595" spans="4:4" x14ac:dyDescent="0.25">
      <c r="D595" s="8"/>
    </row>
    <row r="596" spans="4:4" x14ac:dyDescent="0.25">
      <c r="D596" s="8"/>
    </row>
    <row r="597" spans="4:4" x14ac:dyDescent="0.25">
      <c r="D597" s="8"/>
    </row>
    <row r="598" spans="4:4" x14ac:dyDescent="0.25">
      <c r="D598" s="8"/>
    </row>
    <row r="599" spans="4:4" x14ac:dyDescent="0.25">
      <c r="D599" s="8"/>
    </row>
    <row r="600" spans="4:4" x14ac:dyDescent="0.25">
      <c r="D600" s="8"/>
    </row>
    <row r="601" spans="4:4" x14ac:dyDescent="0.25">
      <c r="D601" s="8"/>
    </row>
    <row r="602" spans="4:4" x14ac:dyDescent="0.25">
      <c r="D602" s="8"/>
    </row>
    <row r="603" spans="4:4" x14ac:dyDescent="0.25">
      <c r="D603" s="8"/>
    </row>
    <row r="604" spans="4:4" x14ac:dyDescent="0.25">
      <c r="D604" s="8"/>
    </row>
    <row r="605" spans="4:4" x14ac:dyDescent="0.25">
      <c r="D605" s="8"/>
    </row>
    <row r="606" spans="4:4" x14ac:dyDescent="0.25">
      <c r="D606" s="8"/>
    </row>
    <row r="607" spans="4:4" x14ac:dyDescent="0.25">
      <c r="D607" s="8"/>
    </row>
    <row r="608" spans="4:4" x14ac:dyDescent="0.25">
      <c r="D608" s="8"/>
    </row>
    <row r="609" spans="4:4" x14ac:dyDescent="0.25">
      <c r="D609" s="8"/>
    </row>
    <row r="610" spans="4:4" x14ac:dyDescent="0.25">
      <c r="D610" s="8"/>
    </row>
    <row r="611" spans="4:4" x14ac:dyDescent="0.25">
      <c r="D611" s="8"/>
    </row>
    <row r="612" spans="4:4" x14ac:dyDescent="0.25">
      <c r="D612" s="8"/>
    </row>
    <row r="613" spans="4:4" x14ac:dyDescent="0.25">
      <c r="D613" s="8"/>
    </row>
    <row r="614" spans="4:4" x14ac:dyDescent="0.25">
      <c r="D614" s="8"/>
    </row>
    <row r="615" spans="4:4" x14ac:dyDescent="0.25">
      <c r="D615" s="8"/>
    </row>
    <row r="616" spans="4:4" x14ac:dyDescent="0.25">
      <c r="D616" s="8"/>
    </row>
    <row r="617" spans="4:4" x14ac:dyDescent="0.25">
      <c r="D617" s="8"/>
    </row>
    <row r="618" spans="4:4" x14ac:dyDescent="0.25">
      <c r="D618" s="8"/>
    </row>
    <row r="619" spans="4:4" x14ac:dyDescent="0.25">
      <c r="D619" s="8"/>
    </row>
    <row r="620" spans="4:4" x14ac:dyDescent="0.25">
      <c r="D620" s="8"/>
    </row>
    <row r="621" spans="4:4" x14ac:dyDescent="0.25">
      <c r="D621" s="8"/>
    </row>
    <row r="622" spans="4:4" x14ac:dyDescent="0.25">
      <c r="D622" s="8"/>
    </row>
    <row r="623" spans="4:4" x14ac:dyDescent="0.25">
      <c r="D623" s="8"/>
    </row>
    <row r="624" spans="4:4" x14ac:dyDescent="0.25">
      <c r="D624" s="8"/>
    </row>
    <row r="625" spans="4:4" x14ac:dyDescent="0.25">
      <c r="D625" s="8"/>
    </row>
    <row r="626" spans="4:4" x14ac:dyDescent="0.25">
      <c r="D626" s="8"/>
    </row>
    <row r="627" spans="4:4" x14ac:dyDescent="0.25">
      <c r="D627" s="8"/>
    </row>
    <row r="628" spans="4:4" x14ac:dyDescent="0.25">
      <c r="D628" s="8"/>
    </row>
    <row r="629" spans="4:4" x14ac:dyDescent="0.25">
      <c r="D629" s="8"/>
    </row>
    <row r="630" spans="4:4" x14ac:dyDescent="0.25">
      <c r="D630" s="8"/>
    </row>
    <row r="631" spans="4:4" x14ac:dyDescent="0.25">
      <c r="D631" s="8"/>
    </row>
    <row r="632" spans="4:4" x14ac:dyDescent="0.25">
      <c r="D632" s="8"/>
    </row>
    <row r="633" spans="4:4" x14ac:dyDescent="0.25">
      <c r="D633" s="8"/>
    </row>
    <row r="634" spans="4:4" x14ac:dyDescent="0.25">
      <c r="D634" s="8"/>
    </row>
    <row r="635" spans="4:4" x14ac:dyDescent="0.25">
      <c r="D635" s="8"/>
    </row>
    <row r="636" spans="4:4" x14ac:dyDescent="0.25">
      <c r="D636" s="8"/>
    </row>
    <row r="637" spans="4:4" x14ac:dyDescent="0.25">
      <c r="D637" s="8"/>
    </row>
    <row r="638" spans="4:4" x14ac:dyDescent="0.25">
      <c r="D638" s="8"/>
    </row>
    <row r="639" spans="4:4" x14ac:dyDescent="0.25">
      <c r="D639" s="8"/>
    </row>
    <row r="640" spans="4:4" x14ac:dyDescent="0.25">
      <c r="D640" s="8"/>
    </row>
    <row r="641" spans="4:4" x14ac:dyDescent="0.25">
      <c r="D641" s="8"/>
    </row>
    <row r="642" spans="4:4" x14ac:dyDescent="0.25">
      <c r="D642" s="8"/>
    </row>
    <row r="643" spans="4:4" x14ac:dyDescent="0.25">
      <c r="D643" s="8"/>
    </row>
    <row r="644" spans="4:4" x14ac:dyDescent="0.25">
      <c r="D644" s="8"/>
    </row>
    <row r="645" spans="4:4" x14ac:dyDescent="0.25">
      <c r="D645" s="8"/>
    </row>
    <row r="646" spans="4:4" x14ac:dyDescent="0.25">
      <c r="D646" s="8"/>
    </row>
    <row r="647" spans="4:4" x14ac:dyDescent="0.25">
      <c r="D647" s="8"/>
    </row>
    <row r="648" spans="4:4" x14ac:dyDescent="0.25">
      <c r="D648" s="8"/>
    </row>
    <row r="649" spans="4:4" x14ac:dyDescent="0.25">
      <c r="D649" s="8"/>
    </row>
    <row r="650" spans="4:4" x14ac:dyDescent="0.25">
      <c r="D650" s="8"/>
    </row>
    <row r="651" spans="4:4" x14ac:dyDescent="0.25">
      <c r="D651" s="8"/>
    </row>
    <row r="652" spans="4:4" x14ac:dyDescent="0.25">
      <c r="D652" s="8"/>
    </row>
    <row r="653" spans="4:4" x14ac:dyDescent="0.25">
      <c r="D653" s="8"/>
    </row>
    <row r="654" spans="4:4" x14ac:dyDescent="0.25">
      <c r="D654" s="8"/>
    </row>
    <row r="655" spans="4:4" x14ac:dyDescent="0.25">
      <c r="D655" s="8"/>
    </row>
    <row r="656" spans="4:4" x14ac:dyDescent="0.25">
      <c r="D656" s="8"/>
    </row>
    <row r="657" spans="4:4" x14ac:dyDescent="0.25">
      <c r="D657" s="8"/>
    </row>
    <row r="658" spans="4:4" x14ac:dyDescent="0.25">
      <c r="D658" s="8"/>
    </row>
    <row r="659" spans="4:4" x14ac:dyDescent="0.25">
      <c r="D659" s="8"/>
    </row>
    <row r="660" spans="4:4" x14ac:dyDescent="0.25">
      <c r="D660" s="8"/>
    </row>
    <row r="661" spans="4:4" x14ac:dyDescent="0.25">
      <c r="D661" s="8"/>
    </row>
    <row r="662" spans="4:4" x14ac:dyDescent="0.25">
      <c r="D662" s="8"/>
    </row>
    <row r="663" spans="4:4" x14ac:dyDescent="0.25">
      <c r="D663" s="8"/>
    </row>
    <row r="664" spans="4:4" x14ac:dyDescent="0.25">
      <c r="D664" s="8"/>
    </row>
    <row r="665" spans="4:4" x14ac:dyDescent="0.25">
      <c r="D665" s="8"/>
    </row>
    <row r="666" spans="4:4" x14ac:dyDescent="0.25">
      <c r="D666" s="8"/>
    </row>
    <row r="667" spans="4:4" x14ac:dyDescent="0.25">
      <c r="D667" s="8"/>
    </row>
    <row r="668" spans="4:4" x14ac:dyDescent="0.25">
      <c r="D668" s="8"/>
    </row>
    <row r="669" spans="4:4" x14ac:dyDescent="0.25">
      <c r="D669" s="8"/>
    </row>
    <row r="670" spans="4:4" x14ac:dyDescent="0.25">
      <c r="D670" s="8"/>
    </row>
    <row r="671" spans="4:4" x14ac:dyDescent="0.25">
      <c r="D671" s="8"/>
    </row>
    <row r="672" spans="4:4" x14ac:dyDescent="0.25">
      <c r="D672" s="8"/>
    </row>
    <row r="673" spans="4:4" x14ac:dyDescent="0.25">
      <c r="D673" s="8"/>
    </row>
    <row r="674" spans="4:4" x14ac:dyDescent="0.25">
      <c r="D674" s="8"/>
    </row>
    <row r="675" spans="4:4" x14ac:dyDescent="0.25">
      <c r="D675" s="8"/>
    </row>
    <row r="676" spans="4:4" x14ac:dyDescent="0.25">
      <c r="D676" s="8"/>
    </row>
    <row r="677" spans="4:4" x14ac:dyDescent="0.25">
      <c r="D677" s="8"/>
    </row>
    <row r="678" spans="4:4" x14ac:dyDescent="0.25">
      <c r="D678" s="8"/>
    </row>
    <row r="679" spans="4:4" x14ac:dyDescent="0.25">
      <c r="D679" s="8"/>
    </row>
    <row r="680" spans="4:4" x14ac:dyDescent="0.25">
      <c r="D680" s="8"/>
    </row>
    <row r="681" spans="4:4" x14ac:dyDescent="0.25">
      <c r="D681" s="8"/>
    </row>
    <row r="682" spans="4:4" x14ac:dyDescent="0.25">
      <c r="D682" s="8"/>
    </row>
    <row r="683" spans="4:4" x14ac:dyDescent="0.25">
      <c r="D683" s="8"/>
    </row>
    <row r="684" spans="4:4" x14ac:dyDescent="0.25">
      <c r="D684" s="8"/>
    </row>
    <row r="685" spans="4:4" x14ac:dyDescent="0.25">
      <c r="D685" s="8"/>
    </row>
    <row r="686" spans="4:4" x14ac:dyDescent="0.25">
      <c r="D686" s="8"/>
    </row>
    <row r="687" spans="4:4" x14ac:dyDescent="0.25">
      <c r="D687" s="8"/>
    </row>
    <row r="688" spans="4:4" x14ac:dyDescent="0.25">
      <c r="D688" s="8"/>
    </row>
    <row r="689" spans="4:4" x14ac:dyDescent="0.25">
      <c r="D689" s="8"/>
    </row>
    <row r="690" spans="4:4" x14ac:dyDescent="0.25">
      <c r="D690" s="8"/>
    </row>
    <row r="691" spans="4:4" x14ac:dyDescent="0.25">
      <c r="D691" s="8"/>
    </row>
    <row r="692" spans="4:4" x14ac:dyDescent="0.25">
      <c r="D692" s="8"/>
    </row>
    <row r="693" spans="4:4" x14ac:dyDescent="0.25">
      <c r="D693" s="8"/>
    </row>
    <row r="694" spans="4:4" x14ac:dyDescent="0.25">
      <c r="D694" s="8"/>
    </row>
    <row r="695" spans="4:4" x14ac:dyDescent="0.25">
      <c r="D695" s="8"/>
    </row>
    <row r="696" spans="4:4" x14ac:dyDescent="0.25">
      <c r="D696" s="8"/>
    </row>
    <row r="697" spans="4:4" x14ac:dyDescent="0.25">
      <c r="D697" s="8"/>
    </row>
    <row r="698" spans="4:4" x14ac:dyDescent="0.25">
      <c r="D698" s="8"/>
    </row>
    <row r="699" spans="4:4" x14ac:dyDescent="0.25">
      <c r="D699" s="8"/>
    </row>
    <row r="700" spans="4:4" x14ac:dyDescent="0.25">
      <c r="D700" s="8"/>
    </row>
    <row r="701" spans="4:4" x14ac:dyDescent="0.25">
      <c r="D701" s="8"/>
    </row>
    <row r="702" spans="4:4" x14ac:dyDescent="0.25">
      <c r="D702" s="8"/>
    </row>
    <row r="703" spans="4:4" x14ac:dyDescent="0.25">
      <c r="D703" s="8"/>
    </row>
    <row r="704" spans="4:4" x14ac:dyDescent="0.25">
      <c r="D704" s="8"/>
    </row>
    <row r="705" spans="4:4" x14ac:dyDescent="0.25">
      <c r="D705" s="8"/>
    </row>
    <row r="706" spans="4:4" x14ac:dyDescent="0.25">
      <c r="D706" s="8"/>
    </row>
    <row r="707" spans="4:4" x14ac:dyDescent="0.25">
      <c r="D707" s="8"/>
    </row>
    <row r="708" spans="4:4" x14ac:dyDescent="0.25">
      <c r="D708" s="8"/>
    </row>
    <row r="709" spans="4:4" x14ac:dyDescent="0.25">
      <c r="D709" s="8"/>
    </row>
    <row r="710" spans="4:4" x14ac:dyDescent="0.25">
      <c r="D710" s="8"/>
    </row>
    <row r="711" spans="4:4" x14ac:dyDescent="0.25">
      <c r="D711" s="8"/>
    </row>
    <row r="712" spans="4:4" x14ac:dyDescent="0.25">
      <c r="D712" s="8"/>
    </row>
    <row r="713" spans="4:4" x14ac:dyDescent="0.25">
      <c r="D713" s="8"/>
    </row>
    <row r="714" spans="4:4" x14ac:dyDescent="0.25">
      <c r="D714" s="8"/>
    </row>
    <row r="715" spans="4:4" x14ac:dyDescent="0.25">
      <c r="D715" s="8"/>
    </row>
    <row r="716" spans="4:4" x14ac:dyDescent="0.25">
      <c r="D716" s="8"/>
    </row>
    <row r="717" spans="4:4" x14ac:dyDescent="0.25">
      <c r="D717" s="8"/>
    </row>
    <row r="718" spans="4:4" x14ac:dyDescent="0.25">
      <c r="D718" s="8"/>
    </row>
    <row r="719" spans="4:4" x14ac:dyDescent="0.25">
      <c r="D719" s="8"/>
    </row>
    <row r="720" spans="4:4" x14ac:dyDescent="0.25">
      <c r="D720" s="8"/>
    </row>
    <row r="721" spans="4:4" x14ac:dyDescent="0.25">
      <c r="D721" s="8"/>
    </row>
    <row r="722" spans="4:4" x14ac:dyDescent="0.25">
      <c r="D722" s="8"/>
    </row>
    <row r="723" spans="4:4" x14ac:dyDescent="0.25">
      <c r="D723" s="8"/>
    </row>
    <row r="724" spans="4:4" x14ac:dyDescent="0.25">
      <c r="D724" s="8"/>
    </row>
    <row r="725" spans="4:4" x14ac:dyDescent="0.25">
      <c r="D725" s="8"/>
    </row>
    <row r="726" spans="4:4" x14ac:dyDescent="0.25">
      <c r="D726" s="8"/>
    </row>
    <row r="727" spans="4:4" x14ac:dyDescent="0.25">
      <c r="D727" s="8"/>
    </row>
    <row r="728" spans="4:4" x14ac:dyDescent="0.25">
      <c r="D728" s="8"/>
    </row>
    <row r="729" spans="4:4" x14ac:dyDescent="0.25">
      <c r="D729" s="8"/>
    </row>
    <row r="730" spans="4:4" x14ac:dyDescent="0.25">
      <c r="D730" s="8"/>
    </row>
    <row r="731" spans="4:4" x14ac:dyDescent="0.25">
      <c r="D731" s="8"/>
    </row>
    <row r="732" spans="4:4" x14ac:dyDescent="0.25">
      <c r="D732" s="8"/>
    </row>
    <row r="733" spans="4:4" x14ac:dyDescent="0.25">
      <c r="D733" s="8"/>
    </row>
    <row r="734" spans="4:4" x14ac:dyDescent="0.25">
      <c r="D734" s="8"/>
    </row>
    <row r="735" spans="4:4" x14ac:dyDescent="0.25">
      <c r="D735" s="8"/>
    </row>
    <row r="736" spans="4:4" x14ac:dyDescent="0.25">
      <c r="D736" s="8"/>
    </row>
    <row r="737" spans="4:4" x14ac:dyDescent="0.25">
      <c r="D737" s="8"/>
    </row>
    <row r="738" spans="4:4" x14ac:dyDescent="0.25">
      <c r="D738" s="8"/>
    </row>
    <row r="739" spans="4:4" x14ac:dyDescent="0.25">
      <c r="D739" s="8"/>
    </row>
    <row r="740" spans="4:4" x14ac:dyDescent="0.25">
      <c r="D740" s="8"/>
    </row>
    <row r="741" spans="4:4" x14ac:dyDescent="0.25">
      <c r="D741" s="8"/>
    </row>
    <row r="742" spans="4:4" x14ac:dyDescent="0.25">
      <c r="D742" s="8"/>
    </row>
    <row r="743" spans="4:4" x14ac:dyDescent="0.25">
      <c r="D743" s="8"/>
    </row>
    <row r="744" spans="4:4" x14ac:dyDescent="0.25">
      <c r="D744" s="8"/>
    </row>
    <row r="745" spans="4:4" x14ac:dyDescent="0.25">
      <c r="D745" s="8"/>
    </row>
    <row r="746" spans="4:4" x14ac:dyDescent="0.25">
      <c r="D746" s="8"/>
    </row>
    <row r="747" spans="4:4" x14ac:dyDescent="0.25">
      <c r="D747" s="8"/>
    </row>
    <row r="748" spans="4:4" x14ac:dyDescent="0.25">
      <c r="D748" s="8"/>
    </row>
    <row r="749" spans="4:4" x14ac:dyDescent="0.25">
      <c r="D749" s="8"/>
    </row>
    <row r="750" spans="4:4" x14ac:dyDescent="0.25">
      <c r="D750" s="8"/>
    </row>
    <row r="751" spans="4:4" x14ac:dyDescent="0.25">
      <c r="D751" s="8"/>
    </row>
    <row r="752" spans="4:4" x14ac:dyDescent="0.25">
      <c r="D752" s="8"/>
    </row>
    <row r="753" spans="4:4" x14ac:dyDescent="0.25">
      <c r="D753" s="8"/>
    </row>
    <row r="754" spans="4:4" x14ac:dyDescent="0.25">
      <c r="D754" s="8"/>
    </row>
    <row r="755" spans="4:4" x14ac:dyDescent="0.25">
      <c r="D755" s="8"/>
    </row>
    <row r="756" spans="4:4" x14ac:dyDescent="0.25">
      <c r="D756" s="8"/>
    </row>
    <row r="757" spans="4:4" x14ac:dyDescent="0.25">
      <c r="D757" s="8"/>
    </row>
    <row r="758" spans="4:4" x14ac:dyDescent="0.25">
      <c r="D758" s="8"/>
    </row>
    <row r="759" spans="4:4" x14ac:dyDescent="0.25">
      <c r="D759" s="8"/>
    </row>
    <row r="760" spans="4:4" x14ac:dyDescent="0.25">
      <c r="D760" s="8"/>
    </row>
    <row r="761" spans="4:4" x14ac:dyDescent="0.25">
      <c r="D761" s="8"/>
    </row>
    <row r="762" spans="4:4" x14ac:dyDescent="0.25">
      <c r="D762" s="8"/>
    </row>
    <row r="763" spans="4:4" x14ac:dyDescent="0.25">
      <c r="D763" s="8"/>
    </row>
    <row r="764" spans="4:4" x14ac:dyDescent="0.25">
      <c r="D764" s="8"/>
    </row>
    <row r="765" spans="4:4" x14ac:dyDescent="0.25">
      <c r="D765" s="8"/>
    </row>
    <row r="766" spans="4:4" x14ac:dyDescent="0.25">
      <c r="D766" s="8"/>
    </row>
    <row r="767" spans="4:4" x14ac:dyDescent="0.25">
      <c r="D767" s="8"/>
    </row>
    <row r="768" spans="4:4" x14ac:dyDescent="0.25">
      <c r="D768" s="8"/>
    </row>
    <row r="769" spans="4:4" x14ac:dyDescent="0.25">
      <c r="D769" s="8"/>
    </row>
    <row r="770" spans="4:4" x14ac:dyDescent="0.25">
      <c r="D770" s="8"/>
    </row>
    <row r="771" spans="4:4" x14ac:dyDescent="0.25">
      <c r="D771" s="8"/>
    </row>
    <row r="772" spans="4:4" x14ac:dyDescent="0.25">
      <c r="D772" s="8"/>
    </row>
    <row r="773" spans="4:4" x14ac:dyDescent="0.25">
      <c r="D773" s="8"/>
    </row>
    <row r="774" spans="4:4" x14ac:dyDescent="0.25">
      <c r="D774" s="8"/>
    </row>
    <row r="775" spans="4:4" x14ac:dyDescent="0.25">
      <c r="D775" s="8"/>
    </row>
    <row r="776" spans="4:4" x14ac:dyDescent="0.25">
      <c r="D776" s="8"/>
    </row>
    <row r="777" spans="4:4" x14ac:dyDescent="0.25">
      <c r="D777" s="8"/>
    </row>
    <row r="778" spans="4:4" x14ac:dyDescent="0.25">
      <c r="D778" s="8"/>
    </row>
    <row r="779" spans="4:4" x14ac:dyDescent="0.25">
      <c r="D779" s="8"/>
    </row>
    <row r="780" spans="4:4" x14ac:dyDescent="0.25">
      <c r="D780" s="8"/>
    </row>
    <row r="781" spans="4:4" x14ac:dyDescent="0.25">
      <c r="D781" s="8"/>
    </row>
    <row r="782" spans="4:4" x14ac:dyDescent="0.25">
      <c r="D782" s="8"/>
    </row>
    <row r="783" spans="4:4" x14ac:dyDescent="0.25">
      <c r="D783" s="8"/>
    </row>
    <row r="784" spans="4:4" x14ac:dyDescent="0.25">
      <c r="D784" s="8"/>
    </row>
    <row r="785" spans="4:4" x14ac:dyDescent="0.25">
      <c r="D785" s="8"/>
    </row>
    <row r="786" spans="4:4" x14ac:dyDescent="0.25">
      <c r="D786" s="8"/>
    </row>
    <row r="787" spans="4:4" x14ac:dyDescent="0.25">
      <c r="D787" s="8"/>
    </row>
    <row r="788" spans="4:4" x14ac:dyDescent="0.25">
      <c r="D788" s="8"/>
    </row>
    <row r="789" spans="4:4" x14ac:dyDescent="0.25">
      <c r="D789" s="8"/>
    </row>
    <row r="790" spans="4:4" x14ac:dyDescent="0.25">
      <c r="D790" s="8"/>
    </row>
    <row r="791" spans="4:4" x14ac:dyDescent="0.25">
      <c r="D791" s="8"/>
    </row>
    <row r="792" spans="4:4" x14ac:dyDescent="0.25">
      <c r="D792" s="8"/>
    </row>
    <row r="793" spans="4:4" x14ac:dyDescent="0.25">
      <c r="D793" s="8"/>
    </row>
    <row r="794" spans="4:4" x14ac:dyDescent="0.25">
      <c r="D794" s="8"/>
    </row>
    <row r="795" spans="4:4" x14ac:dyDescent="0.25">
      <c r="D795" s="8"/>
    </row>
    <row r="796" spans="4:4" x14ac:dyDescent="0.25">
      <c r="D796" s="8"/>
    </row>
    <row r="797" spans="4:4" x14ac:dyDescent="0.25">
      <c r="D797" s="8"/>
    </row>
    <row r="798" spans="4:4" x14ac:dyDescent="0.25">
      <c r="D798" s="8"/>
    </row>
    <row r="799" spans="4:4" x14ac:dyDescent="0.25">
      <c r="D799" s="8"/>
    </row>
    <row r="800" spans="4:4" x14ac:dyDescent="0.25">
      <c r="D800" s="8"/>
    </row>
    <row r="801" spans="4:4" x14ac:dyDescent="0.25">
      <c r="D801" s="8"/>
    </row>
    <row r="802" spans="4:4" x14ac:dyDescent="0.25">
      <c r="D802" s="8"/>
    </row>
    <row r="803" spans="4:4" x14ac:dyDescent="0.25">
      <c r="D803" s="8"/>
    </row>
    <row r="804" spans="4:4" x14ac:dyDescent="0.25">
      <c r="D804" s="8"/>
    </row>
    <row r="805" spans="4:4" x14ac:dyDescent="0.25">
      <c r="D805" s="8"/>
    </row>
    <row r="806" spans="4:4" x14ac:dyDescent="0.25">
      <c r="D806" s="8"/>
    </row>
    <row r="807" spans="4:4" x14ac:dyDescent="0.25">
      <c r="D807" s="8"/>
    </row>
    <row r="808" spans="4:4" x14ac:dyDescent="0.25">
      <c r="D808" s="8"/>
    </row>
    <row r="809" spans="4:4" x14ac:dyDescent="0.25">
      <c r="D809" s="8"/>
    </row>
    <row r="810" spans="4:4" x14ac:dyDescent="0.25">
      <c r="D810" s="8"/>
    </row>
    <row r="811" spans="4:4" x14ac:dyDescent="0.25">
      <c r="D811" s="8"/>
    </row>
    <row r="812" spans="4:4" x14ac:dyDescent="0.25">
      <c r="D812" s="8"/>
    </row>
    <row r="813" spans="4:4" x14ac:dyDescent="0.25">
      <c r="D813" s="8"/>
    </row>
    <row r="814" spans="4:4" x14ac:dyDescent="0.25">
      <c r="D814" s="8"/>
    </row>
    <row r="815" spans="4:4" x14ac:dyDescent="0.25">
      <c r="D815" s="8"/>
    </row>
    <row r="816" spans="4:4" x14ac:dyDescent="0.25">
      <c r="D816" s="8"/>
    </row>
    <row r="817" spans="4:4" x14ac:dyDescent="0.25">
      <c r="D817" s="8"/>
    </row>
    <row r="818" spans="4:4" x14ac:dyDescent="0.25">
      <c r="D818" s="8"/>
    </row>
    <row r="819" spans="4:4" x14ac:dyDescent="0.25">
      <c r="D819" s="8"/>
    </row>
    <row r="820" spans="4:4" x14ac:dyDescent="0.25">
      <c r="D820" s="8"/>
    </row>
    <row r="821" spans="4:4" x14ac:dyDescent="0.25">
      <c r="D821" s="8"/>
    </row>
    <row r="822" spans="4:4" x14ac:dyDescent="0.25">
      <c r="D822" s="8"/>
    </row>
    <row r="823" spans="4:4" x14ac:dyDescent="0.25">
      <c r="D823" s="8"/>
    </row>
    <row r="824" spans="4:4" x14ac:dyDescent="0.25">
      <c r="D824" s="8"/>
    </row>
    <row r="825" spans="4:4" x14ac:dyDescent="0.25">
      <c r="D825" s="8"/>
    </row>
    <row r="826" spans="4:4" x14ac:dyDescent="0.25">
      <c r="D826" s="8"/>
    </row>
    <row r="827" spans="4:4" x14ac:dyDescent="0.25">
      <c r="D827" s="8"/>
    </row>
    <row r="828" spans="4:4" x14ac:dyDescent="0.25">
      <c r="D828" s="8"/>
    </row>
    <row r="829" spans="4:4" x14ac:dyDescent="0.25">
      <c r="D829" s="8"/>
    </row>
    <row r="830" spans="4:4" x14ac:dyDescent="0.25">
      <c r="D830" s="8"/>
    </row>
    <row r="831" spans="4:4" x14ac:dyDescent="0.25">
      <c r="D831" s="8"/>
    </row>
    <row r="832" spans="4:4" x14ac:dyDescent="0.25">
      <c r="D832" s="8"/>
    </row>
    <row r="833" spans="4:4" x14ac:dyDescent="0.25">
      <c r="D833" s="8"/>
    </row>
    <row r="834" spans="4:4" x14ac:dyDescent="0.25">
      <c r="D834" s="8"/>
    </row>
    <row r="835" spans="4:4" x14ac:dyDescent="0.25">
      <c r="D835" s="8"/>
    </row>
    <row r="836" spans="4:4" x14ac:dyDescent="0.25">
      <c r="D836" s="8"/>
    </row>
    <row r="837" spans="4:4" x14ac:dyDescent="0.25">
      <c r="D837" s="8"/>
    </row>
    <row r="838" spans="4:4" x14ac:dyDescent="0.25">
      <c r="D838" s="8"/>
    </row>
    <row r="839" spans="4:4" x14ac:dyDescent="0.25">
      <c r="D839" s="8"/>
    </row>
    <row r="840" spans="4:4" x14ac:dyDescent="0.25">
      <c r="D840" s="8"/>
    </row>
    <row r="841" spans="4:4" x14ac:dyDescent="0.25">
      <c r="D841" s="8"/>
    </row>
    <row r="842" spans="4:4" x14ac:dyDescent="0.25">
      <c r="D842" s="8"/>
    </row>
    <row r="843" spans="4:4" x14ac:dyDescent="0.25">
      <c r="D843" s="8"/>
    </row>
    <row r="844" spans="4:4" x14ac:dyDescent="0.25">
      <c r="D844" s="8"/>
    </row>
    <row r="845" spans="4:4" x14ac:dyDescent="0.25">
      <c r="D845" s="8"/>
    </row>
    <row r="846" spans="4:4" x14ac:dyDescent="0.25">
      <c r="D846" s="8"/>
    </row>
    <row r="847" spans="4:4" x14ac:dyDescent="0.25">
      <c r="D847" s="8"/>
    </row>
    <row r="848" spans="4:4" x14ac:dyDescent="0.25">
      <c r="D848" s="8"/>
    </row>
    <row r="849" spans="4:4" x14ac:dyDescent="0.25">
      <c r="D849" s="8"/>
    </row>
    <row r="850" spans="4:4" x14ac:dyDescent="0.25">
      <c r="D850" s="8"/>
    </row>
    <row r="851" spans="4:4" x14ac:dyDescent="0.25">
      <c r="D851" s="8"/>
    </row>
    <row r="852" spans="4:4" x14ac:dyDescent="0.25">
      <c r="D852" s="8"/>
    </row>
    <row r="853" spans="4:4" x14ac:dyDescent="0.25">
      <c r="D853" s="8"/>
    </row>
    <row r="854" spans="4:4" x14ac:dyDescent="0.25">
      <c r="D854" s="8"/>
    </row>
    <row r="855" spans="4:4" x14ac:dyDescent="0.25">
      <c r="D855" s="8"/>
    </row>
    <row r="856" spans="4:4" x14ac:dyDescent="0.25">
      <c r="D856" s="8"/>
    </row>
    <row r="857" spans="4:4" x14ac:dyDescent="0.25">
      <c r="D857" s="8"/>
    </row>
    <row r="858" spans="4:4" x14ac:dyDescent="0.25">
      <c r="D858" s="8"/>
    </row>
    <row r="859" spans="4:4" x14ac:dyDescent="0.25">
      <c r="D859" s="8"/>
    </row>
    <row r="860" spans="4:4" x14ac:dyDescent="0.25">
      <c r="D860" s="8"/>
    </row>
    <row r="861" spans="4:4" x14ac:dyDescent="0.25">
      <c r="D861" s="8"/>
    </row>
    <row r="862" spans="4:4" x14ac:dyDescent="0.25">
      <c r="D862" s="8"/>
    </row>
    <row r="863" spans="4:4" x14ac:dyDescent="0.25">
      <c r="D863" s="8"/>
    </row>
    <row r="864" spans="4:4" x14ac:dyDescent="0.25">
      <c r="D864" s="8"/>
    </row>
    <row r="865" spans="4:4" x14ac:dyDescent="0.25">
      <c r="D865" s="8"/>
    </row>
    <row r="866" spans="4:4" x14ac:dyDescent="0.25">
      <c r="D866" s="8"/>
    </row>
    <row r="867" spans="4:4" x14ac:dyDescent="0.25">
      <c r="D867" s="8"/>
    </row>
    <row r="868" spans="4:4" x14ac:dyDescent="0.25">
      <c r="D868" s="8"/>
    </row>
    <row r="869" spans="4:4" x14ac:dyDescent="0.25">
      <c r="D869" s="8"/>
    </row>
    <row r="870" spans="4:4" x14ac:dyDescent="0.25">
      <c r="D870" s="8"/>
    </row>
    <row r="871" spans="4:4" x14ac:dyDescent="0.25">
      <c r="D871" s="8"/>
    </row>
    <row r="872" spans="4:4" x14ac:dyDescent="0.25">
      <c r="D872" s="8"/>
    </row>
    <row r="873" spans="4:4" x14ac:dyDescent="0.25">
      <c r="D873" s="8"/>
    </row>
    <row r="874" spans="4:4" x14ac:dyDescent="0.25">
      <c r="D874" s="8"/>
    </row>
    <row r="875" spans="4:4" x14ac:dyDescent="0.25">
      <c r="D875" s="8"/>
    </row>
    <row r="876" spans="4:4" x14ac:dyDescent="0.25">
      <c r="D876" s="8"/>
    </row>
    <row r="877" spans="4:4" x14ac:dyDescent="0.25">
      <c r="D877" s="8"/>
    </row>
    <row r="878" spans="4:4" x14ac:dyDescent="0.25">
      <c r="D878" s="8"/>
    </row>
    <row r="879" spans="4:4" x14ac:dyDescent="0.25">
      <c r="D879" s="8"/>
    </row>
    <row r="880" spans="4:4" x14ac:dyDescent="0.25">
      <c r="D880" s="8"/>
    </row>
    <row r="881" spans="4:4" x14ac:dyDescent="0.25">
      <c r="D881" s="8"/>
    </row>
    <row r="882" spans="4:4" x14ac:dyDescent="0.25">
      <c r="D882" s="8"/>
    </row>
    <row r="883" spans="4:4" x14ac:dyDescent="0.25">
      <c r="D883" s="8"/>
    </row>
    <row r="884" spans="4:4" x14ac:dyDescent="0.25">
      <c r="D884" s="8"/>
    </row>
    <row r="885" spans="4:4" x14ac:dyDescent="0.25">
      <c r="D885" s="8"/>
    </row>
    <row r="886" spans="4:4" x14ac:dyDescent="0.25">
      <c r="D886" s="8"/>
    </row>
    <row r="887" spans="4:4" x14ac:dyDescent="0.25">
      <c r="D887" s="8"/>
    </row>
    <row r="888" spans="4:4" x14ac:dyDescent="0.25">
      <c r="D888" s="8"/>
    </row>
    <row r="889" spans="4:4" x14ac:dyDescent="0.25">
      <c r="D889" s="8"/>
    </row>
    <row r="890" spans="4:4" x14ac:dyDescent="0.25">
      <c r="D890" s="8"/>
    </row>
    <row r="891" spans="4:4" x14ac:dyDescent="0.25">
      <c r="D891" s="8"/>
    </row>
    <row r="892" spans="4:4" x14ac:dyDescent="0.25">
      <c r="D892" s="8"/>
    </row>
    <row r="893" spans="4:4" x14ac:dyDescent="0.25">
      <c r="D893" s="8"/>
    </row>
    <row r="894" spans="4:4" x14ac:dyDescent="0.25">
      <c r="D894" s="8"/>
    </row>
    <row r="895" spans="4:4" x14ac:dyDescent="0.25">
      <c r="D895" s="8"/>
    </row>
    <row r="896" spans="4:4" x14ac:dyDescent="0.25">
      <c r="D896" s="8"/>
    </row>
    <row r="897" spans="4:4" x14ac:dyDescent="0.25">
      <c r="D897" s="8"/>
    </row>
    <row r="898" spans="4:4" x14ac:dyDescent="0.25">
      <c r="D898" s="8"/>
    </row>
    <row r="899" spans="4:4" x14ac:dyDescent="0.25">
      <c r="D899" s="8"/>
    </row>
    <row r="900" spans="4:4" x14ac:dyDescent="0.25">
      <c r="D900" s="8"/>
    </row>
    <row r="901" spans="4:4" x14ac:dyDescent="0.25">
      <c r="D901" s="8"/>
    </row>
    <row r="902" spans="4:4" x14ac:dyDescent="0.25">
      <c r="D902" s="8"/>
    </row>
    <row r="903" spans="4:4" x14ac:dyDescent="0.25">
      <c r="D903" s="8"/>
    </row>
    <row r="904" spans="4:4" x14ac:dyDescent="0.25">
      <c r="D904" s="8"/>
    </row>
    <row r="905" spans="4:4" x14ac:dyDescent="0.25">
      <c r="D905" s="8"/>
    </row>
    <row r="906" spans="4:4" x14ac:dyDescent="0.25">
      <c r="D906" s="8"/>
    </row>
    <row r="907" spans="4:4" x14ac:dyDescent="0.25">
      <c r="D907" s="8"/>
    </row>
    <row r="908" spans="4:4" x14ac:dyDescent="0.25">
      <c r="D908" s="8"/>
    </row>
    <row r="909" spans="4:4" x14ac:dyDescent="0.25">
      <c r="D909" s="8"/>
    </row>
    <row r="910" spans="4:4" x14ac:dyDescent="0.25">
      <c r="D910" s="8"/>
    </row>
    <row r="911" spans="4:4" x14ac:dyDescent="0.25">
      <c r="D911" s="8"/>
    </row>
    <row r="912" spans="4:4" x14ac:dyDescent="0.25">
      <c r="D912" s="8"/>
    </row>
    <row r="913" spans="4:4" x14ac:dyDescent="0.25">
      <c r="D913" s="8"/>
    </row>
    <row r="914" spans="4:4" x14ac:dyDescent="0.25">
      <c r="D914" s="8"/>
    </row>
    <row r="915" spans="4:4" x14ac:dyDescent="0.25">
      <c r="D915" s="8"/>
    </row>
    <row r="916" spans="4:4" x14ac:dyDescent="0.25">
      <c r="D916" s="8"/>
    </row>
    <row r="917" spans="4:4" x14ac:dyDescent="0.25">
      <c r="D917" s="8"/>
    </row>
    <row r="918" spans="4:4" x14ac:dyDescent="0.25">
      <c r="D918" s="8"/>
    </row>
    <row r="919" spans="4:4" x14ac:dyDescent="0.25">
      <c r="D919" s="8"/>
    </row>
    <row r="920" spans="4:4" x14ac:dyDescent="0.25">
      <c r="D920" s="8"/>
    </row>
    <row r="921" spans="4:4" x14ac:dyDescent="0.25">
      <c r="D921" s="8"/>
    </row>
    <row r="922" spans="4:4" x14ac:dyDescent="0.25">
      <c r="D922" s="8"/>
    </row>
    <row r="923" spans="4:4" x14ac:dyDescent="0.25">
      <c r="D923" s="8"/>
    </row>
    <row r="924" spans="4:4" x14ac:dyDescent="0.25">
      <c r="D924" s="8"/>
    </row>
    <row r="925" spans="4:4" x14ac:dyDescent="0.25">
      <c r="D925" s="8"/>
    </row>
    <row r="926" spans="4:4" x14ac:dyDescent="0.25">
      <c r="D926" s="8"/>
    </row>
    <row r="927" spans="4:4" x14ac:dyDescent="0.25">
      <c r="D927" s="8"/>
    </row>
    <row r="928" spans="4:4" x14ac:dyDescent="0.25">
      <c r="D928" s="8"/>
    </row>
    <row r="929" spans="4:4" x14ac:dyDescent="0.25">
      <c r="D929" s="8"/>
    </row>
    <row r="930" spans="4:4" x14ac:dyDescent="0.25">
      <c r="D930" s="8"/>
    </row>
    <row r="931" spans="4:4" x14ac:dyDescent="0.25">
      <c r="D931" s="8"/>
    </row>
    <row r="932" spans="4:4" x14ac:dyDescent="0.25">
      <c r="D932" s="8"/>
    </row>
    <row r="933" spans="4:4" x14ac:dyDescent="0.25">
      <c r="D933" s="8"/>
    </row>
    <row r="934" spans="4:4" x14ac:dyDescent="0.25">
      <c r="D934" s="8"/>
    </row>
    <row r="935" spans="4:4" x14ac:dyDescent="0.25">
      <c r="D935" s="8"/>
    </row>
    <row r="936" spans="4:4" x14ac:dyDescent="0.25">
      <c r="D936" s="8"/>
    </row>
    <row r="937" spans="4:4" x14ac:dyDescent="0.25">
      <c r="D937" s="8"/>
    </row>
    <row r="938" spans="4:4" x14ac:dyDescent="0.25">
      <c r="D938" s="8"/>
    </row>
    <row r="939" spans="4:4" x14ac:dyDescent="0.25">
      <c r="D939" s="8"/>
    </row>
    <row r="940" spans="4:4" x14ac:dyDescent="0.25">
      <c r="D940" s="8"/>
    </row>
    <row r="941" spans="4:4" x14ac:dyDescent="0.25">
      <c r="D941" s="8"/>
    </row>
    <row r="942" spans="4:4" x14ac:dyDescent="0.25">
      <c r="D942" s="8"/>
    </row>
    <row r="943" spans="4:4" x14ac:dyDescent="0.25">
      <c r="D943" s="8"/>
    </row>
    <row r="944" spans="4:4" x14ac:dyDescent="0.25">
      <c r="D944" s="8"/>
    </row>
    <row r="945" spans="4:4" x14ac:dyDescent="0.25">
      <c r="D945" s="8"/>
    </row>
    <row r="946" spans="4:4" x14ac:dyDescent="0.25">
      <c r="D946" s="8"/>
    </row>
    <row r="947" spans="4:4" x14ac:dyDescent="0.25">
      <c r="D947" s="8"/>
    </row>
    <row r="948" spans="4:4" x14ac:dyDescent="0.25">
      <c r="D948" s="8"/>
    </row>
    <row r="949" spans="4:4" x14ac:dyDescent="0.25">
      <c r="D949" s="8"/>
    </row>
    <row r="950" spans="4:4" x14ac:dyDescent="0.25">
      <c r="D950" s="8"/>
    </row>
    <row r="951" spans="4:4" x14ac:dyDescent="0.25">
      <c r="D951" s="8"/>
    </row>
    <row r="952" spans="4:4" x14ac:dyDescent="0.25">
      <c r="D952" s="8"/>
    </row>
    <row r="953" spans="4:4" x14ac:dyDescent="0.25">
      <c r="D953" s="8"/>
    </row>
    <row r="954" spans="4:4" x14ac:dyDescent="0.25">
      <c r="D954" s="8"/>
    </row>
    <row r="955" spans="4:4" x14ac:dyDescent="0.25">
      <c r="D955" s="8"/>
    </row>
    <row r="956" spans="4:4" x14ac:dyDescent="0.25">
      <c r="D956" s="8"/>
    </row>
    <row r="957" spans="4:4" x14ac:dyDescent="0.25">
      <c r="D957" s="8"/>
    </row>
    <row r="958" spans="4:4" x14ac:dyDescent="0.25">
      <c r="D958" s="8"/>
    </row>
    <row r="959" spans="4:4" x14ac:dyDescent="0.25">
      <c r="D959" s="8"/>
    </row>
    <row r="960" spans="4:4" x14ac:dyDescent="0.25">
      <c r="D960" s="8"/>
    </row>
    <row r="961" spans="4:4" x14ac:dyDescent="0.25">
      <c r="D961" s="8"/>
    </row>
    <row r="962" spans="4:4" x14ac:dyDescent="0.25">
      <c r="D962" s="8"/>
    </row>
    <row r="963" spans="4:4" x14ac:dyDescent="0.25">
      <c r="D963" s="8"/>
    </row>
    <row r="964" spans="4:4" x14ac:dyDescent="0.25">
      <c r="D964" s="8"/>
    </row>
    <row r="965" spans="4:4" x14ac:dyDescent="0.25">
      <c r="D965" s="8"/>
    </row>
    <row r="966" spans="4:4" x14ac:dyDescent="0.25">
      <c r="D966" s="8"/>
    </row>
    <row r="967" spans="4:4" x14ac:dyDescent="0.25">
      <c r="D967" s="8"/>
    </row>
    <row r="968" spans="4:4" x14ac:dyDescent="0.25">
      <c r="D968" s="8"/>
    </row>
    <row r="969" spans="4:4" x14ac:dyDescent="0.25">
      <c r="D969" s="8"/>
    </row>
    <row r="970" spans="4:4" x14ac:dyDescent="0.25">
      <c r="D970" s="8"/>
    </row>
    <row r="971" spans="4:4" x14ac:dyDescent="0.25">
      <c r="D971" s="8"/>
    </row>
    <row r="972" spans="4:4" x14ac:dyDescent="0.25">
      <c r="D972" s="8"/>
    </row>
    <row r="973" spans="4:4" x14ac:dyDescent="0.25">
      <c r="D973" s="8"/>
    </row>
    <row r="974" spans="4:4" x14ac:dyDescent="0.25">
      <c r="D974" s="8"/>
    </row>
    <row r="975" spans="4:4" x14ac:dyDescent="0.25">
      <c r="D975" s="8"/>
    </row>
    <row r="976" spans="4:4" x14ac:dyDescent="0.25">
      <c r="D976" s="8"/>
    </row>
    <row r="977" spans="4:4" x14ac:dyDescent="0.25">
      <c r="D977" s="8"/>
    </row>
    <row r="978" spans="4:4" x14ac:dyDescent="0.25">
      <c r="D978" s="8"/>
    </row>
    <row r="979" spans="4:4" x14ac:dyDescent="0.25">
      <c r="D979" s="8"/>
    </row>
    <row r="980" spans="4:4" x14ac:dyDescent="0.25">
      <c r="D980" s="8"/>
    </row>
    <row r="981" spans="4:4" x14ac:dyDescent="0.25">
      <c r="D981" s="8"/>
    </row>
    <row r="982" spans="4:4" x14ac:dyDescent="0.25">
      <c r="D982" s="8"/>
    </row>
    <row r="983" spans="4:4" x14ac:dyDescent="0.25">
      <c r="D983" s="8"/>
    </row>
    <row r="984" spans="4:4" x14ac:dyDescent="0.25">
      <c r="D984" s="8"/>
    </row>
    <row r="985" spans="4:4" x14ac:dyDescent="0.25">
      <c r="D985" s="8"/>
    </row>
    <row r="986" spans="4:4" x14ac:dyDescent="0.25">
      <c r="D986" s="8"/>
    </row>
    <row r="987" spans="4:4" x14ac:dyDescent="0.25">
      <c r="D987" s="8"/>
    </row>
    <row r="988" spans="4:4" x14ac:dyDescent="0.25">
      <c r="D988" s="8"/>
    </row>
    <row r="989" spans="4:4" x14ac:dyDescent="0.25">
      <c r="D989" s="8"/>
    </row>
    <row r="990" spans="4:4" x14ac:dyDescent="0.25">
      <c r="D990" s="8"/>
    </row>
    <row r="991" spans="4:4" x14ac:dyDescent="0.25">
      <c r="D991" s="8"/>
    </row>
    <row r="992" spans="4:4" x14ac:dyDescent="0.25">
      <c r="D992" s="8"/>
    </row>
    <row r="993" spans="4:4" x14ac:dyDescent="0.25">
      <c r="D993" s="8"/>
    </row>
    <row r="994" spans="4:4" x14ac:dyDescent="0.25">
      <c r="D994" s="8"/>
    </row>
    <row r="995" spans="4:4" x14ac:dyDescent="0.25">
      <c r="D995" s="8"/>
    </row>
    <row r="996" spans="4:4" x14ac:dyDescent="0.25">
      <c r="D996" s="8"/>
    </row>
    <row r="997" spans="4:4" x14ac:dyDescent="0.25">
      <c r="D997" s="8"/>
    </row>
    <row r="998" spans="4:4" x14ac:dyDescent="0.25">
      <c r="D998" s="8"/>
    </row>
    <row r="999" spans="4:4" x14ac:dyDescent="0.25">
      <c r="D999" s="8"/>
    </row>
    <row r="1000" spans="4:4" x14ac:dyDescent="0.25">
      <c r="D1000" s="8"/>
    </row>
    <row r="1001" spans="4:4" x14ac:dyDescent="0.25">
      <c r="D1001" s="8"/>
    </row>
    <row r="1002" spans="4:4" x14ac:dyDescent="0.25">
      <c r="D1002" s="8"/>
    </row>
    <row r="1003" spans="4:4" x14ac:dyDescent="0.25">
      <c r="D1003" s="8"/>
    </row>
    <row r="1004" spans="4:4" x14ac:dyDescent="0.25">
      <c r="D1004" s="8"/>
    </row>
    <row r="1005" spans="4:4" x14ac:dyDescent="0.25">
      <c r="D1005" s="8"/>
    </row>
    <row r="1006" spans="4:4" x14ac:dyDescent="0.25">
      <c r="D1006" s="8"/>
    </row>
    <row r="1007" spans="4:4" x14ac:dyDescent="0.25">
      <c r="D1007" s="8"/>
    </row>
    <row r="1008" spans="4:4" x14ac:dyDescent="0.25">
      <c r="D1008" s="8"/>
    </row>
    <row r="1009" spans="4:4" x14ac:dyDescent="0.25">
      <c r="D1009" s="8"/>
    </row>
    <row r="1010" spans="4:4" x14ac:dyDescent="0.25">
      <c r="D1010" s="8"/>
    </row>
    <row r="1011" spans="4:4" x14ac:dyDescent="0.25">
      <c r="D1011" s="8"/>
    </row>
    <row r="1012" spans="4:4" x14ac:dyDescent="0.25">
      <c r="D1012" s="8"/>
    </row>
    <row r="1013" spans="4:4" x14ac:dyDescent="0.25">
      <c r="D1013" s="8"/>
    </row>
    <row r="1014" spans="4:4" x14ac:dyDescent="0.25">
      <c r="D1014" s="8"/>
    </row>
    <row r="1015" spans="4:4" x14ac:dyDescent="0.25">
      <c r="D1015" s="8"/>
    </row>
    <row r="1016" spans="4:4" x14ac:dyDescent="0.25">
      <c r="D1016" s="8"/>
    </row>
    <row r="1017" spans="4:4" x14ac:dyDescent="0.25">
      <c r="D1017" s="8"/>
    </row>
    <row r="1018" spans="4:4" x14ac:dyDescent="0.25">
      <c r="D1018" s="8"/>
    </row>
    <row r="1019" spans="4:4" x14ac:dyDescent="0.25">
      <c r="D1019" s="8"/>
    </row>
    <row r="1020" spans="4:4" x14ac:dyDescent="0.25">
      <c r="D1020" s="8"/>
    </row>
    <row r="1021" spans="4:4" x14ac:dyDescent="0.25">
      <c r="D1021" s="8"/>
    </row>
    <row r="1022" spans="4:4" x14ac:dyDescent="0.25">
      <c r="D1022" s="8"/>
    </row>
    <row r="1023" spans="4:4" x14ac:dyDescent="0.25">
      <c r="D1023" s="8"/>
    </row>
    <row r="1024" spans="4:4" x14ac:dyDescent="0.25">
      <c r="D1024" s="8"/>
    </row>
    <row r="1025" spans="4:4" x14ac:dyDescent="0.25">
      <c r="D1025" s="8"/>
    </row>
    <row r="1026" spans="4:4" x14ac:dyDescent="0.25">
      <c r="D1026" s="8"/>
    </row>
    <row r="1027" spans="4:4" x14ac:dyDescent="0.25">
      <c r="D1027" s="8"/>
    </row>
    <row r="1028" spans="4:4" x14ac:dyDescent="0.25">
      <c r="D1028" s="8"/>
    </row>
    <row r="1029" spans="4:4" x14ac:dyDescent="0.25">
      <c r="D1029" s="8"/>
    </row>
    <row r="1030" spans="4:4" x14ac:dyDescent="0.25">
      <c r="D1030" s="8"/>
    </row>
    <row r="1031" spans="4:4" x14ac:dyDescent="0.25">
      <c r="D1031" s="8"/>
    </row>
    <row r="1032" spans="4:4" x14ac:dyDescent="0.25">
      <c r="D1032" s="8"/>
    </row>
    <row r="1033" spans="4:4" x14ac:dyDescent="0.25">
      <c r="D1033" s="8"/>
    </row>
    <row r="1034" spans="4:4" x14ac:dyDescent="0.25">
      <c r="D1034" s="8"/>
    </row>
    <row r="1035" spans="4:4" x14ac:dyDescent="0.25">
      <c r="D1035" s="8"/>
    </row>
    <row r="1036" spans="4:4" x14ac:dyDescent="0.25">
      <c r="D1036" s="8"/>
    </row>
    <row r="1037" spans="4:4" x14ac:dyDescent="0.25">
      <c r="D1037" s="8"/>
    </row>
    <row r="1038" spans="4:4" x14ac:dyDescent="0.25">
      <c r="D1038" s="8"/>
    </row>
    <row r="1039" spans="4:4" x14ac:dyDescent="0.25">
      <c r="D1039" s="8"/>
    </row>
    <row r="1040" spans="4:4" x14ac:dyDescent="0.25">
      <c r="D1040" s="8"/>
    </row>
    <row r="1041" spans="4:4" x14ac:dyDescent="0.25">
      <c r="D1041" s="8"/>
    </row>
    <row r="1042" spans="4:4" x14ac:dyDescent="0.25">
      <c r="D1042" s="8"/>
    </row>
    <row r="1043" spans="4:4" x14ac:dyDescent="0.25">
      <c r="D1043" s="8"/>
    </row>
    <row r="1044" spans="4:4" x14ac:dyDescent="0.25">
      <c r="D1044" s="8"/>
    </row>
    <row r="1045" spans="4:4" x14ac:dyDescent="0.25">
      <c r="D1045" s="8"/>
    </row>
    <row r="1046" spans="4:4" x14ac:dyDescent="0.25">
      <c r="D1046" s="8"/>
    </row>
    <row r="1047" spans="4:4" x14ac:dyDescent="0.25">
      <c r="D1047" s="8"/>
    </row>
    <row r="1048" spans="4:4" x14ac:dyDescent="0.25">
      <c r="D1048" s="8"/>
    </row>
    <row r="1049" spans="4:4" x14ac:dyDescent="0.25">
      <c r="D1049" s="8"/>
    </row>
    <row r="1050" spans="4:4" x14ac:dyDescent="0.25">
      <c r="D1050" s="8"/>
    </row>
    <row r="1051" spans="4:4" x14ac:dyDescent="0.25">
      <c r="D1051" s="8"/>
    </row>
    <row r="1052" spans="4:4" x14ac:dyDescent="0.25">
      <c r="D1052" s="8"/>
    </row>
    <row r="1053" spans="4:4" x14ac:dyDescent="0.25">
      <c r="D1053" s="8"/>
    </row>
    <row r="1054" spans="4:4" x14ac:dyDescent="0.25">
      <c r="D1054" s="8"/>
    </row>
    <row r="1055" spans="4:4" x14ac:dyDescent="0.25">
      <c r="D1055" s="8"/>
    </row>
    <row r="1056" spans="4:4" x14ac:dyDescent="0.25">
      <c r="D1056" s="8"/>
    </row>
    <row r="1057" spans="4:4" x14ac:dyDescent="0.25">
      <c r="D1057" s="8"/>
    </row>
    <row r="1058" spans="4:4" x14ac:dyDescent="0.25">
      <c r="D1058" s="8"/>
    </row>
    <row r="1059" spans="4:4" x14ac:dyDescent="0.25">
      <c r="D1059" s="8"/>
    </row>
    <row r="1060" spans="4:4" x14ac:dyDescent="0.25">
      <c r="D1060" s="8"/>
    </row>
    <row r="1061" spans="4:4" x14ac:dyDescent="0.25">
      <c r="D1061" s="8"/>
    </row>
    <row r="1062" spans="4:4" x14ac:dyDescent="0.25">
      <c r="D1062" s="8"/>
    </row>
    <row r="1063" spans="4:4" x14ac:dyDescent="0.25">
      <c r="D1063" s="8"/>
    </row>
    <row r="1064" spans="4:4" x14ac:dyDescent="0.25">
      <c r="D1064" s="8"/>
    </row>
    <row r="1065" spans="4:4" x14ac:dyDescent="0.25">
      <c r="D1065" s="8"/>
    </row>
    <row r="1066" spans="4:4" x14ac:dyDescent="0.25">
      <c r="D1066" s="8"/>
    </row>
    <row r="1067" spans="4:4" x14ac:dyDescent="0.25">
      <c r="D1067" s="8"/>
    </row>
    <row r="1068" spans="4:4" x14ac:dyDescent="0.25">
      <c r="D1068" s="8"/>
    </row>
    <row r="1069" spans="4:4" x14ac:dyDescent="0.25">
      <c r="D1069" s="8"/>
    </row>
    <row r="1070" spans="4:4" x14ac:dyDescent="0.25">
      <c r="D1070" s="8"/>
    </row>
    <row r="1071" spans="4:4" x14ac:dyDescent="0.25">
      <c r="D1071" s="8"/>
    </row>
    <row r="1072" spans="4:4" x14ac:dyDescent="0.25">
      <c r="D1072" s="8"/>
    </row>
    <row r="1073" spans="4:4" x14ac:dyDescent="0.25">
      <c r="D1073" s="8"/>
    </row>
    <row r="1074" spans="4:4" x14ac:dyDescent="0.25">
      <c r="D1074" s="8"/>
    </row>
    <row r="1075" spans="4:4" x14ac:dyDescent="0.25">
      <c r="D1075" s="8"/>
    </row>
    <row r="1076" spans="4:4" x14ac:dyDescent="0.25">
      <c r="D1076" s="8"/>
    </row>
    <row r="1077" spans="4:4" x14ac:dyDescent="0.25">
      <c r="D1077" s="8"/>
    </row>
    <row r="1078" spans="4:4" x14ac:dyDescent="0.25">
      <c r="D1078" s="8"/>
    </row>
    <row r="1079" spans="4:4" x14ac:dyDescent="0.25">
      <c r="D1079" s="8"/>
    </row>
    <row r="1080" spans="4:4" x14ac:dyDescent="0.25">
      <c r="D1080" s="8"/>
    </row>
    <row r="1081" spans="4:4" x14ac:dyDescent="0.25">
      <c r="D1081" s="8"/>
    </row>
    <row r="1082" spans="4:4" x14ac:dyDescent="0.25">
      <c r="D1082" s="8"/>
    </row>
    <row r="1083" spans="4:4" x14ac:dyDescent="0.25">
      <c r="D1083" s="8"/>
    </row>
    <row r="1084" spans="4:4" x14ac:dyDescent="0.25">
      <c r="D1084" s="8"/>
    </row>
    <row r="1085" spans="4:4" x14ac:dyDescent="0.25">
      <c r="D1085" s="8"/>
    </row>
    <row r="1086" spans="4:4" x14ac:dyDescent="0.25">
      <c r="D1086" s="8"/>
    </row>
    <row r="1087" spans="4:4" x14ac:dyDescent="0.25">
      <c r="D1087" s="8"/>
    </row>
    <row r="1088" spans="4:4" x14ac:dyDescent="0.25">
      <c r="D1088" s="8"/>
    </row>
    <row r="1089" spans="4:4" x14ac:dyDescent="0.25">
      <c r="D1089" s="8"/>
    </row>
    <row r="1090" spans="4:4" x14ac:dyDescent="0.25">
      <c r="D1090" s="8"/>
    </row>
    <row r="1091" spans="4:4" x14ac:dyDescent="0.25">
      <c r="D1091" s="8"/>
    </row>
    <row r="1092" spans="4:4" x14ac:dyDescent="0.25">
      <c r="D1092" s="8"/>
    </row>
    <row r="1093" spans="4:4" x14ac:dyDescent="0.25">
      <c r="D1093" s="8"/>
    </row>
    <row r="1094" spans="4:4" x14ac:dyDescent="0.25">
      <c r="D1094" s="8"/>
    </row>
    <row r="1095" spans="4:4" x14ac:dyDescent="0.25">
      <c r="D1095" s="8"/>
    </row>
    <row r="1096" spans="4:4" x14ac:dyDescent="0.25">
      <c r="D1096" s="8"/>
    </row>
    <row r="1097" spans="4:4" x14ac:dyDescent="0.25">
      <c r="D1097" s="8"/>
    </row>
    <row r="1098" spans="4:4" x14ac:dyDescent="0.25">
      <c r="D1098" s="8"/>
    </row>
    <row r="1099" spans="4:4" x14ac:dyDescent="0.25">
      <c r="D1099" s="8"/>
    </row>
    <row r="1100" spans="4:4" x14ac:dyDescent="0.25">
      <c r="D1100" s="8"/>
    </row>
    <row r="1101" spans="4:4" x14ac:dyDescent="0.25">
      <c r="D1101" s="8"/>
    </row>
    <row r="1102" spans="4:4" x14ac:dyDescent="0.25">
      <c r="D1102" s="8"/>
    </row>
    <row r="1103" spans="4:4" x14ac:dyDescent="0.25">
      <c r="D1103" s="8"/>
    </row>
    <row r="1104" spans="4:4" x14ac:dyDescent="0.25">
      <c r="D1104" s="8"/>
    </row>
    <row r="1105" spans="4:4" x14ac:dyDescent="0.25">
      <c r="D1105" s="8"/>
    </row>
    <row r="1106" spans="4:4" x14ac:dyDescent="0.25">
      <c r="D1106" s="8"/>
    </row>
    <row r="1107" spans="4:4" x14ac:dyDescent="0.25">
      <c r="D1107" s="8"/>
    </row>
    <row r="1108" spans="4:4" x14ac:dyDescent="0.25">
      <c r="D1108" s="8"/>
    </row>
    <row r="1109" spans="4:4" x14ac:dyDescent="0.25">
      <c r="D1109" s="8"/>
    </row>
    <row r="1110" spans="4:4" x14ac:dyDescent="0.25">
      <c r="D1110" s="8"/>
    </row>
    <row r="1111" spans="4:4" x14ac:dyDescent="0.25">
      <c r="D1111" s="8"/>
    </row>
    <row r="1112" spans="4:4" x14ac:dyDescent="0.25">
      <c r="D1112" s="8"/>
    </row>
    <row r="1113" spans="4:4" x14ac:dyDescent="0.25">
      <c r="D1113" s="8"/>
    </row>
    <row r="1114" spans="4:4" x14ac:dyDescent="0.25">
      <c r="D1114" s="8"/>
    </row>
    <row r="1115" spans="4:4" x14ac:dyDescent="0.25">
      <c r="D1115" s="8"/>
    </row>
    <row r="1116" spans="4:4" x14ac:dyDescent="0.25">
      <c r="D1116" s="8"/>
    </row>
    <row r="1117" spans="4:4" x14ac:dyDescent="0.25">
      <c r="D1117" s="8"/>
    </row>
    <row r="1118" spans="4:4" x14ac:dyDescent="0.25">
      <c r="D1118" s="8"/>
    </row>
    <row r="1119" spans="4:4" x14ac:dyDescent="0.25">
      <c r="D1119" s="8"/>
    </row>
    <row r="1120" spans="4:4" x14ac:dyDescent="0.25">
      <c r="D1120" s="8"/>
    </row>
    <row r="1121" spans="4:4" x14ac:dyDescent="0.25">
      <c r="D1121" s="8"/>
    </row>
    <row r="1122" spans="4:4" x14ac:dyDescent="0.25">
      <c r="D1122" s="8"/>
    </row>
    <row r="1123" spans="4:4" x14ac:dyDescent="0.25">
      <c r="D1123" s="8"/>
    </row>
    <row r="1124" spans="4:4" x14ac:dyDescent="0.25">
      <c r="D1124" s="8"/>
    </row>
    <row r="1125" spans="4:4" x14ac:dyDescent="0.25">
      <c r="D1125" s="8"/>
    </row>
    <row r="1126" spans="4:4" x14ac:dyDescent="0.25">
      <c r="D1126" s="8"/>
    </row>
    <row r="1127" spans="4:4" x14ac:dyDescent="0.25">
      <c r="D1127" s="8"/>
    </row>
    <row r="1128" spans="4:4" x14ac:dyDescent="0.25">
      <c r="D1128" s="8"/>
    </row>
    <row r="1129" spans="4:4" x14ac:dyDescent="0.25">
      <c r="D1129" s="8"/>
    </row>
    <row r="1130" spans="4:4" x14ac:dyDescent="0.25">
      <c r="D1130" s="8"/>
    </row>
    <row r="1131" spans="4:4" x14ac:dyDescent="0.25">
      <c r="D1131" s="8"/>
    </row>
    <row r="1132" spans="4:4" x14ac:dyDescent="0.25">
      <c r="D1132" s="8"/>
    </row>
    <row r="1133" spans="4:4" x14ac:dyDescent="0.25">
      <c r="D1133" s="8"/>
    </row>
    <row r="1134" spans="4:4" x14ac:dyDescent="0.25">
      <c r="D1134" s="8"/>
    </row>
    <row r="1135" spans="4:4" x14ac:dyDescent="0.25">
      <c r="D1135" s="8"/>
    </row>
    <row r="1136" spans="4:4" x14ac:dyDescent="0.25">
      <c r="D1136" s="8"/>
    </row>
    <row r="1137" spans="4:4" x14ac:dyDescent="0.25">
      <c r="D1137" s="8"/>
    </row>
    <row r="1138" spans="4:4" x14ac:dyDescent="0.25">
      <c r="D1138" s="8"/>
    </row>
    <row r="1139" spans="4:4" x14ac:dyDescent="0.25">
      <c r="D1139" s="8"/>
    </row>
    <row r="1140" spans="4:4" x14ac:dyDescent="0.25">
      <c r="D1140" s="8"/>
    </row>
    <row r="1141" spans="4:4" x14ac:dyDescent="0.25">
      <c r="D1141" s="8"/>
    </row>
    <row r="1142" spans="4:4" x14ac:dyDescent="0.25">
      <c r="D1142" s="8"/>
    </row>
    <row r="1143" spans="4:4" x14ac:dyDescent="0.25">
      <c r="D1143" s="8"/>
    </row>
    <row r="1144" spans="4:4" x14ac:dyDescent="0.25">
      <c r="D1144" s="8"/>
    </row>
    <row r="1145" spans="4:4" x14ac:dyDescent="0.25">
      <c r="D1145" s="8"/>
    </row>
    <row r="1146" spans="4:4" x14ac:dyDescent="0.25">
      <c r="D1146" s="8"/>
    </row>
    <row r="1147" spans="4:4" x14ac:dyDescent="0.25">
      <c r="D1147" s="8"/>
    </row>
    <row r="1148" spans="4:4" x14ac:dyDescent="0.25">
      <c r="D1148" s="8"/>
    </row>
    <row r="1149" spans="4:4" x14ac:dyDescent="0.25">
      <c r="D1149" s="8"/>
    </row>
    <row r="1150" spans="4:4" x14ac:dyDescent="0.25">
      <c r="D1150" s="8"/>
    </row>
    <row r="1151" spans="4:4" x14ac:dyDescent="0.25">
      <c r="D1151" s="8"/>
    </row>
    <row r="1152" spans="4:4" x14ac:dyDescent="0.25">
      <c r="D1152" s="8"/>
    </row>
    <row r="1153" spans="4:4" x14ac:dyDescent="0.25">
      <c r="D1153" s="8"/>
    </row>
    <row r="1154" spans="4:4" x14ac:dyDescent="0.25">
      <c r="D1154" s="8"/>
    </row>
    <row r="1155" spans="4:4" x14ac:dyDescent="0.25">
      <c r="D1155" s="8"/>
    </row>
    <row r="1156" spans="4:4" x14ac:dyDescent="0.25">
      <c r="D1156" s="8"/>
    </row>
    <row r="1157" spans="4:4" x14ac:dyDescent="0.25">
      <c r="D1157" s="8"/>
    </row>
    <row r="1158" spans="4:4" x14ac:dyDescent="0.25">
      <c r="D1158" s="8"/>
    </row>
    <row r="1159" spans="4:4" x14ac:dyDescent="0.25">
      <c r="D1159" s="8"/>
    </row>
    <row r="1160" spans="4:4" x14ac:dyDescent="0.25">
      <c r="D1160" s="8"/>
    </row>
    <row r="1161" spans="4:4" x14ac:dyDescent="0.25">
      <c r="D1161" s="8"/>
    </row>
    <row r="1162" spans="4:4" x14ac:dyDescent="0.25">
      <c r="D1162" s="8"/>
    </row>
    <row r="1163" spans="4:4" x14ac:dyDescent="0.25">
      <c r="D1163" s="8"/>
    </row>
    <row r="1164" spans="4:4" x14ac:dyDescent="0.25">
      <c r="D1164" s="8"/>
    </row>
    <row r="1165" spans="4:4" x14ac:dyDescent="0.25">
      <c r="D1165" s="8"/>
    </row>
    <row r="1166" spans="4:4" x14ac:dyDescent="0.25">
      <c r="D1166" s="8"/>
    </row>
    <row r="1167" spans="4:4" x14ac:dyDescent="0.25">
      <c r="D1167" s="8"/>
    </row>
    <row r="1168" spans="4:4" x14ac:dyDescent="0.25">
      <c r="D1168" s="8"/>
    </row>
    <row r="1169" spans="4:4" x14ac:dyDescent="0.25">
      <c r="D1169" s="8"/>
    </row>
    <row r="1170" spans="4:4" x14ac:dyDescent="0.25">
      <c r="D1170" s="8"/>
    </row>
    <row r="1171" spans="4:4" x14ac:dyDescent="0.25">
      <c r="D1171" s="8"/>
    </row>
    <row r="1172" spans="4:4" x14ac:dyDescent="0.25">
      <c r="D1172" s="8"/>
    </row>
    <row r="1173" spans="4:4" x14ac:dyDescent="0.25">
      <c r="D1173" s="8"/>
    </row>
    <row r="1174" spans="4:4" x14ac:dyDescent="0.25">
      <c r="D1174" s="8"/>
    </row>
    <row r="1175" spans="4:4" x14ac:dyDescent="0.25">
      <c r="D1175" s="8"/>
    </row>
    <row r="1176" spans="4:4" x14ac:dyDescent="0.25">
      <c r="D1176" s="8"/>
    </row>
    <row r="1177" spans="4:4" x14ac:dyDescent="0.25">
      <c r="D1177" s="8"/>
    </row>
    <row r="1178" spans="4:4" x14ac:dyDescent="0.25">
      <c r="D1178" s="8"/>
    </row>
    <row r="1179" spans="4:4" x14ac:dyDescent="0.25">
      <c r="D1179" s="8"/>
    </row>
    <row r="1180" spans="4:4" x14ac:dyDescent="0.25">
      <c r="D1180" s="8"/>
    </row>
    <row r="1181" spans="4:4" x14ac:dyDescent="0.25">
      <c r="D1181" s="8"/>
    </row>
    <row r="1182" spans="4:4" x14ac:dyDescent="0.25">
      <c r="D1182" s="8"/>
    </row>
    <row r="1183" spans="4:4" x14ac:dyDescent="0.25">
      <c r="D1183" s="8"/>
    </row>
    <row r="1184" spans="4:4" x14ac:dyDescent="0.25">
      <c r="D1184" s="8"/>
    </row>
    <row r="1185" spans="4:4" x14ac:dyDescent="0.25">
      <c r="D1185" s="8"/>
    </row>
    <row r="1186" spans="4:4" x14ac:dyDescent="0.25">
      <c r="D1186" s="8"/>
    </row>
    <row r="1187" spans="4:4" x14ac:dyDescent="0.25">
      <c r="D1187" s="8"/>
    </row>
    <row r="1188" spans="4:4" x14ac:dyDescent="0.25">
      <c r="D1188" s="8"/>
    </row>
    <row r="1189" spans="4:4" x14ac:dyDescent="0.25">
      <c r="D1189" s="8"/>
    </row>
    <row r="1190" spans="4:4" x14ac:dyDescent="0.25">
      <c r="D1190" s="8"/>
    </row>
    <row r="1191" spans="4:4" x14ac:dyDescent="0.25">
      <c r="D1191" s="8"/>
    </row>
    <row r="1192" spans="4:4" x14ac:dyDescent="0.25">
      <c r="D1192" s="8"/>
    </row>
    <row r="1193" spans="4:4" x14ac:dyDescent="0.25">
      <c r="D1193" s="8"/>
    </row>
    <row r="1194" spans="4:4" x14ac:dyDescent="0.25">
      <c r="D1194" s="8"/>
    </row>
    <row r="1195" spans="4:4" x14ac:dyDescent="0.25">
      <c r="D1195" s="8"/>
    </row>
    <row r="1196" spans="4:4" x14ac:dyDescent="0.25">
      <c r="D1196" s="8"/>
    </row>
    <row r="1197" spans="4:4" x14ac:dyDescent="0.25">
      <c r="D1197" s="8"/>
    </row>
    <row r="1198" spans="4:4" x14ac:dyDescent="0.25">
      <c r="D1198" s="8"/>
    </row>
    <row r="1199" spans="4:4" x14ac:dyDescent="0.25">
      <c r="D1199" s="8"/>
    </row>
    <row r="1200" spans="4:4" x14ac:dyDescent="0.25">
      <c r="D1200" s="8"/>
    </row>
    <row r="1201" spans="4:4" x14ac:dyDescent="0.25">
      <c r="D1201" s="8"/>
    </row>
    <row r="1202" spans="4:4" x14ac:dyDescent="0.25">
      <c r="D1202" s="8"/>
    </row>
    <row r="1203" spans="4:4" x14ac:dyDescent="0.25">
      <c r="D1203" s="8"/>
    </row>
    <row r="1204" spans="4:4" x14ac:dyDescent="0.25">
      <c r="D1204" s="8"/>
    </row>
    <row r="1205" spans="4:4" x14ac:dyDescent="0.25">
      <c r="D1205" s="8"/>
    </row>
    <row r="1206" spans="4:4" x14ac:dyDescent="0.25">
      <c r="D1206" s="8"/>
    </row>
    <row r="1207" spans="4:4" x14ac:dyDescent="0.25">
      <c r="D1207" s="8"/>
    </row>
    <row r="1208" spans="4:4" x14ac:dyDescent="0.25">
      <c r="D1208" s="8"/>
    </row>
    <row r="1209" spans="4:4" x14ac:dyDescent="0.25">
      <c r="D1209" s="8"/>
    </row>
    <row r="1210" spans="4:4" x14ac:dyDescent="0.25">
      <c r="D1210" s="8"/>
    </row>
    <row r="1211" spans="4:4" x14ac:dyDescent="0.25">
      <c r="D1211" s="8"/>
    </row>
    <row r="1212" spans="4:4" x14ac:dyDescent="0.25">
      <c r="D1212" s="8"/>
    </row>
    <row r="1213" spans="4:4" x14ac:dyDescent="0.25">
      <c r="D1213" s="8"/>
    </row>
    <row r="1214" spans="4:4" x14ac:dyDescent="0.25">
      <c r="D1214" s="8"/>
    </row>
    <row r="1215" spans="4:4" x14ac:dyDescent="0.25">
      <c r="D1215" s="8"/>
    </row>
    <row r="1216" spans="4:4" x14ac:dyDescent="0.25">
      <c r="D1216" s="8"/>
    </row>
    <row r="1217" spans="4:4" x14ac:dyDescent="0.25">
      <c r="D1217" s="8"/>
    </row>
    <row r="1218" spans="4:4" x14ac:dyDescent="0.25">
      <c r="D1218" s="8"/>
    </row>
    <row r="1219" spans="4:4" x14ac:dyDescent="0.25">
      <c r="D1219" s="8"/>
    </row>
    <row r="1220" spans="4:4" x14ac:dyDescent="0.25">
      <c r="D1220" s="8"/>
    </row>
    <row r="1221" spans="4:4" x14ac:dyDescent="0.25">
      <c r="D1221" s="8"/>
    </row>
    <row r="1222" spans="4:4" x14ac:dyDescent="0.25">
      <c r="D1222" s="8"/>
    </row>
    <row r="1223" spans="4:4" x14ac:dyDescent="0.25">
      <c r="D1223" s="8"/>
    </row>
    <row r="1224" spans="4:4" x14ac:dyDescent="0.25">
      <c r="D1224" s="8"/>
    </row>
    <row r="1225" spans="4:4" x14ac:dyDescent="0.25">
      <c r="D1225" s="8"/>
    </row>
    <row r="1226" spans="4:4" x14ac:dyDescent="0.25">
      <c r="D1226" s="8"/>
    </row>
    <row r="1227" spans="4:4" x14ac:dyDescent="0.25">
      <c r="D1227" s="8"/>
    </row>
    <row r="1228" spans="4:4" x14ac:dyDescent="0.25">
      <c r="D1228" s="8"/>
    </row>
    <row r="1229" spans="4:4" x14ac:dyDescent="0.25">
      <c r="D1229" s="8"/>
    </row>
    <row r="1230" spans="4:4" x14ac:dyDescent="0.25">
      <c r="D1230" s="8"/>
    </row>
    <row r="1231" spans="4:4" x14ac:dyDescent="0.25">
      <c r="D1231" s="8"/>
    </row>
    <row r="1232" spans="4:4" x14ac:dyDescent="0.25">
      <c r="D1232" s="8"/>
    </row>
    <row r="1233" spans="4:4" x14ac:dyDescent="0.25">
      <c r="D1233" s="8"/>
    </row>
    <row r="1234" spans="4:4" x14ac:dyDescent="0.25">
      <c r="D1234" s="8"/>
    </row>
    <row r="1235" spans="4:4" x14ac:dyDescent="0.25">
      <c r="D1235" s="8"/>
    </row>
    <row r="1236" spans="4:4" x14ac:dyDescent="0.25">
      <c r="D1236" s="8"/>
    </row>
    <row r="1237" spans="4:4" x14ac:dyDescent="0.25">
      <c r="D1237" s="8"/>
    </row>
    <row r="1238" spans="4:4" x14ac:dyDescent="0.25">
      <c r="D1238" s="8"/>
    </row>
    <row r="1239" spans="4:4" x14ac:dyDescent="0.25">
      <c r="D1239" s="8"/>
    </row>
    <row r="1240" spans="4:4" x14ac:dyDescent="0.25">
      <c r="D1240" s="8"/>
    </row>
    <row r="1241" spans="4:4" x14ac:dyDescent="0.25">
      <c r="D1241" s="8"/>
    </row>
    <row r="1242" spans="4:4" x14ac:dyDescent="0.25">
      <c r="D1242" s="8"/>
    </row>
    <row r="1243" spans="4:4" x14ac:dyDescent="0.25">
      <c r="D1243" s="8"/>
    </row>
    <row r="1244" spans="4:4" x14ac:dyDescent="0.25">
      <c r="D1244" s="8"/>
    </row>
    <row r="1245" spans="4:4" x14ac:dyDescent="0.25">
      <c r="D1245" s="8"/>
    </row>
    <row r="1246" spans="4:4" x14ac:dyDescent="0.25">
      <c r="D1246" s="8"/>
    </row>
    <row r="1247" spans="4:4" x14ac:dyDescent="0.25">
      <c r="D1247" s="8"/>
    </row>
    <row r="1248" spans="4:4" x14ac:dyDescent="0.25">
      <c r="D1248" s="8"/>
    </row>
    <row r="1249" spans="4:4" x14ac:dyDescent="0.25">
      <c r="D1249" s="8"/>
    </row>
    <row r="1250" spans="4:4" x14ac:dyDescent="0.25">
      <c r="D1250" s="8"/>
    </row>
    <row r="1251" spans="4:4" x14ac:dyDescent="0.25">
      <c r="D1251" s="8"/>
    </row>
    <row r="1252" spans="4:4" x14ac:dyDescent="0.25">
      <c r="D1252" s="8"/>
    </row>
    <row r="1253" spans="4:4" x14ac:dyDescent="0.25">
      <c r="D1253" s="8"/>
    </row>
    <row r="1254" spans="4:4" x14ac:dyDescent="0.25">
      <c r="D1254" s="8"/>
    </row>
    <row r="1255" spans="4:4" x14ac:dyDescent="0.25">
      <c r="D1255" s="8"/>
    </row>
    <row r="1256" spans="4:4" x14ac:dyDescent="0.25">
      <c r="D1256" s="8"/>
    </row>
    <row r="1257" spans="4:4" x14ac:dyDescent="0.25">
      <c r="D1257" s="8"/>
    </row>
    <row r="1258" spans="4:4" x14ac:dyDescent="0.25">
      <c r="D1258" s="8"/>
    </row>
    <row r="1259" spans="4:4" x14ac:dyDescent="0.25">
      <c r="D1259" s="8"/>
    </row>
    <row r="1260" spans="4:4" x14ac:dyDescent="0.25">
      <c r="D1260" s="8"/>
    </row>
    <row r="1261" spans="4:4" x14ac:dyDescent="0.25">
      <c r="D1261" s="8"/>
    </row>
    <row r="1262" spans="4:4" x14ac:dyDescent="0.25">
      <c r="D1262" s="8"/>
    </row>
    <row r="1263" spans="4:4" x14ac:dyDescent="0.25">
      <c r="D1263" s="8"/>
    </row>
    <row r="1264" spans="4:4" x14ac:dyDescent="0.25">
      <c r="D1264" s="8"/>
    </row>
    <row r="1265" spans="4:4" x14ac:dyDescent="0.25">
      <c r="D1265" s="8"/>
    </row>
    <row r="1266" spans="4:4" x14ac:dyDescent="0.25">
      <c r="D1266" s="8"/>
    </row>
    <row r="1267" spans="4:4" x14ac:dyDescent="0.25">
      <c r="D1267" s="8"/>
    </row>
    <row r="1268" spans="4:4" x14ac:dyDescent="0.25">
      <c r="D1268" s="8"/>
    </row>
    <row r="1269" spans="4:4" x14ac:dyDescent="0.25">
      <c r="D1269" s="8"/>
    </row>
    <row r="1270" spans="4:4" x14ac:dyDescent="0.25">
      <c r="D1270" s="8"/>
    </row>
    <row r="1271" spans="4:4" x14ac:dyDescent="0.25">
      <c r="D1271" s="8"/>
    </row>
    <row r="1272" spans="4:4" x14ac:dyDescent="0.25">
      <c r="D1272" s="8"/>
    </row>
    <row r="1273" spans="4:4" x14ac:dyDescent="0.25">
      <c r="D1273" s="8"/>
    </row>
    <row r="1274" spans="4:4" x14ac:dyDescent="0.25">
      <c r="D1274" s="8"/>
    </row>
    <row r="1275" spans="4:4" x14ac:dyDescent="0.25">
      <c r="D1275" s="8"/>
    </row>
    <row r="1276" spans="4:4" x14ac:dyDescent="0.25">
      <c r="D1276" s="8"/>
    </row>
    <row r="1277" spans="4:4" x14ac:dyDescent="0.25">
      <c r="D1277" s="8"/>
    </row>
    <row r="1278" spans="4:4" x14ac:dyDescent="0.25">
      <c r="D1278" s="8"/>
    </row>
    <row r="1279" spans="4:4" x14ac:dyDescent="0.25">
      <c r="D1279" s="8"/>
    </row>
    <row r="1280" spans="4:4" x14ac:dyDescent="0.25">
      <c r="D1280" s="8"/>
    </row>
    <row r="1281" spans="4:4" x14ac:dyDescent="0.25">
      <c r="D1281" s="8"/>
    </row>
    <row r="1282" spans="4:4" x14ac:dyDescent="0.25">
      <c r="D1282" s="8"/>
    </row>
    <row r="1283" spans="4:4" x14ac:dyDescent="0.25">
      <c r="D1283" s="8"/>
    </row>
    <row r="1284" spans="4:4" x14ac:dyDescent="0.25">
      <c r="D1284" s="8"/>
    </row>
    <row r="1285" spans="4:4" x14ac:dyDescent="0.25">
      <c r="D1285" s="8"/>
    </row>
    <row r="1286" spans="4:4" x14ac:dyDescent="0.25">
      <c r="D1286" s="8"/>
    </row>
    <row r="1287" spans="4:4" x14ac:dyDescent="0.25">
      <c r="D1287" s="8"/>
    </row>
    <row r="1288" spans="4:4" x14ac:dyDescent="0.25">
      <c r="D1288" s="8"/>
    </row>
    <row r="1289" spans="4:4" x14ac:dyDescent="0.25">
      <c r="D1289" s="8"/>
    </row>
    <row r="1290" spans="4:4" x14ac:dyDescent="0.25">
      <c r="D1290" s="8"/>
    </row>
    <row r="1291" spans="4:4" x14ac:dyDescent="0.25">
      <c r="D1291" s="8"/>
    </row>
    <row r="1292" spans="4:4" x14ac:dyDescent="0.25">
      <c r="D1292" s="8"/>
    </row>
    <row r="1293" spans="4:4" x14ac:dyDescent="0.25">
      <c r="D1293" s="8"/>
    </row>
    <row r="1294" spans="4:4" x14ac:dyDescent="0.25">
      <c r="D1294" s="8"/>
    </row>
    <row r="1295" spans="4:4" x14ac:dyDescent="0.25">
      <c r="D1295" s="8"/>
    </row>
    <row r="1296" spans="4:4" x14ac:dyDescent="0.25">
      <c r="D1296" s="8"/>
    </row>
    <row r="1297" spans="4:4" x14ac:dyDescent="0.25">
      <c r="D1297" s="8"/>
    </row>
    <row r="1298" spans="4:4" x14ac:dyDescent="0.25">
      <c r="D1298" s="8"/>
    </row>
    <row r="1299" spans="4:4" x14ac:dyDescent="0.25">
      <c r="D1299" s="8"/>
    </row>
    <row r="1300" spans="4:4" x14ac:dyDescent="0.25">
      <c r="D1300" s="8"/>
    </row>
    <row r="1301" spans="4:4" x14ac:dyDescent="0.25">
      <c r="D1301" s="8"/>
    </row>
    <row r="1302" spans="4:4" x14ac:dyDescent="0.25">
      <c r="D1302" s="8"/>
    </row>
    <row r="1303" spans="4:4" x14ac:dyDescent="0.25">
      <c r="D1303" s="8"/>
    </row>
    <row r="1304" spans="4:4" x14ac:dyDescent="0.25">
      <c r="D1304" s="8"/>
    </row>
    <row r="1305" spans="4:4" x14ac:dyDescent="0.25">
      <c r="D1305" s="8"/>
    </row>
    <row r="1306" spans="4:4" x14ac:dyDescent="0.25">
      <c r="D1306" s="8"/>
    </row>
    <row r="1307" spans="4:4" x14ac:dyDescent="0.25">
      <c r="D1307" s="8"/>
    </row>
    <row r="1308" spans="4:4" x14ac:dyDescent="0.25">
      <c r="D1308" s="8"/>
    </row>
    <row r="1309" spans="4:4" x14ac:dyDescent="0.25">
      <c r="D1309" s="8"/>
    </row>
    <row r="1310" spans="4:4" x14ac:dyDescent="0.25">
      <c r="D1310" s="8"/>
    </row>
    <row r="1311" spans="4:4" x14ac:dyDescent="0.25">
      <c r="D1311" s="8"/>
    </row>
    <row r="1312" spans="4:4" x14ac:dyDescent="0.25">
      <c r="D1312" s="8"/>
    </row>
    <row r="1313" spans="4:4" x14ac:dyDescent="0.25">
      <c r="D1313" s="8"/>
    </row>
    <row r="1314" spans="4:4" x14ac:dyDescent="0.25">
      <c r="D1314" s="8"/>
    </row>
    <row r="1315" spans="4:4" x14ac:dyDescent="0.25">
      <c r="D1315" s="8"/>
    </row>
    <row r="1316" spans="4:4" x14ac:dyDescent="0.25">
      <c r="D1316" s="8"/>
    </row>
    <row r="1317" spans="4:4" x14ac:dyDescent="0.25">
      <c r="D1317" s="8"/>
    </row>
    <row r="1318" spans="4:4" x14ac:dyDescent="0.25">
      <c r="D1318" s="8"/>
    </row>
    <row r="1319" spans="4:4" x14ac:dyDescent="0.25">
      <c r="D1319" s="8"/>
    </row>
    <row r="1320" spans="4:4" x14ac:dyDescent="0.25">
      <c r="D1320" s="8"/>
    </row>
    <row r="1321" spans="4:4" x14ac:dyDescent="0.25">
      <c r="D1321" s="8"/>
    </row>
    <row r="1322" spans="4:4" x14ac:dyDescent="0.25">
      <c r="D1322" s="8"/>
    </row>
    <row r="1323" spans="4:4" x14ac:dyDescent="0.25">
      <c r="D1323" s="8"/>
    </row>
    <row r="1324" spans="4:4" x14ac:dyDescent="0.25">
      <c r="D1324" s="8"/>
    </row>
    <row r="1325" spans="4:4" x14ac:dyDescent="0.25">
      <c r="D1325" s="8"/>
    </row>
    <row r="1326" spans="4:4" x14ac:dyDescent="0.25">
      <c r="D1326" s="8"/>
    </row>
    <row r="1327" spans="4:4" x14ac:dyDescent="0.25">
      <c r="D1327" s="8"/>
    </row>
    <row r="1328" spans="4:4" x14ac:dyDescent="0.25">
      <c r="D1328" s="8"/>
    </row>
    <row r="1329" spans="4:4" x14ac:dyDescent="0.25">
      <c r="D1329" s="8"/>
    </row>
    <row r="1330" spans="4:4" x14ac:dyDescent="0.25">
      <c r="D1330" s="8"/>
    </row>
    <row r="1331" spans="4:4" x14ac:dyDescent="0.25">
      <c r="D1331" s="8"/>
    </row>
    <row r="1332" spans="4:4" x14ac:dyDescent="0.25">
      <c r="D1332" s="8"/>
    </row>
    <row r="1333" spans="4:4" x14ac:dyDescent="0.25">
      <c r="D1333" s="8"/>
    </row>
    <row r="1334" spans="4:4" x14ac:dyDescent="0.25">
      <c r="D1334" s="8"/>
    </row>
    <row r="1335" spans="4:4" x14ac:dyDescent="0.25">
      <c r="D1335" s="8"/>
    </row>
    <row r="1336" spans="4:4" x14ac:dyDescent="0.25">
      <c r="D1336" s="8"/>
    </row>
    <row r="1337" spans="4:4" x14ac:dyDescent="0.25">
      <c r="D1337" s="8"/>
    </row>
    <row r="1338" spans="4:4" x14ac:dyDescent="0.25">
      <c r="D1338" s="8"/>
    </row>
    <row r="1339" spans="4:4" x14ac:dyDescent="0.25">
      <c r="D1339" s="8"/>
    </row>
    <row r="1340" spans="4:4" x14ac:dyDescent="0.25">
      <c r="D1340" s="8"/>
    </row>
    <row r="1341" spans="4:4" x14ac:dyDescent="0.25">
      <c r="D1341" s="8"/>
    </row>
    <row r="1342" spans="4:4" x14ac:dyDescent="0.25">
      <c r="D1342" s="8"/>
    </row>
    <row r="1343" spans="4:4" x14ac:dyDescent="0.25">
      <c r="D1343" s="8"/>
    </row>
    <row r="1344" spans="4:4" x14ac:dyDescent="0.25">
      <c r="D1344" s="8"/>
    </row>
    <row r="1345" spans="4:4" x14ac:dyDescent="0.25">
      <c r="D1345" s="8"/>
    </row>
    <row r="1346" spans="4:4" x14ac:dyDescent="0.25">
      <c r="D1346" s="8"/>
    </row>
    <row r="1347" spans="4:4" x14ac:dyDescent="0.25">
      <c r="D1347" s="8"/>
    </row>
    <row r="1348" spans="4:4" x14ac:dyDescent="0.25">
      <c r="D1348" s="8"/>
    </row>
    <row r="1349" spans="4:4" x14ac:dyDescent="0.25">
      <c r="D1349" s="8"/>
    </row>
    <row r="1350" spans="4:4" x14ac:dyDescent="0.25">
      <c r="D1350" s="8"/>
    </row>
    <row r="1351" spans="4:4" x14ac:dyDescent="0.25">
      <c r="D1351" s="8"/>
    </row>
    <row r="1352" spans="4:4" x14ac:dyDescent="0.25">
      <c r="D1352" s="8"/>
    </row>
    <row r="1353" spans="4:4" x14ac:dyDescent="0.25">
      <c r="D1353" s="8"/>
    </row>
    <row r="1354" spans="4:4" x14ac:dyDescent="0.25">
      <c r="D1354" s="8"/>
    </row>
    <row r="1355" spans="4:4" x14ac:dyDescent="0.25">
      <c r="D1355" s="8"/>
    </row>
    <row r="1356" spans="4:4" x14ac:dyDescent="0.25">
      <c r="D1356" s="8"/>
    </row>
    <row r="1357" spans="4:4" x14ac:dyDescent="0.25">
      <c r="D1357" s="8"/>
    </row>
    <row r="1358" spans="4:4" x14ac:dyDescent="0.25">
      <c r="D1358" s="8"/>
    </row>
    <row r="1359" spans="4:4" x14ac:dyDescent="0.25">
      <c r="D1359" s="8"/>
    </row>
    <row r="1360" spans="4:4" x14ac:dyDescent="0.25">
      <c r="D1360" s="8"/>
    </row>
    <row r="1361" spans="4:4" x14ac:dyDescent="0.25">
      <c r="D1361" s="8"/>
    </row>
    <row r="1362" spans="4:4" x14ac:dyDescent="0.25">
      <c r="D1362" s="8"/>
    </row>
    <row r="1363" spans="4:4" x14ac:dyDescent="0.25">
      <c r="D1363" s="8"/>
    </row>
    <row r="1364" spans="4:4" x14ac:dyDescent="0.25">
      <c r="D1364" s="8"/>
    </row>
    <row r="1365" spans="4:4" x14ac:dyDescent="0.25">
      <c r="D1365" s="8"/>
    </row>
    <row r="1366" spans="4:4" x14ac:dyDescent="0.25">
      <c r="D1366" s="8"/>
    </row>
    <row r="1367" spans="4:4" x14ac:dyDescent="0.25">
      <c r="D1367" s="8"/>
    </row>
    <row r="1368" spans="4:4" x14ac:dyDescent="0.25">
      <c r="D1368" s="8"/>
    </row>
    <row r="1369" spans="4:4" x14ac:dyDescent="0.25">
      <c r="D1369" s="8"/>
    </row>
    <row r="1370" spans="4:4" x14ac:dyDescent="0.25">
      <c r="D1370" s="8"/>
    </row>
    <row r="1371" spans="4:4" x14ac:dyDescent="0.25">
      <c r="D1371" s="8"/>
    </row>
    <row r="1372" spans="4:4" x14ac:dyDescent="0.25">
      <c r="D1372" s="8"/>
    </row>
    <row r="1373" spans="4:4" x14ac:dyDescent="0.25">
      <c r="D1373" s="8"/>
    </row>
    <row r="1374" spans="4:4" x14ac:dyDescent="0.25">
      <c r="D1374" s="8"/>
    </row>
    <row r="1375" spans="4:4" x14ac:dyDescent="0.25">
      <c r="D1375" s="8"/>
    </row>
    <row r="1376" spans="4:4" x14ac:dyDescent="0.25">
      <c r="D1376" s="8"/>
    </row>
    <row r="1377" spans="4:4" x14ac:dyDescent="0.25">
      <c r="D1377" s="8"/>
    </row>
    <row r="1378" spans="4:4" x14ac:dyDescent="0.25">
      <c r="D1378" s="8"/>
    </row>
    <row r="1379" spans="4:4" x14ac:dyDescent="0.25">
      <c r="D1379" s="8"/>
    </row>
    <row r="1380" spans="4:4" x14ac:dyDescent="0.25">
      <c r="D1380" s="8"/>
    </row>
    <row r="1381" spans="4:4" x14ac:dyDescent="0.25">
      <c r="D1381" s="8"/>
    </row>
    <row r="1382" spans="4:4" x14ac:dyDescent="0.25">
      <c r="D1382" s="8"/>
    </row>
    <row r="1383" spans="4:4" x14ac:dyDescent="0.25">
      <c r="D1383" s="8"/>
    </row>
    <row r="1384" spans="4:4" x14ac:dyDescent="0.25">
      <c r="D1384" s="8"/>
    </row>
    <row r="1385" spans="4:4" x14ac:dyDescent="0.25">
      <c r="D1385" s="8"/>
    </row>
    <row r="1386" spans="4:4" x14ac:dyDescent="0.25">
      <c r="D1386" s="8"/>
    </row>
    <row r="1387" spans="4:4" x14ac:dyDescent="0.25">
      <c r="D1387" s="8"/>
    </row>
    <row r="1388" spans="4:4" x14ac:dyDescent="0.25">
      <c r="D1388" s="8"/>
    </row>
    <row r="1389" spans="4:4" x14ac:dyDescent="0.25">
      <c r="D1389" s="8"/>
    </row>
    <row r="1390" spans="4:4" x14ac:dyDescent="0.25">
      <c r="D1390" s="8"/>
    </row>
    <row r="1391" spans="4:4" x14ac:dyDescent="0.25">
      <c r="D1391" s="8"/>
    </row>
    <row r="1392" spans="4:4" x14ac:dyDescent="0.25">
      <c r="D1392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banco</vt:lpstr>
      <vt:lpstr>procv</vt:lpstr>
      <vt:lpstr>banco regsau</vt:lpstr>
      <vt:lpstr>população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 Alves de Carvalho Costa</dc:creator>
  <cp:lastModifiedBy>WALTER SOARES BORGES NETO</cp:lastModifiedBy>
  <dcterms:created xsi:type="dcterms:W3CDTF">2025-12-17T20:07:50Z</dcterms:created>
  <dcterms:modified xsi:type="dcterms:W3CDTF">2026-02-05T13:17:15Z</dcterms:modified>
</cp:coreProperties>
</file>