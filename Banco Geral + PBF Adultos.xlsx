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14385" yWindow="-15" windowWidth="14430" windowHeight="12720" tabRatio="671"/>
  </bookViews>
  <sheets>
    <sheet name="banco" sheetId="1" r:id="rId1"/>
    <sheet name="procv" sheetId="2" r:id="rId2"/>
    <sheet name="banco regsau" sheetId="6" r:id="rId3"/>
    <sheet name="população" sheetId="8" r:id="rId4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9" i="1" l="1"/>
  <c r="H419" i="1"/>
  <c r="J419" i="1"/>
  <c r="L419" i="1"/>
  <c r="N419" i="1"/>
  <c r="P419" i="1"/>
  <c r="R419" i="1"/>
  <c r="T419" i="1"/>
  <c r="V419" i="1"/>
  <c r="X419" i="1"/>
  <c r="Z419" i="1"/>
  <c r="AB419" i="1"/>
  <c r="AA38" i="8" l="1"/>
  <c r="AA37" i="8"/>
  <c r="AA36" i="8"/>
  <c r="AA35" i="8"/>
  <c r="AA34" i="8"/>
  <c r="AA33" i="8"/>
  <c r="AA32" i="8"/>
  <c r="AA31" i="8"/>
  <c r="AA30" i="8"/>
  <c r="AA26" i="8"/>
  <c r="AA25" i="8"/>
  <c r="AA24" i="8"/>
  <c r="AA23" i="8"/>
  <c r="AA22" i="8"/>
  <c r="AA21" i="8"/>
  <c r="AA20" i="8"/>
  <c r="AA19" i="8"/>
  <c r="AA18" i="8"/>
  <c r="AA5" i="8"/>
  <c r="AA6" i="8"/>
  <c r="AA7" i="8"/>
  <c r="AA8" i="8"/>
  <c r="AA9" i="8"/>
  <c r="AA10" i="8"/>
  <c r="AA11" i="8"/>
  <c r="AA12" i="8"/>
  <c r="AA4" i="8"/>
  <c r="Q38" i="8"/>
  <c r="R38" i="8"/>
  <c r="S38" i="8"/>
  <c r="T38" i="8"/>
  <c r="U38" i="8"/>
  <c r="V38" i="8"/>
  <c r="W38" i="8"/>
  <c r="X38" i="8"/>
  <c r="Y38" i="8"/>
  <c r="Z38" i="8"/>
  <c r="Z37" i="8"/>
  <c r="Y37" i="8"/>
  <c r="X37" i="8"/>
  <c r="W37" i="8"/>
  <c r="V37" i="8"/>
  <c r="U37" i="8"/>
  <c r="T37" i="8"/>
  <c r="S37" i="8"/>
  <c r="R37" i="8"/>
  <c r="Z36" i="8"/>
  <c r="Y36" i="8"/>
  <c r="X36" i="8"/>
  <c r="W36" i="8"/>
  <c r="V36" i="8"/>
  <c r="U36" i="8"/>
  <c r="T36" i="8"/>
  <c r="S36" i="8"/>
  <c r="R36" i="8"/>
  <c r="Z35" i="8"/>
  <c r="Y35" i="8"/>
  <c r="X35" i="8"/>
  <c r="W35" i="8"/>
  <c r="V35" i="8"/>
  <c r="U35" i="8"/>
  <c r="T35" i="8"/>
  <c r="S35" i="8"/>
  <c r="R35" i="8"/>
  <c r="Z34" i="8"/>
  <c r="Y34" i="8"/>
  <c r="X34" i="8"/>
  <c r="W34" i="8"/>
  <c r="V34" i="8"/>
  <c r="U34" i="8"/>
  <c r="T34" i="8"/>
  <c r="S34" i="8"/>
  <c r="R34" i="8"/>
  <c r="Z33" i="8"/>
  <c r="Y33" i="8"/>
  <c r="X33" i="8"/>
  <c r="W33" i="8"/>
  <c r="V33" i="8"/>
  <c r="U33" i="8"/>
  <c r="T33" i="8"/>
  <c r="S33" i="8"/>
  <c r="R33" i="8"/>
  <c r="Z32" i="8"/>
  <c r="Y32" i="8"/>
  <c r="X32" i="8"/>
  <c r="W32" i="8"/>
  <c r="V32" i="8"/>
  <c r="U32" i="8"/>
  <c r="T32" i="8"/>
  <c r="S32" i="8"/>
  <c r="R32" i="8"/>
  <c r="Z31" i="8"/>
  <c r="Y31" i="8"/>
  <c r="X31" i="8"/>
  <c r="W31" i="8"/>
  <c r="V31" i="8"/>
  <c r="U31" i="8"/>
  <c r="T31" i="8"/>
  <c r="S31" i="8"/>
  <c r="R31" i="8"/>
  <c r="Z30" i="8"/>
  <c r="Y30" i="8"/>
  <c r="X30" i="8"/>
  <c r="W30" i="8"/>
  <c r="V30" i="8"/>
  <c r="U30" i="8"/>
  <c r="T30" i="8"/>
  <c r="S30" i="8"/>
  <c r="R30" i="8"/>
  <c r="Q35" i="8"/>
  <c r="Q34" i="8"/>
  <c r="Q33" i="8"/>
  <c r="Q32" i="8"/>
  <c r="Q31" i="8"/>
  <c r="Q37" i="8"/>
  <c r="Q36" i="8"/>
  <c r="Q30" i="8"/>
  <c r="B2" i="8" l="1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AB2" i="1" l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5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3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7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19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6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3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7" i="1"/>
  <c r="AB1388" i="1"/>
  <c r="AB1389" i="1"/>
  <c r="AB1390" i="1"/>
  <c r="AB1391" i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944" i="1"/>
  <c r="X945" i="1"/>
  <c r="X946" i="1"/>
  <c r="X947" i="1"/>
  <c r="X948" i="1"/>
  <c r="X949" i="1"/>
  <c r="X950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7" i="1"/>
  <c r="X978" i="1"/>
  <c r="X979" i="1"/>
  <c r="X980" i="1"/>
  <c r="X981" i="1"/>
  <c r="X982" i="1"/>
  <c r="X983" i="1"/>
  <c r="X984" i="1"/>
  <c r="X985" i="1"/>
  <c r="X986" i="1"/>
  <c r="X987" i="1"/>
  <c r="X988" i="1"/>
  <c r="X989" i="1"/>
  <c r="X990" i="1"/>
  <c r="X991" i="1"/>
  <c r="X992" i="1"/>
  <c r="X993" i="1"/>
  <c r="X994" i="1"/>
  <c r="X995" i="1"/>
  <c r="X996" i="1"/>
  <c r="X997" i="1"/>
  <c r="X998" i="1"/>
  <c r="X999" i="1"/>
  <c r="X1000" i="1"/>
  <c r="X1001" i="1"/>
  <c r="X1002" i="1"/>
  <c r="X1003" i="1"/>
  <c r="X1004" i="1"/>
  <c r="X1005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1019" i="1"/>
  <c r="X1020" i="1"/>
  <c r="X1021" i="1"/>
  <c r="X1022" i="1"/>
  <c r="X1023" i="1"/>
  <c r="X1024" i="1"/>
  <c r="X1025" i="1"/>
  <c r="X1026" i="1"/>
  <c r="X1027" i="1"/>
  <c r="X1028" i="1"/>
  <c r="X1029" i="1"/>
  <c r="X1030" i="1"/>
  <c r="X1031" i="1"/>
  <c r="X1032" i="1"/>
  <c r="X1033" i="1"/>
  <c r="X1034" i="1"/>
  <c r="X1035" i="1"/>
  <c r="X1036" i="1"/>
  <c r="X1037" i="1"/>
  <c r="X1038" i="1"/>
  <c r="X1039" i="1"/>
  <c r="X1040" i="1"/>
  <c r="X1041" i="1"/>
  <c r="X1042" i="1"/>
  <c r="X1043" i="1"/>
  <c r="X1044" i="1"/>
  <c r="X1045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1059" i="1"/>
  <c r="X1060" i="1"/>
  <c r="X1061" i="1"/>
  <c r="X1062" i="1"/>
  <c r="X1063" i="1"/>
  <c r="X1064" i="1"/>
  <c r="X1065" i="1"/>
  <c r="X1066" i="1"/>
  <c r="X1067" i="1"/>
  <c r="X1068" i="1"/>
  <c r="X1069" i="1"/>
  <c r="X1070" i="1"/>
  <c r="X1071" i="1"/>
  <c r="X1072" i="1"/>
  <c r="X1073" i="1"/>
  <c r="X1074" i="1"/>
  <c r="X1075" i="1"/>
  <c r="X1076" i="1"/>
  <c r="X1077" i="1"/>
  <c r="X1078" i="1"/>
  <c r="X1079" i="1"/>
  <c r="X1080" i="1"/>
  <c r="X1081" i="1"/>
  <c r="X1082" i="1"/>
  <c r="X1083" i="1"/>
  <c r="X1084" i="1"/>
  <c r="X1085" i="1"/>
  <c r="X1086" i="1"/>
  <c r="X1087" i="1"/>
  <c r="X1088" i="1"/>
  <c r="X1089" i="1"/>
  <c r="X1090" i="1"/>
  <c r="X1091" i="1"/>
  <c r="X1092" i="1"/>
  <c r="X1093" i="1"/>
  <c r="X1094" i="1"/>
  <c r="X1095" i="1"/>
  <c r="X1096" i="1"/>
  <c r="X1097" i="1"/>
  <c r="X1098" i="1"/>
  <c r="X1099" i="1"/>
  <c r="X1100" i="1"/>
  <c r="X1101" i="1"/>
  <c r="X1102" i="1"/>
  <c r="X1103" i="1"/>
  <c r="X1104" i="1"/>
  <c r="X1105" i="1"/>
  <c r="X1106" i="1"/>
  <c r="X1107" i="1"/>
  <c r="X1108" i="1"/>
  <c r="X1109" i="1"/>
  <c r="X1110" i="1"/>
  <c r="X1111" i="1"/>
  <c r="X1112" i="1"/>
  <c r="X1113" i="1"/>
  <c r="X1114" i="1"/>
  <c r="X1115" i="1"/>
  <c r="X1116" i="1"/>
  <c r="X1117" i="1"/>
  <c r="X1118" i="1"/>
  <c r="X1119" i="1"/>
  <c r="X1120" i="1"/>
  <c r="X1121" i="1"/>
  <c r="X1122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152" i="1"/>
  <c r="X1153" i="1"/>
  <c r="X1154" i="1"/>
  <c r="X1155" i="1"/>
  <c r="X1156" i="1"/>
  <c r="X1157" i="1"/>
  <c r="X1158" i="1"/>
  <c r="X1159" i="1"/>
  <c r="X1160" i="1"/>
  <c r="X1161" i="1"/>
  <c r="X1162" i="1"/>
  <c r="X1163" i="1"/>
  <c r="X1164" i="1"/>
  <c r="X1165" i="1"/>
  <c r="X1166" i="1"/>
  <c r="X1167" i="1"/>
  <c r="X1168" i="1"/>
  <c r="X1169" i="1"/>
  <c r="X1170" i="1"/>
  <c r="X1171" i="1"/>
  <c r="X1172" i="1"/>
  <c r="X1173" i="1"/>
  <c r="X1174" i="1"/>
  <c r="X1175" i="1"/>
  <c r="X1176" i="1"/>
  <c r="X1177" i="1"/>
  <c r="X1178" i="1"/>
  <c r="X1179" i="1"/>
  <c r="X1180" i="1"/>
  <c r="X1181" i="1"/>
  <c r="X1182" i="1"/>
  <c r="X1183" i="1"/>
  <c r="X1184" i="1"/>
  <c r="X1185" i="1"/>
  <c r="X1186" i="1"/>
  <c r="X1187" i="1"/>
  <c r="X1188" i="1"/>
  <c r="X1189" i="1"/>
  <c r="X1190" i="1"/>
  <c r="X1191" i="1"/>
  <c r="X1192" i="1"/>
  <c r="X1193" i="1"/>
  <c r="X1194" i="1"/>
  <c r="X1195" i="1"/>
  <c r="X1196" i="1"/>
  <c r="X1197" i="1"/>
  <c r="X1198" i="1"/>
  <c r="X1199" i="1"/>
  <c r="X1200" i="1"/>
  <c r="X1201" i="1"/>
  <c r="X1202" i="1"/>
  <c r="X1203" i="1"/>
  <c r="X1204" i="1"/>
  <c r="X1205" i="1"/>
  <c r="X1206" i="1"/>
  <c r="X1207" i="1"/>
  <c r="X1208" i="1"/>
  <c r="X1209" i="1"/>
  <c r="X1210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230" i="1"/>
  <c r="X1231" i="1"/>
  <c r="X1232" i="1"/>
  <c r="X1233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1248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286" i="1"/>
  <c r="X1287" i="1"/>
  <c r="X1288" i="1"/>
  <c r="X1289" i="1"/>
  <c r="X1290" i="1"/>
  <c r="X1291" i="1"/>
  <c r="X1292" i="1"/>
  <c r="X1293" i="1"/>
  <c r="X1294" i="1"/>
  <c r="X1295" i="1"/>
  <c r="X1296" i="1"/>
  <c r="X1297" i="1"/>
  <c r="X1298" i="1"/>
  <c r="X1299" i="1"/>
  <c r="X1300" i="1"/>
  <c r="X1301" i="1"/>
  <c r="X1302" i="1"/>
  <c r="X1303" i="1"/>
  <c r="X1304" i="1"/>
  <c r="X1305" i="1"/>
  <c r="X1306" i="1"/>
  <c r="X1307" i="1"/>
  <c r="X1308" i="1"/>
  <c r="X1309" i="1"/>
  <c r="X1310" i="1"/>
  <c r="X1311" i="1"/>
  <c r="X1312" i="1"/>
  <c r="X1313" i="1"/>
  <c r="X1314" i="1"/>
  <c r="X1315" i="1"/>
  <c r="X1316" i="1"/>
  <c r="X1317" i="1"/>
  <c r="X1318" i="1"/>
  <c r="X1319" i="1"/>
  <c r="X1320" i="1"/>
  <c r="X1321" i="1"/>
  <c r="X1322" i="1"/>
  <c r="X1323" i="1"/>
  <c r="X1324" i="1"/>
  <c r="X1325" i="1"/>
  <c r="X1326" i="1"/>
  <c r="X1327" i="1"/>
  <c r="X1328" i="1"/>
  <c r="X1329" i="1"/>
  <c r="X1330" i="1"/>
  <c r="X1331" i="1"/>
  <c r="X1332" i="1"/>
  <c r="X1333" i="1"/>
  <c r="X1334" i="1"/>
  <c r="X1335" i="1"/>
  <c r="X1336" i="1"/>
  <c r="X1337" i="1"/>
  <c r="X1338" i="1"/>
  <c r="X1339" i="1"/>
  <c r="X1340" i="1"/>
  <c r="X1341" i="1"/>
  <c r="X1342" i="1"/>
  <c r="X1343" i="1"/>
  <c r="X1344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364" i="1"/>
  <c r="X1365" i="1"/>
  <c r="X1366" i="1"/>
  <c r="X1367" i="1"/>
  <c r="X1368" i="1"/>
  <c r="X1369" i="1"/>
  <c r="X1370" i="1"/>
  <c r="X1371" i="1"/>
  <c r="X1372" i="1"/>
  <c r="X1373" i="1"/>
  <c r="X1374" i="1"/>
  <c r="X1375" i="1"/>
  <c r="X1376" i="1"/>
  <c r="X1377" i="1"/>
  <c r="X1378" i="1"/>
  <c r="X1379" i="1"/>
  <c r="X1380" i="1"/>
  <c r="X1381" i="1"/>
  <c r="X1382" i="1"/>
  <c r="X1383" i="1"/>
  <c r="X1384" i="1"/>
  <c r="X1385" i="1"/>
  <c r="X1386" i="1"/>
  <c r="X1387" i="1"/>
  <c r="X1388" i="1"/>
  <c r="X1389" i="1"/>
  <c r="X1390" i="1"/>
  <c r="X1391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Z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V2" i="1"/>
  <c r="R2" i="1"/>
  <c r="N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J2" i="1"/>
  <c r="F2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AA74" i="6" l="1"/>
  <c r="AA62" i="6"/>
  <c r="AA34" i="6"/>
  <c r="AA22" i="6"/>
  <c r="C74" i="6"/>
  <c r="AA75" i="6"/>
  <c r="AA63" i="6"/>
  <c r="AA35" i="6"/>
  <c r="AA23" i="6"/>
  <c r="AA76" i="6"/>
  <c r="AA64" i="6"/>
  <c r="AA36" i="6"/>
  <c r="AA24" i="6"/>
  <c r="AA77" i="6"/>
  <c r="AA65" i="6"/>
  <c r="AA37" i="6"/>
  <c r="AA25" i="6"/>
  <c r="AA78" i="6"/>
  <c r="AA50" i="6"/>
  <c r="AA38" i="6"/>
  <c r="AA10" i="6"/>
  <c r="AA48" i="6"/>
  <c r="AA8" i="6"/>
  <c r="AA49" i="6"/>
  <c r="AA21" i="6"/>
  <c r="AA9" i="6"/>
  <c r="AA79" i="6"/>
  <c r="AA51" i="6"/>
  <c r="AA39" i="6"/>
  <c r="AA11" i="6"/>
  <c r="AA80" i="6"/>
  <c r="AA52" i="6"/>
  <c r="AA40" i="6"/>
  <c r="AA12" i="6"/>
  <c r="AA81" i="6"/>
  <c r="AA53" i="6"/>
  <c r="AA41" i="6"/>
  <c r="AA13" i="6"/>
  <c r="AA66" i="6"/>
  <c r="AA54" i="6"/>
  <c r="AA26" i="6"/>
  <c r="AA14" i="6"/>
  <c r="AA67" i="6"/>
  <c r="AA55" i="6"/>
  <c r="AA27" i="6"/>
  <c r="AA15" i="6"/>
  <c r="AA68" i="6"/>
  <c r="AA56" i="6"/>
  <c r="AA28" i="6"/>
  <c r="AA16" i="6"/>
  <c r="AA69" i="6"/>
  <c r="AA57" i="6"/>
  <c r="AA29" i="6"/>
  <c r="AA17" i="6"/>
  <c r="AA70" i="6"/>
  <c r="AA42" i="6"/>
  <c r="AA30" i="6"/>
  <c r="AA2" i="6"/>
  <c r="AA71" i="6"/>
  <c r="AA43" i="6"/>
  <c r="AA31" i="6"/>
  <c r="AA3" i="6"/>
  <c r="AA72" i="6"/>
  <c r="AA44" i="6"/>
  <c r="AA32" i="6"/>
  <c r="AA4" i="6"/>
  <c r="AA73" i="6"/>
  <c r="AA45" i="6"/>
  <c r="AA33" i="6"/>
  <c r="AA5" i="6"/>
  <c r="AA58" i="6"/>
  <c r="AA46" i="6"/>
  <c r="AA18" i="6"/>
  <c r="AA6" i="6"/>
  <c r="AA59" i="6"/>
  <c r="AA47" i="6"/>
  <c r="AA19" i="6"/>
  <c r="AA7" i="6"/>
  <c r="AA60" i="6"/>
  <c r="AA20" i="6"/>
  <c r="AA61" i="6"/>
  <c r="AB74" i="6"/>
  <c r="AB75" i="6"/>
  <c r="AB76" i="6"/>
  <c r="AB77" i="6"/>
  <c r="AB71" i="6"/>
  <c r="AB65" i="6"/>
  <c r="AB43" i="6"/>
  <c r="AB37" i="6"/>
  <c r="AB31" i="6"/>
  <c r="AB25" i="6"/>
  <c r="AB3" i="6"/>
  <c r="W6" i="6"/>
  <c r="W12" i="6"/>
  <c r="W18" i="6"/>
  <c r="AB78" i="6"/>
  <c r="AB79" i="6"/>
  <c r="AB80" i="6"/>
  <c r="AB81" i="6"/>
  <c r="AB59" i="6"/>
  <c r="AB53" i="6"/>
  <c r="AB47" i="6"/>
  <c r="AB41" i="6"/>
  <c r="AB19" i="6"/>
  <c r="AB13" i="6"/>
  <c r="AB7" i="6"/>
  <c r="W2" i="6"/>
  <c r="W24" i="6"/>
  <c r="W30" i="6"/>
  <c r="W36" i="6"/>
  <c r="W42" i="6"/>
  <c r="W64" i="6"/>
  <c r="W70" i="6"/>
  <c r="W76" i="6"/>
  <c r="S2" i="6"/>
  <c r="S24" i="6"/>
  <c r="S30" i="6"/>
  <c r="S36" i="6"/>
  <c r="S42" i="6"/>
  <c r="S64" i="6"/>
  <c r="S70" i="6"/>
  <c r="S76" i="6"/>
  <c r="O2" i="6"/>
  <c r="O24" i="6"/>
  <c r="O30" i="6"/>
  <c r="O36" i="6"/>
  <c r="O42" i="6"/>
  <c r="O64" i="6"/>
  <c r="O70" i="6"/>
  <c r="O76" i="6"/>
  <c r="K2" i="6"/>
  <c r="K24" i="6"/>
  <c r="K30" i="6"/>
  <c r="K36" i="6"/>
  <c r="K42" i="6"/>
  <c r="K64" i="6"/>
  <c r="K70" i="6"/>
  <c r="K76" i="6"/>
  <c r="G2" i="6"/>
  <c r="G24" i="6"/>
  <c r="G30" i="6"/>
  <c r="G36" i="6"/>
  <c r="G42" i="6"/>
  <c r="G64" i="6"/>
  <c r="G70" i="6"/>
  <c r="G76" i="6"/>
  <c r="C2" i="6"/>
  <c r="C24" i="6"/>
  <c r="C30" i="6"/>
  <c r="C36" i="6"/>
  <c r="C42" i="6"/>
  <c r="C64" i="6"/>
  <c r="C70" i="6"/>
  <c r="C76" i="6"/>
  <c r="Y17" i="6"/>
  <c r="Y23" i="6"/>
  <c r="Y29" i="6"/>
  <c r="Y35" i="6"/>
  <c r="Y57" i="6"/>
  <c r="Y63" i="6"/>
  <c r="Y69" i="6"/>
  <c r="Y75" i="6"/>
  <c r="U17" i="6"/>
  <c r="U23" i="6"/>
  <c r="U29" i="6"/>
  <c r="U35" i="6"/>
  <c r="U57" i="6"/>
  <c r="U63" i="6"/>
  <c r="U69" i="6"/>
  <c r="U75" i="6"/>
  <c r="Q17" i="6"/>
  <c r="Q23" i="6"/>
  <c r="Q29" i="6"/>
  <c r="Q35" i="6"/>
  <c r="Q57" i="6"/>
  <c r="Q63" i="6"/>
  <c r="Q69" i="6"/>
  <c r="Q75" i="6"/>
  <c r="M17" i="6"/>
  <c r="M23" i="6"/>
  <c r="M29" i="6"/>
  <c r="M35" i="6"/>
  <c r="M57" i="6"/>
  <c r="M63" i="6"/>
  <c r="M69" i="6"/>
  <c r="M75" i="6"/>
  <c r="I17" i="6"/>
  <c r="I23" i="6"/>
  <c r="I29" i="6"/>
  <c r="I35" i="6"/>
  <c r="I57" i="6"/>
  <c r="I63" i="6"/>
  <c r="I69" i="6"/>
  <c r="I75" i="6"/>
  <c r="E17" i="6"/>
  <c r="E23" i="6"/>
  <c r="E29" i="6"/>
  <c r="E35" i="6"/>
  <c r="E57" i="6"/>
  <c r="E63" i="6"/>
  <c r="E69" i="6"/>
  <c r="E75" i="6"/>
  <c r="AB66" i="6"/>
  <c r="AB67" i="6"/>
  <c r="AB63" i="6"/>
  <c r="AB18" i="6"/>
  <c r="Y2" i="6"/>
  <c r="W22" i="6"/>
  <c r="Y26" i="6"/>
  <c r="Y47" i="6"/>
  <c r="Y52" i="6"/>
  <c r="Y73" i="6"/>
  <c r="Y78" i="6"/>
  <c r="U3" i="6"/>
  <c r="U24" i="6"/>
  <c r="U28" i="6"/>
  <c r="U49" i="6"/>
  <c r="U54" i="6"/>
  <c r="U59" i="6"/>
  <c r="U80" i="6"/>
  <c r="Q5" i="6"/>
  <c r="Q10" i="6"/>
  <c r="Q31" i="6"/>
  <c r="Q36" i="6"/>
  <c r="Q56" i="6"/>
  <c r="Q61" i="6"/>
  <c r="Q66" i="6"/>
  <c r="M7" i="6"/>
  <c r="M12" i="6"/>
  <c r="M33" i="6"/>
  <c r="M38" i="6"/>
  <c r="M43" i="6"/>
  <c r="M64" i="6"/>
  <c r="M68" i="6"/>
  <c r="I9" i="6"/>
  <c r="I14" i="6"/>
  <c r="I19" i="6"/>
  <c r="I40" i="6"/>
  <c r="I45" i="6"/>
  <c r="I50" i="6"/>
  <c r="I71" i="6"/>
  <c r="I76" i="6"/>
  <c r="E16" i="6"/>
  <c r="E21" i="6"/>
  <c r="E26" i="6"/>
  <c r="E47" i="6"/>
  <c r="E52" i="6"/>
  <c r="E73" i="6"/>
  <c r="E78" i="6"/>
  <c r="AB68" i="6"/>
  <c r="AB52" i="6"/>
  <c r="AB28" i="6"/>
  <c r="Y8" i="6"/>
  <c r="W13" i="6"/>
  <c r="W33" i="6"/>
  <c r="W38" i="6"/>
  <c r="W43" i="6"/>
  <c r="W63" i="6"/>
  <c r="W68" i="6"/>
  <c r="S9" i="6"/>
  <c r="S14" i="6"/>
  <c r="S19" i="6"/>
  <c r="S40" i="6"/>
  <c r="S45" i="6"/>
  <c r="S50" i="6"/>
  <c r="S71" i="6"/>
  <c r="S75" i="6"/>
  <c r="O16" i="6"/>
  <c r="O21" i="6"/>
  <c r="O26" i="6"/>
  <c r="O47" i="6"/>
  <c r="O52" i="6"/>
  <c r="O73" i="6"/>
  <c r="O78" i="6"/>
  <c r="K3" i="6"/>
  <c r="K23" i="6"/>
  <c r="K28" i="6"/>
  <c r="K49" i="6"/>
  <c r="K54" i="6"/>
  <c r="K59" i="6"/>
  <c r="K80" i="6"/>
  <c r="AB42" i="6"/>
  <c r="AB35" i="6"/>
  <c r="AB32" i="6"/>
  <c r="W16" i="6"/>
  <c r="Y19" i="6"/>
  <c r="W39" i="6"/>
  <c r="Y42" i="6"/>
  <c r="Y61" i="6"/>
  <c r="Y81" i="6"/>
  <c r="U5" i="6"/>
  <c r="U25" i="6"/>
  <c r="S28" i="6"/>
  <c r="S48" i="6"/>
  <c r="S52" i="6"/>
  <c r="S72" i="6"/>
  <c r="U74" i="6"/>
  <c r="V74" i="6" s="1"/>
  <c r="Q14" i="6"/>
  <c r="Q18" i="6"/>
  <c r="Q38" i="6"/>
  <c r="Q42" i="6"/>
  <c r="O61" i="6"/>
  <c r="O81" i="6"/>
  <c r="K5" i="6"/>
  <c r="K25" i="6"/>
  <c r="M27" i="6"/>
  <c r="M47" i="6"/>
  <c r="M51" i="6"/>
  <c r="M71" i="6"/>
  <c r="M74" i="6"/>
  <c r="N74" i="6" s="1"/>
  <c r="G15" i="6"/>
  <c r="G19" i="6"/>
  <c r="I39" i="6"/>
  <c r="G44" i="6"/>
  <c r="I64" i="6"/>
  <c r="G68" i="6"/>
  <c r="E8" i="6"/>
  <c r="C13" i="6"/>
  <c r="E33" i="6"/>
  <c r="C38" i="6"/>
  <c r="E42" i="6"/>
  <c r="C62" i="6"/>
  <c r="E66" i="6"/>
  <c r="G14" i="6"/>
  <c r="G63" i="6"/>
  <c r="C8" i="6"/>
  <c r="E12" i="6"/>
  <c r="E37" i="6"/>
  <c r="C57" i="6"/>
  <c r="E61" i="6"/>
  <c r="AB69" i="6"/>
  <c r="AB54" i="6"/>
  <c r="AB14" i="6"/>
  <c r="Y15" i="6"/>
  <c r="W19" i="6"/>
  <c r="Y38" i="6"/>
  <c r="W57" i="6"/>
  <c r="W61" i="6"/>
  <c r="W81" i="6"/>
  <c r="S5" i="6"/>
  <c r="S25" i="6"/>
  <c r="U27" i="6"/>
  <c r="U47" i="6"/>
  <c r="U51" i="6"/>
  <c r="U71" i="6"/>
  <c r="S74" i="6"/>
  <c r="O14" i="6"/>
  <c r="O18" i="6"/>
  <c r="O38" i="6"/>
  <c r="O57" i="6"/>
  <c r="Q60" i="6"/>
  <c r="Q80" i="6"/>
  <c r="M4" i="6"/>
  <c r="M24" i="6"/>
  <c r="K27" i="6"/>
  <c r="K47" i="6"/>
  <c r="K51" i="6"/>
  <c r="K71" i="6"/>
  <c r="K74" i="6"/>
  <c r="I18" i="6"/>
  <c r="G39" i="6"/>
  <c r="I43" i="6"/>
  <c r="I67" i="6"/>
  <c r="C33" i="6"/>
  <c r="C66" i="6"/>
  <c r="AB70" i="6"/>
  <c r="AB36" i="6"/>
  <c r="AB33" i="6"/>
  <c r="AB15" i="6"/>
  <c r="W15" i="6"/>
  <c r="Y18" i="6"/>
  <c r="Y37" i="6"/>
  <c r="Y56" i="6"/>
  <c r="Y60" i="6"/>
  <c r="Y80" i="6"/>
  <c r="U4" i="6"/>
  <c r="S23" i="6"/>
  <c r="S27" i="6"/>
  <c r="S47" i="6"/>
  <c r="S51" i="6"/>
  <c r="U70" i="6"/>
  <c r="Q9" i="6"/>
  <c r="Q13" i="6"/>
  <c r="Q33" i="6"/>
  <c r="Q37" i="6"/>
  <c r="O56" i="6"/>
  <c r="O60" i="6"/>
  <c r="O80" i="6"/>
  <c r="K4" i="6"/>
  <c r="M22" i="6"/>
  <c r="M26" i="6"/>
  <c r="M46" i="6"/>
  <c r="M50" i="6"/>
  <c r="M70" i="6"/>
  <c r="G9" i="6"/>
  <c r="I13" i="6"/>
  <c r="G18" i="6"/>
  <c r="I38" i="6"/>
  <c r="G43" i="6"/>
  <c r="I62" i="6"/>
  <c r="G67" i="6"/>
  <c r="E7" i="6"/>
  <c r="C12" i="6"/>
  <c r="E32" i="6"/>
  <c r="C37" i="6"/>
  <c r="E56" i="6"/>
  <c r="C61" i="6"/>
  <c r="E81" i="6"/>
  <c r="AB55" i="6"/>
  <c r="Y14" i="6"/>
  <c r="Y33" i="6"/>
  <c r="W37" i="6"/>
  <c r="W56" i="6"/>
  <c r="W60" i="6"/>
  <c r="W80" i="6"/>
  <c r="S4" i="6"/>
  <c r="U22" i="6"/>
  <c r="U26" i="6"/>
  <c r="U46" i="6"/>
  <c r="U50" i="6"/>
  <c r="S69" i="6"/>
  <c r="O9" i="6"/>
  <c r="O13" i="6"/>
  <c r="O33" i="6"/>
  <c r="O37" i="6"/>
  <c r="Q55" i="6"/>
  <c r="Q59" i="6"/>
  <c r="Q79" i="6"/>
  <c r="M3" i="6"/>
  <c r="K22" i="6"/>
  <c r="K26" i="6"/>
  <c r="K46" i="6"/>
  <c r="K50" i="6"/>
  <c r="K69" i="6"/>
  <c r="I8" i="6"/>
  <c r="G13" i="6"/>
  <c r="I33" i="6"/>
  <c r="G38" i="6"/>
  <c r="I42" i="6"/>
  <c r="G62" i="6"/>
  <c r="I66" i="6"/>
  <c r="C7" i="6"/>
  <c r="E11" i="6"/>
  <c r="C32" i="6"/>
  <c r="E36" i="6"/>
  <c r="C56" i="6"/>
  <c r="E60" i="6"/>
  <c r="C81" i="6"/>
  <c r="AB16" i="6"/>
  <c r="AB73" i="6"/>
  <c r="AB39" i="6"/>
  <c r="AB17" i="6"/>
  <c r="AB57" i="6"/>
  <c r="AB21" i="6"/>
  <c r="AB60" i="6"/>
  <c r="AB44" i="6"/>
  <c r="AB22" i="6"/>
  <c r="Y7" i="6"/>
  <c r="Y10" i="6"/>
  <c r="W29" i="6"/>
  <c r="W49" i="6"/>
  <c r="W53" i="6"/>
  <c r="Y72" i="6"/>
  <c r="Y76" i="6"/>
  <c r="U15" i="6"/>
  <c r="U19" i="6"/>
  <c r="S39" i="6"/>
  <c r="S43" i="6"/>
  <c r="S62" i="6"/>
  <c r="S66" i="6"/>
  <c r="O6" i="6"/>
  <c r="Q25" i="6"/>
  <c r="Q28" i="6"/>
  <c r="Q48" i="6"/>
  <c r="Q52" i="6"/>
  <c r="O72" i="6"/>
  <c r="O75" i="6"/>
  <c r="K15" i="6"/>
  <c r="K19" i="6"/>
  <c r="K39" i="6"/>
  <c r="M42" i="6"/>
  <c r="M61" i="6"/>
  <c r="M81" i="6"/>
  <c r="I5" i="6"/>
  <c r="G10" i="6"/>
  <c r="I30" i="6"/>
  <c r="G34" i="6"/>
  <c r="I54" i="6"/>
  <c r="G59" i="6"/>
  <c r="I79" i="6"/>
  <c r="C4" i="6"/>
  <c r="E24" i="6"/>
  <c r="C28" i="6"/>
  <c r="E48" i="6"/>
  <c r="C53" i="6"/>
  <c r="C73" i="6"/>
  <c r="E77" i="6"/>
  <c r="AB62" i="6"/>
  <c r="AB46" i="6"/>
  <c r="AB72" i="6"/>
  <c r="AB34" i="6"/>
  <c r="Y3" i="6"/>
  <c r="W32" i="6"/>
  <c r="W48" i="6"/>
  <c r="W65" i="6"/>
  <c r="W79" i="6"/>
  <c r="U14" i="6"/>
  <c r="U31" i="6"/>
  <c r="U45" i="6"/>
  <c r="S61" i="6"/>
  <c r="S78" i="6"/>
  <c r="O12" i="6"/>
  <c r="Q27" i="6"/>
  <c r="Q44" i="6"/>
  <c r="Q58" i="6"/>
  <c r="O74" i="6"/>
  <c r="P74" i="6" s="1"/>
  <c r="K11" i="6"/>
  <c r="K41" i="6"/>
  <c r="M56" i="6"/>
  <c r="M73" i="6"/>
  <c r="I7" i="6"/>
  <c r="G25" i="6"/>
  <c r="G26" i="6"/>
  <c r="I56" i="6"/>
  <c r="G58" i="6"/>
  <c r="I74" i="6"/>
  <c r="J74" i="6" s="1"/>
  <c r="E10" i="6"/>
  <c r="C27" i="6"/>
  <c r="E44" i="6"/>
  <c r="E59" i="6"/>
  <c r="E76" i="6"/>
  <c r="O27" i="6"/>
  <c r="M10" i="6"/>
  <c r="K56" i="6"/>
  <c r="K73" i="6"/>
  <c r="I24" i="6"/>
  <c r="I41" i="6"/>
  <c r="G56" i="6"/>
  <c r="G74" i="6"/>
  <c r="H74" i="6" s="1"/>
  <c r="C10" i="6"/>
  <c r="C26" i="6"/>
  <c r="C44" i="6"/>
  <c r="C75" i="6"/>
  <c r="W17" i="6"/>
  <c r="W31" i="6"/>
  <c r="Y46" i="6"/>
  <c r="Y62" i="6"/>
  <c r="S13" i="6"/>
  <c r="U30" i="6"/>
  <c r="S44" i="6"/>
  <c r="S77" i="6"/>
  <c r="O11" i="6"/>
  <c r="AB58" i="6"/>
  <c r="AB11" i="6"/>
  <c r="W3" i="6"/>
  <c r="Y31" i="6"/>
  <c r="W47" i="6"/>
  <c r="Y64" i="6"/>
  <c r="W78" i="6"/>
  <c r="U13" i="6"/>
  <c r="S31" i="6"/>
  <c r="U44" i="6"/>
  <c r="U60" i="6"/>
  <c r="U77" i="6"/>
  <c r="Q11" i="6"/>
  <c r="O44" i="6"/>
  <c r="O58" i="6"/>
  <c r="M9" i="6"/>
  <c r="M40" i="6"/>
  <c r="G7" i="6"/>
  <c r="I73" i="6"/>
  <c r="C59" i="6"/>
  <c r="AB38" i="6"/>
  <c r="Y77" i="6"/>
  <c r="Z77" i="6" s="1"/>
  <c r="S60" i="6"/>
  <c r="AB61" i="6"/>
  <c r="AB40" i="6"/>
  <c r="AB12" i="6"/>
  <c r="Y16" i="6"/>
  <c r="Y30" i="6"/>
  <c r="W46" i="6"/>
  <c r="W62" i="6"/>
  <c r="W77" i="6"/>
  <c r="U12" i="6"/>
  <c r="S29" i="6"/>
  <c r="U43" i="6"/>
  <c r="S59" i="6"/>
  <c r="U76" i="6"/>
  <c r="O10" i="6"/>
  <c r="Q41" i="6"/>
  <c r="O43" i="6"/>
  <c r="Q72" i="6"/>
  <c r="M8" i="6"/>
  <c r="M25" i="6"/>
  <c r="M39" i="6"/>
  <c r="K55" i="6"/>
  <c r="K72" i="6"/>
  <c r="G6" i="6"/>
  <c r="I22" i="6"/>
  <c r="G40" i="6"/>
  <c r="G55" i="6"/>
  <c r="I72" i="6"/>
  <c r="C9" i="6"/>
  <c r="C25" i="6"/>
  <c r="C41" i="6"/>
  <c r="C43" i="6"/>
  <c r="C58" i="6"/>
  <c r="S12" i="6"/>
  <c r="U42" i="6"/>
  <c r="Q8" i="6"/>
  <c r="O41" i="6"/>
  <c r="Q71" i="6"/>
  <c r="AB26" i="6"/>
  <c r="W14" i="6"/>
  <c r="Y28" i="6"/>
  <c r="Y45" i="6"/>
  <c r="Y59" i="6"/>
  <c r="W75" i="6"/>
  <c r="X75" i="6" s="1"/>
  <c r="S26" i="6"/>
  <c r="T26" i="6" s="1"/>
  <c r="U58" i="6"/>
  <c r="O25" i="6"/>
  <c r="O55" i="6"/>
  <c r="AB50" i="6"/>
  <c r="Y11" i="6"/>
  <c r="W27" i="6"/>
  <c r="W44" i="6"/>
  <c r="W58" i="6"/>
  <c r="U9" i="6"/>
  <c r="U10" i="6"/>
  <c r="U40" i="6"/>
  <c r="S56" i="6"/>
  <c r="S73" i="6"/>
  <c r="O7" i="6"/>
  <c r="Q22" i="6"/>
  <c r="Q39" i="6"/>
  <c r="Q53" i="6"/>
  <c r="O69" i="6"/>
  <c r="K6" i="6"/>
  <c r="AB29" i="6"/>
  <c r="AB5" i="6"/>
  <c r="W11" i="6"/>
  <c r="W26" i="6"/>
  <c r="Y43" i="6"/>
  <c r="W73" i="6"/>
  <c r="U8" i="6"/>
  <c r="S10" i="6"/>
  <c r="U39" i="6"/>
  <c r="U55" i="6"/>
  <c r="U72" i="6"/>
  <c r="Q6" i="6"/>
  <c r="O22" i="6"/>
  <c r="O39" i="6"/>
  <c r="O53" i="6"/>
  <c r="Q68" i="6"/>
  <c r="M5" i="6"/>
  <c r="M19" i="6"/>
  <c r="K35" i="6"/>
  <c r="K52" i="6"/>
  <c r="K66" i="6"/>
  <c r="G3" i="6"/>
  <c r="G20" i="6"/>
  <c r="I34" i="6"/>
  <c r="G52" i="6"/>
  <c r="I68" i="6"/>
  <c r="J68" i="6" s="1"/>
  <c r="E4" i="6"/>
  <c r="E20" i="6"/>
  <c r="E38" i="6"/>
  <c r="E53" i="6"/>
  <c r="E70" i="6"/>
  <c r="Y25" i="6"/>
  <c r="W55" i="6"/>
  <c r="U7" i="6"/>
  <c r="S38" i="6"/>
  <c r="AB51" i="6"/>
  <c r="AB6" i="6"/>
  <c r="W10" i="6"/>
  <c r="Y41" i="6"/>
  <c r="Y55" i="6"/>
  <c r="W72" i="6"/>
  <c r="S8" i="6"/>
  <c r="S22" i="6"/>
  <c r="U38" i="6"/>
  <c r="S55" i="6"/>
  <c r="U68" i="6"/>
  <c r="V68" i="6" s="1"/>
  <c r="O5" i="6"/>
  <c r="Q21" i="6"/>
  <c r="O35" i="6"/>
  <c r="Q51" i="6"/>
  <c r="O68" i="6"/>
  <c r="M2" i="6"/>
  <c r="M18" i="6"/>
  <c r="M34" i="6"/>
  <c r="M65" i="6"/>
  <c r="K81" i="6"/>
  <c r="I2" i="6"/>
  <c r="G33" i="6"/>
  <c r="I49" i="6"/>
  <c r="I51" i="6"/>
  <c r="G66" i="6"/>
  <c r="E3" i="6"/>
  <c r="C20" i="6"/>
  <c r="C35" i="6"/>
  <c r="C52" i="6"/>
  <c r="C69" i="6"/>
  <c r="AB30" i="6"/>
  <c r="W41" i="6"/>
  <c r="Y71" i="6"/>
  <c r="U21" i="6"/>
  <c r="S54" i="6"/>
  <c r="AB49" i="6"/>
  <c r="Y4" i="6"/>
  <c r="W20" i="6"/>
  <c r="Y49" i="6"/>
  <c r="W50" i="6"/>
  <c r="W66" i="6"/>
  <c r="S16" i="6"/>
  <c r="U32" i="6"/>
  <c r="U48" i="6"/>
  <c r="U62" i="6"/>
  <c r="S79" i="6"/>
  <c r="O15" i="6"/>
  <c r="AB10" i="6"/>
  <c r="W4" i="6"/>
  <c r="Y32" i="6"/>
  <c r="Y48" i="6"/>
  <c r="Y65" i="6"/>
  <c r="Y79" i="6"/>
  <c r="S15" i="6"/>
  <c r="S32" i="6"/>
  <c r="S46" i="6"/>
  <c r="U61" i="6"/>
  <c r="U78" i="6"/>
  <c r="Q12" i="6"/>
  <c r="O28" i="6"/>
  <c r="O45" i="6"/>
  <c r="O59" i="6"/>
  <c r="Q74" i="6"/>
  <c r="R74" i="6" s="1"/>
  <c r="M11" i="6"/>
  <c r="M41" i="6"/>
  <c r="K57" i="6"/>
  <c r="K58" i="6"/>
  <c r="G8" i="6"/>
  <c r="I25" i="6"/>
  <c r="I26" i="6"/>
  <c r="G57" i="6"/>
  <c r="I58" i="6"/>
  <c r="G75" i="6"/>
  <c r="H75" i="6" s="1"/>
  <c r="C11" i="6"/>
  <c r="E27" i="6"/>
  <c r="C45" i="6"/>
  <c r="C60" i="6"/>
  <c r="C77" i="6"/>
  <c r="AB64" i="6"/>
  <c r="AB8" i="6"/>
  <c r="W7" i="6"/>
  <c r="Y34" i="6"/>
  <c r="Y74" i="6"/>
  <c r="Z74" i="6" s="1"/>
  <c r="U37" i="6"/>
  <c r="S67" i="6"/>
  <c r="Q19" i="6"/>
  <c r="Q54" i="6"/>
  <c r="Q77" i="6"/>
  <c r="K20" i="6"/>
  <c r="K45" i="6"/>
  <c r="M67" i="6"/>
  <c r="I15" i="6"/>
  <c r="G41" i="6"/>
  <c r="G50" i="6"/>
  <c r="I77" i="6"/>
  <c r="C21" i="6"/>
  <c r="C47" i="6"/>
  <c r="C72" i="6"/>
  <c r="U66" i="6"/>
  <c r="K18" i="6"/>
  <c r="K67" i="6"/>
  <c r="I12" i="6"/>
  <c r="I65" i="6"/>
  <c r="G77" i="6"/>
  <c r="E19" i="6"/>
  <c r="E71" i="6"/>
  <c r="AB56" i="6"/>
  <c r="Y5" i="6"/>
  <c r="W45" i="6"/>
  <c r="U36" i="6"/>
  <c r="U81" i="6"/>
  <c r="Q32" i="6"/>
  <c r="Q76" i="6"/>
  <c r="K33" i="6"/>
  <c r="K44" i="6"/>
  <c r="G12" i="6"/>
  <c r="G37" i="6"/>
  <c r="E9" i="6"/>
  <c r="C19" i="6"/>
  <c r="C46" i="6"/>
  <c r="Y6" i="6"/>
  <c r="W34" i="6"/>
  <c r="W74" i="6"/>
  <c r="X74" i="6" s="1"/>
  <c r="S37" i="6"/>
  <c r="O19" i="6"/>
  <c r="O54" i="6"/>
  <c r="O77" i="6"/>
  <c r="M44" i="6"/>
  <c r="I37" i="6"/>
  <c r="E46" i="6"/>
  <c r="AB9" i="6"/>
  <c r="S7" i="6"/>
  <c r="O51" i="6"/>
  <c r="M66" i="6"/>
  <c r="G65" i="6"/>
  <c r="C71" i="6"/>
  <c r="W5" i="6"/>
  <c r="Y44" i="6"/>
  <c r="U6" i="6"/>
  <c r="S35" i="6"/>
  <c r="S81" i="6"/>
  <c r="O32" i="6"/>
  <c r="Q50" i="6"/>
  <c r="K9" i="6"/>
  <c r="M32" i="6"/>
  <c r="K43" i="6"/>
  <c r="M80" i="6"/>
  <c r="I11" i="6"/>
  <c r="I36" i="6"/>
  <c r="I61" i="6"/>
  <c r="E6" i="6"/>
  <c r="E18" i="6"/>
  <c r="E45" i="6"/>
  <c r="E68" i="6"/>
  <c r="F68" i="6" s="1"/>
  <c r="AB45" i="6"/>
  <c r="Y12" i="6"/>
  <c r="S3" i="6"/>
  <c r="Q30" i="6"/>
  <c r="K7" i="6"/>
  <c r="M54" i="6"/>
  <c r="I10" i="6"/>
  <c r="I60" i="6"/>
  <c r="E31" i="6"/>
  <c r="E67" i="6"/>
  <c r="W25" i="6"/>
  <c r="U2" i="6"/>
  <c r="O8" i="6"/>
  <c r="O65" i="6"/>
  <c r="K31" i="6"/>
  <c r="M78" i="6"/>
  <c r="I48" i="6"/>
  <c r="C5" i="6"/>
  <c r="C55" i="6"/>
  <c r="Y13" i="6"/>
  <c r="Y54" i="6"/>
  <c r="S6" i="6"/>
  <c r="U34" i="6"/>
  <c r="S80" i="6"/>
  <c r="O31" i="6"/>
  <c r="O50" i="6"/>
  <c r="K8" i="6"/>
  <c r="K32" i="6"/>
  <c r="M55" i="6"/>
  <c r="M79" i="6"/>
  <c r="G11" i="6"/>
  <c r="G35" i="6"/>
  <c r="G61" i="6"/>
  <c r="C6" i="6"/>
  <c r="C18" i="6"/>
  <c r="E43" i="6"/>
  <c r="C68" i="6"/>
  <c r="W54" i="6"/>
  <c r="S34" i="6"/>
  <c r="U79" i="6"/>
  <c r="Q65" i="6"/>
  <c r="M31" i="6"/>
  <c r="K79" i="6"/>
  <c r="L79" i="6" s="1"/>
  <c r="G49" i="6"/>
  <c r="E5" i="6"/>
  <c r="E55" i="6"/>
  <c r="Y53" i="6"/>
  <c r="S49" i="6"/>
  <c r="O29" i="6"/>
  <c r="M6" i="6"/>
  <c r="M53" i="6"/>
  <c r="G23" i="6"/>
  <c r="G60" i="6"/>
  <c r="C31" i="6"/>
  <c r="C67" i="6"/>
  <c r="Y24" i="6"/>
  <c r="W52" i="6"/>
  <c r="S17" i="6"/>
  <c r="S57" i="6"/>
  <c r="Q7" i="6"/>
  <c r="M30" i="6"/>
  <c r="AB48" i="6"/>
  <c r="W23" i="6"/>
  <c r="Y51" i="6"/>
  <c r="U16" i="6"/>
  <c r="U56" i="6"/>
  <c r="Q4" i="6"/>
  <c r="Q40" i="6"/>
  <c r="O63" i="6"/>
  <c r="P63" i="6" s="1"/>
  <c r="M16" i="6"/>
  <c r="K29" i="6"/>
  <c r="M52" i="6"/>
  <c r="M77" i="6"/>
  <c r="I21" i="6"/>
  <c r="I47" i="6"/>
  <c r="G73" i="6"/>
  <c r="E2" i="6"/>
  <c r="C29" i="6"/>
  <c r="C54" i="6"/>
  <c r="C80" i="6"/>
  <c r="Y21" i="6"/>
  <c r="S11" i="6"/>
  <c r="Q3" i="6"/>
  <c r="O62" i="6"/>
  <c r="K40" i="6"/>
  <c r="M76" i="6"/>
  <c r="N76" i="6" s="1"/>
  <c r="I46" i="6"/>
  <c r="C16" i="6"/>
  <c r="C51" i="6"/>
  <c r="Y22" i="6"/>
  <c r="W51" i="6"/>
  <c r="U11" i="6"/>
  <c r="U53" i="6"/>
  <c r="O4" i="6"/>
  <c r="O40" i="6"/>
  <c r="Q62" i="6"/>
  <c r="K16" i="6"/>
  <c r="M28" i="6"/>
  <c r="K65" i="6"/>
  <c r="K77" i="6"/>
  <c r="G21" i="6"/>
  <c r="G47" i="6"/>
  <c r="G72" i="6"/>
  <c r="C17" i="6"/>
  <c r="E28" i="6"/>
  <c r="E51" i="6"/>
  <c r="E79" i="6"/>
  <c r="AB27" i="6"/>
  <c r="Y50" i="6"/>
  <c r="S53" i="6"/>
  <c r="Q34" i="6"/>
  <c r="M15" i="6"/>
  <c r="K63" i="6"/>
  <c r="L63" i="6" s="1"/>
  <c r="I20" i="6"/>
  <c r="G71" i="6"/>
  <c r="E41" i="6"/>
  <c r="C79" i="6"/>
  <c r="Y9" i="6"/>
  <c r="Y66" i="6"/>
  <c r="Q2" i="6"/>
  <c r="O71" i="6"/>
  <c r="K37" i="6"/>
  <c r="G5" i="6"/>
  <c r="I44" i="6"/>
  <c r="E14" i="6"/>
  <c r="E65" i="6"/>
  <c r="W9" i="6"/>
  <c r="S21" i="6"/>
  <c r="Q70" i="6"/>
  <c r="M36" i="6"/>
  <c r="I4" i="6"/>
  <c r="I55" i="6"/>
  <c r="C14" i="6"/>
  <c r="C65" i="6"/>
  <c r="W8" i="6"/>
  <c r="U20" i="6"/>
  <c r="Q67" i="6"/>
  <c r="G4" i="6"/>
  <c r="G54" i="6"/>
  <c r="E13" i="6"/>
  <c r="AB2" i="6"/>
  <c r="G22" i="6"/>
  <c r="E80" i="6"/>
  <c r="M60" i="6"/>
  <c r="G29" i="6"/>
  <c r="I28" i="6"/>
  <c r="Y70" i="6"/>
  <c r="C49" i="6"/>
  <c r="G27" i="6"/>
  <c r="Y68" i="6"/>
  <c r="Z68" i="6" s="1"/>
  <c r="M20" i="6"/>
  <c r="U67" i="6"/>
  <c r="C50" i="6"/>
  <c r="O17" i="6"/>
  <c r="Q16" i="6"/>
  <c r="E64" i="6"/>
  <c r="C39" i="6"/>
  <c r="O48" i="6"/>
  <c r="Q46" i="6"/>
  <c r="K21" i="6"/>
  <c r="AB20" i="6"/>
  <c r="K34" i="6"/>
  <c r="Q78" i="6"/>
  <c r="K13" i="6"/>
  <c r="M59" i="6"/>
  <c r="O46" i="6"/>
  <c r="Q43" i="6"/>
  <c r="G46" i="6"/>
  <c r="W21" i="6"/>
  <c r="S20" i="6"/>
  <c r="Q15" i="6"/>
  <c r="O67" i="6"/>
  <c r="M49" i="6"/>
  <c r="I3" i="6"/>
  <c r="I53" i="6"/>
  <c r="E25" i="6"/>
  <c r="C63" i="6"/>
  <c r="D63" i="6" s="1"/>
  <c r="S18" i="6"/>
  <c r="Q81" i="6"/>
  <c r="I16" i="6"/>
  <c r="E58" i="6"/>
  <c r="AB24" i="6"/>
  <c r="U33" i="6"/>
  <c r="O79" i="6"/>
  <c r="G16" i="6"/>
  <c r="C22" i="6"/>
  <c r="K53" i="6"/>
  <c r="E30" i="6"/>
  <c r="G81" i="6"/>
  <c r="W59" i="6"/>
  <c r="K60" i="6"/>
  <c r="Y58" i="6"/>
  <c r="C34" i="6"/>
  <c r="S58" i="6"/>
  <c r="M72" i="6"/>
  <c r="K78" i="6"/>
  <c r="Y67" i="6"/>
  <c r="E15" i="6"/>
  <c r="O3" i="6"/>
  <c r="C15" i="6"/>
  <c r="Y20" i="6"/>
  <c r="U18" i="6"/>
  <c r="Q24" i="6"/>
  <c r="O66" i="6"/>
  <c r="M48" i="6"/>
  <c r="G17" i="6"/>
  <c r="G53" i="6"/>
  <c r="C23" i="6"/>
  <c r="E62" i="6"/>
  <c r="AB23" i="6"/>
  <c r="W28" i="6"/>
  <c r="O23" i="6"/>
  <c r="K48" i="6"/>
  <c r="I52" i="6"/>
  <c r="Y27" i="6"/>
  <c r="Q20" i="6"/>
  <c r="M45" i="6"/>
  <c r="G51" i="6"/>
  <c r="E72" i="6"/>
  <c r="Y40" i="6"/>
  <c r="O20" i="6"/>
  <c r="I59" i="6"/>
  <c r="E34" i="6"/>
  <c r="S63" i="6"/>
  <c r="T63" i="6" s="1"/>
  <c r="E49" i="6"/>
  <c r="I27" i="6"/>
  <c r="U73" i="6"/>
  <c r="G78" i="6"/>
  <c r="C3" i="6"/>
  <c r="Q73" i="6"/>
  <c r="G45" i="6"/>
  <c r="E22" i="6"/>
  <c r="S33" i="6"/>
  <c r="M13" i="6"/>
  <c r="Q47" i="6"/>
  <c r="K10" i="6"/>
  <c r="W69" i="6"/>
  <c r="K75" i="6"/>
  <c r="L75" i="6" s="1"/>
  <c r="O49" i="6"/>
  <c r="I80" i="6"/>
  <c r="K12" i="6"/>
  <c r="M58" i="6"/>
  <c r="K68" i="6"/>
  <c r="K38" i="6"/>
  <c r="M37" i="6"/>
  <c r="AB4" i="6"/>
  <c r="W40" i="6"/>
  <c r="U41" i="6"/>
  <c r="Q26" i="6"/>
  <c r="K17" i="6"/>
  <c r="M62" i="6"/>
  <c r="I32" i="6"/>
  <c r="I70" i="6"/>
  <c r="E40" i="6"/>
  <c r="C78" i="6"/>
  <c r="S41" i="6"/>
  <c r="O34" i="6"/>
  <c r="P34" i="6" s="1"/>
  <c r="K62" i="6"/>
  <c r="G32" i="6"/>
  <c r="C40" i="6"/>
  <c r="E74" i="6"/>
  <c r="F74" i="6" s="1"/>
  <c r="Y36" i="6"/>
  <c r="Q49" i="6"/>
  <c r="K61" i="6"/>
  <c r="I81" i="6"/>
  <c r="U65" i="6"/>
  <c r="U64" i="6"/>
  <c r="W71" i="6"/>
  <c r="G79" i="6"/>
  <c r="I78" i="6"/>
  <c r="C48" i="6"/>
  <c r="S68" i="6"/>
  <c r="G48" i="6"/>
  <c r="W67" i="6"/>
  <c r="I6" i="6"/>
  <c r="Y39" i="6"/>
  <c r="M14" i="6"/>
  <c r="G69" i="6"/>
  <c r="U52" i="6"/>
  <c r="K14" i="6"/>
  <c r="I31" i="6"/>
  <c r="E39" i="6"/>
  <c r="W35" i="6"/>
  <c r="G31" i="6"/>
  <c r="S65" i="6"/>
  <c r="G80" i="6"/>
  <c r="G28" i="6"/>
  <c r="M21" i="6"/>
  <c r="Q45" i="6"/>
  <c r="E54" i="6"/>
  <c r="Q64" i="6"/>
  <c r="E50" i="6"/>
  <c r="F80" i="6" l="1"/>
  <c r="T80" i="6"/>
  <c r="P71" i="6"/>
  <c r="X71" i="6"/>
  <c r="H81" i="6"/>
  <c r="D50" i="6"/>
  <c r="D71" i="6"/>
  <c r="H71" i="6"/>
  <c r="H59" i="6"/>
  <c r="L60" i="6"/>
  <c r="H60" i="6"/>
  <c r="X78" i="6"/>
  <c r="D75" i="6"/>
  <c r="L78" i="6"/>
  <c r="P75" i="6"/>
  <c r="H78" i="6"/>
  <c r="D39" i="6"/>
  <c r="P39" i="6"/>
  <c r="T78" i="6"/>
  <c r="R76" i="6"/>
  <c r="Z18" i="6"/>
  <c r="F18" i="6"/>
  <c r="N36" i="6"/>
  <c r="V18" i="6"/>
  <c r="F72" i="6"/>
  <c r="F79" i="6"/>
  <c r="J55" i="6"/>
  <c r="N55" i="6"/>
  <c r="J18" i="6"/>
  <c r="N30" i="6"/>
  <c r="R68" i="6"/>
  <c r="J42" i="6"/>
  <c r="F15" i="6"/>
  <c r="N79" i="6"/>
  <c r="R78" i="6"/>
  <c r="Z70" i="6"/>
  <c r="R70" i="6"/>
  <c r="J70" i="6"/>
  <c r="F30" i="6"/>
  <c r="F70" i="6"/>
  <c r="R32" i="6"/>
  <c r="D15" i="6"/>
  <c r="X59" i="6"/>
  <c r="D78" i="6"/>
  <c r="H15" i="6"/>
  <c r="D16" i="6"/>
  <c r="L34" i="6"/>
  <c r="L53" i="6"/>
  <c r="L37" i="6"/>
  <c r="D55" i="6"/>
  <c r="P59" i="6"/>
  <c r="H53" i="6"/>
  <c r="T37" i="6"/>
  <c r="H77" i="6"/>
  <c r="F22" i="6"/>
  <c r="N15" i="6"/>
  <c r="X44" i="6"/>
  <c r="N59" i="6"/>
  <c r="H55" i="6"/>
  <c r="T58" i="6"/>
  <c r="F33" i="6"/>
  <c r="L13" i="6"/>
  <c r="D80" i="6"/>
  <c r="X77" i="6"/>
  <c r="H73" i="6"/>
  <c r="D73" i="6"/>
  <c r="P77" i="6"/>
  <c r="T77" i="6"/>
  <c r="L50" i="6"/>
  <c r="L77" i="6"/>
  <c r="D34" i="6"/>
  <c r="D77" i="6"/>
  <c r="H80" i="6"/>
  <c r="J15" i="6"/>
  <c r="V75" i="6"/>
  <c r="R15" i="6"/>
  <c r="R77" i="6"/>
  <c r="J80" i="6"/>
  <c r="N75" i="6"/>
  <c r="J21" i="6"/>
  <c r="F55" i="6"/>
  <c r="Z55" i="6"/>
  <c r="V55" i="6"/>
  <c r="N77" i="6"/>
  <c r="N80" i="6"/>
  <c r="F75" i="6"/>
  <c r="Z75" i="6"/>
  <c r="N78" i="6"/>
  <c r="J78" i="6"/>
  <c r="P46" i="6"/>
  <c r="P53" i="6"/>
  <c r="T76" i="6"/>
  <c r="D26" i="6"/>
  <c r="D74" i="6"/>
  <c r="N18" i="6"/>
  <c r="J25" i="6"/>
  <c r="V32" i="6"/>
  <c r="J72" i="6"/>
  <c r="J36" i="6"/>
  <c r="Z71" i="6"/>
  <c r="Z78" i="6"/>
  <c r="J32" i="6"/>
  <c r="F65" i="6"/>
  <c r="J3" i="6"/>
  <c r="F25" i="6"/>
  <c r="Z65" i="6"/>
  <c r="V25" i="6"/>
  <c r="Z80" i="6"/>
  <c r="Z41" i="6"/>
  <c r="Z25" i="6"/>
  <c r="Z22" i="6"/>
  <c r="F41" i="6"/>
  <c r="N41" i="6"/>
  <c r="V78" i="6"/>
  <c r="V41" i="6"/>
  <c r="R81" i="6"/>
  <c r="N25" i="6"/>
  <c r="R25" i="6"/>
  <c r="H69" i="6"/>
  <c r="H79" i="6"/>
  <c r="T79" i="6"/>
  <c r="L44" i="6"/>
  <c r="D69" i="6"/>
  <c r="H51" i="6"/>
  <c r="L15" i="6"/>
  <c r="T16" i="6"/>
  <c r="L58" i="6"/>
  <c r="H31" i="6"/>
  <c r="D79" i="6"/>
  <c r="L40" i="6"/>
  <c r="L76" i="6"/>
  <c r="D40" i="6"/>
  <c r="T18" i="6"/>
  <c r="P72" i="6"/>
  <c r="H11" i="6"/>
  <c r="P50" i="6"/>
  <c r="X55" i="6"/>
  <c r="D76" i="6"/>
  <c r="X76" i="6"/>
  <c r="X79" i="6"/>
  <c r="T75" i="6"/>
  <c r="X40" i="6"/>
  <c r="P76" i="6"/>
  <c r="P15" i="6"/>
  <c r="R18" i="6"/>
  <c r="Z36" i="6"/>
  <c r="R30" i="6"/>
  <c r="R73" i="6"/>
  <c r="N81" i="6"/>
  <c r="J53" i="6"/>
  <c r="N58" i="6"/>
  <c r="F58" i="6"/>
  <c r="J44" i="6"/>
  <c r="F78" i="6"/>
  <c r="F5" i="6"/>
  <c r="Z5" i="6"/>
  <c r="R75" i="6"/>
  <c r="N72" i="6"/>
  <c r="V34" i="6"/>
  <c r="N32" i="6"/>
  <c r="V73" i="6"/>
  <c r="R41" i="6"/>
  <c r="J41" i="6"/>
  <c r="V79" i="6"/>
  <c r="J79" i="6"/>
  <c r="Z58" i="6"/>
  <c r="Z21" i="6"/>
  <c r="J75" i="6"/>
  <c r="Z79" i="6"/>
  <c r="J76" i="6"/>
  <c r="J58" i="6"/>
  <c r="V38" i="6"/>
  <c r="L26" i="6"/>
  <c r="H26" i="6"/>
  <c r="J66" i="6"/>
  <c r="V81" i="6"/>
  <c r="F3" i="6"/>
  <c r="R64" i="6"/>
  <c r="Z28" i="6"/>
  <c r="J28" i="6"/>
  <c r="J65" i="6"/>
  <c r="N65" i="6"/>
  <c r="R43" i="6"/>
  <c r="F81" i="6"/>
  <c r="N14" i="6"/>
  <c r="F14" i="6"/>
  <c r="X60" i="6"/>
  <c r="J81" i="6"/>
  <c r="V65" i="6"/>
  <c r="J19" i="6"/>
  <c r="R65" i="6"/>
  <c r="N28" i="6"/>
  <c r="H27" i="6"/>
  <c r="H35" i="6"/>
  <c r="D49" i="6"/>
  <c r="X66" i="6"/>
  <c r="P49" i="6"/>
  <c r="T49" i="6"/>
  <c r="P69" i="6"/>
  <c r="X15" i="6"/>
  <c r="X69" i="6"/>
  <c r="L20" i="6"/>
  <c r="D20" i="6"/>
  <c r="H49" i="6"/>
  <c r="H16" i="6"/>
  <c r="P66" i="6"/>
  <c r="P40" i="6"/>
  <c r="P78" i="6"/>
  <c r="X26" i="6"/>
  <c r="L7" i="6"/>
  <c r="D6" i="6"/>
  <c r="H41" i="6"/>
  <c r="D41" i="6"/>
  <c r="P67" i="6"/>
  <c r="X51" i="6"/>
  <c r="L19" i="6"/>
  <c r="P19" i="6"/>
  <c r="X41" i="6"/>
  <c r="T11" i="6"/>
  <c r="T53" i="6"/>
  <c r="D59" i="6"/>
  <c r="T66" i="6"/>
  <c r="H72" i="6"/>
  <c r="X4" i="6"/>
  <c r="P41" i="6"/>
  <c r="T4" i="6"/>
  <c r="L81" i="6"/>
  <c r="T13" i="6"/>
  <c r="P80" i="6"/>
  <c r="D72" i="6"/>
  <c r="X5" i="6"/>
  <c r="T41" i="6"/>
  <c r="X73" i="6"/>
  <c r="T15" i="6"/>
  <c r="T59" i="6"/>
  <c r="V44" i="6"/>
  <c r="R44" i="6"/>
  <c r="J33" i="6"/>
  <c r="J10" i="6"/>
  <c r="P13" i="6"/>
  <c r="X53" i="6"/>
  <c r="D51" i="6"/>
  <c r="X58" i="6"/>
  <c r="X49" i="6"/>
  <c r="T69" i="6"/>
  <c r="Z81" i="6"/>
  <c r="F34" i="6"/>
  <c r="V36" i="6"/>
  <c r="X50" i="6"/>
  <c r="H66" i="6"/>
  <c r="T38" i="6"/>
  <c r="F76" i="6"/>
  <c r="H13" i="6"/>
  <c r="D53" i="6"/>
  <c r="R52" i="6"/>
  <c r="X80" i="6"/>
  <c r="D66" i="6"/>
  <c r="V71" i="6"/>
  <c r="L69" i="6"/>
  <c r="R34" i="6"/>
  <c r="Z33" i="6"/>
  <c r="L18" i="6"/>
  <c r="R79" i="6"/>
  <c r="L66" i="6"/>
  <c r="V76" i="6"/>
  <c r="L38" i="6"/>
  <c r="V33" i="6"/>
  <c r="L16" i="6"/>
  <c r="L80" i="6"/>
  <c r="R33" i="6"/>
  <c r="D18" i="6"/>
  <c r="H50" i="6"/>
  <c r="Z76" i="6"/>
  <c r="T65" i="6"/>
  <c r="L39" i="6"/>
  <c r="N24" i="6"/>
  <c r="F64" i="6"/>
  <c r="V64" i="6"/>
  <c r="Z27" i="6"/>
  <c r="D65" i="6"/>
  <c r="H6" i="6"/>
  <c r="T74" i="6"/>
  <c r="H5" i="6"/>
  <c r="T6" i="6"/>
  <c r="H39" i="6"/>
  <c r="L74" i="6"/>
  <c r="L65" i="6"/>
  <c r="T39" i="6"/>
  <c r="H12" i="6"/>
  <c r="P5" i="6"/>
  <c r="L54" i="6"/>
  <c r="V70" i="6"/>
  <c r="V53" i="6"/>
  <c r="D54" i="6"/>
  <c r="J37" i="6"/>
  <c r="L12" i="6"/>
  <c r="R20" i="6"/>
  <c r="J16" i="6"/>
  <c r="P54" i="6"/>
  <c r="F53" i="6"/>
  <c r="N53" i="6"/>
  <c r="F7" i="6"/>
  <c r="N70" i="6"/>
  <c r="F49" i="6"/>
  <c r="N5" i="6"/>
  <c r="V10" i="6"/>
  <c r="H61" i="6"/>
  <c r="T60" i="6"/>
  <c r="V59" i="6"/>
  <c r="Z59" i="6"/>
  <c r="F59" i="6"/>
  <c r="V16" i="6"/>
  <c r="F28" i="6"/>
  <c r="X52" i="6"/>
  <c r="V14" i="6"/>
  <c r="J43" i="6"/>
  <c r="Z43" i="6"/>
  <c r="N33" i="6"/>
  <c r="J59" i="6"/>
  <c r="V56" i="6"/>
  <c r="P65" i="6"/>
  <c r="D60" i="6"/>
  <c r="P60" i="6"/>
  <c r="P20" i="6"/>
  <c r="R59" i="6"/>
  <c r="L61" i="6"/>
  <c r="D19" i="6"/>
  <c r="F43" i="6"/>
  <c r="V43" i="6"/>
  <c r="N13" i="6"/>
  <c r="P4" i="6"/>
  <c r="V62" i="6"/>
  <c r="V77" i="6"/>
  <c r="R80" i="6"/>
  <c r="H44" i="6"/>
  <c r="T48" i="6"/>
  <c r="J71" i="6"/>
  <c r="Z39" i="6"/>
  <c r="N67" i="6"/>
  <c r="Z32" i="6"/>
  <c r="T55" i="6"/>
  <c r="P55" i="6"/>
  <c r="V60" i="6"/>
  <c r="N42" i="6"/>
  <c r="V80" i="6"/>
  <c r="F6" i="6"/>
  <c r="N44" i="6"/>
  <c r="T54" i="6"/>
  <c r="T8" i="6"/>
  <c r="H40" i="6"/>
  <c r="Z7" i="6"/>
  <c r="J6" i="6"/>
  <c r="N62" i="6"/>
  <c r="R16" i="6"/>
  <c r="J47" i="6"/>
  <c r="V21" i="6"/>
  <c r="X72" i="6"/>
  <c r="V72" i="6"/>
  <c r="R71" i="6"/>
  <c r="Z16" i="6"/>
  <c r="F77" i="6"/>
  <c r="N71" i="6"/>
  <c r="R7" i="6"/>
  <c r="N52" i="6"/>
  <c r="F71" i="6"/>
  <c r="V37" i="6"/>
  <c r="V42" i="6"/>
  <c r="L55" i="6"/>
  <c r="Z31" i="6"/>
  <c r="T44" i="6"/>
  <c r="V31" i="6"/>
  <c r="H17" i="6"/>
  <c r="N6" i="6"/>
  <c r="D44" i="6"/>
  <c r="Z37" i="6"/>
  <c r="V47" i="6"/>
  <c r="F62" i="6"/>
  <c r="H48" i="6"/>
  <c r="Z62" i="6"/>
  <c r="N31" i="6"/>
  <c r="P81" i="6"/>
  <c r="N21" i="6"/>
  <c r="J52" i="6"/>
  <c r="L21" i="6"/>
  <c r="H54" i="6"/>
  <c r="Z53" i="6"/>
  <c r="J60" i="6"/>
  <c r="R53" i="6"/>
  <c r="X48" i="6"/>
  <c r="L4" i="6"/>
  <c r="Z67" i="6"/>
  <c r="N16" i="6"/>
  <c r="F67" i="6"/>
  <c r="Z6" i="6"/>
  <c r="D4" i="6"/>
  <c r="Z47" i="6"/>
  <c r="V52" i="6"/>
  <c r="D48" i="6"/>
  <c r="L48" i="6"/>
  <c r="H4" i="6"/>
  <c r="H21" i="6"/>
  <c r="J73" i="6"/>
  <c r="H56" i="6"/>
  <c r="X81" i="6"/>
  <c r="F42" i="6"/>
  <c r="T50" i="6"/>
  <c r="N47" i="6"/>
  <c r="V7" i="6"/>
  <c r="T81" i="6"/>
  <c r="V67" i="6"/>
  <c r="P8" i="6"/>
  <c r="P51" i="6"/>
  <c r="J7" i="6"/>
  <c r="F37" i="6"/>
  <c r="L17" i="6"/>
  <c r="L8" i="6"/>
  <c r="J31" i="6"/>
  <c r="F31" i="6"/>
  <c r="D81" i="6"/>
  <c r="N37" i="6"/>
  <c r="L10" i="6"/>
  <c r="P79" i="6"/>
  <c r="X8" i="6"/>
  <c r="D21" i="6"/>
  <c r="T73" i="6"/>
  <c r="L73" i="6"/>
  <c r="R37" i="6"/>
  <c r="X21" i="6"/>
  <c r="R67" i="6"/>
  <c r="R47" i="6"/>
  <c r="N60" i="6"/>
  <c r="Z44" i="6"/>
  <c r="J77" i="6"/>
  <c r="N45" i="6"/>
  <c r="H8" i="6"/>
  <c r="T21" i="6"/>
  <c r="X54" i="6"/>
  <c r="P48" i="6"/>
  <c r="R62" i="6"/>
  <c r="H37" i="6"/>
  <c r="P44" i="6"/>
  <c r="H76" i="6"/>
  <c r="D52" i="6"/>
  <c r="R58" i="6"/>
  <c r="T51" i="6"/>
  <c r="R60" i="6"/>
  <c r="P2" i="6"/>
  <c r="F50" i="6"/>
  <c r="Z42" i="6"/>
  <c r="H45" i="6"/>
  <c r="X7" i="6"/>
  <c r="P28" i="6"/>
  <c r="R40" i="6"/>
  <c r="Z50" i="6"/>
  <c r="F40" i="6"/>
  <c r="H28" i="6"/>
  <c r="X28" i="6"/>
  <c r="Z40" i="6"/>
  <c r="D11" i="6"/>
  <c r="D58" i="6"/>
  <c r="R19" i="6"/>
  <c r="X67" i="6"/>
  <c r="D14" i="6"/>
  <c r="D67" i="6"/>
  <c r="V13" i="6"/>
  <c r="D17" i="6"/>
  <c r="D5" i="6"/>
  <c r="Z34" i="6"/>
  <c r="L6" i="6"/>
  <c r="T20" i="6"/>
  <c r="H46" i="6"/>
  <c r="Z13" i="6"/>
  <c r="V58" i="6"/>
  <c r="F38" i="6"/>
  <c r="L72" i="6"/>
  <c r="F44" i="6"/>
  <c r="X39" i="6"/>
  <c r="P26" i="6"/>
  <c r="H14" i="6"/>
  <c r="P3" i="6"/>
  <c r="H57" i="6"/>
  <c r="N49" i="6"/>
  <c r="V11" i="6"/>
  <c r="D35" i="6"/>
  <c r="L57" i="6"/>
  <c r="J13" i="6"/>
  <c r="P73" i="6"/>
  <c r="X35" i="6"/>
  <c r="P62" i="6"/>
  <c r="R26" i="6"/>
  <c r="T57" i="6"/>
  <c r="T67" i="6"/>
  <c r="H32" i="6"/>
  <c r="R3" i="6"/>
  <c r="X20" i="6"/>
  <c r="L62" i="6"/>
  <c r="P17" i="6"/>
  <c r="T17" i="6"/>
  <c r="Z19" i="6"/>
  <c r="F19" i="6"/>
  <c r="X14" i="6"/>
  <c r="F39" i="6"/>
  <c r="P6" i="6"/>
  <c r="D3" i="6"/>
  <c r="F13" i="6"/>
  <c r="Z66" i="6"/>
  <c r="L14" i="6"/>
  <c r="R24" i="6"/>
  <c r="X9" i="6"/>
  <c r="R50" i="6"/>
  <c r="N34" i="6"/>
  <c r="J34" i="6"/>
  <c r="R72" i="6"/>
  <c r="Z14" i="6"/>
  <c r="H65" i="6"/>
  <c r="L67" i="6"/>
  <c r="H20" i="6"/>
  <c r="N3" i="6"/>
  <c r="R42" i="6"/>
  <c r="N66" i="6"/>
  <c r="R22" i="6"/>
  <c r="Z3" i="6"/>
  <c r="T35" i="6"/>
  <c r="V66" i="6"/>
  <c r="J24" i="6"/>
  <c r="R49" i="6"/>
  <c r="J27" i="6"/>
  <c r="T7" i="6"/>
  <c r="V19" i="6"/>
  <c r="T3" i="6"/>
  <c r="P37" i="6"/>
  <c r="N19" i="6"/>
  <c r="Z72" i="6"/>
  <c r="X68" i="6"/>
  <c r="H70" i="6"/>
  <c r="L49" i="6"/>
  <c r="H38" i="6"/>
  <c r="H18" i="6"/>
  <c r="X13" i="6"/>
  <c r="F51" i="6"/>
  <c r="F47" i="6"/>
  <c r="Z51" i="6"/>
  <c r="N73" i="6"/>
  <c r="D56" i="6"/>
  <c r="R55" i="6"/>
  <c r="D37" i="6"/>
  <c r="D13" i="6"/>
  <c r="R14" i="6"/>
  <c r="P35" i="6"/>
  <c r="L35" i="6"/>
  <c r="T56" i="6"/>
  <c r="P58" i="6"/>
  <c r="L56" i="6"/>
  <c r="V15" i="6"/>
  <c r="F36" i="6"/>
  <c r="F32" i="6"/>
  <c r="R31" i="6"/>
  <c r="L68" i="6"/>
  <c r="X63" i="6"/>
  <c r="X43" i="6"/>
  <c r="H22" i="6"/>
  <c r="D29" i="6"/>
  <c r="F46" i="6"/>
  <c r="L45" i="6"/>
  <c r="P25" i="6"/>
  <c r="X62" i="6"/>
  <c r="H43" i="6"/>
  <c r="X38" i="6"/>
  <c r="J35" i="6"/>
  <c r="J46" i="6"/>
  <c r="T22" i="6"/>
  <c r="P22" i="6"/>
  <c r="X27" i="6"/>
  <c r="X46" i="6"/>
  <c r="Z10" i="6"/>
  <c r="V46" i="6"/>
  <c r="J38" i="6"/>
  <c r="P38" i="6"/>
  <c r="X33" i="6"/>
  <c r="T70" i="6"/>
  <c r="Z30" i="6"/>
  <c r="P12" i="6"/>
  <c r="P18" i="6"/>
  <c r="V63" i="6"/>
  <c r="H24" i="6"/>
  <c r="T64" i="6"/>
  <c r="L32" i="6"/>
  <c r="J61" i="6"/>
  <c r="R54" i="6"/>
  <c r="T33" i="6"/>
  <c r="J20" i="6"/>
  <c r="P31" i="6"/>
  <c r="H33" i="6"/>
  <c r="D33" i="6"/>
  <c r="N63" i="6"/>
  <c r="L64" i="6"/>
  <c r="T24" i="6"/>
  <c r="L43" i="6"/>
  <c r="P29" i="6"/>
  <c r="Z54" i="6"/>
  <c r="J12" i="6"/>
  <c r="R12" i="6"/>
  <c r="L33" i="6"/>
  <c r="T68" i="6"/>
  <c r="P43" i="6"/>
  <c r="F54" i="6"/>
  <c r="H29" i="6"/>
  <c r="N54" i="6"/>
  <c r="T43" i="6"/>
  <c r="D38" i="6"/>
  <c r="F52" i="6"/>
  <c r="R46" i="6"/>
  <c r="P68" i="6"/>
  <c r="L52" i="6"/>
  <c r="D22" i="6"/>
  <c r="D68" i="6"/>
  <c r="X25" i="6"/>
  <c r="R21" i="6"/>
  <c r="D43" i="6"/>
  <c r="H63" i="6"/>
  <c r="T29" i="6"/>
  <c r="R11" i="6"/>
  <c r="P27" i="6"/>
  <c r="L11" i="6"/>
  <c r="F11" i="6"/>
  <c r="R9" i="6"/>
  <c r="N4" i="6"/>
  <c r="J64" i="6"/>
  <c r="T52" i="6"/>
  <c r="R10" i="6"/>
  <c r="J69" i="6"/>
  <c r="R29" i="6"/>
  <c r="P30" i="6"/>
  <c r="X6" i="6"/>
  <c r="Z48" i="6"/>
  <c r="V9" i="6"/>
  <c r="D25" i="6"/>
  <c r="V12" i="6"/>
  <c r="N61" i="6"/>
  <c r="D7" i="6"/>
  <c r="P9" i="6"/>
  <c r="H67" i="6"/>
  <c r="R5" i="6"/>
  <c r="J63" i="6"/>
  <c r="R23" i="6"/>
  <c r="H64" i="6"/>
  <c r="P24" i="6"/>
  <c r="J26" i="6"/>
  <c r="V48" i="6"/>
  <c r="D9" i="6"/>
  <c r="J62" i="6"/>
  <c r="J39" i="6"/>
  <c r="T28" i="6"/>
  <c r="L28" i="6"/>
  <c r="J50" i="6"/>
  <c r="J57" i="6"/>
  <c r="R17" i="6"/>
  <c r="H42" i="6"/>
  <c r="F45" i="6"/>
  <c r="X29" i="6"/>
  <c r="H62" i="6"/>
  <c r="V50" i="6"/>
  <c r="T47" i="6"/>
  <c r="P57" i="6"/>
  <c r="H19" i="6"/>
  <c r="L23" i="6"/>
  <c r="J45" i="6"/>
  <c r="H36" i="6"/>
  <c r="T31" i="6"/>
  <c r="R27" i="6"/>
  <c r="T27" i="6"/>
  <c r="V5" i="6"/>
  <c r="L3" i="6"/>
  <c r="J40" i="6"/>
  <c r="V54" i="6"/>
  <c r="J29" i="6"/>
  <c r="V69" i="6"/>
  <c r="H30" i="6"/>
  <c r="R6" i="6"/>
  <c r="Z11" i="6"/>
  <c r="V26" i="6"/>
  <c r="T23" i="6"/>
  <c r="V49" i="6"/>
  <c r="J23" i="6"/>
  <c r="D31" i="6"/>
  <c r="J22" i="6"/>
  <c r="V22" i="6"/>
  <c r="V4" i="6"/>
  <c r="P14" i="6"/>
  <c r="Z61" i="6"/>
  <c r="Z8" i="6"/>
  <c r="J14" i="6"/>
  <c r="V28" i="6"/>
  <c r="J17" i="6"/>
  <c r="V57" i="6"/>
  <c r="H2" i="6"/>
  <c r="T42" i="6"/>
  <c r="X45" i="6"/>
  <c r="Z49" i="6"/>
  <c r="J51" i="6"/>
  <c r="Z64" i="6"/>
  <c r="P11" i="6"/>
  <c r="T61" i="6"/>
  <c r="H9" i="6"/>
  <c r="N51" i="6"/>
  <c r="P52" i="6"/>
  <c r="J9" i="6"/>
  <c r="V24" i="6"/>
  <c r="V35" i="6"/>
  <c r="T36" i="6"/>
  <c r="D23" i="6"/>
  <c r="H23" i="6"/>
  <c r="J11" i="6"/>
  <c r="N11" i="6"/>
  <c r="J49" i="6"/>
  <c r="V39" i="6"/>
  <c r="Z45" i="6"/>
  <c r="R8" i="6"/>
  <c r="X47" i="6"/>
  <c r="V45" i="6"/>
  <c r="J8" i="6"/>
  <c r="Z60" i="6"/>
  <c r="P47" i="6"/>
  <c r="N68" i="6"/>
  <c r="V3" i="6"/>
  <c r="N69" i="6"/>
  <c r="V29" i="6"/>
  <c r="L70" i="6"/>
  <c r="T30" i="6"/>
  <c r="Z4" i="6"/>
  <c r="X10" i="6"/>
  <c r="F20" i="6"/>
  <c r="T10" i="6"/>
  <c r="D27" i="6"/>
  <c r="F48" i="6"/>
  <c r="R48" i="6"/>
  <c r="N50" i="6"/>
  <c r="Z56" i="6"/>
  <c r="V51" i="6"/>
  <c r="N27" i="6"/>
  <c r="N64" i="6"/>
  <c r="V23" i="6"/>
  <c r="J2" i="6"/>
  <c r="R45" i="6"/>
  <c r="L29" i="6"/>
  <c r="F4" i="6"/>
  <c r="V8" i="6"/>
  <c r="T12" i="6"/>
  <c r="N39" i="6"/>
  <c r="X3" i="6"/>
  <c r="V30" i="6"/>
  <c r="F10" i="6"/>
  <c r="D28" i="6"/>
  <c r="R28" i="6"/>
  <c r="X56" i="6"/>
  <c r="N46" i="6"/>
  <c r="J67" i="6"/>
  <c r="L25" i="6"/>
  <c r="X16" i="6"/>
  <c r="P21" i="6"/>
  <c r="N43" i="6"/>
  <c r="Z73" i="6"/>
  <c r="N57" i="6"/>
  <c r="V17" i="6"/>
  <c r="L42" i="6"/>
  <c r="T2" i="6"/>
  <c r="F2" i="6"/>
  <c r="R2" i="6"/>
  <c r="N2" i="6"/>
  <c r="J4" i="6"/>
  <c r="N48" i="6"/>
  <c r="Z24" i="6"/>
  <c r="X34" i="6"/>
  <c r="P45" i="6"/>
  <c r="F24" i="6"/>
  <c r="L46" i="6"/>
  <c r="X37" i="6"/>
  <c r="N26" i="6"/>
  <c r="V27" i="6"/>
  <c r="L5" i="6"/>
  <c r="P16" i="6"/>
  <c r="N38" i="6"/>
  <c r="Z52" i="6"/>
  <c r="N35" i="6"/>
  <c r="L36" i="6"/>
  <c r="J48" i="6"/>
  <c r="L9" i="6"/>
  <c r="H52" i="6"/>
  <c r="N8" i="6"/>
  <c r="D10" i="6"/>
  <c r="H58" i="6"/>
  <c r="X65" i="6"/>
  <c r="N22" i="6"/>
  <c r="T25" i="6"/>
  <c r="F66" i="6"/>
  <c r="F69" i="6"/>
  <c r="N29" i="6"/>
  <c r="Z69" i="6"/>
  <c r="D70" i="6"/>
  <c r="L30" i="6"/>
  <c r="X70" i="6"/>
  <c r="Z9" i="6"/>
  <c r="H47" i="6"/>
  <c r="Z46" i="6"/>
  <c r="J56" i="6"/>
  <c r="L22" i="6"/>
  <c r="T5" i="6"/>
  <c r="D62" i="6"/>
  <c r="P61" i="6"/>
  <c r="T71" i="6"/>
  <c r="N12" i="6"/>
  <c r="Z26" i="6"/>
  <c r="F63" i="6"/>
  <c r="N23" i="6"/>
  <c r="Z63" i="6"/>
  <c r="D64" i="6"/>
  <c r="L24" i="6"/>
  <c r="X64" i="6"/>
  <c r="Z2" i="6"/>
  <c r="R4" i="6"/>
  <c r="T34" i="6"/>
  <c r="L31" i="6"/>
  <c r="P32" i="6"/>
  <c r="X11" i="6"/>
  <c r="R39" i="6"/>
  <c r="X31" i="6"/>
  <c r="X32" i="6"/>
  <c r="T62" i="6"/>
  <c r="F61" i="6"/>
  <c r="F73" i="6"/>
  <c r="N7" i="6"/>
  <c r="X22" i="6"/>
  <c r="F57" i="6"/>
  <c r="N17" i="6"/>
  <c r="Z57" i="6"/>
  <c r="D42" i="6"/>
  <c r="L2" i="6"/>
  <c r="X42" i="6"/>
  <c r="P23" i="6"/>
  <c r="Z20" i="6"/>
  <c r="V61" i="6"/>
  <c r="H3" i="6"/>
  <c r="H7" i="6"/>
  <c r="X17" i="6"/>
  <c r="H25" i="6"/>
  <c r="J54" i="6"/>
  <c r="D61" i="6"/>
  <c r="L71" i="6"/>
  <c r="X61" i="6"/>
  <c r="D57" i="6"/>
  <c r="R38" i="6"/>
  <c r="T45" i="6"/>
  <c r="R66" i="6"/>
  <c r="F35" i="6"/>
  <c r="Z35" i="6"/>
  <c r="D36" i="6"/>
  <c r="X36" i="6"/>
  <c r="V20" i="6"/>
  <c r="D46" i="6"/>
  <c r="D47" i="6"/>
  <c r="D45" i="6"/>
  <c r="T46" i="6"/>
  <c r="P7" i="6"/>
  <c r="P10" i="6"/>
  <c r="N40" i="6"/>
  <c r="H34" i="6"/>
  <c r="F60" i="6"/>
  <c r="F56" i="6"/>
  <c r="P56" i="6"/>
  <c r="L51" i="6"/>
  <c r="X57" i="6"/>
  <c r="T40" i="6"/>
  <c r="R61" i="6"/>
  <c r="F29" i="6"/>
  <c r="R69" i="6"/>
  <c r="Z29" i="6"/>
  <c r="D30" i="6"/>
  <c r="P70" i="6"/>
  <c r="X30" i="6"/>
  <c r="V2" i="6"/>
  <c r="V6" i="6"/>
  <c r="F27" i="6"/>
  <c r="T32" i="6"/>
  <c r="R51" i="6"/>
  <c r="N9" i="6"/>
  <c r="J30" i="6"/>
  <c r="L47" i="6"/>
  <c r="Z38" i="6"/>
  <c r="F12" i="6"/>
  <c r="T19" i="6"/>
  <c r="F26" i="6"/>
  <c r="R56" i="6"/>
  <c r="F23" i="6"/>
  <c r="R63" i="6"/>
  <c r="Z23" i="6"/>
  <c r="D24" i="6"/>
  <c r="P64" i="6"/>
  <c r="X24" i="6"/>
  <c r="X23" i="6"/>
  <c r="F9" i="6"/>
  <c r="N56" i="6"/>
  <c r="H10" i="6"/>
  <c r="L27" i="6"/>
  <c r="X19" i="6"/>
  <c r="D8" i="6"/>
  <c r="F8" i="6"/>
  <c r="T14" i="6"/>
  <c r="F21" i="6"/>
  <c r="R36" i="6"/>
  <c r="F17" i="6"/>
  <c r="R57" i="6"/>
  <c r="Z17" i="6"/>
  <c r="D2" i="6"/>
  <c r="P42" i="6"/>
  <c r="X2" i="6"/>
  <c r="X18" i="6"/>
  <c r="AB82" i="6"/>
  <c r="N20" i="6"/>
  <c r="Z12" i="6"/>
  <c r="V40" i="6"/>
  <c r="N10" i="6"/>
  <c r="L41" i="6"/>
  <c r="J5" i="6"/>
  <c r="D32" i="6"/>
  <c r="P33" i="6"/>
  <c r="D12" i="6"/>
  <c r="R13" i="6"/>
  <c r="Z15" i="6"/>
  <c r="H68" i="6"/>
  <c r="T72" i="6"/>
  <c r="L59" i="6"/>
  <c r="T9" i="6"/>
  <c r="F16" i="6"/>
  <c r="R35" i="6"/>
  <c r="P36" i="6"/>
  <c r="X12" i="6"/>
</calcChain>
</file>

<file path=xl/sharedStrings.xml><?xml version="1.0" encoding="utf-8"?>
<sst xmlns="http://schemas.openxmlformats.org/spreadsheetml/2006/main" count="3115" uniqueCount="344">
  <si>
    <t>Ano</t>
  </si>
  <si>
    <t>Código IBGE</t>
  </si>
  <si>
    <t>REGIÃO DE SAÚDE</t>
  </si>
  <si>
    <t>MUNICIPIO</t>
  </si>
  <si>
    <t>TOTAL</t>
  </si>
  <si>
    <t>ABREULANDIA</t>
  </si>
  <si>
    <t>AGUIARNOPOLIS</t>
  </si>
  <si>
    <t>ALIANCA DO TOCANTINS</t>
  </si>
  <si>
    <t>ALMAS</t>
  </si>
  <si>
    <t>ALVORADA</t>
  </si>
  <si>
    <t>ANANAS</t>
  </si>
  <si>
    <t>ANGICO</t>
  </si>
  <si>
    <t>APARECIDA DO RIO NEGRO</t>
  </si>
  <si>
    <t>ARAGOMINAS</t>
  </si>
  <si>
    <t>ARAGUACEMA</t>
  </si>
  <si>
    <t>ARAGUACU</t>
  </si>
  <si>
    <t>ARAGUAINA</t>
  </si>
  <si>
    <t>ARAGUANA</t>
  </si>
  <si>
    <t>ARAGUATINS</t>
  </si>
  <si>
    <t>ARAPOEMA</t>
  </si>
  <si>
    <t>ARRAIAS</t>
  </si>
  <si>
    <t>AUGUSTINOPOLIS</t>
  </si>
  <si>
    <t>AURORA DO TOCANTINS</t>
  </si>
  <si>
    <t>AXIXA DO TOCANTINS</t>
  </si>
  <si>
    <t>BABACULANDIA</t>
  </si>
  <si>
    <t>BANDEIRANTES DO TOCANTINS</t>
  </si>
  <si>
    <t>BARRA DO OURO</t>
  </si>
  <si>
    <t>BARROLANDIA</t>
  </si>
  <si>
    <t>BERNARDO SAYAO</t>
  </si>
  <si>
    <t>BOM JESUS DO TOCANTINS</t>
  </si>
  <si>
    <t>BRASILANDIA DO TOCANTINS</t>
  </si>
  <si>
    <t>BREJINHO DE NAZARE</t>
  </si>
  <si>
    <t>BURITI DO TOCANTINS</t>
  </si>
  <si>
    <t>CACHOEIRINHA</t>
  </si>
  <si>
    <t>CAMPOS LINDOS</t>
  </si>
  <si>
    <t>CARIRI DO TOCANTINS</t>
  </si>
  <si>
    <t>CARMOLANDIA</t>
  </si>
  <si>
    <t>CARRASCO BONITO</t>
  </si>
  <si>
    <t>CASEARA</t>
  </si>
  <si>
    <t>CENTENARIO</t>
  </si>
  <si>
    <t>CHAPADA DA NATIVIDADE</t>
  </si>
  <si>
    <t>CHAPADA DE AREIA</t>
  </si>
  <si>
    <t>COLINAS DO TOCANTINS</t>
  </si>
  <si>
    <t>COLMEIA</t>
  </si>
  <si>
    <t>COMBINADO</t>
  </si>
  <si>
    <t>CONCEICAO DO TOCANTINS</t>
  </si>
  <si>
    <t>COUTO MAGALHAES</t>
  </si>
  <si>
    <t>CRISTALANDIA</t>
  </si>
  <si>
    <t>CRIXAS DO TOCANTINS</t>
  </si>
  <si>
    <t>DARCINOPOLIS</t>
  </si>
  <si>
    <t>DIANOPOLIS</t>
  </si>
  <si>
    <t>DIVINOPOLIS DO TOCANTINS</t>
  </si>
  <si>
    <t>DOIS IRMAOS DO TOCANTINS</t>
  </si>
  <si>
    <t>DUERE</t>
  </si>
  <si>
    <t>ESPERANTINA</t>
  </si>
  <si>
    <t>FATIMA</t>
  </si>
  <si>
    <t>FIGUEIROPOLIS</t>
  </si>
  <si>
    <t>FILADELFIA</t>
  </si>
  <si>
    <t>FORMOSO DO ARAGUAIA</t>
  </si>
  <si>
    <t>GOIANORTE</t>
  </si>
  <si>
    <t>GOIATINS</t>
  </si>
  <si>
    <t>GUARAI</t>
  </si>
  <si>
    <t>GURUPI</t>
  </si>
  <si>
    <t>IPUEIRAS</t>
  </si>
  <si>
    <t>ITACAJA</t>
  </si>
  <si>
    <t>ITAGUATINS</t>
  </si>
  <si>
    <t>ITAPIRATINS</t>
  </si>
  <si>
    <t>ITAPORA DO TOCANTINS</t>
  </si>
  <si>
    <t>JAU DO TOCANTINS</t>
  </si>
  <si>
    <t>JUARINA</t>
  </si>
  <si>
    <t>LAGOA DA CONFUSAO</t>
  </si>
  <si>
    <t>LAGOA DO TOCANTINS</t>
  </si>
  <si>
    <t>LAJEADO</t>
  </si>
  <si>
    <t>LAVANDEIRA</t>
  </si>
  <si>
    <t>LIZARDA</t>
  </si>
  <si>
    <t>LUZINOPOLIS</t>
  </si>
  <si>
    <t>MARIANOPOLIS DO TOCANTINS</t>
  </si>
  <si>
    <t>MATEIROS</t>
  </si>
  <si>
    <t>MAURILANDIA DO TOCANTINS</t>
  </si>
  <si>
    <t>MIRACEMA DO TOCANTINS</t>
  </si>
  <si>
    <t>MIRANORTE</t>
  </si>
  <si>
    <t>MONTE DO CARMO</t>
  </si>
  <si>
    <t>MONTE SANTO DO TOCANTINS</t>
  </si>
  <si>
    <t>MURICILANDIA</t>
  </si>
  <si>
    <t>NATIVIDADE</t>
  </si>
  <si>
    <t>NAZARE</t>
  </si>
  <si>
    <t>NOVA OLINDA</t>
  </si>
  <si>
    <t>NOVA ROSALANDIA</t>
  </si>
  <si>
    <t>NOVO ACORDO</t>
  </si>
  <si>
    <t>NOVO ALEGRE</t>
  </si>
  <si>
    <t>NOVO JARDIM</t>
  </si>
  <si>
    <t>OLIVEIRA DE FATIMA</t>
  </si>
  <si>
    <t>PALMAS</t>
  </si>
  <si>
    <t>PALMEIRANTE</t>
  </si>
  <si>
    <t>PALMEIRAS DO TOCANTINS</t>
  </si>
  <si>
    <t>PALMEIROPOLIS</t>
  </si>
  <si>
    <t>PARAISO DO TOCANTINS</t>
  </si>
  <si>
    <t>PARANA</t>
  </si>
  <si>
    <t>PAU D'ARCO</t>
  </si>
  <si>
    <t>PEDRO AFONSO</t>
  </si>
  <si>
    <t>PEIXE</t>
  </si>
  <si>
    <t>PEQUIZEIRO</t>
  </si>
  <si>
    <t>PINDORAMA DO TOCANTINS</t>
  </si>
  <si>
    <t>PIRAQUE</t>
  </si>
  <si>
    <t>PIUM</t>
  </si>
  <si>
    <t>PONTE ALTA DO BOM JESUS</t>
  </si>
  <si>
    <t>PONTE ALTA DO TOCANTINS</t>
  </si>
  <si>
    <t>PORTO ALEGRE DO TOCANTINS</t>
  </si>
  <si>
    <t>PORTO NACIONAL</t>
  </si>
  <si>
    <t>PRAIA NORTE</t>
  </si>
  <si>
    <t>PRESIDENTE KENNEDY</t>
  </si>
  <si>
    <t>PUGMIL</t>
  </si>
  <si>
    <t>RECURSOLANDIA</t>
  </si>
  <si>
    <t>RIACHINHO</t>
  </si>
  <si>
    <t>RIO DA CONCEICAO</t>
  </si>
  <si>
    <t>RIO DOS BOIS</t>
  </si>
  <si>
    <t>RIO SONO</t>
  </si>
  <si>
    <t>SAMPAIO</t>
  </si>
  <si>
    <t>SANDOLANDIA</t>
  </si>
  <si>
    <t>SANTA FE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</si>
  <si>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</si>
  <si>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</si>
  <si>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</si>
  <si>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</si>
  <si>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</si>
  <si>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SAO BENTO DO TOCANTINS</t>
  </si>
  <si>
    <t>SAO FELIX DO TOCANTINS</t>
  </si>
  <si>
    <t>SAO MIGUEL DO TOCANTINS</t>
  </si>
  <si>
    <t>SAO SALVADOR DO TOCANTINS</t>
  </si>
  <si>
    <t>SAO SEBASTIAO DO TOCANTINS</t>
  </si>
  <si>
    <t>SAO VALERIO</t>
  </si>
  <si>
    <t>SILVANOPOLIS</t>
  </si>
  <si>
    <t>SITIO NOVO DO TOCANTINS</t>
  </si>
  <si>
    <t>SUCUPIRA</t>
  </si>
  <si>
    <t>TABOCAO</t>
  </si>
  <si>
    <t>TAGUATINGA</t>
  </si>
  <si>
    <t>TAIPAS DO TOCANTINS</t>
  </si>
  <si>
    <t>TALISMA</t>
  </si>
  <si>
    <t>TOCANTINIA</t>
  </si>
  <si>
    <t>TOCANTINOPOLIS</t>
  </si>
  <si>
    <t>TUPIRAMA</t>
  </si>
  <si>
    <t>TUPIRATINS</t>
  </si>
  <si>
    <t>WANDERLANDIA</t>
  </si>
  <si>
    <t>XAMBIOA</t>
  </si>
  <si>
    <t>Cantão</t>
  </si>
  <si>
    <t>Bico do Papagaio</t>
  </si>
  <si>
    <t>Ilha do Bananal</t>
  </si>
  <si>
    <t>Sudeste</t>
  </si>
  <si>
    <t>Capim Dourado</t>
  </si>
  <si>
    <t>Médio Norte Araguaia</t>
  </si>
  <si>
    <t>Cerrado Tocantins Araguaia</t>
  </si>
  <si>
    <t>Amor Perfeito</t>
  </si>
  <si>
    <t>IBGE</t>
  </si>
  <si>
    <t>MACRORREGIÃO</t>
  </si>
  <si>
    <t>Municipios</t>
  </si>
  <si>
    <t>Novas Regionais de Saúde</t>
  </si>
  <si>
    <t>Brejinho de Nazaré</t>
  </si>
  <si>
    <t>Chapada da Natividade</t>
  </si>
  <si>
    <t>Fátima</t>
  </si>
  <si>
    <t>Ipueiras</t>
  </si>
  <si>
    <t>Mateiros</t>
  </si>
  <si>
    <t>Monte do Carmo</t>
  </si>
  <si>
    <t>Natividade</t>
  </si>
  <si>
    <t>Pindorama do Tocantins</t>
  </si>
  <si>
    <t>Ponte Alta do Tocantins</t>
  </si>
  <si>
    <t>Porto Nacional</t>
  </si>
  <si>
    <t>Santa Rosa do Tocantins</t>
  </si>
  <si>
    <t>Silvanópolis</t>
  </si>
  <si>
    <t>Oliveira de Fátima</t>
  </si>
  <si>
    <t>ARAGUAÍNA</t>
  </si>
  <si>
    <t>Araguatins</t>
  </si>
  <si>
    <t>Augustinópolis</t>
  </si>
  <si>
    <t>Axixá do Tocantins</t>
  </si>
  <si>
    <t>Buriti do Tocantins</t>
  </si>
  <si>
    <t>Carrasco Bonito</t>
  </si>
  <si>
    <t>Esperantina</t>
  </si>
  <si>
    <t>Itaguatins</t>
  </si>
  <si>
    <t>Maurilândia do Tocantins</t>
  </si>
  <si>
    <t>Praia Norte</t>
  </si>
  <si>
    <t>Sampaio</t>
  </si>
  <si>
    <t>São Bento do Tocantins</t>
  </si>
  <si>
    <t>São Miguel do Tocantins</t>
  </si>
  <si>
    <t>São Sebastião do Tocantins</t>
  </si>
  <si>
    <t>Sítio Novo do Tocantins</t>
  </si>
  <si>
    <t>Aguiarnópolis</t>
  </si>
  <si>
    <t>Luzinópolis</t>
  </si>
  <si>
    <t>Nazaré</t>
  </si>
  <si>
    <t>Palmeiras do Tocantins</t>
  </si>
  <si>
    <t>Santa Terezinha do Tocantins</t>
  </si>
  <si>
    <t>Tocantinópolis</t>
  </si>
  <si>
    <t>Ananás</t>
  </si>
  <si>
    <t>Angico</t>
  </si>
  <si>
    <t>Cachoeirinha</t>
  </si>
  <si>
    <t>Riachinho</t>
  </si>
  <si>
    <t>Abreulândia</t>
  </si>
  <si>
    <t>Araguacema</t>
  </si>
  <si>
    <t>Barrolândia</t>
  </si>
  <si>
    <t>Caseara</t>
  </si>
  <si>
    <t>Chapada de Areia</t>
  </si>
  <si>
    <t>Cristalândia</t>
  </si>
  <si>
    <t>Divinópolis do Tocantins</t>
  </si>
  <si>
    <t>Dois Irmãos do Tocantins</t>
  </si>
  <si>
    <t>Lagoa da Confusão</t>
  </si>
  <si>
    <t>Marianópolis do Tocantins</t>
  </si>
  <si>
    <t>Monte Santo do Tocantins</t>
  </si>
  <si>
    <t>Nova Rosalândia</t>
  </si>
  <si>
    <t>Paraíso do Tocantins</t>
  </si>
  <si>
    <t>Pium</t>
  </si>
  <si>
    <t>Pugmil</t>
  </si>
  <si>
    <t>Aparecida do Rio Negro</t>
  </si>
  <si>
    <t>Lagoa do Tocantins</t>
  </si>
  <si>
    <t>Lajeado</t>
  </si>
  <si>
    <t>Lizarda</t>
  </si>
  <si>
    <t>Novo Acordo</t>
  </si>
  <si>
    <t>Palmas</t>
  </si>
  <si>
    <t>Santa Tereza do Tocantins</t>
  </si>
  <si>
    <t>São Félix do Tocantins</t>
  </si>
  <si>
    <t>Miracema do Tocantins</t>
  </si>
  <si>
    <t>Miranorte</t>
  </si>
  <si>
    <t>Rio dos Bois</t>
  </si>
  <si>
    <t>Rio Sono</t>
  </si>
  <si>
    <t>Tocantínia</t>
  </si>
  <si>
    <t>Arapoema</t>
  </si>
  <si>
    <t>Bandeirantes do Tocantins</t>
  </si>
  <si>
    <t>Bernardo Sayão</t>
  </si>
  <si>
    <t>Brasilândia do Tocantins</t>
  </si>
  <si>
    <t>Colinas do Tocantins</t>
  </si>
  <si>
    <t>Colméia</t>
  </si>
  <si>
    <t>Couto Magalhães</t>
  </si>
  <si>
    <t>Itapiratins</t>
  </si>
  <si>
    <t>Juarina</t>
  </si>
  <si>
    <t>Palmeirante</t>
  </si>
  <si>
    <t>Tupiratins</t>
  </si>
  <si>
    <t>Goianorte</t>
  </si>
  <si>
    <t>Guaraí</t>
  </si>
  <si>
    <t>Itacajá</t>
  </si>
  <si>
    <t>Itaporã do Tocantins</t>
  </si>
  <si>
    <t>Pequizeiro</t>
  </si>
  <si>
    <t>Presidente Kennedy</t>
  </si>
  <si>
    <t>Bom Jesus do Tocantins</t>
  </si>
  <si>
    <t>Centenário</t>
  </si>
  <si>
    <t>Pedro Afonso</t>
  </si>
  <si>
    <t>Recursolândia</t>
  </si>
  <si>
    <t>Santa Maria do Tocantins</t>
  </si>
  <si>
    <t>Tupirama</t>
  </si>
  <si>
    <t>Em Branco</t>
  </si>
  <si>
    <t>Aliança do Tocantins</t>
  </si>
  <si>
    <t>Alvorada</t>
  </si>
  <si>
    <t>Araguaçu</t>
  </si>
  <si>
    <t>Cariri do Tocantins</t>
  </si>
  <si>
    <t>Crixás do Tocantins</t>
  </si>
  <si>
    <t>Dueré</t>
  </si>
  <si>
    <t>Figueirópolis</t>
  </si>
  <si>
    <t>Formoso do Araguaia</t>
  </si>
  <si>
    <t>Gurupi</t>
  </si>
  <si>
    <t>Jaú do Tocantins</t>
  </si>
  <si>
    <t>Palmeirópolis</t>
  </si>
  <si>
    <t>Peixe</t>
  </si>
  <si>
    <t>Sandolândia</t>
  </si>
  <si>
    <t>Santa Rita do Tocantins</t>
  </si>
  <si>
    <t>São Salvador do Tocantins</t>
  </si>
  <si>
    <t>São Valério da Natividade</t>
  </si>
  <si>
    <t>Sucupira</t>
  </si>
  <si>
    <t>Talismã</t>
  </si>
  <si>
    <t>Aragominas</t>
  </si>
  <si>
    <t>Araguaína</t>
  </si>
  <si>
    <t>Babaçulândia</t>
  </si>
  <si>
    <t>Barra do Ouro</t>
  </si>
  <si>
    <t>Campos Lindos</t>
  </si>
  <si>
    <t>Carmolândia</t>
  </si>
  <si>
    <t>Filadélfia</t>
  </si>
  <si>
    <t>Goiatins</t>
  </si>
  <si>
    <t>Muricilândia</t>
  </si>
  <si>
    <t>Nova Olinda</t>
  </si>
  <si>
    <t>Pau D'Arco</t>
  </si>
  <si>
    <t>Santa Fé do Araguaia</t>
  </si>
  <si>
    <t>Wanderlândia</t>
  </si>
  <si>
    <t>Xambioá</t>
  </si>
  <si>
    <t>Araguanã</t>
  </si>
  <si>
    <t>Piraquê</t>
  </si>
  <si>
    <t>Darcinópolis</t>
  </si>
  <si>
    <t>Almas</t>
  </si>
  <si>
    <t>Arraias</t>
  </si>
  <si>
    <t>Aurora do Tocantins</t>
  </si>
  <si>
    <t>Combinado</t>
  </si>
  <si>
    <t>Conceição do Tocantins</t>
  </si>
  <si>
    <t>Dianópolis</t>
  </si>
  <si>
    <t>Lavandeira</t>
  </si>
  <si>
    <t>Novo Alegre</t>
  </si>
  <si>
    <t>Novo Jardim</t>
  </si>
  <si>
    <t>Paranã</t>
  </si>
  <si>
    <t>Ponte Alta do Bom Jesus</t>
  </si>
  <si>
    <t>Porto Alegre do Tocantins</t>
  </si>
  <si>
    <t>Rio da Conceição</t>
  </si>
  <si>
    <t>Taguatinga</t>
  </si>
  <si>
    <t>Taipas do Tocantins</t>
  </si>
  <si>
    <t>E</t>
  </si>
  <si>
    <t>S</t>
  </si>
  <si>
    <t>E_PBF</t>
  </si>
  <si>
    <t>S_PBF</t>
  </si>
  <si>
    <t>TOTAL_PBF</t>
  </si>
  <si>
    <t>Total Geral</t>
  </si>
  <si>
    <t>2015</t>
  </si>
  <si>
    <t>2016</t>
  </si>
  <si>
    <t>2017</t>
  </si>
  <si>
    <t>2018</t>
  </si>
  <si>
    <t>2019</t>
  </si>
  <si>
    <t>2020</t>
  </si>
  <si>
    <t>2021</t>
  </si>
  <si>
    <t>2024</t>
  </si>
  <si>
    <t>Tabocão</t>
  </si>
  <si>
    <t>população</t>
  </si>
  <si>
    <t>Município</t>
  </si>
  <si>
    <t>2022</t>
  </si>
  <si>
    <t>2023</t>
  </si>
  <si>
    <t>FORTALEZA DO TABOCAO</t>
  </si>
  <si>
    <t>Região de Saúde</t>
  </si>
  <si>
    <t>Tocantins</t>
  </si>
  <si>
    <t>TO</t>
  </si>
  <si>
    <t>População atendida SISVAN</t>
  </si>
  <si>
    <t>Cobertura SISVAN</t>
  </si>
  <si>
    <t>média</t>
  </si>
  <si>
    <t>OGIII_PBF</t>
  </si>
  <si>
    <t>OGIII</t>
  </si>
  <si>
    <t>OGII_PBF</t>
  </si>
  <si>
    <t>OGII</t>
  </si>
  <si>
    <t>OGI_PBF</t>
  </si>
  <si>
    <t>OGI</t>
  </si>
  <si>
    <t>BP_PBF</t>
  </si>
  <si>
    <t>BP</t>
  </si>
  <si>
    <t>BP%</t>
  </si>
  <si>
    <t>BP_PBF%</t>
  </si>
  <si>
    <t>E%</t>
  </si>
  <si>
    <t>E_PBF%</t>
  </si>
  <si>
    <t>S%</t>
  </si>
  <si>
    <t>S_PBF%</t>
  </si>
  <si>
    <t>OGI%</t>
  </si>
  <si>
    <t>OGI_PBF%</t>
  </si>
  <si>
    <t>OGII%</t>
  </si>
  <si>
    <t>OGII_PBF%</t>
  </si>
  <si>
    <t>OGIII%</t>
  </si>
  <si>
    <t>OGIII_PBF%</t>
  </si>
  <si>
    <t>TOTAL4</t>
  </si>
  <si>
    <t>TOTAL_PBF5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</si>
</sst>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</font>
    <font>
      <sz val="11"/>
      <color theme="1"/>
      <name val="Calibri"/>
      <scheme val="minor"/>
    </font>
    <font>
      <b/>
      <sz val="11"/>
      <color theme="1"/>
      <name val="Calibri"/>
    </font>
    <font>
      <b/>
      <sz val="11"/>
      <color theme="1"/>
      <name val="Calibri"/>
      <scheme val="minor"/>
    </font>
    <font>
      <sz val="11"/>
      <color rgb="FF000000"/>
      <name val="Calibri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2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5">
    <xf numFmtId="0" fontId="0" fillId="0" borderId="0"/>
    <xf numFmtId="9" fontId="4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7" applyNumberFormat="0" applyFill="0" applyAlignment="0" applyProtection="0"/>
    <xf numFmtId="0" fontId="10" fillId="0" borderId="8" applyNumberFormat="0" applyFill="0" applyAlignment="0" applyProtection="0"/>
    <xf numFmtId="0" fontId="11" fillId="0" borderId="9" applyNumberFormat="0" applyFill="0" applyAlignment="0" applyProtection="0"/>
    <xf numFmtId="0" fontId="11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5" borderId="10" applyNumberFormat="0" applyAlignment="0" applyProtection="0"/>
    <xf numFmtId="0" fontId="16" fillId="6" borderId="11" applyNumberFormat="0" applyAlignment="0" applyProtection="0"/>
    <xf numFmtId="0" fontId="17" fillId="6" borderId="10" applyNumberFormat="0" applyAlignment="0" applyProtection="0"/>
    <xf numFmtId="0" fontId="18" fillId="0" borderId="12" applyNumberFormat="0" applyFill="0" applyAlignment="0" applyProtection="0"/>
    <xf numFmtId="0" fontId="19" fillId="7" borderId="13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15" applyNumberFormat="0" applyFill="0" applyAlignment="0" applyProtection="0"/>
    <xf numFmtId="0" fontId="23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3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3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3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3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3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8" borderId="14" applyNumberFormat="0" applyFont="0" applyAlignment="0" applyProtection="0"/>
    <xf numFmtId="0" fontId="27" fillId="0" borderId="0" applyNumberFormat="0" applyFill="0" applyBorder="0" applyAlignment="0" applyProtection="0"/>
  </cellStyleXfs>
  <cellXfs count="45">
    <xf numFmtId="0" fontId="0" fillId="0" borderId="0" xfId="0"/>
    <xf numFmtId="0" fontId="7" fillId="0" borderId="2" xfId="0" applyFont="1" applyBorder="1"/>
    <xf numFmtId="0" fontId="7" fillId="0" borderId="4" xfId="0" applyFont="1" applyBorder="1"/>
    <xf numFmtId="0" fontId="7" fillId="0" borderId="5" xfId="0" applyFont="1" applyBorder="1" applyAlignment="1">
      <alignment horizontal="right"/>
    </xf>
    <xf numFmtId="0" fontId="7" fillId="0" borderId="0" xfId="0" applyFont="1"/>
    <xf numFmtId="0" fontId="7" fillId="0" borderId="0" xfId="0" applyFont="1" applyAlignment="1">
      <alignment horizontal="right"/>
    </xf>
    <xf numFmtId="0" fontId="7" fillId="0" borderId="6" xfId="0" applyFont="1" applyBorder="1" applyAlignment="1">
      <alignment horizontal="right"/>
    </xf>
    <xf numFmtId="0" fontId="7" fillId="0" borderId="1" xfId="0" applyFont="1" applyBorder="1"/>
    <xf numFmtId="0" fontId="0" fillId="0" borderId="0" xfId="0" applyNumberFormat="1"/>
    <xf numFmtId="0" fontId="4" fillId="0" borderId="0" xfId="0" applyNumberFormat="1" applyFont="1"/>
    <xf numFmtId="0" fontId="3" fillId="0" borderId="16" xfId="0" applyNumberFormat="1" applyFont="1" applyBorder="1" applyAlignment="1">
      <alignment vertical="center" wrapText="1"/>
    </xf>
    <xf numFmtId="0" fontId="5" fillId="0" borderId="5" xfId="0" applyNumberFormat="1" applyFont="1" applyBorder="1" applyAlignment="1">
      <alignment horizontal="center" wrapText="1"/>
    </xf>
    <xf numFmtId="10" fontId="0" fillId="0" borderId="0" xfId="0" applyNumberFormat="1"/>
    <xf numFmtId="0" fontId="24" fillId="0" borderId="5" xfId="0" applyNumberFormat="1" applyFont="1" applyBorder="1" applyAlignment="1">
      <alignment wrapText="1"/>
    </xf>
    <xf numFmtId="10" fontId="24" fillId="0" borderId="5" xfId="0" applyNumberFormat="1" applyFont="1" applyBorder="1" applyAlignment="1">
      <alignment wrapText="1"/>
    </xf>
    <xf numFmtId="0" fontId="24" fillId="0" borderId="16" xfId="0" applyNumberFormat="1" applyFont="1" applyBorder="1" applyAlignment="1">
      <alignment wrapText="1"/>
    </xf>
    <xf numFmtId="3" fontId="26" fillId="0" borderId="3" xfId="0" applyNumberFormat="1" applyFont="1" applyBorder="1" applyAlignment="1">
      <alignment wrapText="1"/>
    </xf>
    <xf numFmtId="0" fontId="26" fillId="0" borderId="3" xfId="0" applyFont="1" applyBorder="1" applyAlignment="1">
      <alignment wrapText="1"/>
    </xf>
    <xf numFmtId="0" fontId="0" fillId="0" borderId="0" xfId="0" applyAlignment="1">
      <alignment horizontal="left"/>
    </xf>
    <xf numFmtId="0" fontId="22" fillId="33" borderId="18" xfId="0" applyFont="1" applyFill="1" applyBorder="1"/>
    <xf numFmtId="0" fontId="22" fillId="33" borderId="0" xfId="0" applyFont="1" applyFill="1" applyBorder="1"/>
    <xf numFmtId="0" fontId="6" fillId="33" borderId="0" xfId="0" applyFont="1" applyFill="1"/>
    <xf numFmtId="0" fontId="6" fillId="33" borderId="19" xfId="0" applyFont="1" applyFill="1" applyBorder="1" applyAlignment="1">
      <alignment horizontal="left"/>
    </xf>
    <xf numFmtId="0" fontId="6" fillId="33" borderId="19" xfId="0" applyNumberFormat="1" applyFont="1" applyFill="1" applyBorder="1"/>
    <xf numFmtId="0" fontId="5" fillId="0" borderId="0" xfId="0" applyNumberFormat="1" applyFont="1" applyAlignment="1">
      <alignment wrapText="1"/>
    </xf>
    <xf numFmtId="0" fontId="6" fillId="33" borderId="18" xfId="0" applyFont="1" applyFill="1" applyBorder="1"/>
    <xf numFmtId="0" fontId="0" fillId="0" borderId="17" xfId="0" applyBorder="1"/>
    <xf numFmtId="0" fontId="22" fillId="0" borderId="17" xfId="0" applyFont="1" applyBorder="1"/>
    <xf numFmtId="0" fontId="0" fillId="0" borderId="17" xfId="0" applyBorder="1" applyAlignment="1">
      <alignment horizontal="left"/>
    </xf>
    <xf numFmtId="0" fontId="0" fillId="0" borderId="17" xfId="0" applyFont="1" applyBorder="1" applyAlignment="1">
      <alignment horizontal="left"/>
    </xf>
    <xf numFmtId="9" fontId="0" fillId="0" borderId="17" xfId="1" applyFont="1" applyBorder="1" applyAlignment="1">
      <alignment horizontal="center" vertical="center"/>
    </xf>
    <xf numFmtId="0" fontId="1" fillId="0" borderId="17" xfId="0" applyFont="1" applyBorder="1"/>
    <xf numFmtId="9" fontId="0" fillId="0" borderId="0" xfId="0" applyNumberFormat="1"/>
    <xf numFmtId="0" fontId="28" fillId="0" borderId="17" xfId="0" applyNumberFormat="1" applyFont="1" applyBorder="1" applyAlignment="1">
      <alignment horizontal="left" vertical="center"/>
    </xf>
    <xf numFmtId="0" fontId="26" fillId="0" borderId="17" xfId="0" applyNumberFormat="1" applyFont="1" applyBorder="1" applyAlignment="1">
      <alignment horizontal="left" vertical="center"/>
    </xf>
    <xf numFmtId="0" fontId="28" fillId="0" borderId="17" xfId="0" applyNumberFormat="1" applyFont="1" applyBorder="1" applyAlignment="1">
      <alignment horizontal="right" vertical="center"/>
    </xf>
    <xf numFmtId="10" fontId="28" fillId="0" borderId="17" xfId="0" applyNumberFormat="1" applyFont="1" applyBorder="1" applyAlignment="1">
      <alignment horizontal="right" vertical="center"/>
    </xf>
    <xf numFmtId="0" fontId="26" fillId="0" borderId="17" xfId="0" applyNumberFormat="1" applyFont="1" applyBorder="1" applyAlignment="1">
      <alignment horizontal="right" vertical="center"/>
    </xf>
    <xf numFmtId="0" fontId="26" fillId="0" borderId="3" xfId="42" applyFont="1" applyBorder="1" applyAlignment="1">
      <alignment horizontal="right" vertical="center"/>
    </xf>
    <xf numFmtId="3" fontId="26" fillId="0" borderId="3" xfId="42" applyNumberFormat="1" applyFont="1" applyBorder="1" applyAlignment="1">
      <alignment horizontal="right" vertical="center"/>
    </xf>
    <xf numFmtId="0" fontId="26" fillId="0" borderId="17" xfId="42" applyFont="1" applyBorder="1" applyAlignment="1">
      <alignment horizontal="right" vertical="center"/>
    </xf>
    <xf numFmtId="3" fontId="26" fillId="0" borderId="17" xfId="42" applyNumberFormat="1" applyFont="1" applyBorder="1" applyAlignment="1">
      <alignment horizontal="right" vertical="center"/>
    </xf>
    <xf numFmtId="0" fontId="3" fillId="0" borderId="16" xfId="0" applyNumberFormat="1" applyFont="1" applyBorder="1" applyAlignment="1">
      <alignment horizontal="left" vertical="center" wrapText="1"/>
    </xf>
    <xf numFmtId="0" fontId="6" fillId="0" borderId="0" xfId="0" applyNumberFormat="1" applyFont="1" applyAlignment="1">
      <alignment horizontal="left"/>
    </xf>
    <xf numFmtId="0" fontId="0" fillId="0" borderId="0" xfId="0" applyNumberFormat="1" applyAlignment="1">
      <alignment horizontal="left"/>
    </xf>
  </cellXfs>
  <cellStyles count="45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10" builtinId="20" customBuiltin="1"/>
    <cellStyle name="Hiperlink 2" xfId="44"/>
    <cellStyle name="Incorreto" xfId="8" builtinId="27" customBuiltin="1"/>
    <cellStyle name="Neutra" xfId="9" builtinId="28" customBuiltin="1"/>
    <cellStyle name="Normal" xfId="0" builtinId="0"/>
    <cellStyle name="Normal 2" xfId="42"/>
    <cellStyle name="Nota 2" xfId="43"/>
    <cellStyle name="Porcentagem" xfId="1" builtinId="5"/>
    <cellStyle name="Saída" xfId="11" builtinId="21" customBuiltin="1"/>
    <cellStyle name="Texto de Aviso" xfId="15" builtinId="11" customBuiltin="1"/>
    <cellStyle name="Texto Explicativo" xfId="16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7" builtinId="25" customBuiltin="1"/>
  </cellStyles>
  <dxfs count="65"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ont>
        <strike val="0"/>
        <outline val="0"/>
        <shadow val="0"/>
        <u val="none"/>
        <vertAlign val="baseline"/>
        <sz val="10"/>
        <color theme="1"/>
        <name val="Calibri"/>
      </font>
      <alignment horizontal="righ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população!$P$30</c:f>
              <c:strCache>
                <c:ptCount val="1"/>
                <c:pt idx="0">
                  <c:v>Amor Perfeito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população!$Q$30:$Z$30</c:f>
              <c:numCache>
                <c:formatCode>0%</c:formatCode>
                <c:ptCount val="10"/>
                <c:pt idx="0">
                  <c:v>0.41345182791355284</c:v>
                </c:pt>
                <c:pt idx="1">
                  <c:v>0.42552540297898389</c:v>
                </c:pt>
                <c:pt idx="2">
                  <c:v>0.42312813684318346</c:v>
                </c:pt>
                <c:pt idx="3">
                  <c:v>0.57119358486686544</c:v>
                </c:pt>
                <c:pt idx="4">
                  <c:v>0.6237389334980441</c:v>
                </c:pt>
                <c:pt idx="5">
                  <c:v>0.1211595386342758</c:v>
                </c:pt>
                <c:pt idx="6">
                  <c:v>0.30385556915544676</c:v>
                </c:pt>
                <c:pt idx="7">
                  <c:v>0.65360277607675032</c:v>
                </c:pt>
                <c:pt idx="8">
                  <c:v>0.75058346017250122</c:v>
                </c:pt>
                <c:pt idx="9">
                  <c:v>0.69272727272727275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população!$P$31</c:f>
              <c:strCache>
                <c:ptCount val="1"/>
                <c:pt idx="0">
                  <c:v>Bico do Papagaio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população!$Q$31:$Z$31</c:f>
              <c:numCache>
                <c:formatCode>0%</c:formatCode>
                <c:ptCount val="10"/>
                <c:pt idx="0">
                  <c:v>0.54395547232625885</c:v>
                </c:pt>
                <c:pt idx="1">
                  <c:v>0.5143725667964375</c:v>
                </c:pt>
                <c:pt idx="2">
                  <c:v>0.59056573012336289</c:v>
                </c:pt>
                <c:pt idx="3">
                  <c:v>0.68676364843188231</c:v>
                </c:pt>
                <c:pt idx="4">
                  <c:v>0.65721186250280839</c:v>
                </c:pt>
                <c:pt idx="5">
                  <c:v>0.27390370705244121</c:v>
                </c:pt>
                <c:pt idx="6">
                  <c:v>0.51433476394849786</c:v>
                </c:pt>
                <c:pt idx="7">
                  <c:v>0.75409265064437481</c:v>
                </c:pt>
                <c:pt idx="8">
                  <c:v>0.75996488147497809</c:v>
                </c:pt>
                <c:pt idx="9">
                  <c:v>0.77764650283553871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população!$P$32</c:f>
              <c:strCache>
                <c:ptCount val="1"/>
                <c:pt idx="0">
                  <c:v>Cantão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população!$Q$32:$Z$32</c:f>
              <c:numCache>
                <c:formatCode>0%</c:formatCode>
                <c:ptCount val="10"/>
                <c:pt idx="0">
                  <c:v>0.39601277460563244</c:v>
                </c:pt>
                <c:pt idx="1">
                  <c:v>0.32809876543209876</c:v>
                </c:pt>
                <c:pt idx="2">
                  <c:v>0.4015755883526127</c:v>
                </c:pt>
                <c:pt idx="3">
                  <c:v>0.45438139161820734</c:v>
                </c:pt>
                <c:pt idx="4">
                  <c:v>0.42982982982982981</c:v>
                </c:pt>
                <c:pt idx="5">
                  <c:v>0.19667590027700832</c:v>
                </c:pt>
                <c:pt idx="6">
                  <c:v>0.28634708140565018</c:v>
                </c:pt>
                <c:pt idx="7">
                  <c:v>0.56645694062131335</c:v>
                </c:pt>
                <c:pt idx="8">
                  <c:v>0.6336286632265602</c:v>
                </c:pt>
                <c:pt idx="9">
                  <c:v>0.59200231816864679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população!$P$33</c:f>
              <c:strCache>
                <c:ptCount val="1"/>
                <c:pt idx="0">
                  <c:v>Capim Dourado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população!$Q$33:$Z$33</c:f>
              <c:numCache>
                <c:formatCode>0%</c:formatCode>
                <c:ptCount val="10"/>
                <c:pt idx="0">
                  <c:v>0.28959042608067675</c:v>
                </c:pt>
                <c:pt idx="1">
                  <c:v>0.42652773479143025</c:v>
                </c:pt>
                <c:pt idx="2">
                  <c:v>0.43925137715126422</c:v>
                </c:pt>
                <c:pt idx="3">
                  <c:v>0.42007574465181341</c:v>
                </c:pt>
                <c:pt idx="4">
                  <c:v>0.42118880642745282</c:v>
                </c:pt>
                <c:pt idx="5">
                  <c:v>0.17009962304792675</c:v>
                </c:pt>
                <c:pt idx="6">
                  <c:v>0.20877392584660687</c:v>
                </c:pt>
                <c:pt idx="7">
                  <c:v>0.4398774232229698</c:v>
                </c:pt>
                <c:pt idx="8">
                  <c:v>0.48170711842319597</c:v>
                </c:pt>
                <c:pt idx="9">
                  <c:v>0.48466475312026319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população!$P$34</c:f>
              <c:strCache>
                <c:ptCount val="1"/>
                <c:pt idx="0">
                  <c:v>Cerrado Tocantins Araguaia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população!$Q$34:$Z$34</c:f>
              <c:numCache>
                <c:formatCode>0%</c:formatCode>
                <c:ptCount val="10"/>
                <c:pt idx="0">
                  <c:v>0.55642113382182801</c:v>
                </c:pt>
                <c:pt idx="1">
                  <c:v>0.44724135201456505</c:v>
                </c:pt>
                <c:pt idx="2">
                  <c:v>0.47101449275362317</c:v>
                </c:pt>
                <c:pt idx="3">
                  <c:v>0.54572921770373994</c:v>
                </c:pt>
                <c:pt idx="4">
                  <c:v>0.57069958847736624</c:v>
                </c:pt>
                <c:pt idx="5">
                  <c:v>0.19085977313825414</c:v>
                </c:pt>
                <c:pt idx="6">
                  <c:v>0.26302319821679188</c:v>
                </c:pt>
                <c:pt idx="7">
                  <c:v>0.56154357950765132</c:v>
                </c:pt>
                <c:pt idx="8">
                  <c:v>0.5972522897585345</c:v>
                </c:pt>
                <c:pt idx="9">
                  <c:v>0.63080256688057335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população!$P$35</c:f>
              <c:strCache>
                <c:ptCount val="1"/>
                <c:pt idx="0">
                  <c:v>Ilha do Bananal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população!$Q$35:$Z$35</c:f>
              <c:numCache>
                <c:formatCode>0%</c:formatCode>
                <c:ptCount val="10"/>
                <c:pt idx="0">
                  <c:v>0.4592742226390592</c:v>
                </c:pt>
                <c:pt idx="1">
                  <c:v>0.38460968196308104</c:v>
                </c:pt>
                <c:pt idx="2">
                  <c:v>0.38597680373550236</c:v>
                </c:pt>
                <c:pt idx="3">
                  <c:v>0.5047248894985521</c:v>
                </c:pt>
                <c:pt idx="4">
                  <c:v>0.43427301976405697</c:v>
                </c:pt>
                <c:pt idx="5">
                  <c:v>0.17911811743203107</c:v>
                </c:pt>
                <c:pt idx="6">
                  <c:v>0.32634228187919462</c:v>
                </c:pt>
                <c:pt idx="7">
                  <c:v>0.50520116261281933</c:v>
                </c:pt>
                <c:pt idx="8">
                  <c:v>0.56718464351005482</c:v>
                </c:pt>
                <c:pt idx="9">
                  <c:v>0.61681106551147591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população!$P$36</c:f>
              <c:strCache>
                <c:ptCount val="1"/>
                <c:pt idx="0">
                  <c:v>Médio Norte Araguaia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população!$Q$36:$Z$36</c:f>
              <c:numCache>
                <c:formatCode>0%</c:formatCode>
                <c:ptCount val="10"/>
                <c:pt idx="0">
                  <c:v>0.40013312809418811</c:v>
                </c:pt>
                <c:pt idx="1">
                  <c:v>0.39271957671957675</c:v>
                </c:pt>
                <c:pt idx="2">
                  <c:v>0.46356993290885007</c:v>
                </c:pt>
                <c:pt idx="3">
                  <c:v>0.4979760571871501</c:v>
                </c:pt>
                <c:pt idx="4">
                  <c:v>0.44770380610878302</c:v>
                </c:pt>
                <c:pt idx="5">
                  <c:v>0.15781330582774625</c:v>
                </c:pt>
                <c:pt idx="6">
                  <c:v>0.32659469224482773</c:v>
                </c:pt>
                <c:pt idx="7">
                  <c:v>0.5427166033828098</c:v>
                </c:pt>
                <c:pt idx="8">
                  <c:v>0.59204706488598791</c:v>
                </c:pt>
                <c:pt idx="9">
                  <c:v>0.63317596566523604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população!$P$37</c:f>
              <c:strCache>
                <c:ptCount val="1"/>
                <c:pt idx="0">
                  <c:v>Sudeste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população!$Q$37:$Z$37</c:f>
              <c:numCache>
                <c:formatCode>0%</c:formatCode>
                <c:ptCount val="10"/>
                <c:pt idx="0">
                  <c:v>0.55638000243279406</c:v>
                </c:pt>
                <c:pt idx="1">
                  <c:v>0.53403800176167104</c:v>
                </c:pt>
                <c:pt idx="2">
                  <c:v>0.57859358841778696</c:v>
                </c:pt>
                <c:pt idx="3">
                  <c:v>0.62591362126245842</c:v>
                </c:pt>
                <c:pt idx="4">
                  <c:v>0.59586338277316642</c:v>
                </c:pt>
                <c:pt idx="5">
                  <c:v>0.2275176129299627</c:v>
                </c:pt>
                <c:pt idx="6">
                  <c:v>0.34937208974178074</c:v>
                </c:pt>
                <c:pt idx="7">
                  <c:v>0.67889113485417263</c:v>
                </c:pt>
                <c:pt idx="8">
                  <c:v>0.66266119577960136</c:v>
                </c:pt>
                <c:pt idx="9">
                  <c:v>0.71434944237918219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população!$P$38</c:f>
              <c:strCache>
                <c:ptCount val="1"/>
                <c:pt idx="0">
                  <c:v>Tocantins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população!$Q$38:$Z$38</c:f>
              <c:numCache>
                <c:formatCode>0%</c:formatCode>
                <c:ptCount val="10"/>
                <c:pt idx="0">
                  <c:v>0.42967513438121951</c:v>
                </c:pt>
                <c:pt idx="1">
                  <c:v>0.42965779467680609</c:v>
                </c:pt>
                <c:pt idx="2">
                  <c:v>0.46808955848503869</c:v>
                </c:pt>
                <c:pt idx="3">
                  <c:v>0.52267783513522292</c:v>
                </c:pt>
                <c:pt idx="4">
                  <c:v>0.50391574619438417</c:v>
                </c:pt>
                <c:pt idx="5">
                  <c:v>0.18737461114224679</c:v>
                </c:pt>
                <c:pt idx="6">
                  <c:v>0.31451868850858133</c:v>
                </c:pt>
                <c:pt idx="7">
                  <c:v>0.56363443284484305</c:v>
                </c:pt>
                <c:pt idx="8">
                  <c:v>0.60576509276927448</c:v>
                </c:pt>
                <c:pt idx="9">
                  <c:v>0.61944557023587588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4303872"/>
        <c:axId val="192118080"/>
      </c:lineChart>
      <c:catAx>
        <c:axId val="2443038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92118080"/>
        <c:crosses val="autoZero"/>
        <c:auto val="1"/>
        <c:lblAlgn val="ctr"/>
        <c:lblOffset val="100"/>
        <c:noMultiLvlLbl val="0"/>
      </c:catAx>
      <c:valAx>
        <c:axId val="192118080"/>
        <c:scaling>
          <c:orientation val="minMax"/>
          <c:max val="0.85000000000000009"/>
          <c:min val="0.1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24430387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141</xdr:row>
      <xdr:rowOff>0</xdr:rowOff>
    </xdr:from>
    <xdr:ext cx="180975" cy="14287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141</xdr:row>
      <xdr:rowOff>0</xdr:rowOff>
    </xdr:from>
    <xdr:ext cx="180975" cy="142875"/>
    <xdr:pic>
      <xdr:nvPicPr>
        <xdr:cNvPr id="3" name="image1.png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141</xdr:row>
      <xdr:rowOff>0</xdr:rowOff>
    </xdr:from>
    <xdr:ext cx="180975" cy="142875"/>
    <xdr:pic>
      <xdr:nvPicPr>
        <xdr:cNvPr id="4" name="image1.png">
          <a:extLst>
            <a:ext uri="{FF2B5EF4-FFF2-40B4-BE49-F238E27FC236}">
              <a16:creationId xmlns:a16="http://schemas.microsoft.com/office/drawing/2014/main" xmlns="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41</xdr:row>
      <xdr:rowOff>0</xdr:rowOff>
    </xdr:from>
    <xdr:to>
      <xdr:col>19</xdr:col>
      <xdr:colOff>371475</xdr:colOff>
      <xdr:row>61</xdr:row>
      <xdr:rowOff>95250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2" name="Tabela2" displayName="Tabela2" ref="A1:AD1391" totalsRowShown="0" headerRowDxfId="64" dataDxfId="63" tableBorderDxfId="62">
  <autoFilter ref="A1:AD1391"/>
  <tableColumns count="30">
    <tableColumn id="1" name="Ano" dataDxfId="61"/>
    <tableColumn id="2" name="Código IBGE" dataDxfId="60"/>
    <tableColumn id="3" name="REGIÃO DE SAÚDE" dataDxfId="59"/>
    <tableColumn id="4" name="MUNICIPIO" dataDxfId="58"/>
    <tableColumn id="13" name="BP" dataDxfId="57"/>
    <tableColumn id="14" name="BP%" dataDxfId="56">
      <calculatedColumnFormula>IFERROR(E2/$AC2,0)</calculatedColumnFormula>
    </tableColumn>
    <tableColumn id="40" name="BP_PBF" dataDxfId="55"/>
    <tableColumn id="41" name="BP_PBF%" dataDxfId="54">
      <calculatedColumnFormula>IFERROR(G2/$AD2,0)</calculatedColumnFormula>
    </tableColumn>
    <tableColumn id="15" name="E" dataDxfId="53"/>
    <tableColumn id="16" name="E%" dataDxfId="52">
      <calculatedColumnFormula>IFERROR(I2/$AC2,0)</calculatedColumnFormula>
    </tableColumn>
    <tableColumn id="42" name="E_PBF" dataDxfId="51"/>
    <tableColumn id="43" name="E_PBF%" dataDxfId="50">
      <calculatedColumnFormula>IFERROR(K2/$AD2,0)</calculatedColumnFormula>
    </tableColumn>
    <tableColumn id="17" name="S" dataDxfId="49"/>
    <tableColumn id="18" name="S%" dataDxfId="48">
      <calculatedColumnFormula>IFERROR(M2/$AC2,0)</calculatedColumnFormula>
    </tableColumn>
    <tableColumn id="46" name="S_PBF" dataDxfId="47"/>
    <tableColumn id="47" name="S_PBF%" dataDxfId="46">
      <calculatedColumnFormula>IFERROR(O2/$AD2,0)</calculatedColumnFormula>
    </tableColumn>
    <tableColumn id="19" name="OGI" dataDxfId="45"/>
    <tableColumn id="20" name="OGI%" dataDxfId="44">
      <calculatedColumnFormula>IFERROR(Q2/$AC2,0)</calculatedColumnFormula>
    </tableColumn>
    <tableColumn id="48" name="OGI_PBF" dataDxfId="43"/>
    <tableColumn id="49" name="OGI_PBF%" dataDxfId="42">
      <calculatedColumnFormula>IFERROR(S2/$AD2,0)</calculatedColumnFormula>
    </tableColumn>
    <tableColumn id="21" name="OGII" dataDxfId="41"/>
    <tableColumn id="22" name="OGII%" dataDxfId="40">
      <calculatedColumnFormula>IFERROR(U2/$AC2,0)</calculatedColumnFormula>
    </tableColumn>
    <tableColumn id="50" name="OGII_PBF" dataDxfId="39"/>
    <tableColumn id="51" name="OGII_PBF%" dataDxfId="38">
      <calculatedColumnFormula>IFERROR(W2/$AD2,0)</calculatedColumnFormula>
    </tableColumn>
    <tableColumn id="23" name="OGIII" dataDxfId="37"/>
    <tableColumn id="24" name="OGIII%" dataDxfId="36">
      <calculatedColumnFormula>IFERROR(Y2/$AC2,0)</calculatedColumnFormula>
    </tableColumn>
    <tableColumn id="52" name="OGIII_PBF" dataDxfId="35"/>
    <tableColumn id="53" name="OGIII_PBF%" dataDxfId="34">
      <calculatedColumnFormula>IFERROR(AA2/$AD2,0)</calculatedColumnFormula>
    </tableColumn>
    <tableColumn id="31" name="TOTAL" dataDxfId="33"/>
    <tableColumn id="60" name="TOTAL_PBF" dataDxfId="32" dataCellStyle="Normal 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AC82" totalsRowCount="1" headerRowDxfId="31">
  <autoFilter ref="A1:AC81"/>
  <sortState ref="A2:AO81">
    <sortCondition descending="1" ref="A1:A81"/>
  </sortState>
  <tableColumns count="29">
    <tableColumn id="1" name="Ano" dataDxfId="30" totalsRowDxfId="13"/>
    <tableColumn id="2" name="REGIÃO DE SAÚDE" dataDxfId="29" totalsRowDxfId="12"/>
    <tableColumn id="19" name="BP">
      <calculatedColumnFormula>SUMIFS(banco!E:E,banco!$C:$C,$B2,banco!$A:$A,$A2)</calculatedColumnFormula>
    </tableColumn>
    <tableColumn id="20" name="BP%" dataDxfId="28" totalsRowDxfId="11">
      <calculatedColumnFormula>IFERROR(C2/$AA2,0)</calculatedColumnFormula>
    </tableColumn>
    <tableColumn id="21" name="BP_PBF">
      <calculatedColumnFormula>SUMIFS(banco!G:G,banco!$C:$C,$B2,banco!$A:$A,$A2)</calculatedColumnFormula>
    </tableColumn>
    <tableColumn id="22" name="BP_PBF%" dataDxfId="27" totalsRowDxfId="10">
      <calculatedColumnFormula>IFERROR(E2/$AB2,0)</calculatedColumnFormula>
    </tableColumn>
    <tableColumn id="23" name="E">
      <calculatedColumnFormula>SUMIFS(banco!I:I,banco!$C:$C,$B2,banco!$A:$A,$A2)</calculatedColumnFormula>
    </tableColumn>
    <tableColumn id="24" name="E%" dataDxfId="26" totalsRowDxfId="9">
      <calculatedColumnFormula>IFERROR(G2/$AA2,0)</calculatedColumnFormula>
    </tableColumn>
    <tableColumn id="25" name="E_PBF">
      <calculatedColumnFormula>SUMIFS(banco!K:K,banco!$C:$C,$B2,banco!$A:$A,$A2)</calculatedColumnFormula>
    </tableColumn>
    <tableColumn id="26" name="E_PBF%" dataDxfId="25" totalsRowDxfId="8">
      <calculatedColumnFormula>IFERROR(I2/$AB2,0)</calculatedColumnFormula>
    </tableColumn>
    <tableColumn id="27" name="S">
      <calculatedColumnFormula>SUMIFS(banco!M:M,banco!$C:$C,$B2,banco!$A:$A,$A2)</calculatedColumnFormula>
    </tableColumn>
    <tableColumn id="28" name="S%" dataDxfId="24" totalsRowDxfId="7">
      <calculatedColumnFormula>IFERROR(K2/$AA2,0)</calculatedColumnFormula>
    </tableColumn>
    <tableColumn id="29" name="S_PBF">
      <calculatedColumnFormula>SUMIFS(banco!O:O,banco!$C:$C,$B2,banco!$A:$A,$A2)</calculatedColumnFormula>
    </tableColumn>
    <tableColumn id="30" name="S_PBF%" dataDxfId="23" totalsRowDxfId="6">
      <calculatedColumnFormula>IFERROR(M2/$AB2,0)</calculatedColumnFormula>
    </tableColumn>
    <tableColumn id="31" name="OGI">
      <calculatedColumnFormula>SUMIFS(banco!Q:Q,banco!$C:$C,$B2,banco!$A:$A,$A2)</calculatedColumnFormula>
    </tableColumn>
    <tableColumn id="32" name="OGI%" dataDxfId="22" totalsRowDxfId="5">
      <calculatedColumnFormula>IFERROR(O2/$AA2,0)</calculatedColumnFormula>
    </tableColumn>
    <tableColumn id="33" name="OGI_PBF">
      <calculatedColumnFormula>SUMIFS(banco!S:S,banco!$C:$C,$B2,banco!$A:$A,$A2)</calculatedColumnFormula>
    </tableColumn>
    <tableColumn id="34" name="OGI_PBF%" dataDxfId="21" totalsRowDxfId="4">
      <calculatedColumnFormula>IFERROR(Q2/$AB2,0)</calculatedColumnFormula>
    </tableColumn>
    <tableColumn id="35" name="OGII">
      <calculatedColumnFormula>SUMIFS(banco!U:U,banco!$C:$C,$B2,banco!$A:$A,$A2)</calculatedColumnFormula>
    </tableColumn>
    <tableColumn id="36" name="OGII%" dataDxfId="20" totalsRowDxfId="3">
      <calculatedColumnFormula>IFERROR(S2/$AA2,0)</calculatedColumnFormula>
    </tableColumn>
    <tableColumn id="37" name="OGII_PBF">
      <calculatedColumnFormula>SUMIFS(banco!W:W,banco!$C:$C,$B2,banco!$A:$A,$A2)</calculatedColumnFormula>
    </tableColumn>
    <tableColumn id="38" name="OGII_PBF%" dataDxfId="19" totalsRowDxfId="2">
      <calculatedColumnFormula>IFERROR(U2/$AB2,0)</calculatedColumnFormula>
    </tableColumn>
    <tableColumn id="39" name="OGIII">
      <calculatedColumnFormula>SUMIFS(banco!Y:Y,banco!$C:$C,$B2,banco!$A:$A,$A2)</calculatedColumnFormula>
    </tableColumn>
    <tableColumn id="40" name="OGIII%" dataDxfId="18" totalsRowDxfId="1">
      <calculatedColumnFormula>IFERROR(W2/$AA2,0)</calculatedColumnFormula>
    </tableColumn>
    <tableColumn id="41" name="OGIII_PBF">
      <calculatedColumnFormula>SUMIFS(banco!AA:AA,banco!$C:$C,$B2,banco!$A:$A,$A2)</calculatedColumnFormula>
    </tableColumn>
    <tableColumn id="42" name="OGIII_PBF%" dataDxfId="17" totalsRowDxfId="0">
      <calculatedColumnFormula>IFERROR(Y2/$AB2,0)</calculatedColumnFormula>
    </tableColumn>
    <tableColumn id="55" name="TOTAL4" dataDxfId="16">
      <calculatedColumnFormula>SUMIFS(banco!AC:AC,banco!$C:$C,$B2,banco!$A:$A,$A2)</calculatedColumnFormula>
    </tableColumn>
    <tableColumn id="56" name="TOTAL_PBF5" totalsRowFunction="sum">
      <calculatedColumnFormula>SUMIFS(banco!AD:AD,banco!$C:$C,$B2,banco!$A:$A,$A2)</calculatedColumnFormula>
    </tableColumn>
    <tableColumn id="57" name="população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ela3" displayName="Tabela3" ref="A1:M1392" totalsRowShown="0">
  <autoFilter ref="A1:M1392"/>
  <sortState ref="A3:M142">
    <sortCondition ref="D2:D142"/>
  </sortState>
  <tableColumns count="13">
    <tableColumn id="1" name="IBGE"/>
    <tableColumn id="13" name="Região de Saúde" dataDxfId="15">
      <calculatedColumnFormula>VLOOKUP(Tabela3[[#This Row],[IBGE]],procv!$A$2:$D$142,4,FALSE)</calculatedColumnFormula>
    </tableColumn>
    <tableColumn id="12" name="Município"/>
    <tableColumn id="11" name="2015" dataDxfId="14"/>
    <tableColumn id="2" name="2016"/>
    <tableColumn id="3" name="2017"/>
    <tableColumn id="4" name="2018"/>
    <tableColumn id="5" name="2019"/>
    <tableColumn id="6" name="2020"/>
    <tableColumn id="7" name="2021"/>
    <tableColumn id="8" name="2022"/>
    <tableColumn id="9" name="2023"/>
    <tableColumn id="10" name="20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965"/>
  <sheetViews>
    <sheetView tabSelected="1" zoomScale="70" zoomScaleNormal="70" workbookViewId="0">
      <pane ySplit="1" topLeftCell="A2" activePane="bottomLeft" state="frozen"/>
      <selection pane="bottomLeft"/>
    </sheetView>
  </sheetViews>
  <sheetFormatPr defaultColWidth="15.7109375" defaultRowHeight="15" customHeight="1" x14ac:dyDescent="0.25"/>
  <cols>
    <col min="1" max="2" width="15.7109375" style="8"/>
    <col min="3" max="4" width="15.7109375" style="44"/>
    <col min="5" max="5" width="15.7109375" style="8"/>
    <col min="6" max="8" width="15.7109375" style="12"/>
    <col min="9" max="9" width="15.7109375" style="8"/>
    <col min="10" max="12" width="15.7109375" style="12"/>
    <col min="13" max="16384" width="15.7109375" style="8"/>
  </cols>
  <sheetData>
    <row r="1" spans="1:30" ht="15" customHeight="1" x14ac:dyDescent="0.25">
      <c r="A1" s="10" t="s">
        <v>0</v>
      </c>
      <c r="B1" s="10" t="s">
        <v>1</v>
      </c>
      <c r="C1" s="42" t="s">
        <v>2</v>
      </c>
      <c r="D1" s="42" t="s">
        <v>3</v>
      </c>
      <c r="E1" s="13" t="s">
        <v>329</v>
      </c>
      <c r="F1" s="14" t="s">
        <v>330</v>
      </c>
      <c r="G1" s="14" t="s">
        <v>328</v>
      </c>
      <c r="H1" s="14" t="s">
        <v>331</v>
      </c>
      <c r="I1" s="13" t="s">
        <v>296</v>
      </c>
      <c r="J1" s="14" t="s">
        <v>332</v>
      </c>
      <c r="K1" s="14" t="s">
        <v>298</v>
      </c>
      <c r="L1" s="14" t="s">
        <v>333</v>
      </c>
      <c r="M1" s="13" t="s">
        <v>297</v>
      </c>
      <c r="N1" s="13" t="s">
        <v>334</v>
      </c>
      <c r="O1" s="13" t="s">
        <v>299</v>
      </c>
      <c r="P1" s="13" t="s">
        <v>335</v>
      </c>
      <c r="Q1" s="13" t="s">
        <v>327</v>
      </c>
      <c r="R1" s="13" t="s">
        <v>336</v>
      </c>
      <c r="S1" s="13" t="s">
        <v>326</v>
      </c>
      <c r="T1" s="13" t="s">
        <v>337</v>
      </c>
      <c r="U1" s="13" t="s">
        <v>325</v>
      </c>
      <c r="V1" s="13" t="s">
        <v>338</v>
      </c>
      <c r="W1" s="13" t="s">
        <v>324</v>
      </c>
      <c r="X1" s="13" t="s">
        <v>339</v>
      </c>
      <c r="Y1" s="13" t="s">
        <v>323</v>
      </c>
      <c r="Z1" s="13" t="s">
        <v>340</v>
      </c>
      <c r="AA1" s="13" t="s">
        <v>322</v>
      </c>
      <c r="AB1" s="13" t="s">
        <v>341</v>
      </c>
      <c r="AC1" s="11" t="s">
        <v>4</v>
      </c>
      <c r="AD1" s="15" t="s">
        <v>300</v>
      </c>
    </row>
    <row r="2" spans="1:30" x14ac:dyDescent="0.25">
      <c r="A2" s="35">
        <v>2024</v>
      </c>
      <c r="B2" s="35">
        <v>170025</v>
      </c>
      <c r="C2" s="33" t="str">
        <f>VLOOKUP(B2,procv!$A$2:$D$142,4,FALSE)</f>
        <v>Cantão</v>
      </c>
      <c r="D2" s="33" t="s">
        <v>5</v>
      </c>
      <c r="E2" s="17">
        <v>9</v>
      </c>
      <c r="F2" s="36">
        <f>IFERROR(E2/$AC2,0)</f>
        <v>9.6566523605150223E-3</v>
      </c>
      <c r="G2" s="17">
        <v>1</v>
      </c>
      <c r="H2" s="36">
        <f>IFERROR(G2/$AD2,0)</f>
        <v>2.3809523809523808E-2</v>
      </c>
      <c r="I2" s="17">
        <v>317</v>
      </c>
      <c r="J2" s="36">
        <f>IFERROR(I2/$AC2,0)</f>
        <v>0.34012875536480686</v>
      </c>
      <c r="K2" s="17">
        <v>16</v>
      </c>
      <c r="L2" s="36">
        <f>IFERROR(K2/$AD2,0)</f>
        <v>0.38095238095238093</v>
      </c>
      <c r="M2" s="17">
        <v>326</v>
      </c>
      <c r="N2" s="36">
        <f>IFERROR(M2/$AC2,0)</f>
        <v>0.34978540772532191</v>
      </c>
      <c r="O2" s="17">
        <v>14</v>
      </c>
      <c r="P2" s="36">
        <f>IFERROR(O2/$AD2,0)</f>
        <v>0.33333333333333331</v>
      </c>
      <c r="Q2" s="17">
        <v>183</v>
      </c>
      <c r="R2" s="36">
        <f>IFERROR(Q2/$AC2,0)</f>
        <v>0.1963519313304721</v>
      </c>
      <c r="S2" s="17">
        <v>7</v>
      </c>
      <c r="T2" s="36">
        <f>IFERROR(S2/$AD2,0)</f>
        <v>0.16666666666666666</v>
      </c>
      <c r="U2" s="17">
        <v>69</v>
      </c>
      <c r="V2" s="36">
        <f>IFERROR(U2/$AC2,0)</f>
        <v>7.4034334763948495E-2</v>
      </c>
      <c r="W2" s="17">
        <v>2</v>
      </c>
      <c r="X2" s="36">
        <f>IFERROR(W2/$AD2,0)</f>
        <v>4.7619047619047616E-2</v>
      </c>
      <c r="Y2" s="17">
        <v>28</v>
      </c>
      <c r="Z2" s="36">
        <f>IFERROR(Y2/$AC2,0)</f>
        <v>3.0042918454935622E-2</v>
      </c>
      <c r="AA2" s="17">
        <v>2</v>
      </c>
      <c r="AB2" s="36">
        <f>IFERROR(AA2/$AD2,0)</f>
        <v>4.7619047619047616E-2</v>
      </c>
      <c r="AC2" s="17">
        <v>932</v>
      </c>
      <c r="AD2" s="17">
        <v>42</v>
      </c>
    </row>
    <row r="3" spans="1:30" ht="26.25" customHeight="1" x14ac:dyDescent="0.25">
      <c r="A3" s="35">
        <v>2024</v>
      </c>
      <c r="B3" s="35">
        <v>170030</v>
      </c>
      <c r="C3" s="33" t="str">
        <f>VLOOKUP(B3,procv!$A$2:$D$142,4,FALSE)</f>
        <v>Bico do Papagaio</v>
      </c>
      <c r="D3" s="33" t="s">
        <v>6</v>
      </c>
      <c r="E3" s="17">
        <v>16</v>
      </c>
      <c r="F3" s="36">
        <f>IFERROR(E3/$AC3,0)</f>
        <v>2.0752269779507133E-2</v>
      </c>
      <c r="G3" s="17">
        <v>2</v>
      </c>
      <c r="H3" s="36">
        <f>IFERROR(G3/$AD3,0)</f>
        <v>2.8985507246376812E-2</v>
      </c>
      <c r="I3" s="17">
        <v>247</v>
      </c>
      <c r="J3" s="36">
        <f>IFERROR(I3/$AC3,0)</f>
        <v>0.3203631647211414</v>
      </c>
      <c r="K3" s="17">
        <v>27</v>
      </c>
      <c r="L3" s="36">
        <f>IFERROR(K3/$AD3,0)</f>
        <v>0.39130434782608697</v>
      </c>
      <c r="M3" s="17">
        <v>296</v>
      </c>
      <c r="N3" s="36">
        <f>IFERROR(M3/$AC3,0)</f>
        <v>0.383916990920882</v>
      </c>
      <c r="O3" s="17">
        <v>24</v>
      </c>
      <c r="P3" s="36">
        <f>IFERROR(O3/$AD3,0)</f>
        <v>0.34782608695652173</v>
      </c>
      <c r="Q3" s="17">
        <v>146</v>
      </c>
      <c r="R3" s="36">
        <f>IFERROR(Q3/$AC3,0)</f>
        <v>0.18936446173800259</v>
      </c>
      <c r="S3" s="17">
        <v>11</v>
      </c>
      <c r="T3" s="36">
        <f>IFERROR(S3/$AD3,0)</f>
        <v>0.15942028985507245</v>
      </c>
      <c r="U3" s="17">
        <v>45</v>
      </c>
      <c r="V3" s="36">
        <f>IFERROR(U3/$AC3,0)</f>
        <v>5.8365758754863814E-2</v>
      </c>
      <c r="W3" s="17">
        <v>4</v>
      </c>
      <c r="X3" s="36">
        <f>IFERROR(W3/$AD3,0)</f>
        <v>5.7971014492753624E-2</v>
      </c>
      <c r="Y3" s="17">
        <v>21</v>
      </c>
      <c r="Z3" s="36">
        <f>IFERROR(Y3/$AC3,0)</f>
        <v>2.7237354085603113E-2</v>
      </c>
      <c r="AA3" s="17">
        <v>1</v>
      </c>
      <c r="AB3" s="36">
        <f>IFERROR(AA3/$AD3,0)</f>
        <v>1.4492753623188406E-2</v>
      </c>
      <c r="AC3" s="17">
        <v>771</v>
      </c>
      <c r="AD3" s="17">
        <v>69</v>
      </c>
    </row>
    <row r="4" spans="1:30" ht="26.25" customHeight="1" x14ac:dyDescent="0.25">
      <c r="A4" s="35">
        <v>2024</v>
      </c>
      <c r="B4" s="35">
        <v>170035</v>
      </c>
      <c r="C4" s="33" t="str">
        <f>VLOOKUP(B4,procv!$A$2:$D$142,4,FALSE)</f>
        <v>Ilha do Bananal</v>
      </c>
      <c r="D4" s="33" t="s">
        <v>7</v>
      </c>
      <c r="E4" s="17">
        <v>43</v>
      </c>
      <c r="F4" s="36">
        <f>IFERROR(E4/$AC4,0)</f>
        <v>2.6348039215686275E-2</v>
      </c>
      <c r="G4" s="17">
        <v>3</v>
      </c>
      <c r="H4" s="36">
        <f>IFERROR(G4/$AD4,0)</f>
        <v>4.6875E-2</v>
      </c>
      <c r="I4" s="17">
        <v>499</v>
      </c>
      <c r="J4" s="36">
        <f>IFERROR(I4/$AC4,0)</f>
        <v>0.30575980392156865</v>
      </c>
      <c r="K4" s="17">
        <v>25</v>
      </c>
      <c r="L4" s="36">
        <f>IFERROR(K4/$AD4,0)</f>
        <v>0.390625</v>
      </c>
      <c r="M4" s="17">
        <v>540</v>
      </c>
      <c r="N4" s="36">
        <f>IFERROR(M4/$AC4,0)</f>
        <v>0.33088235294117646</v>
      </c>
      <c r="O4" s="17">
        <v>15</v>
      </c>
      <c r="P4" s="36">
        <f>IFERROR(O4/$AD4,0)</f>
        <v>0.234375</v>
      </c>
      <c r="Q4" s="17">
        <v>354</v>
      </c>
      <c r="R4" s="36">
        <f>IFERROR(Q4/$AC4,0)</f>
        <v>0.21691176470588236</v>
      </c>
      <c r="S4" s="17">
        <v>15</v>
      </c>
      <c r="T4" s="36">
        <f>IFERROR(S4/$AD4,0)</f>
        <v>0.234375</v>
      </c>
      <c r="U4" s="17">
        <v>138</v>
      </c>
      <c r="V4" s="36">
        <f>IFERROR(U4/$AC4,0)</f>
        <v>8.455882352941177E-2</v>
      </c>
      <c r="W4" s="17">
        <v>5</v>
      </c>
      <c r="X4" s="36">
        <f>IFERROR(W4/$AD4,0)</f>
        <v>7.8125E-2</v>
      </c>
      <c r="Y4" s="17">
        <v>58</v>
      </c>
      <c r="Z4" s="36">
        <f>IFERROR(Y4/$AC4,0)</f>
        <v>3.5539215686274508E-2</v>
      </c>
      <c r="AA4" s="17">
        <v>1</v>
      </c>
      <c r="AB4" s="36">
        <f>IFERROR(AA4/$AD4,0)</f>
        <v>1.5625E-2</v>
      </c>
      <c r="AC4" s="16">
        <v>1632</v>
      </c>
      <c r="AD4" s="17">
        <v>64</v>
      </c>
    </row>
    <row r="5" spans="1:30" x14ac:dyDescent="0.25">
      <c r="A5" s="35">
        <v>2024</v>
      </c>
      <c r="B5" s="35">
        <v>170040</v>
      </c>
      <c r="C5" s="33" t="str">
        <f>VLOOKUP(B5,procv!$A$2:$D$142,4,FALSE)</f>
        <v>Sudeste</v>
      </c>
      <c r="D5" s="33" t="s">
        <v>8</v>
      </c>
      <c r="E5" s="17">
        <v>46</v>
      </c>
      <c r="F5" s="36">
        <f>IFERROR(E5/$AC5,0)</f>
        <v>2.247191011235955E-2</v>
      </c>
      <c r="G5" s="17">
        <v>11</v>
      </c>
      <c r="H5" s="36">
        <f>IFERROR(G5/$AD5,0)</f>
        <v>4.3478260869565216E-2</v>
      </c>
      <c r="I5" s="17">
        <v>678</v>
      </c>
      <c r="J5" s="36">
        <f>IFERROR(I5/$AC5,0)</f>
        <v>0.33121641426477771</v>
      </c>
      <c r="K5" s="17">
        <v>81</v>
      </c>
      <c r="L5" s="36">
        <f>IFERROR(K5/$AD5,0)</f>
        <v>0.3201581027667984</v>
      </c>
      <c r="M5" s="17">
        <v>707</v>
      </c>
      <c r="N5" s="36">
        <f>IFERROR(M5/$AC5,0)</f>
        <v>0.34538348803126528</v>
      </c>
      <c r="O5" s="17">
        <v>78</v>
      </c>
      <c r="P5" s="36">
        <f>IFERROR(O5/$AD5,0)</f>
        <v>0.30830039525691699</v>
      </c>
      <c r="Q5" s="17">
        <v>427</v>
      </c>
      <c r="R5" s="36">
        <f>IFERROR(Q5/$AC5,0)</f>
        <v>0.20859794821690278</v>
      </c>
      <c r="S5" s="17">
        <v>58</v>
      </c>
      <c r="T5" s="36">
        <f>IFERROR(S5/$AD5,0)</f>
        <v>0.22924901185770752</v>
      </c>
      <c r="U5" s="17">
        <v>126</v>
      </c>
      <c r="V5" s="36">
        <f>IFERROR(U5/$AC5,0)</f>
        <v>6.1553492916463115E-2</v>
      </c>
      <c r="W5" s="17">
        <v>18</v>
      </c>
      <c r="X5" s="36">
        <f>IFERROR(W5/$AD5,0)</f>
        <v>7.1146245059288543E-2</v>
      </c>
      <c r="Y5" s="17">
        <v>63</v>
      </c>
      <c r="Z5" s="36">
        <f>IFERROR(Y5/$AC5,0)</f>
        <v>3.0776746458231558E-2</v>
      </c>
      <c r="AA5" s="17">
        <v>7</v>
      </c>
      <c r="AB5" s="36">
        <f>IFERROR(AA5/$AD5,0)</f>
        <v>2.766798418972332E-2</v>
      </c>
      <c r="AC5" s="16">
        <v>2047</v>
      </c>
      <c r="AD5" s="17">
        <v>253</v>
      </c>
    </row>
    <row r="6" spans="1:30" x14ac:dyDescent="0.25">
      <c r="A6" s="35">
        <v>2024</v>
      </c>
      <c r="B6" s="35">
        <v>170070</v>
      </c>
      <c r="C6" s="33" t="str">
        <f>VLOOKUP(B6,procv!$A$2:$D$142,4,FALSE)</f>
        <v>Ilha do Bananal</v>
      </c>
      <c r="D6" s="33" t="s">
        <v>9</v>
      </c>
      <c r="E6" s="17">
        <v>45</v>
      </c>
      <c r="F6" s="36">
        <f>IFERROR(E6/$AC6,0)</f>
        <v>1.5912305516265914E-2</v>
      </c>
      <c r="G6" s="17">
        <v>6</v>
      </c>
      <c r="H6" s="36">
        <f>IFERROR(G6/$AD6,0)</f>
        <v>1.8867924528301886E-2</v>
      </c>
      <c r="I6" s="17">
        <v>915</v>
      </c>
      <c r="J6" s="36">
        <f>IFERROR(I6/$AC6,0)</f>
        <v>0.32355021216407354</v>
      </c>
      <c r="K6" s="17">
        <v>80</v>
      </c>
      <c r="L6" s="36">
        <f>IFERROR(K6/$AD6,0)</f>
        <v>0.25157232704402516</v>
      </c>
      <c r="M6" s="17">
        <v>989</v>
      </c>
      <c r="N6" s="36">
        <f>IFERROR(M6/$AC6,0)</f>
        <v>0.34971711456859972</v>
      </c>
      <c r="O6" s="17">
        <v>99</v>
      </c>
      <c r="P6" s="36">
        <f>IFERROR(O6/$AD6,0)</f>
        <v>0.31132075471698112</v>
      </c>
      <c r="Q6" s="17">
        <v>580</v>
      </c>
      <c r="R6" s="36">
        <f>IFERROR(Q6/$AC6,0)</f>
        <v>0.2050919377652051</v>
      </c>
      <c r="S6" s="17">
        <v>94</v>
      </c>
      <c r="T6" s="36">
        <f>IFERROR(S6/$AD6,0)</f>
        <v>0.29559748427672955</v>
      </c>
      <c r="U6" s="17">
        <v>211</v>
      </c>
      <c r="V6" s="36">
        <f>IFERROR(U6/$AC6,0)</f>
        <v>7.4611032531824606E-2</v>
      </c>
      <c r="W6" s="17">
        <v>29</v>
      </c>
      <c r="X6" s="36">
        <f>IFERROR(W6/$AD6,0)</f>
        <v>9.1194968553459113E-2</v>
      </c>
      <c r="Y6" s="17">
        <v>88</v>
      </c>
      <c r="Z6" s="36">
        <f>IFERROR(Y6/$AC6,0)</f>
        <v>3.1117397454031116E-2</v>
      </c>
      <c r="AA6" s="17">
        <v>10</v>
      </c>
      <c r="AB6" s="36">
        <f>IFERROR(AA6/$AD6,0)</f>
        <v>3.1446540880503145E-2</v>
      </c>
      <c r="AC6" s="16">
        <v>2828</v>
      </c>
      <c r="AD6" s="17">
        <v>318</v>
      </c>
    </row>
    <row r="7" spans="1:30" x14ac:dyDescent="0.25">
      <c r="A7" s="35">
        <v>2024</v>
      </c>
      <c r="B7" s="35">
        <v>170100</v>
      </c>
      <c r="C7" s="33" t="str">
        <f>VLOOKUP(B7,procv!$A$2:$D$142,4,FALSE)</f>
        <v>Bico do Papagaio</v>
      </c>
      <c r="D7" s="33" t="s">
        <v>10</v>
      </c>
      <c r="E7" s="17">
        <v>54</v>
      </c>
      <c r="F7" s="36">
        <f>IFERROR(E7/$AC7,0)</f>
        <v>2.1060842433697349E-2</v>
      </c>
      <c r="G7" s="17">
        <v>18</v>
      </c>
      <c r="H7" s="36">
        <f>IFERROR(G7/$AD7,0)</f>
        <v>4.9586776859504134E-2</v>
      </c>
      <c r="I7" s="17">
        <v>840</v>
      </c>
      <c r="J7" s="36">
        <f>IFERROR(I7/$AC7,0)</f>
        <v>0.32761310452418096</v>
      </c>
      <c r="K7" s="17">
        <v>123</v>
      </c>
      <c r="L7" s="36">
        <f>IFERROR(K7/$AD7,0)</f>
        <v>0.33884297520661155</v>
      </c>
      <c r="M7" s="17">
        <v>911</v>
      </c>
      <c r="N7" s="36">
        <f>IFERROR(M7/$AC7,0)</f>
        <v>0.35530421216848673</v>
      </c>
      <c r="O7" s="17">
        <v>126</v>
      </c>
      <c r="P7" s="36">
        <f>IFERROR(O7/$AD7,0)</f>
        <v>0.34710743801652894</v>
      </c>
      <c r="Q7" s="17">
        <v>527</v>
      </c>
      <c r="R7" s="36">
        <f>IFERROR(Q7/$AC7,0)</f>
        <v>0.20553822152886114</v>
      </c>
      <c r="S7" s="17">
        <v>62</v>
      </c>
      <c r="T7" s="36">
        <f>IFERROR(S7/$AD7,0)</f>
        <v>0.17079889807162535</v>
      </c>
      <c r="U7" s="17">
        <v>158</v>
      </c>
      <c r="V7" s="36">
        <f>IFERROR(U7/$AC7,0)</f>
        <v>6.1622464898595943E-2</v>
      </c>
      <c r="W7" s="17">
        <v>24</v>
      </c>
      <c r="X7" s="36">
        <f>IFERROR(W7/$AD7,0)</f>
        <v>6.6115702479338845E-2</v>
      </c>
      <c r="Y7" s="17">
        <v>74</v>
      </c>
      <c r="Z7" s="36">
        <f>IFERROR(Y7/$AC7,0)</f>
        <v>2.8861154446177848E-2</v>
      </c>
      <c r="AA7" s="17">
        <v>10</v>
      </c>
      <c r="AB7" s="36">
        <f>IFERROR(AA7/$AD7,0)</f>
        <v>2.7548209366391185E-2</v>
      </c>
      <c r="AC7" s="16">
        <v>2564</v>
      </c>
      <c r="AD7" s="17">
        <v>363</v>
      </c>
    </row>
    <row r="8" spans="1:30" x14ac:dyDescent="0.25">
      <c r="A8" s="35">
        <v>2024</v>
      </c>
      <c r="B8" s="35">
        <v>170105</v>
      </c>
      <c r="C8" s="33" t="str">
        <f>VLOOKUP(B8,procv!$A$2:$D$142,4,FALSE)</f>
        <v>Bico do Papagaio</v>
      </c>
      <c r="D8" s="33" t="s">
        <v>11</v>
      </c>
      <c r="E8" s="17">
        <v>26</v>
      </c>
      <c r="F8" s="36">
        <f>IFERROR(E8/$AC8,0)</f>
        <v>2.8824833702882482E-2</v>
      </c>
      <c r="G8" s="17">
        <v>1</v>
      </c>
      <c r="H8" s="36">
        <f>IFERROR(G8/$AD8,0)</f>
        <v>1.1363636363636364E-2</v>
      </c>
      <c r="I8" s="17">
        <v>336</v>
      </c>
      <c r="J8" s="36">
        <f>IFERROR(I8/$AC8,0)</f>
        <v>0.37250554323725055</v>
      </c>
      <c r="K8" s="17">
        <v>38</v>
      </c>
      <c r="L8" s="36">
        <f>IFERROR(K8/$AD8,0)</f>
        <v>0.43181818181818182</v>
      </c>
      <c r="M8" s="17">
        <v>331</v>
      </c>
      <c r="N8" s="36">
        <f>IFERROR(M8/$AC8,0)</f>
        <v>0.36696230598669621</v>
      </c>
      <c r="O8" s="17">
        <v>34</v>
      </c>
      <c r="P8" s="36">
        <f>IFERROR(O8/$AD8,0)</f>
        <v>0.38636363636363635</v>
      </c>
      <c r="Q8" s="17">
        <v>150</v>
      </c>
      <c r="R8" s="36">
        <f>IFERROR(Q8/$AC8,0)</f>
        <v>0.16629711751662971</v>
      </c>
      <c r="S8" s="17">
        <v>12</v>
      </c>
      <c r="T8" s="36">
        <f>IFERROR(S8/$AD8,0)</f>
        <v>0.13636363636363635</v>
      </c>
      <c r="U8" s="17">
        <v>39</v>
      </c>
      <c r="V8" s="36">
        <f>IFERROR(U8/$AC8,0)</f>
        <v>4.3237250554323724E-2</v>
      </c>
      <c r="W8" s="17">
        <v>3</v>
      </c>
      <c r="X8" s="36">
        <f>IFERROR(W8/$AD8,0)</f>
        <v>3.4090909090909088E-2</v>
      </c>
      <c r="Y8" s="17">
        <v>20</v>
      </c>
      <c r="Z8" s="36">
        <f>IFERROR(Y8/$AC8,0)</f>
        <v>2.2172949002217297E-2</v>
      </c>
      <c r="AA8" s="17">
        <v>0</v>
      </c>
      <c r="AB8" s="36">
        <f>IFERROR(AA8/$AD8,0)</f>
        <v>0</v>
      </c>
      <c r="AC8" s="17">
        <v>902</v>
      </c>
      <c r="AD8" s="17">
        <v>88</v>
      </c>
    </row>
    <row r="9" spans="1:30" ht="39" customHeight="1" x14ac:dyDescent="0.25">
      <c r="A9" s="35">
        <v>2024</v>
      </c>
      <c r="B9" s="35">
        <v>170110</v>
      </c>
      <c r="C9" s="33" t="str">
        <f>VLOOKUP(B9,procv!$A$2:$D$142,4,FALSE)</f>
        <v>Capim Dourado</v>
      </c>
      <c r="D9" s="33" t="s">
        <v>12</v>
      </c>
      <c r="E9" s="17">
        <v>39</v>
      </c>
      <c r="F9" s="36">
        <f>IFERROR(E9/$AC9,0)</f>
        <v>2.7877055039313797E-2</v>
      </c>
      <c r="G9" s="17">
        <v>3</v>
      </c>
      <c r="H9" s="36">
        <f>IFERROR(G9/$AD9,0)</f>
        <v>2.3076923076923078E-2</v>
      </c>
      <c r="I9" s="17">
        <v>429</v>
      </c>
      <c r="J9" s="36">
        <f>IFERROR(I9/$AC9,0)</f>
        <v>0.30664760543245173</v>
      </c>
      <c r="K9" s="17">
        <v>35</v>
      </c>
      <c r="L9" s="36">
        <f>IFERROR(K9/$AD9,0)</f>
        <v>0.26923076923076922</v>
      </c>
      <c r="M9" s="17">
        <v>473</v>
      </c>
      <c r="N9" s="36">
        <f>IFERROR(M9/$AC9,0)</f>
        <v>0.33809864188706218</v>
      </c>
      <c r="O9" s="17">
        <v>39</v>
      </c>
      <c r="P9" s="36">
        <f>IFERROR(O9/$AD9,0)</f>
        <v>0.3</v>
      </c>
      <c r="Q9" s="17">
        <v>290</v>
      </c>
      <c r="R9" s="36">
        <f>IFERROR(Q9/$AC9,0)</f>
        <v>0.20729092208720515</v>
      </c>
      <c r="S9" s="17">
        <v>32</v>
      </c>
      <c r="T9" s="36">
        <f>IFERROR(S9/$AD9,0)</f>
        <v>0.24615384615384617</v>
      </c>
      <c r="U9" s="17">
        <v>112</v>
      </c>
      <c r="V9" s="36">
        <f>IFERROR(U9/$AC9,0)</f>
        <v>8.0057183702644752E-2</v>
      </c>
      <c r="W9" s="17">
        <v>14</v>
      </c>
      <c r="X9" s="36">
        <f>IFERROR(W9/$AD9,0)</f>
        <v>0.1076923076923077</v>
      </c>
      <c r="Y9" s="17">
        <v>56</v>
      </c>
      <c r="Z9" s="36">
        <f>IFERROR(Y9/$AC9,0)</f>
        <v>4.0028591851322376E-2</v>
      </c>
      <c r="AA9" s="17">
        <v>7</v>
      </c>
      <c r="AB9" s="36">
        <f>IFERROR(AA9/$AD9,0)</f>
        <v>5.3846153846153849E-2</v>
      </c>
      <c r="AC9" s="16">
        <v>1399</v>
      </c>
      <c r="AD9" s="17">
        <v>130</v>
      </c>
    </row>
    <row r="10" spans="1:30" x14ac:dyDescent="0.25">
      <c r="A10" s="35">
        <v>2024</v>
      </c>
      <c r="B10" s="35">
        <v>170130</v>
      </c>
      <c r="C10" s="33" t="str">
        <f>VLOOKUP(B10,procv!$A$2:$D$142,4,FALSE)</f>
        <v>Médio Norte Araguaia</v>
      </c>
      <c r="D10" s="33" t="s">
        <v>13</v>
      </c>
      <c r="E10" s="17">
        <v>40</v>
      </c>
      <c r="F10" s="36">
        <f>IFERROR(E10/$AC10,0)</f>
        <v>2.3460410557184751E-2</v>
      </c>
      <c r="G10" s="17">
        <v>4</v>
      </c>
      <c r="H10" s="36">
        <f>IFERROR(G10/$AD10,0)</f>
        <v>1.8691588785046728E-2</v>
      </c>
      <c r="I10" s="17">
        <v>604</v>
      </c>
      <c r="J10" s="36">
        <f>IFERROR(I10/$AC10,0)</f>
        <v>0.35425219941348973</v>
      </c>
      <c r="K10" s="17">
        <v>83</v>
      </c>
      <c r="L10" s="36">
        <f>IFERROR(K10/$AD10,0)</f>
        <v>0.38785046728971961</v>
      </c>
      <c r="M10" s="17">
        <v>566</v>
      </c>
      <c r="N10" s="36">
        <f>IFERROR(M10/$AC10,0)</f>
        <v>0.33196480938416423</v>
      </c>
      <c r="O10" s="17">
        <v>68</v>
      </c>
      <c r="P10" s="36">
        <f>IFERROR(O10/$AD10,0)</f>
        <v>0.31775700934579437</v>
      </c>
      <c r="Q10" s="17">
        <v>324</v>
      </c>
      <c r="R10" s="36">
        <f>IFERROR(Q10/$AC10,0)</f>
        <v>0.19002932551319648</v>
      </c>
      <c r="S10" s="17">
        <v>37</v>
      </c>
      <c r="T10" s="36">
        <f>IFERROR(S10/$AD10,0)</f>
        <v>0.17289719626168223</v>
      </c>
      <c r="U10" s="17">
        <v>121</v>
      </c>
      <c r="V10" s="36">
        <f>IFERROR(U10/$AC10,0)</f>
        <v>7.0967741935483872E-2</v>
      </c>
      <c r="W10" s="17">
        <v>14</v>
      </c>
      <c r="X10" s="36">
        <f>IFERROR(W10/$AD10,0)</f>
        <v>6.5420560747663545E-2</v>
      </c>
      <c r="Y10" s="17">
        <v>50</v>
      </c>
      <c r="Z10" s="36">
        <f>IFERROR(Y10/$AC10,0)</f>
        <v>2.932551319648094E-2</v>
      </c>
      <c r="AA10" s="17">
        <v>8</v>
      </c>
      <c r="AB10" s="36">
        <f>IFERROR(AA10/$AD10,0)</f>
        <v>3.7383177570093455E-2</v>
      </c>
      <c r="AC10" s="16">
        <v>1705</v>
      </c>
      <c r="AD10" s="17">
        <v>214</v>
      </c>
    </row>
    <row r="11" spans="1:30" ht="15.75" customHeight="1" x14ac:dyDescent="0.25">
      <c r="A11" s="35">
        <v>2024</v>
      </c>
      <c r="B11" s="35">
        <v>170190</v>
      </c>
      <c r="C11" s="33" t="str">
        <f>VLOOKUP(B11,procv!$A$2:$D$142,4,FALSE)</f>
        <v>Cantão</v>
      </c>
      <c r="D11" s="33" t="s">
        <v>14</v>
      </c>
      <c r="E11" s="17">
        <v>40</v>
      </c>
      <c r="F11" s="36">
        <f>IFERROR(E11/$AC11,0)</f>
        <v>2.318840579710145E-2</v>
      </c>
      <c r="G11" s="17">
        <v>11</v>
      </c>
      <c r="H11" s="36">
        <f>IFERROR(G11/$AD11,0)</f>
        <v>4.3999999999999997E-2</v>
      </c>
      <c r="I11" s="17">
        <v>520</v>
      </c>
      <c r="J11" s="36">
        <f>IFERROR(I11/$AC11,0)</f>
        <v>0.30144927536231886</v>
      </c>
      <c r="K11" s="17">
        <v>66</v>
      </c>
      <c r="L11" s="36">
        <f>IFERROR(K11/$AD11,0)</f>
        <v>0.26400000000000001</v>
      </c>
      <c r="M11" s="17">
        <v>639</v>
      </c>
      <c r="N11" s="36">
        <f>IFERROR(M11/$AC11,0)</f>
        <v>0.37043478260869567</v>
      </c>
      <c r="O11" s="17">
        <v>89</v>
      </c>
      <c r="P11" s="36">
        <f>IFERROR(O11/$AD11,0)</f>
        <v>0.35599999999999998</v>
      </c>
      <c r="Q11" s="17">
        <v>327</v>
      </c>
      <c r="R11" s="36">
        <f>IFERROR(Q11/$AC11,0)</f>
        <v>0.18956521739130436</v>
      </c>
      <c r="S11" s="17">
        <v>48</v>
      </c>
      <c r="T11" s="36">
        <f>IFERROR(S11/$AD11,0)</f>
        <v>0.192</v>
      </c>
      <c r="U11" s="17">
        <v>131</v>
      </c>
      <c r="V11" s="36">
        <f>IFERROR(U11/$AC11,0)</f>
        <v>7.594202898550724E-2</v>
      </c>
      <c r="W11" s="17">
        <v>25</v>
      </c>
      <c r="X11" s="36">
        <f>IFERROR(W11/$AD11,0)</f>
        <v>0.1</v>
      </c>
      <c r="Y11" s="17">
        <v>68</v>
      </c>
      <c r="Z11" s="36">
        <f>IFERROR(Y11/$AC11,0)</f>
        <v>3.9420289855072461E-2</v>
      </c>
      <c r="AA11" s="17">
        <v>11</v>
      </c>
      <c r="AB11" s="36">
        <f>IFERROR(AA11/$AD11,0)</f>
        <v>4.3999999999999997E-2</v>
      </c>
      <c r="AC11" s="16">
        <v>1725</v>
      </c>
      <c r="AD11" s="17">
        <v>250</v>
      </c>
    </row>
    <row r="12" spans="1:30" ht="15.75" customHeight="1" x14ac:dyDescent="0.25">
      <c r="A12" s="35">
        <v>2024</v>
      </c>
      <c r="B12" s="35">
        <v>170200</v>
      </c>
      <c r="C12" s="33" t="str">
        <f>VLOOKUP(B12,procv!$A$2:$D$142,4,FALSE)</f>
        <v>Ilha do Bananal</v>
      </c>
      <c r="D12" s="33" t="s">
        <v>15</v>
      </c>
      <c r="E12" s="17">
        <v>68</v>
      </c>
      <c r="F12" s="36">
        <f>IFERROR(E12/$AC12,0)</f>
        <v>2.7134876296887472E-2</v>
      </c>
      <c r="G12" s="17">
        <v>5</v>
      </c>
      <c r="H12" s="36">
        <f>IFERROR(G12/$AD12,0)</f>
        <v>2.9411764705882353E-2</v>
      </c>
      <c r="I12" s="17">
        <v>729</v>
      </c>
      <c r="J12" s="36">
        <f>IFERROR(I12/$AC12,0)</f>
        <v>0.290901835594573</v>
      </c>
      <c r="K12" s="17">
        <v>46</v>
      </c>
      <c r="L12" s="36">
        <f>IFERROR(K12/$AD12,0)</f>
        <v>0.27058823529411763</v>
      </c>
      <c r="M12" s="17">
        <v>881</v>
      </c>
      <c r="N12" s="36">
        <f>IFERROR(M12/$AC12,0)</f>
        <v>0.35155626496408621</v>
      </c>
      <c r="O12" s="17">
        <v>55</v>
      </c>
      <c r="P12" s="36">
        <f>IFERROR(O12/$AD12,0)</f>
        <v>0.3235294117647059</v>
      </c>
      <c r="Q12" s="17">
        <v>510</v>
      </c>
      <c r="R12" s="36">
        <f>IFERROR(Q12/$AC12,0)</f>
        <v>0.20351157222665603</v>
      </c>
      <c r="S12" s="17">
        <v>38</v>
      </c>
      <c r="T12" s="36">
        <f>IFERROR(S12/$AD12,0)</f>
        <v>0.22352941176470589</v>
      </c>
      <c r="U12" s="17">
        <v>185</v>
      </c>
      <c r="V12" s="36">
        <f>IFERROR(U12/$AC12,0)</f>
        <v>7.3822825219473268E-2</v>
      </c>
      <c r="W12" s="17">
        <v>13</v>
      </c>
      <c r="X12" s="36">
        <f>IFERROR(W12/$AD12,0)</f>
        <v>7.6470588235294124E-2</v>
      </c>
      <c r="Y12" s="17">
        <v>133</v>
      </c>
      <c r="Z12" s="36">
        <f>IFERROR(Y12/$AC12,0)</f>
        <v>5.3072625698324022E-2</v>
      </c>
      <c r="AA12" s="17">
        <v>13</v>
      </c>
      <c r="AB12" s="36">
        <f>IFERROR(AA12/$AD12,0)</f>
        <v>7.6470588235294124E-2</v>
      </c>
      <c r="AC12" s="16">
        <v>2506</v>
      </c>
      <c r="AD12" s="17">
        <v>170</v>
      </c>
    </row>
    <row r="13" spans="1:30" ht="15.75" customHeight="1" x14ac:dyDescent="0.25">
      <c r="A13" s="35">
        <v>2024</v>
      </c>
      <c r="B13" s="35">
        <v>170210</v>
      </c>
      <c r="C13" s="33" t="str">
        <f>VLOOKUP(B13,procv!$A$2:$D$142,4,FALSE)</f>
        <v>Médio Norte Araguaia</v>
      </c>
      <c r="D13" s="33" t="s">
        <v>16</v>
      </c>
      <c r="E13" s="17">
        <v>912</v>
      </c>
      <c r="F13" s="36">
        <f>IFERROR(E13/$AC13,0)</f>
        <v>2.3903129422865231E-2</v>
      </c>
      <c r="G13" s="17">
        <v>134</v>
      </c>
      <c r="H13" s="36">
        <f>IFERROR(G13/$AD13,0)</f>
        <v>2.2539949537426409E-2</v>
      </c>
      <c r="I13" s="16">
        <v>11645</v>
      </c>
      <c r="J13" s="36">
        <f>IFERROR(I13/$AC13,0)</f>
        <v>0.30521046286103687</v>
      </c>
      <c r="K13" s="16">
        <v>1617</v>
      </c>
      <c r="L13" s="36">
        <f>IFERROR(K13/$AD13,0)</f>
        <v>0.2719932716568545</v>
      </c>
      <c r="M13" s="16">
        <v>13795</v>
      </c>
      <c r="N13" s="36">
        <f>IFERROR(M13/$AC13,0)</f>
        <v>0.36156104209257223</v>
      </c>
      <c r="O13" s="16">
        <v>2451</v>
      </c>
      <c r="P13" s="36">
        <f>IFERROR(O13/$AD13,0)</f>
        <v>0.41227922624053825</v>
      </c>
      <c r="Q13" s="16">
        <v>7658</v>
      </c>
      <c r="R13" s="36">
        <f>IFERROR(Q13/$AC13,0)</f>
        <v>0.20071290035120826</v>
      </c>
      <c r="S13" s="16">
        <v>1144</v>
      </c>
      <c r="T13" s="36">
        <f>IFERROR(S13/$AD13,0)</f>
        <v>0.19243061396131203</v>
      </c>
      <c r="U13" s="16">
        <v>2762</v>
      </c>
      <c r="V13" s="36">
        <f>IFERROR(U13/$AC13,0)</f>
        <v>7.2390837133721228E-2</v>
      </c>
      <c r="W13" s="17">
        <v>392</v>
      </c>
      <c r="X13" s="36">
        <f>IFERROR(W13/$AD13,0)</f>
        <v>6.593776282590412E-2</v>
      </c>
      <c r="Y13" s="16">
        <v>1382</v>
      </c>
      <c r="Z13" s="36">
        <f>IFERROR(Y13/$AC13,0)</f>
        <v>3.6221628138596217E-2</v>
      </c>
      <c r="AA13" s="17">
        <v>207</v>
      </c>
      <c r="AB13" s="36">
        <f>IFERROR(AA13/$AD13,0)</f>
        <v>3.481917577796468E-2</v>
      </c>
      <c r="AC13" s="16">
        <v>38154</v>
      </c>
      <c r="AD13" s="16">
        <v>5945</v>
      </c>
    </row>
    <row r="14" spans="1:30" ht="15.75" customHeight="1" x14ac:dyDescent="0.25">
      <c r="A14" s="35">
        <v>2024</v>
      </c>
      <c r="B14" s="35">
        <v>170215</v>
      </c>
      <c r="C14" s="33" t="str">
        <f>VLOOKUP(B14,procv!$A$2:$D$142,4,FALSE)</f>
        <v>Médio Norte Araguaia</v>
      </c>
      <c r="D14" s="33" t="s">
        <v>17</v>
      </c>
      <c r="E14" s="17">
        <v>25</v>
      </c>
      <c r="F14" s="36">
        <f>IFERROR(E14/$AC14,0)</f>
        <v>3.342245989304813E-2</v>
      </c>
      <c r="G14" s="17">
        <v>8</v>
      </c>
      <c r="H14" s="36">
        <f>IFERROR(G14/$AD14,0)</f>
        <v>5.6338028169014086E-2</v>
      </c>
      <c r="I14" s="17">
        <v>229</v>
      </c>
      <c r="J14" s="36">
        <f>IFERROR(I14/$AC14,0)</f>
        <v>0.30614973262032086</v>
      </c>
      <c r="K14" s="17">
        <v>42</v>
      </c>
      <c r="L14" s="36">
        <f>IFERROR(K14/$AD14,0)</f>
        <v>0.29577464788732394</v>
      </c>
      <c r="M14" s="17">
        <v>238</v>
      </c>
      <c r="N14" s="36">
        <f>IFERROR(M14/$AC14,0)</f>
        <v>0.31818181818181818</v>
      </c>
      <c r="O14" s="17">
        <v>38</v>
      </c>
      <c r="P14" s="36">
        <f>IFERROR(O14/$AD14,0)</f>
        <v>0.26760563380281688</v>
      </c>
      <c r="Q14" s="17">
        <v>151</v>
      </c>
      <c r="R14" s="36">
        <f>IFERROR(Q14/$AC14,0)</f>
        <v>0.2018716577540107</v>
      </c>
      <c r="S14" s="17">
        <v>35</v>
      </c>
      <c r="T14" s="36">
        <f>IFERROR(S14/$AD14,0)</f>
        <v>0.24647887323943662</v>
      </c>
      <c r="U14" s="17">
        <v>65</v>
      </c>
      <c r="V14" s="36">
        <f>IFERROR(U14/$AC14,0)</f>
        <v>8.6898395721925134E-2</v>
      </c>
      <c r="W14" s="17">
        <v>12</v>
      </c>
      <c r="X14" s="36">
        <f>IFERROR(W14/$AD14,0)</f>
        <v>8.4507042253521125E-2</v>
      </c>
      <c r="Y14" s="17">
        <v>40</v>
      </c>
      <c r="Z14" s="36">
        <f>IFERROR(Y14/$AC14,0)</f>
        <v>5.3475935828877004E-2</v>
      </c>
      <c r="AA14" s="17">
        <v>7</v>
      </c>
      <c r="AB14" s="36">
        <f>IFERROR(AA14/$AD14,0)</f>
        <v>4.9295774647887321E-2</v>
      </c>
      <c r="AC14" s="17">
        <v>748</v>
      </c>
      <c r="AD14" s="17">
        <v>142</v>
      </c>
    </row>
    <row r="15" spans="1:30" ht="15.75" customHeight="1" x14ac:dyDescent="0.25">
      <c r="A15" s="35">
        <v>2024</v>
      </c>
      <c r="B15" s="35">
        <v>170220</v>
      </c>
      <c r="C15" s="33" t="str">
        <f>VLOOKUP(B15,procv!$A$2:$D$142,4,FALSE)</f>
        <v>Bico do Papagaio</v>
      </c>
      <c r="D15" s="33" t="s">
        <v>18</v>
      </c>
      <c r="E15" s="17">
        <v>280</v>
      </c>
      <c r="F15" s="36">
        <f>IFERROR(E15/$AC15,0)</f>
        <v>3.0779377816862703E-2</v>
      </c>
      <c r="G15" s="17">
        <v>33</v>
      </c>
      <c r="H15" s="36">
        <f>IFERROR(G15/$AD15,0)</f>
        <v>3.662597114317425E-2</v>
      </c>
      <c r="I15" s="16">
        <v>3503</v>
      </c>
      <c r="J15" s="36">
        <f>IFERROR(I15/$AC15,0)</f>
        <v>0.38507200175882161</v>
      </c>
      <c r="K15" s="17">
        <v>354</v>
      </c>
      <c r="L15" s="36">
        <f>IFERROR(K15/$AD15,0)</f>
        <v>0.39289678135405104</v>
      </c>
      <c r="M15" s="16">
        <v>3257</v>
      </c>
      <c r="N15" s="36">
        <f>IFERROR(M15/$AC15,0)</f>
        <v>0.35803011981972077</v>
      </c>
      <c r="O15" s="17">
        <v>310</v>
      </c>
      <c r="P15" s="36">
        <f>IFERROR(O15/$AD15,0)</f>
        <v>0.34406215316315203</v>
      </c>
      <c r="Q15" s="16">
        <v>1454</v>
      </c>
      <c r="R15" s="36">
        <f>IFERROR(Q15/$AC15,0)</f>
        <v>0.15983291194899418</v>
      </c>
      <c r="S15" s="17">
        <v>150</v>
      </c>
      <c r="T15" s="36">
        <f>IFERROR(S15/$AD15,0)</f>
        <v>0.16648168701442842</v>
      </c>
      <c r="U15" s="17">
        <v>456</v>
      </c>
      <c r="V15" s="36">
        <f>IFERROR(U15/$AC15,0)</f>
        <v>5.0126415301747829E-2</v>
      </c>
      <c r="W15" s="17">
        <v>38</v>
      </c>
      <c r="X15" s="36">
        <f>IFERROR(W15/$AD15,0)</f>
        <v>4.2175360710321866E-2</v>
      </c>
      <c r="Y15" s="17">
        <v>147</v>
      </c>
      <c r="Z15" s="36">
        <f>IFERROR(Y15/$AC15,0)</f>
        <v>1.6159173353852918E-2</v>
      </c>
      <c r="AA15" s="17">
        <v>16</v>
      </c>
      <c r="AB15" s="36">
        <f>IFERROR(AA15/$AD15,0)</f>
        <v>1.7758046614872364E-2</v>
      </c>
      <c r="AC15" s="16">
        <v>9097</v>
      </c>
      <c r="AD15" s="17">
        <v>901</v>
      </c>
    </row>
    <row r="16" spans="1:30" ht="15.75" customHeight="1" x14ac:dyDescent="0.25">
      <c r="A16" s="35">
        <v>2024</v>
      </c>
      <c r="B16" s="35">
        <v>170230</v>
      </c>
      <c r="C16" s="33" t="str">
        <f>VLOOKUP(B16,procv!$A$2:$D$142,4,FALSE)</f>
        <v>Cerrado Tocantins Araguaia</v>
      </c>
      <c r="D16" s="33" t="s">
        <v>19</v>
      </c>
      <c r="E16" s="17">
        <v>9</v>
      </c>
      <c r="F16" s="36">
        <f>IFERROR(E16/$AC16,0)</f>
        <v>1.9565217391304349E-2</v>
      </c>
      <c r="G16" s="17">
        <v>6</v>
      </c>
      <c r="H16" s="36">
        <f>IFERROR(G16/$AD16,0)</f>
        <v>4.3165467625899283E-2</v>
      </c>
      <c r="I16" s="17">
        <v>126</v>
      </c>
      <c r="J16" s="36">
        <f>IFERROR(I16/$AC16,0)</f>
        <v>0.27391304347826084</v>
      </c>
      <c r="K16" s="17">
        <v>54</v>
      </c>
      <c r="L16" s="36">
        <f>IFERROR(K16/$AD16,0)</f>
        <v>0.38848920863309355</v>
      </c>
      <c r="M16" s="17">
        <v>151</v>
      </c>
      <c r="N16" s="36">
        <f>IFERROR(M16/$AC16,0)</f>
        <v>0.32826086956521738</v>
      </c>
      <c r="O16" s="17">
        <v>39</v>
      </c>
      <c r="P16" s="36">
        <f>IFERROR(O16/$AD16,0)</f>
        <v>0.2805755395683453</v>
      </c>
      <c r="Q16" s="17">
        <v>87</v>
      </c>
      <c r="R16" s="36">
        <f>IFERROR(Q16/$AC16,0)</f>
        <v>0.18913043478260869</v>
      </c>
      <c r="S16" s="17">
        <v>26</v>
      </c>
      <c r="T16" s="36">
        <f>IFERROR(S16/$AD16,0)</f>
        <v>0.18705035971223022</v>
      </c>
      <c r="U16" s="17">
        <v>49</v>
      </c>
      <c r="V16" s="36">
        <f>IFERROR(U16/$AC16,0)</f>
        <v>0.10652173913043478</v>
      </c>
      <c r="W16" s="17">
        <v>8</v>
      </c>
      <c r="X16" s="36">
        <f>IFERROR(W16/$AD16,0)</f>
        <v>5.7553956834532377E-2</v>
      </c>
      <c r="Y16" s="17">
        <v>38</v>
      </c>
      <c r="Z16" s="36">
        <f>IFERROR(Y16/$AC16,0)</f>
        <v>8.2608695652173908E-2</v>
      </c>
      <c r="AA16" s="17">
        <v>6</v>
      </c>
      <c r="AB16" s="36">
        <f>IFERROR(AA16/$AD16,0)</f>
        <v>4.3165467625899283E-2</v>
      </c>
      <c r="AC16" s="17">
        <v>460</v>
      </c>
      <c r="AD16" s="17">
        <v>139</v>
      </c>
    </row>
    <row r="17" spans="1:30" ht="15.75" customHeight="1" x14ac:dyDescent="0.25">
      <c r="A17" s="35">
        <v>2024</v>
      </c>
      <c r="B17" s="35">
        <v>170240</v>
      </c>
      <c r="C17" s="33" t="str">
        <f>VLOOKUP(B17,procv!$A$2:$D$142,4,FALSE)</f>
        <v>Sudeste</v>
      </c>
      <c r="D17" s="33" t="s">
        <v>20</v>
      </c>
      <c r="E17" s="17">
        <v>95</v>
      </c>
      <c r="F17" s="36">
        <f>IFERROR(E17/$AC17,0)</f>
        <v>3.1975765735442613E-2</v>
      </c>
      <c r="G17" s="17">
        <v>17</v>
      </c>
      <c r="H17" s="36">
        <f>IFERROR(G17/$AD17,0)</f>
        <v>4.5698924731182797E-2</v>
      </c>
      <c r="I17" s="16">
        <v>1066</v>
      </c>
      <c r="J17" s="36">
        <f>IFERROR(I17/$AC17,0)</f>
        <v>0.35880175025244027</v>
      </c>
      <c r="K17" s="17">
        <v>118</v>
      </c>
      <c r="L17" s="36">
        <f>IFERROR(K17/$AD17,0)</f>
        <v>0.31720430107526881</v>
      </c>
      <c r="M17" s="16">
        <v>1086</v>
      </c>
      <c r="N17" s="36">
        <f>IFERROR(M17/$AC17,0)</f>
        <v>0.36553349040727029</v>
      </c>
      <c r="O17" s="17">
        <v>125</v>
      </c>
      <c r="P17" s="36">
        <f>IFERROR(O17/$AD17,0)</f>
        <v>0.33602150537634407</v>
      </c>
      <c r="Q17" s="17">
        <v>495</v>
      </c>
      <c r="R17" s="36">
        <f>IFERROR(Q17/$AC17,0)</f>
        <v>0.16661056883204309</v>
      </c>
      <c r="S17" s="17">
        <v>76</v>
      </c>
      <c r="T17" s="36">
        <f>IFERROR(S17/$AD17,0)</f>
        <v>0.20430107526881722</v>
      </c>
      <c r="U17" s="17">
        <v>163</v>
      </c>
      <c r="V17" s="36">
        <f>IFERROR(U17/$AC17,0)</f>
        <v>5.4863682261864694E-2</v>
      </c>
      <c r="W17" s="17">
        <v>19</v>
      </c>
      <c r="X17" s="36">
        <f>IFERROR(W17/$AD17,0)</f>
        <v>5.1075268817204304E-2</v>
      </c>
      <c r="Y17" s="17">
        <v>66</v>
      </c>
      <c r="Z17" s="36">
        <f>IFERROR(Y17/$AC17,0)</f>
        <v>2.2214742510939078E-2</v>
      </c>
      <c r="AA17" s="17">
        <v>17</v>
      </c>
      <c r="AB17" s="36">
        <f>IFERROR(AA17/$AD17,0)</f>
        <v>4.5698924731182797E-2</v>
      </c>
      <c r="AC17" s="16">
        <v>2971</v>
      </c>
      <c r="AD17" s="17">
        <v>372</v>
      </c>
    </row>
    <row r="18" spans="1:30" ht="15.75" customHeight="1" x14ac:dyDescent="0.25">
      <c r="A18" s="35">
        <v>2024</v>
      </c>
      <c r="B18" s="35">
        <v>170255</v>
      </c>
      <c r="C18" s="33" t="str">
        <f>VLOOKUP(B18,procv!$A$2:$D$142,4,FALSE)</f>
        <v>Bico do Papagaio</v>
      </c>
      <c r="D18" s="33" t="s">
        <v>21</v>
      </c>
      <c r="E18" s="17">
        <v>107</v>
      </c>
      <c r="F18" s="36">
        <f>IFERROR(E18/$AC18,0)</f>
        <v>2.5123268372857478E-2</v>
      </c>
      <c r="G18" s="17">
        <v>14</v>
      </c>
      <c r="H18" s="36">
        <f>IFERROR(G18/$AD18,0)</f>
        <v>4.4303797468354431E-2</v>
      </c>
      <c r="I18" s="16">
        <v>1448</v>
      </c>
      <c r="J18" s="36">
        <f>IFERROR(I18/$AC18,0)</f>
        <v>0.33998591218595914</v>
      </c>
      <c r="K18" s="17">
        <v>90</v>
      </c>
      <c r="L18" s="36">
        <f>IFERROR(K18/$AD18,0)</f>
        <v>0.2848101265822785</v>
      </c>
      <c r="M18" s="16">
        <v>1530</v>
      </c>
      <c r="N18" s="36">
        <f>IFERROR(M18/$AC18,0)</f>
        <v>0.35923925804179385</v>
      </c>
      <c r="O18" s="17">
        <v>106</v>
      </c>
      <c r="P18" s="36">
        <f>IFERROR(O18/$AD18,0)</f>
        <v>0.33544303797468356</v>
      </c>
      <c r="Q18" s="17">
        <v>807</v>
      </c>
      <c r="R18" s="36">
        <f>IFERROR(Q18/$AC18,0)</f>
        <v>0.18948109884949518</v>
      </c>
      <c r="S18" s="17">
        <v>71</v>
      </c>
      <c r="T18" s="36">
        <f>IFERROR(S18/$AD18,0)</f>
        <v>0.22468354430379747</v>
      </c>
      <c r="U18" s="17">
        <v>268</v>
      </c>
      <c r="V18" s="36">
        <f>IFERROR(U18/$AC18,0)</f>
        <v>6.2925569382484156E-2</v>
      </c>
      <c r="W18" s="17">
        <v>26</v>
      </c>
      <c r="X18" s="36">
        <f>IFERROR(W18/$AD18,0)</f>
        <v>8.2278481012658222E-2</v>
      </c>
      <c r="Y18" s="17">
        <v>99</v>
      </c>
      <c r="Z18" s="36">
        <f>IFERROR(Y18/$AC18,0)</f>
        <v>2.3244893167410189E-2</v>
      </c>
      <c r="AA18" s="17">
        <v>9</v>
      </c>
      <c r="AB18" s="36">
        <f>IFERROR(AA18/$AD18,0)</f>
        <v>2.8481012658227847E-2</v>
      </c>
      <c r="AC18" s="16">
        <v>4259</v>
      </c>
      <c r="AD18" s="17">
        <v>316</v>
      </c>
    </row>
    <row r="19" spans="1:30" ht="15.75" customHeight="1" x14ac:dyDescent="0.25">
      <c r="A19" s="35">
        <v>2024</v>
      </c>
      <c r="B19" s="35">
        <v>170270</v>
      </c>
      <c r="C19" s="33" t="str">
        <f>VLOOKUP(B19,procv!$A$2:$D$142,4,FALSE)</f>
        <v>Sudeste</v>
      </c>
      <c r="D19" s="33" t="s">
        <v>22</v>
      </c>
      <c r="E19" s="17">
        <v>36</v>
      </c>
      <c r="F19" s="36">
        <f>IFERROR(E19/$AC19,0)</f>
        <v>2.7418126428027417E-2</v>
      </c>
      <c r="G19" s="17">
        <v>7</v>
      </c>
      <c r="H19" s="36">
        <f>IFERROR(G19/$AD19,0)</f>
        <v>6.363636363636363E-2</v>
      </c>
      <c r="I19" s="17">
        <v>480</v>
      </c>
      <c r="J19" s="36">
        <f>IFERROR(I19/$AC19,0)</f>
        <v>0.3655750190403656</v>
      </c>
      <c r="K19" s="17">
        <v>33</v>
      </c>
      <c r="L19" s="36">
        <f>IFERROR(K19/$AD19,0)</f>
        <v>0.3</v>
      </c>
      <c r="M19" s="17">
        <v>467</v>
      </c>
      <c r="N19" s="36">
        <f>IFERROR(M19/$AC19,0)</f>
        <v>0.35567402894135569</v>
      </c>
      <c r="O19" s="17">
        <v>40</v>
      </c>
      <c r="P19" s="36">
        <f>IFERROR(O19/$AD19,0)</f>
        <v>0.36363636363636365</v>
      </c>
      <c r="Q19" s="17">
        <v>245</v>
      </c>
      <c r="R19" s="36">
        <f>IFERROR(Q19/$AC19,0)</f>
        <v>0.18659558263518661</v>
      </c>
      <c r="S19" s="17">
        <v>21</v>
      </c>
      <c r="T19" s="36">
        <f>IFERROR(S19/$AD19,0)</f>
        <v>0.19090909090909092</v>
      </c>
      <c r="U19" s="17">
        <v>64</v>
      </c>
      <c r="V19" s="36">
        <f>IFERROR(U19/$AC19,0)</f>
        <v>4.8743335872048744E-2</v>
      </c>
      <c r="W19" s="17">
        <v>7</v>
      </c>
      <c r="X19" s="36">
        <f>IFERROR(W19/$AD19,0)</f>
        <v>6.363636363636363E-2</v>
      </c>
      <c r="Y19" s="17">
        <v>21</v>
      </c>
      <c r="Z19" s="36">
        <f>IFERROR(Y19/$AC19,0)</f>
        <v>1.5993907083015995E-2</v>
      </c>
      <c r="AA19" s="17">
        <v>2</v>
      </c>
      <c r="AB19" s="36">
        <f>IFERROR(AA19/$AD19,0)</f>
        <v>1.8181818181818181E-2</v>
      </c>
      <c r="AC19" s="16">
        <v>1313</v>
      </c>
      <c r="AD19" s="17">
        <v>110</v>
      </c>
    </row>
    <row r="20" spans="1:30" ht="15.75" customHeight="1" x14ac:dyDescent="0.25">
      <c r="A20" s="35">
        <v>2024</v>
      </c>
      <c r="B20" s="35">
        <v>170290</v>
      </c>
      <c r="C20" s="33" t="str">
        <f>VLOOKUP(B20,procv!$A$2:$D$142,4,FALSE)</f>
        <v>Bico do Papagaio</v>
      </c>
      <c r="D20" s="33" t="s">
        <v>23</v>
      </c>
      <c r="E20" s="17">
        <v>36</v>
      </c>
      <c r="F20" s="36">
        <f>IFERROR(E20/$AC20,0)</f>
        <v>3.5820895522388062E-2</v>
      </c>
      <c r="G20" s="17">
        <v>26</v>
      </c>
      <c r="H20" s="36">
        <f>IFERROR(G20/$AD20,0)</f>
        <v>5.6521739130434782E-2</v>
      </c>
      <c r="I20" s="17">
        <v>349</v>
      </c>
      <c r="J20" s="36">
        <f>IFERROR(I20/$AC20,0)</f>
        <v>0.3472636815920398</v>
      </c>
      <c r="K20" s="17">
        <v>183</v>
      </c>
      <c r="L20" s="36">
        <f>IFERROR(K20/$AD20,0)</f>
        <v>0.39782608695652172</v>
      </c>
      <c r="M20" s="17">
        <v>353</v>
      </c>
      <c r="N20" s="36">
        <f>IFERROR(M20/$AC20,0)</f>
        <v>0.35124378109452736</v>
      </c>
      <c r="O20" s="17">
        <v>164</v>
      </c>
      <c r="P20" s="36">
        <f>IFERROR(O20/$AD20,0)</f>
        <v>0.35652173913043478</v>
      </c>
      <c r="Q20" s="17">
        <v>187</v>
      </c>
      <c r="R20" s="36">
        <f>IFERROR(Q20/$AC20,0)</f>
        <v>0.18606965174129353</v>
      </c>
      <c r="S20" s="17">
        <v>66</v>
      </c>
      <c r="T20" s="36">
        <f>IFERROR(S20/$AD20,0)</f>
        <v>0.14347826086956522</v>
      </c>
      <c r="U20" s="17">
        <v>53</v>
      </c>
      <c r="V20" s="36">
        <f>IFERROR(U20/$AC20,0)</f>
        <v>5.2736318407960198E-2</v>
      </c>
      <c r="W20" s="17">
        <v>16</v>
      </c>
      <c r="X20" s="36">
        <f>IFERROR(W20/$AD20,0)</f>
        <v>3.4782608695652174E-2</v>
      </c>
      <c r="Y20" s="17">
        <v>27</v>
      </c>
      <c r="Z20" s="36">
        <f>IFERROR(Y20/$AC20,0)</f>
        <v>2.6865671641791045E-2</v>
      </c>
      <c r="AA20" s="17">
        <v>5</v>
      </c>
      <c r="AB20" s="36">
        <f>IFERROR(AA20/$AD20,0)</f>
        <v>1.0869565217391304E-2</v>
      </c>
      <c r="AC20" s="16">
        <v>1005</v>
      </c>
      <c r="AD20" s="17">
        <v>460</v>
      </c>
    </row>
    <row r="21" spans="1:30" ht="15.75" customHeight="1" x14ac:dyDescent="0.25">
      <c r="A21" s="35">
        <v>2024</v>
      </c>
      <c r="B21" s="35">
        <v>170300</v>
      </c>
      <c r="C21" s="33" t="str">
        <f>VLOOKUP(B21,procv!$A$2:$D$142,4,FALSE)</f>
        <v>Médio Norte Araguaia</v>
      </c>
      <c r="D21" s="33" t="s">
        <v>24</v>
      </c>
      <c r="E21" s="17">
        <v>39</v>
      </c>
      <c r="F21" s="36">
        <f>IFERROR(E21/$AC21,0)</f>
        <v>2.2504327755337564E-2</v>
      </c>
      <c r="G21" s="17">
        <v>5</v>
      </c>
      <c r="H21" s="36">
        <f>IFERROR(G21/$AD21,0)</f>
        <v>2.5510204081632654E-2</v>
      </c>
      <c r="I21" s="17">
        <v>564</v>
      </c>
      <c r="J21" s="36">
        <f>IFERROR(I21/$AC21,0)</f>
        <v>0.3254472013848817</v>
      </c>
      <c r="K21" s="17">
        <v>79</v>
      </c>
      <c r="L21" s="36">
        <f>IFERROR(K21/$AD21,0)</f>
        <v>0.40306122448979592</v>
      </c>
      <c r="M21" s="17">
        <v>625</v>
      </c>
      <c r="N21" s="36">
        <f>IFERROR(M21/$AC21,0)</f>
        <v>0.36064627813040967</v>
      </c>
      <c r="O21" s="17">
        <v>67</v>
      </c>
      <c r="P21" s="36">
        <f>IFERROR(O21/$AD21,0)</f>
        <v>0.34183673469387754</v>
      </c>
      <c r="Q21" s="17">
        <v>341</v>
      </c>
      <c r="R21" s="36">
        <f>IFERROR(Q21/$AC21,0)</f>
        <v>0.19676860934795154</v>
      </c>
      <c r="S21" s="17">
        <v>27</v>
      </c>
      <c r="T21" s="36">
        <f>IFERROR(S21/$AD21,0)</f>
        <v>0.13775510204081631</v>
      </c>
      <c r="U21" s="17">
        <v>116</v>
      </c>
      <c r="V21" s="36">
        <f>IFERROR(U21/$AC21,0)</f>
        <v>6.6935949221004043E-2</v>
      </c>
      <c r="W21" s="17">
        <v>13</v>
      </c>
      <c r="X21" s="36">
        <f>IFERROR(W21/$AD21,0)</f>
        <v>6.6326530612244902E-2</v>
      </c>
      <c r="Y21" s="17">
        <v>48</v>
      </c>
      <c r="Z21" s="36">
        <f>IFERROR(Y21/$AC21,0)</f>
        <v>2.7697634160415464E-2</v>
      </c>
      <c r="AA21" s="17">
        <v>5</v>
      </c>
      <c r="AB21" s="36">
        <f>IFERROR(AA21/$AD21,0)</f>
        <v>2.5510204081632654E-2</v>
      </c>
      <c r="AC21" s="16">
        <v>1733</v>
      </c>
      <c r="AD21" s="17">
        <v>196</v>
      </c>
    </row>
    <row r="22" spans="1:30" ht="15.75" customHeight="1" x14ac:dyDescent="0.25">
      <c r="A22" s="35">
        <v>2024</v>
      </c>
      <c r="B22" s="35">
        <v>170305</v>
      </c>
      <c r="C22" s="33" t="str">
        <f>VLOOKUP(B22,procv!$A$2:$D$142,4,FALSE)</f>
        <v>Cerrado Tocantins Araguaia</v>
      </c>
      <c r="D22" s="33" t="s">
        <v>25</v>
      </c>
      <c r="E22" s="17">
        <v>17</v>
      </c>
      <c r="F22" s="36">
        <f>IFERROR(E22/$AC22,0)</f>
        <v>1.6634050880626222E-2</v>
      </c>
      <c r="G22" s="17">
        <v>3</v>
      </c>
      <c r="H22" s="36">
        <f>IFERROR(G22/$AD22,0)</f>
        <v>3.3333333333333333E-2</v>
      </c>
      <c r="I22" s="17">
        <v>315</v>
      </c>
      <c r="J22" s="36">
        <f>IFERROR(I22/$AC22,0)</f>
        <v>0.30821917808219179</v>
      </c>
      <c r="K22" s="17">
        <v>27</v>
      </c>
      <c r="L22" s="36">
        <f>IFERROR(K22/$AD22,0)</f>
        <v>0.3</v>
      </c>
      <c r="M22" s="17">
        <v>363</v>
      </c>
      <c r="N22" s="36">
        <f>IFERROR(M22/$AC22,0)</f>
        <v>0.35518590998043054</v>
      </c>
      <c r="O22" s="17">
        <v>35</v>
      </c>
      <c r="P22" s="36">
        <f>IFERROR(O22/$AD22,0)</f>
        <v>0.3888888888888889</v>
      </c>
      <c r="Q22" s="17">
        <v>215</v>
      </c>
      <c r="R22" s="36">
        <f>IFERROR(Q22/$AC22,0)</f>
        <v>0.21037181996086105</v>
      </c>
      <c r="S22" s="17">
        <v>14</v>
      </c>
      <c r="T22" s="36">
        <f>IFERROR(S22/$AD22,0)</f>
        <v>0.15555555555555556</v>
      </c>
      <c r="U22" s="17">
        <v>76</v>
      </c>
      <c r="V22" s="36">
        <f>IFERROR(U22/$AC22,0)</f>
        <v>7.4363992172211346E-2</v>
      </c>
      <c r="W22" s="17">
        <v>8</v>
      </c>
      <c r="X22" s="36">
        <f>IFERROR(W22/$AD22,0)</f>
        <v>8.8888888888888892E-2</v>
      </c>
      <c r="Y22" s="17">
        <v>36</v>
      </c>
      <c r="Z22" s="36">
        <f>IFERROR(Y22/$AC22,0)</f>
        <v>3.5225048923679059E-2</v>
      </c>
      <c r="AA22" s="17">
        <v>3</v>
      </c>
      <c r="AB22" s="36">
        <f>IFERROR(AA22/$AD22,0)</f>
        <v>3.3333333333333333E-2</v>
      </c>
      <c r="AC22" s="16">
        <v>1022</v>
      </c>
      <c r="AD22" s="17">
        <v>90</v>
      </c>
    </row>
    <row r="23" spans="1:30" ht="15.75" customHeight="1" x14ac:dyDescent="0.25">
      <c r="A23" s="35">
        <v>2024</v>
      </c>
      <c r="B23" s="35">
        <v>170307</v>
      </c>
      <c r="C23" s="33" t="str">
        <f>VLOOKUP(B23,procv!$A$2:$D$142,4,FALSE)</f>
        <v>Médio Norte Araguaia</v>
      </c>
      <c r="D23" s="33" t="s">
        <v>26</v>
      </c>
      <c r="E23" s="17">
        <v>26</v>
      </c>
      <c r="F23" s="36">
        <f>IFERROR(E23/$AC23,0)</f>
        <v>1.7127799736495388E-2</v>
      </c>
      <c r="G23" s="17">
        <v>5</v>
      </c>
      <c r="H23" s="36">
        <f>IFERROR(G23/$AD23,0)</f>
        <v>2.5510204081632654E-2</v>
      </c>
      <c r="I23" s="17">
        <v>536</v>
      </c>
      <c r="J23" s="36">
        <f>IFERROR(I23/$AC23,0)</f>
        <v>0.35309617918313568</v>
      </c>
      <c r="K23" s="17">
        <v>77</v>
      </c>
      <c r="L23" s="36">
        <f>IFERROR(K23/$AD23,0)</f>
        <v>0.39285714285714285</v>
      </c>
      <c r="M23" s="17">
        <v>528</v>
      </c>
      <c r="N23" s="36">
        <f>IFERROR(M23/$AC23,0)</f>
        <v>0.34782608695652173</v>
      </c>
      <c r="O23" s="17">
        <v>53</v>
      </c>
      <c r="P23" s="36">
        <f>IFERROR(O23/$AD23,0)</f>
        <v>0.27040816326530615</v>
      </c>
      <c r="Q23" s="17">
        <v>283</v>
      </c>
      <c r="R23" s="36">
        <f>IFERROR(Q23/$AC23,0)</f>
        <v>0.18642951251646903</v>
      </c>
      <c r="S23" s="17">
        <v>38</v>
      </c>
      <c r="T23" s="36">
        <f>IFERROR(S23/$AD23,0)</f>
        <v>0.19387755102040816</v>
      </c>
      <c r="U23" s="17">
        <v>103</v>
      </c>
      <c r="V23" s="36">
        <f>IFERROR(U23/$AC23,0)</f>
        <v>6.7852437417654815E-2</v>
      </c>
      <c r="W23" s="17">
        <v>17</v>
      </c>
      <c r="X23" s="36">
        <f>IFERROR(W23/$AD23,0)</f>
        <v>8.673469387755102E-2</v>
      </c>
      <c r="Y23" s="17">
        <v>42</v>
      </c>
      <c r="Z23" s="36">
        <f>IFERROR(Y23/$AC23,0)</f>
        <v>2.766798418972332E-2</v>
      </c>
      <c r="AA23" s="17">
        <v>6</v>
      </c>
      <c r="AB23" s="36">
        <f>IFERROR(AA23/$AD23,0)</f>
        <v>3.0612244897959183E-2</v>
      </c>
      <c r="AC23" s="16">
        <v>1518</v>
      </c>
      <c r="AD23" s="17">
        <v>196</v>
      </c>
    </row>
    <row r="24" spans="1:30" ht="15.75" customHeight="1" x14ac:dyDescent="0.25">
      <c r="A24" s="35">
        <v>2024</v>
      </c>
      <c r="B24" s="35">
        <v>170310</v>
      </c>
      <c r="C24" s="33" t="str">
        <f>VLOOKUP(B24,procv!$A$2:$D$142,4,FALSE)</f>
        <v>Cantão</v>
      </c>
      <c r="D24" s="33" t="s">
        <v>27</v>
      </c>
      <c r="E24" s="17">
        <v>26</v>
      </c>
      <c r="F24" s="36">
        <f>IFERROR(E24/$AC24,0)</f>
        <v>2.6804123711340205E-2</v>
      </c>
      <c r="G24" s="17">
        <v>0</v>
      </c>
      <c r="H24" s="36">
        <f>IFERROR(G24/$AD24,0)</f>
        <v>0</v>
      </c>
      <c r="I24" s="17">
        <v>299</v>
      </c>
      <c r="J24" s="36">
        <f>IFERROR(I24/$AC24,0)</f>
        <v>0.30824742268041239</v>
      </c>
      <c r="K24" s="17">
        <v>30</v>
      </c>
      <c r="L24" s="36">
        <f>IFERROR(K24/$AD24,0)</f>
        <v>0.379746835443038</v>
      </c>
      <c r="M24" s="17">
        <v>340</v>
      </c>
      <c r="N24" s="36">
        <f>IFERROR(M24/$AC24,0)</f>
        <v>0.35051546391752575</v>
      </c>
      <c r="O24" s="17">
        <v>24</v>
      </c>
      <c r="P24" s="36">
        <f>IFERROR(O24/$AD24,0)</f>
        <v>0.30379746835443039</v>
      </c>
      <c r="Q24" s="17">
        <v>178</v>
      </c>
      <c r="R24" s="36">
        <f>IFERROR(Q24/$AC24,0)</f>
        <v>0.18350515463917524</v>
      </c>
      <c r="S24" s="17">
        <v>13</v>
      </c>
      <c r="T24" s="36">
        <f>IFERROR(S24/$AD24,0)</f>
        <v>0.16455696202531644</v>
      </c>
      <c r="U24" s="17">
        <v>83</v>
      </c>
      <c r="V24" s="36">
        <f>IFERROR(U24/$AC24,0)</f>
        <v>8.5567010309278352E-2</v>
      </c>
      <c r="W24" s="17">
        <v>10</v>
      </c>
      <c r="X24" s="36">
        <f>IFERROR(W24/$AD24,0)</f>
        <v>0.12658227848101267</v>
      </c>
      <c r="Y24" s="17">
        <v>44</v>
      </c>
      <c r="Z24" s="36">
        <f>IFERROR(Y24/$AC24,0)</f>
        <v>4.536082474226804E-2</v>
      </c>
      <c r="AA24" s="17">
        <v>2</v>
      </c>
      <c r="AB24" s="36">
        <f>IFERROR(AA24/$AD24,0)</f>
        <v>2.5316455696202531E-2</v>
      </c>
      <c r="AC24" s="17">
        <v>970</v>
      </c>
      <c r="AD24" s="17">
        <v>79</v>
      </c>
    </row>
    <row r="25" spans="1:30" ht="15.75" customHeight="1" x14ac:dyDescent="0.25">
      <c r="A25" s="35">
        <v>2024</v>
      </c>
      <c r="B25" s="35">
        <v>170320</v>
      </c>
      <c r="C25" s="33" t="str">
        <f>VLOOKUP(B25,procv!$A$2:$D$142,4,FALSE)</f>
        <v>Cerrado Tocantins Araguaia</v>
      </c>
      <c r="D25" s="33" t="s">
        <v>28</v>
      </c>
      <c r="E25" s="17">
        <v>3</v>
      </c>
      <c r="F25" s="36">
        <f>IFERROR(E25/$AC25,0)</f>
        <v>1.9230769230769232E-2</v>
      </c>
      <c r="G25" s="17">
        <v>0</v>
      </c>
      <c r="H25" s="36">
        <f>IFERROR(G25/$AD25,0)</f>
        <v>0</v>
      </c>
      <c r="I25" s="17">
        <v>49</v>
      </c>
      <c r="J25" s="36">
        <f>IFERROR(I25/$AC25,0)</f>
        <v>0.3141025641025641</v>
      </c>
      <c r="K25" s="17">
        <v>16</v>
      </c>
      <c r="L25" s="36">
        <f>IFERROR(K25/$AD25,0)</f>
        <v>0.29090909090909089</v>
      </c>
      <c r="M25" s="17">
        <v>53</v>
      </c>
      <c r="N25" s="36">
        <f>IFERROR(M25/$AC25,0)</f>
        <v>0.33974358974358976</v>
      </c>
      <c r="O25" s="17">
        <v>19</v>
      </c>
      <c r="P25" s="36">
        <f>IFERROR(O25/$AD25,0)</f>
        <v>0.34545454545454546</v>
      </c>
      <c r="Q25" s="17">
        <v>22</v>
      </c>
      <c r="R25" s="36">
        <f>IFERROR(Q25/$AC25,0)</f>
        <v>0.14102564102564102</v>
      </c>
      <c r="S25" s="17">
        <v>10</v>
      </c>
      <c r="T25" s="36">
        <f>IFERROR(S25/$AD25,0)</f>
        <v>0.18181818181818182</v>
      </c>
      <c r="U25" s="17">
        <v>21</v>
      </c>
      <c r="V25" s="36">
        <f>IFERROR(U25/$AC25,0)</f>
        <v>0.13461538461538461</v>
      </c>
      <c r="W25" s="17">
        <v>8</v>
      </c>
      <c r="X25" s="36">
        <f>IFERROR(W25/$AD25,0)</f>
        <v>0.14545454545454545</v>
      </c>
      <c r="Y25" s="17">
        <v>8</v>
      </c>
      <c r="Z25" s="36">
        <f>IFERROR(Y25/$AC25,0)</f>
        <v>5.128205128205128E-2</v>
      </c>
      <c r="AA25" s="17">
        <v>2</v>
      </c>
      <c r="AB25" s="36">
        <f>IFERROR(AA25/$AD25,0)</f>
        <v>3.6363636363636362E-2</v>
      </c>
      <c r="AC25" s="17">
        <v>156</v>
      </c>
      <c r="AD25" s="17">
        <v>55</v>
      </c>
    </row>
    <row r="26" spans="1:30" ht="15.75" customHeight="1" x14ac:dyDescent="0.25">
      <c r="A26" s="35">
        <v>2024</v>
      </c>
      <c r="B26" s="35">
        <v>170330</v>
      </c>
      <c r="C26" s="33" t="str">
        <f>VLOOKUP(B26,procv!$A$2:$D$142,4,FALSE)</f>
        <v>Cerrado Tocantins Araguaia</v>
      </c>
      <c r="D26" s="33" t="s">
        <v>29</v>
      </c>
      <c r="E26" s="17">
        <v>11</v>
      </c>
      <c r="F26" s="36">
        <f>IFERROR(E26/$AC26,0)</f>
        <v>2.0676691729323307E-2</v>
      </c>
      <c r="G26" s="17">
        <v>6</v>
      </c>
      <c r="H26" s="36">
        <f>IFERROR(G26/$AD26,0)</f>
        <v>9.0909090909090912E-2</v>
      </c>
      <c r="I26" s="17">
        <v>162</v>
      </c>
      <c r="J26" s="36">
        <f>IFERROR(I26/$AC26,0)</f>
        <v>0.30451127819548873</v>
      </c>
      <c r="K26" s="17">
        <v>29</v>
      </c>
      <c r="L26" s="36">
        <f>IFERROR(K26/$AD26,0)</f>
        <v>0.43939393939393939</v>
      </c>
      <c r="M26" s="17">
        <v>191</v>
      </c>
      <c r="N26" s="36">
        <f>IFERROR(M26/$AC26,0)</f>
        <v>0.35902255639097747</v>
      </c>
      <c r="O26" s="17">
        <v>18</v>
      </c>
      <c r="P26" s="36">
        <f>IFERROR(O26/$AD26,0)</f>
        <v>0.27272727272727271</v>
      </c>
      <c r="Q26" s="17">
        <v>114</v>
      </c>
      <c r="R26" s="36">
        <f>IFERROR(Q26/$AC26,0)</f>
        <v>0.21428571428571427</v>
      </c>
      <c r="S26" s="17">
        <v>9</v>
      </c>
      <c r="T26" s="36">
        <f>IFERROR(S26/$AD26,0)</f>
        <v>0.13636363636363635</v>
      </c>
      <c r="U26" s="17">
        <v>31</v>
      </c>
      <c r="V26" s="36">
        <f>IFERROR(U26/$AC26,0)</f>
        <v>5.827067669172932E-2</v>
      </c>
      <c r="W26" s="17">
        <v>3</v>
      </c>
      <c r="X26" s="36">
        <f>IFERROR(W26/$AD26,0)</f>
        <v>4.5454545454545456E-2</v>
      </c>
      <c r="Y26" s="17">
        <v>23</v>
      </c>
      <c r="Z26" s="36">
        <f>IFERROR(Y26/$AC26,0)</f>
        <v>4.3233082706766915E-2</v>
      </c>
      <c r="AA26" s="17">
        <v>1</v>
      </c>
      <c r="AB26" s="36">
        <f>IFERROR(AA26/$AD26,0)</f>
        <v>1.5151515151515152E-2</v>
      </c>
      <c r="AC26" s="17">
        <v>532</v>
      </c>
      <c r="AD26" s="17">
        <v>66</v>
      </c>
    </row>
    <row r="27" spans="1:30" ht="15.75" customHeight="1" x14ac:dyDescent="0.25">
      <c r="A27" s="35">
        <v>2024</v>
      </c>
      <c r="B27" s="35">
        <v>170360</v>
      </c>
      <c r="C27" s="33" t="str">
        <f>VLOOKUP(B27,procv!$A$2:$D$142,4,FALSE)</f>
        <v>Cerrado Tocantins Araguaia</v>
      </c>
      <c r="D27" s="33" t="s">
        <v>30</v>
      </c>
      <c r="E27" s="17">
        <v>14</v>
      </c>
      <c r="F27" s="36">
        <f>IFERROR(E27/$AC27,0)</f>
        <v>1.9662921348314606E-2</v>
      </c>
      <c r="G27" s="17">
        <v>2</v>
      </c>
      <c r="H27" s="36">
        <f>IFERROR(G27/$AD27,0)</f>
        <v>3.2258064516129031E-2</v>
      </c>
      <c r="I27" s="17">
        <v>190</v>
      </c>
      <c r="J27" s="36">
        <f>IFERROR(I27/$AC27,0)</f>
        <v>0.26685393258426965</v>
      </c>
      <c r="K27" s="17">
        <v>19</v>
      </c>
      <c r="L27" s="36">
        <f>IFERROR(K27/$AD27,0)</f>
        <v>0.30645161290322581</v>
      </c>
      <c r="M27" s="17">
        <v>253</v>
      </c>
      <c r="N27" s="36">
        <f>IFERROR(M27/$AC27,0)</f>
        <v>0.3553370786516854</v>
      </c>
      <c r="O27" s="17">
        <v>24</v>
      </c>
      <c r="P27" s="36">
        <f>IFERROR(O27/$AD27,0)</f>
        <v>0.38709677419354838</v>
      </c>
      <c r="Q27" s="17">
        <v>170</v>
      </c>
      <c r="R27" s="36">
        <f>IFERROR(Q27/$AC27,0)</f>
        <v>0.23876404494382023</v>
      </c>
      <c r="S27" s="17">
        <v>14</v>
      </c>
      <c r="T27" s="36">
        <f>IFERROR(S27/$AD27,0)</f>
        <v>0.22580645161290322</v>
      </c>
      <c r="U27" s="17">
        <v>55</v>
      </c>
      <c r="V27" s="36">
        <f>IFERROR(U27/$AC27,0)</f>
        <v>7.7247191011235949E-2</v>
      </c>
      <c r="W27" s="17">
        <v>1</v>
      </c>
      <c r="X27" s="36">
        <f>IFERROR(W27/$AD27,0)</f>
        <v>1.6129032258064516E-2</v>
      </c>
      <c r="Y27" s="17">
        <v>30</v>
      </c>
      <c r="Z27" s="36">
        <f>IFERROR(Y27/$AC27,0)</f>
        <v>4.2134831460674156E-2</v>
      </c>
      <c r="AA27" s="17">
        <v>2</v>
      </c>
      <c r="AB27" s="36">
        <f>IFERROR(AA27/$AD27,0)</f>
        <v>3.2258064516129031E-2</v>
      </c>
      <c r="AC27" s="17">
        <v>712</v>
      </c>
      <c r="AD27" s="17">
        <v>62</v>
      </c>
    </row>
    <row r="28" spans="1:30" ht="15.75" customHeight="1" x14ac:dyDescent="0.25">
      <c r="A28" s="35">
        <v>2024</v>
      </c>
      <c r="B28" s="35">
        <v>170370</v>
      </c>
      <c r="C28" s="33" t="str">
        <f>VLOOKUP(B28,procv!$A$2:$D$142,4,FALSE)</f>
        <v>Amor Perfeito</v>
      </c>
      <c r="D28" s="33" t="s">
        <v>31</v>
      </c>
      <c r="E28" s="17">
        <v>19</v>
      </c>
      <c r="F28" s="36">
        <f>IFERROR(E28/$AC28,0)</f>
        <v>2.3485784919653894E-2</v>
      </c>
      <c r="G28" s="17">
        <v>3</v>
      </c>
      <c r="H28" s="36">
        <f>IFERROR(G28/$AD28,0)</f>
        <v>1.9736842105263157E-2</v>
      </c>
      <c r="I28" s="17">
        <v>261</v>
      </c>
      <c r="J28" s="36">
        <f>IFERROR(I28/$AC28,0)</f>
        <v>0.32262051915945611</v>
      </c>
      <c r="K28" s="17">
        <v>43</v>
      </c>
      <c r="L28" s="36">
        <f>IFERROR(K28/$AD28,0)</f>
        <v>0.28289473684210525</v>
      </c>
      <c r="M28" s="17">
        <v>255</v>
      </c>
      <c r="N28" s="36">
        <f>IFERROR(M28/$AC28,0)</f>
        <v>0.31520395550061803</v>
      </c>
      <c r="O28" s="17">
        <v>49</v>
      </c>
      <c r="P28" s="36">
        <f>IFERROR(O28/$AD28,0)</f>
        <v>0.32236842105263158</v>
      </c>
      <c r="Q28" s="17">
        <v>170</v>
      </c>
      <c r="R28" s="36">
        <f>IFERROR(Q28/$AC28,0)</f>
        <v>0.21013597033374537</v>
      </c>
      <c r="S28" s="17">
        <v>31</v>
      </c>
      <c r="T28" s="36">
        <f>IFERROR(S28/$AD28,0)</f>
        <v>0.20394736842105263</v>
      </c>
      <c r="U28" s="17">
        <v>72</v>
      </c>
      <c r="V28" s="36">
        <f>IFERROR(U28/$AC28,0)</f>
        <v>8.8998763906056863E-2</v>
      </c>
      <c r="W28" s="17">
        <v>15</v>
      </c>
      <c r="X28" s="36">
        <f>IFERROR(W28/$AD28,0)</f>
        <v>9.8684210526315791E-2</v>
      </c>
      <c r="Y28" s="17">
        <v>32</v>
      </c>
      <c r="Z28" s="36">
        <f>IFERROR(Y28/$AC28,0)</f>
        <v>3.9555006180469712E-2</v>
      </c>
      <c r="AA28" s="17">
        <v>11</v>
      </c>
      <c r="AB28" s="36">
        <f>IFERROR(AA28/$AD28,0)</f>
        <v>7.2368421052631582E-2</v>
      </c>
      <c r="AC28" s="17">
        <v>809</v>
      </c>
      <c r="AD28" s="17">
        <v>152</v>
      </c>
    </row>
    <row r="29" spans="1:30" ht="15.75" customHeight="1" x14ac:dyDescent="0.25">
      <c r="A29" s="35">
        <v>2024</v>
      </c>
      <c r="B29" s="35">
        <v>170380</v>
      </c>
      <c r="C29" s="33" t="str">
        <f>VLOOKUP(B29,procv!$A$2:$D$142,4,FALSE)</f>
        <v>Bico do Papagaio</v>
      </c>
      <c r="D29" s="33" t="s">
        <v>32</v>
      </c>
      <c r="E29" s="17">
        <v>63</v>
      </c>
      <c r="F29" s="36">
        <f>IFERROR(E29/$AC29,0)</f>
        <v>2.1414004078857921E-2</v>
      </c>
      <c r="G29" s="17">
        <v>4</v>
      </c>
      <c r="H29" s="36">
        <f>IFERROR(G29/$AD29,0)</f>
        <v>2.4691358024691357E-2</v>
      </c>
      <c r="I29" s="16">
        <v>1022</v>
      </c>
      <c r="J29" s="36">
        <f>IFERROR(I29/$AC29,0)</f>
        <v>0.34738273283480625</v>
      </c>
      <c r="K29" s="17">
        <v>60</v>
      </c>
      <c r="L29" s="36">
        <f>IFERROR(K29/$AD29,0)</f>
        <v>0.37037037037037035</v>
      </c>
      <c r="M29" s="16">
        <v>1100</v>
      </c>
      <c r="N29" s="36">
        <f>IFERROR(M29/$AC29,0)</f>
        <v>0.37389530931339227</v>
      </c>
      <c r="O29" s="17">
        <v>56</v>
      </c>
      <c r="P29" s="36">
        <f>IFERROR(O29/$AD29,0)</f>
        <v>0.34567901234567899</v>
      </c>
      <c r="Q29" s="17">
        <v>535</v>
      </c>
      <c r="R29" s="36">
        <f>IFERROR(Q29/$AC29,0)</f>
        <v>0.18184908225696805</v>
      </c>
      <c r="S29" s="17">
        <v>26</v>
      </c>
      <c r="T29" s="36">
        <f>IFERROR(S29/$AD29,0)</f>
        <v>0.16049382716049382</v>
      </c>
      <c r="U29" s="17">
        <v>148</v>
      </c>
      <c r="V29" s="36">
        <f>IFERROR(U29/$AC29,0)</f>
        <v>5.0305914343983682E-2</v>
      </c>
      <c r="W29" s="17">
        <v>9</v>
      </c>
      <c r="X29" s="36">
        <f>IFERROR(W29/$AD29,0)</f>
        <v>5.5555555555555552E-2</v>
      </c>
      <c r="Y29" s="17">
        <v>74</v>
      </c>
      <c r="Z29" s="36">
        <f>IFERROR(Y29/$AC29,0)</f>
        <v>2.5152957171991841E-2</v>
      </c>
      <c r="AA29" s="17">
        <v>7</v>
      </c>
      <c r="AB29" s="36">
        <f>IFERROR(AA29/$AD29,0)</f>
        <v>4.3209876543209874E-2</v>
      </c>
      <c r="AC29" s="16">
        <v>2942</v>
      </c>
      <c r="AD29" s="17">
        <v>162</v>
      </c>
    </row>
    <row r="30" spans="1:30" ht="15.75" customHeight="1" x14ac:dyDescent="0.25">
      <c r="A30" s="35">
        <v>2024</v>
      </c>
      <c r="B30" s="35">
        <v>170382</v>
      </c>
      <c r="C30" s="33" t="str">
        <f>VLOOKUP(B30,procv!$A$2:$D$142,4,FALSE)</f>
        <v>Bico do Papagaio</v>
      </c>
      <c r="D30" s="33" t="s">
        <v>33</v>
      </c>
      <c r="E30" s="17">
        <v>15</v>
      </c>
      <c r="F30" s="36">
        <f>IFERROR(E30/$AC30,0)</f>
        <v>2.4469820554649267E-2</v>
      </c>
      <c r="G30" s="17">
        <v>2</v>
      </c>
      <c r="H30" s="36">
        <f>IFERROR(G30/$AD30,0)</f>
        <v>3.3898305084745763E-2</v>
      </c>
      <c r="I30" s="17">
        <v>211</v>
      </c>
      <c r="J30" s="36">
        <f>IFERROR(I30/$AC30,0)</f>
        <v>0.3442088091353997</v>
      </c>
      <c r="K30" s="17">
        <v>28</v>
      </c>
      <c r="L30" s="36">
        <f>IFERROR(K30/$AD30,0)</f>
        <v>0.47457627118644069</v>
      </c>
      <c r="M30" s="17">
        <v>223</v>
      </c>
      <c r="N30" s="36">
        <f>IFERROR(M30/$AC30,0)</f>
        <v>0.36378466557911909</v>
      </c>
      <c r="O30" s="17">
        <v>15</v>
      </c>
      <c r="P30" s="36">
        <f>IFERROR(O30/$AD30,0)</f>
        <v>0.25423728813559321</v>
      </c>
      <c r="Q30" s="17">
        <v>115</v>
      </c>
      <c r="R30" s="36">
        <f>IFERROR(Q30/$AC30,0)</f>
        <v>0.18760195758564438</v>
      </c>
      <c r="S30" s="17">
        <v>7</v>
      </c>
      <c r="T30" s="36">
        <f>IFERROR(S30/$AD30,0)</f>
        <v>0.11864406779661017</v>
      </c>
      <c r="U30" s="17">
        <v>37</v>
      </c>
      <c r="V30" s="36">
        <f>IFERROR(U30/$AC30,0)</f>
        <v>6.0358890701468187E-2</v>
      </c>
      <c r="W30" s="17">
        <v>3</v>
      </c>
      <c r="X30" s="36">
        <f>IFERROR(W30/$AD30,0)</f>
        <v>5.0847457627118647E-2</v>
      </c>
      <c r="Y30" s="17">
        <v>12</v>
      </c>
      <c r="Z30" s="36">
        <f>IFERROR(Y30/$AC30,0)</f>
        <v>1.9575856443719411E-2</v>
      </c>
      <c r="AA30" s="17">
        <v>4</v>
      </c>
      <c r="AB30" s="36">
        <f>IFERROR(AA30/$AD30,0)</f>
        <v>6.7796610169491525E-2</v>
      </c>
      <c r="AC30" s="17">
        <v>613</v>
      </c>
      <c r="AD30" s="17">
        <v>59</v>
      </c>
    </row>
    <row r="31" spans="1:30" ht="15.75" customHeight="1" x14ac:dyDescent="0.25">
      <c r="A31" s="35">
        <v>2024</v>
      </c>
      <c r="B31" s="35">
        <v>170384</v>
      </c>
      <c r="C31" s="33" t="str">
        <f>VLOOKUP(B31,procv!$A$2:$D$142,4,FALSE)</f>
        <v>Médio Norte Araguaia</v>
      </c>
      <c r="D31" s="33" t="s">
        <v>34</v>
      </c>
      <c r="E31" s="17">
        <v>46</v>
      </c>
      <c r="F31" s="36">
        <f>IFERROR(E31/$AC31,0)</f>
        <v>1.8953440461475072E-2</v>
      </c>
      <c r="G31" s="17">
        <v>6</v>
      </c>
      <c r="H31" s="36">
        <f>IFERROR(G31/$AD31,0)</f>
        <v>1.6085790884718499E-2</v>
      </c>
      <c r="I31" s="17">
        <v>886</v>
      </c>
      <c r="J31" s="36">
        <f>IFERROR(I31/$AC31,0)</f>
        <v>0.3650597445405851</v>
      </c>
      <c r="K31" s="17">
        <v>139</v>
      </c>
      <c r="L31" s="36">
        <f>IFERROR(K31/$AD31,0)</f>
        <v>0.37265415549597858</v>
      </c>
      <c r="M31" s="17">
        <v>879</v>
      </c>
      <c r="N31" s="36">
        <f>IFERROR(M31/$AC31,0)</f>
        <v>0.36217552533992581</v>
      </c>
      <c r="O31" s="17">
        <v>142</v>
      </c>
      <c r="P31" s="36">
        <f>IFERROR(O31/$AD31,0)</f>
        <v>0.38069705093833778</v>
      </c>
      <c r="Q31" s="17">
        <v>401</v>
      </c>
      <c r="R31" s="36">
        <f>IFERROR(Q31/$AC31,0)</f>
        <v>0.16522455706633704</v>
      </c>
      <c r="S31" s="17">
        <v>57</v>
      </c>
      <c r="T31" s="36">
        <f>IFERROR(S31/$AD31,0)</f>
        <v>0.15281501340482573</v>
      </c>
      <c r="U31" s="17">
        <v>147</v>
      </c>
      <c r="V31" s="36">
        <f>IFERROR(U31/$AC31,0)</f>
        <v>6.0568603213844253E-2</v>
      </c>
      <c r="W31" s="17">
        <v>24</v>
      </c>
      <c r="X31" s="36">
        <f>IFERROR(W31/$AD31,0)</f>
        <v>6.4343163538873996E-2</v>
      </c>
      <c r="Y31" s="17">
        <v>68</v>
      </c>
      <c r="Z31" s="36">
        <f>IFERROR(Y31/$AC31,0)</f>
        <v>2.8018129377832716E-2</v>
      </c>
      <c r="AA31" s="17">
        <v>5</v>
      </c>
      <c r="AB31" s="36">
        <f>IFERROR(AA31/$AD31,0)</f>
        <v>1.3404825737265416E-2</v>
      </c>
      <c r="AC31" s="16">
        <v>2427</v>
      </c>
      <c r="AD31" s="17">
        <v>373</v>
      </c>
    </row>
    <row r="32" spans="1:30" ht="15.75" customHeight="1" x14ac:dyDescent="0.25">
      <c r="A32" s="35">
        <v>2024</v>
      </c>
      <c r="B32" s="35">
        <v>170386</v>
      </c>
      <c r="C32" s="33" t="str">
        <f>VLOOKUP(B32,procv!$A$2:$D$142,4,FALSE)</f>
        <v>Ilha do Bananal</v>
      </c>
      <c r="D32" s="33" t="s">
        <v>35</v>
      </c>
      <c r="E32" s="17">
        <v>28</v>
      </c>
      <c r="F32" s="36">
        <f>IFERROR(E32/$AC32,0)</f>
        <v>2.4117140396210164E-2</v>
      </c>
      <c r="G32" s="17">
        <v>1</v>
      </c>
      <c r="H32" s="36">
        <f>IFERROR(G32/$AD32,0)</f>
        <v>1.1904761904761904E-2</v>
      </c>
      <c r="I32" s="17">
        <v>323</v>
      </c>
      <c r="J32" s="36">
        <f>IFERROR(I32/$AC32,0)</f>
        <v>0.27820844099913866</v>
      </c>
      <c r="K32" s="17">
        <v>36</v>
      </c>
      <c r="L32" s="36">
        <f>IFERROR(K32/$AD32,0)</f>
        <v>0.42857142857142855</v>
      </c>
      <c r="M32" s="17">
        <v>402</v>
      </c>
      <c r="N32" s="36">
        <f>IFERROR(M32/$AC32,0)</f>
        <v>0.34625322997416019</v>
      </c>
      <c r="O32" s="17">
        <v>28</v>
      </c>
      <c r="P32" s="36">
        <f>IFERROR(O32/$AD32,0)</f>
        <v>0.33333333333333331</v>
      </c>
      <c r="Q32" s="17">
        <v>242</v>
      </c>
      <c r="R32" s="36">
        <f>IFERROR(Q32/$AC32,0)</f>
        <v>0.20844099913867356</v>
      </c>
      <c r="S32" s="17">
        <v>13</v>
      </c>
      <c r="T32" s="36">
        <f>IFERROR(S32/$AD32,0)</f>
        <v>0.15476190476190477</v>
      </c>
      <c r="U32" s="17">
        <v>104</v>
      </c>
      <c r="V32" s="36">
        <f>IFERROR(U32/$AC32,0)</f>
        <v>8.9577950043066318E-2</v>
      </c>
      <c r="W32" s="17">
        <v>3</v>
      </c>
      <c r="X32" s="36">
        <f>IFERROR(W32/$AD32,0)</f>
        <v>3.5714285714285712E-2</v>
      </c>
      <c r="Y32" s="17">
        <v>62</v>
      </c>
      <c r="Z32" s="36">
        <f>IFERROR(Y32/$AC32,0)</f>
        <v>5.3402239448751075E-2</v>
      </c>
      <c r="AA32" s="17">
        <v>3</v>
      </c>
      <c r="AB32" s="36">
        <f>IFERROR(AA32/$AD32,0)</f>
        <v>3.5714285714285712E-2</v>
      </c>
      <c r="AC32" s="16">
        <v>1161</v>
      </c>
      <c r="AD32" s="17">
        <v>84</v>
      </c>
    </row>
    <row r="33" spans="1:30" ht="15.75" customHeight="1" x14ac:dyDescent="0.25">
      <c r="A33" s="35">
        <v>2024</v>
      </c>
      <c r="B33" s="35">
        <v>170388</v>
      </c>
      <c r="C33" s="33" t="str">
        <f>VLOOKUP(B33,procv!$A$2:$D$142,4,FALSE)</f>
        <v>Médio Norte Araguaia</v>
      </c>
      <c r="D33" s="33" t="s">
        <v>36</v>
      </c>
      <c r="E33" s="17">
        <v>28</v>
      </c>
      <c r="F33" s="36">
        <f>IFERROR(E33/$AC33,0)</f>
        <v>2.9106029106029108E-2</v>
      </c>
      <c r="G33" s="17">
        <v>3</v>
      </c>
      <c r="H33" s="36">
        <f>IFERROR(G33/$AD33,0)</f>
        <v>2.4193548387096774E-2</v>
      </c>
      <c r="I33" s="17">
        <v>303</v>
      </c>
      <c r="J33" s="36">
        <f>IFERROR(I33/$AC33,0)</f>
        <v>0.31496881496881496</v>
      </c>
      <c r="K33" s="17">
        <v>39</v>
      </c>
      <c r="L33" s="36">
        <f>IFERROR(K33/$AD33,0)</f>
        <v>0.31451612903225806</v>
      </c>
      <c r="M33" s="17">
        <v>348</v>
      </c>
      <c r="N33" s="36">
        <f>IFERROR(M33/$AC33,0)</f>
        <v>0.36174636174636177</v>
      </c>
      <c r="O33" s="17">
        <v>39</v>
      </c>
      <c r="P33" s="36">
        <f>IFERROR(O33/$AD33,0)</f>
        <v>0.31451612903225806</v>
      </c>
      <c r="Q33" s="17">
        <v>181</v>
      </c>
      <c r="R33" s="36">
        <f>IFERROR(Q33/$AC33,0)</f>
        <v>0.18814968814968816</v>
      </c>
      <c r="S33" s="17">
        <v>25</v>
      </c>
      <c r="T33" s="36">
        <f>IFERROR(S33/$AD33,0)</f>
        <v>0.20161290322580644</v>
      </c>
      <c r="U33" s="17">
        <v>63</v>
      </c>
      <c r="V33" s="36">
        <f>IFERROR(U33/$AC33,0)</f>
        <v>6.5488565488565492E-2</v>
      </c>
      <c r="W33" s="17">
        <v>11</v>
      </c>
      <c r="X33" s="36">
        <f>IFERROR(W33/$AD33,0)</f>
        <v>8.8709677419354843E-2</v>
      </c>
      <c r="Y33" s="17">
        <v>39</v>
      </c>
      <c r="Z33" s="36">
        <f>IFERROR(Y33/$AC33,0)</f>
        <v>4.0540540540540543E-2</v>
      </c>
      <c r="AA33" s="17">
        <v>7</v>
      </c>
      <c r="AB33" s="36">
        <f>IFERROR(AA33/$AD33,0)</f>
        <v>5.6451612903225805E-2</v>
      </c>
      <c r="AC33" s="17">
        <v>962</v>
      </c>
      <c r="AD33" s="17">
        <v>124</v>
      </c>
    </row>
    <row r="34" spans="1:30" ht="15.75" customHeight="1" x14ac:dyDescent="0.25">
      <c r="A34" s="35">
        <v>2024</v>
      </c>
      <c r="B34" s="35">
        <v>170389</v>
      </c>
      <c r="C34" s="33" t="str">
        <f>VLOOKUP(B34,procv!$A$2:$D$142,4,FALSE)</f>
        <v>Bico do Papagaio</v>
      </c>
      <c r="D34" s="33" t="s">
        <v>37</v>
      </c>
      <c r="E34" s="17">
        <v>18</v>
      </c>
      <c r="F34" s="36">
        <f>IFERROR(E34/$AC34,0)</f>
        <v>1.6245487364620937E-2</v>
      </c>
      <c r="G34" s="17">
        <v>5</v>
      </c>
      <c r="H34" s="36">
        <f>IFERROR(G34/$AD34,0)</f>
        <v>2.9585798816568046E-2</v>
      </c>
      <c r="I34" s="17">
        <v>327</v>
      </c>
      <c r="J34" s="36">
        <f>IFERROR(I34/$AC34,0)</f>
        <v>0.29512635379061369</v>
      </c>
      <c r="K34" s="17">
        <v>42</v>
      </c>
      <c r="L34" s="36">
        <f>IFERROR(K34/$AD34,0)</f>
        <v>0.24852071005917159</v>
      </c>
      <c r="M34" s="17">
        <v>404</v>
      </c>
      <c r="N34" s="36">
        <f>IFERROR(M34/$AC34,0)</f>
        <v>0.36462093862815886</v>
      </c>
      <c r="O34" s="17">
        <v>62</v>
      </c>
      <c r="P34" s="36">
        <f>IFERROR(O34/$AD34,0)</f>
        <v>0.36686390532544377</v>
      </c>
      <c r="Q34" s="17">
        <v>241</v>
      </c>
      <c r="R34" s="36">
        <f>IFERROR(Q34/$AC34,0)</f>
        <v>0.21750902527075813</v>
      </c>
      <c r="S34" s="17">
        <v>33</v>
      </c>
      <c r="T34" s="36">
        <f>IFERROR(S34/$AD34,0)</f>
        <v>0.19526627218934911</v>
      </c>
      <c r="U34" s="17">
        <v>76</v>
      </c>
      <c r="V34" s="36">
        <f>IFERROR(U34/$AC34,0)</f>
        <v>6.8592057761732855E-2</v>
      </c>
      <c r="W34" s="17">
        <v>22</v>
      </c>
      <c r="X34" s="36">
        <f>IFERROR(W34/$AD34,0)</f>
        <v>0.13017751479289941</v>
      </c>
      <c r="Y34" s="17">
        <v>42</v>
      </c>
      <c r="Z34" s="36">
        <f>IFERROR(Y34/$AC34,0)</f>
        <v>3.7906137184115521E-2</v>
      </c>
      <c r="AA34" s="17">
        <v>5</v>
      </c>
      <c r="AB34" s="36">
        <f>IFERROR(AA34/$AD34,0)</f>
        <v>2.9585798816568046E-2</v>
      </c>
      <c r="AC34" s="16">
        <v>1108</v>
      </c>
      <c r="AD34" s="17">
        <v>169</v>
      </c>
    </row>
    <row r="35" spans="1:30" ht="15.75" customHeight="1" x14ac:dyDescent="0.25">
      <c r="A35" s="35">
        <v>2024</v>
      </c>
      <c r="B35" s="35">
        <v>170390</v>
      </c>
      <c r="C35" s="33" t="str">
        <f>VLOOKUP(B35,procv!$A$2:$D$142,4,FALSE)</f>
        <v>Cantão</v>
      </c>
      <c r="D35" s="33" t="s">
        <v>38</v>
      </c>
      <c r="E35" s="17">
        <v>40</v>
      </c>
      <c r="F35" s="36">
        <f>IFERROR(E35/$AC35,0)</f>
        <v>2.6648900732844771E-2</v>
      </c>
      <c r="G35" s="17">
        <v>5</v>
      </c>
      <c r="H35" s="36">
        <f>IFERROR(G35/$AD35,0)</f>
        <v>4.065040650406504E-2</v>
      </c>
      <c r="I35" s="17">
        <v>484</v>
      </c>
      <c r="J35" s="36">
        <f>IFERROR(I35/$AC35,0)</f>
        <v>0.3224516988674217</v>
      </c>
      <c r="K35" s="17">
        <v>40</v>
      </c>
      <c r="L35" s="36">
        <f>IFERROR(K35/$AD35,0)</f>
        <v>0.32520325203252032</v>
      </c>
      <c r="M35" s="17">
        <v>492</v>
      </c>
      <c r="N35" s="36">
        <f>IFERROR(M35/$AC35,0)</f>
        <v>0.32778147901399068</v>
      </c>
      <c r="O35" s="17">
        <v>34</v>
      </c>
      <c r="P35" s="36">
        <f>IFERROR(O35/$AD35,0)</f>
        <v>0.27642276422764228</v>
      </c>
      <c r="Q35" s="17">
        <v>310</v>
      </c>
      <c r="R35" s="36">
        <f>IFERROR(Q35/$AC35,0)</f>
        <v>0.20652898067954698</v>
      </c>
      <c r="S35" s="17">
        <v>21</v>
      </c>
      <c r="T35" s="36">
        <f>IFERROR(S35/$AD35,0)</f>
        <v>0.17073170731707318</v>
      </c>
      <c r="U35" s="17">
        <v>126</v>
      </c>
      <c r="V35" s="36">
        <f>IFERROR(U35/$AC35,0)</f>
        <v>8.394403730846102E-2</v>
      </c>
      <c r="W35" s="17">
        <v>15</v>
      </c>
      <c r="X35" s="36">
        <f>IFERROR(W35/$AD35,0)</f>
        <v>0.12195121951219512</v>
      </c>
      <c r="Y35" s="17">
        <v>49</v>
      </c>
      <c r="Z35" s="36">
        <f>IFERROR(Y35/$AC35,0)</f>
        <v>3.2644903397734841E-2</v>
      </c>
      <c r="AA35" s="17">
        <v>8</v>
      </c>
      <c r="AB35" s="36">
        <f>IFERROR(AA35/$AD35,0)</f>
        <v>6.5040650406504072E-2</v>
      </c>
      <c r="AC35" s="16">
        <v>1501</v>
      </c>
      <c r="AD35" s="17">
        <v>123</v>
      </c>
    </row>
    <row r="36" spans="1:30" ht="15.75" customHeight="1" x14ac:dyDescent="0.25">
      <c r="A36" s="35">
        <v>2024</v>
      </c>
      <c r="B36" s="35">
        <v>170410</v>
      </c>
      <c r="C36" s="33" t="str">
        <f>VLOOKUP(B36,procv!$A$2:$D$142,4,FALSE)</f>
        <v>Cerrado Tocantins Araguaia</v>
      </c>
      <c r="D36" s="33" t="s">
        <v>39</v>
      </c>
      <c r="E36" s="17">
        <v>9</v>
      </c>
      <c r="F36" s="36">
        <f>IFERROR(E36/$AC36,0)</f>
        <v>1.5597920277296361E-2</v>
      </c>
      <c r="G36" s="17">
        <v>4</v>
      </c>
      <c r="H36" s="36">
        <f>IFERROR(G36/$AD36,0)</f>
        <v>6.25E-2</v>
      </c>
      <c r="I36" s="17">
        <v>169</v>
      </c>
      <c r="J36" s="36">
        <f>IFERROR(I36/$AC36,0)</f>
        <v>0.29289428076256502</v>
      </c>
      <c r="K36" s="17">
        <v>17</v>
      </c>
      <c r="L36" s="36">
        <f>IFERROR(K36/$AD36,0)</f>
        <v>0.265625</v>
      </c>
      <c r="M36" s="17">
        <v>236</v>
      </c>
      <c r="N36" s="36">
        <f>IFERROR(M36/$AC36,0)</f>
        <v>0.40901213171577122</v>
      </c>
      <c r="O36" s="17">
        <v>29</v>
      </c>
      <c r="P36" s="36">
        <f>IFERROR(O36/$AD36,0)</f>
        <v>0.453125</v>
      </c>
      <c r="Q36" s="17">
        <v>107</v>
      </c>
      <c r="R36" s="36">
        <f>IFERROR(Q36/$AC36,0)</f>
        <v>0.18544194107452339</v>
      </c>
      <c r="S36" s="17">
        <v>11</v>
      </c>
      <c r="T36" s="36">
        <f>IFERROR(S36/$AD36,0)</f>
        <v>0.171875</v>
      </c>
      <c r="U36" s="17">
        <v>43</v>
      </c>
      <c r="V36" s="36">
        <f>IFERROR(U36/$AC36,0)</f>
        <v>7.452339688041594E-2</v>
      </c>
      <c r="W36" s="17">
        <v>1</v>
      </c>
      <c r="X36" s="36">
        <f>IFERROR(W36/$AD36,0)</f>
        <v>1.5625E-2</v>
      </c>
      <c r="Y36" s="17">
        <v>13</v>
      </c>
      <c r="Z36" s="36">
        <f>IFERROR(Y36/$AC36,0)</f>
        <v>2.2530329289428077E-2</v>
      </c>
      <c r="AA36" s="17">
        <v>2</v>
      </c>
      <c r="AB36" s="36">
        <f>IFERROR(AA36/$AD36,0)</f>
        <v>3.125E-2</v>
      </c>
      <c r="AC36" s="17">
        <v>577</v>
      </c>
      <c r="AD36" s="17">
        <v>64</v>
      </c>
    </row>
    <row r="37" spans="1:30" ht="15.75" customHeight="1" x14ac:dyDescent="0.25">
      <c r="A37" s="35">
        <v>2024</v>
      </c>
      <c r="B37" s="35">
        <v>170510</v>
      </c>
      <c r="C37" s="33" t="str">
        <f>VLOOKUP(B37,procv!$A$2:$D$142,4,FALSE)</f>
        <v>Amor Perfeito</v>
      </c>
      <c r="D37" s="33" t="s">
        <v>40</v>
      </c>
      <c r="E37" s="17">
        <v>21</v>
      </c>
      <c r="F37" s="36">
        <f>IFERROR(E37/$AC37,0)</f>
        <v>2.0487804878048781E-2</v>
      </c>
      <c r="G37" s="17">
        <v>4</v>
      </c>
      <c r="H37" s="36">
        <f>IFERROR(G37/$AD37,0)</f>
        <v>7.2727272727272724E-2</v>
      </c>
      <c r="I37" s="17">
        <v>330</v>
      </c>
      <c r="J37" s="36">
        <f>IFERROR(I37/$AC37,0)</f>
        <v>0.32195121951219513</v>
      </c>
      <c r="K37" s="17">
        <v>24</v>
      </c>
      <c r="L37" s="36">
        <f>IFERROR(K37/$AD37,0)</f>
        <v>0.43636363636363634</v>
      </c>
      <c r="M37" s="17">
        <v>373</v>
      </c>
      <c r="N37" s="36">
        <f>IFERROR(M37/$AC37,0)</f>
        <v>0.36390243902439023</v>
      </c>
      <c r="O37" s="17">
        <v>10</v>
      </c>
      <c r="P37" s="36">
        <f>IFERROR(O37/$AD37,0)</f>
        <v>0.18181818181818182</v>
      </c>
      <c r="Q37" s="17">
        <v>183</v>
      </c>
      <c r="R37" s="36">
        <f>IFERROR(Q37/$AC37,0)</f>
        <v>0.17853658536585365</v>
      </c>
      <c r="S37" s="17">
        <v>7</v>
      </c>
      <c r="T37" s="36">
        <f>IFERROR(S37/$AD37,0)</f>
        <v>0.12727272727272726</v>
      </c>
      <c r="U37" s="17">
        <v>77</v>
      </c>
      <c r="V37" s="36">
        <f>IFERROR(U37/$AC37,0)</f>
        <v>7.5121951219512192E-2</v>
      </c>
      <c r="W37" s="17">
        <v>6</v>
      </c>
      <c r="X37" s="36">
        <f>IFERROR(W37/$AD37,0)</f>
        <v>0.10909090909090909</v>
      </c>
      <c r="Y37" s="17">
        <v>41</v>
      </c>
      <c r="Z37" s="36">
        <f>IFERROR(Y37/$AC37,0)</f>
        <v>0.04</v>
      </c>
      <c r="AA37" s="17">
        <v>4</v>
      </c>
      <c r="AB37" s="36">
        <f>IFERROR(AA37/$AD37,0)</f>
        <v>7.2727272727272724E-2</v>
      </c>
      <c r="AC37" s="16">
        <v>1025</v>
      </c>
      <c r="AD37" s="17">
        <v>55</v>
      </c>
    </row>
    <row r="38" spans="1:30" ht="15.75" customHeight="1" x14ac:dyDescent="0.25">
      <c r="A38" s="35">
        <v>2024</v>
      </c>
      <c r="B38" s="35">
        <v>170460</v>
      </c>
      <c r="C38" s="33" t="str">
        <f>VLOOKUP(B38,procv!$A$2:$D$142,4,FALSE)</f>
        <v>Cantão</v>
      </c>
      <c r="D38" s="33" t="s">
        <v>41</v>
      </c>
      <c r="E38" s="17">
        <v>16</v>
      </c>
      <c r="F38" s="36">
        <f>IFERROR(E38/$AC38,0)</f>
        <v>2.5276461295418641E-2</v>
      </c>
      <c r="G38" s="17">
        <v>1</v>
      </c>
      <c r="H38" s="36">
        <f>IFERROR(G38/$AD38,0)</f>
        <v>2.7027027027027029E-2</v>
      </c>
      <c r="I38" s="17">
        <v>207</v>
      </c>
      <c r="J38" s="36">
        <f>IFERROR(I38/$AC38,0)</f>
        <v>0.32701421800947866</v>
      </c>
      <c r="K38" s="17">
        <v>10</v>
      </c>
      <c r="L38" s="36">
        <f>IFERROR(K38/$AD38,0)</f>
        <v>0.27027027027027029</v>
      </c>
      <c r="M38" s="17">
        <v>208</v>
      </c>
      <c r="N38" s="36">
        <f>IFERROR(M38/$AC38,0)</f>
        <v>0.32859399684044233</v>
      </c>
      <c r="O38" s="17">
        <v>16</v>
      </c>
      <c r="P38" s="36">
        <f>IFERROR(O38/$AD38,0)</f>
        <v>0.43243243243243246</v>
      </c>
      <c r="Q38" s="17">
        <v>130</v>
      </c>
      <c r="R38" s="36">
        <f>IFERROR(Q38/$AC38,0)</f>
        <v>0.20537124802527645</v>
      </c>
      <c r="S38" s="17">
        <v>5</v>
      </c>
      <c r="T38" s="36">
        <f>IFERROR(S38/$AD38,0)</f>
        <v>0.13513513513513514</v>
      </c>
      <c r="U38" s="17">
        <v>50</v>
      </c>
      <c r="V38" s="36">
        <f>IFERROR(U38/$AC38,0)</f>
        <v>7.8988941548183256E-2</v>
      </c>
      <c r="W38" s="17">
        <v>3</v>
      </c>
      <c r="X38" s="36">
        <f>IFERROR(W38/$AD38,0)</f>
        <v>8.1081081081081086E-2</v>
      </c>
      <c r="Y38" s="17">
        <v>22</v>
      </c>
      <c r="Z38" s="36">
        <f>IFERROR(Y38/$AC38,0)</f>
        <v>3.4755134281200632E-2</v>
      </c>
      <c r="AA38" s="17">
        <v>2</v>
      </c>
      <c r="AB38" s="36">
        <f>IFERROR(AA38/$AD38,0)</f>
        <v>5.4054054054054057E-2</v>
      </c>
      <c r="AC38" s="17">
        <v>633</v>
      </c>
      <c r="AD38" s="17">
        <v>37</v>
      </c>
    </row>
    <row r="39" spans="1:30" ht="15.75" customHeight="1" x14ac:dyDescent="0.25">
      <c r="A39" s="35">
        <v>2024</v>
      </c>
      <c r="B39" s="35">
        <v>170550</v>
      </c>
      <c r="C39" s="33" t="str">
        <f>VLOOKUP(B39,procv!$A$2:$D$142,4,FALSE)</f>
        <v>Cerrado Tocantins Araguaia</v>
      </c>
      <c r="D39" s="33" t="s">
        <v>42</v>
      </c>
      <c r="E39" s="17">
        <v>175</v>
      </c>
      <c r="F39" s="36">
        <f>IFERROR(E39/$AC39,0)</f>
        <v>2.7861805444992834E-2</v>
      </c>
      <c r="G39" s="17">
        <v>12</v>
      </c>
      <c r="H39" s="36">
        <f>IFERROR(G39/$AD39,0)</f>
        <v>2.1778584392014518E-2</v>
      </c>
      <c r="I39" s="16">
        <v>2083</v>
      </c>
      <c r="J39" s="36">
        <f>IFERROR(I39/$AC39,0)</f>
        <v>0.33163508995382901</v>
      </c>
      <c r="K39" s="17">
        <v>189</v>
      </c>
      <c r="L39" s="36">
        <f>IFERROR(K39/$AD39,0)</f>
        <v>0.34301270417422869</v>
      </c>
      <c r="M39" s="16">
        <v>2153</v>
      </c>
      <c r="N39" s="36">
        <f>IFERROR(M39/$AC39,0)</f>
        <v>0.34277981213182612</v>
      </c>
      <c r="O39" s="17">
        <v>183</v>
      </c>
      <c r="P39" s="36">
        <f>IFERROR(O39/$AD39,0)</f>
        <v>0.33212341197822143</v>
      </c>
      <c r="Q39" s="16">
        <v>1182</v>
      </c>
      <c r="R39" s="36">
        <f>IFERROR(Q39/$AC39,0)</f>
        <v>0.18818659449132305</v>
      </c>
      <c r="S39" s="17">
        <v>113</v>
      </c>
      <c r="T39" s="36">
        <f>IFERROR(S39/$AD39,0)</f>
        <v>0.20508166969147004</v>
      </c>
      <c r="U39" s="17">
        <v>474</v>
      </c>
      <c r="V39" s="36">
        <f>IFERROR(U39/$AC39,0)</f>
        <v>7.5465690176723457E-2</v>
      </c>
      <c r="W39" s="17">
        <v>39</v>
      </c>
      <c r="X39" s="36">
        <f>IFERROR(W39/$AD39,0)</f>
        <v>7.0780399274047182E-2</v>
      </c>
      <c r="Y39" s="17">
        <v>214</v>
      </c>
      <c r="Z39" s="36">
        <f>IFERROR(Y39/$AC39,0)</f>
        <v>3.4071007801305522E-2</v>
      </c>
      <c r="AA39" s="17">
        <v>15</v>
      </c>
      <c r="AB39" s="36">
        <f>IFERROR(AA39/$AD39,0)</f>
        <v>2.7223230490018149E-2</v>
      </c>
      <c r="AC39" s="16">
        <v>6281</v>
      </c>
      <c r="AD39" s="17">
        <v>551</v>
      </c>
    </row>
    <row r="40" spans="1:30" ht="15.75" customHeight="1" x14ac:dyDescent="0.25">
      <c r="A40" s="35">
        <v>2024</v>
      </c>
      <c r="B40" s="35">
        <v>171670</v>
      </c>
      <c r="C40" s="33" t="str">
        <f>VLOOKUP(B40,procv!$A$2:$D$142,4,FALSE)</f>
        <v>Cerrado Tocantins Araguaia</v>
      </c>
      <c r="D40" s="33" t="s">
        <v>43</v>
      </c>
      <c r="E40" s="17">
        <v>34</v>
      </c>
      <c r="F40" s="36">
        <f>IFERROR(E40/$AC40,0)</f>
        <v>2.1836865767501604E-2</v>
      </c>
      <c r="G40" s="17">
        <v>7</v>
      </c>
      <c r="H40" s="36">
        <f>IFERROR(G40/$AD40,0)</f>
        <v>3.125E-2</v>
      </c>
      <c r="I40" s="17">
        <v>504</v>
      </c>
      <c r="J40" s="36">
        <f>IFERROR(I40/$AC40,0)</f>
        <v>0.32369942196531792</v>
      </c>
      <c r="K40" s="17">
        <v>74</v>
      </c>
      <c r="L40" s="36">
        <f>IFERROR(K40/$AD40,0)</f>
        <v>0.33035714285714285</v>
      </c>
      <c r="M40" s="17">
        <v>529</v>
      </c>
      <c r="N40" s="36">
        <f>IFERROR(M40/$AC40,0)</f>
        <v>0.33975594091201028</v>
      </c>
      <c r="O40" s="17">
        <v>80</v>
      </c>
      <c r="P40" s="36">
        <f>IFERROR(O40/$AD40,0)</f>
        <v>0.35714285714285715</v>
      </c>
      <c r="Q40" s="17">
        <v>312</v>
      </c>
      <c r="R40" s="36">
        <f>IFERROR(Q40/$AC40,0)</f>
        <v>0.20038535645472061</v>
      </c>
      <c r="S40" s="17">
        <v>29</v>
      </c>
      <c r="T40" s="36">
        <f>IFERROR(S40/$AD40,0)</f>
        <v>0.12946428571428573</v>
      </c>
      <c r="U40" s="17">
        <v>118</v>
      </c>
      <c r="V40" s="36">
        <f>IFERROR(U40/$AC40,0)</f>
        <v>7.5786769428387926E-2</v>
      </c>
      <c r="W40" s="17">
        <v>22</v>
      </c>
      <c r="X40" s="36">
        <f>IFERROR(W40/$AD40,0)</f>
        <v>9.8214285714285712E-2</v>
      </c>
      <c r="Y40" s="17">
        <v>60</v>
      </c>
      <c r="Z40" s="36">
        <f>IFERROR(Y40/$AC40,0)</f>
        <v>3.8535645472061654E-2</v>
      </c>
      <c r="AA40" s="17">
        <v>12</v>
      </c>
      <c r="AB40" s="36">
        <f>IFERROR(AA40/$AD40,0)</f>
        <v>5.3571428571428568E-2</v>
      </c>
      <c r="AC40" s="16">
        <v>1557</v>
      </c>
      <c r="AD40" s="17">
        <v>224</v>
      </c>
    </row>
    <row r="41" spans="1:30" ht="15.75" customHeight="1" x14ac:dyDescent="0.25">
      <c r="A41" s="35">
        <v>2024</v>
      </c>
      <c r="B41" s="35">
        <v>170555</v>
      </c>
      <c r="C41" s="33" t="str">
        <f>VLOOKUP(B41,procv!$A$2:$D$142,4,FALSE)</f>
        <v>Sudeste</v>
      </c>
      <c r="D41" s="33" t="s">
        <v>44</v>
      </c>
      <c r="E41" s="17">
        <v>36</v>
      </c>
      <c r="F41" s="36">
        <f>IFERROR(E41/$AC41,0)</f>
        <v>1.9889502762430938E-2</v>
      </c>
      <c r="G41" s="17">
        <v>4</v>
      </c>
      <c r="H41" s="36">
        <f>IFERROR(G41/$AD41,0)</f>
        <v>1.1904761904761904E-2</v>
      </c>
      <c r="I41" s="17">
        <v>665</v>
      </c>
      <c r="J41" s="36">
        <f>IFERROR(I41/$AC41,0)</f>
        <v>0.36740331491712708</v>
      </c>
      <c r="K41" s="17">
        <v>118</v>
      </c>
      <c r="L41" s="36">
        <f>IFERROR(K41/$AD41,0)</f>
        <v>0.35119047619047616</v>
      </c>
      <c r="M41" s="17">
        <v>617</v>
      </c>
      <c r="N41" s="36">
        <f>IFERROR(M41/$AC41,0)</f>
        <v>0.34088397790055247</v>
      </c>
      <c r="O41" s="17">
        <v>111</v>
      </c>
      <c r="P41" s="36">
        <f>IFERROR(O41/$AD41,0)</f>
        <v>0.33035714285714285</v>
      </c>
      <c r="Q41" s="17">
        <v>335</v>
      </c>
      <c r="R41" s="36">
        <f>IFERROR(Q41/$AC41,0)</f>
        <v>0.18508287292817679</v>
      </c>
      <c r="S41" s="17">
        <v>66</v>
      </c>
      <c r="T41" s="36">
        <f>IFERROR(S41/$AD41,0)</f>
        <v>0.19642857142857142</v>
      </c>
      <c r="U41" s="17">
        <v>109</v>
      </c>
      <c r="V41" s="36">
        <f>IFERROR(U41/$AC41,0)</f>
        <v>6.0220994475138123E-2</v>
      </c>
      <c r="W41" s="17">
        <v>26</v>
      </c>
      <c r="X41" s="36">
        <f>IFERROR(W41/$AD41,0)</f>
        <v>7.7380952380952384E-2</v>
      </c>
      <c r="Y41" s="17">
        <v>48</v>
      </c>
      <c r="Z41" s="36">
        <f>IFERROR(Y41/$AC41,0)</f>
        <v>2.6519337016574586E-2</v>
      </c>
      <c r="AA41" s="17">
        <v>11</v>
      </c>
      <c r="AB41" s="36">
        <f>IFERROR(AA41/$AD41,0)</f>
        <v>3.273809523809524E-2</v>
      </c>
      <c r="AC41" s="16">
        <v>1810</v>
      </c>
      <c r="AD41" s="17">
        <v>336</v>
      </c>
    </row>
    <row r="42" spans="1:30" ht="15.75" customHeight="1" x14ac:dyDescent="0.25">
      <c r="A42" s="35">
        <v>2024</v>
      </c>
      <c r="B42" s="35">
        <v>170560</v>
      </c>
      <c r="C42" s="33" t="str">
        <f>VLOOKUP(B42,procv!$A$2:$D$142,4,FALSE)</f>
        <v>Sudeste</v>
      </c>
      <c r="D42" s="33" t="s">
        <v>45</v>
      </c>
      <c r="E42" s="17">
        <v>35</v>
      </c>
      <c r="F42" s="36">
        <f>IFERROR(E42/$AC42,0)</f>
        <v>2.7580772261623327E-2</v>
      </c>
      <c r="G42" s="17">
        <v>10</v>
      </c>
      <c r="H42" s="36">
        <f>IFERROR(G42/$AD42,0)</f>
        <v>5.3191489361702128E-2</v>
      </c>
      <c r="I42" s="17">
        <v>424</v>
      </c>
      <c r="J42" s="36">
        <f>IFERROR(I42/$AC42,0)</f>
        <v>0.33412135539795113</v>
      </c>
      <c r="K42" s="17">
        <v>71</v>
      </c>
      <c r="L42" s="36">
        <f>IFERROR(K42/$AD42,0)</f>
        <v>0.37765957446808512</v>
      </c>
      <c r="M42" s="17">
        <v>452</v>
      </c>
      <c r="N42" s="36">
        <f>IFERROR(M42/$AC42,0)</f>
        <v>0.35618597320724982</v>
      </c>
      <c r="O42" s="17">
        <v>58</v>
      </c>
      <c r="P42" s="36">
        <f>IFERROR(O42/$AD42,0)</f>
        <v>0.30851063829787234</v>
      </c>
      <c r="Q42" s="17">
        <v>231</v>
      </c>
      <c r="R42" s="36">
        <f>IFERROR(Q42/$AC42,0)</f>
        <v>0.18203309692671396</v>
      </c>
      <c r="S42" s="17">
        <v>28</v>
      </c>
      <c r="T42" s="36">
        <f>IFERROR(S42/$AD42,0)</f>
        <v>0.14893617021276595</v>
      </c>
      <c r="U42" s="17">
        <v>93</v>
      </c>
      <c r="V42" s="36">
        <f>IFERROR(U42/$AC42,0)</f>
        <v>7.328605200945626E-2</v>
      </c>
      <c r="W42" s="17">
        <v>15</v>
      </c>
      <c r="X42" s="36">
        <f>IFERROR(W42/$AD42,0)</f>
        <v>7.9787234042553196E-2</v>
      </c>
      <c r="Y42" s="17">
        <v>34</v>
      </c>
      <c r="Z42" s="36">
        <f>IFERROR(Y42/$AC42,0)</f>
        <v>2.6792750197005517E-2</v>
      </c>
      <c r="AA42" s="17">
        <v>6</v>
      </c>
      <c r="AB42" s="36">
        <f>IFERROR(AA42/$AD42,0)</f>
        <v>3.1914893617021274E-2</v>
      </c>
      <c r="AC42" s="16">
        <v>1269</v>
      </c>
      <c r="AD42" s="17">
        <v>188</v>
      </c>
    </row>
    <row r="43" spans="1:30" ht="15.75" customHeight="1" x14ac:dyDescent="0.25">
      <c r="A43" s="35">
        <v>2024</v>
      </c>
      <c r="B43" s="35">
        <v>170600</v>
      </c>
      <c r="C43" s="33" t="str">
        <f>VLOOKUP(B43,procv!$A$2:$D$142,4,FALSE)</f>
        <v>Cerrado Tocantins Araguaia</v>
      </c>
      <c r="D43" s="33" t="s">
        <v>46</v>
      </c>
      <c r="E43" s="17">
        <v>47</v>
      </c>
      <c r="F43" s="36">
        <f>IFERROR(E43/$AC43,0)</f>
        <v>2.4946921443736732E-2</v>
      </c>
      <c r="G43" s="17">
        <v>10</v>
      </c>
      <c r="H43" s="36">
        <f>IFERROR(G43/$AD43,0)</f>
        <v>2.2779043280182234E-2</v>
      </c>
      <c r="I43" s="17">
        <v>666</v>
      </c>
      <c r="J43" s="36">
        <f>IFERROR(I43/$AC43,0)</f>
        <v>0.35350318471337577</v>
      </c>
      <c r="K43" s="17">
        <v>161</v>
      </c>
      <c r="L43" s="36">
        <f>IFERROR(K43/$AD43,0)</f>
        <v>0.36674259681093396</v>
      </c>
      <c r="M43" s="17">
        <v>667</v>
      </c>
      <c r="N43" s="36">
        <f>IFERROR(M43/$AC43,0)</f>
        <v>0.35403397027600847</v>
      </c>
      <c r="O43" s="17">
        <v>144</v>
      </c>
      <c r="P43" s="36">
        <f>IFERROR(O43/$AD43,0)</f>
        <v>0.32801822323462415</v>
      </c>
      <c r="Q43" s="17">
        <v>340</v>
      </c>
      <c r="R43" s="36">
        <f>IFERROR(Q43/$AC43,0)</f>
        <v>0.18046709129511676</v>
      </c>
      <c r="S43" s="17">
        <v>81</v>
      </c>
      <c r="T43" s="36">
        <f>IFERROR(S43/$AD43,0)</f>
        <v>0.18451025056947609</v>
      </c>
      <c r="U43" s="17">
        <v>113</v>
      </c>
      <c r="V43" s="36">
        <f>IFERROR(U43/$AC43,0)</f>
        <v>5.9978768577494693E-2</v>
      </c>
      <c r="W43" s="17">
        <v>33</v>
      </c>
      <c r="X43" s="36">
        <f>IFERROR(W43/$AD43,0)</f>
        <v>7.5170842824601361E-2</v>
      </c>
      <c r="Y43" s="17">
        <v>51</v>
      </c>
      <c r="Z43" s="36">
        <f>IFERROR(Y43/$AC43,0)</f>
        <v>2.7070063694267517E-2</v>
      </c>
      <c r="AA43" s="17">
        <v>10</v>
      </c>
      <c r="AB43" s="36">
        <f>IFERROR(AA43/$AD43,0)</f>
        <v>2.2779043280182234E-2</v>
      </c>
      <c r="AC43" s="16">
        <v>1884</v>
      </c>
      <c r="AD43" s="17">
        <v>439</v>
      </c>
    </row>
    <row r="44" spans="1:30" ht="15.75" customHeight="1" x14ac:dyDescent="0.25">
      <c r="A44" s="35">
        <v>2024</v>
      </c>
      <c r="B44" s="35">
        <v>170610</v>
      </c>
      <c r="C44" s="33" t="str">
        <f>VLOOKUP(B44,procv!$A$2:$D$142,4,FALSE)</f>
        <v>Cantão</v>
      </c>
      <c r="D44" s="33" t="s">
        <v>47</v>
      </c>
      <c r="E44" s="17">
        <v>28</v>
      </c>
      <c r="F44" s="36">
        <f>IFERROR(E44/$AC44,0)</f>
        <v>1.602747567258157E-2</v>
      </c>
      <c r="G44" s="17">
        <v>1</v>
      </c>
      <c r="H44" s="36">
        <f>IFERROR(G44/$AD44,0)</f>
        <v>6.6225165562913907E-3</v>
      </c>
      <c r="I44" s="17">
        <v>513</v>
      </c>
      <c r="J44" s="36">
        <f>IFERROR(I44/$AC44,0)</f>
        <v>0.29364625071551231</v>
      </c>
      <c r="K44" s="17">
        <v>56</v>
      </c>
      <c r="L44" s="36">
        <f>IFERROR(K44/$AD44,0)</f>
        <v>0.37086092715231789</v>
      </c>
      <c r="M44" s="17">
        <v>661</v>
      </c>
      <c r="N44" s="36">
        <f>IFERROR(M44/$AC44,0)</f>
        <v>0.37836290784201487</v>
      </c>
      <c r="O44" s="17">
        <v>54</v>
      </c>
      <c r="P44" s="36">
        <f>IFERROR(O44/$AD44,0)</f>
        <v>0.35761589403973509</v>
      </c>
      <c r="Q44" s="17">
        <v>358</v>
      </c>
      <c r="R44" s="36">
        <f>IFERROR(Q44/$AC44,0)</f>
        <v>0.20492272467086434</v>
      </c>
      <c r="S44" s="17">
        <v>27</v>
      </c>
      <c r="T44" s="36">
        <f>IFERROR(S44/$AD44,0)</f>
        <v>0.17880794701986755</v>
      </c>
      <c r="U44" s="17">
        <v>122</v>
      </c>
      <c r="V44" s="36">
        <f>IFERROR(U44/$AC44,0)</f>
        <v>6.9834001144819691E-2</v>
      </c>
      <c r="W44" s="17">
        <v>10</v>
      </c>
      <c r="X44" s="36">
        <f>IFERROR(W44/$AD44,0)</f>
        <v>6.6225165562913912E-2</v>
      </c>
      <c r="Y44" s="17">
        <v>65</v>
      </c>
      <c r="Z44" s="36">
        <f>IFERROR(Y44/$AC44,0)</f>
        <v>3.7206639954207213E-2</v>
      </c>
      <c r="AA44" s="17">
        <v>3</v>
      </c>
      <c r="AB44" s="36">
        <f>IFERROR(AA44/$AD44,0)</f>
        <v>1.9867549668874173E-2</v>
      </c>
      <c r="AC44" s="16">
        <v>1747</v>
      </c>
      <c r="AD44" s="17">
        <v>151</v>
      </c>
    </row>
    <row r="45" spans="1:30" ht="15.75" customHeight="1" x14ac:dyDescent="0.25">
      <c r="A45" s="35">
        <v>2024</v>
      </c>
      <c r="B45" s="35">
        <v>170625</v>
      </c>
      <c r="C45" s="33" t="str">
        <f>VLOOKUP(B45,procv!$A$2:$D$142,4,FALSE)</f>
        <v>Ilha do Bananal</v>
      </c>
      <c r="D45" s="33" t="s">
        <v>48</v>
      </c>
      <c r="E45" s="17">
        <v>7</v>
      </c>
      <c r="F45" s="36">
        <f>IFERROR(E45/$AC45,0)</f>
        <v>1.289134438305709E-2</v>
      </c>
      <c r="G45" s="17">
        <v>0</v>
      </c>
      <c r="H45" s="36">
        <f>IFERROR(G45/$AD45,0)</f>
        <v>0</v>
      </c>
      <c r="I45" s="17">
        <v>147</v>
      </c>
      <c r="J45" s="36">
        <f>IFERROR(I45/$AC45,0)</f>
        <v>0.27071823204419887</v>
      </c>
      <c r="K45" s="17">
        <v>7</v>
      </c>
      <c r="L45" s="36">
        <f>IFERROR(K45/$AD45,0)</f>
        <v>0.25</v>
      </c>
      <c r="M45" s="17">
        <v>185</v>
      </c>
      <c r="N45" s="36">
        <f>IFERROR(M45/$AC45,0)</f>
        <v>0.3406998158379374</v>
      </c>
      <c r="O45" s="17">
        <v>8</v>
      </c>
      <c r="P45" s="36">
        <f>IFERROR(O45/$AD45,0)</f>
        <v>0.2857142857142857</v>
      </c>
      <c r="Q45" s="17">
        <v>120</v>
      </c>
      <c r="R45" s="36">
        <f>IFERROR(Q45/$AC45,0)</f>
        <v>0.22099447513812154</v>
      </c>
      <c r="S45" s="17">
        <v>8</v>
      </c>
      <c r="T45" s="36">
        <f>IFERROR(S45/$AD45,0)</f>
        <v>0.2857142857142857</v>
      </c>
      <c r="U45" s="17">
        <v>59</v>
      </c>
      <c r="V45" s="36">
        <f>IFERROR(U45/$AC45,0)</f>
        <v>0.10865561694290976</v>
      </c>
      <c r="W45" s="17">
        <v>4</v>
      </c>
      <c r="X45" s="36">
        <f>IFERROR(W45/$AD45,0)</f>
        <v>0.14285714285714285</v>
      </c>
      <c r="Y45" s="17">
        <v>25</v>
      </c>
      <c r="Z45" s="36">
        <f>IFERROR(Y45/$AC45,0)</f>
        <v>4.6040515653775323E-2</v>
      </c>
      <c r="AA45" s="17">
        <v>1</v>
      </c>
      <c r="AB45" s="36">
        <f>IFERROR(AA45/$AD45,0)</f>
        <v>3.5714285714285712E-2</v>
      </c>
      <c r="AC45" s="17">
        <v>543</v>
      </c>
      <c r="AD45" s="17">
        <v>28</v>
      </c>
    </row>
    <row r="46" spans="1:30" ht="15.75" customHeight="1" x14ac:dyDescent="0.25">
      <c r="A46" s="35">
        <v>2024</v>
      </c>
      <c r="B46" s="35">
        <v>170650</v>
      </c>
      <c r="C46" s="33" t="str">
        <f>VLOOKUP(B46,procv!$A$2:$D$142,4,FALSE)</f>
        <v>Médio Norte Araguaia</v>
      </c>
      <c r="D46" s="33" t="s">
        <v>49</v>
      </c>
      <c r="E46" s="17">
        <v>14</v>
      </c>
      <c r="F46" s="36">
        <f>IFERROR(E46/$AC46,0)</f>
        <v>2.3064250411861616E-2</v>
      </c>
      <c r="G46" s="17">
        <v>3</v>
      </c>
      <c r="H46" s="36">
        <f>IFERROR(G46/$AD46,0)</f>
        <v>9.5238095238095247E-3</v>
      </c>
      <c r="I46" s="17">
        <v>217</v>
      </c>
      <c r="J46" s="36">
        <f>IFERROR(I46/$AC46,0)</f>
        <v>0.35749588138385502</v>
      </c>
      <c r="K46" s="17">
        <v>120</v>
      </c>
      <c r="L46" s="36">
        <f>IFERROR(K46/$AD46,0)</f>
        <v>0.38095238095238093</v>
      </c>
      <c r="M46" s="17">
        <v>199</v>
      </c>
      <c r="N46" s="36">
        <f>IFERROR(M46/$AC46,0)</f>
        <v>0.32784184514003295</v>
      </c>
      <c r="O46" s="17">
        <v>100</v>
      </c>
      <c r="P46" s="36">
        <f>IFERROR(O46/$AD46,0)</f>
        <v>0.31746031746031744</v>
      </c>
      <c r="Q46" s="17">
        <v>115</v>
      </c>
      <c r="R46" s="36">
        <f>IFERROR(Q46/$AC46,0)</f>
        <v>0.18945634266886327</v>
      </c>
      <c r="S46" s="17">
        <v>56</v>
      </c>
      <c r="T46" s="36">
        <f>IFERROR(S46/$AD46,0)</f>
        <v>0.17777777777777778</v>
      </c>
      <c r="U46" s="17">
        <v>44</v>
      </c>
      <c r="V46" s="36">
        <f>IFERROR(U46/$AC46,0)</f>
        <v>7.248764415156507E-2</v>
      </c>
      <c r="W46" s="17">
        <v>26</v>
      </c>
      <c r="X46" s="36">
        <f>IFERROR(W46/$AD46,0)</f>
        <v>8.2539682539682538E-2</v>
      </c>
      <c r="Y46" s="17">
        <v>18</v>
      </c>
      <c r="Z46" s="36">
        <f>IFERROR(Y46/$AC46,0)</f>
        <v>2.9654036243822075E-2</v>
      </c>
      <c r="AA46" s="17">
        <v>10</v>
      </c>
      <c r="AB46" s="36">
        <f>IFERROR(AA46/$AD46,0)</f>
        <v>3.1746031746031744E-2</v>
      </c>
      <c r="AC46" s="17">
        <v>607</v>
      </c>
      <c r="AD46" s="17">
        <v>315</v>
      </c>
    </row>
    <row r="47" spans="1:30" ht="15.75" customHeight="1" x14ac:dyDescent="0.25">
      <c r="A47" s="35">
        <v>2024</v>
      </c>
      <c r="B47" s="35">
        <v>170700</v>
      </c>
      <c r="C47" s="33" t="str">
        <f>VLOOKUP(B47,procv!$A$2:$D$142,4,FALSE)</f>
        <v>Sudeste</v>
      </c>
      <c r="D47" s="33" t="s">
        <v>50</v>
      </c>
      <c r="E47" s="17">
        <v>89</v>
      </c>
      <c r="F47" s="36">
        <f>IFERROR(E47/$AC47,0)</f>
        <v>2.2861546365271001E-2</v>
      </c>
      <c r="G47" s="17">
        <v>15</v>
      </c>
      <c r="H47" s="36">
        <f>IFERROR(G47/$AD47,0)</f>
        <v>4.6153846153846156E-2</v>
      </c>
      <c r="I47" s="16">
        <v>1182</v>
      </c>
      <c r="J47" s="36">
        <f>IFERROR(I47/$AC47,0)</f>
        <v>0.30362188543539687</v>
      </c>
      <c r="K47" s="17">
        <v>93</v>
      </c>
      <c r="L47" s="36">
        <f>IFERROR(K47/$AD47,0)</f>
        <v>0.28615384615384615</v>
      </c>
      <c r="M47" s="16">
        <v>1399</v>
      </c>
      <c r="N47" s="36">
        <f>IFERROR(M47/$AC47,0)</f>
        <v>0.35936295915746214</v>
      </c>
      <c r="O47" s="17">
        <v>110</v>
      </c>
      <c r="P47" s="36">
        <f>IFERROR(O47/$AD47,0)</f>
        <v>0.33846153846153848</v>
      </c>
      <c r="Q47" s="17">
        <v>815</v>
      </c>
      <c r="R47" s="36">
        <f>IFERROR(Q47/$AC47,0)</f>
        <v>0.20935011559208835</v>
      </c>
      <c r="S47" s="17">
        <v>69</v>
      </c>
      <c r="T47" s="36">
        <f>IFERROR(S47/$AD47,0)</f>
        <v>0.21230769230769231</v>
      </c>
      <c r="U47" s="17">
        <v>285</v>
      </c>
      <c r="V47" s="36">
        <f>IFERROR(U47/$AC47,0)</f>
        <v>7.3208322630362185E-2</v>
      </c>
      <c r="W47" s="17">
        <v>27</v>
      </c>
      <c r="X47" s="36">
        <f>IFERROR(W47/$AD47,0)</f>
        <v>8.3076923076923076E-2</v>
      </c>
      <c r="Y47" s="17">
        <v>123</v>
      </c>
      <c r="Z47" s="36">
        <f>IFERROR(Y47/$AC47,0)</f>
        <v>3.1595170819419469E-2</v>
      </c>
      <c r="AA47" s="17">
        <v>11</v>
      </c>
      <c r="AB47" s="36">
        <f>IFERROR(AA47/$AD47,0)</f>
        <v>3.3846153846153845E-2</v>
      </c>
      <c r="AC47" s="16">
        <v>3893</v>
      </c>
      <c r="AD47" s="17">
        <v>325</v>
      </c>
    </row>
    <row r="48" spans="1:30" ht="15.75" customHeight="1" x14ac:dyDescent="0.25">
      <c r="A48" s="35">
        <v>2024</v>
      </c>
      <c r="B48" s="35">
        <v>170710</v>
      </c>
      <c r="C48" s="33" t="str">
        <f>VLOOKUP(B48,procv!$A$2:$D$142,4,FALSE)</f>
        <v>Cantão</v>
      </c>
      <c r="D48" s="33" t="s">
        <v>51</v>
      </c>
      <c r="E48" s="17">
        <v>38</v>
      </c>
      <c r="F48" s="36">
        <f>IFERROR(E48/$AC48,0)</f>
        <v>2.02883075280299E-2</v>
      </c>
      <c r="G48" s="17">
        <v>6</v>
      </c>
      <c r="H48" s="36">
        <f>IFERROR(G48/$AD48,0)</f>
        <v>3.6585365853658534E-2</v>
      </c>
      <c r="I48" s="17">
        <v>605</v>
      </c>
      <c r="J48" s="36">
        <f>IFERROR(I48/$AC48,0)</f>
        <v>0.32301121195942339</v>
      </c>
      <c r="K48" s="17">
        <v>68</v>
      </c>
      <c r="L48" s="36">
        <f>IFERROR(K48/$AD48,0)</f>
        <v>0.41463414634146339</v>
      </c>
      <c r="M48" s="17">
        <v>654</v>
      </c>
      <c r="N48" s="36">
        <f>IFERROR(M48/$AC48,0)</f>
        <v>0.34917245061398827</v>
      </c>
      <c r="O48" s="17">
        <v>54</v>
      </c>
      <c r="P48" s="36">
        <f>IFERROR(O48/$AD48,0)</f>
        <v>0.32926829268292684</v>
      </c>
      <c r="Q48" s="17">
        <v>391</v>
      </c>
      <c r="R48" s="36">
        <f>IFERROR(Q48/$AC48,0)</f>
        <v>0.20875600640683395</v>
      </c>
      <c r="S48" s="17">
        <v>19</v>
      </c>
      <c r="T48" s="36">
        <f>IFERROR(S48/$AD48,0)</f>
        <v>0.11585365853658537</v>
      </c>
      <c r="U48" s="17">
        <v>121</v>
      </c>
      <c r="V48" s="36">
        <f>IFERROR(U48/$AC48,0)</f>
        <v>6.4602242391884682E-2</v>
      </c>
      <c r="W48" s="17">
        <v>12</v>
      </c>
      <c r="X48" s="36">
        <f>IFERROR(W48/$AD48,0)</f>
        <v>7.3170731707317069E-2</v>
      </c>
      <c r="Y48" s="17">
        <v>64</v>
      </c>
      <c r="Z48" s="36">
        <f>IFERROR(Y48/$AC48,0)</f>
        <v>3.4169781099839827E-2</v>
      </c>
      <c r="AA48" s="17">
        <v>5</v>
      </c>
      <c r="AB48" s="36">
        <f>IFERROR(AA48/$AD48,0)</f>
        <v>3.048780487804878E-2</v>
      </c>
      <c r="AC48" s="16">
        <v>1873</v>
      </c>
      <c r="AD48" s="17">
        <v>164</v>
      </c>
    </row>
    <row r="49" spans="1:30" ht="15.75" customHeight="1" x14ac:dyDescent="0.25">
      <c r="A49" s="35">
        <v>2024</v>
      </c>
      <c r="B49" s="35">
        <v>170720</v>
      </c>
      <c r="C49" s="33" t="str">
        <f>VLOOKUP(B49,procv!$A$2:$D$142,4,FALSE)</f>
        <v>Cantão</v>
      </c>
      <c r="D49" s="33" t="s">
        <v>52</v>
      </c>
      <c r="E49" s="17">
        <v>16</v>
      </c>
      <c r="F49" s="36">
        <f>IFERROR(E49/$AC49,0)</f>
        <v>2.0176544766708701E-2</v>
      </c>
      <c r="G49" s="17">
        <v>5</v>
      </c>
      <c r="H49" s="36">
        <f>IFERROR(G49/$AD49,0)</f>
        <v>1.7985611510791366E-2</v>
      </c>
      <c r="I49" s="17">
        <v>214</v>
      </c>
      <c r="J49" s="36">
        <f>IFERROR(I49/$AC49,0)</f>
        <v>0.26986128625472888</v>
      </c>
      <c r="K49" s="17">
        <v>70</v>
      </c>
      <c r="L49" s="36">
        <f>IFERROR(K49/$AD49,0)</f>
        <v>0.25179856115107913</v>
      </c>
      <c r="M49" s="17">
        <v>302</v>
      </c>
      <c r="N49" s="36">
        <f>IFERROR(M49/$AC49,0)</f>
        <v>0.38083228247162676</v>
      </c>
      <c r="O49" s="17">
        <v>103</v>
      </c>
      <c r="P49" s="36">
        <f>IFERROR(O49/$AD49,0)</f>
        <v>0.37050359712230213</v>
      </c>
      <c r="Q49" s="17">
        <v>162</v>
      </c>
      <c r="R49" s="36">
        <f>IFERROR(Q49/$AC49,0)</f>
        <v>0.20428751576292559</v>
      </c>
      <c r="S49" s="17">
        <v>68</v>
      </c>
      <c r="T49" s="36">
        <f>IFERROR(S49/$AD49,0)</f>
        <v>0.2446043165467626</v>
      </c>
      <c r="U49" s="17">
        <v>69</v>
      </c>
      <c r="V49" s="36">
        <f>IFERROR(U49/$AC49,0)</f>
        <v>8.7011349306431271E-2</v>
      </c>
      <c r="W49" s="17">
        <v>25</v>
      </c>
      <c r="X49" s="36">
        <f>IFERROR(W49/$AD49,0)</f>
        <v>8.9928057553956831E-2</v>
      </c>
      <c r="Y49" s="17">
        <v>30</v>
      </c>
      <c r="Z49" s="36">
        <f>IFERROR(Y49/$AC49,0)</f>
        <v>3.7831021437578813E-2</v>
      </c>
      <c r="AA49" s="17">
        <v>7</v>
      </c>
      <c r="AB49" s="36">
        <f>IFERROR(AA49/$AD49,0)</f>
        <v>2.5179856115107913E-2</v>
      </c>
      <c r="AC49" s="17">
        <v>793</v>
      </c>
      <c r="AD49" s="17">
        <v>278</v>
      </c>
    </row>
    <row r="50" spans="1:30" ht="15.75" customHeight="1" x14ac:dyDescent="0.25">
      <c r="A50" s="35">
        <v>2024</v>
      </c>
      <c r="B50" s="35">
        <v>170730</v>
      </c>
      <c r="C50" s="33" t="str">
        <f>VLOOKUP(B50,procv!$A$2:$D$142,4,FALSE)</f>
        <v>Ilha do Bananal</v>
      </c>
      <c r="D50" s="33" t="s">
        <v>53</v>
      </c>
      <c r="E50" s="17">
        <v>24</v>
      </c>
      <c r="F50" s="36">
        <f>IFERROR(E50/$AC50,0)</f>
        <v>1.7479970866715221E-2</v>
      </c>
      <c r="G50" s="17">
        <v>5</v>
      </c>
      <c r="H50" s="36">
        <f>IFERROR(G50/$AD50,0)</f>
        <v>2.8735632183908046E-2</v>
      </c>
      <c r="I50" s="17">
        <v>421</v>
      </c>
      <c r="J50" s="36">
        <f>IFERROR(I50/$AC50,0)</f>
        <v>0.30662782228696284</v>
      </c>
      <c r="K50" s="17">
        <v>66</v>
      </c>
      <c r="L50" s="36">
        <f>IFERROR(K50/$AD50,0)</f>
        <v>0.37931034482758619</v>
      </c>
      <c r="M50" s="17">
        <v>486</v>
      </c>
      <c r="N50" s="36">
        <f>IFERROR(M50/$AC50,0)</f>
        <v>0.35396941005098326</v>
      </c>
      <c r="O50" s="17">
        <v>48</v>
      </c>
      <c r="P50" s="36">
        <f>IFERROR(O50/$AD50,0)</f>
        <v>0.27586206896551724</v>
      </c>
      <c r="Q50" s="17">
        <v>299</v>
      </c>
      <c r="R50" s="36">
        <f>IFERROR(Q50/$AC50,0)</f>
        <v>0.2177713037144938</v>
      </c>
      <c r="S50" s="17">
        <v>39</v>
      </c>
      <c r="T50" s="36">
        <f>IFERROR(S50/$AD50,0)</f>
        <v>0.22413793103448276</v>
      </c>
      <c r="U50" s="17">
        <v>95</v>
      </c>
      <c r="V50" s="36">
        <f>IFERROR(U50/$AC50,0)</f>
        <v>6.9191551347414421E-2</v>
      </c>
      <c r="W50" s="17">
        <v>8</v>
      </c>
      <c r="X50" s="36">
        <f>IFERROR(W50/$AD50,0)</f>
        <v>4.5977011494252873E-2</v>
      </c>
      <c r="Y50" s="17">
        <v>48</v>
      </c>
      <c r="Z50" s="36">
        <f>IFERROR(Y50/$AC50,0)</f>
        <v>3.4959941733430443E-2</v>
      </c>
      <c r="AA50" s="17">
        <v>8</v>
      </c>
      <c r="AB50" s="36">
        <f>IFERROR(AA50/$AD50,0)</f>
        <v>4.5977011494252873E-2</v>
      </c>
      <c r="AC50" s="16">
        <v>1373</v>
      </c>
      <c r="AD50" s="17">
        <v>174</v>
      </c>
    </row>
    <row r="51" spans="1:30" ht="15.75" customHeight="1" x14ac:dyDescent="0.25">
      <c r="A51" s="35">
        <v>2024</v>
      </c>
      <c r="B51" s="35">
        <v>170740</v>
      </c>
      <c r="C51" s="33" t="str">
        <f>VLOOKUP(B51,procv!$A$2:$D$142,4,FALSE)</f>
        <v>Bico do Papagaio</v>
      </c>
      <c r="D51" s="33" t="s">
        <v>54</v>
      </c>
      <c r="E51" s="17">
        <v>59</v>
      </c>
      <c r="F51" s="36">
        <f>IFERROR(E51/$AC51,0)</f>
        <v>2.188427299703264E-2</v>
      </c>
      <c r="G51" s="17">
        <v>14</v>
      </c>
      <c r="H51" s="36">
        <f>IFERROR(G51/$AD51,0)</f>
        <v>3.5623409669211195E-2</v>
      </c>
      <c r="I51" s="17">
        <v>884</v>
      </c>
      <c r="J51" s="36">
        <f>IFERROR(I51/$AC51,0)</f>
        <v>0.32789317507418397</v>
      </c>
      <c r="K51" s="17">
        <v>128</v>
      </c>
      <c r="L51" s="36">
        <f>IFERROR(K51/$AD51,0)</f>
        <v>0.32569974554707382</v>
      </c>
      <c r="M51" s="17">
        <v>959</v>
      </c>
      <c r="N51" s="36">
        <f>IFERROR(M51/$AC51,0)</f>
        <v>0.35571216617210683</v>
      </c>
      <c r="O51" s="17">
        <v>135</v>
      </c>
      <c r="P51" s="36">
        <f>IFERROR(O51/$AD51,0)</f>
        <v>0.34351145038167941</v>
      </c>
      <c r="Q51" s="17">
        <v>543</v>
      </c>
      <c r="R51" s="36">
        <f>IFERROR(Q51/$AC51,0)</f>
        <v>0.20140949554896143</v>
      </c>
      <c r="S51" s="17">
        <v>75</v>
      </c>
      <c r="T51" s="36">
        <f>IFERROR(S51/$AD51,0)</f>
        <v>0.19083969465648856</v>
      </c>
      <c r="U51" s="17">
        <v>170</v>
      </c>
      <c r="V51" s="36">
        <f>IFERROR(U51/$AC51,0)</f>
        <v>6.3056379821958455E-2</v>
      </c>
      <c r="W51" s="17">
        <v>26</v>
      </c>
      <c r="X51" s="36">
        <f>IFERROR(W51/$AD51,0)</f>
        <v>6.6157760814249358E-2</v>
      </c>
      <c r="Y51" s="17">
        <v>81</v>
      </c>
      <c r="Z51" s="36">
        <f>IFERROR(Y51/$AC51,0)</f>
        <v>3.0044510385756677E-2</v>
      </c>
      <c r="AA51" s="17">
        <v>15</v>
      </c>
      <c r="AB51" s="36">
        <f>IFERROR(AA51/$AD51,0)</f>
        <v>3.8167938931297711E-2</v>
      </c>
      <c r="AC51" s="16">
        <v>2696</v>
      </c>
      <c r="AD51" s="17">
        <v>393</v>
      </c>
    </row>
    <row r="52" spans="1:30" ht="15.75" customHeight="1" x14ac:dyDescent="0.25">
      <c r="A52" s="35">
        <v>2024</v>
      </c>
      <c r="B52" s="35">
        <v>170755</v>
      </c>
      <c r="C52" s="33" t="str">
        <f>VLOOKUP(B52,procv!$A$2:$D$142,4,FALSE)</f>
        <v>Amor Perfeito</v>
      </c>
      <c r="D52" s="33" t="s">
        <v>55</v>
      </c>
      <c r="E52" s="17">
        <v>16</v>
      </c>
      <c r="F52" s="36">
        <f>IFERROR(E52/$AC52,0)</f>
        <v>2.0806241872561769E-2</v>
      </c>
      <c r="G52" s="17">
        <v>1</v>
      </c>
      <c r="H52" s="36">
        <f>IFERROR(G52/$AD52,0)</f>
        <v>1.1363636363636364E-2</v>
      </c>
      <c r="I52" s="17">
        <v>254</v>
      </c>
      <c r="J52" s="36">
        <f>IFERROR(I52/$AC52,0)</f>
        <v>0.33029908972691807</v>
      </c>
      <c r="K52" s="17">
        <v>33</v>
      </c>
      <c r="L52" s="36">
        <f>IFERROR(K52/$AD52,0)</f>
        <v>0.375</v>
      </c>
      <c r="M52" s="17">
        <v>254</v>
      </c>
      <c r="N52" s="36">
        <f>IFERROR(M52/$AC52,0)</f>
        <v>0.33029908972691807</v>
      </c>
      <c r="O52" s="17">
        <v>27</v>
      </c>
      <c r="P52" s="36">
        <f>IFERROR(O52/$AD52,0)</f>
        <v>0.30681818181818182</v>
      </c>
      <c r="Q52" s="17">
        <v>135</v>
      </c>
      <c r="R52" s="36">
        <f>IFERROR(Q52/$AC52,0)</f>
        <v>0.17555266579973991</v>
      </c>
      <c r="S52" s="17">
        <v>9</v>
      </c>
      <c r="T52" s="36">
        <f>IFERROR(S52/$AD52,0)</f>
        <v>0.10227272727272728</v>
      </c>
      <c r="U52" s="17">
        <v>71</v>
      </c>
      <c r="V52" s="36">
        <f>IFERROR(U52/$AC52,0)</f>
        <v>9.2327698309492848E-2</v>
      </c>
      <c r="W52" s="17">
        <v>12</v>
      </c>
      <c r="X52" s="36">
        <f>IFERROR(W52/$AD52,0)</f>
        <v>0.13636363636363635</v>
      </c>
      <c r="Y52" s="17">
        <v>39</v>
      </c>
      <c r="Z52" s="36">
        <f>IFERROR(Y52/$AC52,0)</f>
        <v>5.071521456436931E-2</v>
      </c>
      <c r="AA52" s="17">
        <v>6</v>
      </c>
      <c r="AB52" s="36">
        <f>IFERROR(AA52/$AD52,0)</f>
        <v>6.8181818181818177E-2</v>
      </c>
      <c r="AC52" s="17">
        <v>769</v>
      </c>
      <c r="AD52" s="17">
        <v>88</v>
      </c>
    </row>
    <row r="53" spans="1:30" ht="15.75" customHeight="1" x14ac:dyDescent="0.25">
      <c r="A53" s="35">
        <v>2024</v>
      </c>
      <c r="B53" s="35">
        <v>170765</v>
      </c>
      <c r="C53" s="33" t="str">
        <f>VLOOKUP(B53,procv!$A$2:$D$142,4,FALSE)</f>
        <v>Ilha do Bananal</v>
      </c>
      <c r="D53" s="33" t="s">
        <v>56</v>
      </c>
      <c r="E53" s="17">
        <v>26</v>
      </c>
      <c r="F53" s="36">
        <f>IFERROR(E53/$AC53,0)</f>
        <v>2.197802197802198E-2</v>
      </c>
      <c r="G53" s="17">
        <v>10</v>
      </c>
      <c r="H53" s="36">
        <f>IFERROR(G53/$AD53,0)</f>
        <v>3.6101083032490974E-2</v>
      </c>
      <c r="I53" s="17">
        <v>355</v>
      </c>
      <c r="J53" s="36">
        <f>IFERROR(I53/$AC53,0)</f>
        <v>0.30008453085376163</v>
      </c>
      <c r="K53" s="17">
        <v>85</v>
      </c>
      <c r="L53" s="36">
        <f>IFERROR(K53/$AD53,0)</f>
        <v>0.30685920577617326</v>
      </c>
      <c r="M53" s="17">
        <v>375</v>
      </c>
      <c r="N53" s="36">
        <f>IFERROR(M53/$AC53,0)</f>
        <v>0.31699070160608622</v>
      </c>
      <c r="O53" s="17">
        <v>89</v>
      </c>
      <c r="P53" s="36">
        <f>IFERROR(O53/$AD53,0)</f>
        <v>0.32129963898916969</v>
      </c>
      <c r="Q53" s="17">
        <v>272</v>
      </c>
      <c r="R53" s="36">
        <f>IFERROR(Q53/$AC53,0)</f>
        <v>0.22992392223161454</v>
      </c>
      <c r="S53" s="17">
        <v>56</v>
      </c>
      <c r="T53" s="36">
        <f>IFERROR(S53/$AD53,0)</f>
        <v>0.20216606498194944</v>
      </c>
      <c r="U53" s="17">
        <v>97</v>
      </c>
      <c r="V53" s="36">
        <f>IFERROR(U53/$AC53,0)</f>
        <v>8.1994928148774307E-2</v>
      </c>
      <c r="W53" s="17">
        <v>21</v>
      </c>
      <c r="X53" s="36">
        <f>IFERROR(W53/$AD53,0)</f>
        <v>7.5812274368231042E-2</v>
      </c>
      <c r="Y53" s="17">
        <v>58</v>
      </c>
      <c r="Z53" s="36">
        <f>IFERROR(Y53/$AC53,0)</f>
        <v>4.9027895181741332E-2</v>
      </c>
      <c r="AA53" s="17">
        <v>16</v>
      </c>
      <c r="AB53" s="36">
        <f>IFERROR(AA53/$AD53,0)</f>
        <v>5.7761732851985562E-2</v>
      </c>
      <c r="AC53" s="16">
        <v>1183</v>
      </c>
      <c r="AD53" s="17">
        <v>277</v>
      </c>
    </row>
    <row r="54" spans="1:30" ht="15.75" customHeight="1" x14ac:dyDescent="0.25">
      <c r="A54" s="35">
        <v>2024</v>
      </c>
      <c r="B54" s="35">
        <v>170770</v>
      </c>
      <c r="C54" s="33" t="str">
        <f>VLOOKUP(B54,procv!$A$2:$D$142,4,FALSE)</f>
        <v>Médio Norte Araguaia</v>
      </c>
      <c r="D54" s="33" t="s">
        <v>57</v>
      </c>
      <c r="E54" s="17">
        <v>55</v>
      </c>
      <c r="F54" s="36">
        <f>IFERROR(E54/$AC54,0)</f>
        <v>2.4575513851653262E-2</v>
      </c>
      <c r="G54" s="17">
        <v>16</v>
      </c>
      <c r="H54" s="36">
        <f>IFERROR(G54/$AD54,0)</f>
        <v>3.7122969837587005E-2</v>
      </c>
      <c r="I54" s="17">
        <v>761</v>
      </c>
      <c r="J54" s="36">
        <f>IFERROR(I54/$AC54,0)</f>
        <v>0.34003574620196603</v>
      </c>
      <c r="K54" s="17">
        <v>144</v>
      </c>
      <c r="L54" s="36">
        <f>IFERROR(K54/$AD54,0)</f>
        <v>0.33410672853828305</v>
      </c>
      <c r="M54" s="17">
        <v>759</v>
      </c>
      <c r="N54" s="36">
        <f>IFERROR(M54/$AC54,0)</f>
        <v>0.33914209115281502</v>
      </c>
      <c r="O54" s="17">
        <v>148</v>
      </c>
      <c r="P54" s="36">
        <f>IFERROR(O54/$AD54,0)</f>
        <v>0.3433874709976798</v>
      </c>
      <c r="Q54" s="17">
        <v>425</v>
      </c>
      <c r="R54" s="36">
        <f>IFERROR(Q54/$AC54,0)</f>
        <v>0.18990169794459338</v>
      </c>
      <c r="S54" s="17">
        <v>79</v>
      </c>
      <c r="T54" s="36">
        <f>IFERROR(S54/$AD54,0)</f>
        <v>0.18329466357308585</v>
      </c>
      <c r="U54" s="17">
        <v>175</v>
      </c>
      <c r="V54" s="36">
        <f>IFERROR(U54/$AC54,0)</f>
        <v>7.8194816800714925E-2</v>
      </c>
      <c r="W54" s="17">
        <v>35</v>
      </c>
      <c r="X54" s="36">
        <f>IFERROR(W54/$AD54,0)</f>
        <v>8.1206496519721574E-2</v>
      </c>
      <c r="Y54" s="17">
        <v>63</v>
      </c>
      <c r="Z54" s="36">
        <f>IFERROR(Y54/$AC54,0)</f>
        <v>2.8150134048257374E-2</v>
      </c>
      <c r="AA54" s="17">
        <v>9</v>
      </c>
      <c r="AB54" s="36">
        <f>IFERROR(AA54/$AD54,0)</f>
        <v>2.0881670533642691E-2</v>
      </c>
      <c r="AC54" s="16">
        <v>2238</v>
      </c>
      <c r="AD54" s="17">
        <v>431</v>
      </c>
    </row>
    <row r="55" spans="1:30" ht="15.75" customHeight="1" x14ac:dyDescent="0.25">
      <c r="A55" s="35">
        <v>2024</v>
      </c>
      <c r="B55" s="35">
        <v>170820</v>
      </c>
      <c r="C55" s="33" t="str">
        <f>VLOOKUP(B55,procv!$A$2:$D$142,4,FALSE)</f>
        <v>Ilha do Bananal</v>
      </c>
      <c r="D55" s="33" t="s">
        <v>58</v>
      </c>
      <c r="E55" s="17">
        <v>62</v>
      </c>
      <c r="F55" s="36">
        <f>IFERROR(E55/$AC55,0)</f>
        <v>1.7445132245357344E-2</v>
      </c>
      <c r="G55" s="17">
        <v>18</v>
      </c>
      <c r="H55" s="36">
        <f>IFERROR(G55/$AD55,0)</f>
        <v>2.8753993610223641E-2</v>
      </c>
      <c r="I55" s="16">
        <v>1065</v>
      </c>
      <c r="J55" s="36">
        <f>IFERROR(I55/$AC55,0)</f>
        <v>0.29966235227912214</v>
      </c>
      <c r="K55" s="17">
        <v>202</v>
      </c>
      <c r="L55" s="36">
        <f>IFERROR(K55/$AD55,0)</f>
        <v>0.32268370607028751</v>
      </c>
      <c r="M55" s="16">
        <v>1252</v>
      </c>
      <c r="N55" s="36">
        <f>IFERROR(M55/$AC55,0)</f>
        <v>0.35227912211592571</v>
      </c>
      <c r="O55" s="17">
        <v>201</v>
      </c>
      <c r="P55" s="36">
        <f>IFERROR(O55/$AD55,0)</f>
        <v>0.32108626198083068</v>
      </c>
      <c r="Q55" s="17">
        <v>738</v>
      </c>
      <c r="R55" s="36">
        <f>IFERROR(Q55/$AC55,0)</f>
        <v>0.20765334833989871</v>
      </c>
      <c r="S55" s="17">
        <v>124</v>
      </c>
      <c r="T55" s="36">
        <f>IFERROR(S55/$AD55,0)</f>
        <v>0.19808306709265175</v>
      </c>
      <c r="U55" s="17">
        <v>312</v>
      </c>
      <c r="V55" s="36">
        <f>IFERROR(U55/$AC55,0)</f>
        <v>8.7788407428249865E-2</v>
      </c>
      <c r="W55" s="17">
        <v>59</v>
      </c>
      <c r="X55" s="36">
        <f>IFERROR(W55/$AD55,0)</f>
        <v>9.4249201277955275E-2</v>
      </c>
      <c r="Y55" s="17">
        <v>125</v>
      </c>
      <c r="Z55" s="36">
        <f>IFERROR(Y55/$AC55,0)</f>
        <v>3.5171637591446259E-2</v>
      </c>
      <c r="AA55" s="17">
        <v>22</v>
      </c>
      <c r="AB55" s="36">
        <f>IFERROR(AA55/$AD55,0)</f>
        <v>3.5143769968051117E-2</v>
      </c>
      <c r="AC55" s="16">
        <v>3554</v>
      </c>
      <c r="AD55" s="17">
        <v>626</v>
      </c>
    </row>
    <row r="56" spans="1:30" ht="15.75" customHeight="1" x14ac:dyDescent="0.25">
      <c r="A56" s="35">
        <v>2024</v>
      </c>
      <c r="B56" s="35">
        <v>170830</v>
      </c>
      <c r="C56" s="33" t="str">
        <f>VLOOKUP(B56,procv!$A$2:$D$142,4,FALSE)</f>
        <v>Cerrado Tocantins Araguaia</v>
      </c>
      <c r="D56" s="33" t="s">
        <v>59</v>
      </c>
      <c r="E56" s="17">
        <v>31</v>
      </c>
      <c r="F56" s="36">
        <f>IFERROR(E56/$AC56,0)</f>
        <v>1.8856447688564478E-2</v>
      </c>
      <c r="G56" s="17">
        <v>2</v>
      </c>
      <c r="H56" s="36">
        <f>IFERROR(G56/$AD56,0)</f>
        <v>1.3333333333333334E-2</v>
      </c>
      <c r="I56" s="17">
        <v>530</v>
      </c>
      <c r="J56" s="36">
        <f>IFERROR(I56/$AC56,0)</f>
        <v>0.32238442822384428</v>
      </c>
      <c r="K56" s="17">
        <v>38</v>
      </c>
      <c r="L56" s="36">
        <f>IFERROR(K56/$AD56,0)</f>
        <v>0.25333333333333335</v>
      </c>
      <c r="M56" s="17">
        <v>624</v>
      </c>
      <c r="N56" s="36">
        <f>IFERROR(M56/$AC56,0)</f>
        <v>0.37956204379562042</v>
      </c>
      <c r="O56" s="17">
        <v>50</v>
      </c>
      <c r="P56" s="36">
        <f>IFERROR(O56/$AD56,0)</f>
        <v>0.33333333333333331</v>
      </c>
      <c r="Q56" s="17">
        <v>305</v>
      </c>
      <c r="R56" s="36">
        <f>IFERROR(Q56/$AC56,0)</f>
        <v>0.18552311435523114</v>
      </c>
      <c r="S56" s="17">
        <v>35</v>
      </c>
      <c r="T56" s="36">
        <f>IFERROR(S56/$AD56,0)</f>
        <v>0.23333333333333334</v>
      </c>
      <c r="U56" s="17">
        <v>106</v>
      </c>
      <c r="V56" s="36">
        <f>IFERROR(U56/$AC56,0)</f>
        <v>6.4476885644768861E-2</v>
      </c>
      <c r="W56" s="17">
        <v>14</v>
      </c>
      <c r="X56" s="36">
        <f>IFERROR(W56/$AD56,0)</f>
        <v>9.3333333333333338E-2</v>
      </c>
      <c r="Y56" s="17">
        <v>48</v>
      </c>
      <c r="Z56" s="36">
        <f>IFERROR(Y56/$AC56,0)</f>
        <v>2.9197080291970802E-2</v>
      </c>
      <c r="AA56" s="17">
        <v>11</v>
      </c>
      <c r="AB56" s="36">
        <f>IFERROR(AA56/$AD56,0)</f>
        <v>7.3333333333333334E-2</v>
      </c>
      <c r="AC56" s="16">
        <v>1644</v>
      </c>
      <c r="AD56" s="17">
        <v>150</v>
      </c>
    </row>
    <row r="57" spans="1:30" ht="15.75" customHeight="1" x14ac:dyDescent="0.25">
      <c r="A57" s="35">
        <v>2024</v>
      </c>
      <c r="B57" s="35">
        <v>170900</v>
      </c>
      <c r="C57" s="33" t="str">
        <f>VLOOKUP(B57,procv!$A$2:$D$142,4,FALSE)</f>
        <v>Médio Norte Araguaia</v>
      </c>
      <c r="D57" s="33" t="s">
        <v>60</v>
      </c>
      <c r="E57" s="17">
        <v>36</v>
      </c>
      <c r="F57" s="36">
        <f>IFERROR(E57/$AC57,0)</f>
        <v>3.0379746835443037E-2</v>
      </c>
      <c r="G57" s="17">
        <v>23</v>
      </c>
      <c r="H57" s="36">
        <f>IFERROR(G57/$AD57,0)</f>
        <v>3.6977491961414789E-2</v>
      </c>
      <c r="I57" s="17">
        <v>432</v>
      </c>
      <c r="J57" s="36">
        <f>IFERROR(I57/$AC57,0)</f>
        <v>0.36455696202531646</v>
      </c>
      <c r="K57" s="17">
        <v>242</v>
      </c>
      <c r="L57" s="36">
        <f>IFERROR(K57/$AD57,0)</f>
        <v>0.38906752411575563</v>
      </c>
      <c r="M57" s="17">
        <v>416</v>
      </c>
      <c r="N57" s="36">
        <f>IFERROR(M57/$AC57,0)</f>
        <v>0.35105485232067513</v>
      </c>
      <c r="O57" s="17">
        <v>211</v>
      </c>
      <c r="P57" s="36">
        <f>IFERROR(O57/$AD57,0)</f>
        <v>0.33922829581993569</v>
      </c>
      <c r="Q57" s="17">
        <v>200</v>
      </c>
      <c r="R57" s="36">
        <f>IFERROR(Q57/$AC57,0)</f>
        <v>0.16877637130801687</v>
      </c>
      <c r="S57" s="17">
        <v>104</v>
      </c>
      <c r="T57" s="36">
        <f>IFERROR(S57/$AD57,0)</f>
        <v>0.16720257234726688</v>
      </c>
      <c r="U57" s="17">
        <v>76</v>
      </c>
      <c r="V57" s="36">
        <f>IFERROR(U57/$AC57,0)</f>
        <v>6.4135021097046413E-2</v>
      </c>
      <c r="W57" s="17">
        <v>33</v>
      </c>
      <c r="X57" s="36">
        <f>IFERROR(W57/$AD57,0)</f>
        <v>5.3054662379421219E-2</v>
      </c>
      <c r="Y57" s="17">
        <v>25</v>
      </c>
      <c r="Z57" s="36">
        <f>IFERROR(Y57/$AC57,0)</f>
        <v>2.1097046413502109E-2</v>
      </c>
      <c r="AA57" s="17">
        <v>9</v>
      </c>
      <c r="AB57" s="36">
        <f>IFERROR(AA57/$AD57,0)</f>
        <v>1.4469453376205787E-2</v>
      </c>
      <c r="AC57" s="16">
        <v>1185</v>
      </c>
      <c r="AD57" s="17">
        <v>622</v>
      </c>
    </row>
    <row r="58" spans="1:30" ht="15.75" customHeight="1" x14ac:dyDescent="0.25">
      <c r="A58" s="35">
        <v>2024</v>
      </c>
      <c r="B58" s="35">
        <v>170930</v>
      </c>
      <c r="C58" s="33" t="str">
        <f>VLOOKUP(B58,procv!$A$2:$D$142,4,FALSE)</f>
        <v>Cerrado Tocantins Araguaia</v>
      </c>
      <c r="D58" s="33" t="s">
        <v>61</v>
      </c>
      <c r="E58" s="17">
        <v>113</v>
      </c>
      <c r="F58" s="36">
        <f>IFERROR(E58/$AC58,0)</f>
        <v>2.0810313075506445E-2</v>
      </c>
      <c r="G58" s="17">
        <v>20</v>
      </c>
      <c r="H58" s="36">
        <f>IFERROR(G58/$AD58,0)</f>
        <v>5.730659025787966E-2</v>
      </c>
      <c r="I58" s="16">
        <v>1742</v>
      </c>
      <c r="J58" s="36">
        <f>IFERROR(I58/$AC58,0)</f>
        <v>0.32081031307550645</v>
      </c>
      <c r="K58" s="17">
        <v>121</v>
      </c>
      <c r="L58" s="36">
        <f>IFERROR(K58/$AD58,0)</f>
        <v>0.34670487106017189</v>
      </c>
      <c r="M58" s="16">
        <v>1934</v>
      </c>
      <c r="N58" s="36">
        <f>IFERROR(M58/$AC58,0)</f>
        <v>0.35616942909760591</v>
      </c>
      <c r="O58" s="17">
        <v>106</v>
      </c>
      <c r="P58" s="36">
        <f>IFERROR(O58/$AD58,0)</f>
        <v>0.30372492836676218</v>
      </c>
      <c r="Q58" s="16">
        <v>1087</v>
      </c>
      <c r="R58" s="36">
        <f>IFERROR(Q58/$AC58,0)</f>
        <v>0.20018416206261511</v>
      </c>
      <c r="S58" s="17">
        <v>45</v>
      </c>
      <c r="T58" s="36">
        <f>IFERROR(S58/$AD58,0)</f>
        <v>0.12893982808022922</v>
      </c>
      <c r="U58" s="17">
        <v>390</v>
      </c>
      <c r="V58" s="36">
        <f>IFERROR(U58/$AC58,0)</f>
        <v>7.18232044198895E-2</v>
      </c>
      <c r="W58" s="17">
        <v>23</v>
      </c>
      <c r="X58" s="36">
        <f>IFERROR(W58/$AD58,0)</f>
        <v>6.5902578796561598E-2</v>
      </c>
      <c r="Y58" s="17">
        <v>164</v>
      </c>
      <c r="Z58" s="36">
        <f>IFERROR(Y58/$AC58,0)</f>
        <v>3.0202578268876613E-2</v>
      </c>
      <c r="AA58" s="17">
        <v>34</v>
      </c>
      <c r="AB58" s="36">
        <f>IFERROR(AA58/$AD58,0)</f>
        <v>9.7421203438395415E-2</v>
      </c>
      <c r="AC58" s="16">
        <v>5430</v>
      </c>
      <c r="AD58" s="17">
        <v>349</v>
      </c>
    </row>
    <row r="59" spans="1:30" ht="15.75" customHeight="1" x14ac:dyDescent="0.25">
      <c r="A59" s="35">
        <v>2024</v>
      </c>
      <c r="B59" s="35">
        <v>170950</v>
      </c>
      <c r="C59" s="33" t="str">
        <f>VLOOKUP(B59,procv!$A$2:$D$142,4,FALSE)</f>
        <v>Ilha do Bananal</v>
      </c>
      <c r="D59" s="33" t="s">
        <v>62</v>
      </c>
      <c r="E59" s="17">
        <v>341</v>
      </c>
      <c r="F59" s="36">
        <f>IFERROR(E59/$AC59,0)</f>
        <v>2.240914766379707E-2</v>
      </c>
      <c r="G59" s="17">
        <v>28</v>
      </c>
      <c r="H59" s="36">
        <f>IFERROR(G59/$AD59,0)</f>
        <v>1.845748187211602E-2</v>
      </c>
      <c r="I59" s="16">
        <v>4990</v>
      </c>
      <c r="J59" s="36">
        <f>IFERROR(I59/$AC59,0)</f>
        <v>0.32792271801274891</v>
      </c>
      <c r="K59" s="17">
        <v>877</v>
      </c>
      <c r="L59" s="36">
        <f>IFERROR(K59/$AD59,0)</f>
        <v>0.57811470006591958</v>
      </c>
      <c r="M59" s="16">
        <v>5091</v>
      </c>
      <c r="N59" s="36">
        <f>IFERROR(M59/$AC59,0)</f>
        <v>0.33456003154366826</v>
      </c>
      <c r="O59" s="17">
        <v>322</v>
      </c>
      <c r="P59" s="36">
        <f>IFERROR(O59/$AD59,0)</f>
        <v>0.2122610415293342</v>
      </c>
      <c r="Q59" s="16">
        <v>2999</v>
      </c>
      <c r="R59" s="36">
        <f>IFERROR(Q59/$AC59,0)</f>
        <v>0.19708221068541762</v>
      </c>
      <c r="S59" s="17">
        <v>170</v>
      </c>
      <c r="T59" s="36">
        <f>IFERROR(S59/$AD59,0)</f>
        <v>0.11206328279499012</v>
      </c>
      <c r="U59" s="16">
        <v>1203</v>
      </c>
      <c r="V59" s="36">
        <f>IFERROR(U59/$AC59,0)</f>
        <v>7.9056318591049488E-2</v>
      </c>
      <c r="W59" s="17">
        <v>75</v>
      </c>
      <c r="X59" s="36">
        <f>IFERROR(W59/$AD59,0)</f>
        <v>4.9439683586025046E-2</v>
      </c>
      <c r="Y59" s="17">
        <v>593</v>
      </c>
      <c r="Z59" s="36">
        <f>IFERROR(Y59/$AC59,0)</f>
        <v>3.8969573503318658E-2</v>
      </c>
      <c r="AA59" s="17">
        <v>45</v>
      </c>
      <c r="AB59" s="36">
        <f>IFERROR(AA59/$AD59,0)</f>
        <v>2.9663810151615028E-2</v>
      </c>
      <c r="AC59" s="16">
        <v>15217</v>
      </c>
      <c r="AD59" s="16">
        <v>1517</v>
      </c>
    </row>
    <row r="60" spans="1:30" ht="15.75" customHeight="1" x14ac:dyDescent="0.25">
      <c r="A60" s="35">
        <v>2024</v>
      </c>
      <c r="B60" s="35">
        <v>170980</v>
      </c>
      <c r="C60" s="33" t="str">
        <f>VLOOKUP(B60,procv!$A$2:$D$142,4,FALSE)</f>
        <v>Amor Perfeito</v>
      </c>
      <c r="D60" s="33" t="s">
        <v>63</v>
      </c>
      <c r="E60" s="17">
        <v>7</v>
      </c>
      <c r="F60" s="36">
        <f>IFERROR(E60/$AC60,0)</f>
        <v>1.6548463356973995E-2</v>
      </c>
      <c r="G60" s="17">
        <v>1</v>
      </c>
      <c r="H60" s="36">
        <f>IFERROR(G60/$AD60,0)</f>
        <v>0.02</v>
      </c>
      <c r="I60" s="17">
        <v>98</v>
      </c>
      <c r="J60" s="36">
        <f>IFERROR(I60/$AC60,0)</f>
        <v>0.23167848699763594</v>
      </c>
      <c r="K60" s="17">
        <v>9</v>
      </c>
      <c r="L60" s="36">
        <f>IFERROR(K60/$AD60,0)</f>
        <v>0.18</v>
      </c>
      <c r="M60" s="17">
        <v>153</v>
      </c>
      <c r="N60" s="36">
        <f>IFERROR(M60/$AC60,0)</f>
        <v>0.36170212765957449</v>
      </c>
      <c r="O60" s="17">
        <v>20</v>
      </c>
      <c r="P60" s="36">
        <f>IFERROR(O60/$AD60,0)</f>
        <v>0.4</v>
      </c>
      <c r="Q60" s="17">
        <v>107</v>
      </c>
      <c r="R60" s="36">
        <f>IFERROR(Q60/$AC60,0)</f>
        <v>0.25295508274231676</v>
      </c>
      <c r="S60" s="17">
        <v>14</v>
      </c>
      <c r="T60" s="36">
        <f>IFERROR(S60/$AD60,0)</f>
        <v>0.28000000000000003</v>
      </c>
      <c r="U60" s="17">
        <v>39</v>
      </c>
      <c r="V60" s="36">
        <f>IFERROR(U60/$AC60,0)</f>
        <v>9.2198581560283682E-2</v>
      </c>
      <c r="W60" s="17">
        <v>4</v>
      </c>
      <c r="X60" s="36">
        <f>IFERROR(W60/$AD60,0)</f>
        <v>0.08</v>
      </c>
      <c r="Y60" s="17">
        <v>19</v>
      </c>
      <c r="Z60" s="36">
        <f>IFERROR(Y60/$AC60,0)</f>
        <v>4.4917257683215132E-2</v>
      </c>
      <c r="AA60" s="17">
        <v>2</v>
      </c>
      <c r="AB60" s="36">
        <f>IFERROR(AA60/$AD60,0)</f>
        <v>0.04</v>
      </c>
      <c r="AC60" s="17">
        <v>423</v>
      </c>
      <c r="AD60" s="17">
        <v>50</v>
      </c>
    </row>
    <row r="61" spans="1:30" ht="15.75" customHeight="1" x14ac:dyDescent="0.25">
      <c r="A61" s="35">
        <v>2024</v>
      </c>
      <c r="B61" s="35">
        <v>171050</v>
      </c>
      <c r="C61" s="33" t="str">
        <f>VLOOKUP(B61,procv!$A$2:$D$142,4,FALSE)</f>
        <v>Cerrado Tocantins Araguaia</v>
      </c>
      <c r="D61" s="33" t="s">
        <v>64</v>
      </c>
      <c r="E61" s="17">
        <v>34</v>
      </c>
      <c r="F61" s="36">
        <f>IFERROR(E61/$AC61,0)</f>
        <v>2.316076294277929E-2</v>
      </c>
      <c r="G61" s="17">
        <v>14</v>
      </c>
      <c r="H61" s="36">
        <f>IFERROR(G61/$AD61,0)</f>
        <v>3.7433155080213901E-2</v>
      </c>
      <c r="I61" s="17">
        <v>507</v>
      </c>
      <c r="J61" s="36">
        <f>IFERROR(I61/$AC61,0)</f>
        <v>0.34536784741144416</v>
      </c>
      <c r="K61" s="17">
        <v>127</v>
      </c>
      <c r="L61" s="36">
        <f>IFERROR(K61/$AD61,0)</f>
        <v>0.33957219251336901</v>
      </c>
      <c r="M61" s="17">
        <v>511</v>
      </c>
      <c r="N61" s="36">
        <f>IFERROR(M61/$AC61,0)</f>
        <v>0.34809264305177112</v>
      </c>
      <c r="O61" s="17">
        <v>120</v>
      </c>
      <c r="P61" s="36">
        <f>IFERROR(O61/$AD61,0)</f>
        <v>0.32085561497326204</v>
      </c>
      <c r="Q61" s="17">
        <v>283</v>
      </c>
      <c r="R61" s="36">
        <f>IFERROR(Q61/$AC61,0)</f>
        <v>0.1927792915531335</v>
      </c>
      <c r="S61" s="17">
        <v>75</v>
      </c>
      <c r="T61" s="36">
        <f>IFERROR(S61/$AD61,0)</f>
        <v>0.20053475935828877</v>
      </c>
      <c r="U61" s="17">
        <v>87</v>
      </c>
      <c r="V61" s="36">
        <f>IFERROR(U61/$AC61,0)</f>
        <v>5.9264305177111717E-2</v>
      </c>
      <c r="W61" s="17">
        <v>24</v>
      </c>
      <c r="X61" s="36">
        <f>IFERROR(W61/$AD61,0)</f>
        <v>6.4171122994652413E-2</v>
      </c>
      <c r="Y61" s="17">
        <v>46</v>
      </c>
      <c r="Z61" s="36">
        <f>IFERROR(Y61/$AC61,0)</f>
        <v>3.1335149863760216E-2</v>
      </c>
      <c r="AA61" s="17">
        <v>14</v>
      </c>
      <c r="AB61" s="36">
        <f>IFERROR(AA61/$AD61,0)</f>
        <v>3.7433155080213901E-2</v>
      </c>
      <c r="AC61" s="16">
        <v>1468</v>
      </c>
      <c r="AD61" s="17">
        <v>374</v>
      </c>
    </row>
    <row r="62" spans="1:30" ht="15.75" customHeight="1" x14ac:dyDescent="0.25">
      <c r="A62" s="35">
        <v>2024</v>
      </c>
      <c r="B62" s="35">
        <v>171070</v>
      </c>
      <c r="C62" s="33" t="str">
        <f>VLOOKUP(B62,procv!$A$2:$D$142,4,FALSE)</f>
        <v>Bico do Papagaio</v>
      </c>
      <c r="D62" s="33" t="s">
        <v>65</v>
      </c>
      <c r="E62" s="17">
        <v>32</v>
      </c>
      <c r="F62" s="36">
        <f>IFERROR(E62/$AC62,0)</f>
        <v>2.8169014084507043E-2</v>
      </c>
      <c r="G62" s="17">
        <v>9</v>
      </c>
      <c r="H62" s="36">
        <f>IFERROR(G62/$AD62,0)</f>
        <v>5.5555555555555552E-2</v>
      </c>
      <c r="I62" s="17">
        <v>385</v>
      </c>
      <c r="J62" s="36">
        <f>IFERROR(I62/$AC62,0)</f>
        <v>0.33890845070422537</v>
      </c>
      <c r="K62" s="17">
        <v>62</v>
      </c>
      <c r="L62" s="36">
        <f>IFERROR(K62/$AD62,0)</f>
        <v>0.38271604938271603</v>
      </c>
      <c r="M62" s="17">
        <v>394</v>
      </c>
      <c r="N62" s="36">
        <f>IFERROR(M62/$AC62,0)</f>
        <v>0.34683098591549294</v>
      </c>
      <c r="O62" s="17">
        <v>43</v>
      </c>
      <c r="P62" s="36">
        <f>IFERROR(O62/$AD62,0)</f>
        <v>0.26543209876543211</v>
      </c>
      <c r="Q62" s="17">
        <v>229</v>
      </c>
      <c r="R62" s="36">
        <f>IFERROR(Q62/$AC62,0)</f>
        <v>0.20158450704225353</v>
      </c>
      <c r="S62" s="17">
        <v>33</v>
      </c>
      <c r="T62" s="36">
        <f>IFERROR(S62/$AD62,0)</f>
        <v>0.20370370370370369</v>
      </c>
      <c r="U62" s="17">
        <v>63</v>
      </c>
      <c r="V62" s="36">
        <f>IFERROR(U62/$AC62,0)</f>
        <v>5.5457746478873242E-2</v>
      </c>
      <c r="W62" s="17">
        <v>6</v>
      </c>
      <c r="X62" s="36">
        <f>IFERROR(W62/$AD62,0)</f>
        <v>3.7037037037037035E-2</v>
      </c>
      <c r="Y62" s="17">
        <v>33</v>
      </c>
      <c r="Z62" s="36">
        <f>IFERROR(Y62/$AC62,0)</f>
        <v>2.9049295774647887E-2</v>
      </c>
      <c r="AA62" s="17">
        <v>9</v>
      </c>
      <c r="AB62" s="36">
        <f>IFERROR(AA62/$AD62,0)</f>
        <v>5.5555555555555552E-2</v>
      </c>
      <c r="AC62" s="16">
        <v>1136</v>
      </c>
      <c r="AD62" s="17">
        <v>162</v>
      </c>
    </row>
    <row r="63" spans="1:30" ht="15.75" customHeight="1" x14ac:dyDescent="0.25">
      <c r="A63" s="35">
        <v>2024</v>
      </c>
      <c r="B63" s="35">
        <v>171090</v>
      </c>
      <c r="C63" s="33" t="str">
        <f>VLOOKUP(B63,procv!$A$2:$D$142,4,FALSE)</f>
        <v>Cerrado Tocantins Araguaia</v>
      </c>
      <c r="D63" s="33" t="s">
        <v>66</v>
      </c>
      <c r="E63" s="17">
        <v>19</v>
      </c>
      <c r="F63" s="36">
        <f>IFERROR(E63/$AC63,0)</f>
        <v>1.5163607342378291E-2</v>
      </c>
      <c r="G63" s="17">
        <v>2</v>
      </c>
      <c r="H63" s="36">
        <f>IFERROR(G63/$AD63,0)</f>
        <v>2.0618556701030927E-2</v>
      </c>
      <c r="I63" s="17">
        <v>401</v>
      </c>
      <c r="J63" s="36">
        <f>IFERROR(I63/$AC63,0)</f>
        <v>0.3200319233838787</v>
      </c>
      <c r="K63" s="17">
        <v>33</v>
      </c>
      <c r="L63" s="36">
        <f>IFERROR(K63/$AD63,0)</f>
        <v>0.34020618556701032</v>
      </c>
      <c r="M63" s="17">
        <v>424</v>
      </c>
      <c r="N63" s="36">
        <f>IFERROR(M63/$AC63,0)</f>
        <v>0.33838786911412611</v>
      </c>
      <c r="O63" s="17">
        <v>25</v>
      </c>
      <c r="P63" s="36">
        <f>IFERROR(O63/$AD63,0)</f>
        <v>0.25773195876288657</v>
      </c>
      <c r="Q63" s="17">
        <v>286</v>
      </c>
      <c r="R63" s="36">
        <f>IFERROR(Q63/$AC63,0)</f>
        <v>0.22825219473264166</v>
      </c>
      <c r="S63" s="17">
        <v>26</v>
      </c>
      <c r="T63" s="36">
        <f>IFERROR(S63/$AD63,0)</f>
        <v>0.26804123711340205</v>
      </c>
      <c r="U63" s="17">
        <v>80</v>
      </c>
      <c r="V63" s="36">
        <f>IFERROR(U63/$AC63,0)</f>
        <v>6.3846767757382281E-2</v>
      </c>
      <c r="W63" s="17">
        <v>8</v>
      </c>
      <c r="X63" s="36">
        <f>IFERROR(W63/$AD63,0)</f>
        <v>8.247422680412371E-2</v>
      </c>
      <c r="Y63" s="17">
        <v>43</v>
      </c>
      <c r="Z63" s="36">
        <f>IFERROR(Y63/$AC63,0)</f>
        <v>3.4317637669592976E-2</v>
      </c>
      <c r="AA63" s="17">
        <v>3</v>
      </c>
      <c r="AB63" s="36">
        <f>IFERROR(AA63/$AD63,0)</f>
        <v>3.0927835051546393E-2</v>
      </c>
      <c r="AC63" s="16">
        <v>1253</v>
      </c>
      <c r="AD63" s="17">
        <v>97</v>
      </c>
    </row>
    <row r="64" spans="1:30" ht="15.75" customHeight="1" x14ac:dyDescent="0.25">
      <c r="A64" s="35">
        <v>2024</v>
      </c>
      <c r="B64" s="35">
        <v>171110</v>
      </c>
      <c r="C64" s="33" t="str">
        <f>VLOOKUP(B64,procv!$A$2:$D$142,4,FALSE)</f>
        <v>Cerrado Tocantins Araguaia</v>
      </c>
      <c r="D64" s="33" t="s">
        <v>67</v>
      </c>
      <c r="E64" s="17">
        <v>14</v>
      </c>
      <c r="F64" s="36">
        <f>IFERROR(E64/$AC64,0)</f>
        <v>1.7543859649122806E-2</v>
      </c>
      <c r="G64" s="17">
        <v>0</v>
      </c>
      <c r="H64" s="36">
        <f>IFERROR(G64/$AD64,0)</f>
        <v>0</v>
      </c>
      <c r="I64" s="17">
        <v>242</v>
      </c>
      <c r="J64" s="36">
        <f>IFERROR(I64/$AC64,0)</f>
        <v>0.3032581453634085</v>
      </c>
      <c r="K64" s="17">
        <v>10</v>
      </c>
      <c r="L64" s="36">
        <f>IFERROR(K64/$AD64,0)</f>
        <v>0.21739130434782608</v>
      </c>
      <c r="M64" s="17">
        <v>281</v>
      </c>
      <c r="N64" s="36">
        <f>IFERROR(M64/$AC64,0)</f>
        <v>0.35213032581453635</v>
      </c>
      <c r="O64" s="17">
        <v>13</v>
      </c>
      <c r="P64" s="36">
        <f>IFERROR(O64/$AD64,0)</f>
        <v>0.28260869565217389</v>
      </c>
      <c r="Q64" s="17">
        <v>175</v>
      </c>
      <c r="R64" s="36">
        <f>IFERROR(Q64/$AC64,0)</f>
        <v>0.21929824561403508</v>
      </c>
      <c r="S64" s="17">
        <v>17</v>
      </c>
      <c r="T64" s="36">
        <f>IFERROR(S64/$AD64,0)</f>
        <v>0.36956521739130432</v>
      </c>
      <c r="U64" s="17">
        <v>55</v>
      </c>
      <c r="V64" s="36">
        <f>IFERROR(U64/$AC64,0)</f>
        <v>6.8922305764411024E-2</v>
      </c>
      <c r="W64" s="17">
        <v>4</v>
      </c>
      <c r="X64" s="36">
        <f>IFERROR(W64/$AD64,0)</f>
        <v>8.6956521739130432E-2</v>
      </c>
      <c r="Y64" s="17">
        <v>31</v>
      </c>
      <c r="Z64" s="36">
        <f>IFERROR(Y64/$AC64,0)</f>
        <v>3.8847117794486213E-2</v>
      </c>
      <c r="AA64" s="17">
        <v>2</v>
      </c>
      <c r="AB64" s="36">
        <f>IFERROR(AA64/$AD64,0)</f>
        <v>4.3478260869565216E-2</v>
      </c>
      <c r="AC64" s="17">
        <v>798</v>
      </c>
      <c r="AD64" s="17">
        <v>46</v>
      </c>
    </row>
    <row r="65" spans="1:30" ht="15.75" customHeight="1" x14ac:dyDescent="0.25">
      <c r="A65" s="35">
        <v>2024</v>
      </c>
      <c r="B65" s="35">
        <v>171150</v>
      </c>
      <c r="C65" s="33" t="str">
        <f>VLOOKUP(B65,procv!$A$2:$D$142,4,FALSE)</f>
        <v>Ilha do Bananal</v>
      </c>
      <c r="D65" s="33" t="s">
        <v>68</v>
      </c>
      <c r="E65" s="17">
        <v>18</v>
      </c>
      <c r="F65" s="36">
        <f>IFERROR(E65/$AC65,0)</f>
        <v>1.5113350125944584E-2</v>
      </c>
      <c r="G65" s="17">
        <v>0</v>
      </c>
      <c r="H65" s="36">
        <f>IFERROR(G65/$AD65,0)</f>
        <v>0</v>
      </c>
      <c r="I65" s="17">
        <v>419</v>
      </c>
      <c r="J65" s="36">
        <f>IFERROR(I65/$AC65,0)</f>
        <v>0.35180520570948781</v>
      </c>
      <c r="K65" s="17">
        <v>35</v>
      </c>
      <c r="L65" s="36">
        <f>IFERROR(K65/$AD65,0)</f>
        <v>0.37634408602150538</v>
      </c>
      <c r="M65" s="17">
        <v>425</v>
      </c>
      <c r="N65" s="36">
        <f>IFERROR(M65/$AC65,0)</f>
        <v>0.35684298908480266</v>
      </c>
      <c r="O65" s="17">
        <v>28</v>
      </c>
      <c r="P65" s="36">
        <f>IFERROR(O65/$AD65,0)</f>
        <v>0.30107526881720431</v>
      </c>
      <c r="Q65" s="17">
        <v>211</v>
      </c>
      <c r="R65" s="36">
        <f>IFERROR(Q65/$AC65,0)</f>
        <v>0.17716204869857263</v>
      </c>
      <c r="S65" s="17">
        <v>19</v>
      </c>
      <c r="T65" s="36">
        <f>IFERROR(S65/$AD65,0)</f>
        <v>0.20430107526881722</v>
      </c>
      <c r="U65" s="17">
        <v>79</v>
      </c>
      <c r="V65" s="36">
        <f>IFERROR(U65/$AC65,0)</f>
        <v>6.633081444164568E-2</v>
      </c>
      <c r="W65" s="17">
        <v>7</v>
      </c>
      <c r="X65" s="36">
        <f>IFERROR(W65/$AD65,0)</f>
        <v>7.5268817204301078E-2</v>
      </c>
      <c r="Y65" s="17">
        <v>39</v>
      </c>
      <c r="Z65" s="36">
        <f>IFERROR(Y65/$AC65,0)</f>
        <v>3.2745591939546598E-2</v>
      </c>
      <c r="AA65" s="17">
        <v>4</v>
      </c>
      <c r="AB65" s="36">
        <f>IFERROR(AA65/$AD65,0)</f>
        <v>4.3010752688172046E-2</v>
      </c>
      <c r="AC65" s="16">
        <v>1191</v>
      </c>
      <c r="AD65" s="17">
        <v>93</v>
      </c>
    </row>
    <row r="66" spans="1:30" ht="15.75" customHeight="1" x14ac:dyDescent="0.25">
      <c r="A66" s="35">
        <v>2024</v>
      </c>
      <c r="B66" s="35">
        <v>171180</v>
      </c>
      <c r="C66" s="33" t="str">
        <f>VLOOKUP(B66,procv!$A$2:$D$142,4,FALSE)</f>
        <v>Cerrado Tocantins Araguaia</v>
      </c>
      <c r="D66" s="33" t="s">
        <v>69</v>
      </c>
      <c r="E66" s="17">
        <v>17</v>
      </c>
      <c r="F66" s="36">
        <f>IFERROR(E66/$AC66,0)</f>
        <v>2.2222222222222223E-2</v>
      </c>
      <c r="G66" s="17">
        <v>2</v>
      </c>
      <c r="H66" s="36">
        <f>IFERROR(G66/$AD66,0)</f>
        <v>5.8823529411764705E-2</v>
      </c>
      <c r="I66" s="17">
        <v>238</v>
      </c>
      <c r="J66" s="36">
        <f>IFERROR(I66/$AC66,0)</f>
        <v>0.31111111111111112</v>
      </c>
      <c r="K66" s="17">
        <v>18</v>
      </c>
      <c r="L66" s="36">
        <f>IFERROR(K66/$AD66,0)</f>
        <v>0.52941176470588236</v>
      </c>
      <c r="M66" s="17">
        <v>266</v>
      </c>
      <c r="N66" s="36">
        <f>IFERROR(M66/$AC66,0)</f>
        <v>0.34771241830065358</v>
      </c>
      <c r="O66" s="17">
        <v>7</v>
      </c>
      <c r="P66" s="36">
        <f>IFERROR(O66/$AD66,0)</f>
        <v>0.20588235294117646</v>
      </c>
      <c r="Q66" s="17">
        <v>152</v>
      </c>
      <c r="R66" s="36">
        <f>IFERROR(Q66/$AC66,0)</f>
        <v>0.19869281045751633</v>
      </c>
      <c r="S66" s="17">
        <v>3</v>
      </c>
      <c r="T66" s="36">
        <f>IFERROR(S66/$AD66,0)</f>
        <v>8.8235294117647065E-2</v>
      </c>
      <c r="U66" s="17">
        <v>65</v>
      </c>
      <c r="V66" s="36">
        <f>IFERROR(U66/$AC66,0)</f>
        <v>8.4967320261437912E-2</v>
      </c>
      <c r="W66" s="17">
        <v>2</v>
      </c>
      <c r="X66" s="36">
        <f>IFERROR(W66/$AD66,0)</f>
        <v>5.8823529411764705E-2</v>
      </c>
      <c r="Y66" s="17">
        <v>27</v>
      </c>
      <c r="Z66" s="36">
        <f>IFERROR(Y66/$AC66,0)</f>
        <v>3.5294117647058823E-2</v>
      </c>
      <c r="AA66" s="17">
        <v>2</v>
      </c>
      <c r="AB66" s="36">
        <f>IFERROR(AA66/$AD66,0)</f>
        <v>5.8823529411764705E-2</v>
      </c>
      <c r="AC66" s="17">
        <v>765</v>
      </c>
      <c r="AD66" s="17">
        <v>34</v>
      </c>
    </row>
    <row r="67" spans="1:30" ht="15.75" customHeight="1" x14ac:dyDescent="0.25">
      <c r="A67" s="35">
        <v>2024</v>
      </c>
      <c r="B67" s="35">
        <v>171190</v>
      </c>
      <c r="C67" s="33" t="str">
        <f>VLOOKUP(B67,procv!$A$2:$D$142,4,FALSE)</f>
        <v>Cantão</v>
      </c>
      <c r="D67" s="33" t="s">
        <v>70</v>
      </c>
      <c r="E67" s="17">
        <v>34</v>
      </c>
      <c r="F67" s="36">
        <f>IFERROR(E67/$AC67,0)</f>
        <v>3.2786885245901641E-2</v>
      </c>
      <c r="G67" s="17">
        <v>23</v>
      </c>
      <c r="H67" s="36">
        <f>IFERROR(G67/$AD67,0)</f>
        <v>4.1970802919708027E-2</v>
      </c>
      <c r="I67" s="17">
        <v>360</v>
      </c>
      <c r="J67" s="36">
        <f>IFERROR(I67/$AC67,0)</f>
        <v>0.34715525554484089</v>
      </c>
      <c r="K67" s="17">
        <v>217</v>
      </c>
      <c r="L67" s="36">
        <f>IFERROR(K67/$AD67,0)</f>
        <v>0.395985401459854</v>
      </c>
      <c r="M67" s="17">
        <v>320</v>
      </c>
      <c r="N67" s="36">
        <f>IFERROR(M67/$AC67,0)</f>
        <v>0.3085824493731919</v>
      </c>
      <c r="O67" s="17">
        <v>166</v>
      </c>
      <c r="P67" s="36">
        <f>IFERROR(O67/$AD67,0)</f>
        <v>0.3029197080291971</v>
      </c>
      <c r="Q67" s="17">
        <v>185</v>
      </c>
      <c r="R67" s="36">
        <f>IFERROR(Q67/$AC67,0)</f>
        <v>0.17839922854387658</v>
      </c>
      <c r="S67" s="17">
        <v>79</v>
      </c>
      <c r="T67" s="36">
        <f>IFERROR(S67/$AD67,0)</f>
        <v>0.14416058394160583</v>
      </c>
      <c r="U67" s="17">
        <v>95</v>
      </c>
      <c r="V67" s="36">
        <f>IFERROR(U67/$AC67,0)</f>
        <v>9.1610414657666339E-2</v>
      </c>
      <c r="W67" s="17">
        <v>41</v>
      </c>
      <c r="X67" s="36">
        <f>IFERROR(W67/$AD67,0)</f>
        <v>7.4817518248175188E-2</v>
      </c>
      <c r="Y67" s="17">
        <v>43</v>
      </c>
      <c r="Z67" s="36">
        <f>IFERROR(Y67/$AC67,0)</f>
        <v>4.1465766634522665E-2</v>
      </c>
      <c r="AA67" s="17">
        <v>22</v>
      </c>
      <c r="AB67" s="36">
        <f>IFERROR(AA67/$AD67,0)</f>
        <v>4.0145985401459854E-2</v>
      </c>
      <c r="AC67" s="16">
        <v>1037</v>
      </c>
      <c r="AD67" s="17">
        <v>548</v>
      </c>
    </row>
    <row r="68" spans="1:30" ht="15.75" customHeight="1" x14ac:dyDescent="0.25">
      <c r="A68" s="35">
        <v>2024</v>
      </c>
      <c r="B68" s="35">
        <v>171195</v>
      </c>
      <c r="C68" s="33" t="str">
        <f>VLOOKUP(B68,procv!$A$2:$D$142,4,FALSE)</f>
        <v>Capim Dourado</v>
      </c>
      <c r="D68" s="33" t="s">
        <v>71</v>
      </c>
      <c r="E68" s="17">
        <v>33</v>
      </c>
      <c r="F68" s="36">
        <f>IFERROR(E68/$AC68,0)</f>
        <v>2.3141654978962131E-2</v>
      </c>
      <c r="G68" s="17">
        <v>6</v>
      </c>
      <c r="H68" s="36">
        <f>IFERROR(G68/$AD68,0)</f>
        <v>5.2631578947368418E-2</v>
      </c>
      <c r="I68" s="17">
        <v>537</v>
      </c>
      <c r="J68" s="36">
        <f>IFERROR(I68/$AC68,0)</f>
        <v>0.37657784011220197</v>
      </c>
      <c r="K68" s="17">
        <v>46</v>
      </c>
      <c r="L68" s="36">
        <f>IFERROR(K68/$AD68,0)</f>
        <v>0.40350877192982454</v>
      </c>
      <c r="M68" s="17">
        <v>496</v>
      </c>
      <c r="N68" s="36">
        <f>IFERROR(M68/$AC68,0)</f>
        <v>0.34782608695652173</v>
      </c>
      <c r="O68" s="17">
        <v>31</v>
      </c>
      <c r="P68" s="36">
        <f>IFERROR(O68/$AD68,0)</f>
        <v>0.27192982456140352</v>
      </c>
      <c r="Q68" s="17">
        <v>245</v>
      </c>
      <c r="R68" s="36">
        <f>IFERROR(Q68/$AC68,0)</f>
        <v>0.17180925666199159</v>
      </c>
      <c r="S68" s="17">
        <v>23</v>
      </c>
      <c r="T68" s="36">
        <f>IFERROR(S68/$AD68,0)</f>
        <v>0.20175438596491227</v>
      </c>
      <c r="U68" s="17">
        <v>82</v>
      </c>
      <c r="V68" s="36">
        <f>IFERROR(U68/$AC68,0)</f>
        <v>5.7503506311360447E-2</v>
      </c>
      <c r="W68" s="17">
        <v>6</v>
      </c>
      <c r="X68" s="36">
        <f>IFERROR(W68/$AD68,0)</f>
        <v>5.2631578947368418E-2</v>
      </c>
      <c r="Y68" s="17">
        <v>33</v>
      </c>
      <c r="Z68" s="36">
        <f>IFERROR(Y68/$AC68,0)</f>
        <v>2.3141654978962131E-2</v>
      </c>
      <c r="AA68" s="17">
        <v>2</v>
      </c>
      <c r="AB68" s="36">
        <f>IFERROR(AA68/$AD68,0)</f>
        <v>1.7543859649122806E-2</v>
      </c>
      <c r="AC68" s="16">
        <v>1426</v>
      </c>
      <c r="AD68" s="17">
        <v>114</v>
      </c>
    </row>
    <row r="69" spans="1:30" ht="15.75" customHeight="1" x14ac:dyDescent="0.25">
      <c r="A69" s="35">
        <v>2024</v>
      </c>
      <c r="B69" s="35">
        <v>171200</v>
      </c>
      <c r="C69" s="33" t="str">
        <f>VLOOKUP(B69,procv!$A$2:$D$142,4,FALSE)</f>
        <v>Capim Dourado</v>
      </c>
      <c r="D69" s="33" t="s">
        <v>72</v>
      </c>
      <c r="E69" s="17">
        <v>2</v>
      </c>
      <c r="F69" s="36">
        <f>IFERROR(E69/$AC69,0)</f>
        <v>1.5267175572519083E-2</v>
      </c>
      <c r="G69" s="17">
        <v>1</v>
      </c>
      <c r="H69" s="36">
        <f>IFERROR(G69/$AD69,0)</f>
        <v>3.8461538461538464E-2</v>
      </c>
      <c r="I69" s="17">
        <v>44</v>
      </c>
      <c r="J69" s="36">
        <f>IFERROR(I69/$AC69,0)</f>
        <v>0.33587786259541985</v>
      </c>
      <c r="K69" s="17">
        <v>9</v>
      </c>
      <c r="L69" s="36">
        <f>IFERROR(K69/$AD69,0)</f>
        <v>0.34615384615384615</v>
      </c>
      <c r="M69" s="17">
        <v>49</v>
      </c>
      <c r="N69" s="36">
        <f>IFERROR(M69/$AC69,0)</f>
        <v>0.37404580152671757</v>
      </c>
      <c r="O69" s="17">
        <v>12</v>
      </c>
      <c r="P69" s="36">
        <f>IFERROR(O69/$AD69,0)</f>
        <v>0.46153846153846156</v>
      </c>
      <c r="Q69" s="17">
        <v>25</v>
      </c>
      <c r="R69" s="36">
        <f>IFERROR(Q69/$AC69,0)</f>
        <v>0.19083969465648856</v>
      </c>
      <c r="S69" s="17">
        <v>4</v>
      </c>
      <c r="T69" s="36">
        <f>IFERROR(S69/$AD69,0)</f>
        <v>0.15384615384615385</v>
      </c>
      <c r="U69" s="17">
        <v>6</v>
      </c>
      <c r="V69" s="36">
        <f>IFERROR(U69/$AC69,0)</f>
        <v>4.5801526717557252E-2</v>
      </c>
      <c r="W69" s="17">
        <v>0</v>
      </c>
      <c r="X69" s="36">
        <f>IFERROR(W69/$AD69,0)</f>
        <v>0</v>
      </c>
      <c r="Y69" s="17">
        <v>5</v>
      </c>
      <c r="Z69" s="36">
        <f>IFERROR(Y69/$AC69,0)</f>
        <v>3.8167938931297711E-2</v>
      </c>
      <c r="AA69" s="17">
        <v>0</v>
      </c>
      <c r="AB69" s="36">
        <f>IFERROR(AA69/$AD69,0)</f>
        <v>0</v>
      </c>
      <c r="AC69" s="17">
        <v>131</v>
      </c>
      <c r="AD69" s="17">
        <v>26</v>
      </c>
    </row>
    <row r="70" spans="1:30" ht="15.75" customHeight="1" x14ac:dyDescent="0.25">
      <c r="A70" s="35">
        <v>2024</v>
      </c>
      <c r="B70" s="35">
        <v>171215</v>
      </c>
      <c r="C70" s="33" t="str">
        <f>VLOOKUP(B70,procv!$A$2:$D$142,4,FALSE)</f>
        <v>Sudeste</v>
      </c>
      <c r="D70" s="33" t="s">
        <v>73</v>
      </c>
      <c r="E70" s="17">
        <v>11</v>
      </c>
      <c r="F70" s="36">
        <f>IFERROR(E70/$AC70,0)</f>
        <v>1.9230769230769232E-2</v>
      </c>
      <c r="G70" s="17">
        <v>2</v>
      </c>
      <c r="H70" s="36">
        <f>IFERROR(G70/$AD70,0)</f>
        <v>6.0606060606060608E-2</v>
      </c>
      <c r="I70" s="17">
        <v>181</v>
      </c>
      <c r="J70" s="36">
        <f>IFERROR(I70/$AC70,0)</f>
        <v>0.31643356643356646</v>
      </c>
      <c r="K70" s="17">
        <v>11</v>
      </c>
      <c r="L70" s="36">
        <f>IFERROR(K70/$AD70,0)</f>
        <v>0.33333333333333331</v>
      </c>
      <c r="M70" s="17">
        <v>193</v>
      </c>
      <c r="N70" s="36">
        <f>IFERROR(M70/$AC70,0)</f>
        <v>0.33741258741258739</v>
      </c>
      <c r="O70" s="17">
        <v>8</v>
      </c>
      <c r="P70" s="36">
        <f>IFERROR(O70/$AD70,0)</f>
        <v>0.24242424242424243</v>
      </c>
      <c r="Q70" s="17">
        <v>128</v>
      </c>
      <c r="R70" s="36">
        <f>IFERROR(Q70/$AC70,0)</f>
        <v>0.22377622377622378</v>
      </c>
      <c r="S70" s="17">
        <v>8</v>
      </c>
      <c r="T70" s="36">
        <f>IFERROR(S70/$AD70,0)</f>
        <v>0.24242424242424243</v>
      </c>
      <c r="U70" s="17">
        <v>43</v>
      </c>
      <c r="V70" s="36">
        <f>IFERROR(U70/$AC70,0)</f>
        <v>7.5174825174825169E-2</v>
      </c>
      <c r="W70" s="17">
        <v>2</v>
      </c>
      <c r="X70" s="36">
        <f>IFERROR(W70/$AD70,0)</f>
        <v>6.0606060606060608E-2</v>
      </c>
      <c r="Y70" s="17">
        <v>16</v>
      </c>
      <c r="Z70" s="36">
        <f>IFERROR(Y70/$AC70,0)</f>
        <v>2.7972027972027972E-2</v>
      </c>
      <c r="AA70" s="17">
        <v>2</v>
      </c>
      <c r="AB70" s="36">
        <f>IFERROR(AA70/$AD70,0)</f>
        <v>6.0606060606060608E-2</v>
      </c>
      <c r="AC70" s="17">
        <v>572</v>
      </c>
      <c r="AD70" s="17">
        <v>33</v>
      </c>
    </row>
    <row r="71" spans="1:30" ht="15.75" customHeight="1" x14ac:dyDescent="0.25">
      <c r="A71" s="35">
        <v>2024</v>
      </c>
      <c r="B71" s="35">
        <v>171240</v>
      </c>
      <c r="C71" s="33" t="str">
        <f>VLOOKUP(B71,procv!$A$2:$D$142,4,FALSE)</f>
        <v>Capim Dourado</v>
      </c>
      <c r="D71" s="33" t="s">
        <v>74</v>
      </c>
      <c r="E71" s="17">
        <v>14</v>
      </c>
      <c r="F71" s="36">
        <f>IFERROR(E71/$AC71,0)</f>
        <v>2.2435897435897436E-2</v>
      </c>
      <c r="G71" s="17">
        <v>7</v>
      </c>
      <c r="H71" s="36">
        <f>IFERROR(G71/$AD71,0)</f>
        <v>3.783783783783784E-2</v>
      </c>
      <c r="I71" s="17">
        <v>206</v>
      </c>
      <c r="J71" s="36">
        <f>IFERROR(I71/$AC71,0)</f>
        <v>0.33012820512820512</v>
      </c>
      <c r="K71" s="17">
        <v>66</v>
      </c>
      <c r="L71" s="36">
        <f>IFERROR(K71/$AD71,0)</f>
        <v>0.35675675675675678</v>
      </c>
      <c r="M71" s="17">
        <v>253</v>
      </c>
      <c r="N71" s="36">
        <f>IFERROR(M71/$AC71,0)</f>
        <v>0.40544871794871795</v>
      </c>
      <c r="O71" s="17">
        <v>66</v>
      </c>
      <c r="P71" s="36">
        <f>IFERROR(O71/$AD71,0)</f>
        <v>0.35675675675675678</v>
      </c>
      <c r="Q71" s="17">
        <v>114</v>
      </c>
      <c r="R71" s="36">
        <f>IFERROR(Q71/$AC71,0)</f>
        <v>0.18269230769230768</v>
      </c>
      <c r="S71" s="17">
        <v>36</v>
      </c>
      <c r="T71" s="36">
        <f>IFERROR(S71/$AD71,0)</f>
        <v>0.19459459459459461</v>
      </c>
      <c r="U71" s="17">
        <v>30</v>
      </c>
      <c r="V71" s="36">
        <f>IFERROR(U71/$AC71,0)</f>
        <v>4.807692307692308E-2</v>
      </c>
      <c r="W71" s="17">
        <v>9</v>
      </c>
      <c r="X71" s="36">
        <f>IFERROR(W71/$AD71,0)</f>
        <v>4.8648648648648651E-2</v>
      </c>
      <c r="Y71" s="17">
        <v>7</v>
      </c>
      <c r="Z71" s="36">
        <f>IFERROR(Y71/$AC71,0)</f>
        <v>1.1217948717948718E-2</v>
      </c>
      <c r="AA71" s="17">
        <v>1</v>
      </c>
      <c r="AB71" s="36">
        <f>IFERROR(AA71/$AD71,0)</f>
        <v>5.4054054054054057E-3</v>
      </c>
      <c r="AC71" s="17">
        <v>624</v>
      </c>
      <c r="AD71" s="17">
        <v>185</v>
      </c>
    </row>
    <row r="72" spans="1:30" ht="15.75" customHeight="1" x14ac:dyDescent="0.25">
      <c r="A72" s="35">
        <v>2024</v>
      </c>
      <c r="B72" s="35">
        <v>171245</v>
      </c>
      <c r="C72" s="33" t="str">
        <f>VLOOKUP(B72,procv!$A$2:$D$142,4,FALSE)</f>
        <v>Bico do Papagaio</v>
      </c>
      <c r="D72" s="33" t="s">
        <v>75</v>
      </c>
      <c r="E72" s="17">
        <v>21</v>
      </c>
      <c r="F72" s="36">
        <f>IFERROR(E72/$AC72,0)</f>
        <v>1.9571295433364399E-2</v>
      </c>
      <c r="G72" s="17">
        <v>4</v>
      </c>
      <c r="H72" s="36">
        <f>IFERROR(G72/$AD72,0)</f>
        <v>3.7735849056603772E-2</v>
      </c>
      <c r="I72" s="17">
        <v>345</v>
      </c>
      <c r="J72" s="36">
        <f>IFERROR(I72/$AC72,0)</f>
        <v>0.32152842497670087</v>
      </c>
      <c r="K72" s="17">
        <v>35</v>
      </c>
      <c r="L72" s="36">
        <f>IFERROR(K72/$AD72,0)</f>
        <v>0.330188679245283</v>
      </c>
      <c r="M72" s="17">
        <v>388</v>
      </c>
      <c r="N72" s="36">
        <f>IFERROR(M72/$AC72,0)</f>
        <v>0.36160298229263749</v>
      </c>
      <c r="O72" s="17">
        <v>42</v>
      </c>
      <c r="P72" s="36">
        <f>IFERROR(O72/$AD72,0)</f>
        <v>0.39622641509433965</v>
      </c>
      <c r="Q72" s="17">
        <v>228</v>
      </c>
      <c r="R72" s="36">
        <f>IFERROR(Q72/$AC72,0)</f>
        <v>0.21248835041938491</v>
      </c>
      <c r="S72" s="17">
        <v>22</v>
      </c>
      <c r="T72" s="36">
        <f>IFERROR(S72/$AD72,0)</f>
        <v>0.20754716981132076</v>
      </c>
      <c r="U72" s="17">
        <v>56</v>
      </c>
      <c r="V72" s="36">
        <f>IFERROR(U72/$AC72,0)</f>
        <v>5.2190121155638397E-2</v>
      </c>
      <c r="W72" s="17">
        <v>2</v>
      </c>
      <c r="X72" s="36">
        <f>IFERROR(W72/$AD72,0)</f>
        <v>1.8867924528301886E-2</v>
      </c>
      <c r="Y72" s="17">
        <v>35</v>
      </c>
      <c r="Z72" s="36">
        <f>IFERROR(Y72/$AC72,0)</f>
        <v>3.2618825722273995E-2</v>
      </c>
      <c r="AA72" s="17">
        <v>1</v>
      </c>
      <c r="AB72" s="36">
        <f>IFERROR(AA72/$AD72,0)</f>
        <v>9.433962264150943E-3</v>
      </c>
      <c r="AC72" s="16">
        <v>1073</v>
      </c>
      <c r="AD72" s="17">
        <v>106</v>
      </c>
    </row>
    <row r="73" spans="1:30" ht="15.75" customHeight="1" x14ac:dyDescent="0.25">
      <c r="A73" s="35">
        <v>2024</v>
      </c>
      <c r="B73" s="35">
        <v>171250</v>
      </c>
      <c r="C73" s="33" t="str">
        <f>VLOOKUP(B73,procv!$A$2:$D$142,4,FALSE)</f>
        <v>Cantão</v>
      </c>
      <c r="D73" s="33" t="s">
        <v>76</v>
      </c>
      <c r="E73" s="17">
        <v>26</v>
      </c>
      <c r="F73" s="36">
        <f>IFERROR(E73/$AC73,0)</f>
        <v>1.7082785808147174E-2</v>
      </c>
      <c r="G73" s="17">
        <v>3</v>
      </c>
      <c r="H73" s="36">
        <f>IFERROR(G73/$AD73,0)</f>
        <v>2.9702970297029702E-2</v>
      </c>
      <c r="I73" s="17">
        <v>473</v>
      </c>
      <c r="J73" s="36">
        <f>IFERROR(I73/$AC73,0)</f>
        <v>0.31077529566360051</v>
      </c>
      <c r="K73" s="17">
        <v>27</v>
      </c>
      <c r="L73" s="36">
        <f>IFERROR(K73/$AD73,0)</f>
        <v>0.26732673267326734</v>
      </c>
      <c r="M73" s="17">
        <v>545</v>
      </c>
      <c r="N73" s="36">
        <f>IFERROR(M73/$AC73,0)</f>
        <v>0.35808147174770039</v>
      </c>
      <c r="O73" s="17">
        <v>29</v>
      </c>
      <c r="P73" s="36">
        <f>IFERROR(O73/$AD73,0)</f>
        <v>0.28712871287128711</v>
      </c>
      <c r="Q73" s="17">
        <v>294</v>
      </c>
      <c r="R73" s="36">
        <f>IFERROR(Q73/$AC73,0)</f>
        <v>0.19316688567674112</v>
      </c>
      <c r="S73" s="17">
        <v>23</v>
      </c>
      <c r="T73" s="36">
        <f>IFERROR(S73/$AD73,0)</f>
        <v>0.22772277227722773</v>
      </c>
      <c r="U73" s="17">
        <v>120</v>
      </c>
      <c r="V73" s="36">
        <f>IFERROR(U73/$AC73,0)</f>
        <v>7.8843626806833114E-2</v>
      </c>
      <c r="W73" s="17">
        <v>12</v>
      </c>
      <c r="X73" s="36">
        <f>IFERROR(W73/$AD73,0)</f>
        <v>0.11881188118811881</v>
      </c>
      <c r="Y73" s="17">
        <v>64</v>
      </c>
      <c r="Z73" s="36">
        <f>IFERROR(Y73/$AC73,0)</f>
        <v>4.2049934296977662E-2</v>
      </c>
      <c r="AA73" s="17">
        <v>7</v>
      </c>
      <c r="AB73" s="36">
        <f>IFERROR(AA73/$AD73,0)</f>
        <v>6.9306930693069313E-2</v>
      </c>
      <c r="AC73" s="16">
        <v>1522</v>
      </c>
      <c r="AD73" s="17">
        <v>101</v>
      </c>
    </row>
    <row r="74" spans="1:30" ht="15.75" customHeight="1" x14ac:dyDescent="0.25">
      <c r="A74" s="35">
        <v>2024</v>
      </c>
      <c r="B74" s="35">
        <v>171270</v>
      </c>
      <c r="C74" s="33" t="str">
        <f>VLOOKUP(B74,procv!$A$2:$D$142,4,FALSE)</f>
        <v>Amor Perfeito</v>
      </c>
      <c r="D74" s="33" t="s">
        <v>77</v>
      </c>
      <c r="E74" s="17">
        <v>10</v>
      </c>
      <c r="F74" s="36">
        <f>IFERROR(E74/$AC74,0)</f>
        <v>1.2195121951219513E-2</v>
      </c>
      <c r="G74" s="17">
        <v>0</v>
      </c>
      <c r="H74" s="36">
        <f>IFERROR(G74/$AD74,0)</f>
        <v>0</v>
      </c>
      <c r="I74" s="17">
        <v>301</v>
      </c>
      <c r="J74" s="36">
        <f>IFERROR(I74/$AC74,0)</f>
        <v>0.36707317073170731</v>
      </c>
      <c r="K74" s="17">
        <v>45</v>
      </c>
      <c r="L74" s="36">
        <f>IFERROR(K74/$AD74,0)</f>
        <v>0.43269230769230771</v>
      </c>
      <c r="M74" s="17">
        <v>291</v>
      </c>
      <c r="N74" s="36">
        <f>IFERROR(M74/$AC74,0)</f>
        <v>0.35487804878048779</v>
      </c>
      <c r="O74" s="17">
        <v>38</v>
      </c>
      <c r="P74" s="36">
        <f>IFERROR(O74/$AD74,0)</f>
        <v>0.36538461538461536</v>
      </c>
      <c r="Q74" s="17">
        <v>166</v>
      </c>
      <c r="R74" s="36">
        <f>IFERROR(Q74/$AC74,0)</f>
        <v>0.20243902439024392</v>
      </c>
      <c r="S74" s="17">
        <v>15</v>
      </c>
      <c r="T74" s="36">
        <f>IFERROR(S74/$AD74,0)</f>
        <v>0.14423076923076922</v>
      </c>
      <c r="U74" s="17">
        <v>42</v>
      </c>
      <c r="V74" s="36">
        <f>IFERROR(U74/$AC74,0)</f>
        <v>5.1219512195121948E-2</v>
      </c>
      <c r="W74" s="17">
        <v>5</v>
      </c>
      <c r="X74" s="36">
        <f>IFERROR(W74/$AD74,0)</f>
        <v>4.807692307692308E-2</v>
      </c>
      <c r="Y74" s="17">
        <v>10</v>
      </c>
      <c r="Z74" s="36">
        <f>IFERROR(Y74/$AC74,0)</f>
        <v>1.2195121951219513E-2</v>
      </c>
      <c r="AA74" s="17">
        <v>1</v>
      </c>
      <c r="AB74" s="36">
        <f>IFERROR(AA74/$AD74,0)</f>
        <v>9.6153846153846159E-3</v>
      </c>
      <c r="AC74" s="17">
        <v>820</v>
      </c>
      <c r="AD74" s="17">
        <v>104</v>
      </c>
    </row>
    <row r="75" spans="1:30" ht="15.75" customHeight="1" x14ac:dyDescent="0.25">
      <c r="A75" s="35">
        <v>2024</v>
      </c>
      <c r="B75" s="35">
        <v>171280</v>
      </c>
      <c r="C75" s="33" t="str">
        <f>VLOOKUP(B75,procv!$A$2:$D$142,4,FALSE)</f>
        <v>Bico do Papagaio</v>
      </c>
      <c r="D75" s="33" t="s">
        <v>78</v>
      </c>
      <c r="E75" s="17">
        <v>18</v>
      </c>
      <c r="F75" s="36">
        <f>IFERROR(E75/$AC75,0)</f>
        <v>1.5477214101461736E-2</v>
      </c>
      <c r="G75" s="17">
        <v>1</v>
      </c>
      <c r="H75" s="36">
        <f>IFERROR(G75/$AD75,0)</f>
        <v>6.9444444444444441E-3</v>
      </c>
      <c r="I75" s="17">
        <v>394</v>
      </c>
      <c r="J75" s="36">
        <f>IFERROR(I75/$AC75,0)</f>
        <v>0.33877901977644026</v>
      </c>
      <c r="K75" s="17">
        <v>46</v>
      </c>
      <c r="L75" s="36">
        <f>IFERROR(K75/$AD75,0)</f>
        <v>0.31944444444444442</v>
      </c>
      <c r="M75" s="17">
        <v>384</v>
      </c>
      <c r="N75" s="36">
        <f>IFERROR(M75/$AC75,0)</f>
        <v>0.33018056749785041</v>
      </c>
      <c r="O75" s="17">
        <v>53</v>
      </c>
      <c r="P75" s="36">
        <f>IFERROR(O75/$AD75,0)</f>
        <v>0.36805555555555558</v>
      </c>
      <c r="Q75" s="17">
        <v>241</v>
      </c>
      <c r="R75" s="36">
        <f>IFERROR(Q75/$AC75,0)</f>
        <v>0.20722269991401548</v>
      </c>
      <c r="S75" s="17">
        <v>32</v>
      </c>
      <c r="T75" s="36">
        <f>IFERROR(S75/$AD75,0)</f>
        <v>0.22222222222222221</v>
      </c>
      <c r="U75" s="17">
        <v>98</v>
      </c>
      <c r="V75" s="36">
        <f>IFERROR(U75/$AC75,0)</f>
        <v>8.4264832330180561E-2</v>
      </c>
      <c r="W75" s="17">
        <v>8</v>
      </c>
      <c r="X75" s="36">
        <f>IFERROR(W75/$AD75,0)</f>
        <v>5.5555555555555552E-2</v>
      </c>
      <c r="Y75" s="17">
        <v>28</v>
      </c>
      <c r="Z75" s="36">
        <f>IFERROR(Y75/$AC75,0)</f>
        <v>2.407566638005159E-2</v>
      </c>
      <c r="AA75" s="17">
        <v>4</v>
      </c>
      <c r="AB75" s="36">
        <f>IFERROR(AA75/$AD75,0)</f>
        <v>2.7777777777777776E-2</v>
      </c>
      <c r="AC75" s="16">
        <v>1163</v>
      </c>
      <c r="AD75" s="17">
        <v>144</v>
      </c>
    </row>
    <row r="76" spans="1:30" ht="15.75" customHeight="1" x14ac:dyDescent="0.25">
      <c r="A76" s="35">
        <v>2024</v>
      </c>
      <c r="B76" s="35">
        <v>171320</v>
      </c>
      <c r="C76" s="33" t="str">
        <f>VLOOKUP(B76,procv!$A$2:$D$142,4,FALSE)</f>
        <v>Capim Dourado</v>
      </c>
      <c r="D76" s="33" t="s">
        <v>79</v>
      </c>
      <c r="E76" s="17">
        <v>95</v>
      </c>
      <c r="F76" s="36">
        <f>IFERROR(E76/$AC76,0)</f>
        <v>2.1774008709603485E-2</v>
      </c>
      <c r="G76" s="17">
        <v>9</v>
      </c>
      <c r="H76" s="36">
        <f>IFERROR(G76/$AD76,0)</f>
        <v>3.0405405405405407E-2</v>
      </c>
      <c r="I76" s="16">
        <v>1369</v>
      </c>
      <c r="J76" s="36">
        <f>IFERROR(I76/$AC76,0)</f>
        <v>0.31377492550997022</v>
      </c>
      <c r="K76" s="17">
        <v>120</v>
      </c>
      <c r="L76" s="36">
        <f>IFERROR(K76/$AD76,0)</f>
        <v>0.40540540540540543</v>
      </c>
      <c r="M76" s="16">
        <v>1547</v>
      </c>
      <c r="N76" s="36">
        <f>IFERROR(M76/$AC76,0)</f>
        <v>0.35457254182901671</v>
      </c>
      <c r="O76" s="17">
        <v>78</v>
      </c>
      <c r="P76" s="36">
        <f>IFERROR(O76/$AD76,0)</f>
        <v>0.26351351351351349</v>
      </c>
      <c r="Q76" s="17">
        <v>869</v>
      </c>
      <c r="R76" s="36">
        <f>IFERROR(Q76/$AC76,0)</f>
        <v>0.19917487966995187</v>
      </c>
      <c r="S76" s="17">
        <v>49</v>
      </c>
      <c r="T76" s="36">
        <f>IFERROR(S76/$AD76,0)</f>
        <v>0.16554054054054054</v>
      </c>
      <c r="U76" s="17">
        <v>334</v>
      </c>
      <c r="V76" s="36">
        <f>IFERROR(U76/$AC76,0)</f>
        <v>7.6552830621132245E-2</v>
      </c>
      <c r="W76" s="17">
        <v>29</v>
      </c>
      <c r="X76" s="36">
        <f>IFERROR(W76/$AD76,0)</f>
        <v>9.7972972972972971E-2</v>
      </c>
      <c r="Y76" s="17">
        <v>149</v>
      </c>
      <c r="Z76" s="36">
        <f>IFERROR(Y76/$AC76,0)</f>
        <v>3.4150813660325463E-2</v>
      </c>
      <c r="AA76" s="17">
        <v>11</v>
      </c>
      <c r="AB76" s="36">
        <f>IFERROR(AA76/$AD76,0)</f>
        <v>3.7162162162162164E-2</v>
      </c>
      <c r="AC76" s="16">
        <v>4363</v>
      </c>
      <c r="AD76" s="17">
        <v>296</v>
      </c>
    </row>
    <row r="77" spans="1:30" ht="15.75" customHeight="1" x14ac:dyDescent="0.25">
      <c r="A77" s="35">
        <v>2024</v>
      </c>
      <c r="B77" s="35">
        <v>171330</v>
      </c>
      <c r="C77" s="33" t="str">
        <f>VLOOKUP(B77,procv!$A$2:$D$142,4,FALSE)</f>
        <v>Capim Dourado</v>
      </c>
      <c r="D77" s="33" t="s">
        <v>80</v>
      </c>
      <c r="E77" s="17">
        <v>78</v>
      </c>
      <c r="F77" s="36">
        <f>IFERROR(E77/$AC77,0)</f>
        <v>2.4029574861367836E-2</v>
      </c>
      <c r="G77" s="17">
        <v>12</v>
      </c>
      <c r="H77" s="36">
        <f>IFERROR(G77/$AD77,0)</f>
        <v>3.0927835051546393E-2</v>
      </c>
      <c r="I77" s="16">
        <v>1064</v>
      </c>
      <c r="J77" s="36">
        <f>IFERROR(I77/$AC77,0)</f>
        <v>0.32778804682686385</v>
      </c>
      <c r="K77" s="17">
        <v>122</v>
      </c>
      <c r="L77" s="36">
        <f>IFERROR(K77/$AD77,0)</f>
        <v>0.31443298969072164</v>
      </c>
      <c r="M77" s="16">
        <v>1178</v>
      </c>
      <c r="N77" s="36">
        <f>IFERROR(M77/$AC77,0)</f>
        <v>0.36290819470117069</v>
      </c>
      <c r="O77" s="17">
        <v>140</v>
      </c>
      <c r="P77" s="36">
        <f>IFERROR(O77/$AD77,0)</f>
        <v>0.36082474226804123</v>
      </c>
      <c r="Q77" s="17">
        <v>597</v>
      </c>
      <c r="R77" s="36">
        <f>IFERROR(Q77/$AC77,0)</f>
        <v>0.18391866913123844</v>
      </c>
      <c r="S77" s="17">
        <v>71</v>
      </c>
      <c r="T77" s="36">
        <f>IFERROR(S77/$AD77,0)</f>
        <v>0.18298969072164947</v>
      </c>
      <c r="U77" s="17">
        <v>224</v>
      </c>
      <c r="V77" s="36">
        <f>IFERROR(U77/$AC77,0)</f>
        <v>6.9008009858287117E-2</v>
      </c>
      <c r="W77" s="17">
        <v>29</v>
      </c>
      <c r="X77" s="36">
        <f>IFERROR(W77/$AD77,0)</f>
        <v>7.4742268041237112E-2</v>
      </c>
      <c r="Y77" s="17">
        <v>105</v>
      </c>
      <c r="Z77" s="36">
        <f>IFERROR(Y77/$AC77,0)</f>
        <v>3.2347504621072089E-2</v>
      </c>
      <c r="AA77" s="17">
        <v>14</v>
      </c>
      <c r="AB77" s="36">
        <f>IFERROR(AA77/$AD77,0)</f>
        <v>3.608247422680412E-2</v>
      </c>
      <c r="AC77" s="16">
        <v>3246</v>
      </c>
      <c r="AD77" s="17">
        <v>388</v>
      </c>
    </row>
    <row r="78" spans="1:30" ht="15.75" customHeight="1" x14ac:dyDescent="0.25">
      <c r="A78" s="35">
        <v>2024</v>
      </c>
      <c r="B78" s="35">
        <v>171360</v>
      </c>
      <c r="C78" s="33" t="str">
        <f>VLOOKUP(B78,procv!$A$2:$D$142,4,FALSE)</f>
        <v>Amor Perfeito</v>
      </c>
      <c r="D78" s="33" t="s">
        <v>81</v>
      </c>
      <c r="E78" s="17">
        <v>30</v>
      </c>
      <c r="F78" s="36">
        <f>IFERROR(E78/$AC78,0)</f>
        <v>2.0732550103662751E-2</v>
      </c>
      <c r="G78" s="17">
        <v>10</v>
      </c>
      <c r="H78" s="36">
        <f>IFERROR(G78/$AD78,0)</f>
        <v>5.4054054054054057E-2</v>
      </c>
      <c r="I78" s="17">
        <v>419</v>
      </c>
      <c r="J78" s="36">
        <f>IFERROR(I78/$AC78,0)</f>
        <v>0.28956461644782311</v>
      </c>
      <c r="K78" s="17">
        <v>56</v>
      </c>
      <c r="L78" s="36">
        <f>IFERROR(K78/$AD78,0)</f>
        <v>0.30270270270270272</v>
      </c>
      <c r="M78" s="17">
        <v>512</v>
      </c>
      <c r="N78" s="36">
        <f>IFERROR(M78/$AC78,0)</f>
        <v>0.3538355217691776</v>
      </c>
      <c r="O78" s="17">
        <v>51</v>
      </c>
      <c r="P78" s="36">
        <f>IFERROR(O78/$AD78,0)</f>
        <v>0.27567567567567569</v>
      </c>
      <c r="Q78" s="17">
        <v>309</v>
      </c>
      <c r="R78" s="36">
        <f>IFERROR(Q78/$AC78,0)</f>
        <v>0.21354526606772634</v>
      </c>
      <c r="S78" s="17">
        <v>38</v>
      </c>
      <c r="T78" s="36">
        <f>IFERROR(S78/$AD78,0)</f>
        <v>0.20540540540540542</v>
      </c>
      <c r="U78" s="17">
        <v>107</v>
      </c>
      <c r="V78" s="36">
        <f>IFERROR(U78/$AC78,0)</f>
        <v>7.3946095369730472E-2</v>
      </c>
      <c r="W78" s="17">
        <v>17</v>
      </c>
      <c r="X78" s="36">
        <f>IFERROR(W78/$AD78,0)</f>
        <v>9.1891891891891897E-2</v>
      </c>
      <c r="Y78" s="17">
        <v>70</v>
      </c>
      <c r="Z78" s="36">
        <f>IFERROR(Y78/$AC78,0)</f>
        <v>4.8375950241879753E-2</v>
      </c>
      <c r="AA78" s="17">
        <v>13</v>
      </c>
      <c r="AB78" s="36">
        <f>IFERROR(AA78/$AD78,0)</f>
        <v>7.0270270270270274E-2</v>
      </c>
      <c r="AC78" s="16">
        <v>1447</v>
      </c>
      <c r="AD78" s="17">
        <v>185</v>
      </c>
    </row>
    <row r="79" spans="1:30" ht="15.75" customHeight="1" x14ac:dyDescent="0.25">
      <c r="A79" s="35">
        <v>2024</v>
      </c>
      <c r="B79" s="35">
        <v>171370</v>
      </c>
      <c r="C79" s="33" t="str">
        <f>VLOOKUP(B79,procv!$A$2:$D$142,4,FALSE)</f>
        <v>Cantão</v>
      </c>
      <c r="D79" s="33" t="s">
        <v>82</v>
      </c>
      <c r="E79" s="17">
        <v>10</v>
      </c>
      <c r="F79" s="36">
        <f>IFERROR(E79/$AC79,0)</f>
        <v>1.3550135501355014E-2</v>
      </c>
      <c r="G79" s="17">
        <v>1</v>
      </c>
      <c r="H79" s="36">
        <f>IFERROR(G79/$AD79,0)</f>
        <v>2.5000000000000001E-2</v>
      </c>
      <c r="I79" s="17">
        <v>217</v>
      </c>
      <c r="J79" s="36">
        <f>IFERROR(I79/$AC79,0)</f>
        <v>0.29403794037940378</v>
      </c>
      <c r="K79" s="17">
        <v>12</v>
      </c>
      <c r="L79" s="36">
        <f>IFERROR(K79/$AD79,0)</f>
        <v>0.3</v>
      </c>
      <c r="M79" s="17">
        <v>267</v>
      </c>
      <c r="N79" s="36">
        <f>IFERROR(M79/$AC79,0)</f>
        <v>0.36178861788617889</v>
      </c>
      <c r="O79" s="17">
        <v>16</v>
      </c>
      <c r="P79" s="36">
        <f>IFERROR(O79/$AD79,0)</f>
        <v>0.4</v>
      </c>
      <c r="Q79" s="17">
        <v>160</v>
      </c>
      <c r="R79" s="36">
        <f>IFERROR(Q79/$AC79,0)</f>
        <v>0.21680216802168023</v>
      </c>
      <c r="S79" s="17">
        <v>4</v>
      </c>
      <c r="T79" s="36">
        <f>IFERROR(S79/$AD79,0)</f>
        <v>0.1</v>
      </c>
      <c r="U79" s="17">
        <v>57</v>
      </c>
      <c r="V79" s="36">
        <f>IFERROR(U79/$AC79,0)</f>
        <v>7.7235772357723581E-2</v>
      </c>
      <c r="W79" s="17">
        <v>6</v>
      </c>
      <c r="X79" s="36">
        <f>IFERROR(W79/$AD79,0)</f>
        <v>0.15</v>
      </c>
      <c r="Y79" s="17">
        <v>27</v>
      </c>
      <c r="Z79" s="36">
        <f>IFERROR(Y79/$AC79,0)</f>
        <v>3.6585365853658534E-2</v>
      </c>
      <c r="AA79" s="17">
        <v>1</v>
      </c>
      <c r="AB79" s="36">
        <f>IFERROR(AA79/$AD79,0)</f>
        <v>2.5000000000000001E-2</v>
      </c>
      <c r="AC79" s="17">
        <v>738</v>
      </c>
      <c r="AD79" s="17">
        <v>40</v>
      </c>
    </row>
    <row r="80" spans="1:30" ht="15.75" customHeight="1" x14ac:dyDescent="0.25">
      <c r="A80" s="35">
        <v>2024</v>
      </c>
      <c r="B80" s="35">
        <v>171395</v>
      </c>
      <c r="C80" s="33" t="str">
        <f>VLOOKUP(B80,procv!$A$2:$D$142,4,FALSE)</f>
        <v>Médio Norte Araguaia</v>
      </c>
      <c r="D80" s="33" t="s">
        <v>83</v>
      </c>
      <c r="E80" s="17">
        <v>30</v>
      </c>
      <c r="F80" s="36">
        <f>IFERROR(E80/$AC80,0)</f>
        <v>2.2970903522205207E-2</v>
      </c>
      <c r="G80" s="17">
        <v>6</v>
      </c>
      <c r="H80" s="36">
        <f>IFERROR(G80/$AD80,0)</f>
        <v>4.4117647058823532E-2</v>
      </c>
      <c r="I80" s="17">
        <v>437</v>
      </c>
      <c r="J80" s="36">
        <f>IFERROR(I80/$AC80,0)</f>
        <v>0.33460949464012252</v>
      </c>
      <c r="K80" s="17">
        <v>52</v>
      </c>
      <c r="L80" s="36">
        <f>IFERROR(K80/$AD80,0)</f>
        <v>0.38235294117647056</v>
      </c>
      <c r="M80" s="17">
        <v>439</v>
      </c>
      <c r="N80" s="36">
        <f>IFERROR(M80/$AC80,0)</f>
        <v>0.33614088820826954</v>
      </c>
      <c r="O80" s="17">
        <v>39</v>
      </c>
      <c r="P80" s="36">
        <f>IFERROR(O80/$AD80,0)</f>
        <v>0.28676470588235292</v>
      </c>
      <c r="Q80" s="17">
        <v>260</v>
      </c>
      <c r="R80" s="36">
        <f>IFERROR(Q80/$AC80,0)</f>
        <v>0.19908116385911179</v>
      </c>
      <c r="S80" s="17">
        <v>26</v>
      </c>
      <c r="T80" s="36">
        <f>IFERROR(S80/$AD80,0)</f>
        <v>0.19117647058823528</v>
      </c>
      <c r="U80" s="17">
        <v>97</v>
      </c>
      <c r="V80" s="36">
        <f>IFERROR(U80/$AC80,0)</f>
        <v>7.4272588055130165E-2</v>
      </c>
      <c r="W80" s="17">
        <v>9</v>
      </c>
      <c r="X80" s="36">
        <f>IFERROR(W80/$AD80,0)</f>
        <v>6.6176470588235295E-2</v>
      </c>
      <c r="Y80" s="17">
        <v>43</v>
      </c>
      <c r="Z80" s="36">
        <f>IFERROR(Y80/$AC80,0)</f>
        <v>3.2924961715160794E-2</v>
      </c>
      <c r="AA80" s="17">
        <v>4</v>
      </c>
      <c r="AB80" s="36">
        <f>IFERROR(AA80/$AD80,0)</f>
        <v>2.9411764705882353E-2</v>
      </c>
      <c r="AC80" s="16">
        <v>1306</v>
      </c>
      <c r="AD80" s="17">
        <v>136</v>
      </c>
    </row>
    <row r="81" spans="1:30" ht="15.75" customHeight="1" x14ac:dyDescent="0.25">
      <c r="A81" s="35">
        <v>2024</v>
      </c>
      <c r="B81" s="35">
        <v>171420</v>
      </c>
      <c r="C81" s="33" t="str">
        <f>VLOOKUP(B81,procv!$A$2:$D$142,4,FALSE)</f>
        <v>Amor Perfeito</v>
      </c>
      <c r="D81" s="33" t="s">
        <v>84</v>
      </c>
      <c r="E81" s="17">
        <v>59</v>
      </c>
      <c r="F81" s="36">
        <f>IFERROR(E81/$AC81,0)</f>
        <v>1.9471947194719473E-2</v>
      </c>
      <c r="G81" s="17">
        <v>13</v>
      </c>
      <c r="H81" s="36">
        <f>IFERROR(G81/$AD81,0)</f>
        <v>3.0952380952380953E-2</v>
      </c>
      <c r="I81" s="17">
        <v>946</v>
      </c>
      <c r="J81" s="36">
        <f>IFERROR(I81/$AC81,0)</f>
        <v>0.31221122112211219</v>
      </c>
      <c r="K81" s="17">
        <v>121</v>
      </c>
      <c r="L81" s="36">
        <f>IFERROR(K81/$AD81,0)</f>
        <v>0.28809523809523807</v>
      </c>
      <c r="M81" s="16">
        <v>1100</v>
      </c>
      <c r="N81" s="36">
        <f>IFERROR(M81/$AC81,0)</f>
        <v>0.36303630363036304</v>
      </c>
      <c r="O81" s="17">
        <v>136</v>
      </c>
      <c r="P81" s="36">
        <f>IFERROR(O81/$AD81,0)</f>
        <v>0.32380952380952382</v>
      </c>
      <c r="Q81" s="17">
        <v>621</v>
      </c>
      <c r="R81" s="36">
        <f>IFERROR(Q81/$AC81,0)</f>
        <v>0.20495049504950494</v>
      </c>
      <c r="S81" s="17">
        <v>89</v>
      </c>
      <c r="T81" s="36">
        <f>IFERROR(S81/$AD81,0)</f>
        <v>0.2119047619047619</v>
      </c>
      <c r="U81" s="17">
        <v>215</v>
      </c>
      <c r="V81" s="36">
        <f>IFERROR(U81/$AC81,0)</f>
        <v>7.0957095709570955E-2</v>
      </c>
      <c r="W81" s="17">
        <v>46</v>
      </c>
      <c r="X81" s="36">
        <f>IFERROR(W81/$AD81,0)</f>
        <v>0.10952380952380952</v>
      </c>
      <c r="Y81" s="17">
        <v>89</v>
      </c>
      <c r="Z81" s="36">
        <f>IFERROR(Y81/$AC81,0)</f>
        <v>2.9372937293729372E-2</v>
      </c>
      <c r="AA81" s="17">
        <v>15</v>
      </c>
      <c r="AB81" s="36">
        <f>IFERROR(AA81/$AD81,0)</f>
        <v>3.5714285714285712E-2</v>
      </c>
      <c r="AC81" s="16">
        <v>3030</v>
      </c>
      <c r="AD81" s="17">
        <v>420</v>
      </c>
    </row>
    <row r="82" spans="1:30" ht="15.75" customHeight="1" x14ac:dyDescent="0.25">
      <c r="A82" s="35">
        <v>2024</v>
      </c>
      <c r="B82" s="35">
        <v>171430</v>
      </c>
      <c r="C82" s="33" t="str">
        <f>VLOOKUP(B82,procv!$A$2:$D$142,4,FALSE)</f>
        <v>Bico do Papagaio</v>
      </c>
      <c r="D82" s="33" t="s">
        <v>85</v>
      </c>
      <c r="E82" s="17">
        <v>51</v>
      </c>
      <c r="F82" s="36">
        <f>IFERROR(E82/$AC82,0)</f>
        <v>3.161810291382517E-2</v>
      </c>
      <c r="G82" s="17">
        <v>10</v>
      </c>
      <c r="H82" s="36">
        <f>IFERROR(G82/$AD82,0)</f>
        <v>4.7393364928909949E-2</v>
      </c>
      <c r="I82" s="17">
        <v>533</v>
      </c>
      <c r="J82" s="36">
        <f>IFERROR(I82/$AC82,0)</f>
        <v>0.33044017358958461</v>
      </c>
      <c r="K82" s="17">
        <v>78</v>
      </c>
      <c r="L82" s="36">
        <f>IFERROR(K82/$AD82,0)</f>
        <v>0.36966824644549762</v>
      </c>
      <c r="M82" s="17">
        <v>562</v>
      </c>
      <c r="N82" s="36">
        <f>IFERROR(M82/$AC82,0)</f>
        <v>0.34841909485430872</v>
      </c>
      <c r="O82" s="17">
        <v>68</v>
      </c>
      <c r="P82" s="36">
        <f>IFERROR(O82/$AD82,0)</f>
        <v>0.32227488151658767</v>
      </c>
      <c r="Q82" s="17">
        <v>326</v>
      </c>
      <c r="R82" s="36">
        <f>IFERROR(Q82/$AC82,0)</f>
        <v>0.20210787352758836</v>
      </c>
      <c r="S82" s="17">
        <v>36</v>
      </c>
      <c r="T82" s="36">
        <f>IFERROR(S82/$AD82,0)</f>
        <v>0.17061611374407584</v>
      </c>
      <c r="U82" s="17">
        <v>103</v>
      </c>
      <c r="V82" s="36">
        <f>IFERROR(U82/$AC82,0)</f>
        <v>6.3856168629882207E-2</v>
      </c>
      <c r="W82" s="17">
        <v>15</v>
      </c>
      <c r="X82" s="36">
        <f>IFERROR(W82/$AD82,0)</f>
        <v>7.1090047393364927E-2</v>
      </c>
      <c r="Y82" s="17">
        <v>38</v>
      </c>
      <c r="Z82" s="36">
        <f>IFERROR(Y82/$AC82,0)</f>
        <v>2.3558586484810913E-2</v>
      </c>
      <c r="AA82" s="17">
        <v>4</v>
      </c>
      <c r="AB82" s="36">
        <f>IFERROR(AA82/$AD82,0)</f>
        <v>1.8957345971563982E-2</v>
      </c>
      <c r="AC82" s="16">
        <v>1613</v>
      </c>
      <c r="AD82" s="17">
        <v>211</v>
      </c>
    </row>
    <row r="83" spans="1:30" ht="15.75" customHeight="1" x14ac:dyDescent="0.25">
      <c r="A83" s="35">
        <v>2024</v>
      </c>
      <c r="B83" s="35">
        <v>171488</v>
      </c>
      <c r="C83" s="33" t="str">
        <f>VLOOKUP(B83,procv!$A$2:$D$142,4,FALSE)</f>
        <v>Médio Norte Araguaia</v>
      </c>
      <c r="D83" s="33" t="s">
        <v>86</v>
      </c>
      <c r="E83" s="17">
        <v>73</v>
      </c>
      <c r="F83" s="36">
        <f>IFERROR(E83/$AC83,0)</f>
        <v>2.6108726752503576E-2</v>
      </c>
      <c r="G83" s="17">
        <v>11</v>
      </c>
      <c r="H83" s="36">
        <f>IFERROR(G83/$AD83,0)</f>
        <v>3.313253012048193E-2</v>
      </c>
      <c r="I83" s="17">
        <v>953</v>
      </c>
      <c r="J83" s="36">
        <f>IFERROR(I83/$AC83,0)</f>
        <v>0.34084406294706726</v>
      </c>
      <c r="K83" s="17">
        <v>126</v>
      </c>
      <c r="L83" s="36">
        <f>IFERROR(K83/$AD83,0)</f>
        <v>0.37951807228915663</v>
      </c>
      <c r="M83" s="17">
        <v>972</v>
      </c>
      <c r="N83" s="36">
        <f>IFERROR(M83/$AC83,0)</f>
        <v>0.34763948497854075</v>
      </c>
      <c r="O83" s="17">
        <v>94</v>
      </c>
      <c r="P83" s="36">
        <f>IFERROR(O83/$AD83,0)</f>
        <v>0.28313253012048195</v>
      </c>
      <c r="Q83" s="17">
        <v>518</v>
      </c>
      <c r="R83" s="36">
        <f>IFERROR(Q83/$AC83,0)</f>
        <v>0.18526466380543632</v>
      </c>
      <c r="S83" s="17">
        <v>61</v>
      </c>
      <c r="T83" s="36">
        <f>IFERROR(S83/$AD83,0)</f>
        <v>0.18373493975903615</v>
      </c>
      <c r="U83" s="17">
        <v>188</v>
      </c>
      <c r="V83" s="36">
        <f>IFERROR(U83/$AC83,0)</f>
        <v>6.7238912732474967E-2</v>
      </c>
      <c r="W83" s="17">
        <v>25</v>
      </c>
      <c r="X83" s="36">
        <f>IFERROR(W83/$AD83,0)</f>
        <v>7.5301204819277115E-2</v>
      </c>
      <c r="Y83" s="17">
        <v>92</v>
      </c>
      <c r="Z83" s="36">
        <f>IFERROR(Y83/$AC83,0)</f>
        <v>3.2904148783977114E-2</v>
      </c>
      <c r="AA83" s="17">
        <v>15</v>
      </c>
      <c r="AB83" s="36">
        <f>IFERROR(AA83/$AD83,0)</f>
        <v>4.5180722891566265E-2</v>
      </c>
      <c r="AC83" s="16">
        <v>2796</v>
      </c>
      <c r="AD83" s="17">
        <v>332</v>
      </c>
    </row>
    <row r="84" spans="1:30" ht="15.75" customHeight="1" x14ac:dyDescent="0.25">
      <c r="A84" s="35">
        <v>2024</v>
      </c>
      <c r="B84" s="35">
        <v>171500</v>
      </c>
      <c r="C84" s="33" t="str">
        <f>VLOOKUP(B84,procv!$A$2:$D$142,4,FALSE)</f>
        <v>Cantão</v>
      </c>
      <c r="D84" s="33" t="s">
        <v>87</v>
      </c>
      <c r="E84" s="17">
        <v>29</v>
      </c>
      <c r="F84" s="36">
        <f>IFERROR(E84/$AC84,0)</f>
        <v>2.0938628158844765E-2</v>
      </c>
      <c r="G84" s="17">
        <v>0</v>
      </c>
      <c r="H84" s="36">
        <f>IFERROR(G84/$AD84,0)</f>
        <v>0</v>
      </c>
      <c r="I84" s="17">
        <v>452</v>
      </c>
      <c r="J84" s="36">
        <f>IFERROR(I84/$AC84,0)</f>
        <v>0.32635379061371839</v>
      </c>
      <c r="K84" s="17">
        <v>27</v>
      </c>
      <c r="L84" s="36">
        <f>IFERROR(K84/$AD84,0)</f>
        <v>0.41538461538461541</v>
      </c>
      <c r="M84" s="17">
        <v>480</v>
      </c>
      <c r="N84" s="36">
        <f>IFERROR(M84/$AC84,0)</f>
        <v>0.34657039711191334</v>
      </c>
      <c r="O84" s="17">
        <v>19</v>
      </c>
      <c r="P84" s="36">
        <f>IFERROR(O84/$AD84,0)</f>
        <v>0.29230769230769232</v>
      </c>
      <c r="Q84" s="17">
        <v>271</v>
      </c>
      <c r="R84" s="36">
        <f>IFERROR(Q84/$AC84,0)</f>
        <v>0.19566787003610109</v>
      </c>
      <c r="S84" s="17">
        <v>11</v>
      </c>
      <c r="T84" s="36">
        <f>IFERROR(S84/$AD84,0)</f>
        <v>0.16923076923076924</v>
      </c>
      <c r="U84" s="17">
        <v>98</v>
      </c>
      <c r="V84" s="36">
        <f>IFERROR(U84/$AC84,0)</f>
        <v>7.0758122743682317E-2</v>
      </c>
      <c r="W84" s="17">
        <v>4</v>
      </c>
      <c r="X84" s="36">
        <f>IFERROR(W84/$AD84,0)</f>
        <v>6.1538461538461542E-2</v>
      </c>
      <c r="Y84" s="17">
        <v>55</v>
      </c>
      <c r="Z84" s="36">
        <f>IFERROR(Y84/$AC84,0)</f>
        <v>3.9711191335740074E-2</v>
      </c>
      <c r="AA84" s="17">
        <v>4</v>
      </c>
      <c r="AB84" s="36">
        <f>IFERROR(AA84/$AD84,0)</f>
        <v>6.1538461538461542E-2</v>
      </c>
      <c r="AC84" s="16">
        <v>1385</v>
      </c>
      <c r="AD84" s="17">
        <v>65</v>
      </c>
    </row>
    <row r="85" spans="1:30" ht="15.75" customHeight="1" x14ac:dyDescent="0.25">
      <c r="A85" s="35">
        <v>2024</v>
      </c>
      <c r="B85" s="35">
        <v>171510</v>
      </c>
      <c r="C85" s="33" t="str">
        <f>VLOOKUP(B85,procv!$A$2:$D$142,4,FALSE)</f>
        <v>Capim Dourado</v>
      </c>
      <c r="D85" s="33" t="s">
        <v>88</v>
      </c>
      <c r="E85" s="17">
        <v>18</v>
      </c>
      <c r="F85" s="36">
        <f>IFERROR(E85/$AC85,0)</f>
        <v>2.4590163934426229E-2</v>
      </c>
      <c r="G85" s="17">
        <v>5</v>
      </c>
      <c r="H85" s="36">
        <f>IFERROR(G85/$AD85,0)</f>
        <v>3.5460992907801421E-2</v>
      </c>
      <c r="I85" s="17">
        <v>239</v>
      </c>
      <c r="J85" s="36">
        <f>IFERROR(I85/$AC85,0)</f>
        <v>0.32650273224043713</v>
      </c>
      <c r="K85" s="17">
        <v>51</v>
      </c>
      <c r="L85" s="36">
        <f>IFERROR(K85/$AD85,0)</f>
        <v>0.36170212765957449</v>
      </c>
      <c r="M85" s="17">
        <v>273</v>
      </c>
      <c r="N85" s="36">
        <f>IFERROR(M85/$AC85,0)</f>
        <v>0.37295081967213117</v>
      </c>
      <c r="O85" s="17">
        <v>47</v>
      </c>
      <c r="P85" s="36">
        <f>IFERROR(O85/$AD85,0)</f>
        <v>0.33333333333333331</v>
      </c>
      <c r="Q85" s="17">
        <v>131</v>
      </c>
      <c r="R85" s="36">
        <f>IFERROR(Q85/$AC85,0)</f>
        <v>0.17896174863387979</v>
      </c>
      <c r="S85" s="17">
        <v>28</v>
      </c>
      <c r="T85" s="36">
        <f>IFERROR(S85/$AD85,0)</f>
        <v>0.19858156028368795</v>
      </c>
      <c r="U85" s="17">
        <v>51</v>
      </c>
      <c r="V85" s="36">
        <f>IFERROR(U85/$AC85,0)</f>
        <v>6.9672131147540978E-2</v>
      </c>
      <c r="W85" s="17">
        <v>4</v>
      </c>
      <c r="X85" s="36">
        <f>IFERROR(W85/$AD85,0)</f>
        <v>2.8368794326241134E-2</v>
      </c>
      <c r="Y85" s="17">
        <v>20</v>
      </c>
      <c r="Z85" s="36">
        <f>IFERROR(Y85/$AC85,0)</f>
        <v>2.7322404371584699E-2</v>
      </c>
      <c r="AA85" s="17">
        <v>6</v>
      </c>
      <c r="AB85" s="36">
        <f>IFERROR(AA85/$AD85,0)</f>
        <v>4.2553191489361701E-2</v>
      </c>
      <c r="AC85" s="17">
        <v>732</v>
      </c>
      <c r="AD85" s="17">
        <v>141</v>
      </c>
    </row>
    <row r="86" spans="1:30" ht="15.75" customHeight="1" x14ac:dyDescent="0.25">
      <c r="A86" s="35">
        <v>2024</v>
      </c>
      <c r="B86" s="35">
        <v>171515</v>
      </c>
      <c r="C86" s="33" t="str">
        <f>VLOOKUP(B86,procv!$A$2:$D$142,4,FALSE)</f>
        <v>Sudeste</v>
      </c>
      <c r="D86" s="33" t="s">
        <v>89</v>
      </c>
      <c r="E86" s="17">
        <v>24</v>
      </c>
      <c r="F86" s="36">
        <f>IFERROR(E86/$AC86,0)</f>
        <v>2.8070175438596492E-2</v>
      </c>
      <c r="G86" s="17">
        <v>1</v>
      </c>
      <c r="H86" s="36">
        <f>IFERROR(G86/$AD86,0)</f>
        <v>2.6315789473684209E-2</v>
      </c>
      <c r="I86" s="17">
        <v>326</v>
      </c>
      <c r="J86" s="36">
        <f>IFERROR(I86/$AC86,0)</f>
        <v>0.38128654970760234</v>
      </c>
      <c r="K86" s="17">
        <v>19</v>
      </c>
      <c r="L86" s="36">
        <f>IFERROR(K86/$AD86,0)</f>
        <v>0.5</v>
      </c>
      <c r="M86" s="17">
        <v>302</v>
      </c>
      <c r="N86" s="36">
        <f>IFERROR(M86/$AC86,0)</f>
        <v>0.35321637426900587</v>
      </c>
      <c r="O86" s="17">
        <v>11</v>
      </c>
      <c r="P86" s="36">
        <f>IFERROR(O86/$AD86,0)</f>
        <v>0.28947368421052633</v>
      </c>
      <c r="Q86" s="17">
        <v>140</v>
      </c>
      <c r="R86" s="36">
        <f>IFERROR(Q86/$AC86,0)</f>
        <v>0.16374269005847952</v>
      </c>
      <c r="S86" s="17">
        <v>3</v>
      </c>
      <c r="T86" s="36">
        <f>IFERROR(S86/$AD86,0)</f>
        <v>7.8947368421052627E-2</v>
      </c>
      <c r="U86" s="17">
        <v>47</v>
      </c>
      <c r="V86" s="36">
        <f>IFERROR(U86/$AC86,0)</f>
        <v>5.4970760233918128E-2</v>
      </c>
      <c r="W86" s="17">
        <v>3</v>
      </c>
      <c r="X86" s="36">
        <f>IFERROR(W86/$AD86,0)</f>
        <v>7.8947368421052627E-2</v>
      </c>
      <c r="Y86" s="17">
        <v>16</v>
      </c>
      <c r="Z86" s="36">
        <f>IFERROR(Y86/$AC86,0)</f>
        <v>1.8713450292397661E-2</v>
      </c>
      <c r="AA86" s="17">
        <v>1</v>
      </c>
      <c r="AB86" s="36">
        <f>IFERROR(AA86/$AD86,0)</f>
        <v>2.6315789473684209E-2</v>
      </c>
      <c r="AC86" s="17">
        <v>855</v>
      </c>
      <c r="AD86" s="17">
        <v>38</v>
      </c>
    </row>
    <row r="87" spans="1:30" ht="15.75" customHeight="1" x14ac:dyDescent="0.25">
      <c r="A87" s="35">
        <v>2024</v>
      </c>
      <c r="B87" s="35">
        <v>171525</v>
      </c>
      <c r="C87" s="33" t="str">
        <f>VLOOKUP(B87,procv!$A$2:$D$142,4,FALSE)</f>
        <v>Sudeste</v>
      </c>
      <c r="D87" s="33" t="s">
        <v>90</v>
      </c>
      <c r="E87" s="17">
        <v>0</v>
      </c>
      <c r="F87" s="36">
        <f>IFERROR(E87/$AC87,0)</f>
        <v>0</v>
      </c>
      <c r="G87" s="17">
        <v>0</v>
      </c>
      <c r="H87" s="36">
        <f>IFERROR(G87/$AD87,0)</f>
        <v>0</v>
      </c>
      <c r="I87" s="17">
        <v>42</v>
      </c>
      <c r="J87" s="36">
        <f>IFERROR(I87/$AC87,0)</f>
        <v>0.60869565217391308</v>
      </c>
      <c r="K87" s="17">
        <v>31</v>
      </c>
      <c r="L87" s="36">
        <f>IFERROR(K87/$AD87,0)</f>
        <v>0.64583333333333337</v>
      </c>
      <c r="M87" s="17">
        <v>13</v>
      </c>
      <c r="N87" s="36">
        <f>IFERROR(M87/$AC87,0)</f>
        <v>0.18840579710144928</v>
      </c>
      <c r="O87" s="17">
        <v>8</v>
      </c>
      <c r="P87" s="36">
        <f>IFERROR(O87/$AD87,0)</f>
        <v>0.16666666666666666</v>
      </c>
      <c r="Q87" s="17">
        <v>8</v>
      </c>
      <c r="R87" s="36">
        <f>IFERROR(Q87/$AC87,0)</f>
        <v>0.11594202898550725</v>
      </c>
      <c r="S87" s="17">
        <v>5</v>
      </c>
      <c r="T87" s="36">
        <f>IFERROR(S87/$AD87,0)</f>
        <v>0.10416666666666667</v>
      </c>
      <c r="U87" s="17">
        <v>4</v>
      </c>
      <c r="V87" s="36">
        <f>IFERROR(U87/$AC87,0)</f>
        <v>5.7971014492753624E-2</v>
      </c>
      <c r="W87" s="17">
        <v>3</v>
      </c>
      <c r="X87" s="36">
        <f>IFERROR(W87/$AD87,0)</f>
        <v>6.25E-2</v>
      </c>
      <c r="Y87" s="17">
        <v>2</v>
      </c>
      <c r="Z87" s="36">
        <f>IFERROR(Y87/$AC87,0)</f>
        <v>2.8985507246376812E-2</v>
      </c>
      <c r="AA87" s="17">
        <v>1</v>
      </c>
      <c r="AB87" s="36">
        <f>IFERROR(AA87/$AD87,0)</f>
        <v>2.0833333333333332E-2</v>
      </c>
      <c r="AC87" s="17">
        <v>69</v>
      </c>
      <c r="AD87" s="17">
        <v>48</v>
      </c>
    </row>
    <row r="88" spans="1:30" ht="15.75" customHeight="1" x14ac:dyDescent="0.25">
      <c r="A88" s="35">
        <v>2024</v>
      </c>
      <c r="B88" s="35">
        <v>171550</v>
      </c>
      <c r="C88" s="33" t="str">
        <f>VLOOKUP(B88,procv!$A$2:$D$142,4,FALSE)</f>
        <v>Amor Perfeito</v>
      </c>
      <c r="D88" s="33" t="s">
        <v>91</v>
      </c>
      <c r="E88" s="17">
        <v>11</v>
      </c>
      <c r="F88" s="36">
        <f>IFERROR(E88/$AC88,0)</f>
        <v>2.0522388059701493E-2</v>
      </c>
      <c r="G88" s="17">
        <v>3</v>
      </c>
      <c r="H88" s="36">
        <f>IFERROR(G88/$AD88,0)</f>
        <v>9.6774193548387094E-2</v>
      </c>
      <c r="I88" s="17">
        <v>170</v>
      </c>
      <c r="J88" s="36">
        <f>IFERROR(I88/$AC88,0)</f>
        <v>0.31716417910447764</v>
      </c>
      <c r="K88" s="17">
        <v>13</v>
      </c>
      <c r="L88" s="36">
        <f>IFERROR(K88/$AD88,0)</f>
        <v>0.41935483870967744</v>
      </c>
      <c r="M88" s="17">
        <v>167</v>
      </c>
      <c r="N88" s="36">
        <f>IFERROR(M88/$AC88,0)</f>
        <v>0.31156716417910446</v>
      </c>
      <c r="O88" s="17">
        <v>4</v>
      </c>
      <c r="P88" s="36">
        <f>IFERROR(O88/$AD88,0)</f>
        <v>0.12903225806451613</v>
      </c>
      <c r="Q88" s="17">
        <v>119</v>
      </c>
      <c r="R88" s="36">
        <f>IFERROR(Q88/$AC88,0)</f>
        <v>0.22201492537313433</v>
      </c>
      <c r="S88" s="17">
        <v>5</v>
      </c>
      <c r="T88" s="36">
        <f>IFERROR(S88/$AD88,0)</f>
        <v>0.16129032258064516</v>
      </c>
      <c r="U88" s="17">
        <v>49</v>
      </c>
      <c r="V88" s="36">
        <f>IFERROR(U88/$AC88,0)</f>
        <v>9.1417910447761194E-2</v>
      </c>
      <c r="W88" s="17">
        <v>3</v>
      </c>
      <c r="X88" s="36">
        <f>IFERROR(W88/$AD88,0)</f>
        <v>9.6774193548387094E-2</v>
      </c>
      <c r="Y88" s="17">
        <v>20</v>
      </c>
      <c r="Z88" s="36">
        <f>IFERROR(Y88/$AC88,0)</f>
        <v>3.7313432835820892E-2</v>
      </c>
      <c r="AA88" s="17">
        <v>3</v>
      </c>
      <c r="AB88" s="36">
        <f>IFERROR(AA88/$AD88,0)</f>
        <v>9.6774193548387094E-2</v>
      </c>
      <c r="AC88" s="17">
        <v>536</v>
      </c>
      <c r="AD88" s="17">
        <v>31</v>
      </c>
    </row>
    <row r="89" spans="1:30" ht="15.75" customHeight="1" x14ac:dyDescent="0.25">
      <c r="A89" s="35">
        <v>2024</v>
      </c>
      <c r="B89" s="35">
        <v>172100</v>
      </c>
      <c r="C89" s="33" t="str">
        <f>VLOOKUP(B89,procv!$A$2:$D$142,4,FALSE)</f>
        <v>Capim Dourado</v>
      </c>
      <c r="D89" s="33" t="s">
        <v>92</v>
      </c>
      <c r="E89" s="16">
        <v>1456</v>
      </c>
      <c r="F89" s="36">
        <f>IFERROR(E89/$AC89,0)</f>
        <v>2.442051591694341E-2</v>
      </c>
      <c r="G89" s="17">
        <v>177</v>
      </c>
      <c r="H89" s="36">
        <f>IFERROR(G89/$AD89,0)</f>
        <v>2.9949238578680204E-2</v>
      </c>
      <c r="I89" s="16">
        <v>20541</v>
      </c>
      <c r="J89" s="36">
        <f>IFERROR(I89/$AC89,0)</f>
        <v>0.34452047901781224</v>
      </c>
      <c r="K89" s="16">
        <v>2178</v>
      </c>
      <c r="L89" s="36">
        <f>IFERROR(K89/$AD89,0)</f>
        <v>0.36852791878172586</v>
      </c>
      <c r="M89" s="16">
        <v>20836</v>
      </c>
      <c r="N89" s="36">
        <f>IFERROR(M89/$AC89,0)</f>
        <v>0.34946831706417092</v>
      </c>
      <c r="O89" s="16">
        <v>1934</v>
      </c>
      <c r="P89" s="36">
        <f>IFERROR(O89/$AD89,0)</f>
        <v>0.32724196277495771</v>
      </c>
      <c r="Q89" s="16">
        <v>11137</v>
      </c>
      <c r="R89" s="36">
        <f>IFERROR(Q89/$AC89,0)</f>
        <v>0.18679346549931233</v>
      </c>
      <c r="S89" s="16">
        <v>1046</v>
      </c>
      <c r="T89" s="36">
        <f>IFERROR(S89/$AD89,0)</f>
        <v>0.17698815566835871</v>
      </c>
      <c r="U89" s="16">
        <v>3857</v>
      </c>
      <c r="V89" s="36">
        <f>IFERROR(U89/$AC89,0)</f>
        <v>6.4690885914595278E-2</v>
      </c>
      <c r="W89" s="17">
        <v>404</v>
      </c>
      <c r="X89" s="36">
        <f>IFERROR(W89/$AD89,0)</f>
        <v>6.8358714043993227E-2</v>
      </c>
      <c r="Y89" s="16">
        <v>1795</v>
      </c>
      <c r="Z89" s="36">
        <f>IFERROR(Y89/$AC89,0)</f>
        <v>3.010633658716581E-2</v>
      </c>
      <c r="AA89" s="17">
        <v>171</v>
      </c>
      <c r="AB89" s="36">
        <f>IFERROR(AA89/$AD89,0)</f>
        <v>2.8934010152284265E-2</v>
      </c>
      <c r="AC89" s="16">
        <v>59622</v>
      </c>
      <c r="AD89" s="16">
        <v>5910</v>
      </c>
    </row>
    <row r="90" spans="1:30" ht="15.75" customHeight="1" x14ac:dyDescent="0.25">
      <c r="A90" s="35">
        <v>2024</v>
      </c>
      <c r="B90" s="35">
        <v>171570</v>
      </c>
      <c r="C90" s="33" t="str">
        <f>VLOOKUP(B90,procv!$A$2:$D$142,4,FALSE)</f>
        <v>Cerrado Tocantins Araguaia</v>
      </c>
      <c r="D90" s="33" t="s">
        <v>93</v>
      </c>
      <c r="E90" s="17">
        <v>42</v>
      </c>
      <c r="F90" s="36">
        <f>IFERROR(E90/$AC90,0)</f>
        <v>2.1716649431230611E-2</v>
      </c>
      <c r="G90" s="17">
        <v>5</v>
      </c>
      <c r="H90" s="36">
        <f>IFERROR(G90/$AD90,0)</f>
        <v>2.6041666666666668E-2</v>
      </c>
      <c r="I90" s="17">
        <v>685</v>
      </c>
      <c r="J90" s="36">
        <f>IFERROR(I90/$AC90,0)</f>
        <v>0.3541882109617373</v>
      </c>
      <c r="K90" s="17">
        <v>73</v>
      </c>
      <c r="L90" s="36">
        <f>IFERROR(K90/$AD90,0)</f>
        <v>0.38020833333333331</v>
      </c>
      <c r="M90" s="17">
        <v>726</v>
      </c>
      <c r="N90" s="36">
        <f>IFERROR(M90/$AC90,0)</f>
        <v>0.37538779731127198</v>
      </c>
      <c r="O90" s="17">
        <v>62</v>
      </c>
      <c r="P90" s="36">
        <f>IFERROR(O90/$AD90,0)</f>
        <v>0.32291666666666669</v>
      </c>
      <c r="Q90" s="17">
        <v>347</v>
      </c>
      <c r="R90" s="36">
        <f>IFERROR(Q90/$AC90,0)</f>
        <v>0.17942088934850051</v>
      </c>
      <c r="S90" s="17">
        <v>32</v>
      </c>
      <c r="T90" s="36">
        <f>IFERROR(S90/$AD90,0)</f>
        <v>0.16666666666666666</v>
      </c>
      <c r="U90" s="17">
        <v>95</v>
      </c>
      <c r="V90" s="36">
        <f>IFERROR(U90/$AC90,0)</f>
        <v>4.9120992761116859E-2</v>
      </c>
      <c r="W90" s="17">
        <v>13</v>
      </c>
      <c r="X90" s="36">
        <f>IFERROR(W90/$AD90,0)</f>
        <v>6.7708333333333329E-2</v>
      </c>
      <c r="Y90" s="17">
        <v>39</v>
      </c>
      <c r="Z90" s="36">
        <f>IFERROR(Y90/$AC90,0)</f>
        <v>2.0165460186142709E-2</v>
      </c>
      <c r="AA90" s="17">
        <v>7</v>
      </c>
      <c r="AB90" s="36">
        <f>IFERROR(AA90/$AD90,0)</f>
        <v>3.6458333333333336E-2</v>
      </c>
      <c r="AC90" s="16">
        <v>1934</v>
      </c>
      <c r="AD90" s="17">
        <v>192</v>
      </c>
    </row>
    <row r="91" spans="1:30" ht="15.75" customHeight="1" x14ac:dyDescent="0.25">
      <c r="A91" s="35">
        <v>2024</v>
      </c>
      <c r="B91" s="35">
        <v>171380</v>
      </c>
      <c r="C91" s="33" t="str">
        <f>VLOOKUP(B91,procv!$A$2:$D$142,4,FALSE)</f>
        <v>Bico do Papagaio</v>
      </c>
      <c r="D91" s="33" t="s">
        <v>94</v>
      </c>
      <c r="E91" s="17">
        <v>8</v>
      </c>
      <c r="F91" s="36">
        <f>IFERROR(E91/$AC91,0)</f>
        <v>1.5037593984962405E-2</v>
      </c>
      <c r="G91" s="17">
        <v>4</v>
      </c>
      <c r="H91" s="36">
        <f>IFERROR(G91/$AD91,0)</f>
        <v>2.5806451612903226E-2</v>
      </c>
      <c r="I91" s="17">
        <v>173</v>
      </c>
      <c r="J91" s="36">
        <f>IFERROR(I91/$AC91,0)</f>
        <v>0.32518796992481203</v>
      </c>
      <c r="K91" s="17">
        <v>74</v>
      </c>
      <c r="L91" s="36">
        <f>IFERROR(K91/$AD91,0)</f>
        <v>0.47741935483870968</v>
      </c>
      <c r="M91" s="17">
        <v>181</v>
      </c>
      <c r="N91" s="36">
        <f>IFERROR(M91/$AC91,0)</f>
        <v>0.34022556390977443</v>
      </c>
      <c r="O91" s="17">
        <v>45</v>
      </c>
      <c r="P91" s="36">
        <f>IFERROR(O91/$AD91,0)</f>
        <v>0.29032258064516131</v>
      </c>
      <c r="Q91" s="17">
        <v>108</v>
      </c>
      <c r="R91" s="36">
        <f>IFERROR(Q91/$AC91,0)</f>
        <v>0.20300751879699247</v>
      </c>
      <c r="S91" s="17">
        <v>20</v>
      </c>
      <c r="T91" s="36">
        <f>IFERROR(S91/$AD91,0)</f>
        <v>0.12903225806451613</v>
      </c>
      <c r="U91" s="17">
        <v>44</v>
      </c>
      <c r="V91" s="36">
        <f>IFERROR(U91/$AC91,0)</f>
        <v>8.2706766917293228E-2</v>
      </c>
      <c r="W91" s="17">
        <v>4</v>
      </c>
      <c r="X91" s="36">
        <f>IFERROR(W91/$AD91,0)</f>
        <v>2.5806451612903226E-2</v>
      </c>
      <c r="Y91" s="17">
        <v>18</v>
      </c>
      <c r="Z91" s="36">
        <f>IFERROR(Y91/$AC91,0)</f>
        <v>3.3834586466165412E-2</v>
      </c>
      <c r="AA91" s="17">
        <v>8</v>
      </c>
      <c r="AB91" s="36">
        <f>IFERROR(AA91/$AD91,0)</f>
        <v>5.1612903225806452E-2</v>
      </c>
      <c r="AC91" s="17">
        <v>532</v>
      </c>
      <c r="AD91" s="17">
        <v>155</v>
      </c>
    </row>
    <row r="92" spans="1:30" ht="15.75" customHeight="1" x14ac:dyDescent="0.25">
      <c r="A92" s="35">
        <v>2024</v>
      </c>
      <c r="B92" s="35">
        <v>171575</v>
      </c>
      <c r="C92" s="33" t="str">
        <f>VLOOKUP(B92,procv!$A$2:$D$142,4,FALSE)</f>
        <v>Ilha do Bananal</v>
      </c>
      <c r="D92" s="33" t="s">
        <v>95</v>
      </c>
      <c r="E92" s="17">
        <v>40</v>
      </c>
      <c r="F92" s="36">
        <f>IFERROR(E92/$AC92,0)</f>
        <v>2.0242914979757085E-2</v>
      </c>
      <c r="G92" s="17">
        <v>3</v>
      </c>
      <c r="H92" s="36">
        <f>IFERROR(G92/$AD92,0)</f>
        <v>1.9108280254777069E-2</v>
      </c>
      <c r="I92" s="17">
        <v>671</v>
      </c>
      <c r="J92" s="36">
        <f>IFERROR(I92/$AC92,0)</f>
        <v>0.33957489878542513</v>
      </c>
      <c r="K92" s="17">
        <v>55</v>
      </c>
      <c r="L92" s="36">
        <f>IFERROR(K92/$AD92,0)</f>
        <v>0.3503184713375796</v>
      </c>
      <c r="M92" s="17">
        <v>683</v>
      </c>
      <c r="N92" s="36">
        <f>IFERROR(M92/$AC92,0)</f>
        <v>0.3456477732793522</v>
      </c>
      <c r="O92" s="17">
        <v>50</v>
      </c>
      <c r="P92" s="36">
        <f>IFERROR(O92/$AD92,0)</f>
        <v>0.31847133757961782</v>
      </c>
      <c r="Q92" s="17">
        <v>385</v>
      </c>
      <c r="R92" s="36">
        <f>IFERROR(Q92/$AC92,0)</f>
        <v>0.19483805668016194</v>
      </c>
      <c r="S92" s="17">
        <v>34</v>
      </c>
      <c r="T92" s="36">
        <f>IFERROR(S92/$AD92,0)</f>
        <v>0.21656050955414013</v>
      </c>
      <c r="U92" s="17">
        <v>140</v>
      </c>
      <c r="V92" s="36">
        <f>IFERROR(U92/$AC92,0)</f>
        <v>7.08502024291498E-2</v>
      </c>
      <c r="W92" s="17">
        <v>12</v>
      </c>
      <c r="X92" s="36">
        <f>IFERROR(W92/$AD92,0)</f>
        <v>7.6433121019108277E-2</v>
      </c>
      <c r="Y92" s="17">
        <v>57</v>
      </c>
      <c r="Z92" s="36">
        <f>IFERROR(Y92/$AC92,0)</f>
        <v>2.8846153846153848E-2</v>
      </c>
      <c r="AA92" s="17">
        <v>3</v>
      </c>
      <c r="AB92" s="36">
        <f>IFERROR(AA92/$AD92,0)</f>
        <v>1.9108280254777069E-2</v>
      </c>
      <c r="AC92" s="16">
        <v>1976</v>
      </c>
      <c r="AD92" s="17">
        <v>157</v>
      </c>
    </row>
    <row r="93" spans="1:30" ht="15.75" customHeight="1" x14ac:dyDescent="0.25">
      <c r="A93" s="35">
        <v>2024</v>
      </c>
      <c r="B93" s="35">
        <v>171610</v>
      </c>
      <c r="C93" s="33" t="str">
        <f>VLOOKUP(B93,procv!$A$2:$D$142,4,FALSE)</f>
        <v>Cantão</v>
      </c>
      <c r="D93" s="33" t="s">
        <v>96</v>
      </c>
      <c r="E93" s="17">
        <v>246</v>
      </c>
      <c r="F93" s="36">
        <f>IFERROR(E93/$AC93,0)</f>
        <v>2.2037086804622415E-2</v>
      </c>
      <c r="G93" s="17">
        <v>22</v>
      </c>
      <c r="H93" s="36">
        <f>IFERROR(G93/$AD93,0)</f>
        <v>3.5200000000000002E-2</v>
      </c>
      <c r="I93" s="16">
        <v>3527</v>
      </c>
      <c r="J93" s="36">
        <f>IFERROR(I93/$AC93,0)</f>
        <v>0.31595449251993191</v>
      </c>
      <c r="K93" s="17">
        <v>179</v>
      </c>
      <c r="L93" s="36">
        <f>IFERROR(K93/$AD93,0)</f>
        <v>0.28639999999999999</v>
      </c>
      <c r="M93" s="16">
        <v>3997</v>
      </c>
      <c r="N93" s="36">
        <f>IFERROR(M93/$AC93,0)</f>
        <v>0.35805786974827553</v>
      </c>
      <c r="O93" s="17">
        <v>201</v>
      </c>
      <c r="P93" s="36">
        <f>IFERROR(O93/$AD93,0)</f>
        <v>0.3216</v>
      </c>
      <c r="Q93" s="16">
        <v>2192</v>
      </c>
      <c r="R93" s="36">
        <f>IFERROR(Q93/$AC93,0)</f>
        <v>0.19636298486070053</v>
      </c>
      <c r="S93" s="17">
        <v>130</v>
      </c>
      <c r="T93" s="36">
        <f>IFERROR(S93/$AD93,0)</f>
        <v>0.20799999999999999</v>
      </c>
      <c r="U93" s="17">
        <v>853</v>
      </c>
      <c r="V93" s="36">
        <f>IFERROR(U93/$AC93,0)</f>
        <v>7.6413150586759834E-2</v>
      </c>
      <c r="W93" s="17">
        <v>65</v>
      </c>
      <c r="X93" s="36">
        <f>IFERROR(W93/$AD93,0)</f>
        <v>0.104</v>
      </c>
      <c r="Y93" s="17">
        <v>348</v>
      </c>
      <c r="Z93" s="36">
        <f>IFERROR(Y93/$AC93,0)</f>
        <v>3.1174415479709755E-2</v>
      </c>
      <c r="AA93" s="17">
        <v>28</v>
      </c>
      <c r="AB93" s="36">
        <f>IFERROR(AA93/$AD93,0)</f>
        <v>4.48E-2</v>
      </c>
      <c r="AC93" s="16">
        <v>11163</v>
      </c>
      <c r="AD93" s="17">
        <v>625</v>
      </c>
    </row>
    <row r="94" spans="1:30" ht="15.75" customHeight="1" x14ac:dyDescent="0.25">
      <c r="A94" s="35">
        <v>2024</v>
      </c>
      <c r="B94" s="35">
        <v>171620</v>
      </c>
      <c r="C94" s="33" t="str">
        <f>VLOOKUP(B94,procv!$A$2:$D$142,4,FALSE)</f>
        <v>Sudeste</v>
      </c>
      <c r="D94" s="33" t="s">
        <v>97</v>
      </c>
      <c r="E94" s="17">
        <v>34</v>
      </c>
      <c r="F94" s="36">
        <f>IFERROR(E94/$AC94,0)</f>
        <v>1.4912280701754385E-2</v>
      </c>
      <c r="G94" s="17">
        <v>15</v>
      </c>
      <c r="H94" s="36">
        <f>IFERROR(G94/$AD94,0)</f>
        <v>2.4711696869851731E-2</v>
      </c>
      <c r="I94" s="17">
        <v>798</v>
      </c>
      <c r="J94" s="36">
        <f>IFERROR(I94/$AC94,0)</f>
        <v>0.35</v>
      </c>
      <c r="K94" s="17">
        <v>228</v>
      </c>
      <c r="L94" s="36">
        <f>IFERROR(K94/$AD94,0)</f>
        <v>0.37561779242174631</v>
      </c>
      <c r="M94" s="17">
        <v>794</v>
      </c>
      <c r="N94" s="36">
        <f>IFERROR(M94/$AC94,0)</f>
        <v>0.34824561403508769</v>
      </c>
      <c r="O94" s="17">
        <v>194</v>
      </c>
      <c r="P94" s="36">
        <f>IFERROR(O94/$AD94,0)</f>
        <v>0.31960461285008235</v>
      </c>
      <c r="Q94" s="17">
        <v>437</v>
      </c>
      <c r="R94" s="36">
        <f>IFERROR(Q94/$AC94,0)</f>
        <v>0.19166666666666668</v>
      </c>
      <c r="S94" s="17">
        <v>105</v>
      </c>
      <c r="T94" s="36">
        <f>IFERROR(S94/$AD94,0)</f>
        <v>0.17298187808896212</v>
      </c>
      <c r="U94" s="17">
        <v>141</v>
      </c>
      <c r="V94" s="36">
        <f>IFERROR(U94/$AC94,0)</f>
        <v>6.1842105263157893E-2</v>
      </c>
      <c r="W94" s="17">
        <v>40</v>
      </c>
      <c r="X94" s="36">
        <f>IFERROR(W94/$AD94,0)</f>
        <v>6.589785831960461E-2</v>
      </c>
      <c r="Y94" s="17">
        <v>76</v>
      </c>
      <c r="Z94" s="36">
        <f>IFERROR(Y94/$AC94,0)</f>
        <v>3.3333333333333333E-2</v>
      </c>
      <c r="AA94" s="17">
        <v>25</v>
      </c>
      <c r="AB94" s="36">
        <f>IFERROR(AA94/$AD94,0)</f>
        <v>4.118616144975288E-2</v>
      </c>
      <c r="AC94" s="16">
        <v>2280</v>
      </c>
      <c r="AD94" s="17">
        <v>607</v>
      </c>
    </row>
    <row r="95" spans="1:30" ht="15.75" customHeight="1" x14ac:dyDescent="0.25">
      <c r="A95" s="35">
        <v>2024</v>
      </c>
      <c r="B95" s="35">
        <v>171630</v>
      </c>
      <c r="C95" s="33" t="str">
        <f>VLOOKUP(B95,procv!$A$2:$D$142,4,FALSE)</f>
        <v>Médio Norte Araguaia</v>
      </c>
      <c r="D95" s="33" t="s">
        <v>98</v>
      </c>
      <c r="E95" s="17">
        <v>30</v>
      </c>
      <c r="F95" s="36">
        <f>IFERROR(E95/$AC95,0)</f>
        <v>2.0053475935828877E-2</v>
      </c>
      <c r="G95" s="17">
        <v>4</v>
      </c>
      <c r="H95" s="36">
        <f>IFERROR(G95/$AD95,0)</f>
        <v>2.5000000000000001E-2</v>
      </c>
      <c r="I95" s="17">
        <v>523</v>
      </c>
      <c r="J95" s="36">
        <f>IFERROR(I95/$AC95,0)</f>
        <v>0.34959893048128343</v>
      </c>
      <c r="K95" s="17">
        <v>51</v>
      </c>
      <c r="L95" s="36">
        <f>IFERROR(K95/$AD95,0)</f>
        <v>0.31874999999999998</v>
      </c>
      <c r="M95" s="17">
        <v>495</v>
      </c>
      <c r="N95" s="36">
        <f>IFERROR(M95/$AC95,0)</f>
        <v>0.33088235294117646</v>
      </c>
      <c r="O95" s="17">
        <v>59</v>
      </c>
      <c r="P95" s="36">
        <f>IFERROR(O95/$AD95,0)</f>
        <v>0.36875000000000002</v>
      </c>
      <c r="Q95" s="17">
        <v>292</v>
      </c>
      <c r="R95" s="36">
        <f>IFERROR(Q95/$AC95,0)</f>
        <v>0.19518716577540107</v>
      </c>
      <c r="S95" s="17">
        <v>28</v>
      </c>
      <c r="T95" s="36">
        <f>IFERROR(S95/$AD95,0)</f>
        <v>0.17499999999999999</v>
      </c>
      <c r="U95" s="17">
        <v>100</v>
      </c>
      <c r="V95" s="36">
        <f>IFERROR(U95/$AC95,0)</f>
        <v>6.684491978609626E-2</v>
      </c>
      <c r="W95" s="17">
        <v>9</v>
      </c>
      <c r="X95" s="36">
        <f>IFERROR(W95/$AD95,0)</f>
        <v>5.6250000000000001E-2</v>
      </c>
      <c r="Y95" s="17">
        <v>56</v>
      </c>
      <c r="Z95" s="36">
        <f>IFERROR(Y95/$AC95,0)</f>
        <v>3.7433155080213901E-2</v>
      </c>
      <c r="AA95" s="17">
        <v>9</v>
      </c>
      <c r="AB95" s="36">
        <f>IFERROR(AA95/$AD95,0)</f>
        <v>5.6250000000000001E-2</v>
      </c>
      <c r="AC95" s="16">
        <v>1496</v>
      </c>
      <c r="AD95" s="17">
        <v>160</v>
      </c>
    </row>
    <row r="96" spans="1:30" ht="15.75" customHeight="1" x14ac:dyDescent="0.25">
      <c r="A96" s="35">
        <v>2024</v>
      </c>
      <c r="B96" s="35">
        <v>171650</v>
      </c>
      <c r="C96" s="33" t="str">
        <f>VLOOKUP(B96,procv!$A$2:$D$142,4,FALSE)</f>
        <v>Cerrado Tocantins Araguaia</v>
      </c>
      <c r="D96" s="33" t="s">
        <v>99</v>
      </c>
      <c r="E96" s="17">
        <v>92</v>
      </c>
      <c r="F96" s="36">
        <f>IFERROR(E96/$AC96,0)</f>
        <v>1.8533440773569703E-2</v>
      </c>
      <c r="G96" s="17">
        <v>12</v>
      </c>
      <c r="H96" s="36">
        <f>IFERROR(G96/$AD96,0)</f>
        <v>3.3426183844011144E-2</v>
      </c>
      <c r="I96" s="16">
        <v>1593</v>
      </c>
      <c r="J96" s="36">
        <f>IFERROR(I96/$AC96,0)</f>
        <v>0.32091055600322321</v>
      </c>
      <c r="K96" s="17">
        <v>115</v>
      </c>
      <c r="L96" s="36">
        <f>IFERROR(K96/$AD96,0)</f>
        <v>0.3203342618384401</v>
      </c>
      <c r="M96" s="16">
        <v>1805</v>
      </c>
      <c r="N96" s="36">
        <f>IFERROR(M96/$AC96,0)</f>
        <v>0.36361804995970992</v>
      </c>
      <c r="O96" s="17">
        <v>118</v>
      </c>
      <c r="P96" s="36">
        <f>IFERROR(O96/$AD96,0)</f>
        <v>0.32869080779944287</v>
      </c>
      <c r="Q96" s="17">
        <v>971</v>
      </c>
      <c r="R96" s="36">
        <f>IFERROR(Q96/$AC96,0)</f>
        <v>0.19560838033843675</v>
      </c>
      <c r="S96" s="17">
        <v>68</v>
      </c>
      <c r="T96" s="36">
        <f>IFERROR(S96/$AD96,0)</f>
        <v>0.1894150417827298</v>
      </c>
      <c r="U96" s="17">
        <v>345</v>
      </c>
      <c r="V96" s="36">
        <f>IFERROR(U96/$AC96,0)</f>
        <v>6.9500402900886382E-2</v>
      </c>
      <c r="W96" s="17">
        <v>33</v>
      </c>
      <c r="X96" s="36">
        <f>IFERROR(W96/$AD96,0)</f>
        <v>9.1922005571030641E-2</v>
      </c>
      <c r="Y96" s="17">
        <v>158</v>
      </c>
      <c r="Z96" s="36">
        <f>IFERROR(Y96/$AC96,0)</f>
        <v>3.1829170024174055E-2</v>
      </c>
      <c r="AA96" s="17">
        <v>13</v>
      </c>
      <c r="AB96" s="36">
        <f>IFERROR(AA96/$AD96,0)</f>
        <v>3.6211699164345405E-2</v>
      </c>
      <c r="AC96" s="16">
        <v>4964</v>
      </c>
      <c r="AD96" s="17">
        <v>359</v>
      </c>
    </row>
    <row r="97" spans="1:30" ht="15.75" customHeight="1" x14ac:dyDescent="0.25">
      <c r="A97" s="35">
        <v>2024</v>
      </c>
      <c r="B97" s="35">
        <v>171660</v>
      </c>
      <c r="C97" s="33" t="str">
        <f>VLOOKUP(B97,procv!$A$2:$D$142,4,FALSE)</f>
        <v>Ilha do Bananal</v>
      </c>
      <c r="D97" s="33" t="s">
        <v>100</v>
      </c>
      <c r="E97" s="17">
        <v>48</v>
      </c>
      <c r="F97" s="36">
        <f>IFERROR(E97/$AC97,0)</f>
        <v>1.8489984591679508E-2</v>
      </c>
      <c r="G97" s="17">
        <v>19</v>
      </c>
      <c r="H97" s="36">
        <f>IFERROR(G97/$AD97,0)</f>
        <v>7.3076923076923081E-2</v>
      </c>
      <c r="I97" s="17">
        <v>753</v>
      </c>
      <c r="J97" s="36">
        <f>IFERROR(I97/$AC97,0)</f>
        <v>0.29006163328197226</v>
      </c>
      <c r="K97" s="17">
        <v>73</v>
      </c>
      <c r="L97" s="36">
        <f>IFERROR(K97/$AD97,0)</f>
        <v>0.28076923076923077</v>
      </c>
      <c r="M97" s="17">
        <v>890</v>
      </c>
      <c r="N97" s="36">
        <f>IFERROR(M97/$AC97,0)</f>
        <v>0.34283513097072421</v>
      </c>
      <c r="O97" s="17">
        <v>71</v>
      </c>
      <c r="P97" s="36">
        <f>IFERROR(O97/$AD97,0)</f>
        <v>0.27307692307692305</v>
      </c>
      <c r="Q97" s="17">
        <v>539</v>
      </c>
      <c r="R97" s="36">
        <f>IFERROR(Q97/$AC97,0)</f>
        <v>0.2076271186440678</v>
      </c>
      <c r="S97" s="17">
        <v>48</v>
      </c>
      <c r="T97" s="36">
        <f>IFERROR(S97/$AD97,0)</f>
        <v>0.18461538461538463</v>
      </c>
      <c r="U97" s="17">
        <v>239</v>
      </c>
      <c r="V97" s="36">
        <f>IFERROR(U97/$AC97,0)</f>
        <v>9.206471494607088E-2</v>
      </c>
      <c r="W97" s="17">
        <v>32</v>
      </c>
      <c r="X97" s="36">
        <f>IFERROR(W97/$AD97,0)</f>
        <v>0.12307692307692308</v>
      </c>
      <c r="Y97" s="17">
        <v>127</v>
      </c>
      <c r="Z97" s="36">
        <f>IFERROR(Y97/$AC97,0)</f>
        <v>4.8921417565485362E-2</v>
      </c>
      <c r="AA97" s="17">
        <v>17</v>
      </c>
      <c r="AB97" s="36">
        <f>IFERROR(AA97/$AD97,0)</f>
        <v>6.5384615384615388E-2</v>
      </c>
      <c r="AC97" s="16">
        <v>2596</v>
      </c>
      <c r="AD97" s="17">
        <v>260</v>
      </c>
    </row>
    <row r="98" spans="1:30" ht="15.75" customHeight="1" x14ac:dyDescent="0.25">
      <c r="A98" s="35">
        <v>2024</v>
      </c>
      <c r="B98" s="35">
        <v>171665</v>
      </c>
      <c r="C98" s="33" t="str">
        <f>VLOOKUP(B98,procv!$A$2:$D$142,4,FALSE)</f>
        <v>Cerrado Tocantins Araguaia</v>
      </c>
      <c r="D98" s="33" t="s">
        <v>101</v>
      </c>
      <c r="E98" s="17">
        <v>31</v>
      </c>
      <c r="F98" s="36">
        <f>IFERROR(E98/$AC98,0)</f>
        <v>1.8452380952380953E-2</v>
      </c>
      <c r="G98" s="17">
        <v>6</v>
      </c>
      <c r="H98" s="36">
        <f>IFERROR(G98/$AD98,0)</f>
        <v>5.6074766355140186E-2</v>
      </c>
      <c r="I98" s="17">
        <v>566</v>
      </c>
      <c r="J98" s="36">
        <f>IFERROR(I98/$AC98,0)</f>
        <v>0.33690476190476193</v>
      </c>
      <c r="K98" s="17">
        <v>28</v>
      </c>
      <c r="L98" s="36">
        <f>IFERROR(K98/$AD98,0)</f>
        <v>0.26168224299065418</v>
      </c>
      <c r="M98" s="17">
        <v>580</v>
      </c>
      <c r="N98" s="36">
        <f>IFERROR(M98/$AC98,0)</f>
        <v>0.34523809523809523</v>
      </c>
      <c r="O98" s="17">
        <v>37</v>
      </c>
      <c r="P98" s="36">
        <f>IFERROR(O98/$AD98,0)</f>
        <v>0.34579439252336447</v>
      </c>
      <c r="Q98" s="17">
        <v>328</v>
      </c>
      <c r="R98" s="36">
        <f>IFERROR(Q98/$AC98,0)</f>
        <v>0.19523809523809524</v>
      </c>
      <c r="S98" s="17">
        <v>27</v>
      </c>
      <c r="T98" s="36">
        <f>IFERROR(S98/$AD98,0)</f>
        <v>0.25233644859813081</v>
      </c>
      <c r="U98" s="17">
        <v>125</v>
      </c>
      <c r="V98" s="36">
        <f>IFERROR(U98/$AC98,0)</f>
        <v>7.4404761904761904E-2</v>
      </c>
      <c r="W98" s="17">
        <v>6</v>
      </c>
      <c r="X98" s="36">
        <f>IFERROR(W98/$AD98,0)</f>
        <v>5.6074766355140186E-2</v>
      </c>
      <c r="Y98" s="17">
        <v>50</v>
      </c>
      <c r="Z98" s="36">
        <f>IFERROR(Y98/$AC98,0)</f>
        <v>2.976190476190476E-2</v>
      </c>
      <c r="AA98" s="17">
        <v>3</v>
      </c>
      <c r="AB98" s="36">
        <f>IFERROR(AA98/$AD98,0)</f>
        <v>2.8037383177570093E-2</v>
      </c>
      <c r="AC98" s="16">
        <v>1680</v>
      </c>
      <c r="AD98" s="17">
        <v>107</v>
      </c>
    </row>
    <row r="99" spans="1:30" ht="15.75" customHeight="1" x14ac:dyDescent="0.25">
      <c r="A99" s="35">
        <v>2024</v>
      </c>
      <c r="B99" s="35">
        <v>171700</v>
      </c>
      <c r="C99" s="33" t="str">
        <f>VLOOKUP(B99,procv!$A$2:$D$142,4,FALSE)</f>
        <v>Amor Perfeito</v>
      </c>
      <c r="D99" s="33" t="s">
        <v>102</v>
      </c>
      <c r="E99" s="17">
        <v>33</v>
      </c>
      <c r="F99" s="36">
        <f>IFERROR(E99/$AC99,0)</f>
        <v>2.2357723577235773E-2</v>
      </c>
      <c r="G99" s="17">
        <v>0</v>
      </c>
      <c r="H99" s="36">
        <f>IFERROR(G99/$AD99,0)</f>
        <v>0</v>
      </c>
      <c r="I99" s="17">
        <v>501</v>
      </c>
      <c r="J99" s="36">
        <f>IFERROR(I99/$AC99,0)</f>
        <v>0.33943089430894308</v>
      </c>
      <c r="K99" s="17">
        <v>49</v>
      </c>
      <c r="L99" s="36">
        <f>IFERROR(K99/$AD99,0)</f>
        <v>0.31612903225806449</v>
      </c>
      <c r="M99" s="17">
        <v>525</v>
      </c>
      <c r="N99" s="36">
        <f>IFERROR(M99/$AC99,0)</f>
        <v>0.35569105691056913</v>
      </c>
      <c r="O99" s="17">
        <v>52</v>
      </c>
      <c r="P99" s="36">
        <f>IFERROR(O99/$AD99,0)</f>
        <v>0.33548387096774196</v>
      </c>
      <c r="Q99" s="17">
        <v>283</v>
      </c>
      <c r="R99" s="36">
        <f>IFERROR(Q99/$AC99,0)</f>
        <v>0.19173441734417343</v>
      </c>
      <c r="S99" s="17">
        <v>33</v>
      </c>
      <c r="T99" s="36">
        <f>IFERROR(S99/$AD99,0)</f>
        <v>0.2129032258064516</v>
      </c>
      <c r="U99" s="17">
        <v>97</v>
      </c>
      <c r="V99" s="36">
        <f>IFERROR(U99/$AC99,0)</f>
        <v>6.5718157181571812E-2</v>
      </c>
      <c r="W99" s="17">
        <v>16</v>
      </c>
      <c r="X99" s="36">
        <f>IFERROR(W99/$AD99,0)</f>
        <v>0.1032258064516129</v>
      </c>
      <c r="Y99" s="17">
        <v>37</v>
      </c>
      <c r="Z99" s="36">
        <f>IFERROR(Y99/$AC99,0)</f>
        <v>2.5067750677506776E-2</v>
      </c>
      <c r="AA99" s="17">
        <v>5</v>
      </c>
      <c r="AB99" s="36">
        <f>IFERROR(AA99/$AD99,0)</f>
        <v>3.2258064516129031E-2</v>
      </c>
      <c r="AC99" s="16">
        <v>1476</v>
      </c>
      <c r="AD99" s="17">
        <v>155</v>
      </c>
    </row>
    <row r="100" spans="1:30" ht="15.75" customHeight="1" x14ac:dyDescent="0.25">
      <c r="A100" s="35">
        <v>2024</v>
      </c>
      <c r="B100" s="35">
        <v>171720</v>
      </c>
      <c r="C100" s="33" t="str">
        <f>VLOOKUP(B100,procv!$A$2:$D$142,4,FALSE)</f>
        <v>Médio Norte Araguaia</v>
      </c>
      <c r="D100" s="33" t="s">
        <v>103</v>
      </c>
      <c r="E100" s="17">
        <v>18</v>
      </c>
      <c r="F100" s="36">
        <f>IFERROR(E100/$AC100,0)</f>
        <v>2.1052631578947368E-2</v>
      </c>
      <c r="G100" s="17">
        <v>2</v>
      </c>
      <c r="H100" s="36">
        <f>IFERROR(G100/$AD100,0)</f>
        <v>2.5000000000000001E-2</v>
      </c>
      <c r="I100" s="17">
        <v>242</v>
      </c>
      <c r="J100" s="36">
        <f>IFERROR(I100/$AC100,0)</f>
        <v>0.28304093567251459</v>
      </c>
      <c r="K100" s="17">
        <v>22</v>
      </c>
      <c r="L100" s="36">
        <f>IFERROR(K100/$AD100,0)</f>
        <v>0.27500000000000002</v>
      </c>
      <c r="M100" s="17">
        <v>296</v>
      </c>
      <c r="N100" s="36">
        <f>IFERROR(M100/$AC100,0)</f>
        <v>0.34619883040935673</v>
      </c>
      <c r="O100" s="17">
        <v>26</v>
      </c>
      <c r="P100" s="36">
        <f>IFERROR(O100/$AD100,0)</f>
        <v>0.32500000000000001</v>
      </c>
      <c r="Q100" s="17">
        <v>199</v>
      </c>
      <c r="R100" s="36">
        <f>IFERROR(Q100/$AC100,0)</f>
        <v>0.2327485380116959</v>
      </c>
      <c r="S100" s="17">
        <v>20</v>
      </c>
      <c r="T100" s="36">
        <f>IFERROR(S100/$AD100,0)</f>
        <v>0.25</v>
      </c>
      <c r="U100" s="17">
        <v>72</v>
      </c>
      <c r="V100" s="36">
        <f>IFERROR(U100/$AC100,0)</f>
        <v>8.4210526315789472E-2</v>
      </c>
      <c r="W100" s="17">
        <v>6</v>
      </c>
      <c r="X100" s="36">
        <f>IFERROR(W100/$AD100,0)</f>
        <v>7.4999999999999997E-2</v>
      </c>
      <c r="Y100" s="17">
        <v>28</v>
      </c>
      <c r="Z100" s="36">
        <f>IFERROR(Y100/$AC100,0)</f>
        <v>3.2748538011695909E-2</v>
      </c>
      <c r="AA100" s="17">
        <v>4</v>
      </c>
      <c r="AB100" s="36">
        <f>IFERROR(AA100/$AD100,0)</f>
        <v>0.05</v>
      </c>
      <c r="AC100" s="17">
        <v>855</v>
      </c>
      <c r="AD100" s="17">
        <v>80</v>
      </c>
    </row>
    <row r="101" spans="1:30" ht="15.75" customHeight="1" x14ac:dyDescent="0.25">
      <c r="A101" s="35">
        <v>2024</v>
      </c>
      <c r="B101" s="35">
        <v>171750</v>
      </c>
      <c r="C101" s="33" t="str">
        <f>VLOOKUP(B101,procv!$A$2:$D$142,4,FALSE)</f>
        <v>Cantão</v>
      </c>
      <c r="D101" s="33" t="s">
        <v>104</v>
      </c>
      <c r="E101" s="17">
        <v>44</v>
      </c>
      <c r="F101" s="36">
        <f>IFERROR(E101/$AC101,0)</f>
        <v>2.2880915236609463E-2</v>
      </c>
      <c r="G101" s="17">
        <v>11</v>
      </c>
      <c r="H101" s="36">
        <f>IFERROR(G101/$AD101,0)</f>
        <v>4.2635658914728682E-2</v>
      </c>
      <c r="I101" s="17">
        <v>604</v>
      </c>
      <c r="J101" s="36">
        <f>IFERROR(I101/$AC101,0)</f>
        <v>0.31409256370254812</v>
      </c>
      <c r="K101" s="17">
        <v>93</v>
      </c>
      <c r="L101" s="36">
        <f>IFERROR(K101/$AD101,0)</f>
        <v>0.36046511627906974</v>
      </c>
      <c r="M101" s="17">
        <v>648</v>
      </c>
      <c r="N101" s="36">
        <f>IFERROR(M101/$AC101,0)</f>
        <v>0.33697347893915758</v>
      </c>
      <c r="O101" s="17">
        <v>74</v>
      </c>
      <c r="P101" s="36">
        <f>IFERROR(O101/$AD101,0)</f>
        <v>0.2868217054263566</v>
      </c>
      <c r="Q101" s="17">
        <v>392</v>
      </c>
      <c r="R101" s="36">
        <f>IFERROR(Q101/$AC101,0)</f>
        <v>0.20384815392615704</v>
      </c>
      <c r="S101" s="17">
        <v>54</v>
      </c>
      <c r="T101" s="36">
        <f>IFERROR(S101/$AD101,0)</f>
        <v>0.20930232558139536</v>
      </c>
      <c r="U101" s="17">
        <v>166</v>
      </c>
      <c r="V101" s="36">
        <f>IFERROR(U101/$AC101,0)</f>
        <v>8.6323452938117523E-2</v>
      </c>
      <c r="W101" s="17">
        <v>21</v>
      </c>
      <c r="X101" s="36">
        <f>IFERROR(W101/$AD101,0)</f>
        <v>8.1395348837209308E-2</v>
      </c>
      <c r="Y101" s="17">
        <v>69</v>
      </c>
      <c r="Z101" s="36">
        <f>IFERROR(Y101/$AC101,0)</f>
        <v>3.5881435257410298E-2</v>
      </c>
      <c r="AA101" s="17">
        <v>5</v>
      </c>
      <c r="AB101" s="36">
        <f>IFERROR(AA101/$AD101,0)</f>
        <v>1.937984496124031E-2</v>
      </c>
      <c r="AC101" s="16">
        <v>1923</v>
      </c>
      <c r="AD101" s="17">
        <v>258</v>
      </c>
    </row>
    <row r="102" spans="1:30" ht="15.75" customHeight="1" x14ac:dyDescent="0.25">
      <c r="A102" s="35">
        <v>2024</v>
      </c>
      <c r="B102" s="35">
        <v>171780</v>
      </c>
      <c r="C102" s="33" t="str">
        <f>VLOOKUP(B102,procv!$A$2:$D$142,4,FALSE)</f>
        <v>Sudeste</v>
      </c>
      <c r="D102" s="33" t="s">
        <v>105</v>
      </c>
      <c r="E102" s="17">
        <v>27</v>
      </c>
      <c r="F102" s="36">
        <f>IFERROR(E102/$AC102,0)</f>
        <v>2.2842639593908629E-2</v>
      </c>
      <c r="G102" s="17">
        <v>3</v>
      </c>
      <c r="H102" s="36">
        <f>IFERROR(G102/$AD102,0)</f>
        <v>1.8518518518518517E-2</v>
      </c>
      <c r="I102" s="17">
        <v>387</v>
      </c>
      <c r="J102" s="36">
        <f>IFERROR(I102/$AC102,0)</f>
        <v>0.32741116751269034</v>
      </c>
      <c r="K102" s="17">
        <v>53</v>
      </c>
      <c r="L102" s="36">
        <f>IFERROR(K102/$AD102,0)</f>
        <v>0.3271604938271605</v>
      </c>
      <c r="M102" s="17">
        <v>431</v>
      </c>
      <c r="N102" s="36">
        <f>IFERROR(M102/$AC102,0)</f>
        <v>0.36463620981387479</v>
      </c>
      <c r="O102" s="17">
        <v>54</v>
      </c>
      <c r="P102" s="36">
        <f>IFERROR(O102/$AD102,0)</f>
        <v>0.33333333333333331</v>
      </c>
      <c r="Q102" s="17">
        <v>233</v>
      </c>
      <c r="R102" s="36">
        <f>IFERROR(Q102/$AC102,0)</f>
        <v>0.19712351945854484</v>
      </c>
      <c r="S102" s="17">
        <v>40</v>
      </c>
      <c r="T102" s="36">
        <f>IFERROR(S102/$AD102,0)</f>
        <v>0.24691358024691357</v>
      </c>
      <c r="U102" s="17">
        <v>78</v>
      </c>
      <c r="V102" s="36">
        <f>IFERROR(U102/$AC102,0)</f>
        <v>6.5989847715736044E-2</v>
      </c>
      <c r="W102" s="17">
        <v>6</v>
      </c>
      <c r="X102" s="36">
        <f>IFERROR(W102/$AD102,0)</f>
        <v>3.7037037037037035E-2</v>
      </c>
      <c r="Y102" s="17">
        <v>26</v>
      </c>
      <c r="Z102" s="36">
        <f>IFERROR(Y102/$AC102,0)</f>
        <v>2.1996615905245348E-2</v>
      </c>
      <c r="AA102" s="17">
        <v>6</v>
      </c>
      <c r="AB102" s="36">
        <f>IFERROR(AA102/$AD102,0)</f>
        <v>3.7037037037037035E-2</v>
      </c>
      <c r="AC102" s="16">
        <v>1182</v>
      </c>
      <c r="AD102" s="17">
        <v>162</v>
      </c>
    </row>
    <row r="103" spans="1:30" ht="15.75" customHeight="1" x14ac:dyDescent="0.25">
      <c r="A103" s="35">
        <v>2024</v>
      </c>
      <c r="B103" s="35">
        <v>171790</v>
      </c>
      <c r="C103" s="33" t="str">
        <f>VLOOKUP(B103,procv!$A$2:$D$142,4,FALSE)</f>
        <v>Amor Perfeito</v>
      </c>
      <c r="D103" s="33" t="s">
        <v>106</v>
      </c>
      <c r="E103" s="17">
        <v>42</v>
      </c>
      <c r="F103" s="36">
        <f>IFERROR(E103/$AC103,0)</f>
        <v>2.8206850235057087E-2</v>
      </c>
      <c r="G103" s="17">
        <v>13</v>
      </c>
      <c r="H103" s="36">
        <f>IFERROR(G103/$AD103,0)</f>
        <v>5.3941908713692949E-2</v>
      </c>
      <c r="I103" s="17">
        <v>445</v>
      </c>
      <c r="J103" s="36">
        <f>IFERROR(I103/$AC103,0)</f>
        <v>0.29885829415715243</v>
      </c>
      <c r="K103" s="17">
        <v>65</v>
      </c>
      <c r="L103" s="36">
        <f>IFERROR(K103/$AD103,0)</f>
        <v>0.26970954356846472</v>
      </c>
      <c r="M103" s="17">
        <v>516</v>
      </c>
      <c r="N103" s="36">
        <f>IFERROR(M103/$AC103,0)</f>
        <v>0.34654130288784418</v>
      </c>
      <c r="O103" s="17">
        <v>71</v>
      </c>
      <c r="P103" s="36">
        <f>IFERROR(O103/$AD103,0)</f>
        <v>0.29460580912863071</v>
      </c>
      <c r="Q103" s="17">
        <v>330</v>
      </c>
      <c r="R103" s="36">
        <f>IFERROR(Q103/$AC103,0)</f>
        <v>0.22162525184687709</v>
      </c>
      <c r="S103" s="17">
        <v>65</v>
      </c>
      <c r="T103" s="36">
        <f>IFERROR(S103/$AD103,0)</f>
        <v>0.26970954356846472</v>
      </c>
      <c r="U103" s="17">
        <v>110</v>
      </c>
      <c r="V103" s="36">
        <f>IFERROR(U103/$AC103,0)</f>
        <v>7.3875083948959031E-2</v>
      </c>
      <c r="W103" s="17">
        <v>20</v>
      </c>
      <c r="X103" s="36">
        <f>IFERROR(W103/$AD103,0)</f>
        <v>8.2987551867219914E-2</v>
      </c>
      <c r="Y103" s="17">
        <v>46</v>
      </c>
      <c r="Z103" s="36">
        <f>IFERROR(Y103/$AC103,0)</f>
        <v>3.089321692411014E-2</v>
      </c>
      <c r="AA103" s="17">
        <v>7</v>
      </c>
      <c r="AB103" s="36">
        <f>IFERROR(AA103/$AD103,0)</f>
        <v>2.9045643153526972E-2</v>
      </c>
      <c r="AC103" s="16">
        <v>1489</v>
      </c>
      <c r="AD103" s="17">
        <v>241</v>
      </c>
    </row>
    <row r="104" spans="1:30" ht="15.75" customHeight="1" x14ac:dyDescent="0.25">
      <c r="A104" s="35">
        <v>2024</v>
      </c>
      <c r="B104" s="35">
        <v>171800</v>
      </c>
      <c r="C104" s="33" t="str">
        <f>VLOOKUP(B104,procv!$A$2:$D$142,4,FALSE)</f>
        <v>Sudeste</v>
      </c>
      <c r="D104" s="33" t="s">
        <v>107</v>
      </c>
      <c r="E104" s="17">
        <v>2</v>
      </c>
      <c r="F104" s="36">
        <f>IFERROR(E104/$AC104,0)</f>
        <v>1.6949152542372881E-2</v>
      </c>
      <c r="G104" s="17">
        <v>1</v>
      </c>
      <c r="H104" s="36">
        <f>IFERROR(G104/$AD104,0)</f>
        <v>9.8039215686274508E-3</v>
      </c>
      <c r="I104" s="17">
        <v>42</v>
      </c>
      <c r="J104" s="36">
        <f>IFERROR(I104/$AC104,0)</f>
        <v>0.3559322033898305</v>
      </c>
      <c r="K104" s="17">
        <v>33</v>
      </c>
      <c r="L104" s="36">
        <f>IFERROR(K104/$AD104,0)</f>
        <v>0.3235294117647059</v>
      </c>
      <c r="M104" s="17">
        <v>37</v>
      </c>
      <c r="N104" s="36">
        <f>IFERROR(M104/$AC104,0)</f>
        <v>0.3135593220338983</v>
      </c>
      <c r="O104" s="17">
        <v>32</v>
      </c>
      <c r="P104" s="36">
        <f>IFERROR(O104/$AD104,0)</f>
        <v>0.31372549019607843</v>
      </c>
      <c r="Q104" s="17">
        <v>26</v>
      </c>
      <c r="R104" s="36">
        <f>IFERROR(Q104/$AC104,0)</f>
        <v>0.22033898305084745</v>
      </c>
      <c r="S104" s="17">
        <v>24</v>
      </c>
      <c r="T104" s="36">
        <f>IFERROR(S104/$AD104,0)</f>
        <v>0.23529411764705882</v>
      </c>
      <c r="U104" s="17">
        <v>10</v>
      </c>
      <c r="V104" s="36">
        <f>IFERROR(U104/$AC104,0)</f>
        <v>8.4745762711864403E-2</v>
      </c>
      <c r="W104" s="17">
        <v>11</v>
      </c>
      <c r="X104" s="36">
        <f>IFERROR(W104/$AD104,0)</f>
        <v>0.10784313725490197</v>
      </c>
      <c r="Y104" s="17">
        <v>1</v>
      </c>
      <c r="Z104" s="36">
        <f>IFERROR(Y104/$AC104,0)</f>
        <v>8.4745762711864406E-3</v>
      </c>
      <c r="AA104" s="17">
        <v>1</v>
      </c>
      <c r="AB104" s="36">
        <f>IFERROR(AA104/$AD104,0)</f>
        <v>9.8039215686274508E-3</v>
      </c>
      <c r="AC104" s="17">
        <v>118</v>
      </c>
      <c r="AD104" s="17">
        <v>102</v>
      </c>
    </row>
    <row r="105" spans="1:30" ht="15.75" customHeight="1" x14ac:dyDescent="0.25">
      <c r="A105" s="35">
        <v>2024</v>
      </c>
      <c r="B105" s="35">
        <v>171820</v>
      </c>
      <c r="C105" s="33" t="str">
        <f>VLOOKUP(B105,procv!$A$2:$D$142,4,FALSE)</f>
        <v>Amor Perfeito</v>
      </c>
      <c r="D105" s="33" t="s">
        <v>108</v>
      </c>
      <c r="E105" s="17">
        <v>328</v>
      </c>
      <c r="F105" s="36">
        <f>IFERROR(E105/$AC105,0)</f>
        <v>2.1045877446262431E-2</v>
      </c>
      <c r="G105" s="17">
        <v>39</v>
      </c>
      <c r="H105" s="36">
        <f>IFERROR(G105/$AD105,0)</f>
        <v>3.5358114233907528E-2</v>
      </c>
      <c r="I105" s="16">
        <v>4762</v>
      </c>
      <c r="J105" s="36">
        <f>IFERROR(I105/$AC105,0)</f>
        <v>0.30555020853384662</v>
      </c>
      <c r="K105" s="17">
        <v>318</v>
      </c>
      <c r="L105" s="36">
        <f>IFERROR(K105/$AD105,0)</f>
        <v>0.28830462375339982</v>
      </c>
      <c r="M105" s="16">
        <v>5436</v>
      </c>
      <c r="N105" s="36">
        <f>IFERROR(M105/$AC105,0)</f>
        <v>0.34879692011549568</v>
      </c>
      <c r="O105" s="17">
        <v>351</v>
      </c>
      <c r="P105" s="36">
        <f>IFERROR(O105/$AD105,0)</f>
        <v>0.31822302810516773</v>
      </c>
      <c r="Q105" s="16">
        <v>3202</v>
      </c>
      <c r="R105" s="36">
        <f>IFERROR(Q105/$AC105,0)</f>
        <v>0.20545396214308631</v>
      </c>
      <c r="S105" s="17">
        <v>238</v>
      </c>
      <c r="T105" s="36">
        <f>IFERROR(S105/$AD105,0)</f>
        <v>0.2157751586582049</v>
      </c>
      <c r="U105" s="16">
        <v>1245</v>
      </c>
      <c r="V105" s="36">
        <f>IFERROR(U105/$AC105,0)</f>
        <v>7.9884504331087583E-2</v>
      </c>
      <c r="W105" s="17">
        <v>99</v>
      </c>
      <c r="X105" s="36">
        <f>IFERROR(W105/$AD105,0)</f>
        <v>8.975521305530372E-2</v>
      </c>
      <c r="Y105" s="17">
        <v>612</v>
      </c>
      <c r="Z105" s="36">
        <f>IFERROR(Y105/$AC105,0)</f>
        <v>3.926852743022137E-2</v>
      </c>
      <c r="AA105" s="17">
        <v>58</v>
      </c>
      <c r="AB105" s="36">
        <f>IFERROR(AA105/$AD105,0)</f>
        <v>5.2583862194016319E-2</v>
      </c>
      <c r="AC105" s="16">
        <v>15585</v>
      </c>
      <c r="AD105" s="16">
        <v>1103</v>
      </c>
    </row>
    <row r="106" spans="1:30" ht="15.75" customHeight="1" x14ac:dyDescent="0.25">
      <c r="A106" s="35">
        <v>2024</v>
      </c>
      <c r="B106" s="35">
        <v>171830</v>
      </c>
      <c r="C106" s="33" t="str">
        <f>VLOOKUP(B106,procv!$A$2:$D$142,4,FALSE)</f>
        <v>Bico do Papagaio</v>
      </c>
      <c r="D106" s="33" t="s">
        <v>109</v>
      </c>
      <c r="E106" s="17">
        <v>53</v>
      </c>
      <c r="F106" s="36">
        <f>IFERROR(E106/$AC106,0)</f>
        <v>2.8586839266450916E-2</v>
      </c>
      <c r="G106" s="17">
        <v>9</v>
      </c>
      <c r="H106" s="36">
        <f>IFERROR(G106/$AD106,0)</f>
        <v>3.7974683544303799E-2</v>
      </c>
      <c r="I106" s="17">
        <v>592</v>
      </c>
      <c r="J106" s="36">
        <f>IFERROR(I106/$AC106,0)</f>
        <v>0.31930960086299892</v>
      </c>
      <c r="K106" s="17">
        <v>72</v>
      </c>
      <c r="L106" s="36">
        <f>IFERROR(K106/$AD106,0)</f>
        <v>0.30379746835443039</v>
      </c>
      <c r="M106" s="17">
        <v>664</v>
      </c>
      <c r="N106" s="36">
        <f>IFERROR(M106/$AC106,0)</f>
        <v>0.35814455231930958</v>
      </c>
      <c r="O106" s="17">
        <v>88</v>
      </c>
      <c r="P106" s="36">
        <f>IFERROR(O106/$AD106,0)</f>
        <v>0.37130801687763715</v>
      </c>
      <c r="Q106" s="17">
        <v>394</v>
      </c>
      <c r="R106" s="36">
        <f>IFERROR(Q106/$AC106,0)</f>
        <v>0.21251348435814454</v>
      </c>
      <c r="S106" s="17">
        <v>43</v>
      </c>
      <c r="T106" s="36">
        <f>IFERROR(S106/$AD106,0)</f>
        <v>0.18143459915611815</v>
      </c>
      <c r="U106" s="17">
        <v>100</v>
      </c>
      <c r="V106" s="36">
        <f>IFERROR(U106/$AC106,0)</f>
        <v>5.3937432578209279E-2</v>
      </c>
      <c r="W106" s="17">
        <v>15</v>
      </c>
      <c r="X106" s="36">
        <f>IFERROR(W106/$AD106,0)</f>
        <v>6.3291139240506333E-2</v>
      </c>
      <c r="Y106" s="17">
        <v>51</v>
      </c>
      <c r="Z106" s="36">
        <f>IFERROR(Y106/$AC106,0)</f>
        <v>2.7508090614886731E-2</v>
      </c>
      <c r="AA106" s="17">
        <v>10</v>
      </c>
      <c r="AB106" s="36">
        <f>IFERROR(AA106/$AD106,0)</f>
        <v>4.2194092827004218E-2</v>
      </c>
      <c r="AC106" s="16">
        <v>1854</v>
      </c>
      <c r="AD106" s="17">
        <v>237</v>
      </c>
    </row>
    <row r="107" spans="1:30" ht="15.75" customHeight="1" x14ac:dyDescent="0.25">
      <c r="A107" s="35">
        <v>2024</v>
      </c>
      <c r="B107" s="35">
        <v>171840</v>
      </c>
      <c r="C107" s="33" t="str">
        <f>VLOOKUP(B107,procv!$A$2:$D$142,4,FALSE)</f>
        <v>Cerrado Tocantins Araguaia</v>
      </c>
      <c r="D107" s="33" t="s">
        <v>110</v>
      </c>
      <c r="E107" s="17">
        <v>28</v>
      </c>
      <c r="F107" s="36">
        <f>IFERROR(E107/$AC107,0)</f>
        <v>2.7053140096618359E-2</v>
      </c>
      <c r="G107" s="17">
        <v>2</v>
      </c>
      <c r="H107" s="36">
        <f>IFERROR(G107/$AD107,0)</f>
        <v>3.1746031746031744E-2</v>
      </c>
      <c r="I107" s="17">
        <v>300</v>
      </c>
      <c r="J107" s="36">
        <f>IFERROR(I107/$AC107,0)</f>
        <v>0.28985507246376813</v>
      </c>
      <c r="K107" s="17">
        <v>26</v>
      </c>
      <c r="L107" s="36">
        <f>IFERROR(K107/$AD107,0)</f>
        <v>0.41269841269841268</v>
      </c>
      <c r="M107" s="17">
        <v>355</v>
      </c>
      <c r="N107" s="36">
        <f>IFERROR(M107/$AC107,0)</f>
        <v>0.34299516908212563</v>
      </c>
      <c r="O107" s="17">
        <v>13</v>
      </c>
      <c r="P107" s="36">
        <f>IFERROR(O107/$AD107,0)</f>
        <v>0.20634920634920634</v>
      </c>
      <c r="Q107" s="17">
        <v>213</v>
      </c>
      <c r="R107" s="36">
        <f>IFERROR(Q107/$AC107,0)</f>
        <v>0.20579710144927535</v>
      </c>
      <c r="S107" s="17">
        <v>12</v>
      </c>
      <c r="T107" s="36">
        <f>IFERROR(S107/$AD107,0)</f>
        <v>0.19047619047619047</v>
      </c>
      <c r="U107" s="17">
        <v>98</v>
      </c>
      <c r="V107" s="36">
        <f>IFERROR(U107/$AC107,0)</f>
        <v>9.4685990338164258E-2</v>
      </c>
      <c r="W107" s="17">
        <v>8</v>
      </c>
      <c r="X107" s="36">
        <f>IFERROR(W107/$AD107,0)</f>
        <v>0.12698412698412698</v>
      </c>
      <c r="Y107" s="17">
        <v>41</v>
      </c>
      <c r="Z107" s="36">
        <f>IFERROR(Y107/$AC107,0)</f>
        <v>3.961352657004831E-2</v>
      </c>
      <c r="AA107" s="17">
        <v>2</v>
      </c>
      <c r="AB107" s="36">
        <f>IFERROR(AA107/$AD107,0)</f>
        <v>3.1746031746031744E-2</v>
      </c>
      <c r="AC107" s="16">
        <v>1035</v>
      </c>
      <c r="AD107" s="17">
        <v>63</v>
      </c>
    </row>
    <row r="108" spans="1:30" ht="15.75" customHeight="1" x14ac:dyDescent="0.25">
      <c r="A108" s="35">
        <v>2024</v>
      </c>
      <c r="B108" s="35">
        <v>171845</v>
      </c>
      <c r="C108" s="33" t="str">
        <f>VLOOKUP(B108,procv!$A$2:$D$142,4,FALSE)</f>
        <v>Cantão</v>
      </c>
      <c r="D108" s="33" t="s">
        <v>111</v>
      </c>
      <c r="E108" s="17">
        <v>20</v>
      </c>
      <c r="F108" s="36">
        <f>IFERROR(E108/$AC108,0)</f>
        <v>2.717391304347826E-2</v>
      </c>
      <c r="G108" s="17">
        <v>7</v>
      </c>
      <c r="H108" s="36">
        <f>IFERROR(G108/$AD108,0)</f>
        <v>0.11864406779661017</v>
      </c>
      <c r="I108" s="17">
        <v>231</v>
      </c>
      <c r="J108" s="36">
        <f>IFERROR(I108/$AC108,0)</f>
        <v>0.31385869565217389</v>
      </c>
      <c r="K108" s="17">
        <v>21</v>
      </c>
      <c r="L108" s="36">
        <f>IFERROR(K108/$AD108,0)</f>
        <v>0.3559322033898305</v>
      </c>
      <c r="M108" s="17">
        <v>269</v>
      </c>
      <c r="N108" s="36">
        <f>IFERROR(M108/$AC108,0)</f>
        <v>0.36548913043478259</v>
      </c>
      <c r="O108" s="17">
        <v>17</v>
      </c>
      <c r="P108" s="36">
        <f>IFERROR(O108/$AD108,0)</f>
        <v>0.28813559322033899</v>
      </c>
      <c r="Q108" s="17">
        <v>151</v>
      </c>
      <c r="R108" s="36">
        <f>IFERROR(Q108/$AC108,0)</f>
        <v>0.20516304347826086</v>
      </c>
      <c r="S108" s="17">
        <v>12</v>
      </c>
      <c r="T108" s="36">
        <f>IFERROR(S108/$AD108,0)</f>
        <v>0.20338983050847459</v>
      </c>
      <c r="U108" s="17">
        <v>55</v>
      </c>
      <c r="V108" s="36">
        <f>IFERROR(U108/$AC108,0)</f>
        <v>7.4728260869565216E-2</v>
      </c>
      <c r="W108" s="17">
        <v>2</v>
      </c>
      <c r="X108" s="36">
        <f>IFERROR(W108/$AD108,0)</f>
        <v>3.3898305084745763E-2</v>
      </c>
      <c r="Y108" s="17">
        <v>10</v>
      </c>
      <c r="Z108" s="36">
        <f>IFERROR(Y108/$AC108,0)</f>
        <v>1.358695652173913E-2</v>
      </c>
      <c r="AA108" s="17">
        <v>0</v>
      </c>
      <c r="AB108" s="36">
        <f>IFERROR(AA108/$AD108,0)</f>
        <v>0</v>
      </c>
      <c r="AC108" s="17">
        <v>736</v>
      </c>
      <c r="AD108" s="17">
        <v>59</v>
      </c>
    </row>
    <row r="109" spans="1:30" ht="15.75" customHeight="1" x14ac:dyDescent="0.25">
      <c r="A109" s="35">
        <v>2024</v>
      </c>
      <c r="B109" s="35">
        <v>171850</v>
      </c>
      <c r="C109" s="33" t="str">
        <f>VLOOKUP(B109,procv!$A$2:$D$142,4,FALSE)</f>
        <v>Cerrado Tocantins Araguaia</v>
      </c>
      <c r="D109" s="33" t="s">
        <v>112</v>
      </c>
      <c r="E109" s="17">
        <v>32</v>
      </c>
      <c r="F109" s="36">
        <f>IFERROR(E109/$AC109,0)</f>
        <v>2.5682182985553772E-2</v>
      </c>
      <c r="G109" s="17">
        <v>5</v>
      </c>
      <c r="H109" s="36">
        <f>IFERROR(G109/$AD109,0)</f>
        <v>5.7471264367816091E-2</v>
      </c>
      <c r="I109" s="17">
        <v>514</v>
      </c>
      <c r="J109" s="36">
        <f>IFERROR(I109/$AC109,0)</f>
        <v>0.41252006420545745</v>
      </c>
      <c r="K109" s="17">
        <v>32</v>
      </c>
      <c r="L109" s="36">
        <f>IFERROR(K109/$AD109,0)</f>
        <v>0.36781609195402298</v>
      </c>
      <c r="M109" s="17">
        <v>432</v>
      </c>
      <c r="N109" s="36">
        <f>IFERROR(M109/$AC109,0)</f>
        <v>0.3467094703049759</v>
      </c>
      <c r="O109" s="17">
        <v>34</v>
      </c>
      <c r="P109" s="36">
        <f>IFERROR(O109/$AD109,0)</f>
        <v>0.39080459770114945</v>
      </c>
      <c r="Q109" s="17">
        <v>186</v>
      </c>
      <c r="R109" s="36">
        <f>IFERROR(Q109/$AC109,0)</f>
        <v>0.1492776886035313</v>
      </c>
      <c r="S109" s="17">
        <v>10</v>
      </c>
      <c r="T109" s="36">
        <f>IFERROR(S109/$AD109,0)</f>
        <v>0.11494252873563218</v>
      </c>
      <c r="U109" s="17">
        <v>62</v>
      </c>
      <c r="V109" s="36">
        <f>IFERROR(U109/$AC109,0)</f>
        <v>4.9759229534510431E-2</v>
      </c>
      <c r="W109" s="17">
        <v>3</v>
      </c>
      <c r="X109" s="36">
        <f>IFERROR(W109/$AD109,0)</f>
        <v>3.4482758620689655E-2</v>
      </c>
      <c r="Y109" s="17">
        <v>20</v>
      </c>
      <c r="Z109" s="36">
        <f>IFERROR(Y109/$AC109,0)</f>
        <v>1.6051364365971106E-2</v>
      </c>
      <c r="AA109" s="17">
        <v>3</v>
      </c>
      <c r="AB109" s="36">
        <f>IFERROR(AA109/$AD109,0)</f>
        <v>3.4482758620689655E-2</v>
      </c>
      <c r="AC109" s="16">
        <v>1246</v>
      </c>
      <c r="AD109" s="17">
        <v>87</v>
      </c>
    </row>
    <row r="110" spans="1:30" ht="15.75" customHeight="1" x14ac:dyDescent="0.25">
      <c r="A110" s="35">
        <v>2024</v>
      </c>
      <c r="B110" s="35">
        <v>171855</v>
      </c>
      <c r="C110" s="33" t="str">
        <f>VLOOKUP(B110,procv!$A$2:$D$142,4,FALSE)</f>
        <v>Bico do Papagaio</v>
      </c>
      <c r="D110" s="33" t="s">
        <v>113</v>
      </c>
      <c r="E110" s="17">
        <v>43</v>
      </c>
      <c r="F110" s="36">
        <f>IFERROR(E110/$AC110,0)</f>
        <v>2.5473933649289099E-2</v>
      </c>
      <c r="G110" s="17">
        <v>6</v>
      </c>
      <c r="H110" s="36">
        <f>IFERROR(G110/$AD110,0)</f>
        <v>3.0456852791878174E-2</v>
      </c>
      <c r="I110" s="17">
        <v>521</v>
      </c>
      <c r="J110" s="36">
        <f>IFERROR(I110/$AC110,0)</f>
        <v>0.30864928909952605</v>
      </c>
      <c r="K110" s="17">
        <v>62</v>
      </c>
      <c r="L110" s="36">
        <f>IFERROR(K110/$AD110,0)</f>
        <v>0.31472081218274112</v>
      </c>
      <c r="M110" s="17">
        <v>608</v>
      </c>
      <c r="N110" s="36">
        <f>IFERROR(M110/$AC110,0)</f>
        <v>0.36018957345971564</v>
      </c>
      <c r="O110" s="17">
        <v>67</v>
      </c>
      <c r="P110" s="36">
        <f>IFERROR(O110/$AD110,0)</f>
        <v>0.34010152284263961</v>
      </c>
      <c r="Q110" s="17">
        <v>355</v>
      </c>
      <c r="R110" s="36">
        <f>IFERROR(Q110/$AC110,0)</f>
        <v>0.21030805687203791</v>
      </c>
      <c r="S110" s="17">
        <v>46</v>
      </c>
      <c r="T110" s="36">
        <f>IFERROR(S110/$AD110,0)</f>
        <v>0.233502538071066</v>
      </c>
      <c r="U110" s="17">
        <v>119</v>
      </c>
      <c r="V110" s="36">
        <f>IFERROR(U110/$AC110,0)</f>
        <v>7.0497630331753561E-2</v>
      </c>
      <c r="W110" s="17">
        <v>11</v>
      </c>
      <c r="X110" s="36">
        <f>IFERROR(W110/$AD110,0)</f>
        <v>5.5837563451776651E-2</v>
      </c>
      <c r="Y110" s="17">
        <v>42</v>
      </c>
      <c r="Z110" s="36">
        <f>IFERROR(Y110/$AC110,0)</f>
        <v>2.4881516587677725E-2</v>
      </c>
      <c r="AA110" s="17">
        <v>5</v>
      </c>
      <c r="AB110" s="36">
        <f>IFERROR(AA110/$AD110,0)</f>
        <v>2.5380710659898477E-2</v>
      </c>
      <c r="AC110" s="16">
        <v>1688</v>
      </c>
      <c r="AD110" s="17">
        <v>197</v>
      </c>
    </row>
    <row r="111" spans="1:30" ht="15.75" customHeight="1" x14ac:dyDescent="0.25">
      <c r="A111" s="35">
        <v>2024</v>
      </c>
      <c r="B111" s="35">
        <v>171865</v>
      </c>
      <c r="C111" s="33" t="str">
        <f>VLOOKUP(B111,procv!$A$2:$D$142,4,FALSE)</f>
        <v>Sudeste</v>
      </c>
      <c r="D111" s="33" t="s">
        <v>114</v>
      </c>
      <c r="E111" s="17">
        <v>28</v>
      </c>
      <c r="F111" s="36">
        <f>IFERROR(E111/$AC111,0)</f>
        <v>3.128491620111732E-2</v>
      </c>
      <c r="G111" s="17">
        <v>4</v>
      </c>
      <c r="H111" s="36">
        <f>IFERROR(G111/$AD111,0)</f>
        <v>7.6923076923076927E-2</v>
      </c>
      <c r="I111" s="17">
        <v>334</v>
      </c>
      <c r="J111" s="36">
        <f>IFERROR(I111/$AC111,0)</f>
        <v>0.37318435754189944</v>
      </c>
      <c r="K111" s="17">
        <v>13</v>
      </c>
      <c r="L111" s="36">
        <f>IFERROR(K111/$AD111,0)</f>
        <v>0.25</v>
      </c>
      <c r="M111" s="17">
        <v>320</v>
      </c>
      <c r="N111" s="36">
        <f>IFERROR(M111/$AC111,0)</f>
        <v>0.35754189944134079</v>
      </c>
      <c r="O111" s="17">
        <v>20</v>
      </c>
      <c r="P111" s="36">
        <f>IFERROR(O111/$AD111,0)</f>
        <v>0.38461538461538464</v>
      </c>
      <c r="Q111" s="17">
        <v>156</v>
      </c>
      <c r="R111" s="36">
        <f>IFERROR(Q111/$AC111,0)</f>
        <v>0.17430167597765364</v>
      </c>
      <c r="S111" s="17">
        <v>11</v>
      </c>
      <c r="T111" s="36">
        <f>IFERROR(S111/$AD111,0)</f>
        <v>0.21153846153846154</v>
      </c>
      <c r="U111" s="17">
        <v>41</v>
      </c>
      <c r="V111" s="36">
        <f>IFERROR(U111/$AC111,0)</f>
        <v>4.5810055865921788E-2</v>
      </c>
      <c r="W111" s="17">
        <v>1</v>
      </c>
      <c r="X111" s="36">
        <f>IFERROR(W111/$AD111,0)</f>
        <v>1.9230769230769232E-2</v>
      </c>
      <c r="Y111" s="17">
        <v>16</v>
      </c>
      <c r="Z111" s="36">
        <f>IFERROR(Y111/$AC111,0)</f>
        <v>1.7877094972067038E-2</v>
      </c>
      <c r="AA111" s="17">
        <v>3</v>
      </c>
      <c r="AB111" s="36">
        <f>IFERROR(AA111/$AD111,0)</f>
        <v>5.7692307692307696E-2</v>
      </c>
      <c r="AC111" s="17">
        <v>895</v>
      </c>
      <c r="AD111" s="17">
        <v>52</v>
      </c>
    </row>
    <row r="112" spans="1:30" ht="15.75" customHeight="1" x14ac:dyDescent="0.25">
      <c r="A112" s="35">
        <v>2024</v>
      </c>
      <c r="B112" s="35">
        <v>171870</v>
      </c>
      <c r="C112" s="33" t="str">
        <f>VLOOKUP(B112,procv!$A$2:$D$142,4,FALSE)</f>
        <v>Capim Dourado</v>
      </c>
      <c r="D112" s="33" t="s">
        <v>115</v>
      </c>
      <c r="E112" s="17">
        <v>7</v>
      </c>
      <c r="F112" s="36">
        <f>IFERROR(E112/$AC112,0)</f>
        <v>0.01</v>
      </c>
      <c r="G112" s="17">
        <v>0</v>
      </c>
      <c r="H112" s="36">
        <f>IFERROR(G112/$AD112,0)</f>
        <v>0</v>
      </c>
      <c r="I112" s="17">
        <v>205</v>
      </c>
      <c r="J112" s="36">
        <f>IFERROR(I112/$AC112,0)</f>
        <v>0.29285714285714287</v>
      </c>
      <c r="K112" s="17">
        <v>17</v>
      </c>
      <c r="L112" s="36">
        <f>IFERROR(K112/$AD112,0)</f>
        <v>0.26984126984126983</v>
      </c>
      <c r="M112" s="17">
        <v>243</v>
      </c>
      <c r="N112" s="36">
        <f>IFERROR(M112/$AC112,0)</f>
        <v>0.34714285714285714</v>
      </c>
      <c r="O112" s="17">
        <v>19</v>
      </c>
      <c r="P112" s="36">
        <f>IFERROR(O112/$AD112,0)</f>
        <v>0.30158730158730157</v>
      </c>
      <c r="Q112" s="17">
        <v>143</v>
      </c>
      <c r="R112" s="36">
        <f>IFERROR(Q112/$AC112,0)</f>
        <v>0.20428571428571429</v>
      </c>
      <c r="S112" s="17">
        <v>19</v>
      </c>
      <c r="T112" s="36">
        <f>IFERROR(S112/$AD112,0)</f>
        <v>0.30158730158730157</v>
      </c>
      <c r="U112" s="17">
        <v>64</v>
      </c>
      <c r="V112" s="36">
        <f>IFERROR(U112/$AC112,0)</f>
        <v>9.1428571428571428E-2</v>
      </c>
      <c r="W112" s="17">
        <v>6</v>
      </c>
      <c r="X112" s="36">
        <f>IFERROR(W112/$AD112,0)</f>
        <v>9.5238095238095233E-2</v>
      </c>
      <c r="Y112" s="17">
        <v>38</v>
      </c>
      <c r="Z112" s="36">
        <f>IFERROR(Y112/$AC112,0)</f>
        <v>5.4285714285714284E-2</v>
      </c>
      <c r="AA112" s="17">
        <v>2</v>
      </c>
      <c r="AB112" s="36">
        <f>IFERROR(AA112/$AD112,0)</f>
        <v>3.1746031746031744E-2</v>
      </c>
      <c r="AC112" s="17">
        <v>700</v>
      </c>
      <c r="AD112" s="17">
        <v>63</v>
      </c>
    </row>
    <row r="113" spans="1:30" ht="15.75" customHeight="1" x14ac:dyDescent="0.25">
      <c r="A113" s="35">
        <v>2024</v>
      </c>
      <c r="B113" s="35">
        <v>171875</v>
      </c>
      <c r="C113" s="33" t="str">
        <f>VLOOKUP(B113,procv!$A$2:$D$142,4,FALSE)</f>
        <v>Capim Dourado</v>
      </c>
      <c r="D113" s="33" t="s">
        <v>116</v>
      </c>
      <c r="E113" s="17">
        <v>34</v>
      </c>
      <c r="F113" s="36">
        <f>IFERROR(E113/$AC113,0)</f>
        <v>2.1921341070277239E-2</v>
      </c>
      <c r="G113" s="17">
        <v>4</v>
      </c>
      <c r="H113" s="36">
        <f>IFERROR(G113/$AD113,0)</f>
        <v>2.5000000000000001E-2</v>
      </c>
      <c r="I113" s="17">
        <v>536</v>
      </c>
      <c r="J113" s="36">
        <f>IFERROR(I113/$AC113,0)</f>
        <v>0.34558349451966475</v>
      </c>
      <c r="K113" s="17">
        <v>59</v>
      </c>
      <c r="L113" s="36">
        <f>IFERROR(K113/$AD113,0)</f>
        <v>0.36875000000000002</v>
      </c>
      <c r="M113" s="17">
        <v>552</v>
      </c>
      <c r="N113" s="36">
        <f>IFERROR(M113/$AC113,0)</f>
        <v>0.35589941972920697</v>
      </c>
      <c r="O113" s="17">
        <v>42</v>
      </c>
      <c r="P113" s="36">
        <f>IFERROR(O113/$AD113,0)</f>
        <v>0.26250000000000001</v>
      </c>
      <c r="Q113" s="17">
        <v>295</v>
      </c>
      <c r="R113" s="36">
        <f>IFERROR(Q113/$AC113,0)</f>
        <v>0.19019987105093489</v>
      </c>
      <c r="S113" s="17">
        <v>32</v>
      </c>
      <c r="T113" s="36">
        <f>IFERROR(S113/$AD113,0)</f>
        <v>0.2</v>
      </c>
      <c r="U113" s="17">
        <v>92</v>
      </c>
      <c r="V113" s="36">
        <f>IFERROR(U113/$AC113,0)</f>
        <v>5.931656995486783E-2</v>
      </c>
      <c r="W113" s="17">
        <v>16</v>
      </c>
      <c r="X113" s="36">
        <f>IFERROR(W113/$AD113,0)</f>
        <v>0.1</v>
      </c>
      <c r="Y113" s="17">
        <v>42</v>
      </c>
      <c r="Z113" s="36">
        <f>IFERROR(Y113/$AC113,0)</f>
        <v>2.7079303675048357E-2</v>
      </c>
      <c r="AA113" s="17">
        <v>7</v>
      </c>
      <c r="AB113" s="36">
        <f>IFERROR(AA113/$AD113,0)</f>
        <v>4.3749999999999997E-2</v>
      </c>
      <c r="AC113" s="16">
        <v>1551</v>
      </c>
      <c r="AD113" s="17">
        <v>160</v>
      </c>
    </row>
    <row r="114" spans="1:30" ht="15.75" customHeight="1" x14ac:dyDescent="0.25">
      <c r="A114" s="35">
        <v>2024</v>
      </c>
      <c r="B114" s="35">
        <v>171880</v>
      </c>
      <c r="C114" s="33" t="str">
        <f>VLOOKUP(B114,procv!$A$2:$D$142,4,FALSE)</f>
        <v>Bico do Papagaio</v>
      </c>
      <c r="D114" s="33" t="s">
        <v>117</v>
      </c>
      <c r="E114" s="17">
        <v>34</v>
      </c>
      <c r="F114" s="36">
        <f>IFERROR(E114/$AC114,0)</f>
        <v>2.4147727272727272E-2</v>
      </c>
      <c r="G114" s="17">
        <v>13</v>
      </c>
      <c r="H114" s="36">
        <f>IFERROR(G114/$AD114,0)</f>
        <v>6.8062827225130892E-2</v>
      </c>
      <c r="I114" s="17">
        <v>454</v>
      </c>
      <c r="J114" s="36">
        <f>IFERROR(I114/$AC114,0)</f>
        <v>0.32244318181818182</v>
      </c>
      <c r="K114" s="17">
        <v>67</v>
      </c>
      <c r="L114" s="36">
        <f>IFERROR(K114/$AD114,0)</f>
        <v>0.35078534031413611</v>
      </c>
      <c r="M114" s="17">
        <v>495</v>
      </c>
      <c r="N114" s="36">
        <f>IFERROR(M114/$AC114,0)</f>
        <v>0.3515625</v>
      </c>
      <c r="O114" s="17">
        <v>63</v>
      </c>
      <c r="P114" s="36">
        <f>IFERROR(O114/$AD114,0)</f>
        <v>0.32984293193717279</v>
      </c>
      <c r="Q114" s="17">
        <v>269</v>
      </c>
      <c r="R114" s="36">
        <f>IFERROR(Q114/$AC114,0)</f>
        <v>0.19105113636363635</v>
      </c>
      <c r="S114" s="17">
        <v>26</v>
      </c>
      <c r="T114" s="36">
        <f>IFERROR(S114/$AD114,0)</f>
        <v>0.13612565445026178</v>
      </c>
      <c r="U114" s="17">
        <v>113</v>
      </c>
      <c r="V114" s="36">
        <f>IFERROR(U114/$AC114,0)</f>
        <v>8.0255681818181823E-2</v>
      </c>
      <c r="W114" s="17">
        <v>16</v>
      </c>
      <c r="X114" s="36">
        <f>IFERROR(W114/$AD114,0)</f>
        <v>8.3769633507853408E-2</v>
      </c>
      <c r="Y114" s="17">
        <v>43</v>
      </c>
      <c r="Z114" s="36">
        <f>IFERROR(Y114/$AC114,0)</f>
        <v>3.0539772727272728E-2</v>
      </c>
      <c r="AA114" s="17">
        <v>6</v>
      </c>
      <c r="AB114" s="36">
        <f>IFERROR(AA114/$AD114,0)</f>
        <v>3.1413612565445025E-2</v>
      </c>
      <c r="AC114" s="16">
        <v>1408</v>
      </c>
      <c r="AD114" s="17">
        <v>191</v>
      </c>
    </row>
    <row r="115" spans="1:30" ht="15.75" customHeight="1" x14ac:dyDescent="0.25">
      <c r="A115" s="35">
        <v>2024</v>
      </c>
      <c r="B115" s="35">
        <v>171884</v>
      </c>
      <c r="C115" s="33" t="str">
        <f>VLOOKUP(B115,procv!$A$2:$D$142,4,FALSE)</f>
        <v>Ilha do Bananal</v>
      </c>
      <c r="D115" s="33" t="s">
        <v>118</v>
      </c>
      <c r="E115" s="17">
        <v>21</v>
      </c>
      <c r="F115" s="36">
        <f>IFERROR(E115/$AC115,0)</f>
        <v>1.5695067264573991E-2</v>
      </c>
      <c r="G115" s="17">
        <v>1</v>
      </c>
      <c r="H115" s="36">
        <f>IFERROR(G115/$AD115,0)</f>
        <v>8.0000000000000002E-3</v>
      </c>
      <c r="I115" s="17">
        <v>378</v>
      </c>
      <c r="J115" s="36">
        <f>IFERROR(I115/$AC115,0)</f>
        <v>0.28251121076233182</v>
      </c>
      <c r="K115" s="17">
        <v>35</v>
      </c>
      <c r="L115" s="36">
        <f>IFERROR(K115/$AD115,0)</f>
        <v>0.28000000000000003</v>
      </c>
      <c r="M115" s="17">
        <v>500</v>
      </c>
      <c r="N115" s="36">
        <f>IFERROR(M115/$AC115,0)</f>
        <v>0.37369207772795215</v>
      </c>
      <c r="O115" s="17">
        <v>49</v>
      </c>
      <c r="P115" s="36">
        <f>IFERROR(O115/$AD115,0)</f>
        <v>0.39200000000000002</v>
      </c>
      <c r="Q115" s="17">
        <v>272</v>
      </c>
      <c r="R115" s="36">
        <f>IFERROR(Q115/$AC115,0)</f>
        <v>0.20328849028400597</v>
      </c>
      <c r="S115" s="17">
        <v>24</v>
      </c>
      <c r="T115" s="36">
        <f>IFERROR(S115/$AD115,0)</f>
        <v>0.192</v>
      </c>
      <c r="U115" s="17">
        <v>110</v>
      </c>
      <c r="V115" s="36">
        <f>IFERROR(U115/$AC115,0)</f>
        <v>8.2212257100149483E-2</v>
      </c>
      <c r="W115" s="17">
        <v>14</v>
      </c>
      <c r="X115" s="36">
        <f>IFERROR(W115/$AD115,0)</f>
        <v>0.112</v>
      </c>
      <c r="Y115" s="17">
        <v>57</v>
      </c>
      <c r="Z115" s="36">
        <f>IFERROR(Y115/$AC115,0)</f>
        <v>4.2600896860986545E-2</v>
      </c>
      <c r="AA115" s="17">
        <v>2</v>
      </c>
      <c r="AB115" s="36">
        <f>IFERROR(AA115/$AD115,0)</f>
        <v>1.6E-2</v>
      </c>
      <c r="AC115" s="16">
        <v>1338</v>
      </c>
      <c r="AD115" s="17">
        <v>125</v>
      </c>
    </row>
    <row r="116" spans="1:30" ht="15.75" customHeight="1" x14ac:dyDescent="0.25">
      <c r="A116" s="35">
        <v>2024</v>
      </c>
      <c r="B116" s="35">
        <v>171886</v>
      </c>
      <c r="C116" s="33" t="str">
        <f>VLOOKUP(B116,procv!$A$2:$D$142,4,FALSE)</f>
        <v>Médio Norte Araguaia</v>
      </c>
      <c r="D116" s="33" t="s">
        <v>119</v>
      </c>
      <c r="E116" s="17">
        <v>45</v>
      </c>
      <c r="F116" s="36">
        <f>IFERROR(E116/$AC116,0)</f>
        <v>2.2590361445783132E-2</v>
      </c>
      <c r="G116" s="17">
        <v>4</v>
      </c>
      <c r="H116" s="36">
        <f>IFERROR(G116/$AD116,0)</f>
        <v>1.7241379310344827E-2</v>
      </c>
      <c r="I116" s="17">
        <v>636</v>
      </c>
      <c r="J116" s="36">
        <f>IFERROR(I116/$AC116,0)</f>
        <v>0.31927710843373491</v>
      </c>
      <c r="K116" s="17">
        <v>107</v>
      </c>
      <c r="L116" s="36">
        <f>IFERROR(K116/$AD116,0)</f>
        <v>0.46120689655172414</v>
      </c>
      <c r="M116" s="17">
        <v>693</v>
      </c>
      <c r="N116" s="36">
        <f>IFERROR(M116/$AC116,0)</f>
        <v>0.34789156626506024</v>
      </c>
      <c r="O116" s="17">
        <v>66</v>
      </c>
      <c r="P116" s="36">
        <f>IFERROR(O116/$AD116,0)</f>
        <v>0.28448275862068967</v>
      </c>
      <c r="Q116" s="17">
        <v>396</v>
      </c>
      <c r="R116" s="36">
        <f>IFERROR(Q116/$AC116,0)</f>
        <v>0.19879518072289157</v>
      </c>
      <c r="S116" s="17">
        <v>30</v>
      </c>
      <c r="T116" s="36">
        <f>IFERROR(S116/$AD116,0)</f>
        <v>0.12931034482758622</v>
      </c>
      <c r="U116" s="17">
        <v>154</v>
      </c>
      <c r="V116" s="36">
        <f>IFERROR(U116/$AC116,0)</f>
        <v>7.7309236947791168E-2</v>
      </c>
      <c r="W116" s="17">
        <v>21</v>
      </c>
      <c r="X116" s="36">
        <f>IFERROR(W116/$AD116,0)</f>
        <v>9.0517241379310345E-2</v>
      </c>
      <c r="Y116" s="17">
        <v>68</v>
      </c>
      <c r="Z116" s="36">
        <f>IFERROR(Y116/$AC116,0)</f>
        <v>3.4136546184738957E-2</v>
      </c>
      <c r="AA116" s="17">
        <v>4</v>
      </c>
      <c r="AB116" s="36">
        <f>IFERROR(AA116/$AD116,0)</f>
        <v>1.7241379310344827E-2</v>
      </c>
      <c r="AC116" s="16">
        <v>1992</v>
      </c>
      <c r="AD116" s="17">
        <v>232</v>
      </c>
    </row>
    <row r="117" spans="1:30" ht="15.75" customHeight="1" x14ac:dyDescent="0.25">
      <c r="A117" s="35">
        <v>2024</v>
      </c>
      <c r="B117" s="35">
        <v>171888</v>
      </c>
      <c r="C117" s="33" t="str">
        <f>VLOOKUP(B117,procv!$A$2:$D$142,4,FALSE)</f>
        <v>Cerrado Tocantins Araguaia</v>
      </c>
      <c r="D117" s="33" t="s">
        <v>120</v>
      </c>
      <c r="E117" s="17">
        <v>17</v>
      </c>
      <c r="F117" s="36">
        <f>IFERROR(E117/$AC117,0)</f>
        <v>2.0190023752969122E-2</v>
      </c>
      <c r="G117" s="17">
        <v>3</v>
      </c>
      <c r="H117" s="36">
        <f>IFERROR(G117/$AD117,0)</f>
        <v>5.3571428571428568E-2</v>
      </c>
      <c r="I117" s="17">
        <v>276</v>
      </c>
      <c r="J117" s="36">
        <f>IFERROR(I117/$AC117,0)</f>
        <v>0.32779097387173395</v>
      </c>
      <c r="K117" s="17">
        <v>16</v>
      </c>
      <c r="L117" s="36">
        <f>IFERROR(K117/$AD117,0)</f>
        <v>0.2857142857142857</v>
      </c>
      <c r="M117" s="17">
        <v>293</v>
      </c>
      <c r="N117" s="36">
        <f>IFERROR(M117/$AC117,0)</f>
        <v>0.34798099762470308</v>
      </c>
      <c r="O117" s="17">
        <v>13</v>
      </c>
      <c r="P117" s="36">
        <f>IFERROR(O117/$AD117,0)</f>
        <v>0.23214285714285715</v>
      </c>
      <c r="Q117" s="17">
        <v>166</v>
      </c>
      <c r="R117" s="36">
        <f>IFERROR(Q117/$AC117,0)</f>
        <v>0.19714964370546317</v>
      </c>
      <c r="S117" s="17">
        <v>12</v>
      </c>
      <c r="T117" s="36">
        <f>IFERROR(S117/$AD117,0)</f>
        <v>0.21428571428571427</v>
      </c>
      <c r="U117" s="17">
        <v>62</v>
      </c>
      <c r="V117" s="36">
        <f>IFERROR(U117/$AC117,0)</f>
        <v>7.3634204275534437E-2</v>
      </c>
      <c r="W117" s="17">
        <v>6</v>
      </c>
      <c r="X117" s="36">
        <f>IFERROR(W117/$AD117,0)</f>
        <v>0.10714285714285714</v>
      </c>
      <c r="Y117" s="17">
        <v>28</v>
      </c>
      <c r="Z117" s="36">
        <f>IFERROR(Y117/$AC117,0)</f>
        <v>3.3254156769596199E-2</v>
      </c>
      <c r="AA117" s="17">
        <v>6</v>
      </c>
      <c r="AB117" s="36">
        <f>IFERROR(AA117/$AD117,0)</f>
        <v>0.10714285714285714</v>
      </c>
      <c r="AC117" s="17">
        <v>842</v>
      </c>
      <c r="AD117" s="17">
        <v>56</v>
      </c>
    </row>
    <row r="118" spans="1:30" ht="15.75" customHeight="1" x14ac:dyDescent="0.25">
      <c r="A118" s="35">
        <v>2024</v>
      </c>
      <c r="B118" s="35">
        <v>171889</v>
      </c>
      <c r="C118" s="33" t="str">
        <f>VLOOKUP(B118,procv!$A$2:$D$142,4,FALSE)</f>
        <v>Ilha do Bananal</v>
      </c>
      <c r="D118" s="33" t="s">
        <v>121</v>
      </c>
      <c r="E118" s="17">
        <v>15</v>
      </c>
      <c r="F118" s="36">
        <f>IFERROR(E118/$AC118,0)</f>
        <v>2.2522522522522521E-2</v>
      </c>
      <c r="G118" s="17">
        <v>1</v>
      </c>
      <c r="H118" s="36">
        <f>IFERROR(G118/$AD118,0)</f>
        <v>3.2258064516129031E-2</v>
      </c>
      <c r="I118" s="17">
        <v>194</v>
      </c>
      <c r="J118" s="36">
        <f>IFERROR(I118/$AC118,0)</f>
        <v>0.29129129129129128</v>
      </c>
      <c r="K118" s="17">
        <v>7</v>
      </c>
      <c r="L118" s="36">
        <f>IFERROR(K118/$AD118,0)</f>
        <v>0.22580645161290322</v>
      </c>
      <c r="M118" s="17">
        <v>232</v>
      </c>
      <c r="N118" s="36">
        <f>IFERROR(M118/$AC118,0)</f>
        <v>0.34834834834834832</v>
      </c>
      <c r="O118" s="17">
        <v>10</v>
      </c>
      <c r="P118" s="36">
        <f>IFERROR(O118/$AD118,0)</f>
        <v>0.32258064516129031</v>
      </c>
      <c r="Q118" s="17">
        <v>142</v>
      </c>
      <c r="R118" s="36">
        <f>IFERROR(Q118/$AC118,0)</f>
        <v>0.21321321321321321</v>
      </c>
      <c r="S118" s="17">
        <v>6</v>
      </c>
      <c r="T118" s="36">
        <f>IFERROR(S118/$AD118,0)</f>
        <v>0.19354838709677419</v>
      </c>
      <c r="U118" s="17">
        <v>54</v>
      </c>
      <c r="V118" s="36">
        <f>IFERROR(U118/$AC118,0)</f>
        <v>8.1081081081081086E-2</v>
      </c>
      <c r="W118" s="17">
        <v>6</v>
      </c>
      <c r="X118" s="36">
        <f>IFERROR(W118/$AD118,0)</f>
        <v>0.19354838709677419</v>
      </c>
      <c r="Y118" s="17">
        <v>29</v>
      </c>
      <c r="Z118" s="36">
        <f>IFERROR(Y118/$AC118,0)</f>
        <v>4.3543543543543541E-2</v>
      </c>
      <c r="AA118" s="17">
        <v>1</v>
      </c>
      <c r="AB118" s="36">
        <f>IFERROR(AA118/$AD118,0)</f>
        <v>3.2258064516129031E-2</v>
      </c>
      <c r="AC118" s="17">
        <v>666</v>
      </c>
      <c r="AD118" s="17">
        <v>31</v>
      </c>
    </row>
    <row r="119" spans="1:30" ht="15.75" customHeight="1" x14ac:dyDescent="0.25">
      <c r="A119" s="35">
        <v>2024</v>
      </c>
      <c r="B119" s="35">
        <v>171890</v>
      </c>
      <c r="C119" s="33" t="str">
        <f>VLOOKUP(B119,procv!$A$2:$D$142,4,FALSE)</f>
        <v>Amor Perfeito</v>
      </c>
      <c r="D119" s="33" t="s">
        <v>122</v>
      </c>
      <c r="E119" s="17">
        <v>38</v>
      </c>
      <c r="F119" s="36">
        <f>IFERROR(E119/$AC119,0)</f>
        <v>2.4096385542168676E-2</v>
      </c>
      <c r="G119" s="17">
        <v>7</v>
      </c>
      <c r="H119" s="36">
        <f>IFERROR(G119/$AD119,0)</f>
        <v>4.6052631578947366E-2</v>
      </c>
      <c r="I119" s="17">
        <v>522</v>
      </c>
      <c r="J119" s="36">
        <f>IFERROR(I119/$AC119,0)</f>
        <v>0.33100824350031705</v>
      </c>
      <c r="K119" s="17">
        <v>48</v>
      </c>
      <c r="L119" s="36">
        <f>IFERROR(K119/$AD119,0)</f>
        <v>0.31578947368421051</v>
      </c>
      <c r="M119" s="17">
        <v>585</v>
      </c>
      <c r="N119" s="36">
        <f>IFERROR(M119/$AC119,0)</f>
        <v>0.37095751426759671</v>
      </c>
      <c r="O119" s="17">
        <v>48</v>
      </c>
      <c r="P119" s="36">
        <f>IFERROR(O119/$AD119,0)</f>
        <v>0.31578947368421051</v>
      </c>
      <c r="Q119" s="17">
        <v>288</v>
      </c>
      <c r="R119" s="36">
        <f>IFERROR(Q119/$AC119,0)</f>
        <v>0.18262523779327838</v>
      </c>
      <c r="S119" s="17">
        <v>32</v>
      </c>
      <c r="T119" s="36">
        <f>IFERROR(S119/$AD119,0)</f>
        <v>0.21052631578947367</v>
      </c>
      <c r="U119" s="17">
        <v>98</v>
      </c>
      <c r="V119" s="36">
        <f>IFERROR(U119/$AC119,0)</f>
        <v>6.2143310082435003E-2</v>
      </c>
      <c r="W119" s="17">
        <v>11</v>
      </c>
      <c r="X119" s="36">
        <f>IFERROR(W119/$AD119,0)</f>
        <v>7.2368421052631582E-2</v>
      </c>
      <c r="Y119" s="17">
        <v>46</v>
      </c>
      <c r="Z119" s="36">
        <f>IFERROR(Y119/$AC119,0)</f>
        <v>2.9169308814204185E-2</v>
      </c>
      <c r="AA119" s="17">
        <v>6</v>
      </c>
      <c r="AB119" s="36">
        <f>IFERROR(AA119/$AD119,0)</f>
        <v>3.9473684210526314E-2</v>
      </c>
      <c r="AC119" s="16">
        <v>1577</v>
      </c>
      <c r="AD119" s="17">
        <v>152</v>
      </c>
    </row>
    <row r="120" spans="1:30" ht="15.75" customHeight="1" x14ac:dyDescent="0.25">
      <c r="A120" s="35">
        <v>2024</v>
      </c>
      <c r="B120" s="35">
        <v>171900</v>
      </c>
      <c r="C120" s="33" t="str">
        <f>VLOOKUP(B120,procv!$A$2:$D$142,4,FALSE)</f>
        <v>Capim Dourado</v>
      </c>
      <c r="D120" s="33" t="s">
        <v>123</v>
      </c>
      <c r="E120" s="17">
        <v>31</v>
      </c>
      <c r="F120" s="36">
        <f>IFERROR(E120/$AC120,0)</f>
        <v>2.7074235807860263E-2</v>
      </c>
      <c r="G120" s="17">
        <v>6</v>
      </c>
      <c r="H120" s="36">
        <f>IFERROR(G120/$AD120,0)</f>
        <v>6.25E-2</v>
      </c>
      <c r="I120" s="17">
        <v>384</v>
      </c>
      <c r="J120" s="36">
        <f>IFERROR(I120/$AC120,0)</f>
        <v>0.3353711790393013</v>
      </c>
      <c r="K120" s="17">
        <v>32</v>
      </c>
      <c r="L120" s="36">
        <f>IFERROR(K120/$AD120,0)</f>
        <v>0.33333333333333331</v>
      </c>
      <c r="M120" s="17">
        <v>407</v>
      </c>
      <c r="N120" s="36">
        <f>IFERROR(M120/$AC120,0)</f>
        <v>0.35545851528384281</v>
      </c>
      <c r="O120" s="17">
        <v>28</v>
      </c>
      <c r="P120" s="36">
        <f>IFERROR(O120/$AD120,0)</f>
        <v>0.29166666666666669</v>
      </c>
      <c r="Q120" s="17">
        <v>209</v>
      </c>
      <c r="R120" s="36">
        <f>IFERROR(Q120/$AC120,0)</f>
        <v>0.18253275109170305</v>
      </c>
      <c r="S120" s="17">
        <v>20</v>
      </c>
      <c r="T120" s="36">
        <f>IFERROR(S120/$AD120,0)</f>
        <v>0.20833333333333334</v>
      </c>
      <c r="U120" s="17">
        <v>76</v>
      </c>
      <c r="V120" s="36">
        <f>IFERROR(U120/$AC120,0)</f>
        <v>6.6375545851528384E-2</v>
      </c>
      <c r="W120" s="17">
        <v>6</v>
      </c>
      <c r="X120" s="36">
        <f>IFERROR(W120/$AD120,0)</f>
        <v>6.25E-2</v>
      </c>
      <c r="Y120" s="17">
        <v>38</v>
      </c>
      <c r="Z120" s="36">
        <f>IFERROR(Y120/$AC120,0)</f>
        <v>3.3187772925764192E-2</v>
      </c>
      <c r="AA120" s="17">
        <v>4</v>
      </c>
      <c r="AB120" s="36">
        <f>IFERROR(AA120/$AD120,0)</f>
        <v>4.1666666666666664E-2</v>
      </c>
      <c r="AC120" s="16">
        <v>1145</v>
      </c>
      <c r="AD120" s="17">
        <v>96</v>
      </c>
    </row>
    <row r="121" spans="1:30" ht="15.75" customHeight="1" x14ac:dyDescent="0.25">
      <c r="A121" s="35">
        <v>2024</v>
      </c>
      <c r="B121" s="35">
        <v>172000</v>
      </c>
      <c r="C121" s="33" t="str">
        <f>VLOOKUP(B121,procv!$A$2:$D$142,4,FALSE)</f>
        <v>Bico do Papagaio</v>
      </c>
      <c r="D121" s="33" t="s">
        <v>124</v>
      </c>
      <c r="E121" s="17">
        <v>17</v>
      </c>
      <c r="F121" s="36">
        <f>IFERROR(E121/$AC121,0)</f>
        <v>1.7653167185877467E-2</v>
      </c>
      <c r="G121" s="17">
        <v>2</v>
      </c>
      <c r="H121" s="36">
        <f>IFERROR(G121/$AD121,0)</f>
        <v>5.5555555555555552E-2</v>
      </c>
      <c r="I121" s="17">
        <v>355</v>
      </c>
      <c r="J121" s="36">
        <f>IFERROR(I121/$AC121,0)</f>
        <v>0.36863966770508827</v>
      </c>
      <c r="K121" s="17">
        <v>14</v>
      </c>
      <c r="L121" s="36">
        <f>IFERROR(K121/$AD121,0)</f>
        <v>0.3888888888888889</v>
      </c>
      <c r="M121" s="17">
        <v>361</v>
      </c>
      <c r="N121" s="36">
        <f>IFERROR(M121/$AC121,0)</f>
        <v>0.37487019730010385</v>
      </c>
      <c r="O121" s="17">
        <v>9</v>
      </c>
      <c r="P121" s="36">
        <f>IFERROR(O121/$AD121,0)</f>
        <v>0.25</v>
      </c>
      <c r="Q121" s="17">
        <v>167</v>
      </c>
      <c r="R121" s="36">
        <f>IFERROR(Q121/$AC121,0)</f>
        <v>0.17341640706126688</v>
      </c>
      <c r="S121" s="17">
        <v>5</v>
      </c>
      <c r="T121" s="36">
        <f>IFERROR(S121/$AD121,0)</f>
        <v>0.1388888888888889</v>
      </c>
      <c r="U121" s="17">
        <v>39</v>
      </c>
      <c r="V121" s="36">
        <f>IFERROR(U121/$AC121,0)</f>
        <v>4.0498442367601244E-2</v>
      </c>
      <c r="W121" s="17">
        <v>2</v>
      </c>
      <c r="X121" s="36">
        <f>IFERROR(W121/$AD121,0)</f>
        <v>5.5555555555555552E-2</v>
      </c>
      <c r="Y121" s="17">
        <v>24</v>
      </c>
      <c r="Z121" s="36">
        <f>IFERROR(Y121/$AC121,0)</f>
        <v>2.4922118380062305E-2</v>
      </c>
      <c r="AA121" s="17">
        <v>4</v>
      </c>
      <c r="AB121" s="36">
        <f>IFERROR(AA121/$AD121,0)</f>
        <v>0.1111111111111111</v>
      </c>
      <c r="AC121" s="17">
        <v>963</v>
      </c>
      <c r="AD121" s="17">
        <v>36</v>
      </c>
    </row>
    <row r="122" spans="1:30" ht="15.75" customHeight="1" x14ac:dyDescent="0.25">
      <c r="A122" s="35">
        <v>2024</v>
      </c>
      <c r="B122" s="35">
        <v>172010</v>
      </c>
      <c r="C122" s="33" t="str">
        <f>VLOOKUP(B122,procv!$A$2:$D$142,4,FALSE)</f>
        <v>Bico do Papagaio</v>
      </c>
      <c r="D122" s="33" t="s">
        <v>125</v>
      </c>
      <c r="E122" s="17">
        <v>31</v>
      </c>
      <c r="F122" s="36">
        <f>IFERROR(E122/$AC122,0)</f>
        <v>1.4265991716520939E-2</v>
      </c>
      <c r="G122" s="17">
        <v>7</v>
      </c>
      <c r="H122" s="36">
        <f>IFERROR(G122/$AD122,0)</f>
        <v>2.0172910662824207E-2</v>
      </c>
      <c r="I122" s="17">
        <v>800</v>
      </c>
      <c r="J122" s="36">
        <f>IFERROR(I122/$AC122,0)</f>
        <v>0.36815462494247586</v>
      </c>
      <c r="K122" s="17">
        <v>114</v>
      </c>
      <c r="L122" s="36">
        <f>IFERROR(K122/$AD122,0)</f>
        <v>0.32853025936599423</v>
      </c>
      <c r="M122" s="17">
        <v>737</v>
      </c>
      <c r="N122" s="36">
        <f>IFERROR(M122/$AC122,0)</f>
        <v>0.33916244822825586</v>
      </c>
      <c r="O122" s="17">
        <v>108</v>
      </c>
      <c r="P122" s="36">
        <f>IFERROR(O122/$AD122,0)</f>
        <v>0.31123919308357351</v>
      </c>
      <c r="Q122" s="17">
        <v>431</v>
      </c>
      <c r="R122" s="36">
        <f>IFERROR(Q122/$AC122,0)</f>
        <v>0.19834330418775886</v>
      </c>
      <c r="S122" s="17">
        <v>76</v>
      </c>
      <c r="T122" s="36">
        <f>IFERROR(S122/$AD122,0)</f>
        <v>0.21902017291066284</v>
      </c>
      <c r="U122" s="17">
        <v>133</v>
      </c>
      <c r="V122" s="36">
        <f>IFERROR(U122/$AC122,0)</f>
        <v>6.1205706396686606E-2</v>
      </c>
      <c r="W122" s="17">
        <v>33</v>
      </c>
      <c r="X122" s="36">
        <f>IFERROR(W122/$AD122,0)</f>
        <v>9.5100864553314124E-2</v>
      </c>
      <c r="Y122" s="17">
        <v>41</v>
      </c>
      <c r="Z122" s="36">
        <f>IFERROR(Y122/$AC122,0)</f>
        <v>1.8867924528301886E-2</v>
      </c>
      <c r="AA122" s="17">
        <v>9</v>
      </c>
      <c r="AB122" s="36">
        <f>IFERROR(AA122/$AD122,0)</f>
        <v>2.5936599423631124E-2</v>
      </c>
      <c r="AC122" s="16">
        <v>2173</v>
      </c>
      <c r="AD122" s="17">
        <v>347</v>
      </c>
    </row>
    <row r="123" spans="1:30" ht="15.75" customHeight="1" x14ac:dyDescent="0.25">
      <c r="A123" s="35">
        <v>2024</v>
      </c>
      <c r="B123" s="35">
        <v>172015</v>
      </c>
      <c r="C123" s="33" t="str">
        <f>VLOOKUP(B123,procv!$A$2:$D$142,4,FALSE)</f>
        <v>Capim Dourado</v>
      </c>
      <c r="D123" s="33" t="s">
        <v>126</v>
      </c>
      <c r="E123" s="17">
        <v>13</v>
      </c>
      <c r="F123" s="36">
        <f>IFERROR(E123/$AC123,0)</f>
        <v>1.8309859154929577E-2</v>
      </c>
      <c r="G123" s="17">
        <v>2</v>
      </c>
      <c r="H123" s="36">
        <f>IFERROR(G123/$AD123,0)</f>
        <v>2.1739130434782608E-2</v>
      </c>
      <c r="I123" s="17">
        <v>245</v>
      </c>
      <c r="J123" s="36">
        <f>IFERROR(I123/$AC123,0)</f>
        <v>0.34507042253521125</v>
      </c>
      <c r="K123" s="17">
        <v>28</v>
      </c>
      <c r="L123" s="36">
        <f>IFERROR(K123/$AD123,0)</f>
        <v>0.30434782608695654</v>
      </c>
      <c r="M123" s="17">
        <v>279</v>
      </c>
      <c r="N123" s="36">
        <f>IFERROR(M123/$AC123,0)</f>
        <v>0.39295774647887322</v>
      </c>
      <c r="O123" s="17">
        <v>37</v>
      </c>
      <c r="P123" s="36">
        <f>IFERROR(O123/$AD123,0)</f>
        <v>0.40217391304347827</v>
      </c>
      <c r="Q123" s="17">
        <v>117</v>
      </c>
      <c r="R123" s="36">
        <f>IFERROR(Q123/$AC123,0)</f>
        <v>0.1647887323943662</v>
      </c>
      <c r="S123" s="17">
        <v>21</v>
      </c>
      <c r="T123" s="36">
        <f>IFERROR(S123/$AD123,0)</f>
        <v>0.22826086956521738</v>
      </c>
      <c r="U123" s="17">
        <v>41</v>
      </c>
      <c r="V123" s="36">
        <f>IFERROR(U123/$AC123,0)</f>
        <v>5.7746478873239436E-2</v>
      </c>
      <c r="W123" s="17">
        <v>2</v>
      </c>
      <c r="X123" s="36">
        <f>IFERROR(W123/$AD123,0)</f>
        <v>2.1739130434782608E-2</v>
      </c>
      <c r="Y123" s="17">
        <v>15</v>
      </c>
      <c r="Z123" s="36">
        <f>IFERROR(Y123/$AC123,0)</f>
        <v>2.1126760563380281E-2</v>
      </c>
      <c r="AA123" s="17">
        <v>2</v>
      </c>
      <c r="AB123" s="36">
        <f>IFERROR(AA123/$AD123,0)</f>
        <v>2.1739130434782608E-2</v>
      </c>
      <c r="AC123" s="17">
        <v>710</v>
      </c>
      <c r="AD123" s="17">
        <v>92</v>
      </c>
    </row>
    <row r="124" spans="1:30" ht="15.75" customHeight="1" x14ac:dyDescent="0.25">
      <c r="A124" s="35">
        <v>2024</v>
      </c>
      <c r="B124" s="35">
        <v>172020</v>
      </c>
      <c r="C124" s="33" t="str">
        <f>VLOOKUP(B124,procv!$A$2:$D$142,4,FALSE)</f>
        <v>Bico do Papagaio</v>
      </c>
      <c r="D124" s="33" t="s">
        <v>127</v>
      </c>
      <c r="E124" s="17">
        <v>113</v>
      </c>
      <c r="F124" s="36">
        <f>IFERROR(E124/$AC124,0)</f>
        <v>2.8789808917197453E-2</v>
      </c>
      <c r="G124" s="17">
        <v>14</v>
      </c>
      <c r="H124" s="36">
        <f>IFERROR(G124/$AD124,0)</f>
        <v>2.8985507246376812E-2</v>
      </c>
      <c r="I124" s="16">
        <v>1408</v>
      </c>
      <c r="J124" s="36">
        <f>IFERROR(I124/$AC124,0)</f>
        <v>0.35872611464968152</v>
      </c>
      <c r="K124" s="17">
        <v>166</v>
      </c>
      <c r="L124" s="36">
        <f>IFERROR(K124/$AD124,0)</f>
        <v>0.34368530020703936</v>
      </c>
      <c r="M124" s="16">
        <v>1361</v>
      </c>
      <c r="N124" s="36">
        <f>IFERROR(M124/$AC124,0)</f>
        <v>0.3467515923566879</v>
      </c>
      <c r="O124" s="17">
        <v>155</v>
      </c>
      <c r="P124" s="36">
        <f>IFERROR(O124/$AD124,0)</f>
        <v>0.32091097308488614</v>
      </c>
      <c r="Q124" s="17">
        <v>720</v>
      </c>
      <c r="R124" s="36">
        <f>IFERROR(Q124/$AC124,0)</f>
        <v>0.18343949044585986</v>
      </c>
      <c r="S124" s="17">
        <v>97</v>
      </c>
      <c r="T124" s="36">
        <f>IFERROR(S124/$AD124,0)</f>
        <v>0.20082815734989648</v>
      </c>
      <c r="U124" s="17">
        <v>223</v>
      </c>
      <c r="V124" s="36">
        <f>IFERROR(U124/$AC124,0)</f>
        <v>5.681528662420382E-2</v>
      </c>
      <c r="W124" s="17">
        <v>35</v>
      </c>
      <c r="X124" s="36">
        <f>IFERROR(W124/$AD124,0)</f>
        <v>7.2463768115942032E-2</v>
      </c>
      <c r="Y124" s="17">
        <v>100</v>
      </c>
      <c r="Z124" s="36">
        <f>IFERROR(Y124/$AC124,0)</f>
        <v>2.5477707006369428E-2</v>
      </c>
      <c r="AA124" s="17">
        <v>16</v>
      </c>
      <c r="AB124" s="36">
        <f>IFERROR(AA124/$AD124,0)</f>
        <v>3.3126293995859216E-2</v>
      </c>
      <c r="AC124" s="16">
        <v>3925</v>
      </c>
      <c r="AD124" s="17">
        <v>483</v>
      </c>
    </row>
    <row r="125" spans="1:30" ht="15.75" customHeight="1" x14ac:dyDescent="0.25">
      <c r="A125" s="35">
        <v>2024</v>
      </c>
      <c r="B125" s="35">
        <v>172025</v>
      </c>
      <c r="C125" s="33" t="str">
        <f>VLOOKUP(B125,procv!$A$2:$D$142,4,FALSE)</f>
        <v>Ilha do Bananal</v>
      </c>
      <c r="D125" s="33" t="s">
        <v>128</v>
      </c>
      <c r="E125" s="17">
        <v>20</v>
      </c>
      <c r="F125" s="36">
        <f>IFERROR(E125/$AC125,0)</f>
        <v>2.197802197802198E-2</v>
      </c>
      <c r="G125" s="17">
        <v>0</v>
      </c>
      <c r="H125" s="36">
        <f>IFERROR(G125/$AD125,0)</f>
        <v>0</v>
      </c>
      <c r="I125" s="17">
        <v>305</v>
      </c>
      <c r="J125" s="36">
        <f>IFERROR(I125/$AC125,0)</f>
        <v>0.33516483516483514</v>
      </c>
      <c r="K125" s="17">
        <v>36</v>
      </c>
      <c r="L125" s="36">
        <f>IFERROR(K125/$AD125,0)</f>
        <v>0.3</v>
      </c>
      <c r="M125" s="17">
        <v>317</v>
      </c>
      <c r="N125" s="36">
        <f>IFERROR(M125/$AC125,0)</f>
        <v>0.34835164835164834</v>
      </c>
      <c r="O125" s="17">
        <v>43</v>
      </c>
      <c r="P125" s="36">
        <f>IFERROR(O125/$AD125,0)</f>
        <v>0.35833333333333334</v>
      </c>
      <c r="Q125" s="17">
        <v>152</v>
      </c>
      <c r="R125" s="36">
        <f>IFERROR(Q125/$AC125,0)</f>
        <v>0.16703296703296702</v>
      </c>
      <c r="S125" s="17">
        <v>19</v>
      </c>
      <c r="T125" s="36">
        <f>IFERROR(S125/$AD125,0)</f>
        <v>0.15833333333333333</v>
      </c>
      <c r="U125" s="17">
        <v>72</v>
      </c>
      <c r="V125" s="36">
        <f>IFERROR(U125/$AC125,0)</f>
        <v>7.9120879120879117E-2</v>
      </c>
      <c r="W125" s="17">
        <v>12</v>
      </c>
      <c r="X125" s="36">
        <f>IFERROR(W125/$AD125,0)</f>
        <v>0.1</v>
      </c>
      <c r="Y125" s="17">
        <v>44</v>
      </c>
      <c r="Z125" s="36">
        <f>IFERROR(Y125/$AC125,0)</f>
        <v>4.8351648351648353E-2</v>
      </c>
      <c r="AA125" s="17">
        <v>10</v>
      </c>
      <c r="AB125" s="36">
        <f>IFERROR(AA125/$AD125,0)</f>
        <v>8.3333333333333329E-2</v>
      </c>
      <c r="AC125" s="17">
        <v>910</v>
      </c>
      <c r="AD125" s="17">
        <v>120</v>
      </c>
    </row>
    <row r="126" spans="1:30" ht="15.75" customHeight="1" x14ac:dyDescent="0.25">
      <c r="A126" s="35">
        <v>2024</v>
      </c>
      <c r="B126" s="35">
        <v>172030</v>
      </c>
      <c r="C126" s="33" t="str">
        <f>VLOOKUP(B126,procv!$A$2:$D$142,4,FALSE)</f>
        <v>Bico do Papagaio</v>
      </c>
      <c r="D126" s="33" t="s">
        <v>129</v>
      </c>
      <c r="E126" s="17">
        <v>13</v>
      </c>
      <c r="F126" s="36">
        <f>IFERROR(E126/$AC126,0)</f>
        <v>2.3131672597864767E-2</v>
      </c>
      <c r="G126" s="17">
        <v>2</v>
      </c>
      <c r="H126" s="36">
        <f>IFERROR(G126/$AD126,0)</f>
        <v>2.0618556701030927E-2</v>
      </c>
      <c r="I126" s="17">
        <v>156</v>
      </c>
      <c r="J126" s="36">
        <f>IFERROR(I126/$AC126,0)</f>
        <v>0.27758007117437722</v>
      </c>
      <c r="K126" s="17">
        <v>37</v>
      </c>
      <c r="L126" s="36">
        <f>IFERROR(K126/$AD126,0)</f>
        <v>0.38144329896907214</v>
      </c>
      <c r="M126" s="17">
        <v>194</v>
      </c>
      <c r="N126" s="36">
        <f>IFERROR(M126/$AC126,0)</f>
        <v>0.34519572953736655</v>
      </c>
      <c r="O126" s="17">
        <v>25</v>
      </c>
      <c r="P126" s="36">
        <f>IFERROR(O126/$AD126,0)</f>
        <v>0.25773195876288657</v>
      </c>
      <c r="Q126" s="17">
        <v>118</v>
      </c>
      <c r="R126" s="36">
        <f>IFERROR(Q126/$AC126,0)</f>
        <v>0.20996441281138789</v>
      </c>
      <c r="S126" s="17">
        <v>21</v>
      </c>
      <c r="T126" s="36">
        <f>IFERROR(S126/$AD126,0)</f>
        <v>0.21649484536082475</v>
      </c>
      <c r="U126" s="17">
        <v>51</v>
      </c>
      <c r="V126" s="36">
        <f>IFERROR(U126/$AC126,0)</f>
        <v>9.0747330960854092E-2</v>
      </c>
      <c r="W126" s="17">
        <v>5</v>
      </c>
      <c r="X126" s="36">
        <f>IFERROR(W126/$AD126,0)</f>
        <v>5.1546391752577317E-2</v>
      </c>
      <c r="Y126" s="17">
        <v>30</v>
      </c>
      <c r="Z126" s="36">
        <f>IFERROR(Y126/$AC126,0)</f>
        <v>5.3380782918149468E-2</v>
      </c>
      <c r="AA126" s="17">
        <v>7</v>
      </c>
      <c r="AB126" s="36">
        <f>IFERROR(AA126/$AD126,0)</f>
        <v>7.2164948453608241E-2</v>
      </c>
      <c r="AC126" s="17">
        <v>562</v>
      </c>
      <c r="AD126" s="17">
        <v>97</v>
      </c>
    </row>
    <row r="127" spans="1:30" ht="15.75" customHeight="1" x14ac:dyDescent="0.25">
      <c r="A127" s="35">
        <v>2024</v>
      </c>
      <c r="B127" s="35">
        <v>172049</v>
      </c>
      <c r="C127" s="33" t="str">
        <f>VLOOKUP(B127,procv!$A$2:$D$142,4,FALSE)</f>
        <v>Ilha do Bananal</v>
      </c>
      <c r="D127" s="33" t="s">
        <v>130</v>
      </c>
      <c r="E127" s="17">
        <v>13</v>
      </c>
      <c r="F127" s="36">
        <f>IFERROR(E127/$AC127,0)</f>
        <v>1.2070566388115135E-2</v>
      </c>
      <c r="G127" s="17">
        <v>4</v>
      </c>
      <c r="H127" s="36">
        <f>IFERROR(G127/$AD127,0)</f>
        <v>2.7972027972027972E-2</v>
      </c>
      <c r="I127" s="17">
        <v>307</v>
      </c>
      <c r="J127" s="36">
        <f>IFERROR(I127/$AC127,0)</f>
        <v>0.2850510677808728</v>
      </c>
      <c r="K127" s="17">
        <v>48</v>
      </c>
      <c r="L127" s="36">
        <f>IFERROR(K127/$AD127,0)</f>
        <v>0.33566433566433568</v>
      </c>
      <c r="M127" s="17">
        <v>364</v>
      </c>
      <c r="N127" s="36">
        <f>IFERROR(M127/$AC127,0)</f>
        <v>0.33797585886722376</v>
      </c>
      <c r="O127" s="17">
        <v>44</v>
      </c>
      <c r="P127" s="36">
        <f>IFERROR(O127/$AD127,0)</f>
        <v>0.30769230769230771</v>
      </c>
      <c r="Q127" s="17">
        <v>252</v>
      </c>
      <c r="R127" s="36">
        <f>IFERROR(Q127/$AC127,0)</f>
        <v>0.23398328690807799</v>
      </c>
      <c r="S127" s="17">
        <v>22</v>
      </c>
      <c r="T127" s="36">
        <f>IFERROR(S127/$AD127,0)</f>
        <v>0.15384615384615385</v>
      </c>
      <c r="U127" s="17">
        <v>90</v>
      </c>
      <c r="V127" s="36">
        <f>IFERROR(U127/$AC127,0)</f>
        <v>8.3565459610027856E-2</v>
      </c>
      <c r="W127" s="17">
        <v>14</v>
      </c>
      <c r="X127" s="36">
        <f>IFERROR(W127/$AD127,0)</f>
        <v>9.7902097902097904E-2</v>
      </c>
      <c r="Y127" s="17">
        <v>51</v>
      </c>
      <c r="Z127" s="36">
        <f>IFERROR(Y127/$AC127,0)</f>
        <v>4.7353760445682451E-2</v>
      </c>
      <c r="AA127" s="17">
        <v>11</v>
      </c>
      <c r="AB127" s="36">
        <f>IFERROR(AA127/$AD127,0)</f>
        <v>7.6923076923076927E-2</v>
      </c>
      <c r="AC127" s="16">
        <v>1077</v>
      </c>
      <c r="AD127" s="17">
        <v>143</v>
      </c>
    </row>
    <row r="128" spans="1:30" ht="15.75" customHeight="1" x14ac:dyDescent="0.25">
      <c r="A128" s="35">
        <v>2024</v>
      </c>
      <c r="B128" s="35">
        <v>172065</v>
      </c>
      <c r="C128" s="33" t="str">
        <f>VLOOKUP(B128,procv!$A$2:$D$142,4,FALSE)</f>
        <v>Amor Perfeito</v>
      </c>
      <c r="D128" s="33" t="s">
        <v>131</v>
      </c>
      <c r="E128" s="17">
        <v>50</v>
      </c>
      <c r="F128" s="36">
        <f>IFERROR(E128/$AC128,0)</f>
        <v>2.8312570781426953E-2</v>
      </c>
      <c r="G128" s="17">
        <v>4</v>
      </c>
      <c r="H128" s="36">
        <f>IFERROR(G128/$AD128,0)</f>
        <v>2.23463687150838E-2</v>
      </c>
      <c r="I128" s="17">
        <v>584</v>
      </c>
      <c r="J128" s="36">
        <f>IFERROR(I128/$AC128,0)</f>
        <v>0.33069082672706684</v>
      </c>
      <c r="K128" s="17">
        <v>53</v>
      </c>
      <c r="L128" s="36">
        <f>IFERROR(K128/$AD128,0)</f>
        <v>0.29608938547486036</v>
      </c>
      <c r="M128" s="17">
        <v>638</v>
      </c>
      <c r="N128" s="36">
        <f>IFERROR(M128/$AC128,0)</f>
        <v>0.36126840317100795</v>
      </c>
      <c r="O128" s="17">
        <v>61</v>
      </c>
      <c r="P128" s="36">
        <f>IFERROR(O128/$AD128,0)</f>
        <v>0.34078212290502791</v>
      </c>
      <c r="Q128" s="17">
        <v>319</v>
      </c>
      <c r="R128" s="36">
        <f>IFERROR(Q128/$AC128,0)</f>
        <v>0.18063420158550397</v>
      </c>
      <c r="S128" s="17">
        <v>45</v>
      </c>
      <c r="T128" s="36">
        <f>IFERROR(S128/$AD128,0)</f>
        <v>0.25139664804469275</v>
      </c>
      <c r="U128" s="17">
        <v>112</v>
      </c>
      <c r="V128" s="36">
        <f>IFERROR(U128/$AC128,0)</f>
        <v>6.3420158550396372E-2</v>
      </c>
      <c r="W128" s="17">
        <v>10</v>
      </c>
      <c r="X128" s="36">
        <f>IFERROR(W128/$AD128,0)</f>
        <v>5.5865921787709494E-2</v>
      </c>
      <c r="Y128" s="17">
        <v>63</v>
      </c>
      <c r="Z128" s="36">
        <f>IFERROR(Y128/$AC128,0)</f>
        <v>3.5673839184597961E-2</v>
      </c>
      <c r="AA128" s="17">
        <v>6</v>
      </c>
      <c r="AB128" s="36">
        <f>IFERROR(AA128/$AD128,0)</f>
        <v>3.3519553072625698E-2</v>
      </c>
      <c r="AC128" s="16">
        <v>1766</v>
      </c>
      <c r="AD128" s="17">
        <v>179</v>
      </c>
    </row>
    <row r="129" spans="1:30" ht="15.75" customHeight="1" x14ac:dyDescent="0.25">
      <c r="A129" s="35">
        <v>2024</v>
      </c>
      <c r="B129" s="35">
        <v>172080</v>
      </c>
      <c r="C129" s="33" t="str">
        <f>VLOOKUP(B129,procv!$A$2:$D$142,4,FALSE)</f>
        <v>Bico do Papagaio</v>
      </c>
      <c r="D129" s="33" t="s">
        <v>132</v>
      </c>
      <c r="E129" s="17">
        <v>67</v>
      </c>
      <c r="F129" s="36">
        <f>IFERROR(E129/$AC129,0)</f>
        <v>1.6745813546613347E-2</v>
      </c>
      <c r="G129" s="17">
        <v>8</v>
      </c>
      <c r="H129" s="36">
        <f>IFERROR(G129/$AD129,0)</f>
        <v>2.0460358056265986E-2</v>
      </c>
      <c r="I129" s="16">
        <v>1499</v>
      </c>
      <c r="J129" s="36">
        <f>IFERROR(I129/$AC129,0)</f>
        <v>0.37465633591602099</v>
      </c>
      <c r="K129" s="17">
        <v>160</v>
      </c>
      <c r="L129" s="36">
        <f>IFERROR(K129/$AD129,0)</f>
        <v>0.40920716112531969</v>
      </c>
      <c r="M129" s="16">
        <v>1498</v>
      </c>
      <c r="N129" s="36">
        <f>IFERROR(M129/$AC129,0)</f>
        <v>0.37440639840039991</v>
      </c>
      <c r="O129" s="17">
        <v>150</v>
      </c>
      <c r="P129" s="36">
        <f>IFERROR(O129/$AD129,0)</f>
        <v>0.38363171355498721</v>
      </c>
      <c r="Q129" s="17">
        <v>642</v>
      </c>
      <c r="R129" s="36">
        <f>IFERROR(Q129/$AC129,0)</f>
        <v>0.16045988502874281</v>
      </c>
      <c r="S129" s="17">
        <v>48</v>
      </c>
      <c r="T129" s="36">
        <f>IFERROR(S129/$AD129,0)</f>
        <v>0.12276214833759591</v>
      </c>
      <c r="U129" s="17">
        <v>219</v>
      </c>
      <c r="V129" s="36">
        <f>IFERROR(U129/$AC129,0)</f>
        <v>5.4736315921019747E-2</v>
      </c>
      <c r="W129" s="17">
        <v>19</v>
      </c>
      <c r="X129" s="36">
        <f>IFERROR(W129/$AD129,0)</f>
        <v>4.859335038363171E-2</v>
      </c>
      <c r="Y129" s="17">
        <v>76</v>
      </c>
      <c r="Z129" s="36">
        <f>IFERROR(Y129/$AC129,0)</f>
        <v>1.8995251187203199E-2</v>
      </c>
      <c r="AA129" s="17">
        <v>6</v>
      </c>
      <c r="AB129" s="36">
        <f>IFERROR(AA129/$AD129,0)</f>
        <v>1.5345268542199489E-2</v>
      </c>
      <c r="AC129" s="16">
        <v>4001</v>
      </c>
      <c r="AD129" s="17">
        <v>391</v>
      </c>
    </row>
    <row r="130" spans="1:30" ht="15.75" customHeight="1" x14ac:dyDescent="0.25">
      <c r="A130" s="35">
        <v>2024</v>
      </c>
      <c r="B130" s="35">
        <v>172085</v>
      </c>
      <c r="C130" s="33" t="str">
        <f>VLOOKUP(B130,procv!$A$2:$D$142,4,FALSE)</f>
        <v>Ilha do Bananal</v>
      </c>
      <c r="D130" s="33" t="s">
        <v>133</v>
      </c>
      <c r="E130" s="17">
        <v>13</v>
      </c>
      <c r="F130" s="36">
        <f>IFERROR(E130/$AC130,0)</f>
        <v>1.8867924528301886E-2</v>
      </c>
      <c r="G130" s="17">
        <v>5</v>
      </c>
      <c r="H130" s="36">
        <f>IFERROR(G130/$AD130,0)</f>
        <v>0.10638297872340426</v>
      </c>
      <c r="I130" s="17">
        <v>189</v>
      </c>
      <c r="J130" s="36">
        <f>IFERROR(I130/$AC130,0)</f>
        <v>0.27431059506531202</v>
      </c>
      <c r="K130" s="17">
        <v>12</v>
      </c>
      <c r="L130" s="36">
        <f>IFERROR(K130/$AD130,0)</f>
        <v>0.25531914893617019</v>
      </c>
      <c r="M130" s="17">
        <v>235</v>
      </c>
      <c r="N130" s="36">
        <f>IFERROR(M130/$AC130,0)</f>
        <v>0.34107402031930334</v>
      </c>
      <c r="O130" s="17">
        <v>11</v>
      </c>
      <c r="P130" s="36">
        <f>IFERROR(O130/$AD130,0)</f>
        <v>0.23404255319148937</v>
      </c>
      <c r="Q130" s="17">
        <v>149</v>
      </c>
      <c r="R130" s="36">
        <f>IFERROR(Q130/$AC130,0)</f>
        <v>0.21625544267053701</v>
      </c>
      <c r="S130" s="17">
        <v>10</v>
      </c>
      <c r="T130" s="36">
        <f>IFERROR(S130/$AD130,0)</f>
        <v>0.21276595744680851</v>
      </c>
      <c r="U130" s="17">
        <v>62</v>
      </c>
      <c r="V130" s="36">
        <f>IFERROR(U130/$AC130,0)</f>
        <v>8.9985486211901305E-2</v>
      </c>
      <c r="W130" s="17">
        <v>5</v>
      </c>
      <c r="X130" s="36">
        <f>IFERROR(W130/$AD130,0)</f>
        <v>0.10638297872340426</v>
      </c>
      <c r="Y130" s="17">
        <v>41</v>
      </c>
      <c r="Z130" s="36">
        <f>IFERROR(Y130/$AC130,0)</f>
        <v>5.9506531204644414E-2</v>
      </c>
      <c r="AA130" s="17">
        <v>4</v>
      </c>
      <c r="AB130" s="36">
        <f>IFERROR(AA130/$AD130,0)</f>
        <v>8.5106382978723402E-2</v>
      </c>
      <c r="AC130" s="17">
        <v>689</v>
      </c>
      <c r="AD130" s="17">
        <v>47</v>
      </c>
    </row>
    <row r="131" spans="1:30" ht="15.75" customHeight="1" x14ac:dyDescent="0.25">
      <c r="A131" s="35">
        <v>2024</v>
      </c>
      <c r="B131" s="35">
        <v>170825</v>
      </c>
      <c r="C131" s="33" t="str">
        <f>VLOOKUP(B131,procv!$A$2:$D$142,4,FALSE)</f>
        <v>Capim Dourado</v>
      </c>
      <c r="D131" s="33" t="s">
        <v>134</v>
      </c>
      <c r="E131" s="17">
        <v>9</v>
      </c>
      <c r="F131" s="36">
        <f>IFERROR(E131/$AC131,0)</f>
        <v>2.2900763358778626E-2</v>
      </c>
      <c r="G131" s="17">
        <v>4</v>
      </c>
      <c r="H131" s="36">
        <f>IFERROR(G131/$AD131,0)</f>
        <v>4.8192771084337352E-2</v>
      </c>
      <c r="I131" s="17">
        <v>102</v>
      </c>
      <c r="J131" s="36">
        <f>IFERROR(I131/$AC131,0)</f>
        <v>0.25954198473282442</v>
      </c>
      <c r="K131" s="17">
        <v>21</v>
      </c>
      <c r="L131" s="36">
        <f>IFERROR(K131/$AD131,0)</f>
        <v>0.25301204819277107</v>
      </c>
      <c r="M131" s="17">
        <v>126</v>
      </c>
      <c r="N131" s="36">
        <f>IFERROR(M131/$AC131,0)</f>
        <v>0.32061068702290074</v>
      </c>
      <c r="O131" s="17">
        <v>28</v>
      </c>
      <c r="P131" s="36">
        <f>IFERROR(O131/$AD131,0)</f>
        <v>0.33734939759036142</v>
      </c>
      <c r="Q131" s="17">
        <v>88</v>
      </c>
      <c r="R131" s="36">
        <f>IFERROR(Q131/$AC131,0)</f>
        <v>0.22391857506361323</v>
      </c>
      <c r="S131" s="17">
        <v>20</v>
      </c>
      <c r="T131" s="36">
        <f>IFERROR(S131/$AD131,0)</f>
        <v>0.24096385542168675</v>
      </c>
      <c r="U131" s="17">
        <v>42</v>
      </c>
      <c r="V131" s="36">
        <f>IFERROR(U131/$AC131,0)</f>
        <v>0.10687022900763359</v>
      </c>
      <c r="W131" s="17">
        <v>7</v>
      </c>
      <c r="X131" s="36">
        <f>IFERROR(W131/$AD131,0)</f>
        <v>8.4337349397590355E-2</v>
      </c>
      <c r="Y131" s="17">
        <v>26</v>
      </c>
      <c r="Z131" s="36">
        <f>IFERROR(Y131/$AC131,0)</f>
        <v>6.6157760814249358E-2</v>
      </c>
      <c r="AA131" s="17">
        <v>3</v>
      </c>
      <c r="AB131" s="36">
        <f>IFERROR(AA131/$AD131,0)</f>
        <v>3.614457831325301E-2</v>
      </c>
      <c r="AC131" s="17">
        <v>393</v>
      </c>
      <c r="AD131" s="17">
        <v>83</v>
      </c>
    </row>
    <row r="132" spans="1:30" ht="15.75" customHeight="1" x14ac:dyDescent="0.25">
      <c r="A132" s="35">
        <v>2024</v>
      </c>
      <c r="B132" s="35">
        <v>172090</v>
      </c>
      <c r="C132" s="33" t="str">
        <f>VLOOKUP(B132,procv!$A$2:$D$142,4,FALSE)</f>
        <v>Sudeste</v>
      </c>
      <c r="D132" s="33" t="s">
        <v>135</v>
      </c>
      <c r="E132" s="17">
        <v>101</v>
      </c>
      <c r="F132" s="36">
        <f>IFERROR(E132/$AC132,0)</f>
        <v>2.8832429346274623E-2</v>
      </c>
      <c r="G132" s="17">
        <v>23</v>
      </c>
      <c r="H132" s="36">
        <f>IFERROR(G132/$AD132,0)</f>
        <v>5.336426914153132E-2</v>
      </c>
      <c r="I132" s="16">
        <v>1055</v>
      </c>
      <c r="J132" s="36">
        <f>IFERROR(I132/$AC132,0)</f>
        <v>0.30117042534970023</v>
      </c>
      <c r="K132" s="17">
        <v>144</v>
      </c>
      <c r="L132" s="36">
        <f>IFERROR(K132/$AD132,0)</f>
        <v>0.33410672853828305</v>
      </c>
      <c r="M132" s="16">
        <v>1244</v>
      </c>
      <c r="N132" s="36">
        <f>IFERROR(M132/$AC132,0)</f>
        <v>0.35512417927490725</v>
      </c>
      <c r="O132" s="17">
        <v>136</v>
      </c>
      <c r="P132" s="36">
        <f>IFERROR(O132/$AD132,0)</f>
        <v>0.31554524361948955</v>
      </c>
      <c r="Q132" s="17">
        <v>709</v>
      </c>
      <c r="R132" s="36">
        <f>IFERROR(Q132/$AC132,0)</f>
        <v>0.2023979446188981</v>
      </c>
      <c r="S132" s="17">
        <v>79</v>
      </c>
      <c r="T132" s="36">
        <f>IFERROR(S132/$AD132,0)</f>
        <v>0.18329466357308585</v>
      </c>
      <c r="U132" s="17">
        <v>282</v>
      </c>
      <c r="V132" s="36">
        <f>IFERROR(U132/$AC132,0)</f>
        <v>8.0502426491578641E-2</v>
      </c>
      <c r="W132" s="17">
        <v>33</v>
      </c>
      <c r="X132" s="36">
        <f>IFERROR(W132/$AD132,0)</f>
        <v>7.6566125290023199E-2</v>
      </c>
      <c r="Y132" s="17">
        <v>112</v>
      </c>
      <c r="Z132" s="36">
        <f>IFERROR(Y132/$AC132,0)</f>
        <v>3.1972594918641163E-2</v>
      </c>
      <c r="AA132" s="17">
        <v>16</v>
      </c>
      <c r="AB132" s="36">
        <f>IFERROR(AA132/$AD132,0)</f>
        <v>3.7122969837587005E-2</v>
      </c>
      <c r="AC132" s="16">
        <v>3503</v>
      </c>
      <c r="AD132" s="17">
        <v>431</v>
      </c>
    </row>
    <row r="133" spans="1:30" ht="15.75" customHeight="1" x14ac:dyDescent="0.25">
      <c r="A133" s="35">
        <v>2024</v>
      </c>
      <c r="B133" s="35">
        <v>172093</v>
      </c>
      <c r="C133" s="33" t="str">
        <f>VLOOKUP(B133,procv!$A$2:$D$142,4,FALSE)</f>
        <v>Sudeste</v>
      </c>
      <c r="D133" s="33" t="s">
        <v>136</v>
      </c>
      <c r="E133" s="17">
        <v>6</v>
      </c>
      <c r="F133" s="36">
        <f>IFERROR(E133/$AC133,0)</f>
        <v>1.8404907975460124E-2</v>
      </c>
      <c r="G133" s="17">
        <v>0</v>
      </c>
      <c r="H133" s="36">
        <f>IFERROR(G133/$AD133,0)</f>
        <v>0</v>
      </c>
      <c r="I133" s="17">
        <v>85</v>
      </c>
      <c r="J133" s="36">
        <f>IFERROR(I133/$AC133,0)</f>
        <v>0.2607361963190184</v>
      </c>
      <c r="K133" s="17">
        <v>5</v>
      </c>
      <c r="L133" s="36">
        <f>IFERROR(K133/$AD133,0)</f>
        <v>0.35714285714285715</v>
      </c>
      <c r="M133" s="17">
        <v>105</v>
      </c>
      <c r="N133" s="36">
        <f>IFERROR(M133/$AC133,0)</f>
        <v>0.32208588957055212</v>
      </c>
      <c r="O133" s="17">
        <v>2</v>
      </c>
      <c r="P133" s="36">
        <f>IFERROR(O133/$AD133,0)</f>
        <v>0.14285714285714285</v>
      </c>
      <c r="Q133" s="17">
        <v>76</v>
      </c>
      <c r="R133" s="36">
        <f>IFERROR(Q133/$AC133,0)</f>
        <v>0.23312883435582821</v>
      </c>
      <c r="S133" s="17">
        <v>5</v>
      </c>
      <c r="T133" s="36">
        <f>IFERROR(S133/$AD133,0)</f>
        <v>0.35714285714285715</v>
      </c>
      <c r="U133" s="17">
        <v>35</v>
      </c>
      <c r="V133" s="36">
        <f>IFERROR(U133/$AC133,0)</f>
        <v>0.10736196319018405</v>
      </c>
      <c r="W133" s="17">
        <v>0</v>
      </c>
      <c r="X133" s="36">
        <f>IFERROR(W133/$AD133,0)</f>
        <v>0</v>
      </c>
      <c r="Y133" s="17">
        <v>19</v>
      </c>
      <c r="Z133" s="36">
        <f>IFERROR(Y133/$AC133,0)</f>
        <v>5.8282208588957052E-2</v>
      </c>
      <c r="AA133" s="17">
        <v>2</v>
      </c>
      <c r="AB133" s="36">
        <f>IFERROR(AA133/$AD133,0)</f>
        <v>0.14285714285714285</v>
      </c>
      <c r="AC133" s="17">
        <v>326</v>
      </c>
      <c r="AD133" s="17">
        <v>14</v>
      </c>
    </row>
    <row r="134" spans="1:30" ht="15.75" customHeight="1" x14ac:dyDescent="0.25">
      <c r="A134" s="35">
        <v>2024</v>
      </c>
      <c r="B134" s="35">
        <v>172097</v>
      </c>
      <c r="C134" s="33" t="str">
        <f>VLOOKUP(B134,procv!$A$2:$D$142,4,FALSE)</f>
        <v>Ilha do Bananal</v>
      </c>
      <c r="D134" s="33" t="s">
        <v>137</v>
      </c>
      <c r="E134" s="17">
        <v>22</v>
      </c>
      <c r="F134" s="36">
        <f>IFERROR(E134/$AC134,0)</f>
        <v>2.5229357798165139E-2</v>
      </c>
      <c r="G134" s="17">
        <v>1</v>
      </c>
      <c r="H134" s="36">
        <f>IFERROR(G134/$AD134,0)</f>
        <v>1.8518518518518517E-2</v>
      </c>
      <c r="I134" s="17">
        <v>247</v>
      </c>
      <c r="J134" s="36">
        <f>IFERROR(I134/$AC134,0)</f>
        <v>0.28325688073394495</v>
      </c>
      <c r="K134" s="17">
        <v>18</v>
      </c>
      <c r="L134" s="36">
        <f>IFERROR(K134/$AD134,0)</f>
        <v>0.33333333333333331</v>
      </c>
      <c r="M134" s="17">
        <v>289</v>
      </c>
      <c r="N134" s="36">
        <f>IFERROR(M134/$AC134,0)</f>
        <v>0.33142201834862384</v>
      </c>
      <c r="O134" s="17">
        <v>12</v>
      </c>
      <c r="P134" s="36">
        <f>IFERROR(O134/$AD134,0)</f>
        <v>0.22222222222222221</v>
      </c>
      <c r="Q134" s="17">
        <v>202</v>
      </c>
      <c r="R134" s="36">
        <f>IFERROR(Q134/$AC134,0)</f>
        <v>0.23165137614678899</v>
      </c>
      <c r="S134" s="17">
        <v>16</v>
      </c>
      <c r="T134" s="36">
        <f>IFERROR(S134/$AD134,0)</f>
        <v>0.29629629629629628</v>
      </c>
      <c r="U134" s="17">
        <v>78</v>
      </c>
      <c r="V134" s="36">
        <f>IFERROR(U134/$AC134,0)</f>
        <v>8.9449541284403675E-2</v>
      </c>
      <c r="W134" s="17">
        <v>4</v>
      </c>
      <c r="X134" s="36">
        <f>IFERROR(W134/$AD134,0)</f>
        <v>7.407407407407407E-2</v>
      </c>
      <c r="Y134" s="17">
        <v>34</v>
      </c>
      <c r="Z134" s="36">
        <f>IFERROR(Y134/$AC134,0)</f>
        <v>3.8990825688073397E-2</v>
      </c>
      <c r="AA134" s="17">
        <v>3</v>
      </c>
      <c r="AB134" s="36">
        <f>IFERROR(AA134/$AD134,0)</f>
        <v>5.5555555555555552E-2</v>
      </c>
      <c r="AC134" s="17">
        <v>872</v>
      </c>
      <c r="AD134" s="17">
        <v>54</v>
      </c>
    </row>
    <row r="135" spans="1:30" ht="15.75" customHeight="1" x14ac:dyDescent="0.25">
      <c r="A135" s="35">
        <v>2024</v>
      </c>
      <c r="B135" s="35">
        <v>172110</v>
      </c>
      <c r="C135" s="33" t="str">
        <f>VLOOKUP(B135,procv!$A$2:$D$142,4,FALSE)</f>
        <v>Capim Dourado</v>
      </c>
      <c r="D135" s="33" t="s">
        <v>138</v>
      </c>
      <c r="E135" s="17">
        <v>27</v>
      </c>
      <c r="F135" s="36">
        <f>IFERROR(E135/$AC135,0)</f>
        <v>1.3874614594039054E-2</v>
      </c>
      <c r="G135" s="17">
        <v>11</v>
      </c>
      <c r="H135" s="36">
        <f>IFERROR(G135/$AD135,0)</f>
        <v>1.3064133016627079E-2</v>
      </c>
      <c r="I135" s="17">
        <v>525</v>
      </c>
      <c r="J135" s="36">
        <f>IFERROR(I135/$AC135,0)</f>
        <v>0.26978417266187049</v>
      </c>
      <c r="K135" s="17">
        <v>222</v>
      </c>
      <c r="L135" s="36">
        <f>IFERROR(K135/$AD135,0)</f>
        <v>0.26365795724465557</v>
      </c>
      <c r="M135" s="17">
        <v>699</v>
      </c>
      <c r="N135" s="36">
        <f>IFERROR(M135/$AC135,0)</f>
        <v>0.35919835560123331</v>
      </c>
      <c r="O135" s="17">
        <v>316</v>
      </c>
      <c r="P135" s="36">
        <f>IFERROR(O135/$AD135,0)</f>
        <v>0.37529691211401423</v>
      </c>
      <c r="Q135" s="17">
        <v>467</v>
      </c>
      <c r="R135" s="36">
        <f>IFERROR(Q135/$AC135,0)</f>
        <v>0.23997944501541624</v>
      </c>
      <c r="S135" s="17">
        <v>207</v>
      </c>
      <c r="T135" s="36">
        <f>IFERROR(S135/$AD135,0)</f>
        <v>0.24584323040380046</v>
      </c>
      <c r="U135" s="17">
        <v>179</v>
      </c>
      <c r="V135" s="36">
        <f>IFERROR(U135/$AC135,0)</f>
        <v>9.198355601233299E-2</v>
      </c>
      <c r="W135" s="17">
        <v>70</v>
      </c>
      <c r="X135" s="36">
        <f>IFERROR(W135/$AD135,0)</f>
        <v>8.3135391923990498E-2</v>
      </c>
      <c r="Y135" s="17">
        <v>49</v>
      </c>
      <c r="Z135" s="36">
        <f>IFERROR(Y135/$AC135,0)</f>
        <v>2.5179856115107913E-2</v>
      </c>
      <c r="AA135" s="17">
        <v>16</v>
      </c>
      <c r="AB135" s="36">
        <f>IFERROR(AA135/$AD135,0)</f>
        <v>1.9002375296912115E-2</v>
      </c>
      <c r="AC135" s="16">
        <v>1946</v>
      </c>
      <c r="AD135" s="17">
        <v>842</v>
      </c>
    </row>
    <row r="136" spans="1:30" ht="15.75" customHeight="1" x14ac:dyDescent="0.25">
      <c r="A136" s="35">
        <v>2024</v>
      </c>
      <c r="B136" s="35">
        <v>172120</v>
      </c>
      <c r="C136" s="33" t="str">
        <f>VLOOKUP(B136,procv!$A$2:$D$142,4,FALSE)</f>
        <v>Bico do Papagaio</v>
      </c>
      <c r="D136" s="33" t="s">
        <v>139</v>
      </c>
      <c r="E136" s="17">
        <v>102</v>
      </c>
      <c r="F136" s="36">
        <f>IFERROR(E136/$AC136,0)</f>
        <v>2.7149321266968326E-2</v>
      </c>
      <c r="G136" s="17">
        <v>33</v>
      </c>
      <c r="H136" s="36">
        <f>IFERROR(G136/$AD136,0)</f>
        <v>2.9918404351767906E-2</v>
      </c>
      <c r="I136" s="16">
        <v>1356</v>
      </c>
      <c r="J136" s="36">
        <f>IFERROR(I136/$AC136,0)</f>
        <v>0.36092627096087304</v>
      </c>
      <c r="K136" s="17">
        <v>432</v>
      </c>
      <c r="L136" s="36">
        <f>IFERROR(K136/$AD136,0)</f>
        <v>0.39165911151405258</v>
      </c>
      <c r="M136" s="16">
        <v>1278</v>
      </c>
      <c r="N136" s="36">
        <f>IFERROR(M136/$AC136,0)</f>
        <v>0.34016502528613257</v>
      </c>
      <c r="O136" s="17">
        <v>368</v>
      </c>
      <c r="P136" s="36">
        <f>IFERROR(O136/$AD136,0)</f>
        <v>0.33363553943789664</v>
      </c>
      <c r="Q136" s="17">
        <v>689</v>
      </c>
      <c r="R136" s="36">
        <f>IFERROR(Q136/$AC136,0)</f>
        <v>0.18339100346020762</v>
      </c>
      <c r="S136" s="17">
        <v>183</v>
      </c>
      <c r="T136" s="36">
        <f>IFERROR(S136/$AD136,0)</f>
        <v>0.16591115140525839</v>
      </c>
      <c r="U136" s="17">
        <v>233</v>
      </c>
      <c r="V136" s="36">
        <f>IFERROR(U136/$AC136,0)</f>
        <v>6.2017567207878627E-2</v>
      </c>
      <c r="W136" s="17">
        <v>64</v>
      </c>
      <c r="X136" s="36">
        <f>IFERROR(W136/$AD136,0)</f>
        <v>5.8023572076155938E-2</v>
      </c>
      <c r="Y136" s="17">
        <v>99</v>
      </c>
      <c r="Z136" s="36">
        <f>IFERROR(Y136/$AC136,0)</f>
        <v>2.6350811817939846E-2</v>
      </c>
      <c r="AA136" s="17">
        <v>23</v>
      </c>
      <c r="AB136" s="36">
        <f>IFERROR(AA136/$AD136,0)</f>
        <v>2.085222121486854E-2</v>
      </c>
      <c r="AC136" s="16">
        <v>3757</v>
      </c>
      <c r="AD136" s="16">
        <v>1103</v>
      </c>
    </row>
    <row r="137" spans="1:30" ht="15.75" customHeight="1" x14ac:dyDescent="0.25">
      <c r="A137" s="35">
        <v>2024</v>
      </c>
      <c r="B137" s="35">
        <v>172125</v>
      </c>
      <c r="C137" s="33" t="str">
        <f>VLOOKUP(B137,procv!$A$2:$D$142,4,FALSE)</f>
        <v>Cerrado Tocantins Araguaia</v>
      </c>
      <c r="D137" s="33" t="s">
        <v>140</v>
      </c>
      <c r="E137" s="17">
        <v>18</v>
      </c>
      <c r="F137" s="36">
        <f>IFERROR(E137/$AC137,0)</f>
        <v>2.6587887740029542E-2</v>
      </c>
      <c r="G137" s="17">
        <v>1</v>
      </c>
      <c r="H137" s="36">
        <f>IFERROR(G137/$AD137,0)</f>
        <v>2.4390243902439025E-2</v>
      </c>
      <c r="I137" s="17">
        <v>228</v>
      </c>
      <c r="J137" s="36">
        <f>IFERROR(I137/$AC137,0)</f>
        <v>0.33677991137370755</v>
      </c>
      <c r="K137" s="17">
        <v>15</v>
      </c>
      <c r="L137" s="36">
        <f>IFERROR(K137/$AD137,0)</f>
        <v>0.36585365853658536</v>
      </c>
      <c r="M137" s="17">
        <v>245</v>
      </c>
      <c r="N137" s="36">
        <f>IFERROR(M137/$AC137,0)</f>
        <v>0.36189069423929099</v>
      </c>
      <c r="O137" s="17">
        <v>12</v>
      </c>
      <c r="P137" s="36">
        <f>IFERROR(O137/$AD137,0)</f>
        <v>0.29268292682926828</v>
      </c>
      <c r="Q137" s="17">
        <v>132</v>
      </c>
      <c r="R137" s="36">
        <f>IFERROR(Q137/$AC137,0)</f>
        <v>0.19497784342688332</v>
      </c>
      <c r="S137" s="17">
        <v>7</v>
      </c>
      <c r="T137" s="36">
        <f>IFERROR(S137/$AD137,0)</f>
        <v>0.17073170731707318</v>
      </c>
      <c r="U137" s="17">
        <v>38</v>
      </c>
      <c r="V137" s="36">
        <f>IFERROR(U137/$AC137,0)</f>
        <v>5.6129985228951254E-2</v>
      </c>
      <c r="W137" s="17">
        <v>4</v>
      </c>
      <c r="X137" s="36">
        <f>IFERROR(W137/$AD137,0)</f>
        <v>9.7560975609756101E-2</v>
      </c>
      <c r="Y137" s="17">
        <v>16</v>
      </c>
      <c r="Z137" s="36">
        <f>IFERROR(Y137/$AC137,0)</f>
        <v>2.3633677991137372E-2</v>
      </c>
      <c r="AA137" s="17">
        <v>2</v>
      </c>
      <c r="AB137" s="36">
        <f>IFERROR(AA137/$AD137,0)</f>
        <v>4.878048780487805E-2</v>
      </c>
      <c r="AC137" s="17">
        <v>677</v>
      </c>
      <c r="AD137" s="17">
        <v>41</v>
      </c>
    </row>
    <row r="138" spans="1:30" ht="15.75" customHeight="1" x14ac:dyDescent="0.25">
      <c r="A138" s="35">
        <v>2024</v>
      </c>
      <c r="B138" s="35">
        <v>172130</v>
      </c>
      <c r="C138" s="33" t="str">
        <f>VLOOKUP(B138,procv!$A$2:$D$142,4,FALSE)</f>
        <v>Cerrado Tocantins Araguaia</v>
      </c>
      <c r="D138" s="33" t="s">
        <v>141</v>
      </c>
      <c r="E138" s="17">
        <v>5</v>
      </c>
      <c r="F138" s="36">
        <f>IFERROR(E138/$AC138,0)</f>
        <v>8.771929824561403E-3</v>
      </c>
      <c r="G138" s="17">
        <v>2</v>
      </c>
      <c r="H138" s="36">
        <f>IFERROR(G138/$AD138,0)</f>
        <v>2.8985507246376812E-2</v>
      </c>
      <c r="I138" s="17">
        <v>182</v>
      </c>
      <c r="J138" s="36">
        <f>IFERROR(I138/$AC138,0)</f>
        <v>0.31929824561403508</v>
      </c>
      <c r="K138" s="17">
        <v>21</v>
      </c>
      <c r="L138" s="36">
        <f>IFERROR(K138/$AD138,0)</f>
        <v>0.30434782608695654</v>
      </c>
      <c r="M138" s="17">
        <v>202</v>
      </c>
      <c r="N138" s="36">
        <f>IFERROR(M138/$AC138,0)</f>
        <v>0.35438596491228069</v>
      </c>
      <c r="O138" s="17">
        <v>19</v>
      </c>
      <c r="P138" s="36">
        <f>IFERROR(O138/$AD138,0)</f>
        <v>0.27536231884057971</v>
      </c>
      <c r="Q138" s="17">
        <v>111</v>
      </c>
      <c r="R138" s="36">
        <f>IFERROR(Q138/$AC138,0)</f>
        <v>0.19473684210526315</v>
      </c>
      <c r="S138" s="17">
        <v>13</v>
      </c>
      <c r="T138" s="36">
        <f>IFERROR(S138/$AD138,0)</f>
        <v>0.18840579710144928</v>
      </c>
      <c r="U138" s="17">
        <v>46</v>
      </c>
      <c r="V138" s="36">
        <f>IFERROR(U138/$AC138,0)</f>
        <v>8.0701754385964913E-2</v>
      </c>
      <c r="W138" s="17">
        <v>8</v>
      </c>
      <c r="X138" s="36">
        <f>IFERROR(W138/$AD138,0)</f>
        <v>0.11594202898550725</v>
      </c>
      <c r="Y138" s="17">
        <v>24</v>
      </c>
      <c r="Z138" s="36">
        <f>IFERROR(Y138/$AC138,0)</f>
        <v>4.2105263157894736E-2</v>
      </c>
      <c r="AA138" s="17">
        <v>6</v>
      </c>
      <c r="AB138" s="36">
        <f>IFERROR(AA138/$AD138,0)</f>
        <v>8.6956521739130432E-2</v>
      </c>
      <c r="AC138" s="17">
        <v>570</v>
      </c>
      <c r="AD138" s="17">
        <v>69</v>
      </c>
    </row>
    <row r="139" spans="1:30" ht="15.75" customHeight="1" x14ac:dyDescent="0.25">
      <c r="A139" s="35">
        <v>2024</v>
      </c>
      <c r="B139" s="35">
        <v>172208</v>
      </c>
      <c r="C139" s="33" t="str">
        <f>VLOOKUP(B139,procv!$A$2:$D$142,4,FALSE)</f>
        <v>Médio Norte Araguaia</v>
      </c>
      <c r="D139" s="33" t="s">
        <v>142</v>
      </c>
      <c r="E139" s="17">
        <v>61</v>
      </c>
      <c r="F139" s="36">
        <f>IFERROR(E139/$AC139,0)</f>
        <v>2.5469728601252611E-2</v>
      </c>
      <c r="G139" s="17">
        <v>8</v>
      </c>
      <c r="H139" s="36">
        <f>IFERROR(G139/$AD139,0)</f>
        <v>2.1739130434782608E-2</v>
      </c>
      <c r="I139" s="17">
        <v>765</v>
      </c>
      <c r="J139" s="36">
        <f>IFERROR(I139/$AC139,0)</f>
        <v>0.31941544885177453</v>
      </c>
      <c r="K139" s="17">
        <v>117</v>
      </c>
      <c r="L139" s="36">
        <f>IFERROR(K139/$AD139,0)</f>
        <v>0.31793478260869568</v>
      </c>
      <c r="M139" s="17">
        <v>844</v>
      </c>
      <c r="N139" s="36">
        <f>IFERROR(M139/$AC139,0)</f>
        <v>0.35240083507306891</v>
      </c>
      <c r="O139" s="17">
        <v>118</v>
      </c>
      <c r="P139" s="36">
        <f>IFERROR(O139/$AD139,0)</f>
        <v>0.32065217391304346</v>
      </c>
      <c r="Q139" s="17">
        <v>485</v>
      </c>
      <c r="R139" s="36">
        <f>IFERROR(Q139/$AC139,0)</f>
        <v>0.20250521920668058</v>
      </c>
      <c r="S139" s="17">
        <v>73</v>
      </c>
      <c r="T139" s="36">
        <f>IFERROR(S139/$AD139,0)</f>
        <v>0.1983695652173913</v>
      </c>
      <c r="U139" s="17">
        <v>161</v>
      </c>
      <c r="V139" s="36">
        <f>IFERROR(U139/$AC139,0)</f>
        <v>6.7223382045929023E-2</v>
      </c>
      <c r="W139" s="17">
        <v>33</v>
      </c>
      <c r="X139" s="36">
        <f>IFERROR(W139/$AD139,0)</f>
        <v>8.9673913043478257E-2</v>
      </c>
      <c r="Y139" s="17">
        <v>79</v>
      </c>
      <c r="Z139" s="36">
        <f>IFERROR(Y139/$AC139,0)</f>
        <v>3.2985386221294363E-2</v>
      </c>
      <c r="AA139" s="17">
        <v>19</v>
      </c>
      <c r="AB139" s="36">
        <f>IFERROR(AA139/$AD139,0)</f>
        <v>5.1630434782608696E-2</v>
      </c>
      <c r="AC139" s="16">
        <v>2395</v>
      </c>
      <c r="AD139" s="17">
        <v>368</v>
      </c>
    </row>
    <row r="140" spans="1:30" ht="15.75" customHeight="1" x14ac:dyDescent="0.25">
      <c r="A140" s="35">
        <v>2024</v>
      </c>
      <c r="B140" s="35">
        <v>172210</v>
      </c>
      <c r="C140" s="33" t="str">
        <f>VLOOKUP(B140,procv!$A$2:$D$142,4,FALSE)</f>
        <v>Médio Norte Araguaia</v>
      </c>
      <c r="D140" s="33" t="s">
        <v>143</v>
      </c>
      <c r="E140" s="17">
        <v>55</v>
      </c>
      <c r="F140" s="36">
        <f>IFERROR(E140/$AC140,0)</f>
        <v>1.9097222222222224E-2</v>
      </c>
      <c r="G140" s="17">
        <v>5</v>
      </c>
      <c r="H140" s="36">
        <f>IFERROR(G140/$AD140,0)</f>
        <v>2.0920502092050208E-2</v>
      </c>
      <c r="I140" s="17">
        <v>859</v>
      </c>
      <c r="J140" s="36">
        <f>IFERROR(I140/$AC140,0)</f>
        <v>0.29826388888888888</v>
      </c>
      <c r="K140" s="17">
        <v>84</v>
      </c>
      <c r="L140" s="36">
        <f>IFERROR(K140/$AD140,0)</f>
        <v>0.35146443514644349</v>
      </c>
      <c r="M140" s="16">
        <v>1038</v>
      </c>
      <c r="N140" s="36">
        <f>IFERROR(M140/$AC140,0)</f>
        <v>0.36041666666666666</v>
      </c>
      <c r="O140" s="17">
        <v>71</v>
      </c>
      <c r="P140" s="36">
        <f>IFERROR(O140/$AD140,0)</f>
        <v>0.29707112970711297</v>
      </c>
      <c r="Q140" s="17">
        <v>597</v>
      </c>
      <c r="R140" s="36">
        <f>IFERROR(Q140/$AC140,0)</f>
        <v>0.20729166666666668</v>
      </c>
      <c r="S140" s="17">
        <v>47</v>
      </c>
      <c r="T140" s="36">
        <f>IFERROR(S140/$AD140,0)</f>
        <v>0.19665271966527198</v>
      </c>
      <c r="U140" s="17">
        <v>229</v>
      </c>
      <c r="V140" s="36">
        <f>IFERROR(U140/$AC140,0)</f>
        <v>7.9513888888888884E-2</v>
      </c>
      <c r="W140" s="17">
        <v>23</v>
      </c>
      <c r="X140" s="36">
        <f>IFERROR(W140/$AD140,0)</f>
        <v>9.6234309623430964E-2</v>
      </c>
      <c r="Y140" s="17">
        <v>102</v>
      </c>
      <c r="Z140" s="36">
        <f>IFERROR(Y140/$AC140,0)</f>
        <v>3.5416666666666666E-2</v>
      </c>
      <c r="AA140" s="17">
        <v>9</v>
      </c>
      <c r="AB140" s="36">
        <f>IFERROR(AA140/$AD140,0)</f>
        <v>3.7656903765690378E-2</v>
      </c>
      <c r="AC140" s="16">
        <v>2880</v>
      </c>
      <c r="AD140" s="17">
        <v>239</v>
      </c>
    </row>
    <row r="141" spans="1:30" ht="15.75" customHeight="1" x14ac:dyDescent="0.25">
      <c r="A141" s="37">
        <v>2023</v>
      </c>
      <c r="B141" s="35">
        <v>170025</v>
      </c>
      <c r="C141" s="33" t="str">
        <f>VLOOKUP(B141,procv!$A$2:$D$142,4,FALSE)</f>
        <v>Cantão</v>
      </c>
      <c r="D141" s="33" t="s">
        <v>5</v>
      </c>
      <c r="E141" s="17">
        <v>17</v>
      </c>
      <c r="F141" s="36">
        <f>IFERROR(E141/$AC141,0)</f>
        <v>1.6441005802707929E-2</v>
      </c>
      <c r="G141" s="17">
        <v>2</v>
      </c>
      <c r="H141" s="36">
        <f>IFERROR(G141/$AD141,0)</f>
        <v>4.1666666666666664E-2</v>
      </c>
      <c r="I141" s="17">
        <v>348</v>
      </c>
      <c r="J141" s="36">
        <f>IFERROR(I141/$AC141,0)</f>
        <v>0.3365570599613153</v>
      </c>
      <c r="K141" s="17">
        <v>18</v>
      </c>
      <c r="L141" s="36">
        <f>IFERROR(K141/$AD141,0)</f>
        <v>0.375</v>
      </c>
      <c r="M141" s="17">
        <v>362</v>
      </c>
      <c r="N141" s="36">
        <f>IFERROR(M141/$AC141,0)</f>
        <v>0.35009671179883944</v>
      </c>
      <c r="O141" s="17">
        <v>10</v>
      </c>
      <c r="P141" s="36">
        <f>IFERROR(O141/$AD141,0)</f>
        <v>0.20833333333333334</v>
      </c>
      <c r="Q141" s="17">
        <v>209</v>
      </c>
      <c r="R141" s="36">
        <f>IFERROR(Q141/$AC141,0)</f>
        <v>0.20212765957446807</v>
      </c>
      <c r="S141" s="17">
        <v>13</v>
      </c>
      <c r="T141" s="36">
        <f>IFERROR(S141/$AD141,0)</f>
        <v>0.27083333333333331</v>
      </c>
      <c r="U141" s="17">
        <v>67</v>
      </c>
      <c r="V141" s="36">
        <f>IFERROR(U141/$AC141,0)</f>
        <v>6.479690522243714E-2</v>
      </c>
      <c r="W141" s="17">
        <v>2</v>
      </c>
      <c r="X141" s="36">
        <f>IFERROR(W141/$AD141,0)</f>
        <v>4.1666666666666664E-2</v>
      </c>
      <c r="Y141" s="17">
        <v>31</v>
      </c>
      <c r="Z141" s="36">
        <f>IFERROR(Y141/$AC141,0)</f>
        <v>2.9980657640232108E-2</v>
      </c>
      <c r="AA141" s="17">
        <v>3</v>
      </c>
      <c r="AB141" s="36">
        <f>IFERROR(AA141/$AD141,0)</f>
        <v>6.25E-2</v>
      </c>
      <c r="AC141" s="16">
        <v>1034</v>
      </c>
      <c r="AD141" s="17">
        <v>48</v>
      </c>
    </row>
    <row r="142" spans="1:30" ht="15.75" customHeight="1" x14ac:dyDescent="0.25">
      <c r="A142" s="37">
        <v>2023</v>
      </c>
      <c r="B142" s="35">
        <v>170030</v>
      </c>
      <c r="C142" s="33" t="str">
        <f>VLOOKUP(B142,procv!$A$2:$D$142,4,FALSE)</f>
        <v>Bico do Papagaio</v>
      </c>
      <c r="D142" s="33" t="s">
        <v>6</v>
      </c>
      <c r="E142" s="17">
        <v>23</v>
      </c>
      <c r="F142" s="36">
        <f>IFERROR(E142/$AC142,0)</f>
        <v>2.4811218985976269E-2</v>
      </c>
      <c r="G142" s="17">
        <v>5</v>
      </c>
      <c r="H142" s="36">
        <f>IFERROR(G142/$AD142,0)</f>
        <v>4.7619047619047616E-2</v>
      </c>
      <c r="I142" s="17">
        <v>290</v>
      </c>
      <c r="J142" s="36">
        <f>IFERROR(I142/$AC142,0)</f>
        <v>0.31283710895361383</v>
      </c>
      <c r="K142" s="17">
        <v>39</v>
      </c>
      <c r="L142" s="36">
        <f>IFERROR(K142/$AD142,0)</f>
        <v>0.37142857142857144</v>
      </c>
      <c r="M142" s="17">
        <v>360</v>
      </c>
      <c r="N142" s="36">
        <f>IFERROR(M142/$AC142,0)</f>
        <v>0.38834951456310679</v>
      </c>
      <c r="O142" s="17">
        <v>31</v>
      </c>
      <c r="P142" s="36">
        <f>IFERROR(O142/$AD142,0)</f>
        <v>0.29523809523809524</v>
      </c>
      <c r="Q142" s="17">
        <v>173</v>
      </c>
      <c r="R142" s="36">
        <f>IFERROR(Q142/$AC142,0)</f>
        <v>0.18662351672060409</v>
      </c>
      <c r="S142" s="17">
        <v>22</v>
      </c>
      <c r="T142" s="36">
        <f>IFERROR(S142/$AD142,0)</f>
        <v>0.20952380952380953</v>
      </c>
      <c r="U142" s="17">
        <v>57</v>
      </c>
      <c r="V142" s="36">
        <f>IFERROR(U142/$AC142,0)</f>
        <v>6.1488673139158574E-2</v>
      </c>
      <c r="W142" s="17">
        <v>5</v>
      </c>
      <c r="X142" s="36">
        <f>IFERROR(W142/$AD142,0)</f>
        <v>4.7619047619047616E-2</v>
      </c>
      <c r="Y142" s="17">
        <v>24</v>
      </c>
      <c r="Z142" s="36">
        <f>IFERROR(Y142/$AC142,0)</f>
        <v>2.5889967637540454E-2</v>
      </c>
      <c r="AA142" s="17">
        <v>3</v>
      </c>
      <c r="AB142" s="36">
        <f>IFERROR(AA142/$AD142,0)</f>
        <v>2.8571428571428571E-2</v>
      </c>
      <c r="AC142" s="17">
        <v>927</v>
      </c>
      <c r="AD142" s="17">
        <v>105</v>
      </c>
    </row>
    <row r="143" spans="1:30" ht="15.75" customHeight="1" x14ac:dyDescent="0.25">
      <c r="A143" s="37">
        <v>2023</v>
      </c>
      <c r="B143" s="35">
        <v>170035</v>
      </c>
      <c r="C143" s="33" t="str">
        <f>VLOOKUP(B143,procv!$A$2:$D$142,4,FALSE)</f>
        <v>Ilha do Bananal</v>
      </c>
      <c r="D143" s="33" t="s">
        <v>7</v>
      </c>
      <c r="E143" s="17">
        <v>51</v>
      </c>
      <c r="F143" s="36">
        <f>IFERROR(E143/$AC143,0)</f>
        <v>3.0890369473046637E-2</v>
      </c>
      <c r="G143" s="17">
        <v>2</v>
      </c>
      <c r="H143" s="36">
        <f>IFERROR(G143/$AD143,0)</f>
        <v>3.0303030303030304E-2</v>
      </c>
      <c r="I143" s="17">
        <v>491</v>
      </c>
      <c r="J143" s="36">
        <f>IFERROR(I143/$AC143,0)</f>
        <v>0.29739551786795881</v>
      </c>
      <c r="K143" s="17">
        <v>23</v>
      </c>
      <c r="L143" s="36">
        <f>IFERROR(K143/$AD143,0)</f>
        <v>0.34848484848484851</v>
      </c>
      <c r="M143" s="17">
        <v>572</v>
      </c>
      <c r="N143" s="36">
        <f>IFERROR(M143/$AC143,0)</f>
        <v>0.34645669291338582</v>
      </c>
      <c r="O143" s="17">
        <v>20</v>
      </c>
      <c r="P143" s="36">
        <f>IFERROR(O143/$AD143,0)</f>
        <v>0.30303030303030304</v>
      </c>
      <c r="Q143" s="17">
        <v>373</v>
      </c>
      <c r="R143" s="36">
        <f>IFERROR(Q143/$AC143,0)</f>
        <v>0.22592368261659601</v>
      </c>
      <c r="S143" s="17">
        <v>14</v>
      </c>
      <c r="T143" s="36">
        <f>IFERROR(S143/$AD143,0)</f>
        <v>0.21212121212121213</v>
      </c>
      <c r="U143" s="17">
        <v>118</v>
      </c>
      <c r="V143" s="36">
        <f>IFERROR(U143/$AC143,0)</f>
        <v>7.1471835251362817E-2</v>
      </c>
      <c r="W143" s="17">
        <v>7</v>
      </c>
      <c r="X143" s="36">
        <f>IFERROR(W143/$AD143,0)</f>
        <v>0.10606060606060606</v>
      </c>
      <c r="Y143" s="17">
        <v>46</v>
      </c>
      <c r="Z143" s="36">
        <f>IFERROR(Y143/$AC143,0)</f>
        <v>2.7861901877649909E-2</v>
      </c>
      <c r="AA143" s="17">
        <v>0</v>
      </c>
      <c r="AB143" s="36">
        <f>IFERROR(AA143/$AD143,0)</f>
        <v>0</v>
      </c>
      <c r="AC143" s="16">
        <v>1651</v>
      </c>
      <c r="AD143" s="17">
        <v>66</v>
      </c>
    </row>
    <row r="144" spans="1:30" ht="15.75" customHeight="1" x14ac:dyDescent="0.25">
      <c r="A144" s="37">
        <v>2023</v>
      </c>
      <c r="B144" s="35">
        <v>170040</v>
      </c>
      <c r="C144" s="33" t="str">
        <f>VLOOKUP(B144,procv!$A$2:$D$142,4,FALSE)</f>
        <v>Sudeste</v>
      </c>
      <c r="D144" s="33" t="s">
        <v>8</v>
      </c>
      <c r="E144" s="17">
        <v>38</v>
      </c>
      <c r="F144" s="36">
        <f>IFERROR(E144/$AC144,0)</f>
        <v>2.1158129175946547E-2</v>
      </c>
      <c r="G144" s="17">
        <v>5</v>
      </c>
      <c r="H144" s="36">
        <f>IFERROR(G144/$AD144,0)</f>
        <v>2.358490566037736E-2</v>
      </c>
      <c r="I144" s="17">
        <v>616</v>
      </c>
      <c r="J144" s="36">
        <f>IFERROR(I144/$AC144,0)</f>
        <v>0.34298440979955458</v>
      </c>
      <c r="K144" s="17">
        <v>67</v>
      </c>
      <c r="L144" s="36">
        <f>IFERROR(K144/$AD144,0)</f>
        <v>0.31603773584905659</v>
      </c>
      <c r="M144" s="17">
        <v>639</v>
      </c>
      <c r="N144" s="36">
        <f>IFERROR(M144/$AC144,0)</f>
        <v>0.35579064587973275</v>
      </c>
      <c r="O144" s="17">
        <v>78</v>
      </c>
      <c r="P144" s="36">
        <f>IFERROR(O144/$AD144,0)</f>
        <v>0.36792452830188677</v>
      </c>
      <c r="Q144" s="17">
        <v>337</v>
      </c>
      <c r="R144" s="36">
        <f>IFERROR(Q144/$AC144,0)</f>
        <v>0.1876391982182628</v>
      </c>
      <c r="S144" s="17">
        <v>43</v>
      </c>
      <c r="T144" s="36">
        <f>IFERROR(S144/$AD144,0)</f>
        <v>0.20283018867924529</v>
      </c>
      <c r="U144" s="17">
        <v>123</v>
      </c>
      <c r="V144" s="36">
        <f>IFERROR(U144/$AC144,0)</f>
        <v>6.8485523385300673E-2</v>
      </c>
      <c r="W144" s="17">
        <v>10</v>
      </c>
      <c r="X144" s="36">
        <f>IFERROR(W144/$AD144,0)</f>
        <v>4.716981132075472E-2</v>
      </c>
      <c r="Y144" s="17">
        <v>43</v>
      </c>
      <c r="Z144" s="36">
        <f>IFERROR(Y144/$AC144,0)</f>
        <v>2.3942093541202674E-2</v>
      </c>
      <c r="AA144" s="17">
        <v>9</v>
      </c>
      <c r="AB144" s="36">
        <f>IFERROR(AA144/$AD144,0)</f>
        <v>4.2452830188679243E-2</v>
      </c>
      <c r="AC144" s="16">
        <v>1796</v>
      </c>
      <c r="AD144" s="17">
        <v>212</v>
      </c>
    </row>
    <row r="145" spans="1:30" ht="15.75" customHeight="1" x14ac:dyDescent="0.25">
      <c r="A145" s="37">
        <v>2023</v>
      </c>
      <c r="B145" s="35">
        <v>170070</v>
      </c>
      <c r="C145" s="33" t="str">
        <f>VLOOKUP(B145,procv!$A$2:$D$142,4,FALSE)</f>
        <v>Ilha do Bananal</v>
      </c>
      <c r="D145" s="33" t="s">
        <v>9</v>
      </c>
      <c r="E145" s="17">
        <v>61</v>
      </c>
      <c r="F145" s="36">
        <f>IFERROR(E145/$AC145,0)</f>
        <v>2.1746880570409983E-2</v>
      </c>
      <c r="G145" s="17">
        <v>4</v>
      </c>
      <c r="H145" s="36">
        <f>IFERROR(G145/$AD145,0)</f>
        <v>1.3245033112582781E-2</v>
      </c>
      <c r="I145" s="17">
        <v>920</v>
      </c>
      <c r="J145" s="36">
        <f>IFERROR(I145/$AC145,0)</f>
        <v>0.32798573975044565</v>
      </c>
      <c r="K145" s="17">
        <v>70</v>
      </c>
      <c r="L145" s="36">
        <f>IFERROR(K145/$AD145,0)</f>
        <v>0.23178807947019867</v>
      </c>
      <c r="M145" s="16">
        <v>1000</v>
      </c>
      <c r="N145" s="36">
        <f>IFERROR(M145/$AC145,0)</f>
        <v>0.35650623885918004</v>
      </c>
      <c r="O145" s="17">
        <v>117</v>
      </c>
      <c r="P145" s="36">
        <f>IFERROR(O145/$AD145,0)</f>
        <v>0.38741721854304634</v>
      </c>
      <c r="Q145" s="17">
        <v>529</v>
      </c>
      <c r="R145" s="36">
        <f>IFERROR(Q145/$AC145,0)</f>
        <v>0.18859180035650625</v>
      </c>
      <c r="S145" s="17">
        <v>73</v>
      </c>
      <c r="T145" s="36">
        <f>IFERROR(S145/$AD145,0)</f>
        <v>0.24172185430463577</v>
      </c>
      <c r="U145" s="17">
        <v>207</v>
      </c>
      <c r="V145" s="36">
        <f>IFERROR(U145/$AC145,0)</f>
        <v>7.3796791443850263E-2</v>
      </c>
      <c r="W145" s="17">
        <v>28</v>
      </c>
      <c r="X145" s="36">
        <f>IFERROR(W145/$AD145,0)</f>
        <v>9.2715231788079472E-2</v>
      </c>
      <c r="Y145" s="17">
        <v>88</v>
      </c>
      <c r="Z145" s="36">
        <f>IFERROR(Y145/$AC145,0)</f>
        <v>3.1372549019607843E-2</v>
      </c>
      <c r="AA145" s="17">
        <v>10</v>
      </c>
      <c r="AB145" s="36">
        <f>IFERROR(AA145/$AD145,0)</f>
        <v>3.3112582781456956E-2</v>
      </c>
      <c r="AC145" s="16">
        <v>2805</v>
      </c>
      <c r="AD145" s="17">
        <v>302</v>
      </c>
    </row>
    <row r="146" spans="1:30" ht="15.75" customHeight="1" x14ac:dyDescent="0.25">
      <c r="A146" s="37">
        <v>2023</v>
      </c>
      <c r="B146" s="35">
        <v>170100</v>
      </c>
      <c r="C146" s="33" t="str">
        <f>VLOOKUP(B146,procv!$A$2:$D$142,4,FALSE)</f>
        <v>Bico do Papagaio</v>
      </c>
      <c r="D146" s="33" t="s">
        <v>10</v>
      </c>
      <c r="E146" s="17">
        <v>59</v>
      </c>
      <c r="F146" s="36">
        <f>IFERROR(E146/$AC146,0)</f>
        <v>2.4748322147651006E-2</v>
      </c>
      <c r="G146" s="17">
        <v>9</v>
      </c>
      <c r="H146" s="36">
        <f>IFERROR(G146/$AD146,0)</f>
        <v>2.5714285714285714E-2</v>
      </c>
      <c r="I146" s="17">
        <v>789</v>
      </c>
      <c r="J146" s="36">
        <f>IFERROR(I146/$AC146,0)</f>
        <v>0.33095637583892618</v>
      </c>
      <c r="K146" s="17">
        <v>140</v>
      </c>
      <c r="L146" s="36">
        <f>IFERROR(K146/$AD146,0)</f>
        <v>0.4</v>
      </c>
      <c r="M146" s="17">
        <v>831</v>
      </c>
      <c r="N146" s="36">
        <f>IFERROR(M146/$AC146,0)</f>
        <v>0.34857382550335569</v>
      </c>
      <c r="O146" s="17">
        <v>112</v>
      </c>
      <c r="P146" s="36">
        <f>IFERROR(O146/$AD146,0)</f>
        <v>0.32</v>
      </c>
      <c r="Q146" s="17">
        <v>475</v>
      </c>
      <c r="R146" s="36">
        <f>IFERROR(Q146/$AC146,0)</f>
        <v>0.19924496644295303</v>
      </c>
      <c r="S146" s="17">
        <v>63</v>
      </c>
      <c r="T146" s="36">
        <f>IFERROR(S146/$AD146,0)</f>
        <v>0.18</v>
      </c>
      <c r="U146" s="17">
        <v>155</v>
      </c>
      <c r="V146" s="36">
        <f>IFERROR(U146/$AC146,0)</f>
        <v>6.5016778523489929E-2</v>
      </c>
      <c r="W146" s="17">
        <v>18</v>
      </c>
      <c r="X146" s="36">
        <f>IFERROR(W146/$AD146,0)</f>
        <v>5.1428571428571428E-2</v>
      </c>
      <c r="Y146" s="17">
        <v>75</v>
      </c>
      <c r="Z146" s="36">
        <f>IFERROR(Y146/$AC146,0)</f>
        <v>3.1459731543624164E-2</v>
      </c>
      <c r="AA146" s="17">
        <v>8</v>
      </c>
      <c r="AB146" s="36">
        <f>IFERROR(AA146/$AD146,0)</f>
        <v>2.2857142857142857E-2</v>
      </c>
      <c r="AC146" s="16">
        <v>2384</v>
      </c>
      <c r="AD146" s="17">
        <v>350</v>
      </c>
    </row>
    <row r="147" spans="1:30" ht="15.75" customHeight="1" x14ac:dyDescent="0.25">
      <c r="A147" s="37">
        <v>2023</v>
      </c>
      <c r="B147" s="35">
        <v>170105</v>
      </c>
      <c r="C147" s="33" t="str">
        <f>VLOOKUP(B147,procv!$A$2:$D$142,4,FALSE)</f>
        <v>Bico do Papagaio</v>
      </c>
      <c r="D147" s="33" t="s">
        <v>11</v>
      </c>
      <c r="E147" s="17">
        <v>17</v>
      </c>
      <c r="F147" s="36">
        <f>IFERROR(E147/$AC147,0)</f>
        <v>1.927437641723356E-2</v>
      </c>
      <c r="G147" s="17">
        <v>2</v>
      </c>
      <c r="H147" s="36">
        <f>IFERROR(G147/$AD147,0)</f>
        <v>2.4096385542168676E-2</v>
      </c>
      <c r="I147" s="17">
        <v>319</v>
      </c>
      <c r="J147" s="36">
        <f>IFERROR(I147/$AC147,0)</f>
        <v>0.36167800453514737</v>
      </c>
      <c r="K147" s="17">
        <v>30</v>
      </c>
      <c r="L147" s="36">
        <f>IFERROR(K147/$AD147,0)</f>
        <v>0.36144578313253012</v>
      </c>
      <c r="M147" s="17">
        <v>332</v>
      </c>
      <c r="N147" s="36">
        <f>IFERROR(M147/$AC147,0)</f>
        <v>0.37641723356009071</v>
      </c>
      <c r="O147" s="17">
        <v>31</v>
      </c>
      <c r="P147" s="36">
        <f>IFERROR(O147/$AD147,0)</f>
        <v>0.37349397590361444</v>
      </c>
      <c r="Q147" s="17">
        <v>156</v>
      </c>
      <c r="R147" s="36">
        <f>IFERROR(Q147/$AC147,0)</f>
        <v>0.17687074829931973</v>
      </c>
      <c r="S147" s="17">
        <v>17</v>
      </c>
      <c r="T147" s="36">
        <f>IFERROR(S147/$AD147,0)</f>
        <v>0.20481927710843373</v>
      </c>
      <c r="U147" s="17">
        <v>44</v>
      </c>
      <c r="V147" s="36">
        <f>IFERROR(U147/$AC147,0)</f>
        <v>4.9886621315192746E-2</v>
      </c>
      <c r="W147" s="17">
        <v>3</v>
      </c>
      <c r="X147" s="36">
        <f>IFERROR(W147/$AD147,0)</f>
        <v>3.614457831325301E-2</v>
      </c>
      <c r="Y147" s="17">
        <v>14</v>
      </c>
      <c r="Z147" s="36">
        <f>IFERROR(Y147/$AC147,0)</f>
        <v>1.5873015873015872E-2</v>
      </c>
      <c r="AA147" s="17">
        <v>0</v>
      </c>
      <c r="AB147" s="36">
        <f>IFERROR(AA147/$AD147,0)</f>
        <v>0</v>
      </c>
      <c r="AC147" s="17">
        <v>882</v>
      </c>
      <c r="AD147" s="17">
        <v>83</v>
      </c>
    </row>
    <row r="148" spans="1:30" ht="15.75" customHeight="1" x14ac:dyDescent="0.25">
      <c r="A148" s="37">
        <v>2023</v>
      </c>
      <c r="B148" s="35">
        <v>170110</v>
      </c>
      <c r="C148" s="33" t="str">
        <f>VLOOKUP(B148,procv!$A$2:$D$142,4,FALSE)</f>
        <v>Capim Dourado</v>
      </c>
      <c r="D148" s="33" t="s">
        <v>12</v>
      </c>
      <c r="E148" s="17">
        <v>32</v>
      </c>
      <c r="F148" s="36">
        <f>IFERROR(E148/$AC148,0)</f>
        <v>2.1206096752816435E-2</v>
      </c>
      <c r="G148" s="17">
        <v>4</v>
      </c>
      <c r="H148" s="36">
        <f>IFERROR(G148/$AD148,0)</f>
        <v>3.7383177570093455E-2</v>
      </c>
      <c r="I148" s="17">
        <v>492</v>
      </c>
      <c r="J148" s="36">
        <f>IFERROR(I148/$AC148,0)</f>
        <v>0.32604373757455268</v>
      </c>
      <c r="K148" s="17">
        <v>41</v>
      </c>
      <c r="L148" s="36">
        <f>IFERROR(K148/$AD148,0)</f>
        <v>0.38317757009345793</v>
      </c>
      <c r="M148" s="17">
        <v>518</v>
      </c>
      <c r="N148" s="36">
        <f>IFERROR(M148/$AC148,0)</f>
        <v>0.34327369118621603</v>
      </c>
      <c r="O148" s="17">
        <v>35</v>
      </c>
      <c r="P148" s="36">
        <f>IFERROR(O148/$AD148,0)</f>
        <v>0.32710280373831774</v>
      </c>
      <c r="Q148" s="17">
        <v>298</v>
      </c>
      <c r="R148" s="36">
        <f>IFERROR(Q148/$AC148,0)</f>
        <v>0.19748177601060304</v>
      </c>
      <c r="S148" s="17">
        <v>20</v>
      </c>
      <c r="T148" s="36">
        <f>IFERROR(S148/$AD148,0)</f>
        <v>0.18691588785046728</v>
      </c>
      <c r="U148" s="17">
        <v>117</v>
      </c>
      <c r="V148" s="36">
        <f>IFERROR(U148/$AC148,0)</f>
        <v>7.7534791252485094E-2</v>
      </c>
      <c r="W148" s="17">
        <v>6</v>
      </c>
      <c r="X148" s="36">
        <f>IFERROR(W148/$AD148,0)</f>
        <v>5.6074766355140186E-2</v>
      </c>
      <c r="Y148" s="17">
        <v>52</v>
      </c>
      <c r="Z148" s="36">
        <f>IFERROR(Y148/$AC148,0)</f>
        <v>3.4459907223326709E-2</v>
      </c>
      <c r="AA148" s="17">
        <v>1</v>
      </c>
      <c r="AB148" s="36">
        <f>IFERROR(AA148/$AD148,0)</f>
        <v>9.3457943925233638E-3</v>
      </c>
      <c r="AC148" s="16">
        <v>1509</v>
      </c>
      <c r="AD148" s="17">
        <v>107</v>
      </c>
    </row>
    <row r="149" spans="1:30" ht="15.75" customHeight="1" x14ac:dyDescent="0.25">
      <c r="A149" s="37">
        <v>2023</v>
      </c>
      <c r="B149" s="35">
        <v>170130</v>
      </c>
      <c r="C149" s="33" t="str">
        <f>VLOOKUP(B149,procv!$A$2:$D$142,4,FALSE)</f>
        <v>Médio Norte Araguaia</v>
      </c>
      <c r="D149" s="33" t="s">
        <v>13</v>
      </c>
      <c r="E149" s="17">
        <v>30</v>
      </c>
      <c r="F149" s="36">
        <f>IFERROR(E149/$AC149,0)</f>
        <v>1.8281535648994516E-2</v>
      </c>
      <c r="G149" s="17">
        <v>2</v>
      </c>
      <c r="H149" s="36">
        <f>IFERROR(G149/$AD149,0)</f>
        <v>1.2345679012345678E-2</v>
      </c>
      <c r="I149" s="17">
        <v>586</v>
      </c>
      <c r="J149" s="36">
        <f>IFERROR(I149/$AC149,0)</f>
        <v>0.35709932967702618</v>
      </c>
      <c r="K149" s="17">
        <v>82</v>
      </c>
      <c r="L149" s="36">
        <f>IFERROR(K149/$AD149,0)</f>
        <v>0.50617283950617287</v>
      </c>
      <c r="M149" s="17">
        <v>539</v>
      </c>
      <c r="N149" s="36">
        <f>IFERROR(M149/$AC149,0)</f>
        <v>0.32845825716026811</v>
      </c>
      <c r="O149" s="17">
        <v>35</v>
      </c>
      <c r="P149" s="36">
        <f>IFERROR(O149/$AD149,0)</f>
        <v>0.21604938271604937</v>
      </c>
      <c r="Q149" s="17">
        <v>325</v>
      </c>
      <c r="R149" s="36">
        <f>IFERROR(Q149/$AC149,0)</f>
        <v>0.19804996953077392</v>
      </c>
      <c r="S149" s="17">
        <v>23</v>
      </c>
      <c r="T149" s="36">
        <f>IFERROR(S149/$AD149,0)</f>
        <v>0.1419753086419753</v>
      </c>
      <c r="U149" s="17">
        <v>110</v>
      </c>
      <c r="V149" s="36">
        <f>IFERROR(U149/$AC149,0)</f>
        <v>6.7032297379646555E-2</v>
      </c>
      <c r="W149" s="17">
        <v>13</v>
      </c>
      <c r="X149" s="36">
        <f>IFERROR(W149/$AD149,0)</f>
        <v>8.0246913580246909E-2</v>
      </c>
      <c r="Y149" s="17">
        <v>51</v>
      </c>
      <c r="Z149" s="36">
        <f>IFERROR(Y149/$AC149,0)</f>
        <v>3.1078610603290677E-2</v>
      </c>
      <c r="AA149" s="17">
        <v>7</v>
      </c>
      <c r="AB149" s="36">
        <f>IFERROR(AA149/$AD149,0)</f>
        <v>4.3209876543209874E-2</v>
      </c>
      <c r="AC149" s="16">
        <v>1641</v>
      </c>
      <c r="AD149" s="17">
        <v>162</v>
      </c>
    </row>
    <row r="150" spans="1:30" ht="15.75" customHeight="1" x14ac:dyDescent="0.25">
      <c r="A150" s="37">
        <v>2023</v>
      </c>
      <c r="B150" s="35">
        <v>170190</v>
      </c>
      <c r="C150" s="33" t="str">
        <f>VLOOKUP(B150,procv!$A$2:$D$142,4,FALSE)</f>
        <v>Cantão</v>
      </c>
      <c r="D150" s="33" t="s">
        <v>14</v>
      </c>
      <c r="E150" s="17">
        <v>36</v>
      </c>
      <c r="F150" s="36">
        <f>IFERROR(E150/$AC150,0)</f>
        <v>1.9230769230769232E-2</v>
      </c>
      <c r="G150" s="17">
        <v>7</v>
      </c>
      <c r="H150" s="36">
        <f>IFERROR(G150/$AD150,0)</f>
        <v>3.608247422680412E-2</v>
      </c>
      <c r="I150" s="17">
        <v>576</v>
      </c>
      <c r="J150" s="36">
        <f>IFERROR(I150/$AC150,0)</f>
        <v>0.30769230769230771</v>
      </c>
      <c r="K150" s="17">
        <v>54</v>
      </c>
      <c r="L150" s="36">
        <f>IFERROR(K150/$AD150,0)</f>
        <v>0.27835051546391754</v>
      </c>
      <c r="M150" s="17">
        <v>720</v>
      </c>
      <c r="N150" s="36">
        <f>IFERROR(M150/$AC150,0)</f>
        <v>0.38461538461538464</v>
      </c>
      <c r="O150" s="17">
        <v>74</v>
      </c>
      <c r="P150" s="36">
        <f>IFERROR(O150/$AD150,0)</f>
        <v>0.38144329896907214</v>
      </c>
      <c r="Q150" s="17">
        <v>330</v>
      </c>
      <c r="R150" s="36">
        <f>IFERROR(Q150/$AC150,0)</f>
        <v>0.17628205128205129</v>
      </c>
      <c r="S150" s="17">
        <v>41</v>
      </c>
      <c r="T150" s="36">
        <f>IFERROR(S150/$AD150,0)</f>
        <v>0.21134020618556701</v>
      </c>
      <c r="U150" s="17">
        <v>144</v>
      </c>
      <c r="V150" s="36">
        <f>IFERROR(U150/$AC150,0)</f>
        <v>7.6923076923076927E-2</v>
      </c>
      <c r="W150" s="17">
        <v>13</v>
      </c>
      <c r="X150" s="36">
        <f>IFERROR(W150/$AD150,0)</f>
        <v>6.7010309278350513E-2</v>
      </c>
      <c r="Y150" s="17">
        <v>66</v>
      </c>
      <c r="Z150" s="36">
        <f>IFERROR(Y150/$AC150,0)</f>
        <v>3.5256410256410256E-2</v>
      </c>
      <c r="AA150" s="17">
        <v>5</v>
      </c>
      <c r="AB150" s="36">
        <f>IFERROR(AA150/$AD150,0)</f>
        <v>2.5773195876288658E-2</v>
      </c>
      <c r="AC150" s="16">
        <v>1872</v>
      </c>
      <c r="AD150" s="17">
        <v>194</v>
      </c>
    </row>
    <row r="151" spans="1:30" ht="15.75" customHeight="1" x14ac:dyDescent="0.25">
      <c r="A151" s="37">
        <v>2023</v>
      </c>
      <c r="B151" s="35">
        <v>170200</v>
      </c>
      <c r="C151" s="33" t="str">
        <f>VLOOKUP(B151,procv!$A$2:$D$142,4,FALSE)</f>
        <v>Ilha do Bananal</v>
      </c>
      <c r="D151" s="33" t="s">
        <v>15</v>
      </c>
      <c r="E151" s="17">
        <v>66</v>
      </c>
      <c r="F151" s="36">
        <f>IFERROR(E151/$AC151,0)</f>
        <v>2.6993865030674847E-2</v>
      </c>
      <c r="G151" s="17">
        <v>5</v>
      </c>
      <c r="H151" s="36">
        <f>IFERROR(G151/$AD151,0)</f>
        <v>2.8571428571428571E-2</v>
      </c>
      <c r="I151" s="17">
        <v>730</v>
      </c>
      <c r="J151" s="36">
        <f>IFERROR(I151/$AC151,0)</f>
        <v>0.29856850715746419</v>
      </c>
      <c r="K151" s="17">
        <v>54</v>
      </c>
      <c r="L151" s="36">
        <f>IFERROR(K151/$AD151,0)</f>
        <v>0.30857142857142855</v>
      </c>
      <c r="M151" s="17">
        <v>867</v>
      </c>
      <c r="N151" s="36">
        <f>IFERROR(M151/$AC151,0)</f>
        <v>0.35460122699386504</v>
      </c>
      <c r="O151" s="17">
        <v>52</v>
      </c>
      <c r="P151" s="36">
        <f>IFERROR(O151/$AD151,0)</f>
        <v>0.29714285714285715</v>
      </c>
      <c r="Q151" s="17">
        <v>474</v>
      </c>
      <c r="R151" s="36">
        <f>IFERROR(Q151/$AC151,0)</f>
        <v>0.19386503067484662</v>
      </c>
      <c r="S151" s="17">
        <v>39</v>
      </c>
      <c r="T151" s="36">
        <f>IFERROR(S151/$AD151,0)</f>
        <v>0.22285714285714286</v>
      </c>
      <c r="U151" s="17">
        <v>198</v>
      </c>
      <c r="V151" s="36">
        <f>IFERROR(U151/$AC151,0)</f>
        <v>8.0981595092024544E-2</v>
      </c>
      <c r="W151" s="17">
        <v>14</v>
      </c>
      <c r="X151" s="36">
        <f>IFERROR(W151/$AD151,0)</f>
        <v>0.08</v>
      </c>
      <c r="Y151" s="17">
        <v>110</v>
      </c>
      <c r="Z151" s="36">
        <f>IFERROR(Y151/$AC151,0)</f>
        <v>4.4989775051124746E-2</v>
      </c>
      <c r="AA151" s="17">
        <v>11</v>
      </c>
      <c r="AB151" s="36">
        <f>IFERROR(AA151/$AD151,0)</f>
        <v>6.2857142857142861E-2</v>
      </c>
      <c r="AC151" s="16">
        <v>2445</v>
      </c>
      <c r="AD151" s="17">
        <v>175</v>
      </c>
    </row>
    <row r="152" spans="1:30" ht="15.75" customHeight="1" x14ac:dyDescent="0.25">
      <c r="A152" s="37">
        <v>2023</v>
      </c>
      <c r="B152" s="35">
        <v>170210</v>
      </c>
      <c r="C152" s="33" t="str">
        <f>VLOOKUP(B152,procv!$A$2:$D$142,4,FALSE)</f>
        <v>Médio Norte Araguaia</v>
      </c>
      <c r="D152" s="33" t="s">
        <v>16</v>
      </c>
      <c r="E152" s="17">
        <v>793</v>
      </c>
      <c r="F152" s="36">
        <f>IFERROR(E152/$AC152,0)</f>
        <v>2.2920400023122723E-2</v>
      </c>
      <c r="G152" s="17">
        <v>89</v>
      </c>
      <c r="H152" s="36">
        <f>IFERROR(G152/$AD152,0)</f>
        <v>1.5644225698716822E-2</v>
      </c>
      <c r="I152" s="16">
        <v>11926</v>
      </c>
      <c r="J152" s="36">
        <f>IFERROR(I152/$AC152,0)</f>
        <v>0.34470200589629457</v>
      </c>
      <c r="K152" s="16">
        <v>2756</v>
      </c>
      <c r="L152" s="36">
        <f>IFERROR(K152/$AD152,0)</f>
        <v>0.48444366320970295</v>
      </c>
      <c r="M152" s="16">
        <v>11745</v>
      </c>
      <c r="N152" s="36">
        <f>IFERROR(M152/$AC152,0)</f>
        <v>0.33947048962367765</v>
      </c>
      <c r="O152" s="16">
        <v>1463</v>
      </c>
      <c r="P152" s="36">
        <f>IFERROR(O152/$AD152,0)</f>
        <v>0.2571629460362102</v>
      </c>
      <c r="Q152" s="16">
        <v>6782</v>
      </c>
      <c r="R152" s="36">
        <f>IFERROR(Q152/$AC152,0)</f>
        <v>0.19602289149661831</v>
      </c>
      <c r="S152" s="16">
        <v>1029</v>
      </c>
      <c r="T152" s="36">
        <f>IFERROR(S152/$AD152,0)</f>
        <v>0.18087537352786079</v>
      </c>
      <c r="U152" s="16">
        <v>2247</v>
      </c>
      <c r="V152" s="36">
        <f>IFERROR(U152/$AC152,0)</f>
        <v>6.494595063298457E-2</v>
      </c>
      <c r="W152" s="17">
        <v>226</v>
      </c>
      <c r="X152" s="36">
        <f>IFERROR(W152/$AD152,0)</f>
        <v>3.9725786605730354E-2</v>
      </c>
      <c r="Y152" s="16">
        <v>1105</v>
      </c>
      <c r="Z152" s="36">
        <f>IFERROR(Y152/$AC152,0)</f>
        <v>3.193826232730216E-2</v>
      </c>
      <c r="AA152" s="17">
        <v>126</v>
      </c>
      <c r="AB152" s="36">
        <f>IFERROR(AA152/$AD152,0)</f>
        <v>2.2148004921778871E-2</v>
      </c>
      <c r="AC152" s="16">
        <v>34598</v>
      </c>
      <c r="AD152" s="16">
        <v>5689</v>
      </c>
    </row>
    <row r="153" spans="1:30" ht="15.75" customHeight="1" x14ac:dyDescent="0.25">
      <c r="A153" s="37">
        <v>2023</v>
      </c>
      <c r="B153" s="35">
        <v>170215</v>
      </c>
      <c r="C153" s="33" t="str">
        <f>VLOOKUP(B153,procv!$A$2:$D$142,4,FALSE)</f>
        <v>Médio Norte Araguaia</v>
      </c>
      <c r="D153" s="33" t="s">
        <v>17</v>
      </c>
      <c r="E153" s="17">
        <v>21</v>
      </c>
      <c r="F153" s="36">
        <f>IFERROR(E153/$AC153,0)</f>
        <v>2.3863636363636365E-2</v>
      </c>
      <c r="G153" s="17">
        <v>2</v>
      </c>
      <c r="H153" s="36">
        <f>IFERROR(G153/$AD153,0)</f>
        <v>1.8181818181818181E-2</v>
      </c>
      <c r="I153" s="17">
        <v>261</v>
      </c>
      <c r="J153" s="36">
        <f>IFERROR(I153/$AC153,0)</f>
        <v>0.29659090909090907</v>
      </c>
      <c r="K153" s="17">
        <v>33</v>
      </c>
      <c r="L153" s="36">
        <f>IFERROR(K153/$AD153,0)</f>
        <v>0.3</v>
      </c>
      <c r="M153" s="17">
        <v>285</v>
      </c>
      <c r="N153" s="36">
        <f>IFERROR(M153/$AC153,0)</f>
        <v>0.32386363636363635</v>
      </c>
      <c r="O153" s="17">
        <v>38</v>
      </c>
      <c r="P153" s="36">
        <f>IFERROR(O153/$AD153,0)</f>
        <v>0.34545454545454546</v>
      </c>
      <c r="Q153" s="17">
        <v>191</v>
      </c>
      <c r="R153" s="36">
        <f>IFERROR(Q153/$AC153,0)</f>
        <v>0.21704545454545454</v>
      </c>
      <c r="S153" s="17">
        <v>26</v>
      </c>
      <c r="T153" s="36">
        <f>IFERROR(S153/$AD153,0)</f>
        <v>0.23636363636363636</v>
      </c>
      <c r="U153" s="17">
        <v>81</v>
      </c>
      <c r="V153" s="36">
        <f>IFERROR(U153/$AC153,0)</f>
        <v>9.2045454545454541E-2</v>
      </c>
      <c r="W153" s="17">
        <v>7</v>
      </c>
      <c r="X153" s="36">
        <f>IFERROR(W153/$AD153,0)</f>
        <v>6.363636363636363E-2</v>
      </c>
      <c r="Y153" s="17">
        <v>41</v>
      </c>
      <c r="Z153" s="36">
        <f>IFERROR(Y153/$AC153,0)</f>
        <v>4.6590909090909093E-2</v>
      </c>
      <c r="AA153" s="17">
        <v>4</v>
      </c>
      <c r="AB153" s="36">
        <f>IFERROR(AA153/$AD153,0)</f>
        <v>3.6363636363636362E-2</v>
      </c>
      <c r="AC153" s="17">
        <v>880</v>
      </c>
      <c r="AD153" s="17">
        <v>110</v>
      </c>
    </row>
    <row r="154" spans="1:30" ht="15.75" customHeight="1" x14ac:dyDescent="0.25">
      <c r="A154" s="37">
        <v>2023</v>
      </c>
      <c r="B154" s="35">
        <v>170220</v>
      </c>
      <c r="C154" s="33" t="str">
        <f>VLOOKUP(B154,procv!$A$2:$D$142,4,FALSE)</f>
        <v>Bico do Papagaio</v>
      </c>
      <c r="D154" s="33" t="s">
        <v>18</v>
      </c>
      <c r="E154" s="17">
        <v>265</v>
      </c>
      <c r="F154" s="36">
        <f>IFERROR(E154/$AC154,0)</f>
        <v>3.1041349420171019E-2</v>
      </c>
      <c r="G154" s="17">
        <v>30</v>
      </c>
      <c r="H154" s="36">
        <f>IFERROR(G154/$AD154,0)</f>
        <v>3.3783783783783786E-2</v>
      </c>
      <c r="I154" s="16">
        <v>3422</v>
      </c>
      <c r="J154" s="36">
        <f>IFERROR(I154/$AC154,0)</f>
        <v>0.40084338760688765</v>
      </c>
      <c r="K154" s="17">
        <v>374</v>
      </c>
      <c r="L154" s="36">
        <f>IFERROR(K154/$AD154,0)</f>
        <v>0.42117117117117114</v>
      </c>
      <c r="M154" s="16">
        <v>2945</v>
      </c>
      <c r="N154" s="36">
        <f>IFERROR(M154/$AC154,0)</f>
        <v>0.3449689586505798</v>
      </c>
      <c r="O154" s="17">
        <v>288</v>
      </c>
      <c r="P154" s="36">
        <f>IFERROR(O154/$AD154,0)</f>
        <v>0.32432432432432434</v>
      </c>
      <c r="Q154" s="16">
        <v>1338</v>
      </c>
      <c r="R154" s="36">
        <f>IFERROR(Q154/$AC154,0)</f>
        <v>0.15672953027995784</v>
      </c>
      <c r="S154" s="17">
        <v>129</v>
      </c>
      <c r="T154" s="36">
        <f>IFERROR(S154/$AD154,0)</f>
        <v>0.14527027027027026</v>
      </c>
      <c r="U154" s="17">
        <v>425</v>
      </c>
      <c r="V154" s="36">
        <f>IFERROR(U154/$AC154,0)</f>
        <v>4.9783296239896919E-2</v>
      </c>
      <c r="W154" s="17">
        <v>53</v>
      </c>
      <c r="X154" s="36">
        <f>IFERROR(W154/$AD154,0)</f>
        <v>5.9684684684684686E-2</v>
      </c>
      <c r="Y154" s="17">
        <v>142</v>
      </c>
      <c r="Z154" s="36">
        <f>IFERROR(Y154/$AC154,0)</f>
        <v>1.6633477802506735E-2</v>
      </c>
      <c r="AA154" s="17">
        <v>14</v>
      </c>
      <c r="AB154" s="36">
        <f>IFERROR(AA154/$AD154,0)</f>
        <v>1.5765765765765764E-2</v>
      </c>
      <c r="AC154" s="16">
        <v>8537</v>
      </c>
      <c r="AD154" s="17">
        <v>888</v>
      </c>
    </row>
    <row r="155" spans="1:30" ht="15.75" customHeight="1" x14ac:dyDescent="0.25">
      <c r="A155" s="37">
        <v>2023</v>
      </c>
      <c r="B155" s="35">
        <v>170230</v>
      </c>
      <c r="C155" s="33" t="str">
        <f>VLOOKUP(B155,procv!$A$2:$D$142,4,FALSE)</f>
        <v>Cerrado Tocantins Araguaia</v>
      </c>
      <c r="D155" s="33" t="s">
        <v>19</v>
      </c>
      <c r="E155" s="17">
        <v>9</v>
      </c>
      <c r="F155" s="36">
        <f>IFERROR(E155/$AC155,0)</f>
        <v>1.5050167224080268E-2</v>
      </c>
      <c r="G155" s="17">
        <v>2</v>
      </c>
      <c r="H155" s="36">
        <f>IFERROR(G155/$AD155,0)</f>
        <v>1.6393442622950821E-2</v>
      </c>
      <c r="I155" s="17">
        <v>183</v>
      </c>
      <c r="J155" s="36">
        <f>IFERROR(I155/$AC155,0)</f>
        <v>0.30602006688963213</v>
      </c>
      <c r="K155" s="17">
        <v>54</v>
      </c>
      <c r="L155" s="36">
        <f>IFERROR(K155/$AD155,0)</f>
        <v>0.44262295081967212</v>
      </c>
      <c r="M155" s="17">
        <v>201</v>
      </c>
      <c r="N155" s="36">
        <f>IFERROR(M155/$AC155,0)</f>
        <v>0.33612040133779264</v>
      </c>
      <c r="O155" s="17">
        <v>34</v>
      </c>
      <c r="P155" s="36">
        <f>IFERROR(O155/$AD155,0)</f>
        <v>0.27868852459016391</v>
      </c>
      <c r="Q155" s="17">
        <v>121</v>
      </c>
      <c r="R155" s="36">
        <f>IFERROR(Q155/$AC155,0)</f>
        <v>0.20234113712374582</v>
      </c>
      <c r="S155" s="17">
        <v>21</v>
      </c>
      <c r="T155" s="36">
        <f>IFERROR(S155/$AD155,0)</f>
        <v>0.1721311475409836</v>
      </c>
      <c r="U155" s="17">
        <v>55</v>
      </c>
      <c r="V155" s="36">
        <f>IFERROR(U155/$AC155,0)</f>
        <v>9.1973244147157185E-2</v>
      </c>
      <c r="W155" s="17">
        <v>5</v>
      </c>
      <c r="X155" s="36">
        <f>IFERROR(W155/$AD155,0)</f>
        <v>4.0983606557377046E-2</v>
      </c>
      <c r="Y155" s="17">
        <v>29</v>
      </c>
      <c r="Z155" s="36">
        <f>IFERROR(Y155/$AC155,0)</f>
        <v>4.8494983277591976E-2</v>
      </c>
      <c r="AA155" s="17">
        <v>6</v>
      </c>
      <c r="AB155" s="36">
        <f>IFERROR(AA155/$AD155,0)</f>
        <v>4.9180327868852458E-2</v>
      </c>
      <c r="AC155" s="17">
        <v>598</v>
      </c>
      <c r="AD155" s="17">
        <v>122</v>
      </c>
    </row>
    <row r="156" spans="1:30" ht="15.75" customHeight="1" x14ac:dyDescent="0.25">
      <c r="A156" s="37">
        <v>2023</v>
      </c>
      <c r="B156" s="35">
        <v>170240</v>
      </c>
      <c r="C156" s="33" t="str">
        <f>VLOOKUP(B156,procv!$A$2:$D$142,4,FALSE)</f>
        <v>Sudeste</v>
      </c>
      <c r="D156" s="33" t="s">
        <v>20</v>
      </c>
      <c r="E156" s="17">
        <v>58</v>
      </c>
      <c r="F156" s="36">
        <f>IFERROR(E156/$AC156,0)</f>
        <v>2.6926648096564532E-2</v>
      </c>
      <c r="G156" s="17">
        <v>2</v>
      </c>
      <c r="H156" s="36">
        <f>IFERROR(G156/$AD156,0)</f>
        <v>2.2988505747126436E-2</v>
      </c>
      <c r="I156" s="17">
        <v>802</v>
      </c>
      <c r="J156" s="36">
        <f>IFERROR(I156/$AC156,0)</f>
        <v>0.372330547818013</v>
      </c>
      <c r="K156" s="17">
        <v>33</v>
      </c>
      <c r="L156" s="36">
        <f>IFERROR(K156/$AD156,0)</f>
        <v>0.37931034482758619</v>
      </c>
      <c r="M156" s="17">
        <v>813</v>
      </c>
      <c r="N156" s="36">
        <f>IFERROR(M156/$AC156,0)</f>
        <v>0.3774373259052925</v>
      </c>
      <c r="O156" s="17">
        <v>32</v>
      </c>
      <c r="P156" s="36">
        <f>IFERROR(O156/$AD156,0)</f>
        <v>0.36781609195402298</v>
      </c>
      <c r="Q156" s="17">
        <v>332</v>
      </c>
      <c r="R156" s="36">
        <f>IFERROR(Q156/$AC156,0)</f>
        <v>0.1541318477251625</v>
      </c>
      <c r="S156" s="17">
        <v>11</v>
      </c>
      <c r="T156" s="36">
        <f>IFERROR(S156/$AD156,0)</f>
        <v>0.12643678160919541</v>
      </c>
      <c r="U156" s="17">
        <v>102</v>
      </c>
      <c r="V156" s="36">
        <f>IFERROR(U156/$AC156,0)</f>
        <v>4.7353760445682451E-2</v>
      </c>
      <c r="W156" s="17">
        <v>6</v>
      </c>
      <c r="X156" s="36">
        <f>IFERROR(W156/$AD156,0)</f>
        <v>6.8965517241379309E-2</v>
      </c>
      <c r="Y156" s="17">
        <v>47</v>
      </c>
      <c r="Z156" s="36">
        <f>IFERROR(Y156/$AC156,0)</f>
        <v>2.181987000928505E-2</v>
      </c>
      <c r="AA156" s="17">
        <v>3</v>
      </c>
      <c r="AB156" s="36">
        <f>IFERROR(AA156/$AD156,0)</f>
        <v>3.4482758620689655E-2</v>
      </c>
      <c r="AC156" s="16">
        <v>2154</v>
      </c>
      <c r="AD156" s="17">
        <v>87</v>
      </c>
    </row>
    <row r="157" spans="1:30" ht="15.75" customHeight="1" x14ac:dyDescent="0.25">
      <c r="A157" s="37">
        <v>2023</v>
      </c>
      <c r="B157" s="35">
        <v>170255</v>
      </c>
      <c r="C157" s="33" t="str">
        <f>VLOOKUP(B157,procv!$A$2:$D$142,4,FALSE)</f>
        <v>Bico do Papagaio</v>
      </c>
      <c r="D157" s="33" t="s">
        <v>21</v>
      </c>
      <c r="E157" s="17">
        <v>116</v>
      </c>
      <c r="F157" s="36">
        <f>IFERROR(E157/$AC157,0)</f>
        <v>2.7274864801316717E-2</v>
      </c>
      <c r="G157" s="17">
        <v>15</v>
      </c>
      <c r="H157" s="36">
        <f>IFERROR(G157/$AD157,0)</f>
        <v>5.0505050505050504E-2</v>
      </c>
      <c r="I157" s="16">
        <v>1469</v>
      </c>
      <c r="J157" s="36">
        <f>IFERROR(I157/$AC157,0)</f>
        <v>0.34540324476839879</v>
      </c>
      <c r="K157" s="17">
        <v>101</v>
      </c>
      <c r="L157" s="36">
        <f>IFERROR(K157/$AD157,0)</f>
        <v>0.34006734006734007</v>
      </c>
      <c r="M157" s="16">
        <v>1567</v>
      </c>
      <c r="N157" s="36">
        <f>IFERROR(M157/$AC157,0)</f>
        <v>0.36844580296261464</v>
      </c>
      <c r="O157" s="17">
        <v>105</v>
      </c>
      <c r="P157" s="36">
        <f>IFERROR(O157/$AD157,0)</f>
        <v>0.35353535353535354</v>
      </c>
      <c r="Q157" s="17">
        <v>724</v>
      </c>
      <c r="R157" s="36">
        <f>IFERROR(Q157/$AC157,0)</f>
        <v>0.17023277686339056</v>
      </c>
      <c r="S157" s="17">
        <v>48</v>
      </c>
      <c r="T157" s="36">
        <f>IFERROR(S157/$AD157,0)</f>
        <v>0.16161616161616163</v>
      </c>
      <c r="U157" s="17">
        <v>281</v>
      </c>
      <c r="V157" s="36">
        <f>IFERROR(U157/$AC157,0)</f>
        <v>6.6071008699741363E-2</v>
      </c>
      <c r="W157" s="17">
        <v>22</v>
      </c>
      <c r="X157" s="36">
        <f>IFERROR(W157/$AD157,0)</f>
        <v>7.407407407407407E-2</v>
      </c>
      <c r="Y157" s="17">
        <v>96</v>
      </c>
      <c r="Z157" s="36">
        <f>IFERROR(Y157/$AC157,0)</f>
        <v>2.2572301904537972E-2</v>
      </c>
      <c r="AA157" s="17">
        <v>6</v>
      </c>
      <c r="AB157" s="36">
        <f>IFERROR(AA157/$AD157,0)</f>
        <v>2.0202020202020204E-2</v>
      </c>
      <c r="AC157" s="16">
        <v>4253</v>
      </c>
      <c r="AD157" s="17">
        <v>297</v>
      </c>
    </row>
    <row r="158" spans="1:30" ht="15.75" customHeight="1" x14ac:dyDescent="0.25">
      <c r="A158" s="37">
        <v>2023</v>
      </c>
      <c r="B158" s="35">
        <v>170270</v>
      </c>
      <c r="C158" s="33" t="str">
        <f>VLOOKUP(B158,procv!$A$2:$D$142,4,FALSE)</f>
        <v>Sudeste</v>
      </c>
      <c r="D158" s="33" t="s">
        <v>22</v>
      </c>
      <c r="E158" s="17">
        <v>35</v>
      </c>
      <c r="F158" s="36">
        <f>IFERROR(E158/$AC158,0)</f>
        <v>2.8022417934347479E-2</v>
      </c>
      <c r="G158" s="17">
        <v>4</v>
      </c>
      <c r="H158" s="36">
        <f>IFERROR(G158/$AD158,0)</f>
        <v>3.125E-2</v>
      </c>
      <c r="I158" s="17">
        <v>490</v>
      </c>
      <c r="J158" s="36">
        <f>IFERROR(I158/$AC158,0)</f>
        <v>0.3923138510808647</v>
      </c>
      <c r="K158" s="17">
        <v>53</v>
      </c>
      <c r="L158" s="36">
        <f>IFERROR(K158/$AD158,0)</f>
        <v>0.4140625</v>
      </c>
      <c r="M158" s="17">
        <v>435</v>
      </c>
      <c r="N158" s="36">
        <f>IFERROR(M158/$AC158,0)</f>
        <v>0.34827862289831868</v>
      </c>
      <c r="O158" s="17">
        <v>43</v>
      </c>
      <c r="P158" s="36">
        <f>IFERROR(O158/$AD158,0)</f>
        <v>0.3359375</v>
      </c>
      <c r="Q158" s="17">
        <v>205</v>
      </c>
      <c r="R158" s="36">
        <f>IFERROR(Q158/$AC158,0)</f>
        <v>0.16413130504403523</v>
      </c>
      <c r="S158" s="17">
        <v>15</v>
      </c>
      <c r="T158" s="36">
        <f>IFERROR(S158/$AD158,0)</f>
        <v>0.1171875</v>
      </c>
      <c r="U158" s="17">
        <v>63</v>
      </c>
      <c r="V158" s="36">
        <f>IFERROR(U158/$AC158,0)</f>
        <v>5.044035228182546E-2</v>
      </c>
      <c r="W158" s="17">
        <v>10</v>
      </c>
      <c r="X158" s="36">
        <f>IFERROR(W158/$AD158,0)</f>
        <v>7.8125E-2</v>
      </c>
      <c r="Y158" s="17">
        <v>21</v>
      </c>
      <c r="Z158" s="36">
        <f>IFERROR(Y158/$AC158,0)</f>
        <v>1.6813450760608487E-2</v>
      </c>
      <c r="AA158" s="17">
        <v>3</v>
      </c>
      <c r="AB158" s="36">
        <f>IFERROR(AA158/$AD158,0)</f>
        <v>2.34375E-2</v>
      </c>
      <c r="AC158" s="16">
        <v>1249</v>
      </c>
      <c r="AD158" s="17">
        <v>128</v>
      </c>
    </row>
    <row r="159" spans="1:30" ht="15.75" customHeight="1" x14ac:dyDescent="0.25">
      <c r="A159" s="37">
        <v>2023</v>
      </c>
      <c r="B159" s="35">
        <v>170290</v>
      </c>
      <c r="C159" s="33" t="str">
        <f>VLOOKUP(B159,procv!$A$2:$D$142,4,FALSE)</f>
        <v>Bico do Papagaio</v>
      </c>
      <c r="D159" s="33" t="s">
        <v>23</v>
      </c>
      <c r="E159" s="17">
        <v>44</v>
      </c>
      <c r="F159" s="36">
        <f>IFERROR(E159/$AC159,0)</f>
        <v>3.7130801687763712E-2</v>
      </c>
      <c r="G159" s="17">
        <v>27</v>
      </c>
      <c r="H159" s="36">
        <f>IFERROR(G159/$AD159,0)</f>
        <v>4.8128342245989303E-2</v>
      </c>
      <c r="I159" s="17">
        <v>425</v>
      </c>
      <c r="J159" s="36">
        <f>IFERROR(I159/$AC159,0)</f>
        <v>0.35864978902953587</v>
      </c>
      <c r="K159" s="17">
        <v>226</v>
      </c>
      <c r="L159" s="36">
        <f>IFERROR(K159/$AD159,0)</f>
        <v>0.40285204991087342</v>
      </c>
      <c r="M159" s="17">
        <v>407</v>
      </c>
      <c r="N159" s="36">
        <f>IFERROR(M159/$AC159,0)</f>
        <v>0.34345991561181433</v>
      </c>
      <c r="O159" s="17">
        <v>181</v>
      </c>
      <c r="P159" s="36">
        <f>IFERROR(O159/$AD159,0)</f>
        <v>0.32263814616755793</v>
      </c>
      <c r="Q159" s="17">
        <v>206</v>
      </c>
      <c r="R159" s="36">
        <f>IFERROR(Q159/$AC159,0)</f>
        <v>0.17383966244725738</v>
      </c>
      <c r="S159" s="17">
        <v>95</v>
      </c>
      <c r="T159" s="36">
        <f>IFERROR(S159/$AD159,0)</f>
        <v>0.16934046345811052</v>
      </c>
      <c r="U159" s="17">
        <v>75</v>
      </c>
      <c r="V159" s="36">
        <f>IFERROR(U159/$AC159,0)</f>
        <v>6.3291139240506333E-2</v>
      </c>
      <c r="W159" s="17">
        <v>25</v>
      </c>
      <c r="X159" s="36">
        <f>IFERROR(W159/$AD159,0)</f>
        <v>4.4563279857397504E-2</v>
      </c>
      <c r="Y159" s="17">
        <v>28</v>
      </c>
      <c r="Z159" s="36">
        <f>IFERROR(Y159/$AC159,0)</f>
        <v>2.3628691983122362E-2</v>
      </c>
      <c r="AA159" s="17">
        <v>7</v>
      </c>
      <c r="AB159" s="36">
        <f>IFERROR(AA159/$AD159,0)</f>
        <v>1.2477718360071301E-2</v>
      </c>
      <c r="AC159" s="16">
        <v>1185</v>
      </c>
      <c r="AD159" s="17">
        <v>561</v>
      </c>
    </row>
    <row r="160" spans="1:30" ht="15.75" customHeight="1" x14ac:dyDescent="0.25">
      <c r="A160" s="37">
        <v>2023</v>
      </c>
      <c r="B160" s="35">
        <v>170300</v>
      </c>
      <c r="C160" s="33" t="str">
        <f>VLOOKUP(B160,procv!$A$2:$D$142,4,FALSE)</f>
        <v>Médio Norte Araguaia</v>
      </c>
      <c r="D160" s="33" t="s">
        <v>24</v>
      </c>
      <c r="E160" s="17">
        <v>33</v>
      </c>
      <c r="F160" s="36">
        <f>IFERROR(E160/$AC160,0)</f>
        <v>1.6097560975609757E-2</v>
      </c>
      <c r="G160" s="17">
        <v>7</v>
      </c>
      <c r="H160" s="36">
        <f>IFERROR(G160/$AD160,0)</f>
        <v>3.0837004405286344E-2</v>
      </c>
      <c r="I160" s="17">
        <v>660</v>
      </c>
      <c r="J160" s="36">
        <f>IFERROR(I160/$AC160,0)</f>
        <v>0.32195121951219513</v>
      </c>
      <c r="K160" s="17">
        <v>91</v>
      </c>
      <c r="L160" s="36">
        <f>IFERROR(K160/$AD160,0)</f>
        <v>0.40088105726872247</v>
      </c>
      <c r="M160" s="17">
        <v>761</v>
      </c>
      <c r="N160" s="36">
        <f>IFERROR(M160/$AC160,0)</f>
        <v>0.37121951219512195</v>
      </c>
      <c r="O160" s="17">
        <v>80</v>
      </c>
      <c r="P160" s="36">
        <f>IFERROR(O160/$AD160,0)</f>
        <v>0.3524229074889868</v>
      </c>
      <c r="Q160" s="17">
        <v>394</v>
      </c>
      <c r="R160" s="36">
        <f>IFERROR(Q160/$AC160,0)</f>
        <v>0.19219512195121952</v>
      </c>
      <c r="S160" s="17">
        <v>33</v>
      </c>
      <c r="T160" s="36">
        <f>IFERROR(S160/$AD160,0)</f>
        <v>0.14537444933920704</v>
      </c>
      <c r="U160" s="17">
        <v>140</v>
      </c>
      <c r="V160" s="36">
        <f>IFERROR(U160/$AC160,0)</f>
        <v>6.8292682926829273E-2</v>
      </c>
      <c r="W160" s="17">
        <v>12</v>
      </c>
      <c r="X160" s="36">
        <f>IFERROR(W160/$AD160,0)</f>
        <v>5.2863436123348019E-2</v>
      </c>
      <c r="Y160" s="17">
        <v>62</v>
      </c>
      <c r="Z160" s="36">
        <f>IFERROR(Y160/$AC160,0)</f>
        <v>3.0243902439024389E-2</v>
      </c>
      <c r="AA160" s="17">
        <v>4</v>
      </c>
      <c r="AB160" s="36">
        <f>IFERROR(AA160/$AD160,0)</f>
        <v>1.7621145374449341E-2</v>
      </c>
      <c r="AC160" s="16">
        <v>2050</v>
      </c>
      <c r="AD160" s="17">
        <v>227</v>
      </c>
    </row>
    <row r="161" spans="1:30" ht="15.75" customHeight="1" x14ac:dyDescent="0.25">
      <c r="A161" s="37">
        <v>2023</v>
      </c>
      <c r="B161" s="35">
        <v>170305</v>
      </c>
      <c r="C161" s="33" t="str">
        <f>VLOOKUP(B161,procv!$A$2:$D$142,4,FALSE)</f>
        <v>Cerrado Tocantins Araguaia</v>
      </c>
      <c r="D161" s="33" t="s">
        <v>25</v>
      </c>
      <c r="E161" s="17">
        <v>30</v>
      </c>
      <c r="F161" s="36">
        <f>IFERROR(E161/$AC161,0)</f>
        <v>2.4350649350649352E-2</v>
      </c>
      <c r="G161" s="17">
        <v>0</v>
      </c>
      <c r="H161" s="36">
        <f>IFERROR(G161/$AD161,0)</f>
        <v>0</v>
      </c>
      <c r="I161" s="17">
        <v>431</v>
      </c>
      <c r="J161" s="36">
        <f>IFERROR(I161/$AC161,0)</f>
        <v>0.34983766233766234</v>
      </c>
      <c r="K161" s="17">
        <v>32</v>
      </c>
      <c r="L161" s="36">
        <f>IFERROR(K161/$AD161,0)</f>
        <v>0.35555555555555557</v>
      </c>
      <c r="M161" s="17">
        <v>405</v>
      </c>
      <c r="N161" s="36">
        <f>IFERROR(M161/$AC161,0)</f>
        <v>0.32873376623376621</v>
      </c>
      <c r="O161" s="17">
        <v>32</v>
      </c>
      <c r="P161" s="36">
        <f>IFERROR(O161/$AD161,0)</f>
        <v>0.35555555555555557</v>
      </c>
      <c r="Q161" s="17">
        <v>242</v>
      </c>
      <c r="R161" s="36">
        <f>IFERROR(Q161/$AC161,0)</f>
        <v>0.19642857142857142</v>
      </c>
      <c r="S161" s="17">
        <v>20</v>
      </c>
      <c r="T161" s="36">
        <f>IFERROR(S161/$AD161,0)</f>
        <v>0.22222222222222221</v>
      </c>
      <c r="U161" s="17">
        <v>92</v>
      </c>
      <c r="V161" s="36">
        <f>IFERROR(U161/$AC161,0)</f>
        <v>7.4675324675324672E-2</v>
      </c>
      <c r="W161" s="17">
        <v>5</v>
      </c>
      <c r="X161" s="36">
        <f>IFERROR(W161/$AD161,0)</f>
        <v>5.5555555555555552E-2</v>
      </c>
      <c r="Y161" s="17">
        <v>32</v>
      </c>
      <c r="Z161" s="36">
        <f>IFERROR(Y161/$AC161,0)</f>
        <v>2.5974025974025976E-2</v>
      </c>
      <c r="AA161" s="17">
        <v>1</v>
      </c>
      <c r="AB161" s="36">
        <f>IFERROR(AA161/$AD161,0)</f>
        <v>1.1111111111111112E-2</v>
      </c>
      <c r="AC161" s="16">
        <v>1232</v>
      </c>
      <c r="AD161" s="17">
        <v>90</v>
      </c>
    </row>
    <row r="162" spans="1:30" ht="15.75" customHeight="1" x14ac:dyDescent="0.25">
      <c r="A162" s="37">
        <v>2023</v>
      </c>
      <c r="B162" s="35">
        <v>170307</v>
      </c>
      <c r="C162" s="33" t="str">
        <f>VLOOKUP(B162,procv!$A$2:$D$142,4,FALSE)</f>
        <v>Médio Norte Araguaia</v>
      </c>
      <c r="D162" s="33" t="s">
        <v>26</v>
      </c>
      <c r="E162" s="17">
        <v>34</v>
      </c>
      <c r="F162" s="36">
        <f>IFERROR(E162/$AC162,0)</f>
        <v>2.2092267706302793E-2</v>
      </c>
      <c r="G162" s="17">
        <v>4</v>
      </c>
      <c r="H162" s="36">
        <f>IFERROR(G162/$AD162,0)</f>
        <v>2.3952095808383235E-2</v>
      </c>
      <c r="I162" s="17">
        <v>556</v>
      </c>
      <c r="J162" s="36">
        <f>IFERROR(I162/$AC162,0)</f>
        <v>0.36127355425601038</v>
      </c>
      <c r="K162" s="17">
        <v>56</v>
      </c>
      <c r="L162" s="36">
        <f>IFERROR(K162/$AD162,0)</f>
        <v>0.33532934131736525</v>
      </c>
      <c r="M162" s="17">
        <v>516</v>
      </c>
      <c r="N162" s="36">
        <f>IFERROR(M162/$AC162,0)</f>
        <v>0.33528265107212474</v>
      </c>
      <c r="O162" s="17">
        <v>65</v>
      </c>
      <c r="P162" s="36">
        <f>IFERROR(O162/$AD162,0)</f>
        <v>0.38922155688622756</v>
      </c>
      <c r="Q162" s="17">
        <v>292</v>
      </c>
      <c r="R162" s="36">
        <f>IFERROR(Q162/$AC162,0)</f>
        <v>0.18973359324236516</v>
      </c>
      <c r="S162" s="17">
        <v>29</v>
      </c>
      <c r="T162" s="36">
        <f>IFERROR(S162/$AD162,0)</f>
        <v>0.17365269461077845</v>
      </c>
      <c r="U162" s="17">
        <v>105</v>
      </c>
      <c r="V162" s="36">
        <f>IFERROR(U162/$AC162,0)</f>
        <v>6.8226120857699801E-2</v>
      </c>
      <c r="W162" s="17">
        <v>12</v>
      </c>
      <c r="X162" s="36">
        <f>IFERROR(W162/$AD162,0)</f>
        <v>7.1856287425149698E-2</v>
      </c>
      <c r="Y162" s="17">
        <v>36</v>
      </c>
      <c r="Z162" s="36">
        <f>IFERROR(Y162/$AC162,0)</f>
        <v>2.3391812865497075E-2</v>
      </c>
      <c r="AA162" s="17">
        <v>1</v>
      </c>
      <c r="AB162" s="36">
        <f>IFERROR(AA162/$AD162,0)</f>
        <v>5.9880239520958087E-3</v>
      </c>
      <c r="AC162" s="16">
        <v>1539</v>
      </c>
      <c r="AD162" s="17">
        <v>167</v>
      </c>
    </row>
    <row r="163" spans="1:30" ht="15.75" customHeight="1" x14ac:dyDescent="0.25">
      <c r="A163" s="37">
        <v>2023</v>
      </c>
      <c r="B163" s="35">
        <v>170310</v>
      </c>
      <c r="C163" s="33" t="str">
        <f>VLOOKUP(B163,procv!$A$2:$D$142,4,FALSE)</f>
        <v>Cantão</v>
      </c>
      <c r="D163" s="33" t="s">
        <v>27</v>
      </c>
      <c r="E163" s="17">
        <v>36</v>
      </c>
      <c r="F163" s="36">
        <f>IFERROR(E163/$AC163,0)</f>
        <v>2.4742268041237112E-2</v>
      </c>
      <c r="G163" s="17">
        <v>1</v>
      </c>
      <c r="H163" s="36">
        <f>IFERROR(G163/$AD163,0)</f>
        <v>1.2658227848101266E-2</v>
      </c>
      <c r="I163" s="17">
        <v>480</v>
      </c>
      <c r="J163" s="36">
        <f>IFERROR(I163/$AC163,0)</f>
        <v>0.32989690721649484</v>
      </c>
      <c r="K163" s="17">
        <v>24</v>
      </c>
      <c r="L163" s="36">
        <f>IFERROR(K163/$AD163,0)</f>
        <v>0.30379746835443039</v>
      </c>
      <c r="M163" s="17">
        <v>514</v>
      </c>
      <c r="N163" s="36">
        <f>IFERROR(M163/$AC163,0)</f>
        <v>0.35326460481099659</v>
      </c>
      <c r="O163" s="17">
        <v>27</v>
      </c>
      <c r="P163" s="36">
        <f>IFERROR(O163/$AD163,0)</f>
        <v>0.34177215189873417</v>
      </c>
      <c r="Q163" s="17">
        <v>301</v>
      </c>
      <c r="R163" s="36">
        <f>IFERROR(Q163/$AC163,0)</f>
        <v>0.20687285223367696</v>
      </c>
      <c r="S163" s="17">
        <v>22</v>
      </c>
      <c r="T163" s="36">
        <f>IFERROR(S163/$AD163,0)</f>
        <v>0.27848101265822783</v>
      </c>
      <c r="U163" s="17">
        <v>83</v>
      </c>
      <c r="V163" s="36">
        <f>IFERROR(U163/$AC163,0)</f>
        <v>5.7044673539518899E-2</v>
      </c>
      <c r="W163" s="17">
        <v>2</v>
      </c>
      <c r="X163" s="36">
        <f>IFERROR(W163/$AD163,0)</f>
        <v>2.5316455696202531E-2</v>
      </c>
      <c r="Y163" s="17">
        <v>41</v>
      </c>
      <c r="Z163" s="36">
        <f>IFERROR(Y163/$AC163,0)</f>
        <v>2.8178694158075602E-2</v>
      </c>
      <c r="AA163" s="17">
        <v>3</v>
      </c>
      <c r="AB163" s="36">
        <f>IFERROR(AA163/$AD163,0)</f>
        <v>3.7974683544303799E-2</v>
      </c>
      <c r="AC163" s="16">
        <v>1455</v>
      </c>
      <c r="AD163" s="17">
        <v>79</v>
      </c>
    </row>
    <row r="164" spans="1:30" ht="15.75" customHeight="1" x14ac:dyDescent="0.25">
      <c r="A164" s="37">
        <v>2023</v>
      </c>
      <c r="B164" s="35">
        <v>170320</v>
      </c>
      <c r="C164" s="33" t="str">
        <f>VLOOKUP(B164,procv!$A$2:$D$142,4,FALSE)</f>
        <v>Cerrado Tocantins Araguaia</v>
      </c>
      <c r="D164" s="33" t="s">
        <v>28</v>
      </c>
      <c r="E164" s="17">
        <v>13</v>
      </c>
      <c r="F164" s="36">
        <f>IFERROR(E164/$AC164,0)</f>
        <v>1.8950437317784258E-2</v>
      </c>
      <c r="G164" s="17">
        <v>2</v>
      </c>
      <c r="H164" s="36">
        <f>IFERROR(G164/$AD164,0)</f>
        <v>3.2786885245901641E-2</v>
      </c>
      <c r="I164" s="17">
        <v>208</v>
      </c>
      <c r="J164" s="36">
        <f>IFERROR(I164/$AC164,0)</f>
        <v>0.30320699708454812</v>
      </c>
      <c r="K164" s="17">
        <v>25</v>
      </c>
      <c r="L164" s="36">
        <f>IFERROR(K164/$AD164,0)</f>
        <v>0.4098360655737705</v>
      </c>
      <c r="M164" s="17">
        <v>246</v>
      </c>
      <c r="N164" s="36">
        <f>IFERROR(M164/$AC164,0)</f>
        <v>0.35860058309037901</v>
      </c>
      <c r="O164" s="17">
        <v>19</v>
      </c>
      <c r="P164" s="36">
        <f>IFERROR(O164/$AD164,0)</f>
        <v>0.31147540983606559</v>
      </c>
      <c r="Q164" s="17">
        <v>134</v>
      </c>
      <c r="R164" s="36">
        <f>IFERROR(Q164/$AC164,0)</f>
        <v>0.19533527696793002</v>
      </c>
      <c r="S164" s="17">
        <v>8</v>
      </c>
      <c r="T164" s="36">
        <f>IFERROR(S164/$AD164,0)</f>
        <v>0.13114754098360656</v>
      </c>
      <c r="U164" s="17">
        <v>48</v>
      </c>
      <c r="V164" s="36">
        <f>IFERROR(U164/$AC164,0)</f>
        <v>6.9970845481049565E-2</v>
      </c>
      <c r="W164" s="17">
        <v>4</v>
      </c>
      <c r="X164" s="36">
        <f>IFERROR(W164/$AD164,0)</f>
        <v>6.5573770491803282E-2</v>
      </c>
      <c r="Y164" s="17">
        <v>37</v>
      </c>
      <c r="Z164" s="36">
        <f>IFERROR(Y164/$AC164,0)</f>
        <v>5.393586005830904E-2</v>
      </c>
      <c r="AA164" s="17">
        <v>3</v>
      </c>
      <c r="AB164" s="36">
        <f>IFERROR(AA164/$AD164,0)</f>
        <v>4.9180327868852458E-2</v>
      </c>
      <c r="AC164" s="17">
        <v>686</v>
      </c>
      <c r="AD164" s="17">
        <v>61</v>
      </c>
    </row>
    <row r="165" spans="1:30" ht="15.75" customHeight="1" x14ac:dyDescent="0.25">
      <c r="A165" s="37">
        <v>2023</v>
      </c>
      <c r="B165" s="35">
        <v>170330</v>
      </c>
      <c r="C165" s="33" t="str">
        <f>VLOOKUP(B165,procv!$A$2:$D$142,4,FALSE)</f>
        <v>Cerrado Tocantins Araguaia</v>
      </c>
      <c r="D165" s="33" t="s">
        <v>29</v>
      </c>
      <c r="E165" s="17">
        <v>12</v>
      </c>
      <c r="F165" s="36">
        <f>IFERROR(E165/$AC165,0)</f>
        <v>2.2813688212927757E-2</v>
      </c>
      <c r="G165" s="17">
        <v>3</v>
      </c>
      <c r="H165" s="36">
        <f>IFERROR(G165/$AD165,0)</f>
        <v>4.6875E-2</v>
      </c>
      <c r="I165" s="17">
        <v>193</v>
      </c>
      <c r="J165" s="36">
        <f>IFERROR(I165/$AC165,0)</f>
        <v>0.36692015209125473</v>
      </c>
      <c r="K165" s="17">
        <v>26</v>
      </c>
      <c r="L165" s="36">
        <f>IFERROR(K165/$AD165,0)</f>
        <v>0.40625</v>
      </c>
      <c r="M165" s="17">
        <v>171</v>
      </c>
      <c r="N165" s="36">
        <f>IFERROR(M165/$AC165,0)</f>
        <v>0.32509505703422054</v>
      </c>
      <c r="O165" s="17">
        <v>19</v>
      </c>
      <c r="P165" s="36">
        <f>IFERROR(O165/$AD165,0)</f>
        <v>0.296875</v>
      </c>
      <c r="Q165" s="17">
        <v>106</v>
      </c>
      <c r="R165" s="36">
        <f>IFERROR(Q165/$AC165,0)</f>
        <v>0.20152091254752852</v>
      </c>
      <c r="S165" s="17">
        <v>12</v>
      </c>
      <c r="T165" s="36">
        <f>IFERROR(S165/$AD165,0)</f>
        <v>0.1875</v>
      </c>
      <c r="U165" s="17">
        <v>26</v>
      </c>
      <c r="V165" s="36">
        <f>IFERROR(U165/$AC165,0)</f>
        <v>4.9429657794676805E-2</v>
      </c>
      <c r="W165" s="17">
        <v>2</v>
      </c>
      <c r="X165" s="36">
        <f>IFERROR(W165/$AD165,0)</f>
        <v>3.125E-2</v>
      </c>
      <c r="Y165" s="17">
        <v>18</v>
      </c>
      <c r="Z165" s="36">
        <f>IFERROR(Y165/$AC165,0)</f>
        <v>3.4220532319391636E-2</v>
      </c>
      <c r="AA165" s="17">
        <v>2</v>
      </c>
      <c r="AB165" s="36">
        <f>IFERROR(AA165/$AD165,0)</f>
        <v>3.125E-2</v>
      </c>
      <c r="AC165" s="17">
        <v>526</v>
      </c>
      <c r="AD165" s="17">
        <v>64</v>
      </c>
    </row>
    <row r="166" spans="1:30" ht="15.75" customHeight="1" x14ac:dyDescent="0.25">
      <c r="A166" s="37">
        <v>2023</v>
      </c>
      <c r="B166" s="35">
        <v>170360</v>
      </c>
      <c r="C166" s="33" t="str">
        <f>VLOOKUP(B166,procv!$A$2:$D$142,4,FALSE)</f>
        <v>Cerrado Tocantins Araguaia</v>
      </c>
      <c r="D166" s="33" t="s">
        <v>30</v>
      </c>
      <c r="E166" s="17">
        <v>13</v>
      </c>
      <c r="F166" s="36">
        <f>IFERROR(E166/$AC166,0)</f>
        <v>1.82328190743338E-2</v>
      </c>
      <c r="G166" s="17">
        <v>4</v>
      </c>
      <c r="H166" s="36">
        <f>IFERROR(G166/$AD166,0)</f>
        <v>5.2631578947368418E-2</v>
      </c>
      <c r="I166" s="17">
        <v>196</v>
      </c>
      <c r="J166" s="36">
        <f>IFERROR(I166/$AC166,0)</f>
        <v>0.27489481065918653</v>
      </c>
      <c r="K166" s="17">
        <v>17</v>
      </c>
      <c r="L166" s="36">
        <f>IFERROR(K166/$AD166,0)</f>
        <v>0.22368421052631579</v>
      </c>
      <c r="M166" s="17">
        <v>279</v>
      </c>
      <c r="N166" s="36">
        <f>IFERROR(M166/$AC166,0)</f>
        <v>0.39130434782608697</v>
      </c>
      <c r="O166" s="17">
        <v>23</v>
      </c>
      <c r="P166" s="36">
        <f>IFERROR(O166/$AD166,0)</f>
        <v>0.30263157894736842</v>
      </c>
      <c r="Q166" s="17">
        <v>152</v>
      </c>
      <c r="R166" s="36">
        <f>IFERROR(Q166/$AC166,0)</f>
        <v>0.21318373071528751</v>
      </c>
      <c r="S166" s="17">
        <v>21</v>
      </c>
      <c r="T166" s="36">
        <f>IFERROR(S166/$AD166,0)</f>
        <v>0.27631578947368424</v>
      </c>
      <c r="U166" s="17">
        <v>49</v>
      </c>
      <c r="V166" s="36">
        <f>IFERROR(U166/$AC166,0)</f>
        <v>6.8723702664796632E-2</v>
      </c>
      <c r="W166" s="17">
        <v>10</v>
      </c>
      <c r="X166" s="36">
        <f>IFERROR(W166/$AD166,0)</f>
        <v>0.13157894736842105</v>
      </c>
      <c r="Y166" s="17">
        <v>24</v>
      </c>
      <c r="Z166" s="36">
        <f>IFERROR(Y166/$AC166,0)</f>
        <v>3.3660589060308554E-2</v>
      </c>
      <c r="AA166" s="17">
        <v>1</v>
      </c>
      <c r="AB166" s="36">
        <f>IFERROR(AA166/$AD166,0)</f>
        <v>1.3157894736842105E-2</v>
      </c>
      <c r="AC166" s="17">
        <v>713</v>
      </c>
      <c r="AD166" s="17">
        <v>76</v>
      </c>
    </row>
    <row r="167" spans="1:30" ht="15.75" customHeight="1" x14ac:dyDescent="0.25">
      <c r="A167" s="37">
        <v>2023</v>
      </c>
      <c r="B167" s="35">
        <v>170370</v>
      </c>
      <c r="C167" s="33" t="str">
        <f>VLOOKUP(B167,procv!$A$2:$D$142,4,FALSE)</f>
        <v>Amor Perfeito</v>
      </c>
      <c r="D167" s="33" t="s">
        <v>31</v>
      </c>
      <c r="E167" s="17">
        <v>22</v>
      </c>
      <c r="F167" s="36">
        <f>IFERROR(E167/$AC167,0)</f>
        <v>2.4830699774266364E-2</v>
      </c>
      <c r="G167" s="17">
        <v>7</v>
      </c>
      <c r="H167" s="36">
        <f>IFERROR(G167/$AD167,0)</f>
        <v>6.0869565217391307E-2</v>
      </c>
      <c r="I167" s="17">
        <v>263</v>
      </c>
      <c r="J167" s="36">
        <f>IFERROR(I167/$AC167,0)</f>
        <v>0.29683972911963885</v>
      </c>
      <c r="K167" s="17">
        <v>34</v>
      </c>
      <c r="L167" s="36">
        <f>IFERROR(K167/$AD167,0)</f>
        <v>0.29565217391304349</v>
      </c>
      <c r="M167" s="17">
        <v>327</v>
      </c>
      <c r="N167" s="36">
        <f>IFERROR(M167/$AC167,0)</f>
        <v>0.3690744920993228</v>
      </c>
      <c r="O167" s="17">
        <v>35</v>
      </c>
      <c r="P167" s="36">
        <f>IFERROR(O167/$AD167,0)</f>
        <v>0.30434782608695654</v>
      </c>
      <c r="Q167" s="17">
        <v>179</v>
      </c>
      <c r="R167" s="36">
        <f>IFERROR(Q167/$AC167,0)</f>
        <v>0.2020316027088036</v>
      </c>
      <c r="S167" s="17">
        <v>17</v>
      </c>
      <c r="T167" s="36">
        <f>IFERROR(S167/$AD167,0)</f>
        <v>0.14782608695652175</v>
      </c>
      <c r="U167" s="17">
        <v>65</v>
      </c>
      <c r="V167" s="36">
        <f>IFERROR(U167/$AC167,0)</f>
        <v>7.336343115124154E-2</v>
      </c>
      <c r="W167" s="17">
        <v>10</v>
      </c>
      <c r="X167" s="36">
        <f>IFERROR(W167/$AD167,0)</f>
        <v>8.6956521739130432E-2</v>
      </c>
      <c r="Y167" s="17">
        <v>30</v>
      </c>
      <c r="Z167" s="36">
        <f>IFERROR(Y167/$AC167,0)</f>
        <v>3.3860045146726865E-2</v>
      </c>
      <c r="AA167" s="17">
        <v>12</v>
      </c>
      <c r="AB167" s="36">
        <f>IFERROR(AA167/$AD167,0)</f>
        <v>0.10434782608695652</v>
      </c>
      <c r="AC167" s="17">
        <v>886</v>
      </c>
      <c r="AD167" s="17">
        <v>115</v>
      </c>
    </row>
    <row r="168" spans="1:30" ht="15.75" customHeight="1" x14ac:dyDescent="0.25">
      <c r="A168" s="37">
        <v>2023</v>
      </c>
      <c r="B168" s="35">
        <v>170380</v>
      </c>
      <c r="C168" s="33" t="str">
        <f>VLOOKUP(B168,procv!$A$2:$D$142,4,FALSE)</f>
        <v>Bico do Papagaio</v>
      </c>
      <c r="D168" s="33" t="s">
        <v>32</v>
      </c>
      <c r="E168" s="17">
        <v>77</v>
      </c>
      <c r="F168" s="36">
        <f>IFERROR(E168/$AC168,0)</f>
        <v>2.7074542897327709E-2</v>
      </c>
      <c r="G168" s="17">
        <v>5</v>
      </c>
      <c r="H168" s="36">
        <f>IFERROR(G168/$AD168,0)</f>
        <v>3.5211267605633804E-2</v>
      </c>
      <c r="I168" s="17">
        <v>988</v>
      </c>
      <c r="J168" s="36">
        <f>IFERROR(I168/$AC168,0)</f>
        <v>0.34739803094233473</v>
      </c>
      <c r="K168" s="17">
        <v>49</v>
      </c>
      <c r="L168" s="36">
        <f>IFERROR(K168/$AD168,0)</f>
        <v>0.34507042253521125</v>
      </c>
      <c r="M168" s="16">
        <v>1067</v>
      </c>
      <c r="N168" s="36">
        <f>IFERROR(M168/$AC168,0)</f>
        <v>0.37517580872011252</v>
      </c>
      <c r="O168" s="17">
        <v>51</v>
      </c>
      <c r="P168" s="36">
        <f>IFERROR(O168/$AD168,0)</f>
        <v>0.35915492957746481</v>
      </c>
      <c r="Q168" s="17">
        <v>479</v>
      </c>
      <c r="R168" s="36">
        <f>IFERROR(Q168/$AC168,0)</f>
        <v>0.16842475386779185</v>
      </c>
      <c r="S168" s="17">
        <v>21</v>
      </c>
      <c r="T168" s="36">
        <f>IFERROR(S168/$AD168,0)</f>
        <v>0.14788732394366197</v>
      </c>
      <c r="U168" s="17">
        <v>167</v>
      </c>
      <c r="V168" s="36">
        <f>IFERROR(U168/$AC168,0)</f>
        <v>5.8720112517580872E-2</v>
      </c>
      <c r="W168" s="17">
        <v>12</v>
      </c>
      <c r="X168" s="36">
        <f>IFERROR(W168/$AD168,0)</f>
        <v>8.4507042253521125E-2</v>
      </c>
      <c r="Y168" s="17">
        <v>66</v>
      </c>
      <c r="Z168" s="36">
        <f>IFERROR(Y168/$AC168,0)</f>
        <v>2.3206751054852322E-2</v>
      </c>
      <c r="AA168" s="17">
        <v>4</v>
      </c>
      <c r="AB168" s="36">
        <f>IFERROR(AA168/$AD168,0)</f>
        <v>2.8169014084507043E-2</v>
      </c>
      <c r="AC168" s="16">
        <v>2844</v>
      </c>
      <c r="AD168" s="17">
        <v>142</v>
      </c>
    </row>
    <row r="169" spans="1:30" ht="15.75" customHeight="1" x14ac:dyDescent="0.25">
      <c r="A169" s="37">
        <v>2023</v>
      </c>
      <c r="B169" s="35">
        <v>170382</v>
      </c>
      <c r="C169" s="33" t="str">
        <f>VLOOKUP(B169,procv!$A$2:$D$142,4,FALSE)</f>
        <v>Bico do Papagaio</v>
      </c>
      <c r="D169" s="33" t="s">
        <v>33</v>
      </c>
      <c r="E169" s="17">
        <v>12</v>
      </c>
      <c r="F169" s="36">
        <f>IFERROR(E169/$AC169,0)</f>
        <v>1.9261637239165328E-2</v>
      </c>
      <c r="G169" s="17">
        <v>2</v>
      </c>
      <c r="H169" s="36">
        <f>IFERROR(G169/$AD169,0)</f>
        <v>4.7619047619047616E-2</v>
      </c>
      <c r="I169" s="17">
        <v>229</v>
      </c>
      <c r="J169" s="36">
        <f>IFERROR(I169/$AC169,0)</f>
        <v>0.36757624398073835</v>
      </c>
      <c r="K169" s="17">
        <v>16</v>
      </c>
      <c r="L169" s="36">
        <f>IFERROR(K169/$AD169,0)</f>
        <v>0.38095238095238093</v>
      </c>
      <c r="M169" s="17">
        <v>227</v>
      </c>
      <c r="N169" s="36">
        <f>IFERROR(M169/$AC169,0)</f>
        <v>0.36436597110754415</v>
      </c>
      <c r="O169" s="17">
        <v>13</v>
      </c>
      <c r="P169" s="36">
        <f>IFERROR(O169/$AD169,0)</f>
        <v>0.30952380952380953</v>
      </c>
      <c r="Q169" s="17">
        <v>108</v>
      </c>
      <c r="R169" s="36">
        <f>IFERROR(Q169/$AC169,0)</f>
        <v>0.17335473515248795</v>
      </c>
      <c r="S169" s="17">
        <v>10</v>
      </c>
      <c r="T169" s="36">
        <f>IFERROR(S169/$AD169,0)</f>
        <v>0.23809523809523808</v>
      </c>
      <c r="U169" s="17">
        <v>36</v>
      </c>
      <c r="V169" s="36">
        <f>IFERROR(U169/$AC169,0)</f>
        <v>5.7784911717495988E-2</v>
      </c>
      <c r="W169" s="17">
        <v>1</v>
      </c>
      <c r="X169" s="36">
        <f>IFERROR(W169/$AD169,0)</f>
        <v>2.3809523809523808E-2</v>
      </c>
      <c r="Y169" s="17">
        <v>11</v>
      </c>
      <c r="Z169" s="36">
        <f>IFERROR(Y169/$AC169,0)</f>
        <v>1.7656500802568219E-2</v>
      </c>
      <c r="AA169" s="17">
        <v>0</v>
      </c>
      <c r="AB169" s="36">
        <f>IFERROR(AA169/$AD169,0)</f>
        <v>0</v>
      </c>
      <c r="AC169" s="17">
        <v>623</v>
      </c>
      <c r="AD169" s="17">
        <v>42</v>
      </c>
    </row>
    <row r="170" spans="1:30" ht="15.75" customHeight="1" x14ac:dyDescent="0.25">
      <c r="A170" s="37">
        <v>2023</v>
      </c>
      <c r="B170" s="35">
        <v>170384</v>
      </c>
      <c r="C170" s="33" t="str">
        <f>VLOOKUP(B170,procv!$A$2:$D$142,4,FALSE)</f>
        <v>Médio Norte Araguaia</v>
      </c>
      <c r="D170" s="33" t="s">
        <v>34</v>
      </c>
      <c r="E170" s="17">
        <v>55</v>
      </c>
      <c r="F170" s="36">
        <f>IFERROR(E170/$AC170,0)</f>
        <v>2.4165202108963092E-2</v>
      </c>
      <c r="G170" s="17">
        <v>13</v>
      </c>
      <c r="H170" s="36">
        <f>IFERROR(G170/$AD170,0)</f>
        <v>3.3078880407124679E-2</v>
      </c>
      <c r="I170" s="17">
        <v>887</v>
      </c>
      <c r="J170" s="36">
        <f>IFERROR(I170/$AC170,0)</f>
        <v>0.38971880492091387</v>
      </c>
      <c r="K170" s="17">
        <v>148</v>
      </c>
      <c r="L170" s="36">
        <f>IFERROR(K170/$AD170,0)</f>
        <v>0.37659033078880405</v>
      </c>
      <c r="M170" s="17">
        <v>806</v>
      </c>
      <c r="N170" s="36">
        <f>IFERROR(M170/$AC170,0)</f>
        <v>0.35413005272407733</v>
      </c>
      <c r="O170" s="17">
        <v>141</v>
      </c>
      <c r="P170" s="36">
        <f>IFERROR(O170/$AD170,0)</f>
        <v>0.35877862595419846</v>
      </c>
      <c r="Q170" s="17">
        <v>369</v>
      </c>
      <c r="R170" s="36">
        <f>IFERROR(Q170/$AC170,0)</f>
        <v>0.16212653778558875</v>
      </c>
      <c r="S170" s="17">
        <v>66</v>
      </c>
      <c r="T170" s="36">
        <f>IFERROR(S170/$AD170,0)</f>
        <v>0.16793893129770993</v>
      </c>
      <c r="U170" s="17">
        <v>109</v>
      </c>
      <c r="V170" s="36">
        <f>IFERROR(U170/$AC170,0)</f>
        <v>4.7891036906854131E-2</v>
      </c>
      <c r="W170" s="17">
        <v>18</v>
      </c>
      <c r="X170" s="36">
        <f>IFERROR(W170/$AD170,0)</f>
        <v>4.5801526717557252E-2</v>
      </c>
      <c r="Y170" s="17">
        <v>50</v>
      </c>
      <c r="Z170" s="36">
        <f>IFERROR(Y170/$AC170,0)</f>
        <v>2.1968365553602813E-2</v>
      </c>
      <c r="AA170" s="17">
        <v>7</v>
      </c>
      <c r="AB170" s="36">
        <f>IFERROR(AA170/$AD170,0)</f>
        <v>1.7811704834605598E-2</v>
      </c>
      <c r="AC170" s="16">
        <v>2276</v>
      </c>
      <c r="AD170" s="17">
        <v>393</v>
      </c>
    </row>
    <row r="171" spans="1:30" ht="15.75" customHeight="1" x14ac:dyDescent="0.25">
      <c r="A171" s="37">
        <v>2023</v>
      </c>
      <c r="B171" s="35">
        <v>170386</v>
      </c>
      <c r="C171" s="33" t="str">
        <f>VLOOKUP(B171,procv!$A$2:$D$142,4,FALSE)</f>
        <v>Ilha do Bananal</v>
      </c>
      <c r="D171" s="33" t="s">
        <v>35</v>
      </c>
      <c r="E171" s="17">
        <v>31</v>
      </c>
      <c r="F171" s="36">
        <f>IFERROR(E171/$AC171,0)</f>
        <v>2.6632302405498281E-2</v>
      </c>
      <c r="G171" s="17">
        <v>2</v>
      </c>
      <c r="H171" s="36">
        <f>IFERROR(G171/$AD171,0)</f>
        <v>2.0833333333333332E-2</v>
      </c>
      <c r="I171" s="17">
        <v>351</v>
      </c>
      <c r="J171" s="36">
        <f>IFERROR(I171/$AC171,0)</f>
        <v>0.3015463917525773</v>
      </c>
      <c r="K171" s="17">
        <v>53</v>
      </c>
      <c r="L171" s="36">
        <f>IFERROR(K171/$AD171,0)</f>
        <v>0.55208333333333337</v>
      </c>
      <c r="M171" s="17">
        <v>401</v>
      </c>
      <c r="N171" s="36">
        <f>IFERROR(M171/$AC171,0)</f>
        <v>0.34450171821305842</v>
      </c>
      <c r="O171" s="17">
        <v>26</v>
      </c>
      <c r="P171" s="36">
        <f>IFERROR(O171/$AD171,0)</f>
        <v>0.27083333333333331</v>
      </c>
      <c r="Q171" s="17">
        <v>238</v>
      </c>
      <c r="R171" s="36">
        <f>IFERROR(Q171/$AC171,0)</f>
        <v>0.20446735395189003</v>
      </c>
      <c r="S171" s="17">
        <v>8</v>
      </c>
      <c r="T171" s="36">
        <f>IFERROR(S171/$AD171,0)</f>
        <v>8.3333333333333329E-2</v>
      </c>
      <c r="U171" s="17">
        <v>88</v>
      </c>
      <c r="V171" s="36">
        <f>IFERROR(U171/$AC171,0)</f>
        <v>7.560137457044673E-2</v>
      </c>
      <c r="W171" s="17">
        <v>5</v>
      </c>
      <c r="X171" s="36">
        <f>IFERROR(W171/$AD171,0)</f>
        <v>5.2083333333333336E-2</v>
      </c>
      <c r="Y171" s="17">
        <v>55</v>
      </c>
      <c r="Z171" s="36">
        <f>IFERROR(Y171/$AC171,0)</f>
        <v>4.7250859106529208E-2</v>
      </c>
      <c r="AA171" s="17">
        <v>2</v>
      </c>
      <c r="AB171" s="36">
        <f>IFERROR(AA171/$AD171,0)</f>
        <v>2.0833333333333332E-2</v>
      </c>
      <c r="AC171" s="16">
        <v>1164</v>
      </c>
      <c r="AD171" s="17">
        <v>96</v>
      </c>
    </row>
    <row r="172" spans="1:30" ht="15.75" customHeight="1" x14ac:dyDescent="0.25">
      <c r="A172" s="37">
        <v>2023</v>
      </c>
      <c r="B172" s="35">
        <v>170388</v>
      </c>
      <c r="C172" s="33" t="str">
        <f>VLOOKUP(B172,procv!$A$2:$D$142,4,FALSE)</f>
        <v>Médio Norte Araguaia</v>
      </c>
      <c r="D172" s="33" t="s">
        <v>36</v>
      </c>
      <c r="E172" s="17">
        <v>22</v>
      </c>
      <c r="F172" s="36">
        <f>IFERROR(E172/$AC172,0)</f>
        <v>2.4390243902439025E-2</v>
      </c>
      <c r="G172" s="17">
        <v>3</v>
      </c>
      <c r="H172" s="36">
        <f>IFERROR(G172/$AD172,0)</f>
        <v>2.4793388429752067E-2</v>
      </c>
      <c r="I172" s="17">
        <v>315</v>
      </c>
      <c r="J172" s="36">
        <f>IFERROR(I172/$AC172,0)</f>
        <v>0.34922394678492241</v>
      </c>
      <c r="K172" s="17">
        <v>47</v>
      </c>
      <c r="L172" s="36">
        <f>IFERROR(K172/$AD172,0)</f>
        <v>0.38842975206611569</v>
      </c>
      <c r="M172" s="17">
        <v>305</v>
      </c>
      <c r="N172" s="36">
        <f>IFERROR(M172/$AC172,0)</f>
        <v>0.33813747228381374</v>
      </c>
      <c r="O172" s="17">
        <v>37</v>
      </c>
      <c r="P172" s="36">
        <f>IFERROR(O172/$AD172,0)</f>
        <v>0.30578512396694213</v>
      </c>
      <c r="Q172" s="17">
        <v>163</v>
      </c>
      <c r="R172" s="36">
        <f>IFERROR(Q172/$AC172,0)</f>
        <v>0.18070953436807094</v>
      </c>
      <c r="S172" s="17">
        <v>20</v>
      </c>
      <c r="T172" s="36">
        <f>IFERROR(S172/$AD172,0)</f>
        <v>0.16528925619834711</v>
      </c>
      <c r="U172" s="17">
        <v>68</v>
      </c>
      <c r="V172" s="36">
        <f>IFERROR(U172/$AC172,0)</f>
        <v>7.5388026607538808E-2</v>
      </c>
      <c r="W172" s="17">
        <v>11</v>
      </c>
      <c r="X172" s="36">
        <f>IFERROR(W172/$AD172,0)</f>
        <v>9.0909090909090912E-2</v>
      </c>
      <c r="Y172" s="17">
        <v>29</v>
      </c>
      <c r="Z172" s="36">
        <f>IFERROR(Y172/$AC172,0)</f>
        <v>3.2150776053215077E-2</v>
      </c>
      <c r="AA172" s="17">
        <v>3</v>
      </c>
      <c r="AB172" s="36">
        <f>IFERROR(AA172/$AD172,0)</f>
        <v>2.4793388429752067E-2</v>
      </c>
      <c r="AC172" s="17">
        <v>902</v>
      </c>
      <c r="AD172" s="17">
        <v>121</v>
      </c>
    </row>
    <row r="173" spans="1:30" ht="15.75" customHeight="1" x14ac:dyDescent="0.25">
      <c r="A173" s="37">
        <v>2023</v>
      </c>
      <c r="B173" s="35">
        <v>170389</v>
      </c>
      <c r="C173" s="33" t="str">
        <f>VLOOKUP(B173,procv!$A$2:$D$142,4,FALSE)</f>
        <v>Bico do Papagaio</v>
      </c>
      <c r="D173" s="33" t="s">
        <v>37</v>
      </c>
      <c r="E173" s="17">
        <v>16</v>
      </c>
      <c r="F173" s="36">
        <f>IFERROR(E173/$AC173,0)</f>
        <v>1.4925373134328358E-2</v>
      </c>
      <c r="G173" s="17">
        <v>4</v>
      </c>
      <c r="H173" s="36">
        <f>IFERROR(G173/$AD173,0)</f>
        <v>3.2000000000000001E-2</v>
      </c>
      <c r="I173" s="17">
        <v>325</v>
      </c>
      <c r="J173" s="36">
        <f>IFERROR(I173/$AC173,0)</f>
        <v>0.30317164179104478</v>
      </c>
      <c r="K173" s="17">
        <v>37</v>
      </c>
      <c r="L173" s="36">
        <f>IFERROR(K173/$AD173,0)</f>
        <v>0.29599999999999999</v>
      </c>
      <c r="M173" s="17">
        <v>414</v>
      </c>
      <c r="N173" s="36">
        <f>IFERROR(M173/$AC173,0)</f>
        <v>0.38619402985074625</v>
      </c>
      <c r="O173" s="17">
        <v>41</v>
      </c>
      <c r="P173" s="36">
        <f>IFERROR(O173/$AD173,0)</f>
        <v>0.32800000000000001</v>
      </c>
      <c r="Q173" s="17">
        <v>207</v>
      </c>
      <c r="R173" s="36">
        <f>IFERROR(Q173/$AC173,0)</f>
        <v>0.19309701492537312</v>
      </c>
      <c r="S173" s="17">
        <v>25</v>
      </c>
      <c r="T173" s="36">
        <f>IFERROR(S173/$AD173,0)</f>
        <v>0.2</v>
      </c>
      <c r="U173" s="17">
        <v>74</v>
      </c>
      <c r="V173" s="36">
        <f>IFERROR(U173/$AC173,0)</f>
        <v>6.9029850746268662E-2</v>
      </c>
      <c r="W173" s="17">
        <v>13</v>
      </c>
      <c r="X173" s="36">
        <f>IFERROR(W173/$AD173,0)</f>
        <v>0.104</v>
      </c>
      <c r="Y173" s="17">
        <v>36</v>
      </c>
      <c r="Z173" s="36">
        <f>IFERROR(Y173/$AC173,0)</f>
        <v>3.3582089552238806E-2</v>
      </c>
      <c r="AA173" s="17">
        <v>5</v>
      </c>
      <c r="AB173" s="36">
        <f>IFERROR(AA173/$AD173,0)</f>
        <v>0.04</v>
      </c>
      <c r="AC173" s="16">
        <v>1072</v>
      </c>
      <c r="AD173" s="17">
        <v>125</v>
      </c>
    </row>
    <row r="174" spans="1:30" ht="15.75" customHeight="1" x14ac:dyDescent="0.25">
      <c r="A174" s="37">
        <v>2023</v>
      </c>
      <c r="B174" s="35">
        <v>170390</v>
      </c>
      <c r="C174" s="33" t="str">
        <f>VLOOKUP(B174,procv!$A$2:$D$142,4,FALSE)</f>
        <v>Cantão</v>
      </c>
      <c r="D174" s="33" t="s">
        <v>38</v>
      </c>
      <c r="E174" s="17">
        <v>27</v>
      </c>
      <c r="F174" s="36">
        <f>IFERROR(E174/$AC174,0)</f>
        <v>2.0209580838323353E-2</v>
      </c>
      <c r="G174" s="17">
        <v>4</v>
      </c>
      <c r="H174" s="36">
        <f>IFERROR(G174/$AD174,0)</f>
        <v>2.8368794326241134E-2</v>
      </c>
      <c r="I174" s="17">
        <v>420</v>
      </c>
      <c r="J174" s="36">
        <f>IFERROR(I174/$AC174,0)</f>
        <v>0.31437125748502992</v>
      </c>
      <c r="K174" s="17">
        <v>47</v>
      </c>
      <c r="L174" s="36">
        <f>IFERROR(K174/$AD174,0)</f>
        <v>0.33333333333333331</v>
      </c>
      <c r="M174" s="17">
        <v>466</v>
      </c>
      <c r="N174" s="36">
        <f>IFERROR(M174/$AC174,0)</f>
        <v>0.34880239520958084</v>
      </c>
      <c r="O174" s="17">
        <v>44</v>
      </c>
      <c r="P174" s="36">
        <f>IFERROR(O174/$AD174,0)</f>
        <v>0.31205673758865249</v>
      </c>
      <c r="Q174" s="17">
        <v>270</v>
      </c>
      <c r="R174" s="36">
        <f>IFERROR(Q174/$AC174,0)</f>
        <v>0.20209580838323354</v>
      </c>
      <c r="S174" s="17">
        <v>30</v>
      </c>
      <c r="T174" s="36">
        <f>IFERROR(S174/$AD174,0)</f>
        <v>0.21276595744680851</v>
      </c>
      <c r="U174" s="17">
        <v>111</v>
      </c>
      <c r="V174" s="36">
        <f>IFERROR(U174/$AC174,0)</f>
        <v>8.3083832335329344E-2</v>
      </c>
      <c r="W174" s="17">
        <v>10</v>
      </c>
      <c r="X174" s="36">
        <f>IFERROR(W174/$AD174,0)</f>
        <v>7.0921985815602842E-2</v>
      </c>
      <c r="Y174" s="17">
        <v>42</v>
      </c>
      <c r="Z174" s="36">
        <f>IFERROR(Y174/$AC174,0)</f>
        <v>3.1437125748502992E-2</v>
      </c>
      <c r="AA174" s="17">
        <v>6</v>
      </c>
      <c r="AB174" s="36">
        <f>IFERROR(AA174/$AD174,0)</f>
        <v>4.2553191489361701E-2</v>
      </c>
      <c r="AC174" s="16">
        <v>1336</v>
      </c>
      <c r="AD174" s="17">
        <v>141</v>
      </c>
    </row>
    <row r="175" spans="1:30" ht="15.75" customHeight="1" x14ac:dyDescent="0.25">
      <c r="A175" s="37">
        <v>2023</v>
      </c>
      <c r="B175" s="35">
        <v>170410</v>
      </c>
      <c r="C175" s="33" t="str">
        <f>VLOOKUP(B175,procv!$A$2:$D$142,4,FALSE)</f>
        <v>Cerrado Tocantins Araguaia</v>
      </c>
      <c r="D175" s="33" t="s">
        <v>39</v>
      </c>
      <c r="E175" s="17">
        <v>4</v>
      </c>
      <c r="F175" s="36">
        <f>IFERROR(E175/$AC175,0)</f>
        <v>7.5329566854990581E-3</v>
      </c>
      <c r="G175" s="17">
        <v>1</v>
      </c>
      <c r="H175" s="36">
        <f>IFERROR(G175/$AD175,0)</f>
        <v>1.8518518518518517E-2</v>
      </c>
      <c r="I175" s="17">
        <v>198</v>
      </c>
      <c r="J175" s="36">
        <f>IFERROR(I175/$AC175,0)</f>
        <v>0.3728813559322034</v>
      </c>
      <c r="K175" s="17">
        <v>20</v>
      </c>
      <c r="L175" s="36">
        <f>IFERROR(K175/$AD175,0)</f>
        <v>0.37037037037037035</v>
      </c>
      <c r="M175" s="17">
        <v>176</v>
      </c>
      <c r="N175" s="36">
        <f>IFERROR(M175/$AC175,0)</f>
        <v>0.33145009416195859</v>
      </c>
      <c r="O175" s="17">
        <v>18</v>
      </c>
      <c r="P175" s="36">
        <f>IFERROR(O175/$AD175,0)</f>
        <v>0.33333333333333331</v>
      </c>
      <c r="Q175" s="17">
        <v>98</v>
      </c>
      <c r="R175" s="36">
        <f>IFERROR(Q175/$AC175,0)</f>
        <v>0.18455743879472694</v>
      </c>
      <c r="S175" s="17">
        <v>11</v>
      </c>
      <c r="T175" s="36">
        <f>IFERROR(S175/$AD175,0)</f>
        <v>0.20370370370370369</v>
      </c>
      <c r="U175" s="17">
        <v>41</v>
      </c>
      <c r="V175" s="36">
        <f>IFERROR(U175/$AC175,0)</f>
        <v>7.7212806026365349E-2</v>
      </c>
      <c r="W175" s="17">
        <v>3</v>
      </c>
      <c r="X175" s="36">
        <f>IFERROR(W175/$AD175,0)</f>
        <v>5.5555555555555552E-2</v>
      </c>
      <c r="Y175" s="17">
        <v>14</v>
      </c>
      <c r="Z175" s="36">
        <f>IFERROR(Y175/$AC175,0)</f>
        <v>2.6365348399246705E-2</v>
      </c>
      <c r="AA175" s="17">
        <v>1</v>
      </c>
      <c r="AB175" s="36">
        <f>IFERROR(AA175/$AD175,0)</f>
        <v>1.8518518518518517E-2</v>
      </c>
      <c r="AC175" s="17">
        <v>531</v>
      </c>
      <c r="AD175" s="17">
        <v>54</v>
      </c>
    </row>
    <row r="176" spans="1:30" ht="15.75" customHeight="1" x14ac:dyDescent="0.25">
      <c r="A176" s="37">
        <v>2023</v>
      </c>
      <c r="B176" s="35">
        <v>170510</v>
      </c>
      <c r="C176" s="33" t="str">
        <f>VLOOKUP(B176,procv!$A$2:$D$142,4,FALSE)</f>
        <v>Amor Perfeito</v>
      </c>
      <c r="D176" s="33" t="s">
        <v>40</v>
      </c>
      <c r="E176" s="17">
        <v>22</v>
      </c>
      <c r="F176" s="36">
        <f>IFERROR(E176/$AC176,0)</f>
        <v>2.109300095877277E-2</v>
      </c>
      <c r="G176" s="17">
        <v>1</v>
      </c>
      <c r="H176" s="36">
        <f>IFERROR(G176/$AD176,0)</f>
        <v>1.282051282051282E-2</v>
      </c>
      <c r="I176" s="17">
        <v>350</v>
      </c>
      <c r="J176" s="36">
        <f>IFERROR(I176/$AC176,0)</f>
        <v>0.33557046979865773</v>
      </c>
      <c r="K176" s="17">
        <v>28</v>
      </c>
      <c r="L176" s="36">
        <f>IFERROR(K176/$AD176,0)</f>
        <v>0.35897435897435898</v>
      </c>
      <c r="M176" s="17">
        <v>349</v>
      </c>
      <c r="N176" s="36">
        <f>IFERROR(M176/$AC176,0)</f>
        <v>0.33461169702780441</v>
      </c>
      <c r="O176" s="17">
        <v>26</v>
      </c>
      <c r="P176" s="36">
        <f>IFERROR(O176/$AD176,0)</f>
        <v>0.33333333333333331</v>
      </c>
      <c r="Q176" s="17">
        <v>211</v>
      </c>
      <c r="R176" s="36">
        <f>IFERROR(Q176/$AC176,0)</f>
        <v>0.20230105465004794</v>
      </c>
      <c r="S176" s="17">
        <v>12</v>
      </c>
      <c r="T176" s="36">
        <f>IFERROR(S176/$AD176,0)</f>
        <v>0.15384615384615385</v>
      </c>
      <c r="U176" s="17">
        <v>76</v>
      </c>
      <c r="V176" s="36">
        <f>IFERROR(U176/$AC176,0)</f>
        <v>7.2866730584851394E-2</v>
      </c>
      <c r="W176" s="17">
        <v>11</v>
      </c>
      <c r="X176" s="36">
        <f>IFERROR(W176/$AD176,0)</f>
        <v>0.14102564102564102</v>
      </c>
      <c r="Y176" s="17">
        <v>35</v>
      </c>
      <c r="Z176" s="36">
        <f>IFERROR(Y176/$AC176,0)</f>
        <v>3.3557046979865772E-2</v>
      </c>
      <c r="AA176" s="17">
        <v>0</v>
      </c>
      <c r="AB176" s="36">
        <f>IFERROR(AA176/$AD176,0)</f>
        <v>0</v>
      </c>
      <c r="AC176" s="16">
        <v>1043</v>
      </c>
      <c r="AD176" s="17">
        <v>78</v>
      </c>
    </row>
    <row r="177" spans="1:30" ht="15.75" customHeight="1" x14ac:dyDescent="0.25">
      <c r="A177" s="37">
        <v>2023</v>
      </c>
      <c r="B177" s="35">
        <v>170460</v>
      </c>
      <c r="C177" s="33" t="str">
        <f>VLOOKUP(B177,procv!$A$2:$D$142,4,FALSE)</f>
        <v>Cantão</v>
      </c>
      <c r="D177" s="33" t="s">
        <v>41</v>
      </c>
      <c r="E177" s="17">
        <v>25</v>
      </c>
      <c r="F177" s="36">
        <f>IFERROR(E177/$AC177,0)</f>
        <v>3.6656891495601175E-2</v>
      </c>
      <c r="G177" s="17">
        <v>0</v>
      </c>
      <c r="H177" s="36">
        <f>IFERROR(G177/$AD177,0)</f>
        <v>0</v>
      </c>
      <c r="I177" s="17">
        <v>235</v>
      </c>
      <c r="J177" s="36">
        <f>IFERROR(I177/$AC177,0)</f>
        <v>0.34457478005865105</v>
      </c>
      <c r="K177" s="17">
        <v>20</v>
      </c>
      <c r="L177" s="36">
        <f>IFERROR(K177/$AD177,0)</f>
        <v>0.58823529411764708</v>
      </c>
      <c r="M177" s="17">
        <v>237</v>
      </c>
      <c r="N177" s="36">
        <f>IFERROR(M177/$AC177,0)</f>
        <v>0.34750733137829914</v>
      </c>
      <c r="O177" s="17">
        <v>6</v>
      </c>
      <c r="P177" s="36">
        <f>IFERROR(O177/$AD177,0)</f>
        <v>0.17647058823529413</v>
      </c>
      <c r="Q177" s="17">
        <v>124</v>
      </c>
      <c r="R177" s="36">
        <f>IFERROR(Q177/$AC177,0)</f>
        <v>0.18181818181818182</v>
      </c>
      <c r="S177" s="17">
        <v>4</v>
      </c>
      <c r="T177" s="36">
        <f>IFERROR(S177/$AD177,0)</f>
        <v>0.11764705882352941</v>
      </c>
      <c r="U177" s="17">
        <v>43</v>
      </c>
      <c r="V177" s="36">
        <f>IFERROR(U177/$AC177,0)</f>
        <v>6.3049853372434017E-2</v>
      </c>
      <c r="W177" s="17">
        <v>2</v>
      </c>
      <c r="X177" s="36">
        <f>IFERROR(W177/$AD177,0)</f>
        <v>5.8823529411764705E-2</v>
      </c>
      <c r="Y177" s="17">
        <v>18</v>
      </c>
      <c r="Z177" s="36">
        <f>IFERROR(Y177/$AC177,0)</f>
        <v>2.6392961876832845E-2</v>
      </c>
      <c r="AA177" s="17">
        <v>2</v>
      </c>
      <c r="AB177" s="36">
        <f>IFERROR(AA177/$AD177,0)</f>
        <v>5.8823529411764705E-2</v>
      </c>
      <c r="AC177" s="17">
        <v>682</v>
      </c>
      <c r="AD177" s="17">
        <v>34</v>
      </c>
    </row>
    <row r="178" spans="1:30" ht="15.75" customHeight="1" x14ac:dyDescent="0.25">
      <c r="A178" s="37">
        <v>2023</v>
      </c>
      <c r="B178" s="35">
        <v>170550</v>
      </c>
      <c r="C178" s="33" t="str">
        <f>VLOOKUP(B178,procv!$A$2:$D$142,4,FALSE)</f>
        <v>Cerrado Tocantins Araguaia</v>
      </c>
      <c r="D178" s="33" t="s">
        <v>42</v>
      </c>
      <c r="E178" s="17">
        <v>164</v>
      </c>
      <c r="F178" s="36">
        <f>IFERROR(E178/$AC178,0)</f>
        <v>2.8062970568104039E-2</v>
      </c>
      <c r="G178" s="17">
        <v>9</v>
      </c>
      <c r="H178" s="36">
        <f>IFERROR(G178/$AD178,0)</f>
        <v>2.4258760107816711E-2</v>
      </c>
      <c r="I178" s="16">
        <v>2015</v>
      </c>
      <c r="J178" s="36">
        <f>IFERROR(I178/$AC178,0)</f>
        <v>0.34479808350444902</v>
      </c>
      <c r="K178" s="17">
        <v>125</v>
      </c>
      <c r="L178" s="36">
        <f>IFERROR(K178/$AD178,0)</f>
        <v>0.33692722371967654</v>
      </c>
      <c r="M178" s="16">
        <v>1988</v>
      </c>
      <c r="N178" s="36">
        <f>IFERROR(M178/$AC178,0)</f>
        <v>0.3401779603011636</v>
      </c>
      <c r="O178" s="17">
        <v>125</v>
      </c>
      <c r="P178" s="36">
        <f>IFERROR(O178/$AD178,0)</f>
        <v>0.33692722371967654</v>
      </c>
      <c r="Q178" s="16">
        <v>1050</v>
      </c>
      <c r="R178" s="36">
        <f>IFERROR(Q178/$AC178,0)</f>
        <v>0.17967145790554415</v>
      </c>
      <c r="S178" s="17">
        <v>74</v>
      </c>
      <c r="T178" s="36">
        <f>IFERROR(S178/$AD178,0)</f>
        <v>0.19946091644204852</v>
      </c>
      <c r="U178" s="17">
        <v>430</v>
      </c>
      <c r="V178" s="36">
        <f>IFERROR(U178/$AC178,0)</f>
        <v>7.3579739904175226E-2</v>
      </c>
      <c r="W178" s="17">
        <v>28</v>
      </c>
      <c r="X178" s="36">
        <f>IFERROR(W178/$AD178,0)</f>
        <v>7.5471698113207544E-2</v>
      </c>
      <c r="Y178" s="17">
        <v>197</v>
      </c>
      <c r="Z178" s="36">
        <f>IFERROR(Y178/$AC178,0)</f>
        <v>3.3709787816563995E-2</v>
      </c>
      <c r="AA178" s="17">
        <v>10</v>
      </c>
      <c r="AB178" s="36">
        <f>IFERROR(AA178/$AD178,0)</f>
        <v>2.6954177897574125E-2</v>
      </c>
      <c r="AC178" s="16">
        <v>5844</v>
      </c>
      <c r="AD178" s="17">
        <v>371</v>
      </c>
    </row>
    <row r="179" spans="1:30" ht="15.75" customHeight="1" x14ac:dyDescent="0.25">
      <c r="A179" s="37">
        <v>2023</v>
      </c>
      <c r="B179" s="35">
        <v>171670</v>
      </c>
      <c r="C179" s="33" t="str">
        <f>VLOOKUP(B179,procv!$A$2:$D$142,4,FALSE)</f>
        <v>Cerrado Tocantins Araguaia</v>
      </c>
      <c r="D179" s="33" t="s">
        <v>43</v>
      </c>
      <c r="E179" s="17">
        <v>37</v>
      </c>
      <c r="F179" s="36">
        <f>IFERROR(E179/$AC179,0)</f>
        <v>2.335858585858586E-2</v>
      </c>
      <c r="G179" s="17">
        <v>5</v>
      </c>
      <c r="H179" s="36">
        <f>IFERROR(G179/$AD179,0)</f>
        <v>2.6881720430107527E-2</v>
      </c>
      <c r="I179" s="17">
        <v>530</v>
      </c>
      <c r="J179" s="36">
        <f>IFERROR(I179/$AC179,0)</f>
        <v>0.33459595959595961</v>
      </c>
      <c r="K179" s="17">
        <v>66</v>
      </c>
      <c r="L179" s="36">
        <f>IFERROR(K179/$AD179,0)</f>
        <v>0.35483870967741937</v>
      </c>
      <c r="M179" s="17">
        <v>553</v>
      </c>
      <c r="N179" s="36">
        <f>IFERROR(M179/$AC179,0)</f>
        <v>0.3491161616161616</v>
      </c>
      <c r="O179" s="17">
        <v>61</v>
      </c>
      <c r="P179" s="36">
        <f>IFERROR(O179/$AD179,0)</f>
        <v>0.32795698924731181</v>
      </c>
      <c r="Q179" s="17">
        <v>315</v>
      </c>
      <c r="R179" s="36">
        <f>IFERROR(Q179/$AC179,0)</f>
        <v>0.19886363636363635</v>
      </c>
      <c r="S179" s="17">
        <v>30</v>
      </c>
      <c r="T179" s="36">
        <f>IFERROR(S179/$AD179,0)</f>
        <v>0.16129032258064516</v>
      </c>
      <c r="U179" s="17">
        <v>100</v>
      </c>
      <c r="V179" s="36">
        <f>IFERROR(U179/$AC179,0)</f>
        <v>6.3131313131313135E-2</v>
      </c>
      <c r="W179" s="17">
        <v>18</v>
      </c>
      <c r="X179" s="36">
        <f>IFERROR(W179/$AD179,0)</f>
        <v>9.6774193548387094E-2</v>
      </c>
      <c r="Y179" s="17">
        <v>49</v>
      </c>
      <c r="Z179" s="36">
        <f>IFERROR(Y179/$AC179,0)</f>
        <v>3.0934343434343436E-2</v>
      </c>
      <c r="AA179" s="17">
        <v>6</v>
      </c>
      <c r="AB179" s="36">
        <f>IFERROR(AA179/$AD179,0)</f>
        <v>3.2258064516129031E-2</v>
      </c>
      <c r="AC179" s="16">
        <v>1584</v>
      </c>
      <c r="AD179" s="17">
        <v>186</v>
      </c>
    </row>
    <row r="180" spans="1:30" ht="15.75" customHeight="1" x14ac:dyDescent="0.25">
      <c r="A180" s="37">
        <v>2023</v>
      </c>
      <c r="B180" s="35">
        <v>170555</v>
      </c>
      <c r="C180" s="33" t="str">
        <f>VLOOKUP(B180,procv!$A$2:$D$142,4,FALSE)</f>
        <v>Sudeste</v>
      </c>
      <c r="D180" s="33" t="s">
        <v>44</v>
      </c>
      <c r="E180" s="17">
        <v>38</v>
      </c>
      <c r="F180" s="36">
        <f>IFERROR(E180/$AC180,0)</f>
        <v>2.0994475138121547E-2</v>
      </c>
      <c r="G180" s="17">
        <v>7</v>
      </c>
      <c r="H180" s="36">
        <f>IFERROR(G180/$AD180,0)</f>
        <v>1.9718309859154931E-2</v>
      </c>
      <c r="I180" s="17">
        <v>650</v>
      </c>
      <c r="J180" s="36">
        <f>IFERROR(I180/$AC180,0)</f>
        <v>0.35911602209944754</v>
      </c>
      <c r="K180" s="17">
        <v>136</v>
      </c>
      <c r="L180" s="36">
        <f>IFERROR(K180/$AD180,0)</f>
        <v>0.38309859154929576</v>
      </c>
      <c r="M180" s="17">
        <v>661</v>
      </c>
      <c r="N180" s="36">
        <f>IFERROR(M180/$AC180,0)</f>
        <v>0.36519337016574588</v>
      </c>
      <c r="O180" s="17">
        <v>131</v>
      </c>
      <c r="P180" s="36">
        <f>IFERROR(O180/$AD180,0)</f>
        <v>0.36901408450704226</v>
      </c>
      <c r="Q180" s="17">
        <v>313</v>
      </c>
      <c r="R180" s="36">
        <f>IFERROR(Q180/$AC180,0)</f>
        <v>0.17292817679558012</v>
      </c>
      <c r="S180" s="17">
        <v>50</v>
      </c>
      <c r="T180" s="36">
        <f>IFERROR(S180/$AD180,0)</f>
        <v>0.14084507042253522</v>
      </c>
      <c r="U180" s="17">
        <v>109</v>
      </c>
      <c r="V180" s="36">
        <f>IFERROR(U180/$AC180,0)</f>
        <v>6.0220994475138123E-2</v>
      </c>
      <c r="W180" s="17">
        <v>22</v>
      </c>
      <c r="X180" s="36">
        <f>IFERROR(W180/$AD180,0)</f>
        <v>6.1971830985915494E-2</v>
      </c>
      <c r="Y180" s="17">
        <v>39</v>
      </c>
      <c r="Z180" s="36">
        <f>IFERROR(Y180/$AC180,0)</f>
        <v>2.1546961325966851E-2</v>
      </c>
      <c r="AA180" s="17">
        <v>9</v>
      </c>
      <c r="AB180" s="36">
        <f>IFERROR(AA180/$AD180,0)</f>
        <v>2.5352112676056339E-2</v>
      </c>
      <c r="AC180" s="16">
        <v>1810</v>
      </c>
      <c r="AD180" s="17">
        <v>355</v>
      </c>
    </row>
    <row r="181" spans="1:30" ht="15.75" customHeight="1" x14ac:dyDescent="0.25">
      <c r="A181" s="37">
        <v>2023</v>
      </c>
      <c r="B181" s="35">
        <v>170560</v>
      </c>
      <c r="C181" s="33" t="str">
        <f>VLOOKUP(B181,procv!$A$2:$D$142,4,FALSE)</f>
        <v>Sudeste</v>
      </c>
      <c r="D181" s="33" t="s">
        <v>45</v>
      </c>
      <c r="E181" s="17">
        <v>36</v>
      </c>
      <c r="F181" s="36">
        <f>IFERROR(E181/$AC181,0)</f>
        <v>2.8169014084507043E-2</v>
      </c>
      <c r="G181" s="17">
        <v>6</v>
      </c>
      <c r="H181" s="36">
        <f>IFERROR(G181/$AD181,0)</f>
        <v>3.4883720930232558E-2</v>
      </c>
      <c r="I181" s="17">
        <v>430</v>
      </c>
      <c r="J181" s="36">
        <f>IFERROR(I181/$AC181,0)</f>
        <v>0.33646322378716748</v>
      </c>
      <c r="K181" s="17">
        <v>60</v>
      </c>
      <c r="L181" s="36">
        <f>IFERROR(K181/$AD181,0)</f>
        <v>0.34883720930232559</v>
      </c>
      <c r="M181" s="17">
        <v>449</v>
      </c>
      <c r="N181" s="36">
        <f>IFERROR(M181/$AC181,0)</f>
        <v>0.35133020344287952</v>
      </c>
      <c r="O181" s="17">
        <v>54</v>
      </c>
      <c r="P181" s="36">
        <f>IFERROR(O181/$AD181,0)</f>
        <v>0.31395348837209303</v>
      </c>
      <c r="Q181" s="17">
        <v>244</v>
      </c>
      <c r="R181" s="36">
        <f>IFERROR(Q181/$AC181,0)</f>
        <v>0.19092331768388107</v>
      </c>
      <c r="S181" s="17">
        <v>38</v>
      </c>
      <c r="T181" s="36">
        <f>IFERROR(S181/$AD181,0)</f>
        <v>0.22093023255813954</v>
      </c>
      <c r="U181" s="17">
        <v>85</v>
      </c>
      <c r="V181" s="36">
        <f>IFERROR(U181/$AC181,0)</f>
        <v>6.6510172143974963E-2</v>
      </c>
      <c r="W181" s="17">
        <v>9</v>
      </c>
      <c r="X181" s="36">
        <f>IFERROR(W181/$AD181,0)</f>
        <v>5.232558139534884E-2</v>
      </c>
      <c r="Y181" s="17">
        <v>34</v>
      </c>
      <c r="Z181" s="36">
        <f>IFERROR(Y181/$AC181,0)</f>
        <v>2.6604068857589983E-2</v>
      </c>
      <c r="AA181" s="17">
        <v>5</v>
      </c>
      <c r="AB181" s="36">
        <f>IFERROR(AA181/$AD181,0)</f>
        <v>2.9069767441860465E-2</v>
      </c>
      <c r="AC181" s="16">
        <v>1278</v>
      </c>
      <c r="AD181" s="17">
        <v>172</v>
      </c>
    </row>
    <row r="182" spans="1:30" ht="15.75" customHeight="1" x14ac:dyDescent="0.25">
      <c r="A182" s="37">
        <v>2023</v>
      </c>
      <c r="B182" s="35">
        <v>170600</v>
      </c>
      <c r="C182" s="33" t="str">
        <f>VLOOKUP(B182,procv!$A$2:$D$142,4,FALSE)</f>
        <v>Cerrado Tocantins Araguaia</v>
      </c>
      <c r="D182" s="33" t="s">
        <v>46</v>
      </c>
      <c r="E182" s="17">
        <v>41</v>
      </c>
      <c r="F182" s="36">
        <f>IFERROR(E182/$AC182,0)</f>
        <v>2.3631123919308359E-2</v>
      </c>
      <c r="G182" s="17">
        <v>6</v>
      </c>
      <c r="H182" s="36">
        <f>IFERROR(G182/$AD182,0)</f>
        <v>2.3529411764705882E-2</v>
      </c>
      <c r="I182" s="17">
        <v>654</v>
      </c>
      <c r="J182" s="36">
        <f>IFERROR(I182/$AC182,0)</f>
        <v>0.37694524495677234</v>
      </c>
      <c r="K182" s="17">
        <v>96</v>
      </c>
      <c r="L182" s="36">
        <f>IFERROR(K182/$AD182,0)</f>
        <v>0.37647058823529411</v>
      </c>
      <c r="M182" s="17">
        <v>563</v>
      </c>
      <c r="N182" s="36">
        <f>IFERROR(M182/$AC182,0)</f>
        <v>0.32449567723342937</v>
      </c>
      <c r="O182" s="17">
        <v>77</v>
      </c>
      <c r="P182" s="36">
        <f>IFERROR(O182/$AD182,0)</f>
        <v>0.30196078431372547</v>
      </c>
      <c r="Q182" s="17">
        <v>318</v>
      </c>
      <c r="R182" s="36">
        <f>IFERROR(Q182/$AC182,0)</f>
        <v>0.18328530259365994</v>
      </c>
      <c r="S182" s="17">
        <v>50</v>
      </c>
      <c r="T182" s="36">
        <f>IFERROR(S182/$AD182,0)</f>
        <v>0.19607843137254902</v>
      </c>
      <c r="U182" s="17">
        <v>112</v>
      </c>
      <c r="V182" s="36">
        <f>IFERROR(U182/$AC182,0)</f>
        <v>6.4553314121037458E-2</v>
      </c>
      <c r="W182" s="17">
        <v>20</v>
      </c>
      <c r="X182" s="36">
        <f>IFERROR(W182/$AD182,0)</f>
        <v>7.8431372549019607E-2</v>
      </c>
      <c r="Y182" s="17">
        <v>47</v>
      </c>
      <c r="Z182" s="36">
        <f>IFERROR(Y182/$AC182,0)</f>
        <v>2.7089337175792507E-2</v>
      </c>
      <c r="AA182" s="17">
        <v>6</v>
      </c>
      <c r="AB182" s="36">
        <f>IFERROR(AA182/$AD182,0)</f>
        <v>2.3529411764705882E-2</v>
      </c>
      <c r="AC182" s="16">
        <v>1735</v>
      </c>
      <c r="AD182" s="17">
        <v>255</v>
      </c>
    </row>
    <row r="183" spans="1:30" ht="15.75" customHeight="1" x14ac:dyDescent="0.25">
      <c r="A183" s="37">
        <v>2023</v>
      </c>
      <c r="B183" s="35">
        <v>170610</v>
      </c>
      <c r="C183" s="33" t="str">
        <f>VLOOKUP(B183,procv!$A$2:$D$142,4,FALSE)</f>
        <v>Cantão</v>
      </c>
      <c r="D183" s="33" t="s">
        <v>47</v>
      </c>
      <c r="E183" s="17">
        <v>41</v>
      </c>
      <c r="F183" s="36">
        <f>IFERROR(E183/$AC183,0)</f>
        <v>2.2727272727272728E-2</v>
      </c>
      <c r="G183" s="17">
        <v>3</v>
      </c>
      <c r="H183" s="36">
        <f>IFERROR(G183/$AD183,0)</f>
        <v>2.9411764705882353E-2</v>
      </c>
      <c r="I183" s="17">
        <v>556</v>
      </c>
      <c r="J183" s="36">
        <f>IFERROR(I183/$AC183,0)</f>
        <v>0.30820399113082042</v>
      </c>
      <c r="K183" s="17">
        <v>30</v>
      </c>
      <c r="L183" s="36">
        <f>IFERROR(K183/$AD183,0)</f>
        <v>0.29411764705882354</v>
      </c>
      <c r="M183" s="17">
        <v>646</v>
      </c>
      <c r="N183" s="36">
        <f>IFERROR(M183/$AC183,0)</f>
        <v>0.35809312638580931</v>
      </c>
      <c r="O183" s="17">
        <v>48</v>
      </c>
      <c r="P183" s="36">
        <f>IFERROR(O183/$AD183,0)</f>
        <v>0.47058823529411764</v>
      </c>
      <c r="Q183" s="17">
        <v>364</v>
      </c>
      <c r="R183" s="36">
        <f>IFERROR(Q183/$AC183,0)</f>
        <v>0.20177383592017739</v>
      </c>
      <c r="S183" s="17">
        <v>16</v>
      </c>
      <c r="T183" s="36">
        <f>IFERROR(S183/$AD183,0)</f>
        <v>0.15686274509803921</v>
      </c>
      <c r="U183" s="17">
        <v>131</v>
      </c>
      <c r="V183" s="36">
        <f>IFERROR(U183/$AC183,0)</f>
        <v>7.2616407982261641E-2</v>
      </c>
      <c r="W183" s="17">
        <v>3</v>
      </c>
      <c r="X183" s="36">
        <f>IFERROR(W183/$AD183,0)</f>
        <v>2.9411764705882353E-2</v>
      </c>
      <c r="Y183" s="17">
        <v>66</v>
      </c>
      <c r="Z183" s="36">
        <f>IFERROR(Y183/$AC183,0)</f>
        <v>3.6585365853658534E-2</v>
      </c>
      <c r="AA183" s="17">
        <v>2</v>
      </c>
      <c r="AB183" s="36">
        <f>IFERROR(AA183/$AD183,0)</f>
        <v>1.9607843137254902E-2</v>
      </c>
      <c r="AC183" s="16">
        <v>1804</v>
      </c>
      <c r="AD183" s="17">
        <v>102</v>
      </c>
    </row>
    <row r="184" spans="1:30" ht="15.75" customHeight="1" x14ac:dyDescent="0.25">
      <c r="A184" s="37">
        <v>2023</v>
      </c>
      <c r="B184" s="35">
        <v>170625</v>
      </c>
      <c r="C184" s="33" t="str">
        <f>VLOOKUP(B184,procv!$A$2:$D$142,4,FALSE)</f>
        <v>Ilha do Bananal</v>
      </c>
      <c r="D184" s="33" t="s">
        <v>48</v>
      </c>
      <c r="E184" s="17">
        <v>12</v>
      </c>
      <c r="F184" s="36">
        <f>IFERROR(E184/$AC184,0)</f>
        <v>2.003338898163606E-2</v>
      </c>
      <c r="G184" s="17">
        <v>1</v>
      </c>
      <c r="H184" s="36">
        <f>IFERROR(G184/$AD184,0)</f>
        <v>3.5714285714285712E-2</v>
      </c>
      <c r="I184" s="17">
        <v>182</v>
      </c>
      <c r="J184" s="36">
        <f>IFERROR(I184/$AC184,0)</f>
        <v>0.30383973288814692</v>
      </c>
      <c r="K184" s="17">
        <v>11</v>
      </c>
      <c r="L184" s="36">
        <f>IFERROR(K184/$AD184,0)</f>
        <v>0.39285714285714285</v>
      </c>
      <c r="M184" s="17">
        <v>187</v>
      </c>
      <c r="N184" s="36">
        <f>IFERROR(M184/$AC184,0)</f>
        <v>0.31218697829716191</v>
      </c>
      <c r="O184" s="17">
        <v>10</v>
      </c>
      <c r="P184" s="36">
        <f>IFERROR(O184/$AD184,0)</f>
        <v>0.35714285714285715</v>
      </c>
      <c r="Q184" s="17">
        <v>134</v>
      </c>
      <c r="R184" s="36">
        <f>IFERROR(Q184/$AC184,0)</f>
        <v>0.22370617696160267</v>
      </c>
      <c r="S184" s="17">
        <v>2</v>
      </c>
      <c r="T184" s="36">
        <f>IFERROR(S184/$AD184,0)</f>
        <v>7.1428571428571425E-2</v>
      </c>
      <c r="U184" s="17">
        <v>55</v>
      </c>
      <c r="V184" s="36">
        <f>IFERROR(U184/$AC184,0)</f>
        <v>9.1819699499165269E-2</v>
      </c>
      <c r="W184" s="17">
        <v>3</v>
      </c>
      <c r="X184" s="36">
        <f>IFERROR(W184/$AD184,0)</f>
        <v>0.10714285714285714</v>
      </c>
      <c r="Y184" s="17">
        <v>29</v>
      </c>
      <c r="Z184" s="36">
        <f>IFERROR(Y184/$AC184,0)</f>
        <v>4.8414023372287146E-2</v>
      </c>
      <c r="AA184" s="17">
        <v>1</v>
      </c>
      <c r="AB184" s="36">
        <f>IFERROR(AA184/$AD184,0)</f>
        <v>3.5714285714285712E-2</v>
      </c>
      <c r="AC184" s="17">
        <v>599</v>
      </c>
      <c r="AD184" s="17">
        <v>28</v>
      </c>
    </row>
    <row r="185" spans="1:30" ht="15.75" customHeight="1" x14ac:dyDescent="0.25">
      <c r="A185" s="37">
        <v>2023</v>
      </c>
      <c r="B185" s="35">
        <v>170650</v>
      </c>
      <c r="C185" s="33" t="str">
        <f>VLOOKUP(B185,procv!$A$2:$D$142,4,FALSE)</f>
        <v>Médio Norte Araguaia</v>
      </c>
      <c r="D185" s="33" t="s">
        <v>49</v>
      </c>
      <c r="E185" s="17">
        <v>12</v>
      </c>
      <c r="F185" s="36">
        <f>IFERROR(E185/$AC185,0)</f>
        <v>2.2988505747126436E-2</v>
      </c>
      <c r="G185" s="17">
        <v>0</v>
      </c>
      <c r="H185" s="36">
        <f>IFERROR(G185/$AD185,0)</f>
        <v>0</v>
      </c>
      <c r="I185" s="17">
        <v>188</v>
      </c>
      <c r="J185" s="36">
        <f>IFERROR(I185/$AC185,0)</f>
        <v>0.36015325670498083</v>
      </c>
      <c r="K185" s="17">
        <v>11</v>
      </c>
      <c r="L185" s="36">
        <f>IFERROR(K185/$AD185,0)</f>
        <v>0.30555555555555558</v>
      </c>
      <c r="M185" s="17">
        <v>183</v>
      </c>
      <c r="N185" s="36">
        <f>IFERROR(M185/$AC185,0)</f>
        <v>0.35057471264367818</v>
      </c>
      <c r="O185" s="17">
        <v>13</v>
      </c>
      <c r="P185" s="36">
        <f>IFERROR(O185/$AD185,0)</f>
        <v>0.3611111111111111</v>
      </c>
      <c r="Q185" s="17">
        <v>95</v>
      </c>
      <c r="R185" s="36">
        <f>IFERROR(Q185/$AC185,0)</f>
        <v>0.18199233716475097</v>
      </c>
      <c r="S185" s="17">
        <v>8</v>
      </c>
      <c r="T185" s="36">
        <f>IFERROR(S185/$AD185,0)</f>
        <v>0.22222222222222221</v>
      </c>
      <c r="U185" s="17">
        <v>36</v>
      </c>
      <c r="V185" s="36">
        <f>IFERROR(U185/$AC185,0)</f>
        <v>6.8965517241379309E-2</v>
      </c>
      <c r="W185" s="17">
        <v>4</v>
      </c>
      <c r="X185" s="36">
        <f>IFERROR(W185/$AD185,0)</f>
        <v>0.1111111111111111</v>
      </c>
      <c r="Y185" s="17">
        <v>8</v>
      </c>
      <c r="Z185" s="36">
        <f>IFERROR(Y185/$AC185,0)</f>
        <v>1.532567049808429E-2</v>
      </c>
      <c r="AA185" s="17">
        <v>0</v>
      </c>
      <c r="AB185" s="36">
        <f>IFERROR(AA185/$AD185,0)</f>
        <v>0</v>
      </c>
      <c r="AC185" s="17">
        <v>522</v>
      </c>
      <c r="AD185" s="17">
        <v>36</v>
      </c>
    </row>
    <row r="186" spans="1:30" ht="15.75" customHeight="1" x14ac:dyDescent="0.25">
      <c r="A186" s="37">
        <v>2023</v>
      </c>
      <c r="B186" s="35">
        <v>170700</v>
      </c>
      <c r="C186" s="33" t="str">
        <f>VLOOKUP(B186,procv!$A$2:$D$142,4,FALSE)</f>
        <v>Sudeste</v>
      </c>
      <c r="D186" s="33" t="s">
        <v>50</v>
      </c>
      <c r="E186" s="17">
        <v>100</v>
      </c>
      <c r="F186" s="36">
        <f>IFERROR(E186/$AC186,0)</f>
        <v>2.6336581511719779E-2</v>
      </c>
      <c r="G186" s="17">
        <v>19</v>
      </c>
      <c r="H186" s="36">
        <f>IFERROR(G186/$AD186,0)</f>
        <v>5.9748427672955975E-2</v>
      </c>
      <c r="I186" s="16">
        <v>1226</v>
      </c>
      <c r="J186" s="36">
        <f>IFERROR(I186/$AC186,0)</f>
        <v>0.32288648933368447</v>
      </c>
      <c r="K186" s="17">
        <v>101</v>
      </c>
      <c r="L186" s="36">
        <f>IFERROR(K186/$AD186,0)</f>
        <v>0.31761006289308175</v>
      </c>
      <c r="M186" s="16">
        <v>1346</v>
      </c>
      <c r="N186" s="36">
        <f>IFERROR(M186/$AC186,0)</f>
        <v>0.35449038714774822</v>
      </c>
      <c r="O186" s="17">
        <v>115</v>
      </c>
      <c r="P186" s="36">
        <f>IFERROR(O186/$AD186,0)</f>
        <v>0.36163522012578614</v>
      </c>
      <c r="Q186" s="17">
        <v>757</v>
      </c>
      <c r="R186" s="36">
        <f>IFERROR(Q186/$AC186,0)</f>
        <v>0.19936792204371873</v>
      </c>
      <c r="S186" s="17">
        <v>60</v>
      </c>
      <c r="T186" s="36">
        <f>IFERROR(S186/$AD186,0)</f>
        <v>0.18867924528301888</v>
      </c>
      <c r="U186" s="17">
        <v>258</v>
      </c>
      <c r="V186" s="36">
        <f>IFERROR(U186/$AC186,0)</f>
        <v>6.7948380300237032E-2</v>
      </c>
      <c r="W186" s="17">
        <v>18</v>
      </c>
      <c r="X186" s="36">
        <f>IFERROR(W186/$AD186,0)</f>
        <v>5.6603773584905662E-2</v>
      </c>
      <c r="Y186" s="17">
        <v>110</v>
      </c>
      <c r="Z186" s="36">
        <f>IFERROR(Y186/$AC186,0)</f>
        <v>2.8970239662891757E-2</v>
      </c>
      <c r="AA186" s="17">
        <v>5</v>
      </c>
      <c r="AB186" s="36">
        <f>IFERROR(AA186/$AD186,0)</f>
        <v>1.5723270440251572E-2</v>
      </c>
      <c r="AC186" s="16">
        <v>3797</v>
      </c>
      <c r="AD186" s="17">
        <v>318</v>
      </c>
    </row>
    <row r="187" spans="1:30" ht="15.75" customHeight="1" x14ac:dyDescent="0.25">
      <c r="A187" s="37">
        <v>2023</v>
      </c>
      <c r="B187" s="35">
        <v>170710</v>
      </c>
      <c r="C187" s="33" t="str">
        <f>VLOOKUP(B187,procv!$A$2:$D$142,4,FALSE)</f>
        <v>Cantão</v>
      </c>
      <c r="D187" s="33" t="s">
        <v>51</v>
      </c>
      <c r="E187" s="17">
        <v>45</v>
      </c>
      <c r="F187" s="36">
        <f>IFERROR(E187/$AC187,0)</f>
        <v>2.2658610271903322E-2</v>
      </c>
      <c r="G187" s="17">
        <v>7</v>
      </c>
      <c r="H187" s="36">
        <f>IFERROR(G187/$AD187,0)</f>
        <v>4.6979865771812082E-2</v>
      </c>
      <c r="I187" s="17">
        <v>640</v>
      </c>
      <c r="J187" s="36">
        <f>IFERROR(I187/$AC187,0)</f>
        <v>0.32225579053373615</v>
      </c>
      <c r="K187" s="17">
        <v>49</v>
      </c>
      <c r="L187" s="36">
        <f>IFERROR(K187/$AD187,0)</f>
        <v>0.32885906040268459</v>
      </c>
      <c r="M187" s="17">
        <v>717</v>
      </c>
      <c r="N187" s="36">
        <f>IFERROR(M187/$AC187,0)</f>
        <v>0.36102719033232628</v>
      </c>
      <c r="O187" s="17">
        <v>52</v>
      </c>
      <c r="P187" s="36">
        <f>IFERROR(O187/$AD187,0)</f>
        <v>0.34899328859060402</v>
      </c>
      <c r="Q187" s="17">
        <v>385</v>
      </c>
      <c r="R187" s="36">
        <f>IFERROR(Q187/$AC187,0)</f>
        <v>0.19385699899295064</v>
      </c>
      <c r="S187" s="17">
        <v>23</v>
      </c>
      <c r="T187" s="36">
        <f>IFERROR(S187/$AD187,0)</f>
        <v>0.15436241610738255</v>
      </c>
      <c r="U187" s="17">
        <v>143</v>
      </c>
      <c r="V187" s="36">
        <f>IFERROR(U187/$AC187,0)</f>
        <v>7.2004028197381678E-2</v>
      </c>
      <c r="W187" s="17">
        <v>11</v>
      </c>
      <c r="X187" s="36">
        <f>IFERROR(W187/$AD187,0)</f>
        <v>7.3825503355704702E-2</v>
      </c>
      <c r="Y187" s="17">
        <v>56</v>
      </c>
      <c r="Z187" s="36">
        <f>IFERROR(Y187/$AC187,0)</f>
        <v>2.8197381671701913E-2</v>
      </c>
      <c r="AA187" s="17">
        <v>7</v>
      </c>
      <c r="AB187" s="36">
        <f>IFERROR(AA187/$AD187,0)</f>
        <v>4.6979865771812082E-2</v>
      </c>
      <c r="AC187" s="16">
        <v>1986</v>
      </c>
      <c r="AD187" s="17">
        <v>149</v>
      </c>
    </row>
    <row r="188" spans="1:30" ht="15.75" customHeight="1" x14ac:dyDescent="0.25">
      <c r="A188" s="37">
        <v>2023</v>
      </c>
      <c r="B188" s="35">
        <v>170720</v>
      </c>
      <c r="C188" s="33" t="str">
        <f>VLOOKUP(B188,procv!$A$2:$D$142,4,FALSE)</f>
        <v>Cantão</v>
      </c>
      <c r="D188" s="33" t="s">
        <v>52</v>
      </c>
      <c r="E188" s="17">
        <v>15</v>
      </c>
      <c r="F188" s="36">
        <f>IFERROR(E188/$AC188,0)</f>
        <v>1.8564356435643563E-2</v>
      </c>
      <c r="G188" s="17">
        <v>5</v>
      </c>
      <c r="H188" s="36">
        <f>IFERROR(G188/$AD188,0)</f>
        <v>2.1834061135371178E-2</v>
      </c>
      <c r="I188" s="17">
        <v>231</v>
      </c>
      <c r="J188" s="36">
        <f>IFERROR(I188/$AC188,0)</f>
        <v>0.28589108910891087</v>
      </c>
      <c r="K188" s="17">
        <v>69</v>
      </c>
      <c r="L188" s="36">
        <f>IFERROR(K188/$AD188,0)</f>
        <v>0.30131004366812225</v>
      </c>
      <c r="M188" s="17">
        <v>294</v>
      </c>
      <c r="N188" s="36">
        <f>IFERROR(M188/$AC188,0)</f>
        <v>0.36386138613861385</v>
      </c>
      <c r="O188" s="17">
        <v>92</v>
      </c>
      <c r="P188" s="36">
        <f>IFERROR(O188/$AD188,0)</f>
        <v>0.40174672489082969</v>
      </c>
      <c r="Q188" s="17">
        <v>166</v>
      </c>
      <c r="R188" s="36">
        <f>IFERROR(Q188/$AC188,0)</f>
        <v>0.20544554455445543</v>
      </c>
      <c r="S188" s="17">
        <v>33</v>
      </c>
      <c r="T188" s="36">
        <f>IFERROR(S188/$AD188,0)</f>
        <v>0.14410480349344978</v>
      </c>
      <c r="U188" s="17">
        <v>67</v>
      </c>
      <c r="V188" s="36">
        <f>IFERROR(U188/$AC188,0)</f>
        <v>8.2920792079207925E-2</v>
      </c>
      <c r="W188" s="17">
        <v>22</v>
      </c>
      <c r="X188" s="36">
        <f>IFERROR(W188/$AD188,0)</f>
        <v>9.606986899563319E-2</v>
      </c>
      <c r="Y188" s="17">
        <v>35</v>
      </c>
      <c r="Z188" s="36">
        <f>IFERROR(Y188/$AC188,0)</f>
        <v>4.3316831683168314E-2</v>
      </c>
      <c r="AA188" s="17">
        <v>8</v>
      </c>
      <c r="AB188" s="36">
        <f>IFERROR(AA188/$AD188,0)</f>
        <v>3.4934497816593885E-2</v>
      </c>
      <c r="AC188" s="17">
        <v>808</v>
      </c>
      <c r="AD188" s="17">
        <v>229</v>
      </c>
    </row>
    <row r="189" spans="1:30" ht="15.75" customHeight="1" x14ac:dyDescent="0.25">
      <c r="A189" s="37">
        <v>2023</v>
      </c>
      <c r="B189" s="35">
        <v>170730</v>
      </c>
      <c r="C189" s="33" t="str">
        <f>VLOOKUP(B189,procv!$A$2:$D$142,4,FALSE)</f>
        <v>Ilha do Bananal</v>
      </c>
      <c r="D189" s="33" t="s">
        <v>53</v>
      </c>
      <c r="E189" s="17">
        <v>30</v>
      </c>
      <c r="F189" s="36">
        <f>IFERROR(E189/$AC189,0)</f>
        <v>2.0746887966804978E-2</v>
      </c>
      <c r="G189" s="17">
        <v>2</v>
      </c>
      <c r="H189" s="36">
        <f>IFERROR(G189/$AD189,0)</f>
        <v>1.3333333333333334E-2</v>
      </c>
      <c r="I189" s="17">
        <v>425</v>
      </c>
      <c r="J189" s="36">
        <f>IFERROR(I189/$AC189,0)</f>
        <v>0.29391424619640388</v>
      </c>
      <c r="K189" s="17">
        <v>56</v>
      </c>
      <c r="L189" s="36">
        <f>IFERROR(K189/$AD189,0)</f>
        <v>0.37333333333333335</v>
      </c>
      <c r="M189" s="17">
        <v>505</v>
      </c>
      <c r="N189" s="36">
        <f>IFERROR(M189/$AC189,0)</f>
        <v>0.34923928077455046</v>
      </c>
      <c r="O189" s="17">
        <v>47</v>
      </c>
      <c r="P189" s="36">
        <f>IFERROR(O189/$AD189,0)</f>
        <v>0.31333333333333335</v>
      </c>
      <c r="Q189" s="17">
        <v>325</v>
      </c>
      <c r="R189" s="36">
        <f>IFERROR(Q189/$AC189,0)</f>
        <v>0.22475795297372061</v>
      </c>
      <c r="S189" s="17">
        <v>31</v>
      </c>
      <c r="T189" s="36">
        <f>IFERROR(S189/$AD189,0)</f>
        <v>0.20666666666666667</v>
      </c>
      <c r="U189" s="17">
        <v>103</v>
      </c>
      <c r="V189" s="36">
        <f>IFERROR(U189/$AC189,0)</f>
        <v>7.1230982019363759E-2</v>
      </c>
      <c r="W189" s="17">
        <v>6</v>
      </c>
      <c r="X189" s="36">
        <f>IFERROR(W189/$AD189,0)</f>
        <v>0.04</v>
      </c>
      <c r="Y189" s="17">
        <v>58</v>
      </c>
      <c r="Z189" s="36">
        <f>IFERROR(Y189/$AC189,0)</f>
        <v>4.0110650069156296E-2</v>
      </c>
      <c r="AA189" s="17">
        <v>8</v>
      </c>
      <c r="AB189" s="36">
        <f>IFERROR(AA189/$AD189,0)</f>
        <v>5.3333333333333337E-2</v>
      </c>
      <c r="AC189" s="16">
        <v>1446</v>
      </c>
      <c r="AD189" s="17">
        <v>150</v>
      </c>
    </row>
    <row r="190" spans="1:30" ht="15.75" customHeight="1" x14ac:dyDescent="0.25">
      <c r="A190" s="37">
        <v>2023</v>
      </c>
      <c r="B190" s="35">
        <v>170740</v>
      </c>
      <c r="C190" s="33" t="str">
        <f>VLOOKUP(B190,procv!$A$2:$D$142,4,FALSE)</f>
        <v>Bico do Papagaio</v>
      </c>
      <c r="D190" s="33" t="s">
        <v>54</v>
      </c>
      <c r="E190" s="17">
        <v>65</v>
      </c>
      <c r="F190" s="36">
        <f>IFERROR(E190/$AC190,0)</f>
        <v>2.4127691165553081E-2</v>
      </c>
      <c r="G190" s="17">
        <v>11</v>
      </c>
      <c r="H190" s="36">
        <f>IFERROR(G190/$AD190,0)</f>
        <v>2.7777777777777776E-2</v>
      </c>
      <c r="I190" s="17">
        <v>889</v>
      </c>
      <c r="J190" s="36">
        <f>IFERROR(I190/$AC190,0)</f>
        <v>0.32999257609502597</v>
      </c>
      <c r="K190" s="17">
        <v>152</v>
      </c>
      <c r="L190" s="36">
        <f>IFERROR(K190/$AD190,0)</f>
        <v>0.38383838383838381</v>
      </c>
      <c r="M190" s="17">
        <v>974</v>
      </c>
      <c r="N190" s="36">
        <f>IFERROR(M190/$AC190,0)</f>
        <v>0.3615441722345954</v>
      </c>
      <c r="O190" s="17">
        <v>124</v>
      </c>
      <c r="P190" s="36">
        <f>IFERROR(O190/$AD190,0)</f>
        <v>0.31313131313131315</v>
      </c>
      <c r="Q190" s="17">
        <v>511</v>
      </c>
      <c r="R190" s="36">
        <f>IFERROR(Q190/$AC190,0)</f>
        <v>0.18968077208611731</v>
      </c>
      <c r="S190" s="17">
        <v>65</v>
      </c>
      <c r="T190" s="36">
        <f>IFERROR(S190/$AD190,0)</f>
        <v>0.16414141414141414</v>
      </c>
      <c r="U190" s="17">
        <v>184</v>
      </c>
      <c r="V190" s="36">
        <f>IFERROR(U190/$AC190,0)</f>
        <v>6.8299925760950259E-2</v>
      </c>
      <c r="W190" s="17">
        <v>30</v>
      </c>
      <c r="X190" s="36">
        <f>IFERROR(W190/$AD190,0)</f>
        <v>7.575757575757576E-2</v>
      </c>
      <c r="Y190" s="17">
        <v>71</v>
      </c>
      <c r="Z190" s="36">
        <f>IFERROR(Y190/$AC190,0)</f>
        <v>2.635486265775798E-2</v>
      </c>
      <c r="AA190" s="17">
        <v>14</v>
      </c>
      <c r="AB190" s="36">
        <f>IFERROR(AA190/$AD190,0)</f>
        <v>3.5353535353535352E-2</v>
      </c>
      <c r="AC190" s="16">
        <v>2694</v>
      </c>
      <c r="AD190" s="17">
        <v>396</v>
      </c>
    </row>
    <row r="191" spans="1:30" ht="15.75" customHeight="1" x14ac:dyDescent="0.25">
      <c r="A191" s="37">
        <v>2023</v>
      </c>
      <c r="B191" s="35">
        <v>170755</v>
      </c>
      <c r="C191" s="33" t="str">
        <f>VLOOKUP(B191,procv!$A$2:$D$142,4,FALSE)</f>
        <v>Amor Perfeito</v>
      </c>
      <c r="D191" s="33" t="s">
        <v>55</v>
      </c>
      <c r="E191" s="17">
        <v>9</v>
      </c>
      <c r="F191" s="36">
        <f>IFERROR(E191/$AC191,0)</f>
        <v>1.0739856801909307E-2</v>
      </c>
      <c r="G191" s="17">
        <v>0</v>
      </c>
      <c r="H191" s="36">
        <f>IFERROR(G191/$AD191,0)</f>
        <v>0</v>
      </c>
      <c r="I191" s="17">
        <v>254</v>
      </c>
      <c r="J191" s="36">
        <f>IFERROR(I191/$AC191,0)</f>
        <v>0.30310262529832938</v>
      </c>
      <c r="K191" s="17">
        <v>38</v>
      </c>
      <c r="L191" s="36">
        <f>IFERROR(K191/$AD191,0)</f>
        <v>0.34862385321100919</v>
      </c>
      <c r="M191" s="17">
        <v>307</v>
      </c>
      <c r="N191" s="36">
        <f>IFERROR(M191/$AC191,0)</f>
        <v>0.36634844868735084</v>
      </c>
      <c r="O191" s="17">
        <v>40</v>
      </c>
      <c r="P191" s="36">
        <f>IFERROR(O191/$AD191,0)</f>
        <v>0.3669724770642202</v>
      </c>
      <c r="Q191" s="17">
        <v>174</v>
      </c>
      <c r="R191" s="36">
        <f>IFERROR(Q191/$AC191,0)</f>
        <v>0.20763723150357996</v>
      </c>
      <c r="S191" s="17">
        <v>17</v>
      </c>
      <c r="T191" s="36">
        <f>IFERROR(S191/$AD191,0)</f>
        <v>0.15596330275229359</v>
      </c>
      <c r="U191" s="17">
        <v>56</v>
      </c>
      <c r="V191" s="36">
        <f>IFERROR(U191/$AC191,0)</f>
        <v>6.6825775656324582E-2</v>
      </c>
      <c r="W191" s="17">
        <v>7</v>
      </c>
      <c r="X191" s="36">
        <f>IFERROR(W191/$AD191,0)</f>
        <v>6.4220183486238536E-2</v>
      </c>
      <c r="Y191" s="17">
        <v>38</v>
      </c>
      <c r="Z191" s="36">
        <f>IFERROR(Y191/$AC191,0)</f>
        <v>4.5346062052505964E-2</v>
      </c>
      <c r="AA191" s="17">
        <v>7</v>
      </c>
      <c r="AB191" s="36">
        <f>IFERROR(AA191/$AD191,0)</f>
        <v>6.4220183486238536E-2</v>
      </c>
      <c r="AC191" s="17">
        <v>838</v>
      </c>
      <c r="AD191" s="17">
        <v>109</v>
      </c>
    </row>
    <row r="192" spans="1:30" ht="15.75" customHeight="1" x14ac:dyDescent="0.25">
      <c r="A192" s="37">
        <v>2023</v>
      </c>
      <c r="B192" s="35">
        <v>170765</v>
      </c>
      <c r="C192" s="33" t="str">
        <f>VLOOKUP(B192,procv!$A$2:$D$142,4,FALSE)</f>
        <v>Ilha do Bananal</v>
      </c>
      <c r="D192" s="33" t="s">
        <v>56</v>
      </c>
      <c r="E192" s="17">
        <v>46</v>
      </c>
      <c r="F192" s="36">
        <f>IFERROR(E192/$AC192,0)</f>
        <v>3.842940685045948E-2</v>
      </c>
      <c r="G192" s="17">
        <v>10</v>
      </c>
      <c r="H192" s="36">
        <f>IFERROR(G192/$AD192,0)</f>
        <v>5.6497175141242938E-2</v>
      </c>
      <c r="I192" s="17">
        <v>335</v>
      </c>
      <c r="J192" s="36">
        <f>IFERROR(I192/$AC192,0)</f>
        <v>0.27986633249791143</v>
      </c>
      <c r="K192" s="17">
        <v>58</v>
      </c>
      <c r="L192" s="36">
        <f>IFERROR(K192/$AD192,0)</f>
        <v>0.32768361581920902</v>
      </c>
      <c r="M192" s="17">
        <v>368</v>
      </c>
      <c r="N192" s="36">
        <f>IFERROR(M192/$AC192,0)</f>
        <v>0.30743525480367584</v>
      </c>
      <c r="O192" s="17">
        <v>62</v>
      </c>
      <c r="P192" s="36">
        <f>IFERROR(O192/$AD192,0)</f>
        <v>0.35028248587570621</v>
      </c>
      <c r="Q192" s="17">
        <v>282</v>
      </c>
      <c r="R192" s="36">
        <f>IFERROR(Q192/$AC192,0)</f>
        <v>0.23558897243107768</v>
      </c>
      <c r="S192" s="17">
        <v>27</v>
      </c>
      <c r="T192" s="36">
        <f>IFERROR(S192/$AD192,0)</f>
        <v>0.15254237288135594</v>
      </c>
      <c r="U192" s="17">
        <v>98</v>
      </c>
      <c r="V192" s="36">
        <f>IFERROR(U192/$AC192,0)</f>
        <v>8.1871345029239762E-2</v>
      </c>
      <c r="W192" s="17">
        <v>13</v>
      </c>
      <c r="X192" s="36">
        <f>IFERROR(W192/$AD192,0)</f>
        <v>7.3446327683615822E-2</v>
      </c>
      <c r="Y192" s="17">
        <v>68</v>
      </c>
      <c r="Z192" s="36">
        <f>IFERROR(Y192/$AC192,0)</f>
        <v>5.6808688387635753E-2</v>
      </c>
      <c r="AA192" s="17">
        <v>7</v>
      </c>
      <c r="AB192" s="36">
        <f>IFERROR(AA192/$AD192,0)</f>
        <v>3.954802259887006E-2</v>
      </c>
      <c r="AC192" s="16">
        <v>1197</v>
      </c>
      <c r="AD192" s="17">
        <v>177</v>
      </c>
    </row>
    <row r="193" spans="1:30" ht="15.75" customHeight="1" x14ac:dyDescent="0.25">
      <c r="A193" s="37">
        <v>2023</v>
      </c>
      <c r="B193" s="35">
        <v>170770</v>
      </c>
      <c r="C193" s="33" t="str">
        <f>VLOOKUP(B193,procv!$A$2:$D$142,4,FALSE)</f>
        <v>Médio Norte Araguaia</v>
      </c>
      <c r="D193" s="33" t="s">
        <v>57</v>
      </c>
      <c r="E193" s="17">
        <v>60</v>
      </c>
      <c r="F193" s="36">
        <f>IFERROR(E193/$AC193,0)</f>
        <v>2.5553662691652469E-2</v>
      </c>
      <c r="G193" s="17">
        <v>15</v>
      </c>
      <c r="H193" s="36">
        <f>IFERROR(G193/$AD193,0)</f>
        <v>3.8461538461538464E-2</v>
      </c>
      <c r="I193" s="17">
        <v>802</v>
      </c>
      <c r="J193" s="36">
        <f>IFERROR(I193/$AC193,0)</f>
        <v>0.34156729131175467</v>
      </c>
      <c r="K193" s="17">
        <v>139</v>
      </c>
      <c r="L193" s="36">
        <f>IFERROR(K193/$AD193,0)</f>
        <v>0.35641025641025642</v>
      </c>
      <c r="M193" s="17">
        <v>809</v>
      </c>
      <c r="N193" s="36">
        <f>IFERROR(M193/$AC193,0)</f>
        <v>0.34454855195911416</v>
      </c>
      <c r="O193" s="17">
        <v>121</v>
      </c>
      <c r="P193" s="36">
        <f>IFERROR(O193/$AD193,0)</f>
        <v>0.31025641025641026</v>
      </c>
      <c r="Q193" s="17">
        <v>464</v>
      </c>
      <c r="R193" s="36">
        <f>IFERROR(Q193/$AC193,0)</f>
        <v>0.19761499148211242</v>
      </c>
      <c r="S193" s="17">
        <v>79</v>
      </c>
      <c r="T193" s="36">
        <f>IFERROR(S193/$AD193,0)</f>
        <v>0.20256410256410257</v>
      </c>
      <c r="U193" s="17">
        <v>150</v>
      </c>
      <c r="V193" s="36">
        <f>IFERROR(U193/$AC193,0)</f>
        <v>6.388415672913117E-2</v>
      </c>
      <c r="W193" s="17">
        <v>22</v>
      </c>
      <c r="X193" s="36">
        <f>IFERROR(W193/$AD193,0)</f>
        <v>5.6410256410256411E-2</v>
      </c>
      <c r="Y193" s="17">
        <v>63</v>
      </c>
      <c r="Z193" s="36">
        <f>IFERROR(Y193/$AC193,0)</f>
        <v>2.6831345826235094E-2</v>
      </c>
      <c r="AA193" s="17">
        <v>14</v>
      </c>
      <c r="AB193" s="36">
        <f>IFERROR(AA193/$AD193,0)</f>
        <v>3.5897435897435895E-2</v>
      </c>
      <c r="AC193" s="16">
        <v>2348</v>
      </c>
      <c r="AD193" s="17">
        <v>390</v>
      </c>
    </row>
    <row r="194" spans="1:30" ht="15.75" customHeight="1" x14ac:dyDescent="0.25">
      <c r="A194" s="37">
        <v>2023</v>
      </c>
      <c r="B194" s="35">
        <v>170820</v>
      </c>
      <c r="C194" s="33" t="str">
        <f>VLOOKUP(B194,procv!$A$2:$D$142,4,FALSE)</f>
        <v>Ilha do Bananal</v>
      </c>
      <c r="D194" s="33" t="s">
        <v>58</v>
      </c>
      <c r="E194" s="17">
        <v>45</v>
      </c>
      <c r="F194" s="36">
        <f>IFERROR(E194/$AC194,0)</f>
        <v>1.487603305785124E-2</v>
      </c>
      <c r="G194" s="17">
        <v>10</v>
      </c>
      <c r="H194" s="36">
        <f>IFERROR(G194/$AD194,0)</f>
        <v>1.8382352941176471E-2</v>
      </c>
      <c r="I194" s="17">
        <v>891</v>
      </c>
      <c r="J194" s="36">
        <f>IFERROR(I194/$AC194,0)</f>
        <v>0.29454545454545455</v>
      </c>
      <c r="K194" s="17">
        <v>145</v>
      </c>
      <c r="L194" s="36">
        <f>IFERROR(K194/$AD194,0)</f>
        <v>0.26654411764705882</v>
      </c>
      <c r="M194" s="16">
        <v>1085</v>
      </c>
      <c r="N194" s="36">
        <f>IFERROR(M194/$AC194,0)</f>
        <v>0.35867768595041322</v>
      </c>
      <c r="O194" s="17">
        <v>187</v>
      </c>
      <c r="P194" s="36">
        <f>IFERROR(O194/$AD194,0)</f>
        <v>0.34375</v>
      </c>
      <c r="Q194" s="17">
        <v>664</v>
      </c>
      <c r="R194" s="36">
        <f>IFERROR(Q194/$AC194,0)</f>
        <v>0.21950413223140497</v>
      </c>
      <c r="S194" s="17">
        <v>128</v>
      </c>
      <c r="T194" s="36">
        <f>IFERROR(S194/$AD194,0)</f>
        <v>0.23529411764705882</v>
      </c>
      <c r="U194" s="17">
        <v>230</v>
      </c>
      <c r="V194" s="36">
        <f>IFERROR(U194/$AC194,0)</f>
        <v>7.6033057851239663E-2</v>
      </c>
      <c r="W194" s="17">
        <v>54</v>
      </c>
      <c r="X194" s="36">
        <f>IFERROR(W194/$AD194,0)</f>
        <v>9.9264705882352935E-2</v>
      </c>
      <c r="Y194" s="17">
        <v>110</v>
      </c>
      <c r="Z194" s="36">
        <f>IFERROR(Y194/$AC194,0)</f>
        <v>3.6363636363636362E-2</v>
      </c>
      <c r="AA194" s="17">
        <v>20</v>
      </c>
      <c r="AB194" s="36">
        <f>IFERROR(AA194/$AD194,0)</f>
        <v>3.6764705882352942E-2</v>
      </c>
      <c r="AC194" s="16">
        <v>3025</v>
      </c>
      <c r="AD194" s="17">
        <v>544</v>
      </c>
    </row>
    <row r="195" spans="1:30" ht="15.75" customHeight="1" x14ac:dyDescent="0.25">
      <c r="A195" s="37">
        <v>2023</v>
      </c>
      <c r="B195" s="35">
        <v>170830</v>
      </c>
      <c r="C195" s="33" t="str">
        <f>VLOOKUP(B195,procv!$A$2:$D$142,4,FALSE)</f>
        <v>Cerrado Tocantins Araguaia</v>
      </c>
      <c r="D195" s="33" t="s">
        <v>59</v>
      </c>
      <c r="E195" s="17">
        <v>21</v>
      </c>
      <c r="F195" s="36">
        <f>IFERROR(E195/$AC195,0)</f>
        <v>1.5486725663716814E-2</v>
      </c>
      <c r="G195" s="17">
        <v>3</v>
      </c>
      <c r="H195" s="36">
        <f>IFERROR(G195/$AD195,0)</f>
        <v>2.0833333333333332E-2</v>
      </c>
      <c r="I195" s="17">
        <v>462</v>
      </c>
      <c r="J195" s="36">
        <f>IFERROR(I195/$AC195,0)</f>
        <v>0.34070796460176989</v>
      </c>
      <c r="K195" s="17">
        <v>55</v>
      </c>
      <c r="L195" s="36">
        <f>IFERROR(K195/$AD195,0)</f>
        <v>0.38194444444444442</v>
      </c>
      <c r="M195" s="17">
        <v>501</v>
      </c>
      <c r="N195" s="36">
        <f>IFERROR(M195/$AC195,0)</f>
        <v>0.36946902654867259</v>
      </c>
      <c r="O195" s="17">
        <v>48</v>
      </c>
      <c r="P195" s="36">
        <f>IFERROR(O195/$AD195,0)</f>
        <v>0.33333333333333331</v>
      </c>
      <c r="Q195" s="17">
        <v>255</v>
      </c>
      <c r="R195" s="36">
        <f>IFERROR(Q195/$AC195,0)</f>
        <v>0.18805309734513273</v>
      </c>
      <c r="S195" s="17">
        <v>24</v>
      </c>
      <c r="T195" s="36">
        <f>IFERROR(S195/$AD195,0)</f>
        <v>0.16666666666666666</v>
      </c>
      <c r="U195" s="17">
        <v>78</v>
      </c>
      <c r="V195" s="36">
        <f>IFERROR(U195/$AC195,0)</f>
        <v>5.7522123893805309E-2</v>
      </c>
      <c r="W195" s="17">
        <v>12</v>
      </c>
      <c r="X195" s="36">
        <f>IFERROR(W195/$AD195,0)</f>
        <v>8.3333333333333329E-2</v>
      </c>
      <c r="Y195" s="17">
        <v>39</v>
      </c>
      <c r="Z195" s="36">
        <f>IFERROR(Y195/$AC195,0)</f>
        <v>2.8761061946902654E-2</v>
      </c>
      <c r="AA195" s="17">
        <v>2</v>
      </c>
      <c r="AB195" s="36">
        <f>IFERROR(AA195/$AD195,0)</f>
        <v>1.3888888888888888E-2</v>
      </c>
      <c r="AC195" s="16">
        <v>1356</v>
      </c>
      <c r="AD195" s="17">
        <v>144</v>
      </c>
    </row>
    <row r="196" spans="1:30" ht="15.75" customHeight="1" x14ac:dyDescent="0.25">
      <c r="A196" s="37">
        <v>2023</v>
      </c>
      <c r="B196" s="35">
        <v>170900</v>
      </c>
      <c r="C196" s="33" t="str">
        <f>VLOOKUP(B196,procv!$A$2:$D$142,4,FALSE)</f>
        <v>Médio Norte Araguaia</v>
      </c>
      <c r="D196" s="33" t="s">
        <v>60</v>
      </c>
      <c r="E196" s="17">
        <v>32</v>
      </c>
      <c r="F196" s="36">
        <f>IFERROR(E196/$AC196,0)</f>
        <v>2.1038790269559501E-2</v>
      </c>
      <c r="G196" s="17">
        <v>15</v>
      </c>
      <c r="H196" s="36">
        <f>IFERROR(G196/$AD196,0)</f>
        <v>2.8790786948176585E-2</v>
      </c>
      <c r="I196" s="17">
        <v>557</v>
      </c>
      <c r="J196" s="36">
        <f>IFERROR(I196/$AC196,0)</f>
        <v>0.36620644312952005</v>
      </c>
      <c r="K196" s="17">
        <v>194</v>
      </c>
      <c r="L196" s="36">
        <f>IFERROR(K196/$AD196,0)</f>
        <v>0.37236084452975049</v>
      </c>
      <c r="M196" s="17">
        <v>538</v>
      </c>
      <c r="N196" s="36">
        <f>IFERROR(M196/$AC196,0)</f>
        <v>0.35371466140696911</v>
      </c>
      <c r="O196" s="17">
        <v>184</v>
      </c>
      <c r="P196" s="36">
        <f>IFERROR(O196/$AD196,0)</f>
        <v>0.3531669865642994</v>
      </c>
      <c r="Q196" s="17">
        <v>275</v>
      </c>
      <c r="R196" s="36">
        <f>IFERROR(Q196/$AC196,0)</f>
        <v>0.18080210387902695</v>
      </c>
      <c r="S196" s="17">
        <v>92</v>
      </c>
      <c r="T196" s="36">
        <f>IFERROR(S196/$AD196,0)</f>
        <v>0.1765834932821497</v>
      </c>
      <c r="U196" s="17">
        <v>85</v>
      </c>
      <c r="V196" s="36">
        <f>IFERROR(U196/$AC196,0)</f>
        <v>5.5884286653517426E-2</v>
      </c>
      <c r="W196" s="17">
        <v>30</v>
      </c>
      <c r="X196" s="36">
        <f>IFERROR(W196/$AD196,0)</f>
        <v>5.7581573896353169E-2</v>
      </c>
      <c r="Y196" s="17">
        <v>34</v>
      </c>
      <c r="Z196" s="36">
        <f>IFERROR(Y196/$AC196,0)</f>
        <v>2.2353714661406968E-2</v>
      </c>
      <c r="AA196" s="17">
        <v>6</v>
      </c>
      <c r="AB196" s="36">
        <f>IFERROR(AA196/$AD196,0)</f>
        <v>1.1516314779270634E-2</v>
      </c>
      <c r="AC196" s="16">
        <v>1521</v>
      </c>
      <c r="AD196" s="17">
        <v>521</v>
      </c>
    </row>
    <row r="197" spans="1:30" ht="15.75" customHeight="1" x14ac:dyDescent="0.25">
      <c r="A197" s="37">
        <v>2023</v>
      </c>
      <c r="B197" s="35">
        <v>170930</v>
      </c>
      <c r="C197" s="33" t="str">
        <f>VLOOKUP(B197,procv!$A$2:$D$142,4,FALSE)</f>
        <v>Cerrado Tocantins Araguaia</v>
      </c>
      <c r="D197" s="33" t="s">
        <v>61</v>
      </c>
      <c r="E197" s="17">
        <v>104</v>
      </c>
      <c r="F197" s="36">
        <f>IFERROR(E197/$AC197,0)</f>
        <v>1.8850824723581655E-2</v>
      </c>
      <c r="G197" s="17">
        <v>5</v>
      </c>
      <c r="H197" s="36">
        <f>IFERROR(G197/$AD197,0)</f>
        <v>1.2500000000000001E-2</v>
      </c>
      <c r="I197" s="16">
        <v>1853</v>
      </c>
      <c r="J197" s="36">
        <f>IFERROR(I197/$AC197,0)</f>
        <v>0.33587094435381548</v>
      </c>
      <c r="K197" s="17">
        <v>255</v>
      </c>
      <c r="L197" s="36">
        <f>IFERROR(K197/$AD197,0)</f>
        <v>0.63749999999999996</v>
      </c>
      <c r="M197" s="16">
        <v>1916</v>
      </c>
      <c r="N197" s="36">
        <f>IFERROR(M197/$AC197,0)</f>
        <v>0.34729019394598515</v>
      </c>
      <c r="O197" s="17">
        <v>87</v>
      </c>
      <c r="P197" s="36">
        <f>IFERROR(O197/$AD197,0)</f>
        <v>0.2175</v>
      </c>
      <c r="Q197" s="16">
        <v>1096</v>
      </c>
      <c r="R197" s="36">
        <f>IFERROR(Q197/$AC197,0)</f>
        <v>0.19865869131774516</v>
      </c>
      <c r="S197" s="17">
        <v>32</v>
      </c>
      <c r="T197" s="36">
        <f>IFERROR(S197/$AD197,0)</f>
        <v>0.08</v>
      </c>
      <c r="U197" s="17">
        <v>384</v>
      </c>
      <c r="V197" s="36">
        <f>IFERROR(U197/$AC197,0)</f>
        <v>6.9603045133224573E-2</v>
      </c>
      <c r="W197" s="17">
        <v>15</v>
      </c>
      <c r="X197" s="36">
        <f>IFERROR(W197/$AD197,0)</f>
        <v>3.7499999999999999E-2</v>
      </c>
      <c r="Y197" s="17">
        <v>164</v>
      </c>
      <c r="Z197" s="36">
        <f>IFERROR(Y197/$AC197,0)</f>
        <v>2.9726300525647998E-2</v>
      </c>
      <c r="AA197" s="17">
        <v>6</v>
      </c>
      <c r="AB197" s="36">
        <f>IFERROR(AA197/$AD197,0)</f>
        <v>1.4999999999999999E-2</v>
      </c>
      <c r="AC197" s="16">
        <v>5517</v>
      </c>
      <c r="AD197" s="17">
        <v>400</v>
      </c>
    </row>
    <row r="198" spans="1:30" ht="15.75" customHeight="1" x14ac:dyDescent="0.25">
      <c r="A198" s="37">
        <v>2023</v>
      </c>
      <c r="B198" s="35">
        <v>170950</v>
      </c>
      <c r="C198" s="33" t="str">
        <f>VLOOKUP(B198,procv!$A$2:$D$142,4,FALSE)</f>
        <v>Ilha do Bananal</v>
      </c>
      <c r="D198" s="33" t="s">
        <v>62</v>
      </c>
      <c r="E198" s="17">
        <v>296</v>
      </c>
      <c r="F198" s="36">
        <f>IFERROR(E198/$AC198,0)</f>
        <v>2.3061940007791194E-2</v>
      </c>
      <c r="G198" s="17">
        <v>16</v>
      </c>
      <c r="H198" s="36">
        <f>IFERROR(G198/$AD198,0)</f>
        <v>1.0825439783491205E-2</v>
      </c>
      <c r="I198" s="16">
        <v>4754</v>
      </c>
      <c r="J198" s="36">
        <f>IFERROR(I198/$AC198,0)</f>
        <v>0.37039345539540319</v>
      </c>
      <c r="K198" s="16">
        <v>1262</v>
      </c>
      <c r="L198" s="36">
        <f>IFERROR(K198/$AD198,0)</f>
        <v>0.85385656292286871</v>
      </c>
      <c r="M198" s="16">
        <v>4011</v>
      </c>
      <c r="N198" s="36">
        <f>IFERROR(M198/$AC198,0)</f>
        <v>0.31250486949746786</v>
      </c>
      <c r="O198" s="17">
        <v>101</v>
      </c>
      <c r="P198" s="36">
        <f>IFERROR(O198/$AD198,0)</f>
        <v>6.833558863328823E-2</v>
      </c>
      <c r="Q198" s="16">
        <v>2341</v>
      </c>
      <c r="R198" s="36">
        <f>IFERROR(Q198/$AC198,0)</f>
        <v>0.18239189715621348</v>
      </c>
      <c r="S198" s="17">
        <v>53</v>
      </c>
      <c r="T198" s="36">
        <f>IFERROR(S198/$AD198,0)</f>
        <v>3.5859269282814611E-2</v>
      </c>
      <c r="U198" s="17">
        <v>945</v>
      </c>
      <c r="V198" s="36">
        <f>IFERROR(U198/$AC198,0)</f>
        <v>7.3626801714063106E-2</v>
      </c>
      <c r="W198" s="17">
        <v>33</v>
      </c>
      <c r="X198" s="36">
        <f>IFERROR(W198/$AD198,0)</f>
        <v>2.2327469553450607E-2</v>
      </c>
      <c r="Y198" s="17">
        <v>488</v>
      </c>
      <c r="Z198" s="36">
        <f>IFERROR(Y198/$AC198,0)</f>
        <v>3.802103622906116E-2</v>
      </c>
      <c r="AA198" s="17">
        <v>13</v>
      </c>
      <c r="AB198" s="36">
        <f>IFERROR(AA198/$AD198,0)</f>
        <v>8.7956698240866035E-3</v>
      </c>
      <c r="AC198" s="16">
        <v>12835</v>
      </c>
      <c r="AD198" s="16">
        <v>1478</v>
      </c>
    </row>
    <row r="199" spans="1:30" ht="15.75" customHeight="1" x14ac:dyDescent="0.25">
      <c r="A199" s="37">
        <v>2023</v>
      </c>
      <c r="B199" s="35">
        <v>170980</v>
      </c>
      <c r="C199" s="33" t="str">
        <f>VLOOKUP(B199,procv!$A$2:$D$142,4,FALSE)</f>
        <v>Amor Perfeito</v>
      </c>
      <c r="D199" s="33" t="s">
        <v>63</v>
      </c>
      <c r="E199" s="17">
        <v>4</v>
      </c>
      <c r="F199" s="36">
        <f>IFERROR(E199/$AC199,0)</f>
        <v>8.368200836820083E-3</v>
      </c>
      <c r="G199" s="17">
        <v>0</v>
      </c>
      <c r="H199" s="36">
        <f>IFERROR(G199/$AD199,0)</f>
        <v>0</v>
      </c>
      <c r="I199" s="17">
        <v>134</v>
      </c>
      <c r="J199" s="36">
        <f>IFERROR(I199/$AC199,0)</f>
        <v>0.28033472803347281</v>
      </c>
      <c r="K199" s="17">
        <v>17</v>
      </c>
      <c r="L199" s="36">
        <f>IFERROR(K199/$AD199,0)</f>
        <v>0.33333333333333331</v>
      </c>
      <c r="M199" s="17">
        <v>156</v>
      </c>
      <c r="N199" s="36">
        <f>IFERROR(M199/$AC199,0)</f>
        <v>0.32635983263598328</v>
      </c>
      <c r="O199" s="17">
        <v>10</v>
      </c>
      <c r="P199" s="36">
        <f>IFERROR(O199/$AD199,0)</f>
        <v>0.19607843137254902</v>
      </c>
      <c r="Q199" s="17">
        <v>120</v>
      </c>
      <c r="R199" s="36">
        <f>IFERROR(Q199/$AC199,0)</f>
        <v>0.2510460251046025</v>
      </c>
      <c r="S199" s="17">
        <v>17</v>
      </c>
      <c r="T199" s="36">
        <f>IFERROR(S199/$AD199,0)</f>
        <v>0.33333333333333331</v>
      </c>
      <c r="U199" s="17">
        <v>42</v>
      </c>
      <c r="V199" s="36">
        <f>IFERROR(U199/$AC199,0)</f>
        <v>8.7866108786610872E-2</v>
      </c>
      <c r="W199" s="17">
        <v>5</v>
      </c>
      <c r="X199" s="36">
        <f>IFERROR(W199/$AD199,0)</f>
        <v>9.8039215686274508E-2</v>
      </c>
      <c r="Y199" s="17">
        <v>22</v>
      </c>
      <c r="Z199" s="36">
        <f>IFERROR(Y199/$AC199,0)</f>
        <v>4.6025104602510462E-2</v>
      </c>
      <c r="AA199" s="17">
        <v>2</v>
      </c>
      <c r="AB199" s="36">
        <f>IFERROR(AA199/$AD199,0)</f>
        <v>3.9215686274509803E-2</v>
      </c>
      <c r="AC199" s="17">
        <v>478</v>
      </c>
      <c r="AD199" s="17">
        <v>51</v>
      </c>
    </row>
    <row r="200" spans="1:30" ht="15.75" customHeight="1" x14ac:dyDescent="0.25">
      <c r="A200" s="37">
        <v>2023</v>
      </c>
      <c r="B200" s="35">
        <v>171050</v>
      </c>
      <c r="C200" s="33" t="str">
        <f>VLOOKUP(B200,procv!$A$2:$D$142,4,FALSE)</f>
        <v>Cerrado Tocantins Araguaia</v>
      </c>
      <c r="D200" s="33" t="s">
        <v>64</v>
      </c>
      <c r="E200" s="17">
        <v>34</v>
      </c>
      <c r="F200" s="36">
        <f>IFERROR(E200/$AC200,0)</f>
        <v>2.5430067314884067E-2</v>
      </c>
      <c r="G200" s="17">
        <v>13</v>
      </c>
      <c r="H200" s="36">
        <f>IFERROR(G200/$AD200,0)</f>
        <v>3.0023094688221709E-2</v>
      </c>
      <c r="I200" s="17">
        <v>471</v>
      </c>
      <c r="J200" s="36">
        <f>IFERROR(I200/$AC200,0)</f>
        <v>0.35228122662677636</v>
      </c>
      <c r="K200" s="17">
        <v>149</v>
      </c>
      <c r="L200" s="36">
        <f>IFERROR(K200/$AD200,0)</f>
        <v>0.34411085450346418</v>
      </c>
      <c r="M200" s="17">
        <v>495</v>
      </c>
      <c r="N200" s="36">
        <f>IFERROR(M200/$AC200,0)</f>
        <v>0.37023186237845923</v>
      </c>
      <c r="O200" s="17">
        <v>154</v>
      </c>
      <c r="P200" s="36">
        <f>IFERROR(O200/$AD200,0)</f>
        <v>0.35565819861431869</v>
      </c>
      <c r="Q200" s="17">
        <v>237</v>
      </c>
      <c r="R200" s="36">
        <f>IFERROR(Q200/$AC200,0)</f>
        <v>0.17726252804786835</v>
      </c>
      <c r="S200" s="17">
        <v>87</v>
      </c>
      <c r="T200" s="36">
        <f>IFERROR(S200/$AD200,0)</f>
        <v>0.20092378752886836</v>
      </c>
      <c r="U200" s="17">
        <v>66</v>
      </c>
      <c r="V200" s="36">
        <f>IFERROR(U200/$AC200,0)</f>
        <v>4.93642483171279E-2</v>
      </c>
      <c r="W200" s="17">
        <v>21</v>
      </c>
      <c r="X200" s="36">
        <f>IFERROR(W200/$AD200,0)</f>
        <v>4.8498845265588918E-2</v>
      </c>
      <c r="Y200" s="17">
        <v>34</v>
      </c>
      <c r="Z200" s="36">
        <f>IFERROR(Y200/$AC200,0)</f>
        <v>2.5430067314884067E-2</v>
      </c>
      <c r="AA200" s="17">
        <v>9</v>
      </c>
      <c r="AB200" s="36">
        <f>IFERROR(AA200/$AD200,0)</f>
        <v>2.0785219399538105E-2</v>
      </c>
      <c r="AC200" s="16">
        <v>1337</v>
      </c>
      <c r="AD200" s="17">
        <v>433</v>
      </c>
    </row>
    <row r="201" spans="1:30" ht="15.75" customHeight="1" x14ac:dyDescent="0.25">
      <c r="A201" s="37">
        <v>2023</v>
      </c>
      <c r="B201" s="35">
        <v>171070</v>
      </c>
      <c r="C201" s="33" t="str">
        <f>VLOOKUP(B201,procv!$A$2:$D$142,4,FALSE)</f>
        <v>Bico do Papagaio</v>
      </c>
      <c r="D201" s="33" t="s">
        <v>65</v>
      </c>
      <c r="E201" s="17">
        <v>35</v>
      </c>
      <c r="F201" s="36">
        <f>IFERROR(E201/$AC201,0)</f>
        <v>2.976190476190476E-2</v>
      </c>
      <c r="G201" s="17">
        <v>10</v>
      </c>
      <c r="H201" s="36">
        <f>IFERROR(G201/$AD201,0)</f>
        <v>7.3529411764705885E-2</v>
      </c>
      <c r="I201" s="17">
        <v>457</v>
      </c>
      <c r="J201" s="36">
        <f>IFERROR(I201/$AC201,0)</f>
        <v>0.38860544217687076</v>
      </c>
      <c r="K201" s="17">
        <v>60</v>
      </c>
      <c r="L201" s="36">
        <f>IFERROR(K201/$AD201,0)</f>
        <v>0.44117647058823528</v>
      </c>
      <c r="M201" s="17">
        <v>386</v>
      </c>
      <c r="N201" s="36">
        <f>IFERROR(M201/$AC201,0)</f>
        <v>0.32823129251700678</v>
      </c>
      <c r="O201" s="17">
        <v>36</v>
      </c>
      <c r="P201" s="36">
        <f>IFERROR(O201/$AD201,0)</f>
        <v>0.26470588235294118</v>
      </c>
      <c r="Q201" s="17">
        <v>208</v>
      </c>
      <c r="R201" s="36">
        <f>IFERROR(Q201/$AC201,0)</f>
        <v>0.17687074829931973</v>
      </c>
      <c r="S201" s="17">
        <v>18</v>
      </c>
      <c r="T201" s="36">
        <f>IFERROR(S201/$AD201,0)</f>
        <v>0.13235294117647059</v>
      </c>
      <c r="U201" s="17">
        <v>66</v>
      </c>
      <c r="V201" s="36">
        <f>IFERROR(U201/$AC201,0)</f>
        <v>5.6122448979591837E-2</v>
      </c>
      <c r="W201" s="17">
        <v>7</v>
      </c>
      <c r="X201" s="36">
        <f>IFERROR(W201/$AD201,0)</f>
        <v>5.1470588235294115E-2</v>
      </c>
      <c r="Y201" s="17">
        <v>24</v>
      </c>
      <c r="Z201" s="36">
        <f>IFERROR(Y201/$AC201,0)</f>
        <v>2.0408163265306121E-2</v>
      </c>
      <c r="AA201" s="17">
        <v>5</v>
      </c>
      <c r="AB201" s="36">
        <f>IFERROR(AA201/$AD201,0)</f>
        <v>3.6764705882352942E-2</v>
      </c>
      <c r="AC201" s="16">
        <v>1176</v>
      </c>
      <c r="AD201" s="17">
        <v>136</v>
      </c>
    </row>
    <row r="202" spans="1:30" ht="15.75" customHeight="1" x14ac:dyDescent="0.25">
      <c r="A202" s="37">
        <v>2023</v>
      </c>
      <c r="B202" s="35">
        <v>171090</v>
      </c>
      <c r="C202" s="33" t="str">
        <f>VLOOKUP(B202,procv!$A$2:$D$142,4,FALSE)</f>
        <v>Cerrado Tocantins Araguaia</v>
      </c>
      <c r="D202" s="33" t="s">
        <v>66</v>
      </c>
      <c r="E202" s="17">
        <v>17</v>
      </c>
      <c r="F202" s="36">
        <f>IFERROR(E202/$AC202,0)</f>
        <v>1.4617368873602751E-2</v>
      </c>
      <c r="G202" s="17">
        <v>3</v>
      </c>
      <c r="H202" s="36">
        <f>IFERROR(G202/$AD202,0)</f>
        <v>3.2608695652173912E-2</v>
      </c>
      <c r="I202" s="17">
        <v>389</v>
      </c>
      <c r="J202" s="36">
        <f>IFERROR(I202/$AC202,0)</f>
        <v>0.33447979363714531</v>
      </c>
      <c r="K202" s="17">
        <v>32</v>
      </c>
      <c r="L202" s="36">
        <f>IFERROR(K202/$AD202,0)</f>
        <v>0.34782608695652173</v>
      </c>
      <c r="M202" s="17">
        <v>415</v>
      </c>
      <c r="N202" s="36">
        <f>IFERROR(M202/$AC202,0)</f>
        <v>0.35683576956147894</v>
      </c>
      <c r="O202" s="17">
        <v>26</v>
      </c>
      <c r="P202" s="36">
        <f>IFERROR(O202/$AD202,0)</f>
        <v>0.28260869565217389</v>
      </c>
      <c r="Q202" s="17">
        <v>235</v>
      </c>
      <c r="R202" s="36">
        <f>IFERROR(Q202/$AC202,0)</f>
        <v>0.20206362854686155</v>
      </c>
      <c r="S202" s="17">
        <v>22</v>
      </c>
      <c r="T202" s="36">
        <f>IFERROR(S202/$AD202,0)</f>
        <v>0.2391304347826087</v>
      </c>
      <c r="U202" s="17">
        <v>72</v>
      </c>
      <c r="V202" s="36">
        <f>IFERROR(U202/$AC202,0)</f>
        <v>6.1908856405846945E-2</v>
      </c>
      <c r="W202" s="17">
        <v>5</v>
      </c>
      <c r="X202" s="36">
        <f>IFERROR(W202/$AD202,0)</f>
        <v>5.434782608695652E-2</v>
      </c>
      <c r="Y202" s="17">
        <v>35</v>
      </c>
      <c r="Z202" s="36">
        <f>IFERROR(Y202/$AC202,0)</f>
        <v>3.0094582975064489E-2</v>
      </c>
      <c r="AA202" s="17">
        <v>4</v>
      </c>
      <c r="AB202" s="36">
        <f>IFERROR(AA202/$AD202,0)</f>
        <v>4.3478260869565216E-2</v>
      </c>
      <c r="AC202" s="16">
        <v>1163</v>
      </c>
      <c r="AD202" s="17">
        <v>92</v>
      </c>
    </row>
    <row r="203" spans="1:30" ht="15.75" customHeight="1" x14ac:dyDescent="0.25">
      <c r="A203" s="37">
        <v>2023</v>
      </c>
      <c r="B203" s="35">
        <v>171110</v>
      </c>
      <c r="C203" s="33" t="str">
        <f>VLOOKUP(B203,procv!$A$2:$D$142,4,FALSE)</f>
        <v>Cerrado Tocantins Araguaia</v>
      </c>
      <c r="D203" s="33" t="s">
        <v>67</v>
      </c>
      <c r="E203" s="17">
        <v>10</v>
      </c>
      <c r="F203" s="36">
        <f>IFERROR(E203/$AC203,0)</f>
        <v>1.2970168612191959E-2</v>
      </c>
      <c r="G203" s="17">
        <v>1</v>
      </c>
      <c r="H203" s="36">
        <f>IFERROR(G203/$AD203,0)</f>
        <v>2.6315789473684209E-2</v>
      </c>
      <c r="I203" s="17">
        <v>228</v>
      </c>
      <c r="J203" s="36">
        <f>IFERROR(I203/$AC203,0)</f>
        <v>0.29571984435797666</v>
      </c>
      <c r="K203" s="17">
        <v>14</v>
      </c>
      <c r="L203" s="36">
        <f>IFERROR(K203/$AD203,0)</f>
        <v>0.36842105263157893</v>
      </c>
      <c r="M203" s="17">
        <v>279</v>
      </c>
      <c r="N203" s="36">
        <f>IFERROR(M203/$AC203,0)</f>
        <v>0.36186770428015563</v>
      </c>
      <c r="O203" s="17">
        <v>11</v>
      </c>
      <c r="P203" s="36">
        <f>IFERROR(O203/$AD203,0)</f>
        <v>0.28947368421052633</v>
      </c>
      <c r="Q203" s="17">
        <v>164</v>
      </c>
      <c r="R203" s="36">
        <f>IFERROR(Q203/$AC203,0)</f>
        <v>0.21271076523994811</v>
      </c>
      <c r="S203" s="17">
        <v>5</v>
      </c>
      <c r="T203" s="36">
        <f>IFERROR(S203/$AD203,0)</f>
        <v>0.13157894736842105</v>
      </c>
      <c r="U203" s="17">
        <v>70</v>
      </c>
      <c r="V203" s="36">
        <f>IFERROR(U203/$AC203,0)</f>
        <v>9.0791180285343706E-2</v>
      </c>
      <c r="W203" s="17">
        <v>4</v>
      </c>
      <c r="X203" s="36">
        <f>IFERROR(W203/$AD203,0)</f>
        <v>0.10526315789473684</v>
      </c>
      <c r="Y203" s="17">
        <v>20</v>
      </c>
      <c r="Z203" s="36">
        <f>IFERROR(Y203/$AC203,0)</f>
        <v>2.5940337224383919E-2</v>
      </c>
      <c r="AA203" s="17">
        <v>3</v>
      </c>
      <c r="AB203" s="36">
        <f>IFERROR(AA203/$AD203,0)</f>
        <v>7.8947368421052627E-2</v>
      </c>
      <c r="AC203" s="17">
        <v>771</v>
      </c>
      <c r="AD203" s="17">
        <v>38</v>
      </c>
    </row>
    <row r="204" spans="1:30" ht="15.75" customHeight="1" x14ac:dyDescent="0.25">
      <c r="A204" s="37">
        <v>2023</v>
      </c>
      <c r="B204" s="35">
        <v>171150</v>
      </c>
      <c r="C204" s="33" t="str">
        <f>VLOOKUP(B204,procv!$A$2:$D$142,4,FALSE)</f>
        <v>Ilha do Bananal</v>
      </c>
      <c r="D204" s="33" t="s">
        <v>68</v>
      </c>
      <c r="E204" s="17">
        <v>16</v>
      </c>
      <c r="F204" s="36">
        <f>IFERROR(E204/$AC204,0)</f>
        <v>1.4558689717925387E-2</v>
      </c>
      <c r="G204" s="17">
        <v>2</v>
      </c>
      <c r="H204" s="36">
        <f>IFERROR(G204/$AD204,0)</f>
        <v>2.4096385542168676E-2</v>
      </c>
      <c r="I204" s="17">
        <v>399</v>
      </c>
      <c r="J204" s="36">
        <f>IFERROR(I204/$AC204,0)</f>
        <v>0.36305732484076431</v>
      </c>
      <c r="K204" s="17">
        <v>32</v>
      </c>
      <c r="L204" s="36">
        <f>IFERROR(K204/$AD204,0)</f>
        <v>0.38554216867469882</v>
      </c>
      <c r="M204" s="17">
        <v>387</v>
      </c>
      <c r="N204" s="36">
        <f>IFERROR(M204/$AC204,0)</f>
        <v>0.35213830755232028</v>
      </c>
      <c r="O204" s="17">
        <v>22</v>
      </c>
      <c r="P204" s="36">
        <f>IFERROR(O204/$AD204,0)</f>
        <v>0.26506024096385544</v>
      </c>
      <c r="Q204" s="17">
        <v>188</v>
      </c>
      <c r="R204" s="36">
        <f>IFERROR(Q204/$AC204,0)</f>
        <v>0.1710646041856233</v>
      </c>
      <c r="S204" s="17">
        <v>16</v>
      </c>
      <c r="T204" s="36">
        <f>IFERROR(S204/$AD204,0)</f>
        <v>0.19277108433734941</v>
      </c>
      <c r="U204" s="17">
        <v>75</v>
      </c>
      <c r="V204" s="36">
        <f>IFERROR(U204/$AC204,0)</f>
        <v>6.8243858052775247E-2</v>
      </c>
      <c r="W204" s="17">
        <v>6</v>
      </c>
      <c r="X204" s="36">
        <f>IFERROR(W204/$AD204,0)</f>
        <v>7.2289156626506021E-2</v>
      </c>
      <c r="Y204" s="17">
        <v>34</v>
      </c>
      <c r="Z204" s="36">
        <f>IFERROR(Y204/$AC204,0)</f>
        <v>3.0937215650591446E-2</v>
      </c>
      <c r="AA204" s="17">
        <v>5</v>
      </c>
      <c r="AB204" s="36">
        <f>IFERROR(AA204/$AD204,0)</f>
        <v>6.0240963855421686E-2</v>
      </c>
      <c r="AC204" s="16">
        <v>1099</v>
      </c>
      <c r="AD204" s="17">
        <v>83</v>
      </c>
    </row>
    <row r="205" spans="1:30" ht="15.75" customHeight="1" x14ac:dyDescent="0.25">
      <c r="A205" s="37">
        <v>2023</v>
      </c>
      <c r="B205" s="35">
        <v>171180</v>
      </c>
      <c r="C205" s="33" t="str">
        <f>VLOOKUP(B205,procv!$A$2:$D$142,4,FALSE)</f>
        <v>Cerrado Tocantins Araguaia</v>
      </c>
      <c r="D205" s="33" t="s">
        <v>69</v>
      </c>
      <c r="E205" s="17">
        <v>19</v>
      </c>
      <c r="F205" s="36">
        <f>IFERROR(E205/$AC205,0)</f>
        <v>2.4265644955300127E-2</v>
      </c>
      <c r="G205" s="17">
        <v>2</v>
      </c>
      <c r="H205" s="36">
        <f>IFERROR(G205/$AD205,0)</f>
        <v>4.2553191489361701E-2</v>
      </c>
      <c r="I205" s="17">
        <v>267</v>
      </c>
      <c r="J205" s="36">
        <f>IFERROR(I205/$AC205,0)</f>
        <v>0.34099616858237547</v>
      </c>
      <c r="K205" s="17">
        <v>21</v>
      </c>
      <c r="L205" s="36">
        <f>IFERROR(K205/$AD205,0)</f>
        <v>0.44680851063829785</v>
      </c>
      <c r="M205" s="17">
        <v>255</v>
      </c>
      <c r="N205" s="36">
        <f>IFERROR(M205/$AC205,0)</f>
        <v>0.32567049808429116</v>
      </c>
      <c r="O205" s="17">
        <v>13</v>
      </c>
      <c r="P205" s="36">
        <f>IFERROR(O205/$AD205,0)</f>
        <v>0.27659574468085107</v>
      </c>
      <c r="Q205" s="17">
        <v>166</v>
      </c>
      <c r="R205" s="36">
        <f>IFERROR(Q205/$AC205,0)</f>
        <v>0.21200510855683269</v>
      </c>
      <c r="S205" s="17">
        <v>8</v>
      </c>
      <c r="T205" s="36">
        <f>IFERROR(S205/$AD205,0)</f>
        <v>0.1702127659574468</v>
      </c>
      <c r="U205" s="17">
        <v>50</v>
      </c>
      <c r="V205" s="36">
        <f>IFERROR(U205/$AC205,0)</f>
        <v>6.3856960408684549E-2</v>
      </c>
      <c r="W205" s="17">
        <v>3</v>
      </c>
      <c r="X205" s="36">
        <f>IFERROR(W205/$AD205,0)</f>
        <v>6.3829787234042548E-2</v>
      </c>
      <c r="Y205" s="17">
        <v>26</v>
      </c>
      <c r="Z205" s="36">
        <f>IFERROR(Y205/$AC205,0)</f>
        <v>3.3205619412515965E-2</v>
      </c>
      <c r="AA205" s="17">
        <v>0</v>
      </c>
      <c r="AB205" s="36">
        <f>IFERROR(AA205/$AD205,0)</f>
        <v>0</v>
      </c>
      <c r="AC205" s="17">
        <v>783</v>
      </c>
      <c r="AD205" s="17">
        <v>47</v>
      </c>
    </row>
    <row r="206" spans="1:30" ht="15.75" customHeight="1" x14ac:dyDescent="0.25">
      <c r="A206" s="37">
        <v>2023</v>
      </c>
      <c r="B206" s="35">
        <v>171190</v>
      </c>
      <c r="C206" s="33" t="str">
        <f>VLOOKUP(B206,procv!$A$2:$D$142,4,FALSE)</f>
        <v>Cantão</v>
      </c>
      <c r="D206" s="33" t="s">
        <v>70</v>
      </c>
      <c r="E206" s="17">
        <v>26</v>
      </c>
      <c r="F206" s="36">
        <f>IFERROR(E206/$AC206,0)</f>
        <v>2.5465230166503428E-2</v>
      </c>
      <c r="G206" s="17">
        <v>20</v>
      </c>
      <c r="H206" s="36">
        <f>IFERROR(G206/$AD206,0)</f>
        <v>4.5662100456621002E-2</v>
      </c>
      <c r="I206" s="17">
        <v>296</v>
      </c>
      <c r="J206" s="36">
        <f>IFERROR(I206/$AC206,0)</f>
        <v>0.28991185112634671</v>
      </c>
      <c r="K206" s="17">
        <v>168</v>
      </c>
      <c r="L206" s="36">
        <f>IFERROR(K206/$AD206,0)</f>
        <v>0.38356164383561642</v>
      </c>
      <c r="M206" s="17">
        <v>341</v>
      </c>
      <c r="N206" s="36">
        <f>IFERROR(M206/$AC206,0)</f>
        <v>0.33398628795298729</v>
      </c>
      <c r="O206" s="17">
        <v>136</v>
      </c>
      <c r="P206" s="36">
        <f>IFERROR(O206/$AD206,0)</f>
        <v>0.31050228310502281</v>
      </c>
      <c r="Q206" s="17">
        <v>231</v>
      </c>
      <c r="R206" s="36">
        <f>IFERROR(Q206/$AC206,0)</f>
        <v>0.22624877571008814</v>
      </c>
      <c r="S206" s="17">
        <v>80</v>
      </c>
      <c r="T206" s="36">
        <f>IFERROR(S206/$AD206,0)</f>
        <v>0.18264840182648401</v>
      </c>
      <c r="U206" s="17">
        <v>78</v>
      </c>
      <c r="V206" s="36">
        <f>IFERROR(U206/$AC206,0)</f>
        <v>7.6395690499510283E-2</v>
      </c>
      <c r="W206" s="17">
        <v>24</v>
      </c>
      <c r="X206" s="36">
        <f>IFERROR(W206/$AD206,0)</f>
        <v>5.4794520547945202E-2</v>
      </c>
      <c r="Y206" s="17">
        <v>49</v>
      </c>
      <c r="Z206" s="36">
        <f>IFERROR(Y206/$AC206,0)</f>
        <v>4.7992164544564155E-2</v>
      </c>
      <c r="AA206" s="17">
        <v>10</v>
      </c>
      <c r="AB206" s="36">
        <f>IFERROR(AA206/$AD206,0)</f>
        <v>2.2831050228310501E-2</v>
      </c>
      <c r="AC206" s="16">
        <v>1021</v>
      </c>
      <c r="AD206" s="17">
        <v>438</v>
      </c>
    </row>
    <row r="207" spans="1:30" ht="15.75" customHeight="1" x14ac:dyDescent="0.25">
      <c r="A207" s="37">
        <v>2023</v>
      </c>
      <c r="B207" s="35">
        <v>171195</v>
      </c>
      <c r="C207" s="33" t="str">
        <f>VLOOKUP(B207,procv!$A$2:$D$142,4,FALSE)</f>
        <v>Capim Dourado</v>
      </c>
      <c r="D207" s="33" t="s">
        <v>71</v>
      </c>
      <c r="E207" s="17">
        <v>30</v>
      </c>
      <c r="F207" s="36">
        <f>IFERROR(E207/$AC207,0)</f>
        <v>2.2831050228310501E-2</v>
      </c>
      <c r="G207" s="17">
        <v>1</v>
      </c>
      <c r="H207" s="36">
        <f>IFERROR(G207/$AD207,0)</f>
        <v>9.9009900990099011E-3</v>
      </c>
      <c r="I207" s="17">
        <v>526</v>
      </c>
      <c r="J207" s="36">
        <f>IFERROR(I207/$AC207,0)</f>
        <v>0.40030441400304412</v>
      </c>
      <c r="K207" s="17">
        <v>39</v>
      </c>
      <c r="L207" s="36">
        <f>IFERROR(K207/$AD207,0)</f>
        <v>0.38613861386138615</v>
      </c>
      <c r="M207" s="17">
        <v>472</v>
      </c>
      <c r="N207" s="36">
        <f>IFERROR(M207/$AC207,0)</f>
        <v>0.35920852359208522</v>
      </c>
      <c r="O207" s="17">
        <v>41</v>
      </c>
      <c r="P207" s="36">
        <f>IFERROR(O207/$AD207,0)</f>
        <v>0.40594059405940597</v>
      </c>
      <c r="Q207" s="17">
        <v>191</v>
      </c>
      <c r="R207" s="36">
        <f>IFERROR(Q207/$AC207,0)</f>
        <v>0.14535768645357686</v>
      </c>
      <c r="S207" s="17">
        <v>14</v>
      </c>
      <c r="T207" s="36">
        <f>IFERROR(S207/$AD207,0)</f>
        <v>0.13861386138613863</v>
      </c>
      <c r="U207" s="17">
        <v>64</v>
      </c>
      <c r="V207" s="36">
        <f>IFERROR(U207/$AC207,0)</f>
        <v>4.8706240487062402E-2</v>
      </c>
      <c r="W207" s="17">
        <v>4</v>
      </c>
      <c r="X207" s="36">
        <f>IFERROR(W207/$AD207,0)</f>
        <v>3.9603960396039604E-2</v>
      </c>
      <c r="Y207" s="17">
        <v>31</v>
      </c>
      <c r="Z207" s="36">
        <f>IFERROR(Y207/$AC207,0)</f>
        <v>2.3592085235920851E-2</v>
      </c>
      <c r="AA207" s="17">
        <v>2</v>
      </c>
      <c r="AB207" s="36">
        <f>IFERROR(AA207/$AD207,0)</f>
        <v>1.9801980198019802E-2</v>
      </c>
      <c r="AC207" s="16">
        <v>1314</v>
      </c>
      <c r="AD207" s="17">
        <v>101</v>
      </c>
    </row>
    <row r="208" spans="1:30" ht="15.75" customHeight="1" x14ac:dyDescent="0.25">
      <c r="A208" s="37">
        <v>2023</v>
      </c>
      <c r="B208" s="35">
        <v>171200</v>
      </c>
      <c r="C208" s="33" t="str">
        <f>VLOOKUP(B208,procv!$A$2:$D$142,4,FALSE)</f>
        <v>Capim Dourado</v>
      </c>
      <c r="D208" s="33" t="s">
        <v>72</v>
      </c>
      <c r="E208" s="17">
        <v>0</v>
      </c>
      <c r="F208" s="36">
        <f>IFERROR(E208/$AC208,0)</f>
        <v>0</v>
      </c>
      <c r="G208" s="17">
        <v>0</v>
      </c>
      <c r="H208" s="36">
        <f>IFERROR(G208/$AD208,0)</f>
        <v>0</v>
      </c>
      <c r="I208" s="17">
        <v>28</v>
      </c>
      <c r="J208" s="36">
        <f>IFERROR(I208/$AC208,0)</f>
        <v>0.4</v>
      </c>
      <c r="K208" s="17">
        <v>13</v>
      </c>
      <c r="L208" s="36">
        <f>IFERROR(K208/$AD208,0)</f>
        <v>0.41935483870967744</v>
      </c>
      <c r="M208" s="17">
        <v>18</v>
      </c>
      <c r="N208" s="36">
        <f>IFERROR(M208/$AC208,0)</f>
        <v>0.25714285714285712</v>
      </c>
      <c r="O208" s="17">
        <v>8</v>
      </c>
      <c r="P208" s="36">
        <f>IFERROR(O208/$AD208,0)</f>
        <v>0.25806451612903225</v>
      </c>
      <c r="Q208" s="17">
        <v>16</v>
      </c>
      <c r="R208" s="36">
        <f>IFERROR(Q208/$AC208,0)</f>
        <v>0.22857142857142856</v>
      </c>
      <c r="S208" s="17">
        <v>7</v>
      </c>
      <c r="T208" s="36">
        <f>IFERROR(S208/$AD208,0)</f>
        <v>0.22580645161290322</v>
      </c>
      <c r="U208" s="17">
        <v>8</v>
      </c>
      <c r="V208" s="36">
        <f>IFERROR(U208/$AC208,0)</f>
        <v>0.11428571428571428</v>
      </c>
      <c r="W208" s="17">
        <v>3</v>
      </c>
      <c r="X208" s="36">
        <f>IFERROR(W208/$AD208,0)</f>
        <v>9.6774193548387094E-2</v>
      </c>
      <c r="Y208" s="17">
        <v>0</v>
      </c>
      <c r="Z208" s="36">
        <f>IFERROR(Y208/$AC208,0)</f>
        <v>0</v>
      </c>
      <c r="AA208" s="17">
        <v>0</v>
      </c>
      <c r="AB208" s="36">
        <f>IFERROR(AA208/$AD208,0)</f>
        <v>0</v>
      </c>
      <c r="AC208" s="17">
        <v>70</v>
      </c>
      <c r="AD208" s="17">
        <v>31</v>
      </c>
    </row>
    <row r="209" spans="1:30" ht="15.75" customHeight="1" x14ac:dyDescent="0.25">
      <c r="A209" s="37">
        <v>2023</v>
      </c>
      <c r="B209" s="35">
        <v>171215</v>
      </c>
      <c r="C209" s="33" t="str">
        <f>VLOOKUP(B209,procv!$A$2:$D$142,4,FALSE)</f>
        <v>Sudeste</v>
      </c>
      <c r="D209" s="33" t="s">
        <v>73</v>
      </c>
      <c r="E209" s="17">
        <v>13</v>
      </c>
      <c r="F209" s="36">
        <f>IFERROR(E209/$AC209,0)</f>
        <v>2.2413793103448276E-2</v>
      </c>
      <c r="G209" s="17">
        <v>1</v>
      </c>
      <c r="H209" s="36">
        <f>IFERROR(G209/$AD209,0)</f>
        <v>2.3255813953488372E-2</v>
      </c>
      <c r="I209" s="17">
        <v>186</v>
      </c>
      <c r="J209" s="36">
        <f>IFERROR(I209/$AC209,0)</f>
        <v>0.32068965517241377</v>
      </c>
      <c r="K209" s="17">
        <v>18</v>
      </c>
      <c r="L209" s="36">
        <f>IFERROR(K209/$AD209,0)</f>
        <v>0.41860465116279072</v>
      </c>
      <c r="M209" s="17">
        <v>209</v>
      </c>
      <c r="N209" s="36">
        <f>IFERROR(M209/$AC209,0)</f>
        <v>0.3603448275862069</v>
      </c>
      <c r="O209" s="17">
        <v>14</v>
      </c>
      <c r="P209" s="36">
        <f>IFERROR(O209/$AD209,0)</f>
        <v>0.32558139534883723</v>
      </c>
      <c r="Q209" s="17">
        <v>118</v>
      </c>
      <c r="R209" s="36">
        <f>IFERROR(Q209/$AC209,0)</f>
        <v>0.20344827586206896</v>
      </c>
      <c r="S209" s="17">
        <v>3</v>
      </c>
      <c r="T209" s="36">
        <f>IFERROR(S209/$AD209,0)</f>
        <v>6.9767441860465115E-2</v>
      </c>
      <c r="U209" s="17">
        <v>42</v>
      </c>
      <c r="V209" s="36">
        <f>IFERROR(U209/$AC209,0)</f>
        <v>7.2413793103448282E-2</v>
      </c>
      <c r="W209" s="17">
        <v>6</v>
      </c>
      <c r="X209" s="36">
        <f>IFERROR(W209/$AD209,0)</f>
        <v>0.13953488372093023</v>
      </c>
      <c r="Y209" s="17">
        <v>12</v>
      </c>
      <c r="Z209" s="36">
        <f>IFERROR(Y209/$AC209,0)</f>
        <v>2.0689655172413793E-2</v>
      </c>
      <c r="AA209" s="17">
        <v>1</v>
      </c>
      <c r="AB209" s="36">
        <f>IFERROR(AA209/$AD209,0)</f>
        <v>2.3255813953488372E-2</v>
      </c>
      <c r="AC209" s="17">
        <v>580</v>
      </c>
      <c r="AD209" s="17">
        <v>43</v>
      </c>
    </row>
    <row r="210" spans="1:30" ht="15.75" customHeight="1" x14ac:dyDescent="0.25">
      <c r="A210" s="37">
        <v>2023</v>
      </c>
      <c r="B210" s="35">
        <v>171240</v>
      </c>
      <c r="C210" s="33" t="str">
        <f>VLOOKUP(B210,procv!$A$2:$D$142,4,FALSE)</f>
        <v>Capim Dourado</v>
      </c>
      <c r="D210" s="33" t="s">
        <v>74</v>
      </c>
      <c r="E210" s="17">
        <v>19</v>
      </c>
      <c r="F210" s="36">
        <f>IFERROR(E210/$AC210,0)</f>
        <v>2.8358208955223882E-2</v>
      </c>
      <c r="G210" s="17">
        <v>0</v>
      </c>
      <c r="H210" s="36">
        <f>IFERROR(G210/$AD210,0)</f>
        <v>0</v>
      </c>
      <c r="I210" s="17">
        <v>275</v>
      </c>
      <c r="J210" s="36">
        <f>IFERROR(I210/$AC210,0)</f>
        <v>0.41044776119402987</v>
      </c>
      <c r="K210" s="17">
        <v>52</v>
      </c>
      <c r="L210" s="36">
        <f>IFERROR(K210/$AD210,0)</f>
        <v>0.45217391304347826</v>
      </c>
      <c r="M210" s="17">
        <v>262</v>
      </c>
      <c r="N210" s="36">
        <f>IFERROR(M210/$AC210,0)</f>
        <v>0.39104477611940297</v>
      </c>
      <c r="O210" s="17">
        <v>43</v>
      </c>
      <c r="P210" s="36">
        <f>IFERROR(O210/$AD210,0)</f>
        <v>0.37391304347826088</v>
      </c>
      <c r="Q210" s="17">
        <v>82</v>
      </c>
      <c r="R210" s="36">
        <f>IFERROR(Q210/$AC210,0)</f>
        <v>0.12238805970149254</v>
      </c>
      <c r="S210" s="17">
        <v>10</v>
      </c>
      <c r="T210" s="36">
        <f>IFERROR(S210/$AD210,0)</f>
        <v>8.6956521739130432E-2</v>
      </c>
      <c r="U210" s="17">
        <v>23</v>
      </c>
      <c r="V210" s="36">
        <f>IFERROR(U210/$AC210,0)</f>
        <v>3.4328358208955224E-2</v>
      </c>
      <c r="W210" s="17">
        <v>8</v>
      </c>
      <c r="X210" s="36">
        <f>IFERROR(W210/$AD210,0)</f>
        <v>6.9565217391304349E-2</v>
      </c>
      <c r="Y210" s="17">
        <v>9</v>
      </c>
      <c r="Z210" s="36">
        <f>IFERROR(Y210/$AC210,0)</f>
        <v>1.3432835820895522E-2</v>
      </c>
      <c r="AA210" s="17">
        <v>2</v>
      </c>
      <c r="AB210" s="36">
        <f>IFERROR(AA210/$AD210,0)</f>
        <v>1.7391304347826087E-2</v>
      </c>
      <c r="AC210" s="17">
        <v>670</v>
      </c>
      <c r="AD210" s="17">
        <v>115</v>
      </c>
    </row>
    <row r="211" spans="1:30" ht="15.75" customHeight="1" x14ac:dyDescent="0.25">
      <c r="A211" s="37">
        <v>2023</v>
      </c>
      <c r="B211" s="35">
        <v>171245</v>
      </c>
      <c r="C211" s="33" t="str">
        <f>VLOOKUP(B211,procv!$A$2:$D$142,4,FALSE)</f>
        <v>Bico do Papagaio</v>
      </c>
      <c r="D211" s="33" t="s">
        <v>75</v>
      </c>
      <c r="E211" s="17">
        <v>18</v>
      </c>
      <c r="F211" s="36">
        <f>IFERROR(E211/$AC211,0)</f>
        <v>1.782178217821782E-2</v>
      </c>
      <c r="G211" s="17">
        <v>2</v>
      </c>
      <c r="H211" s="36">
        <f>IFERROR(G211/$AD211,0)</f>
        <v>2.1276595744680851E-2</v>
      </c>
      <c r="I211" s="17">
        <v>359</v>
      </c>
      <c r="J211" s="36">
        <f>IFERROR(I211/$AC211,0)</f>
        <v>0.35544554455445543</v>
      </c>
      <c r="K211" s="17">
        <v>35</v>
      </c>
      <c r="L211" s="36">
        <f>IFERROR(K211/$AD211,0)</f>
        <v>0.37234042553191488</v>
      </c>
      <c r="M211" s="17">
        <v>361</v>
      </c>
      <c r="N211" s="36">
        <f>IFERROR(M211/$AC211,0)</f>
        <v>0.35742574257425741</v>
      </c>
      <c r="O211" s="17">
        <v>32</v>
      </c>
      <c r="P211" s="36">
        <f>IFERROR(O211/$AD211,0)</f>
        <v>0.34042553191489361</v>
      </c>
      <c r="Q211" s="17">
        <v>182</v>
      </c>
      <c r="R211" s="36">
        <f>IFERROR(Q211/$AC211,0)</f>
        <v>0.18019801980198019</v>
      </c>
      <c r="S211" s="17">
        <v>17</v>
      </c>
      <c r="T211" s="36">
        <f>IFERROR(S211/$AD211,0)</f>
        <v>0.18085106382978725</v>
      </c>
      <c r="U211" s="17">
        <v>64</v>
      </c>
      <c r="V211" s="36">
        <f>IFERROR(U211/$AC211,0)</f>
        <v>6.3366336633663367E-2</v>
      </c>
      <c r="W211" s="17">
        <v>6</v>
      </c>
      <c r="X211" s="36">
        <f>IFERROR(W211/$AD211,0)</f>
        <v>6.3829787234042548E-2</v>
      </c>
      <c r="Y211" s="17">
        <v>26</v>
      </c>
      <c r="Z211" s="36">
        <f>IFERROR(Y211/$AC211,0)</f>
        <v>2.5742574257425741E-2</v>
      </c>
      <c r="AA211" s="17">
        <v>2</v>
      </c>
      <c r="AB211" s="36">
        <f>IFERROR(AA211/$AD211,0)</f>
        <v>2.1276595744680851E-2</v>
      </c>
      <c r="AC211" s="16">
        <v>1010</v>
      </c>
      <c r="AD211" s="17">
        <v>94</v>
      </c>
    </row>
    <row r="212" spans="1:30" ht="15.75" customHeight="1" x14ac:dyDescent="0.25">
      <c r="A212" s="37">
        <v>2023</v>
      </c>
      <c r="B212" s="35">
        <v>171250</v>
      </c>
      <c r="C212" s="33" t="str">
        <f>VLOOKUP(B212,procv!$A$2:$D$142,4,FALSE)</f>
        <v>Cantão</v>
      </c>
      <c r="D212" s="33" t="s">
        <v>76</v>
      </c>
      <c r="E212" s="17">
        <v>26</v>
      </c>
      <c r="F212" s="36">
        <f>IFERROR(E212/$AC212,0)</f>
        <v>1.6476552598225603E-2</v>
      </c>
      <c r="G212" s="17">
        <v>2</v>
      </c>
      <c r="H212" s="36">
        <f>IFERROR(G212/$AD212,0)</f>
        <v>2.5000000000000001E-2</v>
      </c>
      <c r="I212" s="17">
        <v>509</v>
      </c>
      <c r="J212" s="36">
        <f>IFERROR(I212/$AC212,0)</f>
        <v>0.32256020278833969</v>
      </c>
      <c r="K212" s="17">
        <v>28</v>
      </c>
      <c r="L212" s="36">
        <f>IFERROR(K212/$AD212,0)</f>
        <v>0.35</v>
      </c>
      <c r="M212" s="17">
        <v>571</v>
      </c>
      <c r="N212" s="36">
        <f>IFERROR(M212/$AC212,0)</f>
        <v>0.36185044359949303</v>
      </c>
      <c r="O212" s="17">
        <v>19</v>
      </c>
      <c r="P212" s="36">
        <f>IFERROR(O212/$AD212,0)</f>
        <v>0.23749999999999999</v>
      </c>
      <c r="Q212" s="17">
        <v>298</v>
      </c>
      <c r="R212" s="36">
        <f>IFERROR(Q212/$AC212,0)</f>
        <v>0.1888466413181242</v>
      </c>
      <c r="S212" s="17">
        <v>23</v>
      </c>
      <c r="T212" s="36">
        <f>IFERROR(S212/$AD212,0)</f>
        <v>0.28749999999999998</v>
      </c>
      <c r="U212" s="17">
        <v>120</v>
      </c>
      <c r="V212" s="36">
        <f>IFERROR(U212/$AC212,0)</f>
        <v>7.6045627376425853E-2</v>
      </c>
      <c r="W212" s="17">
        <v>5</v>
      </c>
      <c r="X212" s="36">
        <f>IFERROR(W212/$AD212,0)</f>
        <v>6.25E-2</v>
      </c>
      <c r="Y212" s="17">
        <v>54</v>
      </c>
      <c r="Z212" s="36">
        <f>IFERROR(Y212/$AC212,0)</f>
        <v>3.4220532319391636E-2</v>
      </c>
      <c r="AA212" s="17">
        <v>3</v>
      </c>
      <c r="AB212" s="36">
        <f>IFERROR(AA212/$AD212,0)</f>
        <v>3.7499999999999999E-2</v>
      </c>
      <c r="AC212" s="16">
        <v>1578</v>
      </c>
      <c r="AD212" s="17">
        <v>80</v>
      </c>
    </row>
    <row r="213" spans="1:30" ht="15.75" customHeight="1" x14ac:dyDescent="0.25">
      <c r="A213" s="37">
        <v>2023</v>
      </c>
      <c r="B213" s="35">
        <v>171270</v>
      </c>
      <c r="C213" s="33" t="str">
        <f>VLOOKUP(B213,procv!$A$2:$D$142,4,FALSE)</f>
        <v>Amor Perfeito</v>
      </c>
      <c r="D213" s="33" t="s">
        <v>77</v>
      </c>
      <c r="E213" s="17">
        <v>14</v>
      </c>
      <c r="F213" s="36">
        <f>IFERROR(E213/$AC213,0)</f>
        <v>1.6091954022988506E-2</v>
      </c>
      <c r="G213" s="17">
        <v>5</v>
      </c>
      <c r="H213" s="36">
        <f>IFERROR(G213/$AD213,0)</f>
        <v>6.0240963855421686E-2</v>
      </c>
      <c r="I213" s="17">
        <v>278</v>
      </c>
      <c r="J213" s="36">
        <f>IFERROR(I213/$AC213,0)</f>
        <v>0.31954022988505748</v>
      </c>
      <c r="K213" s="17">
        <v>27</v>
      </c>
      <c r="L213" s="36">
        <f>IFERROR(K213/$AD213,0)</f>
        <v>0.3253012048192771</v>
      </c>
      <c r="M213" s="17">
        <v>342</v>
      </c>
      <c r="N213" s="36">
        <f>IFERROR(M213/$AC213,0)</f>
        <v>0.39310344827586208</v>
      </c>
      <c r="O213" s="17">
        <v>34</v>
      </c>
      <c r="P213" s="36">
        <f>IFERROR(O213/$AD213,0)</f>
        <v>0.40963855421686746</v>
      </c>
      <c r="Q213" s="17">
        <v>168</v>
      </c>
      <c r="R213" s="36">
        <f>IFERROR(Q213/$AC213,0)</f>
        <v>0.19310344827586207</v>
      </c>
      <c r="S213" s="17">
        <v>10</v>
      </c>
      <c r="T213" s="36">
        <f>IFERROR(S213/$AD213,0)</f>
        <v>0.12048192771084337</v>
      </c>
      <c r="U213" s="17">
        <v>52</v>
      </c>
      <c r="V213" s="36">
        <f>IFERROR(U213/$AC213,0)</f>
        <v>5.9770114942528735E-2</v>
      </c>
      <c r="W213" s="17">
        <v>5</v>
      </c>
      <c r="X213" s="36">
        <f>IFERROR(W213/$AD213,0)</f>
        <v>6.0240963855421686E-2</v>
      </c>
      <c r="Y213" s="17">
        <v>16</v>
      </c>
      <c r="Z213" s="36">
        <f>IFERROR(Y213/$AC213,0)</f>
        <v>1.8390804597701149E-2</v>
      </c>
      <c r="AA213" s="17">
        <v>2</v>
      </c>
      <c r="AB213" s="36">
        <f>IFERROR(AA213/$AD213,0)</f>
        <v>2.4096385542168676E-2</v>
      </c>
      <c r="AC213" s="17">
        <v>870</v>
      </c>
      <c r="AD213" s="17">
        <v>83</v>
      </c>
    </row>
    <row r="214" spans="1:30" ht="15.75" customHeight="1" x14ac:dyDescent="0.25">
      <c r="A214" s="37">
        <v>2023</v>
      </c>
      <c r="B214" s="35">
        <v>171280</v>
      </c>
      <c r="C214" s="33" t="str">
        <f>VLOOKUP(B214,procv!$A$2:$D$142,4,FALSE)</f>
        <v>Bico do Papagaio</v>
      </c>
      <c r="D214" s="33" t="s">
        <v>78</v>
      </c>
      <c r="E214" s="17">
        <v>26</v>
      </c>
      <c r="F214" s="36">
        <f>IFERROR(E214/$AC214,0)</f>
        <v>2.3636363636363636E-2</v>
      </c>
      <c r="G214" s="17">
        <v>8</v>
      </c>
      <c r="H214" s="36">
        <f>IFERROR(G214/$AD214,0)</f>
        <v>6.4000000000000001E-2</v>
      </c>
      <c r="I214" s="17">
        <v>381</v>
      </c>
      <c r="J214" s="36">
        <f>IFERROR(I214/$AC214,0)</f>
        <v>0.34636363636363637</v>
      </c>
      <c r="K214" s="17">
        <v>40</v>
      </c>
      <c r="L214" s="36">
        <f>IFERROR(K214/$AD214,0)</f>
        <v>0.32</v>
      </c>
      <c r="M214" s="17">
        <v>373</v>
      </c>
      <c r="N214" s="36">
        <f>IFERROR(M214/$AC214,0)</f>
        <v>0.33909090909090911</v>
      </c>
      <c r="O214" s="17">
        <v>40</v>
      </c>
      <c r="P214" s="36">
        <f>IFERROR(O214/$AD214,0)</f>
        <v>0.32</v>
      </c>
      <c r="Q214" s="17">
        <v>219</v>
      </c>
      <c r="R214" s="36">
        <f>IFERROR(Q214/$AC214,0)</f>
        <v>0.1990909090909091</v>
      </c>
      <c r="S214" s="17">
        <v>25</v>
      </c>
      <c r="T214" s="36">
        <f>IFERROR(S214/$AD214,0)</f>
        <v>0.2</v>
      </c>
      <c r="U214" s="17">
        <v>77</v>
      </c>
      <c r="V214" s="36">
        <f>IFERROR(U214/$AC214,0)</f>
        <v>7.0000000000000007E-2</v>
      </c>
      <c r="W214" s="17">
        <v>9</v>
      </c>
      <c r="X214" s="36">
        <f>IFERROR(W214/$AD214,0)</f>
        <v>7.1999999999999995E-2</v>
      </c>
      <c r="Y214" s="17">
        <v>24</v>
      </c>
      <c r="Z214" s="36">
        <f>IFERROR(Y214/$AC214,0)</f>
        <v>2.181818181818182E-2</v>
      </c>
      <c r="AA214" s="17">
        <v>3</v>
      </c>
      <c r="AB214" s="36">
        <f>IFERROR(AA214/$AD214,0)</f>
        <v>2.4E-2</v>
      </c>
      <c r="AC214" s="16">
        <v>1100</v>
      </c>
      <c r="AD214" s="17">
        <v>125</v>
      </c>
    </row>
    <row r="215" spans="1:30" ht="15.75" customHeight="1" x14ac:dyDescent="0.25">
      <c r="A215" s="37">
        <v>2023</v>
      </c>
      <c r="B215" s="35">
        <v>171320</v>
      </c>
      <c r="C215" s="33" t="str">
        <f>VLOOKUP(B215,procv!$A$2:$D$142,4,FALSE)</f>
        <v>Capim Dourado</v>
      </c>
      <c r="D215" s="33" t="s">
        <v>79</v>
      </c>
      <c r="E215" s="17">
        <v>113</v>
      </c>
      <c r="F215" s="36">
        <f>IFERROR(E215/$AC215,0)</f>
        <v>2.5060989132845421E-2</v>
      </c>
      <c r="G215" s="17">
        <v>9</v>
      </c>
      <c r="H215" s="36">
        <f>IFERROR(G215/$AD215,0)</f>
        <v>2.7692307692307693E-2</v>
      </c>
      <c r="I215" s="16">
        <v>1460</v>
      </c>
      <c r="J215" s="36">
        <f>IFERROR(I215/$AC215,0)</f>
        <v>0.32379685074295855</v>
      </c>
      <c r="K215" s="17">
        <v>122</v>
      </c>
      <c r="L215" s="36">
        <f>IFERROR(K215/$AD215,0)</f>
        <v>0.37538461538461537</v>
      </c>
      <c r="M215" s="16">
        <v>1597</v>
      </c>
      <c r="N215" s="36">
        <f>IFERROR(M215/$AC215,0)</f>
        <v>0.35418052783322246</v>
      </c>
      <c r="O215" s="17">
        <v>88</v>
      </c>
      <c r="P215" s="36">
        <f>IFERROR(O215/$AD215,0)</f>
        <v>0.27076923076923076</v>
      </c>
      <c r="Q215" s="17">
        <v>867</v>
      </c>
      <c r="R215" s="36">
        <f>IFERROR(Q215/$AC215,0)</f>
        <v>0.19228210246174318</v>
      </c>
      <c r="S215" s="17">
        <v>68</v>
      </c>
      <c r="T215" s="36">
        <f>IFERROR(S215/$AD215,0)</f>
        <v>0.20923076923076922</v>
      </c>
      <c r="U215" s="17">
        <v>338</v>
      </c>
      <c r="V215" s="36">
        <f>IFERROR(U215/$AC215,0)</f>
        <v>7.4961188733643824E-2</v>
      </c>
      <c r="W215" s="17">
        <v>32</v>
      </c>
      <c r="X215" s="36">
        <f>IFERROR(W215/$AD215,0)</f>
        <v>9.8461538461538461E-2</v>
      </c>
      <c r="Y215" s="17">
        <v>134</v>
      </c>
      <c r="Z215" s="36">
        <f>IFERROR(Y215/$AC215,0)</f>
        <v>2.9718341095586603E-2</v>
      </c>
      <c r="AA215" s="17">
        <v>6</v>
      </c>
      <c r="AB215" s="36">
        <f>IFERROR(AA215/$AD215,0)</f>
        <v>1.8461538461538463E-2</v>
      </c>
      <c r="AC215" s="16">
        <v>4509</v>
      </c>
      <c r="AD215" s="17">
        <v>325</v>
      </c>
    </row>
    <row r="216" spans="1:30" ht="15.75" customHeight="1" x14ac:dyDescent="0.25">
      <c r="A216" s="37">
        <v>2023</v>
      </c>
      <c r="B216" s="35">
        <v>171330</v>
      </c>
      <c r="C216" s="33" t="str">
        <f>VLOOKUP(B216,procv!$A$2:$D$142,4,FALSE)</f>
        <v>Capim Dourado</v>
      </c>
      <c r="D216" s="33" t="s">
        <v>80</v>
      </c>
      <c r="E216" s="17">
        <v>66</v>
      </c>
      <c r="F216" s="36">
        <f>IFERROR(E216/$AC216,0)</f>
        <v>2.1963394342762062E-2</v>
      </c>
      <c r="G216" s="17">
        <v>12</v>
      </c>
      <c r="H216" s="36">
        <f>IFERROR(G216/$AD216,0)</f>
        <v>4.2253521126760563E-2</v>
      </c>
      <c r="I216" s="16">
        <v>1055</v>
      </c>
      <c r="J216" s="36">
        <f>IFERROR(I216/$AC216,0)</f>
        <v>0.35108153078202997</v>
      </c>
      <c r="K216" s="17">
        <v>115</v>
      </c>
      <c r="L216" s="36">
        <f>IFERROR(K216/$AD216,0)</f>
        <v>0.40492957746478875</v>
      </c>
      <c r="M216" s="16">
        <v>1094</v>
      </c>
      <c r="N216" s="36">
        <f>IFERROR(M216/$AC216,0)</f>
        <v>0.36405990016638934</v>
      </c>
      <c r="O216" s="17">
        <v>79</v>
      </c>
      <c r="P216" s="36">
        <f>IFERROR(O216/$AD216,0)</f>
        <v>0.27816901408450706</v>
      </c>
      <c r="Q216" s="17">
        <v>536</v>
      </c>
      <c r="R216" s="36">
        <f>IFERROR(Q216/$AC216,0)</f>
        <v>0.178369384359401</v>
      </c>
      <c r="S216" s="17">
        <v>48</v>
      </c>
      <c r="T216" s="36">
        <f>IFERROR(S216/$AD216,0)</f>
        <v>0.16901408450704225</v>
      </c>
      <c r="U216" s="17">
        <v>174</v>
      </c>
      <c r="V216" s="36">
        <f>IFERROR(U216/$AC216,0)</f>
        <v>5.7903494176372715E-2</v>
      </c>
      <c r="W216" s="17">
        <v>24</v>
      </c>
      <c r="X216" s="36">
        <f>IFERROR(W216/$AD216,0)</f>
        <v>8.4507042253521125E-2</v>
      </c>
      <c r="Y216" s="17">
        <v>80</v>
      </c>
      <c r="Z216" s="36">
        <f>IFERROR(Y216/$AC216,0)</f>
        <v>2.6622296173044926E-2</v>
      </c>
      <c r="AA216" s="17">
        <v>6</v>
      </c>
      <c r="AB216" s="36">
        <f>IFERROR(AA216/$AD216,0)</f>
        <v>2.1126760563380281E-2</v>
      </c>
      <c r="AC216" s="16">
        <v>3005</v>
      </c>
      <c r="AD216" s="17">
        <v>284</v>
      </c>
    </row>
    <row r="217" spans="1:30" ht="15.75" customHeight="1" x14ac:dyDescent="0.25">
      <c r="A217" s="37">
        <v>2023</v>
      </c>
      <c r="B217" s="35">
        <v>171360</v>
      </c>
      <c r="C217" s="33" t="str">
        <f>VLOOKUP(B217,procv!$A$2:$D$142,4,FALSE)</f>
        <v>Amor Perfeito</v>
      </c>
      <c r="D217" s="33" t="s">
        <v>81</v>
      </c>
      <c r="E217" s="17">
        <v>31</v>
      </c>
      <c r="F217" s="36">
        <f>IFERROR(E217/$AC217,0)</f>
        <v>2.1497919556171984E-2</v>
      </c>
      <c r="G217" s="17">
        <v>5</v>
      </c>
      <c r="H217" s="36">
        <f>IFERROR(G217/$AD217,0)</f>
        <v>2.8901734104046242E-2</v>
      </c>
      <c r="I217" s="17">
        <v>449</v>
      </c>
      <c r="J217" s="36">
        <f>IFERROR(I217/$AC217,0)</f>
        <v>0.31137309292649096</v>
      </c>
      <c r="K217" s="17">
        <v>54</v>
      </c>
      <c r="L217" s="36">
        <f>IFERROR(K217/$AD217,0)</f>
        <v>0.31213872832369943</v>
      </c>
      <c r="M217" s="17">
        <v>501</v>
      </c>
      <c r="N217" s="36">
        <f>IFERROR(M217/$AC217,0)</f>
        <v>0.34743411927877949</v>
      </c>
      <c r="O217" s="17">
        <v>53</v>
      </c>
      <c r="P217" s="36">
        <f>IFERROR(O217/$AD217,0)</f>
        <v>0.30635838150289019</v>
      </c>
      <c r="Q217" s="17">
        <v>282</v>
      </c>
      <c r="R217" s="36">
        <f>IFERROR(Q217/$AC217,0)</f>
        <v>0.19556171983356449</v>
      </c>
      <c r="S217" s="17">
        <v>34</v>
      </c>
      <c r="T217" s="36">
        <f>IFERROR(S217/$AD217,0)</f>
        <v>0.19653179190751446</v>
      </c>
      <c r="U217" s="17">
        <v>120</v>
      </c>
      <c r="V217" s="36">
        <f>IFERROR(U217/$AC217,0)</f>
        <v>8.3217753120665747E-2</v>
      </c>
      <c r="W217" s="17">
        <v>16</v>
      </c>
      <c r="X217" s="36">
        <f>IFERROR(W217/$AD217,0)</f>
        <v>9.2485549132947972E-2</v>
      </c>
      <c r="Y217" s="17">
        <v>59</v>
      </c>
      <c r="Z217" s="36">
        <f>IFERROR(Y217/$AC217,0)</f>
        <v>4.0915395284327326E-2</v>
      </c>
      <c r="AA217" s="17">
        <v>11</v>
      </c>
      <c r="AB217" s="36">
        <f>IFERROR(AA217/$AD217,0)</f>
        <v>6.358381502890173E-2</v>
      </c>
      <c r="AC217" s="16">
        <v>1442</v>
      </c>
      <c r="AD217" s="17">
        <v>173</v>
      </c>
    </row>
    <row r="218" spans="1:30" ht="15.75" customHeight="1" x14ac:dyDescent="0.25">
      <c r="A218" s="37">
        <v>2023</v>
      </c>
      <c r="B218" s="35">
        <v>171370</v>
      </c>
      <c r="C218" s="33" t="str">
        <f>VLOOKUP(B218,procv!$A$2:$D$142,4,FALSE)</f>
        <v>Cantão</v>
      </c>
      <c r="D218" s="33" t="s">
        <v>82</v>
      </c>
      <c r="E218" s="17">
        <v>9</v>
      </c>
      <c r="F218" s="36">
        <f>IFERROR(E218/$AC218,0)</f>
        <v>1.2413793103448275E-2</v>
      </c>
      <c r="G218" s="17">
        <v>0</v>
      </c>
      <c r="H218" s="36">
        <f>IFERROR(G218/$AD218,0)</f>
        <v>0</v>
      </c>
      <c r="I218" s="17">
        <v>221</v>
      </c>
      <c r="J218" s="36">
        <f>IFERROR(I218/$AC218,0)</f>
        <v>0.30482758620689654</v>
      </c>
      <c r="K218" s="17">
        <v>9</v>
      </c>
      <c r="L218" s="36">
        <f>IFERROR(K218/$AD218,0)</f>
        <v>0.23684210526315788</v>
      </c>
      <c r="M218" s="17">
        <v>278</v>
      </c>
      <c r="N218" s="36">
        <f>IFERROR(M218/$AC218,0)</f>
        <v>0.38344827586206898</v>
      </c>
      <c r="O218" s="17">
        <v>9</v>
      </c>
      <c r="P218" s="36">
        <f>IFERROR(O218/$AD218,0)</f>
        <v>0.23684210526315788</v>
      </c>
      <c r="Q218" s="17">
        <v>143</v>
      </c>
      <c r="R218" s="36">
        <f>IFERROR(Q218/$AC218,0)</f>
        <v>0.19724137931034483</v>
      </c>
      <c r="S218" s="17">
        <v>12</v>
      </c>
      <c r="T218" s="36">
        <f>IFERROR(S218/$AD218,0)</f>
        <v>0.31578947368421051</v>
      </c>
      <c r="U218" s="17">
        <v>47</v>
      </c>
      <c r="V218" s="36">
        <f>IFERROR(U218/$AC218,0)</f>
        <v>6.4827586206896548E-2</v>
      </c>
      <c r="W218" s="17">
        <v>6</v>
      </c>
      <c r="X218" s="36">
        <f>IFERROR(W218/$AD218,0)</f>
        <v>0.15789473684210525</v>
      </c>
      <c r="Y218" s="17">
        <v>27</v>
      </c>
      <c r="Z218" s="36">
        <f>IFERROR(Y218/$AC218,0)</f>
        <v>3.7241379310344824E-2</v>
      </c>
      <c r="AA218" s="17">
        <v>2</v>
      </c>
      <c r="AB218" s="36">
        <f>IFERROR(AA218/$AD218,0)</f>
        <v>5.2631578947368418E-2</v>
      </c>
      <c r="AC218" s="17">
        <v>725</v>
      </c>
      <c r="AD218" s="17">
        <v>38</v>
      </c>
    </row>
    <row r="219" spans="1:30" ht="15.75" customHeight="1" x14ac:dyDescent="0.25">
      <c r="A219" s="37">
        <v>2023</v>
      </c>
      <c r="B219" s="35">
        <v>171395</v>
      </c>
      <c r="C219" s="33" t="str">
        <f>VLOOKUP(B219,procv!$A$2:$D$142,4,FALSE)</f>
        <v>Médio Norte Araguaia</v>
      </c>
      <c r="D219" s="33" t="s">
        <v>83</v>
      </c>
      <c r="E219" s="17">
        <v>42</v>
      </c>
      <c r="F219" s="36">
        <f>IFERROR(E219/$AC219,0)</f>
        <v>3.0927835051546393E-2</v>
      </c>
      <c r="G219" s="17">
        <v>7</v>
      </c>
      <c r="H219" s="36">
        <f>IFERROR(G219/$AD219,0)</f>
        <v>4.9295774647887321E-2</v>
      </c>
      <c r="I219" s="17">
        <v>480</v>
      </c>
      <c r="J219" s="36">
        <f>IFERROR(I219/$AC219,0)</f>
        <v>0.35346097201767307</v>
      </c>
      <c r="K219" s="17">
        <v>48</v>
      </c>
      <c r="L219" s="36">
        <f>IFERROR(K219/$AD219,0)</f>
        <v>0.3380281690140845</v>
      </c>
      <c r="M219" s="17">
        <v>451</v>
      </c>
      <c r="N219" s="36">
        <f>IFERROR(M219/$AC219,0)</f>
        <v>0.33210603829160529</v>
      </c>
      <c r="O219" s="17">
        <v>48</v>
      </c>
      <c r="P219" s="36">
        <f>IFERROR(O219/$AD219,0)</f>
        <v>0.3380281690140845</v>
      </c>
      <c r="Q219" s="17">
        <v>258</v>
      </c>
      <c r="R219" s="36">
        <f>IFERROR(Q219/$AC219,0)</f>
        <v>0.18998527245949925</v>
      </c>
      <c r="S219" s="17">
        <v>28</v>
      </c>
      <c r="T219" s="36">
        <f>IFERROR(S219/$AD219,0)</f>
        <v>0.19718309859154928</v>
      </c>
      <c r="U219" s="17">
        <v>101</v>
      </c>
      <c r="V219" s="36">
        <f>IFERROR(U219/$AC219,0)</f>
        <v>7.4374079528718703E-2</v>
      </c>
      <c r="W219" s="17">
        <v>5</v>
      </c>
      <c r="X219" s="36">
        <f>IFERROR(W219/$AD219,0)</f>
        <v>3.5211267605633804E-2</v>
      </c>
      <c r="Y219" s="17">
        <v>26</v>
      </c>
      <c r="Z219" s="36">
        <f>IFERROR(Y219/$AC219,0)</f>
        <v>1.9145802650957292E-2</v>
      </c>
      <c r="AA219" s="17">
        <v>6</v>
      </c>
      <c r="AB219" s="36">
        <f>IFERROR(AA219/$AD219,0)</f>
        <v>4.2253521126760563E-2</v>
      </c>
      <c r="AC219" s="16">
        <v>1358</v>
      </c>
      <c r="AD219" s="17">
        <v>142</v>
      </c>
    </row>
    <row r="220" spans="1:30" ht="15.75" customHeight="1" x14ac:dyDescent="0.25">
      <c r="A220" s="37">
        <v>2023</v>
      </c>
      <c r="B220" s="35">
        <v>171420</v>
      </c>
      <c r="C220" s="33" t="str">
        <f>VLOOKUP(B220,procv!$A$2:$D$142,4,FALSE)</f>
        <v>Amor Perfeito</v>
      </c>
      <c r="D220" s="33" t="s">
        <v>84</v>
      </c>
      <c r="E220" s="17">
        <v>71</v>
      </c>
      <c r="F220" s="36">
        <f>IFERROR(E220/$AC220,0)</f>
        <v>2.264030612244898E-2</v>
      </c>
      <c r="G220" s="17">
        <v>15</v>
      </c>
      <c r="H220" s="36">
        <f>IFERROR(G220/$AD220,0)</f>
        <v>3.5799522673031027E-2</v>
      </c>
      <c r="I220" s="16">
        <v>1042</v>
      </c>
      <c r="J220" s="36">
        <f>IFERROR(I220/$AC220,0)</f>
        <v>0.33227040816326531</v>
      </c>
      <c r="K220" s="17">
        <v>139</v>
      </c>
      <c r="L220" s="36">
        <f>IFERROR(K220/$AD220,0)</f>
        <v>0.33174224343675418</v>
      </c>
      <c r="M220" s="16">
        <v>1103</v>
      </c>
      <c r="N220" s="36">
        <f>IFERROR(M220/$AC220,0)</f>
        <v>0.35172193877551022</v>
      </c>
      <c r="O220" s="17">
        <v>131</v>
      </c>
      <c r="P220" s="36">
        <f>IFERROR(O220/$AD220,0)</f>
        <v>0.31264916467780429</v>
      </c>
      <c r="Q220" s="17">
        <v>612</v>
      </c>
      <c r="R220" s="36">
        <f>IFERROR(Q220/$AC220,0)</f>
        <v>0.1951530612244898</v>
      </c>
      <c r="S220" s="17">
        <v>85</v>
      </c>
      <c r="T220" s="36">
        <f>IFERROR(S220/$AD220,0)</f>
        <v>0.20286396181384247</v>
      </c>
      <c r="U220" s="17">
        <v>214</v>
      </c>
      <c r="V220" s="36">
        <f>IFERROR(U220/$AC220,0)</f>
        <v>6.8239795918367346E-2</v>
      </c>
      <c r="W220" s="17">
        <v>36</v>
      </c>
      <c r="X220" s="36">
        <f>IFERROR(W220/$AD220,0)</f>
        <v>8.5918854415274457E-2</v>
      </c>
      <c r="Y220" s="17">
        <v>94</v>
      </c>
      <c r="Z220" s="36">
        <f>IFERROR(Y220/$AC220,0)</f>
        <v>2.9974489795918366E-2</v>
      </c>
      <c r="AA220" s="17">
        <v>13</v>
      </c>
      <c r="AB220" s="36">
        <f>IFERROR(AA220/$AD220,0)</f>
        <v>3.1026252983293555E-2</v>
      </c>
      <c r="AC220" s="16">
        <v>3136</v>
      </c>
      <c r="AD220" s="17">
        <v>419</v>
      </c>
    </row>
    <row r="221" spans="1:30" ht="15.75" customHeight="1" x14ac:dyDescent="0.25">
      <c r="A221" s="37">
        <v>2023</v>
      </c>
      <c r="B221" s="35">
        <v>171430</v>
      </c>
      <c r="C221" s="33" t="str">
        <f>VLOOKUP(B221,procv!$A$2:$D$142,4,FALSE)</f>
        <v>Bico do Papagaio</v>
      </c>
      <c r="D221" s="33" t="s">
        <v>85</v>
      </c>
      <c r="E221" s="17">
        <v>43</v>
      </c>
      <c r="F221" s="36">
        <f>IFERROR(E221/$AC221,0)</f>
        <v>3.5773710482529121E-2</v>
      </c>
      <c r="G221" s="17">
        <v>11</v>
      </c>
      <c r="H221" s="36">
        <f>IFERROR(G221/$AD221,0)</f>
        <v>6.4705882352941183E-2</v>
      </c>
      <c r="I221" s="17">
        <v>422</v>
      </c>
      <c r="J221" s="36">
        <f>IFERROR(I221/$AC221,0)</f>
        <v>0.35108153078202997</v>
      </c>
      <c r="K221" s="17">
        <v>61</v>
      </c>
      <c r="L221" s="36">
        <f>IFERROR(K221/$AD221,0)</f>
        <v>0.35882352941176471</v>
      </c>
      <c r="M221" s="17">
        <v>397</v>
      </c>
      <c r="N221" s="36">
        <f>IFERROR(M221/$AC221,0)</f>
        <v>0.33028286189683859</v>
      </c>
      <c r="O221" s="17">
        <v>62</v>
      </c>
      <c r="P221" s="36">
        <f>IFERROR(O221/$AD221,0)</f>
        <v>0.36470588235294116</v>
      </c>
      <c r="Q221" s="17">
        <v>242</v>
      </c>
      <c r="R221" s="36">
        <f>IFERROR(Q221/$AC221,0)</f>
        <v>0.20133111480865223</v>
      </c>
      <c r="S221" s="17">
        <v>22</v>
      </c>
      <c r="T221" s="36">
        <f>IFERROR(S221/$AD221,0)</f>
        <v>0.12941176470588237</v>
      </c>
      <c r="U221" s="17">
        <v>78</v>
      </c>
      <c r="V221" s="36">
        <f>IFERROR(U221/$AC221,0)</f>
        <v>6.4891846921797003E-2</v>
      </c>
      <c r="W221" s="17">
        <v>14</v>
      </c>
      <c r="X221" s="36">
        <f>IFERROR(W221/$AD221,0)</f>
        <v>8.2352941176470587E-2</v>
      </c>
      <c r="Y221" s="17">
        <v>20</v>
      </c>
      <c r="Z221" s="36">
        <f>IFERROR(Y221/$AC221,0)</f>
        <v>1.6638935108153077E-2</v>
      </c>
      <c r="AA221" s="17">
        <v>0</v>
      </c>
      <c r="AB221" s="36">
        <f>IFERROR(AA221/$AD221,0)</f>
        <v>0</v>
      </c>
      <c r="AC221" s="16">
        <v>1202</v>
      </c>
      <c r="AD221" s="17">
        <v>170</v>
      </c>
    </row>
    <row r="222" spans="1:30" ht="15.75" customHeight="1" x14ac:dyDescent="0.25">
      <c r="A222" s="37">
        <v>2023</v>
      </c>
      <c r="B222" s="35">
        <v>171488</v>
      </c>
      <c r="C222" s="33" t="str">
        <f>VLOOKUP(B222,procv!$A$2:$D$142,4,FALSE)</f>
        <v>Médio Norte Araguaia</v>
      </c>
      <c r="D222" s="33" t="s">
        <v>86</v>
      </c>
      <c r="E222" s="17">
        <v>55</v>
      </c>
      <c r="F222" s="36">
        <f>IFERROR(E222/$AC222,0)</f>
        <v>2.4207746478873238E-2</v>
      </c>
      <c r="G222" s="17">
        <v>8</v>
      </c>
      <c r="H222" s="36">
        <f>IFERROR(G222/$AD222,0)</f>
        <v>2.7874564459930314E-2</v>
      </c>
      <c r="I222" s="17">
        <v>803</v>
      </c>
      <c r="J222" s="36">
        <f>IFERROR(I222/$AC222,0)</f>
        <v>0.35343309859154931</v>
      </c>
      <c r="K222" s="17">
        <v>108</v>
      </c>
      <c r="L222" s="36">
        <f>IFERROR(K222/$AD222,0)</f>
        <v>0.37630662020905925</v>
      </c>
      <c r="M222" s="17">
        <v>778</v>
      </c>
      <c r="N222" s="36">
        <f>IFERROR(M222/$AC222,0)</f>
        <v>0.34242957746478875</v>
      </c>
      <c r="O222" s="17">
        <v>91</v>
      </c>
      <c r="P222" s="36">
        <f>IFERROR(O222/$AD222,0)</f>
        <v>0.31707317073170732</v>
      </c>
      <c r="Q222" s="17">
        <v>406</v>
      </c>
      <c r="R222" s="36">
        <f>IFERROR(Q222/$AC222,0)</f>
        <v>0.17869718309859156</v>
      </c>
      <c r="S222" s="17">
        <v>44</v>
      </c>
      <c r="T222" s="36">
        <f>IFERROR(S222/$AD222,0)</f>
        <v>0.15331010452961671</v>
      </c>
      <c r="U222" s="17">
        <v>160</v>
      </c>
      <c r="V222" s="36">
        <f>IFERROR(U222/$AC222,0)</f>
        <v>7.0422535211267609E-2</v>
      </c>
      <c r="W222" s="17">
        <v>25</v>
      </c>
      <c r="X222" s="36">
        <f>IFERROR(W222/$AD222,0)</f>
        <v>8.7108013937282236E-2</v>
      </c>
      <c r="Y222" s="17">
        <v>70</v>
      </c>
      <c r="Z222" s="36">
        <f>IFERROR(Y222/$AC222,0)</f>
        <v>3.0809859154929578E-2</v>
      </c>
      <c r="AA222" s="17">
        <v>11</v>
      </c>
      <c r="AB222" s="36">
        <f>IFERROR(AA222/$AD222,0)</f>
        <v>3.8327526132404179E-2</v>
      </c>
      <c r="AC222" s="16">
        <v>2272</v>
      </c>
      <c r="AD222" s="17">
        <v>287</v>
      </c>
    </row>
    <row r="223" spans="1:30" ht="15.75" customHeight="1" x14ac:dyDescent="0.25">
      <c r="A223" s="37">
        <v>2023</v>
      </c>
      <c r="B223" s="35">
        <v>171500</v>
      </c>
      <c r="C223" s="33" t="str">
        <f>VLOOKUP(B223,procv!$A$2:$D$142,4,FALSE)</f>
        <v>Cantão</v>
      </c>
      <c r="D223" s="33" t="s">
        <v>87</v>
      </c>
      <c r="E223" s="17">
        <v>24</v>
      </c>
      <c r="F223" s="36">
        <f>IFERROR(E223/$AC223,0)</f>
        <v>1.7492711370262391E-2</v>
      </c>
      <c r="G223" s="17">
        <v>3</v>
      </c>
      <c r="H223" s="36">
        <f>IFERROR(G223/$AD223,0)</f>
        <v>5.3571428571428568E-2</v>
      </c>
      <c r="I223" s="17">
        <v>491</v>
      </c>
      <c r="J223" s="36">
        <f>IFERROR(I223/$AC223,0)</f>
        <v>0.35787172011661805</v>
      </c>
      <c r="K223" s="17">
        <v>20</v>
      </c>
      <c r="L223" s="36">
        <f>IFERROR(K223/$AD223,0)</f>
        <v>0.35714285714285715</v>
      </c>
      <c r="M223" s="17">
        <v>483</v>
      </c>
      <c r="N223" s="36">
        <f>IFERROR(M223/$AC223,0)</f>
        <v>0.35204081632653061</v>
      </c>
      <c r="O223" s="17">
        <v>18</v>
      </c>
      <c r="P223" s="36">
        <f>IFERROR(O223/$AD223,0)</f>
        <v>0.32142857142857145</v>
      </c>
      <c r="Q223" s="17">
        <v>254</v>
      </c>
      <c r="R223" s="36">
        <f>IFERROR(Q223/$AC223,0)</f>
        <v>0.18513119533527697</v>
      </c>
      <c r="S223" s="17">
        <v>9</v>
      </c>
      <c r="T223" s="36">
        <f>IFERROR(S223/$AD223,0)</f>
        <v>0.16071428571428573</v>
      </c>
      <c r="U223" s="17">
        <v>74</v>
      </c>
      <c r="V223" s="36">
        <f>IFERROR(U223/$AC223,0)</f>
        <v>5.393586005830904E-2</v>
      </c>
      <c r="W223" s="17">
        <v>5</v>
      </c>
      <c r="X223" s="36">
        <f>IFERROR(W223/$AD223,0)</f>
        <v>8.9285714285714288E-2</v>
      </c>
      <c r="Y223" s="17">
        <v>46</v>
      </c>
      <c r="Z223" s="36">
        <f>IFERROR(Y223/$AC223,0)</f>
        <v>3.3527696793002916E-2</v>
      </c>
      <c r="AA223" s="17">
        <v>1</v>
      </c>
      <c r="AB223" s="36">
        <f>IFERROR(AA223/$AD223,0)</f>
        <v>1.7857142857142856E-2</v>
      </c>
      <c r="AC223" s="16">
        <v>1372</v>
      </c>
      <c r="AD223" s="17">
        <v>56</v>
      </c>
    </row>
    <row r="224" spans="1:30" ht="15.75" customHeight="1" x14ac:dyDescent="0.25">
      <c r="A224" s="37">
        <v>2023</v>
      </c>
      <c r="B224" s="35">
        <v>171510</v>
      </c>
      <c r="C224" s="33" t="str">
        <f>VLOOKUP(B224,procv!$A$2:$D$142,4,FALSE)</f>
        <v>Capim Dourado</v>
      </c>
      <c r="D224" s="33" t="s">
        <v>88</v>
      </c>
      <c r="E224" s="17">
        <v>19</v>
      </c>
      <c r="F224" s="36">
        <f>IFERROR(E224/$AC224,0)</f>
        <v>1.8793273986152326E-2</v>
      </c>
      <c r="G224" s="17">
        <v>2</v>
      </c>
      <c r="H224" s="36">
        <f>IFERROR(G224/$AD224,0)</f>
        <v>1.834862385321101E-2</v>
      </c>
      <c r="I224" s="17">
        <v>327</v>
      </c>
      <c r="J224" s="36">
        <f>IFERROR(I224/$AC224,0)</f>
        <v>0.32344213649851633</v>
      </c>
      <c r="K224" s="17">
        <v>40</v>
      </c>
      <c r="L224" s="36">
        <f>IFERROR(K224/$AD224,0)</f>
        <v>0.3669724770642202</v>
      </c>
      <c r="M224" s="17">
        <v>373</v>
      </c>
      <c r="N224" s="36">
        <f>IFERROR(M224/$AC224,0)</f>
        <v>0.36894164193867457</v>
      </c>
      <c r="O224" s="17">
        <v>35</v>
      </c>
      <c r="P224" s="36">
        <f>IFERROR(O224/$AD224,0)</f>
        <v>0.32110091743119268</v>
      </c>
      <c r="Q224" s="17">
        <v>195</v>
      </c>
      <c r="R224" s="36">
        <f>IFERROR(Q224/$AC224,0)</f>
        <v>0.19287833827893175</v>
      </c>
      <c r="S224" s="17">
        <v>21</v>
      </c>
      <c r="T224" s="36">
        <f>IFERROR(S224/$AD224,0)</f>
        <v>0.19266055045871561</v>
      </c>
      <c r="U224" s="17">
        <v>69</v>
      </c>
      <c r="V224" s="36">
        <f>IFERROR(U224/$AC224,0)</f>
        <v>6.8249258160237386E-2</v>
      </c>
      <c r="W224" s="17">
        <v>8</v>
      </c>
      <c r="X224" s="36">
        <f>IFERROR(W224/$AD224,0)</f>
        <v>7.3394495412844041E-2</v>
      </c>
      <c r="Y224" s="17">
        <v>28</v>
      </c>
      <c r="Z224" s="36">
        <f>IFERROR(Y224/$AC224,0)</f>
        <v>2.7695351137487636E-2</v>
      </c>
      <c r="AA224" s="17">
        <v>3</v>
      </c>
      <c r="AB224" s="36">
        <f>IFERROR(AA224/$AD224,0)</f>
        <v>2.7522935779816515E-2</v>
      </c>
      <c r="AC224" s="16">
        <v>1011</v>
      </c>
      <c r="AD224" s="17">
        <v>109</v>
      </c>
    </row>
    <row r="225" spans="1:30" ht="15.75" customHeight="1" x14ac:dyDescent="0.25">
      <c r="A225" s="37">
        <v>2023</v>
      </c>
      <c r="B225" s="35">
        <v>171515</v>
      </c>
      <c r="C225" s="33" t="str">
        <f>VLOOKUP(B225,procv!$A$2:$D$142,4,FALSE)</f>
        <v>Sudeste</v>
      </c>
      <c r="D225" s="33" t="s">
        <v>89</v>
      </c>
      <c r="E225" s="17">
        <v>28</v>
      </c>
      <c r="F225" s="36">
        <f>IFERROR(E225/$AC225,0)</f>
        <v>3.017241379310345E-2</v>
      </c>
      <c r="G225" s="17">
        <v>0</v>
      </c>
      <c r="H225" s="36">
        <f>IFERROR(G225/$AD225,0)</f>
        <v>0</v>
      </c>
      <c r="I225" s="17">
        <v>349</v>
      </c>
      <c r="J225" s="36">
        <f>IFERROR(I225/$AC225,0)</f>
        <v>0.37607758620689657</v>
      </c>
      <c r="K225" s="17">
        <v>14</v>
      </c>
      <c r="L225" s="36">
        <f>IFERROR(K225/$AD225,0)</f>
        <v>0.46666666666666667</v>
      </c>
      <c r="M225" s="17">
        <v>335</v>
      </c>
      <c r="N225" s="36">
        <f>IFERROR(M225/$AC225,0)</f>
        <v>0.36099137931034481</v>
      </c>
      <c r="O225" s="17">
        <v>7</v>
      </c>
      <c r="P225" s="36">
        <f>IFERROR(O225/$AD225,0)</f>
        <v>0.23333333333333334</v>
      </c>
      <c r="Q225" s="17">
        <v>148</v>
      </c>
      <c r="R225" s="36">
        <f>IFERROR(Q225/$AC225,0)</f>
        <v>0.15948275862068967</v>
      </c>
      <c r="S225" s="17">
        <v>6</v>
      </c>
      <c r="T225" s="36">
        <f>IFERROR(S225/$AD225,0)</f>
        <v>0.2</v>
      </c>
      <c r="U225" s="17">
        <v>48</v>
      </c>
      <c r="V225" s="36">
        <f>IFERROR(U225/$AC225,0)</f>
        <v>5.1724137931034482E-2</v>
      </c>
      <c r="W225" s="17">
        <v>1</v>
      </c>
      <c r="X225" s="36">
        <f>IFERROR(W225/$AD225,0)</f>
        <v>3.3333333333333333E-2</v>
      </c>
      <c r="Y225" s="17">
        <v>20</v>
      </c>
      <c r="Z225" s="36">
        <f>IFERROR(Y225/$AC225,0)</f>
        <v>2.1551724137931036E-2</v>
      </c>
      <c r="AA225" s="17">
        <v>2</v>
      </c>
      <c r="AB225" s="36">
        <f>IFERROR(AA225/$AD225,0)</f>
        <v>6.6666666666666666E-2</v>
      </c>
      <c r="AC225" s="17">
        <v>928</v>
      </c>
      <c r="AD225" s="17">
        <v>30</v>
      </c>
    </row>
    <row r="226" spans="1:30" ht="15.75" customHeight="1" x14ac:dyDescent="0.25">
      <c r="A226" s="37">
        <v>2023</v>
      </c>
      <c r="B226" s="35">
        <v>171525</v>
      </c>
      <c r="C226" s="33" t="str">
        <f>VLOOKUP(B226,procv!$A$2:$D$142,4,FALSE)</f>
        <v>Sudeste</v>
      </c>
      <c r="D226" s="33" t="s">
        <v>90</v>
      </c>
      <c r="E226" s="17">
        <v>3</v>
      </c>
      <c r="F226" s="36">
        <f>IFERROR(E226/$AC226,0)</f>
        <v>3.0927835051546393E-2</v>
      </c>
      <c r="G226" s="17">
        <v>2</v>
      </c>
      <c r="H226" s="36">
        <f>IFERROR(G226/$AD226,0)</f>
        <v>4.0816326530612242E-2</v>
      </c>
      <c r="I226" s="17">
        <v>48</v>
      </c>
      <c r="J226" s="36">
        <f>IFERROR(I226/$AC226,0)</f>
        <v>0.49484536082474229</v>
      </c>
      <c r="K226" s="17">
        <v>29</v>
      </c>
      <c r="L226" s="36">
        <f>IFERROR(K226/$AD226,0)</f>
        <v>0.59183673469387754</v>
      </c>
      <c r="M226" s="17">
        <v>25</v>
      </c>
      <c r="N226" s="36">
        <f>IFERROR(M226/$AC226,0)</f>
        <v>0.25773195876288657</v>
      </c>
      <c r="O226" s="17">
        <v>9</v>
      </c>
      <c r="P226" s="36">
        <f>IFERROR(O226/$AD226,0)</f>
        <v>0.18367346938775511</v>
      </c>
      <c r="Q226" s="17">
        <v>13</v>
      </c>
      <c r="R226" s="36">
        <f>IFERROR(Q226/$AC226,0)</f>
        <v>0.13402061855670103</v>
      </c>
      <c r="S226" s="17">
        <v>6</v>
      </c>
      <c r="T226" s="36">
        <f>IFERROR(S226/$AD226,0)</f>
        <v>0.12244897959183673</v>
      </c>
      <c r="U226" s="17">
        <v>4</v>
      </c>
      <c r="V226" s="36">
        <f>IFERROR(U226/$AC226,0)</f>
        <v>4.1237113402061855E-2</v>
      </c>
      <c r="W226" s="17">
        <v>2</v>
      </c>
      <c r="X226" s="36">
        <f>IFERROR(W226/$AD226,0)</f>
        <v>4.0816326530612242E-2</v>
      </c>
      <c r="Y226" s="17">
        <v>4</v>
      </c>
      <c r="Z226" s="36">
        <f>IFERROR(Y226/$AC226,0)</f>
        <v>4.1237113402061855E-2</v>
      </c>
      <c r="AA226" s="17">
        <v>1</v>
      </c>
      <c r="AB226" s="36">
        <f>IFERROR(AA226/$AD226,0)</f>
        <v>2.0408163265306121E-2</v>
      </c>
      <c r="AC226" s="17">
        <v>97</v>
      </c>
      <c r="AD226" s="17">
        <v>49</v>
      </c>
    </row>
    <row r="227" spans="1:30" ht="15.75" customHeight="1" x14ac:dyDescent="0.25">
      <c r="A227" s="37">
        <v>2023</v>
      </c>
      <c r="B227" s="35">
        <v>171550</v>
      </c>
      <c r="C227" s="33" t="str">
        <f>VLOOKUP(B227,procv!$A$2:$D$142,4,FALSE)</f>
        <v>Amor Perfeito</v>
      </c>
      <c r="D227" s="33" t="s">
        <v>91</v>
      </c>
      <c r="E227" s="17">
        <v>8</v>
      </c>
      <c r="F227" s="36">
        <f>IFERROR(E227/$AC227,0)</f>
        <v>1.4311270125223614E-2</v>
      </c>
      <c r="G227" s="17">
        <v>3</v>
      </c>
      <c r="H227" s="36">
        <f>IFERROR(G227/$AD227,0)</f>
        <v>9.375E-2</v>
      </c>
      <c r="I227" s="17">
        <v>176</v>
      </c>
      <c r="J227" s="36">
        <f>IFERROR(I227/$AC227,0)</f>
        <v>0.31484794275491951</v>
      </c>
      <c r="K227" s="17">
        <v>6</v>
      </c>
      <c r="L227" s="36">
        <f>IFERROR(K227/$AD227,0)</f>
        <v>0.1875</v>
      </c>
      <c r="M227" s="17">
        <v>211</v>
      </c>
      <c r="N227" s="36">
        <f>IFERROR(M227/$AC227,0)</f>
        <v>0.37745974955277278</v>
      </c>
      <c r="O227" s="17">
        <v>8</v>
      </c>
      <c r="P227" s="36">
        <f>IFERROR(O227/$AD227,0)</f>
        <v>0.25</v>
      </c>
      <c r="Q227" s="17">
        <v>118</v>
      </c>
      <c r="R227" s="36">
        <f>IFERROR(Q227/$AC227,0)</f>
        <v>0.2110912343470483</v>
      </c>
      <c r="S227" s="17">
        <v>9</v>
      </c>
      <c r="T227" s="36">
        <f>IFERROR(S227/$AD227,0)</f>
        <v>0.28125</v>
      </c>
      <c r="U227" s="17">
        <v>27</v>
      </c>
      <c r="V227" s="36">
        <f>IFERROR(U227/$AC227,0)</f>
        <v>4.8300536672629693E-2</v>
      </c>
      <c r="W227" s="17">
        <v>4</v>
      </c>
      <c r="X227" s="36">
        <f>IFERROR(W227/$AD227,0)</f>
        <v>0.125</v>
      </c>
      <c r="Y227" s="17">
        <v>19</v>
      </c>
      <c r="Z227" s="36">
        <f>IFERROR(Y227/$AC227,0)</f>
        <v>3.3989266547406083E-2</v>
      </c>
      <c r="AA227" s="17">
        <v>2</v>
      </c>
      <c r="AB227" s="36">
        <f>IFERROR(AA227/$AD227,0)</f>
        <v>6.25E-2</v>
      </c>
      <c r="AC227" s="17">
        <v>559</v>
      </c>
      <c r="AD227" s="17">
        <v>32</v>
      </c>
    </row>
    <row r="228" spans="1:30" ht="15.75" customHeight="1" x14ac:dyDescent="0.25">
      <c r="A228" s="37">
        <v>2023</v>
      </c>
      <c r="B228" s="35">
        <v>172100</v>
      </c>
      <c r="C228" s="33" t="str">
        <f>VLOOKUP(B228,procv!$A$2:$D$142,4,FALSE)</f>
        <v>Capim Dourado</v>
      </c>
      <c r="D228" s="33" t="s">
        <v>92</v>
      </c>
      <c r="E228" s="16">
        <v>1424</v>
      </c>
      <c r="F228" s="36">
        <f>IFERROR(E228/$AC228,0)</f>
        <v>2.4788928540342935E-2</v>
      </c>
      <c r="G228" s="17">
        <v>142</v>
      </c>
      <c r="H228" s="36">
        <f>IFERROR(G228/$AD228,0)</f>
        <v>3.1845705315093072E-2</v>
      </c>
      <c r="I228" s="16">
        <v>20484</v>
      </c>
      <c r="J228" s="36">
        <f>IFERROR(I228/$AC228,0)</f>
        <v>0.3565845591435286</v>
      </c>
      <c r="K228" s="16">
        <v>1657</v>
      </c>
      <c r="L228" s="36">
        <f>IFERROR(K228/$AD228,0)</f>
        <v>0.3716079838528818</v>
      </c>
      <c r="M228" s="16">
        <v>20136</v>
      </c>
      <c r="N228" s="36">
        <f>IFERROR(M228/$AC228,0)</f>
        <v>0.35052659065192793</v>
      </c>
      <c r="O228" s="16">
        <v>1440</v>
      </c>
      <c r="P228" s="36">
        <f>IFERROR(O228/$AD228,0)</f>
        <v>0.32294236375869029</v>
      </c>
      <c r="Q228" s="16">
        <v>10290</v>
      </c>
      <c r="R228" s="36">
        <f>IFERROR(Q228/$AC228,0)</f>
        <v>0.17912786143267473</v>
      </c>
      <c r="S228" s="17">
        <v>751</v>
      </c>
      <c r="T228" s="36">
        <f>IFERROR(S228/$AD228,0)</f>
        <v>0.16842341332137251</v>
      </c>
      <c r="U228" s="16">
        <v>3545</v>
      </c>
      <c r="V228" s="36">
        <f>IFERROR(U228/$AC228,0)</f>
        <v>6.1711202019322828E-2</v>
      </c>
      <c r="W228" s="17">
        <v>316</v>
      </c>
      <c r="X228" s="36">
        <f>IFERROR(W228/$AD228,0)</f>
        <v>7.0867907602601476E-2</v>
      </c>
      <c r="Y228" s="16">
        <v>1566</v>
      </c>
      <c r="Z228" s="36">
        <f>IFERROR(Y228/$AC228,0)</f>
        <v>2.7260858212202976E-2</v>
      </c>
      <c r="AA228" s="17">
        <v>153</v>
      </c>
      <c r="AB228" s="36">
        <f>IFERROR(AA228/$AD228,0)</f>
        <v>3.4312626149360842E-2</v>
      </c>
      <c r="AC228" s="16">
        <v>57445</v>
      </c>
      <c r="AD228" s="16">
        <v>4459</v>
      </c>
    </row>
    <row r="229" spans="1:30" ht="15.75" customHeight="1" x14ac:dyDescent="0.25">
      <c r="A229" s="37">
        <v>2023</v>
      </c>
      <c r="B229" s="35">
        <v>171570</v>
      </c>
      <c r="C229" s="33" t="str">
        <f>VLOOKUP(B229,procv!$A$2:$D$142,4,FALSE)</f>
        <v>Cerrado Tocantins Araguaia</v>
      </c>
      <c r="D229" s="33" t="s">
        <v>93</v>
      </c>
      <c r="E229" s="17">
        <v>42</v>
      </c>
      <c r="F229" s="36">
        <f>IFERROR(E229/$AC229,0)</f>
        <v>2.4518388791593695E-2</v>
      </c>
      <c r="G229" s="17">
        <v>6</v>
      </c>
      <c r="H229" s="36">
        <f>IFERROR(G229/$AD229,0)</f>
        <v>3.1578947368421054E-2</v>
      </c>
      <c r="I229" s="17">
        <v>653</v>
      </c>
      <c r="J229" s="36">
        <f>IFERROR(I229/$AC229,0)</f>
        <v>0.38120256859311152</v>
      </c>
      <c r="K229" s="17">
        <v>63</v>
      </c>
      <c r="L229" s="36">
        <f>IFERROR(K229/$AD229,0)</f>
        <v>0.33157894736842103</v>
      </c>
      <c r="M229" s="17">
        <v>592</v>
      </c>
      <c r="N229" s="36">
        <f>IFERROR(M229/$AC229,0)</f>
        <v>0.34559252772913018</v>
      </c>
      <c r="O229" s="17">
        <v>66</v>
      </c>
      <c r="P229" s="36">
        <f>IFERROR(O229/$AD229,0)</f>
        <v>0.3473684210526316</v>
      </c>
      <c r="Q229" s="17">
        <v>308</v>
      </c>
      <c r="R229" s="36">
        <f>IFERROR(Q229/$AC229,0)</f>
        <v>0.17980151780502043</v>
      </c>
      <c r="S229" s="17">
        <v>37</v>
      </c>
      <c r="T229" s="36">
        <f>IFERROR(S229/$AD229,0)</f>
        <v>0.19473684210526315</v>
      </c>
      <c r="U229" s="17">
        <v>91</v>
      </c>
      <c r="V229" s="36">
        <f>IFERROR(U229/$AC229,0)</f>
        <v>5.3123175715119673E-2</v>
      </c>
      <c r="W229" s="17">
        <v>15</v>
      </c>
      <c r="X229" s="36">
        <f>IFERROR(W229/$AD229,0)</f>
        <v>7.8947368421052627E-2</v>
      </c>
      <c r="Y229" s="17">
        <v>27</v>
      </c>
      <c r="Z229" s="36">
        <f>IFERROR(Y229/$AC229,0)</f>
        <v>1.5761821366024518E-2</v>
      </c>
      <c r="AA229" s="17">
        <v>3</v>
      </c>
      <c r="AB229" s="36">
        <f>IFERROR(AA229/$AD229,0)</f>
        <v>1.5789473684210527E-2</v>
      </c>
      <c r="AC229" s="16">
        <v>1713</v>
      </c>
      <c r="AD229" s="17">
        <v>190</v>
      </c>
    </row>
    <row r="230" spans="1:30" ht="15.75" customHeight="1" x14ac:dyDescent="0.25">
      <c r="A230" s="37">
        <v>2023</v>
      </c>
      <c r="B230" s="35">
        <v>171380</v>
      </c>
      <c r="C230" s="33" t="str">
        <f>VLOOKUP(B230,procv!$A$2:$D$142,4,FALSE)</f>
        <v>Bico do Papagaio</v>
      </c>
      <c r="D230" s="33" t="s">
        <v>94</v>
      </c>
      <c r="E230" s="17">
        <v>9</v>
      </c>
      <c r="F230" s="36">
        <f>IFERROR(E230/$AC230,0)</f>
        <v>3.0100334448160536E-2</v>
      </c>
      <c r="G230" s="17">
        <v>7</v>
      </c>
      <c r="H230" s="36">
        <f>IFERROR(G230/$AD230,0)</f>
        <v>4.2944785276073622E-2</v>
      </c>
      <c r="I230" s="17">
        <v>118</v>
      </c>
      <c r="J230" s="36">
        <f>IFERROR(I230/$AC230,0)</f>
        <v>0.39464882943143814</v>
      </c>
      <c r="K230" s="17">
        <v>78</v>
      </c>
      <c r="L230" s="36">
        <f>IFERROR(K230/$AD230,0)</f>
        <v>0.4785276073619632</v>
      </c>
      <c r="M230" s="17">
        <v>88</v>
      </c>
      <c r="N230" s="36">
        <f>IFERROR(M230/$AC230,0)</f>
        <v>0.29431438127090304</v>
      </c>
      <c r="O230" s="17">
        <v>35</v>
      </c>
      <c r="P230" s="36">
        <f>IFERROR(O230/$AD230,0)</f>
        <v>0.21472392638036811</v>
      </c>
      <c r="Q230" s="17">
        <v>56</v>
      </c>
      <c r="R230" s="36">
        <f>IFERROR(Q230/$AC230,0)</f>
        <v>0.18729096989966554</v>
      </c>
      <c r="S230" s="17">
        <v>34</v>
      </c>
      <c r="T230" s="36">
        <f>IFERROR(S230/$AD230,0)</f>
        <v>0.20858895705521471</v>
      </c>
      <c r="U230" s="17">
        <v>23</v>
      </c>
      <c r="V230" s="36">
        <f>IFERROR(U230/$AC230,0)</f>
        <v>7.6923076923076927E-2</v>
      </c>
      <c r="W230" s="17">
        <v>8</v>
      </c>
      <c r="X230" s="36">
        <f>IFERROR(W230/$AD230,0)</f>
        <v>4.9079754601226995E-2</v>
      </c>
      <c r="Y230" s="17">
        <v>5</v>
      </c>
      <c r="Z230" s="36">
        <f>IFERROR(Y230/$AC230,0)</f>
        <v>1.6722408026755852E-2</v>
      </c>
      <c r="AA230" s="17">
        <v>1</v>
      </c>
      <c r="AB230" s="36">
        <f>IFERROR(AA230/$AD230,0)</f>
        <v>6.1349693251533744E-3</v>
      </c>
      <c r="AC230" s="17">
        <v>299</v>
      </c>
      <c r="AD230" s="17">
        <v>163</v>
      </c>
    </row>
    <row r="231" spans="1:30" ht="15.75" customHeight="1" x14ac:dyDescent="0.25">
      <c r="A231" s="37">
        <v>2023</v>
      </c>
      <c r="B231" s="35">
        <v>171575</v>
      </c>
      <c r="C231" s="33" t="str">
        <f>VLOOKUP(B231,procv!$A$2:$D$142,4,FALSE)</f>
        <v>Ilha do Bananal</v>
      </c>
      <c r="D231" s="33" t="s">
        <v>95</v>
      </c>
      <c r="E231" s="17">
        <v>32</v>
      </c>
      <c r="F231" s="36">
        <f>IFERROR(E231/$AC231,0)</f>
        <v>1.6554578375581996E-2</v>
      </c>
      <c r="G231" s="17">
        <v>2</v>
      </c>
      <c r="H231" s="36">
        <f>IFERROR(G231/$AD231,0)</f>
        <v>1.5267175572519083E-2</v>
      </c>
      <c r="I231" s="17">
        <v>670</v>
      </c>
      <c r="J231" s="36">
        <f>IFERROR(I231/$AC231,0)</f>
        <v>0.34661148473874803</v>
      </c>
      <c r="K231" s="17">
        <v>46</v>
      </c>
      <c r="L231" s="36">
        <f>IFERROR(K231/$AD231,0)</f>
        <v>0.35114503816793891</v>
      </c>
      <c r="M231" s="17">
        <v>646</v>
      </c>
      <c r="N231" s="36">
        <f>IFERROR(M231/$AC231,0)</f>
        <v>0.33419555095706155</v>
      </c>
      <c r="O231" s="17">
        <v>37</v>
      </c>
      <c r="P231" s="36">
        <f>IFERROR(O231/$AD231,0)</f>
        <v>0.28244274809160308</v>
      </c>
      <c r="Q231" s="17">
        <v>379</v>
      </c>
      <c r="R231" s="36">
        <f>IFERROR(Q231/$AC231,0)</f>
        <v>0.19606828763579928</v>
      </c>
      <c r="S231" s="17">
        <v>30</v>
      </c>
      <c r="T231" s="36">
        <f>IFERROR(S231/$AD231,0)</f>
        <v>0.22900763358778625</v>
      </c>
      <c r="U231" s="17">
        <v>149</v>
      </c>
      <c r="V231" s="36">
        <f>IFERROR(U231/$AC231,0)</f>
        <v>7.7082255561303673E-2</v>
      </c>
      <c r="W231" s="17">
        <v>13</v>
      </c>
      <c r="X231" s="36">
        <f>IFERROR(W231/$AD231,0)</f>
        <v>9.9236641221374045E-2</v>
      </c>
      <c r="Y231" s="17">
        <v>57</v>
      </c>
      <c r="Z231" s="36">
        <f>IFERROR(Y231/$AC231,0)</f>
        <v>2.9487842731505433E-2</v>
      </c>
      <c r="AA231" s="17">
        <v>3</v>
      </c>
      <c r="AB231" s="36">
        <f>IFERROR(AA231/$AD231,0)</f>
        <v>2.2900763358778626E-2</v>
      </c>
      <c r="AC231" s="16">
        <v>1933</v>
      </c>
      <c r="AD231" s="17">
        <v>131</v>
      </c>
    </row>
    <row r="232" spans="1:30" ht="15.75" customHeight="1" x14ac:dyDescent="0.25">
      <c r="A232" s="37">
        <v>2023</v>
      </c>
      <c r="B232" s="35">
        <v>171610</v>
      </c>
      <c r="C232" s="33" t="str">
        <f>VLOOKUP(B232,procv!$A$2:$D$142,4,FALSE)</f>
        <v>Cantão</v>
      </c>
      <c r="D232" s="33" t="s">
        <v>96</v>
      </c>
      <c r="E232" s="17">
        <v>272</v>
      </c>
      <c r="F232" s="36">
        <f>IFERROR(E232/$AC232,0)</f>
        <v>2.5187517362718771E-2</v>
      </c>
      <c r="G232" s="17">
        <v>20</v>
      </c>
      <c r="H232" s="36">
        <f>IFERROR(G232/$AD232,0)</f>
        <v>3.90625E-2</v>
      </c>
      <c r="I232" s="16">
        <v>3602</v>
      </c>
      <c r="J232" s="36">
        <f>IFERROR(I232/$AC232,0)</f>
        <v>0.3335494027224743</v>
      </c>
      <c r="K232" s="17">
        <v>188</v>
      </c>
      <c r="L232" s="36">
        <f>IFERROR(K232/$AD232,0)</f>
        <v>0.3671875</v>
      </c>
      <c r="M232" s="16">
        <v>3808</v>
      </c>
      <c r="N232" s="36">
        <f>IFERROR(M232/$AC232,0)</f>
        <v>0.35262524307806281</v>
      </c>
      <c r="O232" s="17">
        <v>151</v>
      </c>
      <c r="P232" s="36">
        <f>IFERROR(O232/$AD232,0)</f>
        <v>0.294921875</v>
      </c>
      <c r="Q232" s="16">
        <v>2041</v>
      </c>
      <c r="R232" s="36">
        <f>IFERROR(Q232/$AC232,0)</f>
        <v>0.18899898138716548</v>
      </c>
      <c r="S232" s="17">
        <v>90</v>
      </c>
      <c r="T232" s="36">
        <f>IFERROR(S232/$AD232,0)</f>
        <v>0.17578125</v>
      </c>
      <c r="U232" s="17">
        <v>757</v>
      </c>
      <c r="V232" s="36">
        <f>IFERROR(U232/$AC232,0)</f>
        <v>7.0099083248448935E-2</v>
      </c>
      <c r="W232" s="17">
        <v>38</v>
      </c>
      <c r="X232" s="36">
        <f>IFERROR(W232/$AD232,0)</f>
        <v>7.421875E-2</v>
      </c>
      <c r="Y232" s="17">
        <v>319</v>
      </c>
      <c r="Z232" s="36">
        <f>IFERROR(Y232/$AC232,0)</f>
        <v>2.9539772201129733E-2</v>
      </c>
      <c r="AA232" s="17">
        <v>25</v>
      </c>
      <c r="AB232" s="36">
        <f>IFERROR(AA232/$AD232,0)</f>
        <v>4.8828125E-2</v>
      </c>
      <c r="AC232" s="16">
        <v>10799</v>
      </c>
      <c r="AD232" s="17">
        <v>512</v>
      </c>
    </row>
    <row r="233" spans="1:30" ht="15.75" customHeight="1" x14ac:dyDescent="0.25">
      <c r="A233" s="37">
        <v>2023</v>
      </c>
      <c r="B233" s="35">
        <v>171620</v>
      </c>
      <c r="C233" s="33" t="str">
        <f>VLOOKUP(B233,procv!$A$2:$D$142,4,FALSE)</f>
        <v>Sudeste</v>
      </c>
      <c r="D233" s="33" t="s">
        <v>97</v>
      </c>
      <c r="E233" s="17">
        <v>57</v>
      </c>
      <c r="F233" s="36">
        <f>IFERROR(E233/$AC233,0)</f>
        <v>2.1906225980015372E-2</v>
      </c>
      <c r="G233" s="17">
        <v>10</v>
      </c>
      <c r="H233" s="36">
        <f>IFERROR(G233/$AD233,0)</f>
        <v>2.0661157024793389E-2</v>
      </c>
      <c r="I233" s="16">
        <v>1005</v>
      </c>
      <c r="J233" s="36">
        <f>IFERROR(I233/$AC233,0)</f>
        <v>0.38624135280553418</v>
      </c>
      <c r="K233" s="17">
        <v>187</v>
      </c>
      <c r="L233" s="36">
        <f>IFERROR(K233/$AD233,0)</f>
        <v>0.38636363636363635</v>
      </c>
      <c r="M233" s="17">
        <v>901</v>
      </c>
      <c r="N233" s="36">
        <f>IFERROR(M233/$AC233,0)</f>
        <v>0.34627209838585704</v>
      </c>
      <c r="O233" s="17">
        <v>168</v>
      </c>
      <c r="P233" s="36">
        <f>IFERROR(O233/$AD233,0)</f>
        <v>0.34710743801652894</v>
      </c>
      <c r="Q233" s="17">
        <v>434</v>
      </c>
      <c r="R233" s="36">
        <f>IFERROR(Q233/$AC233,0)</f>
        <v>0.16679477325134512</v>
      </c>
      <c r="S233" s="17">
        <v>78</v>
      </c>
      <c r="T233" s="36">
        <f>IFERROR(S233/$AD233,0)</f>
        <v>0.16115702479338842</v>
      </c>
      <c r="U233" s="17">
        <v>146</v>
      </c>
      <c r="V233" s="36">
        <f>IFERROR(U233/$AC233,0)</f>
        <v>5.6110684089162186E-2</v>
      </c>
      <c r="W233" s="17">
        <v>32</v>
      </c>
      <c r="X233" s="36">
        <f>IFERROR(W233/$AD233,0)</f>
        <v>6.6115702479338845E-2</v>
      </c>
      <c r="Y233" s="17">
        <v>59</v>
      </c>
      <c r="Z233" s="36">
        <f>IFERROR(Y233/$AC233,0)</f>
        <v>2.2674865488086088E-2</v>
      </c>
      <c r="AA233" s="17">
        <v>9</v>
      </c>
      <c r="AB233" s="36">
        <f>IFERROR(AA233/$AD233,0)</f>
        <v>1.859504132231405E-2</v>
      </c>
      <c r="AC233" s="16">
        <v>2602</v>
      </c>
      <c r="AD233" s="17">
        <v>484</v>
      </c>
    </row>
    <row r="234" spans="1:30" ht="15.75" customHeight="1" x14ac:dyDescent="0.25">
      <c r="A234" s="37">
        <v>2023</v>
      </c>
      <c r="B234" s="35">
        <v>171630</v>
      </c>
      <c r="C234" s="33" t="str">
        <f>VLOOKUP(B234,procv!$A$2:$D$142,4,FALSE)</f>
        <v>Médio Norte Araguaia</v>
      </c>
      <c r="D234" s="33" t="s">
        <v>98</v>
      </c>
      <c r="E234" s="17">
        <v>34</v>
      </c>
      <c r="F234" s="36">
        <f>IFERROR(E234/$AC234,0)</f>
        <v>2.4495677233429394E-2</v>
      </c>
      <c r="G234" s="17">
        <v>9</v>
      </c>
      <c r="H234" s="36">
        <f>IFERROR(G234/$AD234,0)</f>
        <v>5.232558139534884E-2</v>
      </c>
      <c r="I234" s="17">
        <v>468</v>
      </c>
      <c r="J234" s="36">
        <f>IFERROR(I234/$AC234,0)</f>
        <v>0.33717579250720459</v>
      </c>
      <c r="K234" s="17">
        <v>48</v>
      </c>
      <c r="L234" s="36">
        <f>IFERROR(K234/$AD234,0)</f>
        <v>0.27906976744186046</v>
      </c>
      <c r="M234" s="17">
        <v>519</v>
      </c>
      <c r="N234" s="36">
        <f>IFERROR(M234/$AC234,0)</f>
        <v>0.37391930835734871</v>
      </c>
      <c r="O234" s="17">
        <v>63</v>
      </c>
      <c r="P234" s="36">
        <f>IFERROR(O234/$AD234,0)</f>
        <v>0.36627906976744184</v>
      </c>
      <c r="Q234" s="17">
        <v>232</v>
      </c>
      <c r="R234" s="36">
        <f>IFERROR(Q234/$AC234,0)</f>
        <v>0.16714697406340057</v>
      </c>
      <c r="S234" s="17">
        <v>32</v>
      </c>
      <c r="T234" s="36">
        <f>IFERROR(S234/$AD234,0)</f>
        <v>0.18604651162790697</v>
      </c>
      <c r="U234" s="17">
        <v>99</v>
      </c>
      <c r="V234" s="36">
        <f>IFERROR(U234/$AC234,0)</f>
        <v>7.1325648414985593E-2</v>
      </c>
      <c r="W234" s="17">
        <v>13</v>
      </c>
      <c r="X234" s="36">
        <f>IFERROR(W234/$AD234,0)</f>
        <v>7.5581395348837205E-2</v>
      </c>
      <c r="Y234" s="17">
        <v>36</v>
      </c>
      <c r="Z234" s="36">
        <f>IFERROR(Y234/$AC234,0)</f>
        <v>2.5936599423631124E-2</v>
      </c>
      <c r="AA234" s="17">
        <v>7</v>
      </c>
      <c r="AB234" s="36">
        <f>IFERROR(AA234/$AD234,0)</f>
        <v>4.0697674418604654E-2</v>
      </c>
      <c r="AC234" s="16">
        <v>1388</v>
      </c>
      <c r="AD234" s="17">
        <v>172</v>
      </c>
    </row>
    <row r="235" spans="1:30" ht="15.75" customHeight="1" x14ac:dyDescent="0.25">
      <c r="A235" s="37">
        <v>2023</v>
      </c>
      <c r="B235" s="35">
        <v>171650</v>
      </c>
      <c r="C235" s="33" t="str">
        <f>VLOOKUP(B235,procv!$A$2:$D$142,4,FALSE)</f>
        <v>Cerrado Tocantins Araguaia</v>
      </c>
      <c r="D235" s="33" t="s">
        <v>99</v>
      </c>
      <c r="E235" s="17">
        <v>81</v>
      </c>
      <c r="F235" s="36">
        <f>IFERROR(E235/$AC235,0)</f>
        <v>1.8894331700489854E-2</v>
      </c>
      <c r="G235" s="17">
        <v>8</v>
      </c>
      <c r="H235" s="36">
        <f>IFERROR(G235/$AD235,0)</f>
        <v>3.2258064516129031E-2</v>
      </c>
      <c r="I235" s="16">
        <v>1404</v>
      </c>
      <c r="J235" s="36">
        <f>IFERROR(I235/$AC235,0)</f>
        <v>0.32750174947515748</v>
      </c>
      <c r="K235" s="17">
        <v>85</v>
      </c>
      <c r="L235" s="36">
        <f>IFERROR(K235/$AD235,0)</f>
        <v>0.34274193548387094</v>
      </c>
      <c r="M235" s="16">
        <v>1520</v>
      </c>
      <c r="N235" s="36">
        <f>IFERROR(M235/$AC235,0)</f>
        <v>0.35456029857709354</v>
      </c>
      <c r="O235" s="17">
        <v>75</v>
      </c>
      <c r="P235" s="36">
        <f>IFERROR(O235/$AD235,0)</f>
        <v>0.30241935483870969</v>
      </c>
      <c r="Q235" s="17">
        <v>836</v>
      </c>
      <c r="R235" s="36">
        <f>IFERROR(Q235/$AC235,0)</f>
        <v>0.19500816421740144</v>
      </c>
      <c r="S235" s="17">
        <v>50</v>
      </c>
      <c r="T235" s="36">
        <f>IFERROR(S235/$AD235,0)</f>
        <v>0.20161290322580644</v>
      </c>
      <c r="U235" s="17">
        <v>318</v>
      </c>
      <c r="V235" s="36">
        <f>IFERROR(U235/$AC235,0)</f>
        <v>7.4177746675997205E-2</v>
      </c>
      <c r="W235" s="17">
        <v>21</v>
      </c>
      <c r="X235" s="36">
        <f>IFERROR(W235/$AD235,0)</f>
        <v>8.4677419354838704E-2</v>
      </c>
      <c r="Y235" s="17">
        <v>128</v>
      </c>
      <c r="Z235" s="36">
        <f>IFERROR(Y235/$AC235,0)</f>
        <v>2.985770935386051E-2</v>
      </c>
      <c r="AA235" s="17">
        <v>9</v>
      </c>
      <c r="AB235" s="36">
        <f>IFERROR(AA235/$AD235,0)</f>
        <v>3.6290322580645164E-2</v>
      </c>
      <c r="AC235" s="16">
        <v>4287</v>
      </c>
      <c r="AD235" s="17">
        <v>248</v>
      </c>
    </row>
    <row r="236" spans="1:30" ht="15.75" customHeight="1" x14ac:dyDescent="0.25">
      <c r="A236" s="37">
        <v>2023</v>
      </c>
      <c r="B236" s="35">
        <v>171660</v>
      </c>
      <c r="C236" s="33" t="str">
        <f>VLOOKUP(B236,procv!$A$2:$D$142,4,FALSE)</f>
        <v>Ilha do Bananal</v>
      </c>
      <c r="D236" s="33" t="s">
        <v>100</v>
      </c>
      <c r="E236" s="17">
        <v>41</v>
      </c>
      <c r="F236" s="36">
        <f>IFERROR(E236/$AC236,0)</f>
        <v>1.5292801193584483E-2</v>
      </c>
      <c r="G236" s="17">
        <v>3</v>
      </c>
      <c r="H236" s="36">
        <f>IFERROR(G236/$AD236,0)</f>
        <v>1.6574585635359115E-2</v>
      </c>
      <c r="I236" s="17">
        <v>776</v>
      </c>
      <c r="J236" s="36">
        <f>IFERROR(I236/$AC236,0)</f>
        <v>0.28944423722491608</v>
      </c>
      <c r="K236" s="17">
        <v>55</v>
      </c>
      <c r="L236" s="36">
        <f>IFERROR(K236/$AD236,0)</f>
        <v>0.30386740331491713</v>
      </c>
      <c r="M236" s="17">
        <v>929</v>
      </c>
      <c r="N236" s="36">
        <f>IFERROR(M236/$AC236,0)</f>
        <v>0.34651249533756062</v>
      </c>
      <c r="O236" s="17">
        <v>54</v>
      </c>
      <c r="P236" s="36">
        <f>IFERROR(O236/$AD236,0)</f>
        <v>0.2983425414364641</v>
      </c>
      <c r="Q236" s="17">
        <v>569</v>
      </c>
      <c r="R236" s="36">
        <f>IFERROR(Q236/$AC236,0)</f>
        <v>0.21223424095486759</v>
      </c>
      <c r="S236" s="17">
        <v>31</v>
      </c>
      <c r="T236" s="36">
        <f>IFERROR(S236/$AD236,0)</f>
        <v>0.17127071823204421</v>
      </c>
      <c r="U236" s="17">
        <v>247</v>
      </c>
      <c r="V236" s="36">
        <f>IFERROR(U236/$AC236,0)</f>
        <v>9.2129802312569939E-2</v>
      </c>
      <c r="W236" s="17">
        <v>23</v>
      </c>
      <c r="X236" s="36">
        <f>IFERROR(W236/$AD236,0)</f>
        <v>0.1270718232044199</v>
      </c>
      <c r="Y236" s="17">
        <v>119</v>
      </c>
      <c r="Z236" s="36">
        <f>IFERROR(Y236/$AC236,0)</f>
        <v>4.4386422976501305E-2</v>
      </c>
      <c r="AA236" s="17">
        <v>15</v>
      </c>
      <c r="AB236" s="36">
        <f>IFERROR(AA236/$AD236,0)</f>
        <v>8.2872928176795577E-2</v>
      </c>
      <c r="AC236" s="16">
        <v>2681</v>
      </c>
      <c r="AD236" s="17">
        <v>181</v>
      </c>
    </row>
    <row r="237" spans="1:30" ht="15.75" customHeight="1" x14ac:dyDescent="0.25">
      <c r="A237" s="37">
        <v>2023</v>
      </c>
      <c r="B237" s="35">
        <v>171665</v>
      </c>
      <c r="C237" s="33" t="str">
        <f>VLOOKUP(B237,procv!$A$2:$D$142,4,FALSE)</f>
        <v>Cerrado Tocantins Araguaia</v>
      </c>
      <c r="D237" s="33" t="s">
        <v>101</v>
      </c>
      <c r="E237" s="17">
        <v>39</v>
      </c>
      <c r="F237" s="36">
        <f>IFERROR(E237/$AC237,0)</f>
        <v>2.2349570200573064E-2</v>
      </c>
      <c r="G237" s="17">
        <v>3</v>
      </c>
      <c r="H237" s="36">
        <f>IFERROR(G237/$AD237,0)</f>
        <v>2.0689655172413793E-2</v>
      </c>
      <c r="I237" s="17">
        <v>593</v>
      </c>
      <c r="J237" s="36">
        <f>IFERROR(I237/$AC237,0)</f>
        <v>0.33982808022922634</v>
      </c>
      <c r="K237" s="17">
        <v>44</v>
      </c>
      <c r="L237" s="36">
        <f>IFERROR(K237/$AD237,0)</f>
        <v>0.30344827586206896</v>
      </c>
      <c r="M237" s="17">
        <v>638</v>
      </c>
      <c r="N237" s="36">
        <f>IFERROR(M237/$AC237,0)</f>
        <v>0.36561604584527219</v>
      </c>
      <c r="O237" s="17">
        <v>53</v>
      </c>
      <c r="P237" s="36">
        <f>IFERROR(O237/$AD237,0)</f>
        <v>0.36551724137931035</v>
      </c>
      <c r="Q237" s="17">
        <v>308</v>
      </c>
      <c r="R237" s="36">
        <f>IFERROR(Q237/$AC237,0)</f>
        <v>0.17650429799426934</v>
      </c>
      <c r="S237" s="17">
        <v>30</v>
      </c>
      <c r="T237" s="36">
        <f>IFERROR(S237/$AD237,0)</f>
        <v>0.20689655172413793</v>
      </c>
      <c r="U237" s="17">
        <v>120</v>
      </c>
      <c r="V237" s="36">
        <f>IFERROR(U237/$AC237,0)</f>
        <v>6.8767908309455589E-2</v>
      </c>
      <c r="W237" s="17">
        <v>10</v>
      </c>
      <c r="X237" s="36">
        <f>IFERROR(W237/$AD237,0)</f>
        <v>6.8965517241379309E-2</v>
      </c>
      <c r="Y237" s="17">
        <v>47</v>
      </c>
      <c r="Z237" s="36">
        <f>IFERROR(Y237/$AC237,0)</f>
        <v>2.6934097421203437E-2</v>
      </c>
      <c r="AA237" s="17">
        <v>5</v>
      </c>
      <c r="AB237" s="36">
        <f>IFERROR(AA237/$AD237,0)</f>
        <v>3.4482758620689655E-2</v>
      </c>
      <c r="AC237" s="16">
        <v>1745</v>
      </c>
      <c r="AD237" s="17">
        <v>145</v>
      </c>
    </row>
    <row r="238" spans="1:30" ht="15.75" customHeight="1" x14ac:dyDescent="0.25">
      <c r="A238" s="37">
        <v>2023</v>
      </c>
      <c r="B238" s="35">
        <v>171700</v>
      </c>
      <c r="C238" s="33" t="str">
        <f>VLOOKUP(B238,procv!$A$2:$D$142,4,FALSE)</f>
        <v>Amor Perfeito</v>
      </c>
      <c r="D238" s="33" t="s">
        <v>102</v>
      </c>
      <c r="E238" s="17">
        <v>30</v>
      </c>
      <c r="F238" s="36">
        <f>IFERROR(E238/$AC238,0)</f>
        <v>2.2590361445783132E-2</v>
      </c>
      <c r="G238" s="17">
        <v>2</v>
      </c>
      <c r="H238" s="36">
        <f>IFERROR(G238/$AD238,0)</f>
        <v>1.4925373134328358E-2</v>
      </c>
      <c r="I238" s="17">
        <v>484</v>
      </c>
      <c r="J238" s="36">
        <f>IFERROR(I238/$AC238,0)</f>
        <v>0.36445783132530118</v>
      </c>
      <c r="K238" s="17">
        <v>45</v>
      </c>
      <c r="L238" s="36">
        <f>IFERROR(K238/$AD238,0)</f>
        <v>0.33582089552238809</v>
      </c>
      <c r="M238" s="17">
        <v>478</v>
      </c>
      <c r="N238" s="36">
        <f>IFERROR(M238/$AC238,0)</f>
        <v>0.35993975903614456</v>
      </c>
      <c r="O238" s="17">
        <v>38</v>
      </c>
      <c r="P238" s="36">
        <f>IFERROR(O238/$AD238,0)</f>
        <v>0.28358208955223879</v>
      </c>
      <c r="Q238" s="17">
        <v>226</v>
      </c>
      <c r="R238" s="36">
        <f>IFERROR(Q238/$AC238,0)</f>
        <v>0.17018072289156627</v>
      </c>
      <c r="S238" s="17">
        <v>36</v>
      </c>
      <c r="T238" s="36">
        <f>IFERROR(S238/$AD238,0)</f>
        <v>0.26865671641791045</v>
      </c>
      <c r="U238" s="17">
        <v>80</v>
      </c>
      <c r="V238" s="36">
        <f>IFERROR(U238/$AC238,0)</f>
        <v>6.0240963855421686E-2</v>
      </c>
      <c r="W238" s="17">
        <v>6</v>
      </c>
      <c r="X238" s="36">
        <f>IFERROR(W238/$AD238,0)</f>
        <v>4.4776119402985072E-2</v>
      </c>
      <c r="Y238" s="17">
        <v>30</v>
      </c>
      <c r="Z238" s="36">
        <f>IFERROR(Y238/$AC238,0)</f>
        <v>2.2590361445783132E-2</v>
      </c>
      <c r="AA238" s="17">
        <v>7</v>
      </c>
      <c r="AB238" s="36">
        <f>IFERROR(AA238/$AD238,0)</f>
        <v>5.2238805970149252E-2</v>
      </c>
      <c r="AC238" s="16">
        <v>1328</v>
      </c>
      <c r="AD238" s="17">
        <v>134</v>
      </c>
    </row>
    <row r="239" spans="1:30" ht="15.75" customHeight="1" x14ac:dyDescent="0.25">
      <c r="A239" s="37">
        <v>2023</v>
      </c>
      <c r="B239" s="35">
        <v>171720</v>
      </c>
      <c r="C239" s="33" t="str">
        <f>VLOOKUP(B239,procv!$A$2:$D$142,4,FALSE)</f>
        <v>Médio Norte Araguaia</v>
      </c>
      <c r="D239" s="33" t="s">
        <v>103</v>
      </c>
      <c r="E239" s="17">
        <v>22</v>
      </c>
      <c r="F239" s="36">
        <f>IFERROR(E239/$AC239,0)</f>
        <v>2.6347305389221556E-2</v>
      </c>
      <c r="G239" s="17">
        <v>3</v>
      </c>
      <c r="H239" s="36">
        <f>IFERROR(G239/$AD239,0)</f>
        <v>5.6603773584905662E-2</v>
      </c>
      <c r="I239" s="17">
        <v>237</v>
      </c>
      <c r="J239" s="36">
        <f>IFERROR(I239/$AC239,0)</f>
        <v>0.28383233532934132</v>
      </c>
      <c r="K239" s="17">
        <v>15</v>
      </c>
      <c r="L239" s="36">
        <f>IFERROR(K239/$AD239,0)</f>
        <v>0.28301886792452829</v>
      </c>
      <c r="M239" s="17">
        <v>319</v>
      </c>
      <c r="N239" s="36">
        <f>IFERROR(M239/$AC239,0)</f>
        <v>0.38203592814371257</v>
      </c>
      <c r="O239" s="17">
        <v>20</v>
      </c>
      <c r="P239" s="36">
        <f>IFERROR(O239/$AD239,0)</f>
        <v>0.37735849056603776</v>
      </c>
      <c r="Q239" s="17">
        <v>168</v>
      </c>
      <c r="R239" s="36">
        <f>IFERROR(Q239/$AC239,0)</f>
        <v>0.20119760479041915</v>
      </c>
      <c r="S239" s="17">
        <v>12</v>
      </c>
      <c r="T239" s="36">
        <f>IFERROR(S239/$AD239,0)</f>
        <v>0.22641509433962265</v>
      </c>
      <c r="U239" s="17">
        <v>62</v>
      </c>
      <c r="V239" s="36">
        <f>IFERROR(U239/$AC239,0)</f>
        <v>7.4251497005988029E-2</v>
      </c>
      <c r="W239" s="17">
        <v>2</v>
      </c>
      <c r="X239" s="36">
        <f>IFERROR(W239/$AD239,0)</f>
        <v>3.7735849056603772E-2</v>
      </c>
      <c r="Y239" s="17">
        <v>27</v>
      </c>
      <c r="Z239" s="36">
        <f>IFERROR(Y239/$AC239,0)</f>
        <v>3.2335329341317366E-2</v>
      </c>
      <c r="AA239" s="17">
        <v>1</v>
      </c>
      <c r="AB239" s="36">
        <f>IFERROR(AA239/$AD239,0)</f>
        <v>1.8867924528301886E-2</v>
      </c>
      <c r="AC239" s="17">
        <v>835</v>
      </c>
      <c r="AD239" s="17">
        <v>53</v>
      </c>
    </row>
    <row r="240" spans="1:30" ht="15.75" customHeight="1" x14ac:dyDescent="0.25">
      <c r="A240" s="37">
        <v>2023</v>
      </c>
      <c r="B240" s="35">
        <v>171750</v>
      </c>
      <c r="C240" s="33" t="str">
        <f>VLOOKUP(B240,procv!$A$2:$D$142,4,FALSE)</f>
        <v>Cantão</v>
      </c>
      <c r="D240" s="33" t="s">
        <v>104</v>
      </c>
      <c r="E240" s="17">
        <v>49</v>
      </c>
      <c r="F240" s="36">
        <f>IFERROR(E240/$AC240,0)</f>
        <v>2.6105487480021311E-2</v>
      </c>
      <c r="G240" s="17">
        <v>13</v>
      </c>
      <c r="H240" s="36">
        <f>IFERROR(G240/$AD240,0)</f>
        <v>5.7268722466960353E-2</v>
      </c>
      <c r="I240" s="17">
        <v>636</v>
      </c>
      <c r="J240" s="36">
        <f>IFERROR(I240/$AC240,0)</f>
        <v>0.33883857218966434</v>
      </c>
      <c r="K240" s="17">
        <v>84</v>
      </c>
      <c r="L240" s="36">
        <f>IFERROR(K240/$AD240,0)</f>
        <v>0.37004405286343611</v>
      </c>
      <c r="M240" s="17">
        <v>617</v>
      </c>
      <c r="N240" s="36">
        <f>IFERROR(M240/$AC240,0)</f>
        <v>0.32871603622802342</v>
      </c>
      <c r="O240" s="17">
        <v>70</v>
      </c>
      <c r="P240" s="36">
        <f>IFERROR(O240/$AD240,0)</f>
        <v>0.30837004405286345</v>
      </c>
      <c r="Q240" s="17">
        <v>378</v>
      </c>
      <c r="R240" s="36">
        <f>IFERROR(Q240/$AC240,0)</f>
        <v>0.20138518913159298</v>
      </c>
      <c r="S240" s="17">
        <v>39</v>
      </c>
      <c r="T240" s="36">
        <f>IFERROR(S240/$AD240,0)</f>
        <v>0.17180616740088106</v>
      </c>
      <c r="U240" s="17">
        <v>129</v>
      </c>
      <c r="V240" s="36">
        <f>IFERROR(U240/$AC240,0)</f>
        <v>6.8726691529035697E-2</v>
      </c>
      <c r="W240" s="17">
        <v>13</v>
      </c>
      <c r="X240" s="36">
        <f>IFERROR(W240/$AD240,0)</f>
        <v>5.7268722466960353E-2</v>
      </c>
      <c r="Y240" s="17">
        <v>68</v>
      </c>
      <c r="Z240" s="36">
        <f>IFERROR(Y240/$AC240,0)</f>
        <v>3.6228023441662226E-2</v>
      </c>
      <c r="AA240" s="17">
        <v>8</v>
      </c>
      <c r="AB240" s="36">
        <f>IFERROR(AA240/$AD240,0)</f>
        <v>3.5242290748898682E-2</v>
      </c>
      <c r="AC240" s="16">
        <v>1877</v>
      </c>
      <c r="AD240" s="17">
        <v>227</v>
      </c>
    </row>
    <row r="241" spans="1:30" ht="15.75" customHeight="1" x14ac:dyDescent="0.25">
      <c r="A241" s="37">
        <v>2023</v>
      </c>
      <c r="B241" s="35">
        <v>171780</v>
      </c>
      <c r="C241" s="33" t="str">
        <f>VLOOKUP(B241,procv!$A$2:$D$142,4,FALSE)</f>
        <v>Sudeste</v>
      </c>
      <c r="D241" s="33" t="s">
        <v>105</v>
      </c>
      <c r="E241" s="17">
        <v>25</v>
      </c>
      <c r="F241" s="36">
        <f>IFERROR(E241/$AC241,0)</f>
        <v>2.4319066147859923E-2</v>
      </c>
      <c r="G241" s="17">
        <v>4</v>
      </c>
      <c r="H241" s="36">
        <f>IFERROR(G241/$AD241,0)</f>
        <v>3.3057851239669422E-2</v>
      </c>
      <c r="I241" s="17">
        <v>361</v>
      </c>
      <c r="J241" s="36">
        <f>IFERROR(I241/$AC241,0)</f>
        <v>0.35116731517509725</v>
      </c>
      <c r="K241" s="17">
        <v>33</v>
      </c>
      <c r="L241" s="36">
        <f>IFERROR(K241/$AD241,0)</f>
        <v>0.27272727272727271</v>
      </c>
      <c r="M241" s="17">
        <v>364</v>
      </c>
      <c r="N241" s="36">
        <f>IFERROR(M241/$AC241,0)</f>
        <v>0.35408560311284049</v>
      </c>
      <c r="O241" s="17">
        <v>41</v>
      </c>
      <c r="P241" s="36">
        <f>IFERROR(O241/$AD241,0)</f>
        <v>0.33884297520661155</v>
      </c>
      <c r="Q241" s="17">
        <v>185</v>
      </c>
      <c r="R241" s="36">
        <f>IFERROR(Q241/$AC241,0)</f>
        <v>0.17996108949416342</v>
      </c>
      <c r="S241" s="17">
        <v>31</v>
      </c>
      <c r="T241" s="36">
        <f>IFERROR(S241/$AD241,0)</f>
        <v>0.256198347107438</v>
      </c>
      <c r="U241" s="17">
        <v>71</v>
      </c>
      <c r="V241" s="36">
        <f>IFERROR(U241/$AC241,0)</f>
        <v>6.9066147859922183E-2</v>
      </c>
      <c r="W241" s="17">
        <v>9</v>
      </c>
      <c r="X241" s="36">
        <f>IFERROR(W241/$AD241,0)</f>
        <v>7.43801652892562E-2</v>
      </c>
      <c r="Y241" s="17">
        <v>22</v>
      </c>
      <c r="Z241" s="36">
        <f>IFERROR(Y241/$AC241,0)</f>
        <v>2.1400778210116732E-2</v>
      </c>
      <c r="AA241" s="17">
        <v>3</v>
      </c>
      <c r="AB241" s="36">
        <f>IFERROR(AA241/$AD241,0)</f>
        <v>2.4793388429752067E-2</v>
      </c>
      <c r="AC241" s="16">
        <v>1028</v>
      </c>
      <c r="AD241" s="17">
        <v>121</v>
      </c>
    </row>
    <row r="242" spans="1:30" ht="15.75" customHeight="1" x14ac:dyDescent="0.25">
      <c r="A242" s="37">
        <v>2023</v>
      </c>
      <c r="B242" s="35">
        <v>171790</v>
      </c>
      <c r="C242" s="33" t="str">
        <f>VLOOKUP(B242,procv!$A$2:$D$142,4,FALSE)</f>
        <v>Amor Perfeito</v>
      </c>
      <c r="D242" s="33" t="s">
        <v>106</v>
      </c>
      <c r="E242" s="17">
        <v>28</v>
      </c>
      <c r="F242" s="36">
        <f>IFERROR(E242/$AC242,0)</f>
        <v>2.0172910662824207E-2</v>
      </c>
      <c r="G242" s="17">
        <v>10</v>
      </c>
      <c r="H242" s="36">
        <f>IFERROR(G242/$AD242,0)</f>
        <v>4.2372881355932202E-2</v>
      </c>
      <c r="I242" s="17">
        <v>418</v>
      </c>
      <c r="J242" s="36">
        <f>IFERROR(I242/$AC242,0)</f>
        <v>0.30115273775216139</v>
      </c>
      <c r="K242" s="17">
        <v>75</v>
      </c>
      <c r="L242" s="36">
        <f>IFERROR(K242/$AD242,0)</f>
        <v>0.31779661016949151</v>
      </c>
      <c r="M242" s="17">
        <v>509</v>
      </c>
      <c r="N242" s="36">
        <f>IFERROR(M242/$AC242,0)</f>
        <v>0.36671469740634005</v>
      </c>
      <c r="O242" s="17">
        <v>80</v>
      </c>
      <c r="P242" s="36">
        <f>IFERROR(O242/$AD242,0)</f>
        <v>0.33898305084745761</v>
      </c>
      <c r="Q242" s="17">
        <v>300</v>
      </c>
      <c r="R242" s="36">
        <f>IFERROR(Q242/$AC242,0)</f>
        <v>0.21613832853025935</v>
      </c>
      <c r="S242" s="17">
        <v>54</v>
      </c>
      <c r="T242" s="36">
        <f>IFERROR(S242/$AD242,0)</f>
        <v>0.2288135593220339</v>
      </c>
      <c r="U242" s="17">
        <v>90</v>
      </c>
      <c r="V242" s="36">
        <f>IFERROR(U242/$AC242,0)</f>
        <v>6.4841498559077809E-2</v>
      </c>
      <c r="W242" s="17">
        <v>15</v>
      </c>
      <c r="X242" s="36">
        <f>IFERROR(W242/$AD242,0)</f>
        <v>6.3559322033898302E-2</v>
      </c>
      <c r="Y242" s="17">
        <v>43</v>
      </c>
      <c r="Z242" s="36">
        <f>IFERROR(Y242/$AC242,0)</f>
        <v>3.0979827089337175E-2</v>
      </c>
      <c r="AA242" s="17">
        <v>2</v>
      </c>
      <c r="AB242" s="36">
        <f>IFERROR(AA242/$AD242,0)</f>
        <v>8.4745762711864406E-3</v>
      </c>
      <c r="AC242" s="16">
        <v>1388</v>
      </c>
      <c r="AD242" s="17">
        <v>236</v>
      </c>
    </row>
    <row r="243" spans="1:30" ht="15.75" customHeight="1" x14ac:dyDescent="0.25">
      <c r="A243" s="37">
        <v>2023</v>
      </c>
      <c r="B243" s="35">
        <v>171800</v>
      </c>
      <c r="C243" s="33" t="str">
        <f>VLOOKUP(B243,procv!$A$2:$D$142,4,FALSE)</f>
        <v>Sudeste</v>
      </c>
      <c r="D243" s="33" t="s">
        <v>107</v>
      </c>
      <c r="E243" s="17">
        <v>14</v>
      </c>
      <c r="F243" s="36">
        <f>IFERROR(E243/$AC243,0)</f>
        <v>2.9106029106029108E-2</v>
      </c>
      <c r="G243" s="17">
        <v>2</v>
      </c>
      <c r="H243" s="36">
        <f>IFERROR(G243/$AD243,0)</f>
        <v>2.3255813953488372E-2</v>
      </c>
      <c r="I243" s="17">
        <v>168</v>
      </c>
      <c r="J243" s="36">
        <f>IFERROR(I243/$AC243,0)</f>
        <v>0.34927234927234929</v>
      </c>
      <c r="K243" s="17">
        <v>32</v>
      </c>
      <c r="L243" s="36">
        <f>IFERROR(K243/$AD243,0)</f>
        <v>0.37209302325581395</v>
      </c>
      <c r="M243" s="17">
        <v>150</v>
      </c>
      <c r="N243" s="36">
        <f>IFERROR(M243/$AC243,0)</f>
        <v>0.31185031185031187</v>
      </c>
      <c r="O243" s="17">
        <v>22</v>
      </c>
      <c r="P243" s="36">
        <f>IFERROR(O243/$AD243,0)</f>
        <v>0.2558139534883721</v>
      </c>
      <c r="Q243" s="17">
        <v>93</v>
      </c>
      <c r="R243" s="36">
        <f>IFERROR(Q243/$AC243,0)</f>
        <v>0.19334719334719336</v>
      </c>
      <c r="S243" s="17">
        <v>18</v>
      </c>
      <c r="T243" s="36">
        <f>IFERROR(S243/$AD243,0)</f>
        <v>0.20930232558139536</v>
      </c>
      <c r="U243" s="17">
        <v>38</v>
      </c>
      <c r="V243" s="36">
        <f>IFERROR(U243/$AC243,0)</f>
        <v>7.9002079002079006E-2</v>
      </c>
      <c r="W243" s="17">
        <v>9</v>
      </c>
      <c r="X243" s="36">
        <f>IFERROR(W243/$AD243,0)</f>
        <v>0.10465116279069768</v>
      </c>
      <c r="Y243" s="17">
        <v>18</v>
      </c>
      <c r="Z243" s="36">
        <f>IFERROR(Y243/$AC243,0)</f>
        <v>3.7422037422037424E-2</v>
      </c>
      <c r="AA243" s="17">
        <v>3</v>
      </c>
      <c r="AB243" s="36">
        <f>IFERROR(AA243/$AD243,0)</f>
        <v>3.4883720930232558E-2</v>
      </c>
      <c r="AC243" s="17">
        <v>481</v>
      </c>
      <c r="AD243" s="17">
        <v>86</v>
      </c>
    </row>
    <row r="244" spans="1:30" ht="15.75" customHeight="1" x14ac:dyDescent="0.25">
      <c r="A244" s="37">
        <v>2023</v>
      </c>
      <c r="B244" s="35">
        <v>171820</v>
      </c>
      <c r="C244" s="33" t="str">
        <f>VLOOKUP(B244,procv!$A$2:$D$142,4,FALSE)</f>
        <v>Amor Perfeito</v>
      </c>
      <c r="D244" s="33" t="s">
        <v>108</v>
      </c>
      <c r="E244" s="17">
        <v>320</v>
      </c>
      <c r="F244" s="36">
        <f>IFERROR(E244/$AC244,0)</f>
        <v>2.1176626298722783E-2</v>
      </c>
      <c r="G244" s="17">
        <v>26</v>
      </c>
      <c r="H244" s="36">
        <f>IFERROR(G244/$AD244,0)</f>
        <v>2.4809160305343511E-2</v>
      </c>
      <c r="I244" s="16">
        <v>4682</v>
      </c>
      <c r="J244" s="36">
        <f>IFERROR(I244/$AC244,0)</f>
        <v>0.30984051353318776</v>
      </c>
      <c r="K244" s="17">
        <v>316</v>
      </c>
      <c r="L244" s="36">
        <f>IFERROR(K244/$AD244,0)</f>
        <v>0.30152671755725191</v>
      </c>
      <c r="M244" s="16">
        <v>5489</v>
      </c>
      <c r="N244" s="36">
        <f>IFERROR(M244/$AC244,0)</f>
        <v>0.36324531798027926</v>
      </c>
      <c r="O244" s="17">
        <v>356</v>
      </c>
      <c r="P244" s="36">
        <f>IFERROR(O244/$AD244,0)</f>
        <v>0.33969465648854963</v>
      </c>
      <c r="Q244" s="16">
        <v>2977</v>
      </c>
      <c r="R244" s="36">
        <f>IFERROR(Q244/$AC244,0)</f>
        <v>0.19700880153530539</v>
      </c>
      <c r="S244" s="17">
        <v>211</v>
      </c>
      <c r="T244" s="36">
        <f>IFERROR(S244/$AD244,0)</f>
        <v>0.20133587786259541</v>
      </c>
      <c r="U244" s="16">
        <v>1135</v>
      </c>
      <c r="V244" s="36">
        <f>IFERROR(U244/$AC244,0)</f>
        <v>7.5110846403282375E-2</v>
      </c>
      <c r="W244" s="17">
        <v>93</v>
      </c>
      <c r="X244" s="36">
        <f>IFERROR(W244/$AD244,0)</f>
        <v>8.8740458015267171E-2</v>
      </c>
      <c r="Y244" s="17">
        <v>508</v>
      </c>
      <c r="Z244" s="36">
        <f>IFERROR(Y244/$AC244,0)</f>
        <v>3.3617894249222423E-2</v>
      </c>
      <c r="AA244" s="17">
        <v>46</v>
      </c>
      <c r="AB244" s="36">
        <f>IFERROR(AA244/$AD244,0)</f>
        <v>4.3893129770992363E-2</v>
      </c>
      <c r="AC244" s="16">
        <v>15111</v>
      </c>
      <c r="AD244" s="16">
        <v>1048</v>
      </c>
    </row>
    <row r="245" spans="1:30" ht="15.75" customHeight="1" x14ac:dyDescent="0.25">
      <c r="A245" s="37">
        <v>2023</v>
      </c>
      <c r="B245" s="35">
        <v>171830</v>
      </c>
      <c r="C245" s="33" t="str">
        <f>VLOOKUP(B245,procv!$A$2:$D$142,4,FALSE)</f>
        <v>Bico do Papagaio</v>
      </c>
      <c r="D245" s="33" t="s">
        <v>109</v>
      </c>
      <c r="E245" s="17">
        <v>37</v>
      </c>
      <c r="F245" s="36">
        <f>IFERROR(E245/$AC245,0)</f>
        <v>2.2023809523809525E-2</v>
      </c>
      <c r="G245" s="17">
        <v>11</v>
      </c>
      <c r="H245" s="36">
        <f>IFERROR(G245/$AD245,0)</f>
        <v>4.230769230769231E-2</v>
      </c>
      <c r="I245" s="17">
        <v>566</v>
      </c>
      <c r="J245" s="36">
        <f>IFERROR(I245/$AC245,0)</f>
        <v>0.33690476190476193</v>
      </c>
      <c r="K245" s="17">
        <v>83</v>
      </c>
      <c r="L245" s="36">
        <f>IFERROR(K245/$AD245,0)</f>
        <v>0.31923076923076921</v>
      </c>
      <c r="M245" s="17">
        <v>633</v>
      </c>
      <c r="N245" s="36">
        <f>IFERROR(M245/$AC245,0)</f>
        <v>0.37678571428571428</v>
      </c>
      <c r="O245" s="17">
        <v>94</v>
      </c>
      <c r="P245" s="36">
        <f>IFERROR(O245/$AD245,0)</f>
        <v>0.36153846153846153</v>
      </c>
      <c r="Q245" s="17">
        <v>310</v>
      </c>
      <c r="R245" s="36">
        <f>IFERROR(Q245/$AC245,0)</f>
        <v>0.18452380952380953</v>
      </c>
      <c r="S245" s="17">
        <v>56</v>
      </c>
      <c r="T245" s="36">
        <f>IFERROR(S245/$AD245,0)</f>
        <v>0.2153846153846154</v>
      </c>
      <c r="U245" s="17">
        <v>92</v>
      </c>
      <c r="V245" s="36">
        <f>IFERROR(U245/$AC245,0)</f>
        <v>5.4761904761904762E-2</v>
      </c>
      <c r="W245" s="17">
        <v>7</v>
      </c>
      <c r="X245" s="36">
        <f>IFERROR(W245/$AD245,0)</f>
        <v>2.6923076923076925E-2</v>
      </c>
      <c r="Y245" s="17">
        <v>42</v>
      </c>
      <c r="Z245" s="36">
        <f>IFERROR(Y245/$AC245,0)</f>
        <v>2.5000000000000001E-2</v>
      </c>
      <c r="AA245" s="17">
        <v>9</v>
      </c>
      <c r="AB245" s="36">
        <f>IFERROR(AA245/$AD245,0)</f>
        <v>3.4615384615384617E-2</v>
      </c>
      <c r="AC245" s="16">
        <v>1680</v>
      </c>
      <c r="AD245" s="17">
        <v>260</v>
      </c>
    </row>
    <row r="246" spans="1:30" ht="15.75" customHeight="1" x14ac:dyDescent="0.25">
      <c r="A246" s="37">
        <v>2023</v>
      </c>
      <c r="B246" s="35">
        <v>171840</v>
      </c>
      <c r="C246" s="33" t="str">
        <f>VLOOKUP(B246,procv!$A$2:$D$142,4,FALSE)</f>
        <v>Cerrado Tocantins Araguaia</v>
      </c>
      <c r="D246" s="33" t="s">
        <v>110</v>
      </c>
      <c r="E246" s="17">
        <v>18</v>
      </c>
      <c r="F246" s="36">
        <f>IFERROR(E246/$AC246,0)</f>
        <v>1.8181818181818181E-2</v>
      </c>
      <c r="G246" s="17">
        <v>1</v>
      </c>
      <c r="H246" s="36">
        <f>IFERROR(G246/$AD246,0)</f>
        <v>1.6949152542372881E-2</v>
      </c>
      <c r="I246" s="17">
        <v>309</v>
      </c>
      <c r="J246" s="36">
        <f>IFERROR(I246/$AC246,0)</f>
        <v>0.31212121212121213</v>
      </c>
      <c r="K246" s="17">
        <v>18</v>
      </c>
      <c r="L246" s="36">
        <f>IFERROR(K246/$AD246,0)</f>
        <v>0.30508474576271188</v>
      </c>
      <c r="M246" s="17">
        <v>326</v>
      </c>
      <c r="N246" s="36">
        <f>IFERROR(M246/$AC246,0)</f>
        <v>0.3292929292929293</v>
      </c>
      <c r="O246" s="17">
        <v>18</v>
      </c>
      <c r="P246" s="36">
        <f>IFERROR(O246/$AD246,0)</f>
        <v>0.30508474576271188</v>
      </c>
      <c r="Q246" s="17">
        <v>210</v>
      </c>
      <c r="R246" s="36">
        <f>IFERROR(Q246/$AC246,0)</f>
        <v>0.21212121212121213</v>
      </c>
      <c r="S246" s="17">
        <v>15</v>
      </c>
      <c r="T246" s="36">
        <f>IFERROR(S246/$AD246,0)</f>
        <v>0.25423728813559321</v>
      </c>
      <c r="U246" s="17">
        <v>86</v>
      </c>
      <c r="V246" s="36">
        <f>IFERROR(U246/$AC246,0)</f>
        <v>8.6868686868686873E-2</v>
      </c>
      <c r="W246" s="17">
        <v>5</v>
      </c>
      <c r="X246" s="36">
        <f>IFERROR(W246/$AD246,0)</f>
        <v>8.4745762711864403E-2</v>
      </c>
      <c r="Y246" s="17">
        <v>41</v>
      </c>
      <c r="Z246" s="36">
        <f>IFERROR(Y246/$AC246,0)</f>
        <v>4.1414141414141417E-2</v>
      </c>
      <c r="AA246" s="17">
        <v>2</v>
      </c>
      <c r="AB246" s="36">
        <f>IFERROR(AA246/$AD246,0)</f>
        <v>3.3898305084745763E-2</v>
      </c>
      <c r="AC246" s="17">
        <v>990</v>
      </c>
      <c r="AD246" s="17">
        <v>59</v>
      </c>
    </row>
    <row r="247" spans="1:30" ht="15.75" customHeight="1" x14ac:dyDescent="0.25">
      <c r="A247" s="37">
        <v>2023</v>
      </c>
      <c r="B247" s="35">
        <v>171845</v>
      </c>
      <c r="C247" s="33" t="str">
        <f>VLOOKUP(B247,procv!$A$2:$D$142,4,FALSE)</f>
        <v>Cantão</v>
      </c>
      <c r="D247" s="33" t="s">
        <v>111</v>
      </c>
      <c r="E247" s="17">
        <v>23</v>
      </c>
      <c r="F247" s="36">
        <f>IFERROR(E247/$AC247,0)</f>
        <v>2.4261603375527425E-2</v>
      </c>
      <c r="G247" s="17">
        <v>0</v>
      </c>
      <c r="H247" s="36">
        <f>IFERROR(G247/$AD247,0)</f>
        <v>0</v>
      </c>
      <c r="I247" s="17">
        <v>342</v>
      </c>
      <c r="J247" s="36">
        <f>IFERROR(I247/$AC247,0)</f>
        <v>0.36075949367088606</v>
      </c>
      <c r="K247" s="17">
        <v>21</v>
      </c>
      <c r="L247" s="36">
        <f>IFERROR(K247/$AD247,0)</f>
        <v>0.41176470588235292</v>
      </c>
      <c r="M247" s="17">
        <v>293</v>
      </c>
      <c r="N247" s="36">
        <f>IFERROR(M247/$AC247,0)</f>
        <v>0.30907172995780591</v>
      </c>
      <c r="O247" s="17">
        <v>17</v>
      </c>
      <c r="P247" s="36">
        <f>IFERROR(O247/$AD247,0)</f>
        <v>0.33333333333333331</v>
      </c>
      <c r="Q247" s="17">
        <v>198</v>
      </c>
      <c r="R247" s="36">
        <f>IFERROR(Q247/$AC247,0)</f>
        <v>0.20886075949367089</v>
      </c>
      <c r="S247" s="17">
        <v>9</v>
      </c>
      <c r="T247" s="36">
        <f>IFERROR(S247/$AD247,0)</f>
        <v>0.17647058823529413</v>
      </c>
      <c r="U247" s="17">
        <v>72</v>
      </c>
      <c r="V247" s="36">
        <f>IFERROR(U247/$AC247,0)</f>
        <v>7.5949367088607597E-2</v>
      </c>
      <c r="W247" s="17">
        <v>3</v>
      </c>
      <c r="X247" s="36">
        <f>IFERROR(W247/$AD247,0)</f>
        <v>5.8823529411764705E-2</v>
      </c>
      <c r="Y247" s="17">
        <v>20</v>
      </c>
      <c r="Z247" s="36">
        <f>IFERROR(Y247/$AC247,0)</f>
        <v>2.1097046413502109E-2</v>
      </c>
      <c r="AA247" s="17">
        <v>1</v>
      </c>
      <c r="AB247" s="36">
        <f>IFERROR(AA247/$AD247,0)</f>
        <v>1.9607843137254902E-2</v>
      </c>
      <c r="AC247" s="17">
        <v>948</v>
      </c>
      <c r="AD247" s="17">
        <v>51</v>
      </c>
    </row>
    <row r="248" spans="1:30" ht="15.75" customHeight="1" x14ac:dyDescent="0.25">
      <c r="A248" s="37">
        <v>2023</v>
      </c>
      <c r="B248" s="35">
        <v>171850</v>
      </c>
      <c r="C248" s="33" t="str">
        <f>VLOOKUP(B248,procv!$A$2:$D$142,4,FALSE)</f>
        <v>Cerrado Tocantins Araguaia</v>
      </c>
      <c r="D248" s="33" t="s">
        <v>112</v>
      </c>
      <c r="E248" s="17">
        <v>34</v>
      </c>
      <c r="F248" s="36">
        <f>IFERROR(E248/$AC248,0)</f>
        <v>2.5914634146341462E-2</v>
      </c>
      <c r="G248" s="17">
        <v>6</v>
      </c>
      <c r="H248" s="36">
        <f>IFERROR(G248/$AD248,0)</f>
        <v>5.2173913043478258E-2</v>
      </c>
      <c r="I248" s="17">
        <v>561</v>
      </c>
      <c r="J248" s="36">
        <f>IFERROR(I248/$AC248,0)</f>
        <v>0.42759146341463417</v>
      </c>
      <c r="K248" s="17">
        <v>45</v>
      </c>
      <c r="L248" s="36">
        <f>IFERROR(K248/$AD248,0)</f>
        <v>0.39130434782608697</v>
      </c>
      <c r="M248" s="17">
        <v>462</v>
      </c>
      <c r="N248" s="36">
        <f>IFERROR(M248/$AC248,0)</f>
        <v>0.35213414634146339</v>
      </c>
      <c r="O248" s="17">
        <v>37</v>
      </c>
      <c r="P248" s="36">
        <f>IFERROR(O248/$AD248,0)</f>
        <v>0.32173913043478258</v>
      </c>
      <c r="Q248" s="17">
        <v>179</v>
      </c>
      <c r="R248" s="36">
        <f>IFERROR(Q248/$AC248,0)</f>
        <v>0.1364329268292683</v>
      </c>
      <c r="S248" s="17">
        <v>18</v>
      </c>
      <c r="T248" s="36">
        <f>IFERROR(S248/$AD248,0)</f>
        <v>0.15652173913043479</v>
      </c>
      <c r="U248" s="17">
        <v>59</v>
      </c>
      <c r="V248" s="36">
        <f>IFERROR(U248/$AC248,0)</f>
        <v>4.496951219512195E-2</v>
      </c>
      <c r="W248" s="17">
        <v>8</v>
      </c>
      <c r="X248" s="36">
        <f>IFERROR(W248/$AD248,0)</f>
        <v>6.9565217391304349E-2</v>
      </c>
      <c r="Y248" s="17">
        <v>17</v>
      </c>
      <c r="Z248" s="36">
        <f>IFERROR(Y248/$AC248,0)</f>
        <v>1.2957317073170731E-2</v>
      </c>
      <c r="AA248" s="17">
        <v>1</v>
      </c>
      <c r="AB248" s="36">
        <f>IFERROR(AA248/$AD248,0)</f>
        <v>8.6956521739130436E-3</v>
      </c>
      <c r="AC248" s="16">
        <v>1312</v>
      </c>
      <c r="AD248" s="17">
        <v>115</v>
      </c>
    </row>
    <row r="249" spans="1:30" ht="15.75" customHeight="1" x14ac:dyDescent="0.25">
      <c r="A249" s="37">
        <v>2023</v>
      </c>
      <c r="B249" s="35">
        <v>171855</v>
      </c>
      <c r="C249" s="33" t="str">
        <f>VLOOKUP(B249,procv!$A$2:$D$142,4,FALSE)</f>
        <v>Bico do Papagaio</v>
      </c>
      <c r="D249" s="33" t="s">
        <v>113</v>
      </c>
      <c r="E249" s="17">
        <v>28</v>
      </c>
      <c r="F249" s="36">
        <f>IFERROR(E249/$AC249,0)</f>
        <v>2.2875816993464051E-2</v>
      </c>
      <c r="G249" s="17">
        <v>7</v>
      </c>
      <c r="H249" s="36">
        <f>IFERROR(G249/$AD249,0)</f>
        <v>4.5454545454545456E-2</v>
      </c>
      <c r="I249" s="17">
        <v>384</v>
      </c>
      <c r="J249" s="36">
        <f>IFERROR(I249/$AC249,0)</f>
        <v>0.31372549019607843</v>
      </c>
      <c r="K249" s="17">
        <v>51</v>
      </c>
      <c r="L249" s="36">
        <f>IFERROR(K249/$AD249,0)</f>
        <v>0.33116883116883117</v>
      </c>
      <c r="M249" s="17">
        <v>445</v>
      </c>
      <c r="N249" s="36">
        <f>IFERROR(M249/$AC249,0)</f>
        <v>0.36356209150326796</v>
      </c>
      <c r="O249" s="17">
        <v>50</v>
      </c>
      <c r="P249" s="36">
        <f>IFERROR(O249/$AD249,0)</f>
        <v>0.32467532467532467</v>
      </c>
      <c r="Q249" s="17">
        <v>258</v>
      </c>
      <c r="R249" s="36">
        <f>IFERROR(Q249/$AC249,0)</f>
        <v>0.2107843137254902</v>
      </c>
      <c r="S249" s="17">
        <v>24</v>
      </c>
      <c r="T249" s="36">
        <f>IFERROR(S249/$AD249,0)</f>
        <v>0.15584415584415584</v>
      </c>
      <c r="U249" s="17">
        <v>80</v>
      </c>
      <c r="V249" s="36">
        <f>IFERROR(U249/$AC249,0)</f>
        <v>6.535947712418301E-2</v>
      </c>
      <c r="W249" s="17">
        <v>14</v>
      </c>
      <c r="X249" s="36">
        <f>IFERROR(W249/$AD249,0)</f>
        <v>9.0909090909090912E-2</v>
      </c>
      <c r="Y249" s="17">
        <v>29</v>
      </c>
      <c r="Z249" s="36">
        <f>IFERROR(Y249/$AC249,0)</f>
        <v>2.3692810457516339E-2</v>
      </c>
      <c r="AA249" s="17">
        <v>8</v>
      </c>
      <c r="AB249" s="36">
        <f>IFERROR(AA249/$AD249,0)</f>
        <v>5.1948051948051951E-2</v>
      </c>
      <c r="AC249" s="16">
        <v>1224</v>
      </c>
      <c r="AD249" s="17">
        <v>154</v>
      </c>
    </row>
    <row r="250" spans="1:30" ht="15.75" customHeight="1" x14ac:dyDescent="0.25">
      <c r="A250" s="37">
        <v>2023</v>
      </c>
      <c r="B250" s="35">
        <v>171865</v>
      </c>
      <c r="C250" s="33" t="str">
        <f>VLOOKUP(B250,procv!$A$2:$D$142,4,FALSE)</f>
        <v>Sudeste</v>
      </c>
      <c r="D250" s="33" t="s">
        <v>114</v>
      </c>
      <c r="E250" s="17">
        <v>14</v>
      </c>
      <c r="F250" s="36">
        <f>IFERROR(E250/$AC250,0)</f>
        <v>2.364864864864865E-2</v>
      </c>
      <c r="G250" s="17">
        <v>3</v>
      </c>
      <c r="H250" s="36">
        <f>IFERROR(G250/$AD250,0)</f>
        <v>6.1224489795918366E-2</v>
      </c>
      <c r="I250" s="17">
        <v>229</v>
      </c>
      <c r="J250" s="36">
        <f>IFERROR(I250/$AC250,0)</f>
        <v>0.38682432432432434</v>
      </c>
      <c r="K250" s="17">
        <v>24</v>
      </c>
      <c r="L250" s="36">
        <f>IFERROR(K250/$AD250,0)</f>
        <v>0.48979591836734693</v>
      </c>
      <c r="M250" s="17">
        <v>198</v>
      </c>
      <c r="N250" s="36">
        <f>IFERROR(M250/$AC250,0)</f>
        <v>0.33445945945945948</v>
      </c>
      <c r="O250" s="17">
        <v>10</v>
      </c>
      <c r="P250" s="36">
        <f>IFERROR(O250/$AD250,0)</f>
        <v>0.20408163265306123</v>
      </c>
      <c r="Q250" s="17">
        <v>112</v>
      </c>
      <c r="R250" s="36">
        <f>IFERROR(Q250/$AC250,0)</f>
        <v>0.1891891891891892</v>
      </c>
      <c r="S250" s="17">
        <v>6</v>
      </c>
      <c r="T250" s="36">
        <f>IFERROR(S250/$AD250,0)</f>
        <v>0.12244897959183673</v>
      </c>
      <c r="U250" s="17">
        <v>31</v>
      </c>
      <c r="V250" s="36">
        <f>IFERROR(U250/$AC250,0)</f>
        <v>5.2364864864864864E-2</v>
      </c>
      <c r="W250" s="17">
        <v>5</v>
      </c>
      <c r="X250" s="36">
        <f>IFERROR(W250/$AD250,0)</f>
        <v>0.10204081632653061</v>
      </c>
      <c r="Y250" s="17">
        <v>8</v>
      </c>
      <c r="Z250" s="36">
        <f>IFERROR(Y250/$AC250,0)</f>
        <v>1.3513513513513514E-2</v>
      </c>
      <c r="AA250" s="17">
        <v>1</v>
      </c>
      <c r="AB250" s="36">
        <f>IFERROR(AA250/$AD250,0)</f>
        <v>2.0408163265306121E-2</v>
      </c>
      <c r="AC250" s="17">
        <v>592</v>
      </c>
      <c r="AD250" s="17">
        <v>49</v>
      </c>
    </row>
    <row r="251" spans="1:30" ht="15.75" customHeight="1" x14ac:dyDescent="0.25">
      <c r="A251" s="37">
        <v>2023</v>
      </c>
      <c r="B251" s="35">
        <v>171870</v>
      </c>
      <c r="C251" s="33" t="str">
        <f>VLOOKUP(B251,procv!$A$2:$D$142,4,FALSE)</f>
        <v>Capim Dourado</v>
      </c>
      <c r="D251" s="33" t="s">
        <v>115</v>
      </c>
      <c r="E251" s="17">
        <v>14</v>
      </c>
      <c r="F251" s="36">
        <f>IFERROR(E251/$AC251,0)</f>
        <v>1.9580419580419582E-2</v>
      </c>
      <c r="G251" s="17">
        <v>2</v>
      </c>
      <c r="H251" s="36">
        <f>IFERROR(G251/$AD251,0)</f>
        <v>2.3529411764705882E-2</v>
      </c>
      <c r="I251" s="17">
        <v>185</v>
      </c>
      <c r="J251" s="36">
        <f>IFERROR(I251/$AC251,0)</f>
        <v>0.25874125874125875</v>
      </c>
      <c r="K251" s="17">
        <v>31</v>
      </c>
      <c r="L251" s="36">
        <f>IFERROR(K251/$AD251,0)</f>
        <v>0.36470588235294116</v>
      </c>
      <c r="M251" s="17">
        <v>244</v>
      </c>
      <c r="N251" s="36">
        <f>IFERROR(M251/$AC251,0)</f>
        <v>0.34125874125874128</v>
      </c>
      <c r="O251" s="17">
        <v>25</v>
      </c>
      <c r="P251" s="36">
        <f>IFERROR(O251/$AD251,0)</f>
        <v>0.29411764705882354</v>
      </c>
      <c r="Q251" s="17">
        <v>168</v>
      </c>
      <c r="R251" s="36">
        <f>IFERROR(Q251/$AC251,0)</f>
        <v>0.23496503496503496</v>
      </c>
      <c r="S251" s="17">
        <v>20</v>
      </c>
      <c r="T251" s="36">
        <f>IFERROR(S251/$AD251,0)</f>
        <v>0.23529411764705882</v>
      </c>
      <c r="U251" s="17">
        <v>66</v>
      </c>
      <c r="V251" s="36">
        <f>IFERROR(U251/$AC251,0)</f>
        <v>9.2307692307692313E-2</v>
      </c>
      <c r="W251" s="17">
        <v>4</v>
      </c>
      <c r="X251" s="36">
        <f>IFERROR(W251/$AD251,0)</f>
        <v>4.7058823529411764E-2</v>
      </c>
      <c r="Y251" s="17">
        <v>38</v>
      </c>
      <c r="Z251" s="36">
        <f>IFERROR(Y251/$AC251,0)</f>
        <v>5.3146853146853149E-2</v>
      </c>
      <c r="AA251" s="17">
        <v>3</v>
      </c>
      <c r="AB251" s="36">
        <f>IFERROR(AA251/$AD251,0)</f>
        <v>3.5294117647058823E-2</v>
      </c>
      <c r="AC251" s="17">
        <v>715</v>
      </c>
      <c r="AD251" s="17">
        <v>85</v>
      </c>
    </row>
    <row r="252" spans="1:30" ht="15.75" customHeight="1" x14ac:dyDescent="0.25">
      <c r="A252" s="37">
        <v>2023</v>
      </c>
      <c r="B252" s="35">
        <v>171875</v>
      </c>
      <c r="C252" s="33" t="str">
        <f>VLOOKUP(B252,procv!$A$2:$D$142,4,FALSE)</f>
        <v>Capim Dourado</v>
      </c>
      <c r="D252" s="33" t="s">
        <v>116</v>
      </c>
      <c r="E252" s="17">
        <v>40</v>
      </c>
      <c r="F252" s="36">
        <f>IFERROR(E252/$AC252,0)</f>
        <v>2.8011204481792718E-2</v>
      </c>
      <c r="G252" s="17">
        <v>4</v>
      </c>
      <c r="H252" s="36">
        <f>IFERROR(G252/$AD252,0)</f>
        <v>2.3952095808383235E-2</v>
      </c>
      <c r="I252" s="17">
        <v>519</v>
      </c>
      <c r="J252" s="36">
        <f>IFERROR(I252/$AC252,0)</f>
        <v>0.36344537815126049</v>
      </c>
      <c r="K252" s="17">
        <v>61</v>
      </c>
      <c r="L252" s="36">
        <f>IFERROR(K252/$AD252,0)</f>
        <v>0.3652694610778443</v>
      </c>
      <c r="M252" s="17">
        <v>504</v>
      </c>
      <c r="N252" s="36">
        <f>IFERROR(M252/$AC252,0)</f>
        <v>0.35294117647058826</v>
      </c>
      <c r="O252" s="17">
        <v>51</v>
      </c>
      <c r="P252" s="36">
        <f>IFERROR(O252/$AD252,0)</f>
        <v>0.30538922155688625</v>
      </c>
      <c r="Q252" s="17">
        <v>245</v>
      </c>
      <c r="R252" s="36">
        <f>IFERROR(Q252/$AC252,0)</f>
        <v>0.17156862745098039</v>
      </c>
      <c r="S252" s="17">
        <v>38</v>
      </c>
      <c r="T252" s="36">
        <f>IFERROR(S252/$AD252,0)</f>
        <v>0.22754491017964071</v>
      </c>
      <c r="U252" s="17">
        <v>83</v>
      </c>
      <c r="V252" s="36">
        <f>IFERROR(U252/$AC252,0)</f>
        <v>5.812324929971989E-2</v>
      </c>
      <c r="W252" s="17">
        <v>10</v>
      </c>
      <c r="X252" s="36">
        <f>IFERROR(W252/$AD252,0)</f>
        <v>5.9880239520958084E-2</v>
      </c>
      <c r="Y252" s="17">
        <v>37</v>
      </c>
      <c r="Z252" s="36">
        <f>IFERROR(Y252/$AC252,0)</f>
        <v>2.5910364145658265E-2</v>
      </c>
      <c r="AA252" s="17">
        <v>3</v>
      </c>
      <c r="AB252" s="36">
        <f>IFERROR(AA252/$AD252,0)</f>
        <v>1.7964071856287425E-2</v>
      </c>
      <c r="AC252" s="16">
        <v>1428</v>
      </c>
      <c r="AD252" s="17">
        <v>167</v>
      </c>
    </row>
    <row r="253" spans="1:30" ht="15.75" customHeight="1" x14ac:dyDescent="0.25">
      <c r="A253" s="37">
        <v>2023</v>
      </c>
      <c r="B253" s="35">
        <v>171880</v>
      </c>
      <c r="C253" s="33" t="str">
        <f>VLOOKUP(B253,procv!$A$2:$D$142,4,FALSE)</f>
        <v>Bico do Papagaio</v>
      </c>
      <c r="D253" s="33" t="s">
        <v>117</v>
      </c>
      <c r="E253" s="17">
        <v>25</v>
      </c>
      <c r="F253" s="36">
        <f>IFERROR(E253/$AC253,0)</f>
        <v>1.6812373907195696E-2</v>
      </c>
      <c r="G253" s="17">
        <v>11</v>
      </c>
      <c r="H253" s="36">
        <f>IFERROR(G253/$AD253,0)</f>
        <v>5.8823529411764705E-2</v>
      </c>
      <c r="I253" s="17">
        <v>527</v>
      </c>
      <c r="J253" s="36">
        <f>IFERROR(I253/$AC253,0)</f>
        <v>0.35440484196368527</v>
      </c>
      <c r="K253" s="17">
        <v>77</v>
      </c>
      <c r="L253" s="36">
        <f>IFERROR(K253/$AD253,0)</f>
        <v>0.41176470588235292</v>
      </c>
      <c r="M253" s="17">
        <v>508</v>
      </c>
      <c r="N253" s="36">
        <f>IFERROR(M253/$AC253,0)</f>
        <v>0.34162743779421656</v>
      </c>
      <c r="O253" s="17">
        <v>52</v>
      </c>
      <c r="P253" s="36">
        <f>IFERROR(O253/$AD253,0)</f>
        <v>0.27807486631016043</v>
      </c>
      <c r="Q253" s="17">
        <v>289</v>
      </c>
      <c r="R253" s="36">
        <f>IFERROR(Q253/$AC253,0)</f>
        <v>0.19435104236718226</v>
      </c>
      <c r="S253" s="17">
        <v>34</v>
      </c>
      <c r="T253" s="36">
        <f>IFERROR(S253/$AD253,0)</f>
        <v>0.18181818181818182</v>
      </c>
      <c r="U253" s="17">
        <v>99</v>
      </c>
      <c r="V253" s="36">
        <f>IFERROR(U253/$AC253,0)</f>
        <v>6.657700067249496E-2</v>
      </c>
      <c r="W253" s="17">
        <v>8</v>
      </c>
      <c r="X253" s="36">
        <f>IFERROR(W253/$AD253,0)</f>
        <v>4.2780748663101602E-2</v>
      </c>
      <c r="Y253" s="17">
        <v>39</v>
      </c>
      <c r="Z253" s="36">
        <f>IFERROR(Y253/$AC253,0)</f>
        <v>2.6227303295225286E-2</v>
      </c>
      <c r="AA253" s="17">
        <v>5</v>
      </c>
      <c r="AB253" s="36">
        <f>IFERROR(AA253/$AD253,0)</f>
        <v>2.6737967914438502E-2</v>
      </c>
      <c r="AC253" s="16">
        <v>1487</v>
      </c>
      <c r="AD253" s="17">
        <v>187</v>
      </c>
    </row>
    <row r="254" spans="1:30" ht="15.75" customHeight="1" x14ac:dyDescent="0.25">
      <c r="A254" s="37">
        <v>2023</v>
      </c>
      <c r="B254" s="35">
        <v>171884</v>
      </c>
      <c r="C254" s="33" t="str">
        <f>VLOOKUP(B254,procv!$A$2:$D$142,4,FALSE)</f>
        <v>Ilha do Bananal</v>
      </c>
      <c r="D254" s="33" t="s">
        <v>118</v>
      </c>
      <c r="E254" s="17">
        <v>20</v>
      </c>
      <c r="F254" s="36">
        <f>IFERROR(E254/$AC254,0)</f>
        <v>1.5948963317384369E-2</v>
      </c>
      <c r="G254" s="17">
        <v>4</v>
      </c>
      <c r="H254" s="36">
        <f>IFERROR(G254/$AD254,0)</f>
        <v>2.8571428571428571E-2</v>
      </c>
      <c r="I254" s="17">
        <v>379</v>
      </c>
      <c r="J254" s="36">
        <f>IFERROR(I254/$AC254,0)</f>
        <v>0.3022328548644338</v>
      </c>
      <c r="K254" s="17">
        <v>44</v>
      </c>
      <c r="L254" s="36">
        <f>IFERROR(K254/$AD254,0)</f>
        <v>0.31428571428571428</v>
      </c>
      <c r="M254" s="17">
        <v>427</v>
      </c>
      <c r="N254" s="36">
        <f>IFERROR(M254/$AC254,0)</f>
        <v>0.34051036682615632</v>
      </c>
      <c r="O254" s="17">
        <v>39</v>
      </c>
      <c r="P254" s="36">
        <f>IFERROR(O254/$AD254,0)</f>
        <v>0.27857142857142858</v>
      </c>
      <c r="Q254" s="17">
        <v>292</v>
      </c>
      <c r="R254" s="36">
        <f>IFERROR(Q254/$AC254,0)</f>
        <v>0.23285486443381181</v>
      </c>
      <c r="S254" s="17">
        <v>32</v>
      </c>
      <c r="T254" s="36">
        <f>IFERROR(S254/$AD254,0)</f>
        <v>0.22857142857142856</v>
      </c>
      <c r="U254" s="17">
        <v>90</v>
      </c>
      <c r="V254" s="36">
        <f>IFERROR(U254/$AC254,0)</f>
        <v>7.1770334928229665E-2</v>
      </c>
      <c r="W254" s="17">
        <v>19</v>
      </c>
      <c r="X254" s="36">
        <f>IFERROR(W254/$AD254,0)</f>
        <v>0.1357142857142857</v>
      </c>
      <c r="Y254" s="17">
        <v>46</v>
      </c>
      <c r="Z254" s="36">
        <f>IFERROR(Y254/$AC254,0)</f>
        <v>3.6682615629984053E-2</v>
      </c>
      <c r="AA254" s="17">
        <v>2</v>
      </c>
      <c r="AB254" s="36">
        <f>IFERROR(AA254/$AD254,0)</f>
        <v>1.4285714285714285E-2</v>
      </c>
      <c r="AC254" s="16">
        <v>1254</v>
      </c>
      <c r="AD254" s="17">
        <v>140</v>
      </c>
    </row>
    <row r="255" spans="1:30" ht="15.75" customHeight="1" x14ac:dyDescent="0.25">
      <c r="A255" s="37">
        <v>2023</v>
      </c>
      <c r="B255" s="35">
        <v>171886</v>
      </c>
      <c r="C255" s="33" t="str">
        <f>VLOOKUP(B255,procv!$A$2:$D$142,4,FALSE)</f>
        <v>Médio Norte Araguaia</v>
      </c>
      <c r="D255" s="33" t="s">
        <v>119</v>
      </c>
      <c r="E255" s="17">
        <v>32</v>
      </c>
      <c r="F255" s="36">
        <f>IFERROR(E255/$AC255,0)</f>
        <v>1.6486347243688821E-2</v>
      </c>
      <c r="G255" s="17">
        <v>7</v>
      </c>
      <c r="H255" s="36">
        <f>IFERROR(G255/$AD255,0)</f>
        <v>3.7234042553191488E-2</v>
      </c>
      <c r="I255" s="17">
        <v>654</v>
      </c>
      <c r="J255" s="36">
        <f>IFERROR(I255/$AC255,0)</f>
        <v>0.33693972179289028</v>
      </c>
      <c r="K255" s="17">
        <v>89</v>
      </c>
      <c r="L255" s="36">
        <f>IFERROR(K255/$AD255,0)</f>
        <v>0.47340425531914893</v>
      </c>
      <c r="M255" s="17">
        <v>700</v>
      </c>
      <c r="N255" s="36">
        <f>IFERROR(M255/$AC255,0)</f>
        <v>0.36063884595569295</v>
      </c>
      <c r="O255" s="17">
        <v>44</v>
      </c>
      <c r="P255" s="36">
        <f>IFERROR(O255/$AD255,0)</f>
        <v>0.23404255319148937</v>
      </c>
      <c r="Q255" s="17">
        <v>353</v>
      </c>
      <c r="R255" s="36">
        <f>IFERROR(Q255/$AC255,0)</f>
        <v>0.1818650180319423</v>
      </c>
      <c r="S255" s="17">
        <v>30</v>
      </c>
      <c r="T255" s="36">
        <f>IFERROR(S255/$AD255,0)</f>
        <v>0.15957446808510639</v>
      </c>
      <c r="U255" s="17">
        <v>134</v>
      </c>
      <c r="V255" s="36">
        <f>IFERROR(U255/$AC255,0)</f>
        <v>6.9036579082946928E-2</v>
      </c>
      <c r="W255" s="17">
        <v>11</v>
      </c>
      <c r="X255" s="36">
        <f>IFERROR(W255/$AD255,0)</f>
        <v>5.8510638297872342E-2</v>
      </c>
      <c r="Y255" s="17">
        <v>68</v>
      </c>
      <c r="Z255" s="36">
        <f>IFERROR(Y255/$AC255,0)</f>
        <v>3.5033487892838742E-2</v>
      </c>
      <c r="AA255" s="17">
        <v>7</v>
      </c>
      <c r="AB255" s="36">
        <f>IFERROR(AA255/$AD255,0)</f>
        <v>3.7234042553191488E-2</v>
      </c>
      <c r="AC255" s="16">
        <v>1941</v>
      </c>
      <c r="AD255" s="17">
        <v>188</v>
      </c>
    </row>
    <row r="256" spans="1:30" ht="15.75" customHeight="1" x14ac:dyDescent="0.25">
      <c r="A256" s="37">
        <v>2023</v>
      </c>
      <c r="B256" s="35">
        <v>171888</v>
      </c>
      <c r="C256" s="33" t="str">
        <f>VLOOKUP(B256,procv!$A$2:$D$142,4,FALSE)</f>
        <v>Cerrado Tocantins Araguaia</v>
      </c>
      <c r="D256" s="33" t="s">
        <v>120</v>
      </c>
      <c r="E256" s="17">
        <v>21</v>
      </c>
      <c r="F256" s="36">
        <f>IFERROR(E256/$AC256,0)</f>
        <v>2.3385300668151449E-2</v>
      </c>
      <c r="G256" s="17">
        <v>3</v>
      </c>
      <c r="H256" s="36">
        <f>IFERROR(G256/$AD256,0)</f>
        <v>4.6153846153846156E-2</v>
      </c>
      <c r="I256" s="17">
        <v>304</v>
      </c>
      <c r="J256" s="36">
        <f>IFERROR(I256/$AC256,0)</f>
        <v>0.33853006681514475</v>
      </c>
      <c r="K256" s="17">
        <v>16</v>
      </c>
      <c r="L256" s="36">
        <f>IFERROR(K256/$AD256,0)</f>
        <v>0.24615384615384617</v>
      </c>
      <c r="M256" s="17">
        <v>329</v>
      </c>
      <c r="N256" s="36">
        <f>IFERROR(M256/$AC256,0)</f>
        <v>0.366369710467706</v>
      </c>
      <c r="O256" s="17">
        <v>23</v>
      </c>
      <c r="P256" s="36">
        <f>IFERROR(O256/$AD256,0)</f>
        <v>0.35384615384615387</v>
      </c>
      <c r="Q256" s="17">
        <v>156</v>
      </c>
      <c r="R256" s="36">
        <f>IFERROR(Q256/$AC256,0)</f>
        <v>0.17371937639198218</v>
      </c>
      <c r="S256" s="17">
        <v>17</v>
      </c>
      <c r="T256" s="36">
        <f>IFERROR(S256/$AD256,0)</f>
        <v>0.26153846153846155</v>
      </c>
      <c r="U256" s="17">
        <v>65</v>
      </c>
      <c r="V256" s="36">
        <f>IFERROR(U256/$AC256,0)</f>
        <v>7.2383073496659248E-2</v>
      </c>
      <c r="W256" s="17">
        <v>3</v>
      </c>
      <c r="X256" s="36">
        <f>IFERROR(W256/$AD256,0)</f>
        <v>4.6153846153846156E-2</v>
      </c>
      <c r="Y256" s="17">
        <v>23</v>
      </c>
      <c r="Z256" s="36">
        <f>IFERROR(Y256/$AC256,0)</f>
        <v>2.5612472160356347E-2</v>
      </c>
      <c r="AA256" s="17">
        <v>3</v>
      </c>
      <c r="AB256" s="36">
        <f>IFERROR(AA256/$AD256,0)</f>
        <v>4.6153846153846156E-2</v>
      </c>
      <c r="AC256" s="17">
        <v>898</v>
      </c>
      <c r="AD256" s="17">
        <v>65</v>
      </c>
    </row>
    <row r="257" spans="1:30" ht="15.75" customHeight="1" x14ac:dyDescent="0.25">
      <c r="A257" s="37">
        <v>2023</v>
      </c>
      <c r="B257" s="35">
        <v>171889</v>
      </c>
      <c r="C257" s="33" t="str">
        <f>VLOOKUP(B257,procv!$A$2:$D$142,4,FALSE)</f>
        <v>Ilha do Bananal</v>
      </c>
      <c r="D257" s="33" t="s">
        <v>121</v>
      </c>
      <c r="E257" s="17">
        <v>5</v>
      </c>
      <c r="F257" s="36">
        <f>IFERROR(E257/$AC257,0)</f>
        <v>1.1467889908256881E-2</v>
      </c>
      <c r="G257" s="17">
        <v>0</v>
      </c>
      <c r="H257" s="36">
        <f>IFERROR(G257/$AD257,0)</f>
        <v>0</v>
      </c>
      <c r="I257" s="17">
        <v>132</v>
      </c>
      <c r="J257" s="36">
        <f>IFERROR(I257/$AC257,0)</f>
        <v>0.30275229357798167</v>
      </c>
      <c r="K257" s="17">
        <v>7</v>
      </c>
      <c r="L257" s="36">
        <f>IFERROR(K257/$AD257,0)</f>
        <v>0.4375</v>
      </c>
      <c r="M257" s="17">
        <v>155</v>
      </c>
      <c r="N257" s="36">
        <f>IFERROR(M257/$AC257,0)</f>
        <v>0.35550458715596328</v>
      </c>
      <c r="O257" s="17">
        <v>3</v>
      </c>
      <c r="P257" s="36">
        <f>IFERROR(O257/$AD257,0)</f>
        <v>0.1875</v>
      </c>
      <c r="Q257" s="17">
        <v>92</v>
      </c>
      <c r="R257" s="36">
        <f>IFERROR(Q257/$AC257,0)</f>
        <v>0.21100917431192662</v>
      </c>
      <c r="S257" s="17">
        <v>4</v>
      </c>
      <c r="T257" s="36">
        <f>IFERROR(S257/$AD257,0)</f>
        <v>0.25</v>
      </c>
      <c r="U257" s="17">
        <v>39</v>
      </c>
      <c r="V257" s="36">
        <f>IFERROR(U257/$AC257,0)</f>
        <v>8.9449541284403675E-2</v>
      </c>
      <c r="W257" s="17">
        <v>2</v>
      </c>
      <c r="X257" s="36">
        <f>IFERROR(W257/$AD257,0)</f>
        <v>0.125</v>
      </c>
      <c r="Y257" s="17">
        <v>13</v>
      </c>
      <c r="Z257" s="36">
        <f>IFERROR(Y257/$AC257,0)</f>
        <v>2.9816513761467892E-2</v>
      </c>
      <c r="AA257" s="17">
        <v>0</v>
      </c>
      <c r="AB257" s="36">
        <f>IFERROR(AA257/$AD257,0)</f>
        <v>0</v>
      </c>
      <c r="AC257" s="17">
        <v>436</v>
      </c>
      <c r="AD257" s="17">
        <v>16</v>
      </c>
    </row>
    <row r="258" spans="1:30" ht="15.75" customHeight="1" x14ac:dyDescent="0.25">
      <c r="A258" s="37">
        <v>2023</v>
      </c>
      <c r="B258" s="35">
        <v>171890</v>
      </c>
      <c r="C258" s="33" t="str">
        <f>VLOOKUP(B258,procv!$A$2:$D$142,4,FALSE)</f>
        <v>Amor Perfeito</v>
      </c>
      <c r="D258" s="33" t="s">
        <v>122</v>
      </c>
      <c r="E258" s="17">
        <v>34</v>
      </c>
      <c r="F258" s="36">
        <f>IFERROR(E258/$AC258,0)</f>
        <v>2.1383647798742137E-2</v>
      </c>
      <c r="G258" s="17">
        <v>6</v>
      </c>
      <c r="H258" s="36">
        <f>IFERROR(G258/$AD258,0)</f>
        <v>2.8169014084507043E-2</v>
      </c>
      <c r="I258" s="17">
        <v>551</v>
      </c>
      <c r="J258" s="36">
        <f>IFERROR(I258/$AC258,0)</f>
        <v>0.34654088050314463</v>
      </c>
      <c r="K258" s="17">
        <v>69</v>
      </c>
      <c r="L258" s="36">
        <f>IFERROR(K258/$AD258,0)</f>
        <v>0.323943661971831</v>
      </c>
      <c r="M258" s="17">
        <v>564</v>
      </c>
      <c r="N258" s="36">
        <f>IFERROR(M258/$AC258,0)</f>
        <v>0.35471698113207545</v>
      </c>
      <c r="O258" s="17">
        <v>55</v>
      </c>
      <c r="P258" s="36">
        <f>IFERROR(O258/$AD258,0)</f>
        <v>0.25821596244131456</v>
      </c>
      <c r="Q258" s="17">
        <v>266</v>
      </c>
      <c r="R258" s="36">
        <f>IFERROR(Q258/$AC258,0)</f>
        <v>0.16729559748427672</v>
      </c>
      <c r="S258" s="17">
        <v>24</v>
      </c>
      <c r="T258" s="36">
        <f>IFERROR(S258/$AD258,0)</f>
        <v>0.11267605633802817</v>
      </c>
      <c r="U258" s="17">
        <v>107</v>
      </c>
      <c r="V258" s="36">
        <f>IFERROR(U258/$AC258,0)</f>
        <v>6.7295597484276728E-2</v>
      </c>
      <c r="W258" s="17">
        <v>11</v>
      </c>
      <c r="X258" s="36">
        <f>IFERROR(W258/$AD258,0)</f>
        <v>5.1643192488262914E-2</v>
      </c>
      <c r="Y258" s="17">
        <v>68</v>
      </c>
      <c r="Z258" s="36">
        <f>IFERROR(Y258/$AC258,0)</f>
        <v>4.2767295597484274E-2</v>
      </c>
      <c r="AA258" s="17">
        <v>48</v>
      </c>
      <c r="AB258" s="36">
        <f>IFERROR(AA258/$AD258,0)</f>
        <v>0.22535211267605634</v>
      </c>
      <c r="AC258" s="16">
        <v>1590</v>
      </c>
      <c r="AD258" s="17">
        <v>213</v>
      </c>
    </row>
    <row r="259" spans="1:30" ht="15.75" customHeight="1" x14ac:dyDescent="0.25">
      <c r="A259" s="37">
        <v>2023</v>
      </c>
      <c r="B259" s="35">
        <v>171900</v>
      </c>
      <c r="C259" s="33" t="str">
        <f>VLOOKUP(B259,procv!$A$2:$D$142,4,FALSE)</f>
        <v>Capim Dourado</v>
      </c>
      <c r="D259" s="33" t="s">
        <v>123</v>
      </c>
      <c r="E259" s="17">
        <v>33</v>
      </c>
      <c r="F259" s="36">
        <f>IFERROR(E259/$AC259,0)</f>
        <v>3.0414746543778803E-2</v>
      </c>
      <c r="G259" s="17">
        <v>2</v>
      </c>
      <c r="H259" s="36">
        <f>IFERROR(G259/$AD259,0)</f>
        <v>2.4096385542168676E-2</v>
      </c>
      <c r="I259" s="17">
        <v>356</v>
      </c>
      <c r="J259" s="36">
        <f>IFERROR(I259/$AC259,0)</f>
        <v>0.328110599078341</v>
      </c>
      <c r="K259" s="17">
        <v>38</v>
      </c>
      <c r="L259" s="36">
        <f>IFERROR(K259/$AD259,0)</f>
        <v>0.45783132530120479</v>
      </c>
      <c r="M259" s="17">
        <v>377</v>
      </c>
      <c r="N259" s="36">
        <f>IFERROR(M259/$AC259,0)</f>
        <v>0.34746543778801842</v>
      </c>
      <c r="O259" s="17">
        <v>22</v>
      </c>
      <c r="P259" s="36">
        <f>IFERROR(O259/$AD259,0)</f>
        <v>0.26506024096385544</v>
      </c>
      <c r="Q259" s="17">
        <v>213</v>
      </c>
      <c r="R259" s="36">
        <f>IFERROR(Q259/$AC259,0)</f>
        <v>0.19631336405529953</v>
      </c>
      <c r="S259" s="17">
        <v>13</v>
      </c>
      <c r="T259" s="36">
        <f>IFERROR(S259/$AD259,0)</f>
        <v>0.15662650602409639</v>
      </c>
      <c r="U259" s="17">
        <v>69</v>
      </c>
      <c r="V259" s="36">
        <f>IFERROR(U259/$AC259,0)</f>
        <v>6.3594470046082943E-2</v>
      </c>
      <c r="W259" s="17">
        <v>5</v>
      </c>
      <c r="X259" s="36">
        <f>IFERROR(W259/$AD259,0)</f>
        <v>6.0240963855421686E-2</v>
      </c>
      <c r="Y259" s="17">
        <v>37</v>
      </c>
      <c r="Z259" s="36">
        <f>IFERROR(Y259/$AC259,0)</f>
        <v>3.4101382488479264E-2</v>
      </c>
      <c r="AA259" s="17">
        <v>3</v>
      </c>
      <c r="AB259" s="36">
        <f>IFERROR(AA259/$AD259,0)</f>
        <v>3.614457831325301E-2</v>
      </c>
      <c r="AC259" s="16">
        <v>1085</v>
      </c>
      <c r="AD259" s="17">
        <v>83</v>
      </c>
    </row>
    <row r="260" spans="1:30" ht="15.75" customHeight="1" x14ac:dyDescent="0.25">
      <c r="A260" s="37">
        <v>2023</v>
      </c>
      <c r="B260" s="35">
        <v>172000</v>
      </c>
      <c r="C260" s="33" t="str">
        <f>VLOOKUP(B260,procv!$A$2:$D$142,4,FALSE)</f>
        <v>Bico do Papagaio</v>
      </c>
      <c r="D260" s="33" t="s">
        <v>124</v>
      </c>
      <c r="E260" s="17">
        <v>22</v>
      </c>
      <c r="F260" s="36">
        <f>IFERROR(E260/$AC260,0)</f>
        <v>2.5522041763341066E-2</v>
      </c>
      <c r="G260" s="17">
        <v>3</v>
      </c>
      <c r="H260" s="36">
        <f>IFERROR(G260/$AD260,0)</f>
        <v>6.8181818181818177E-2</v>
      </c>
      <c r="I260" s="17">
        <v>303</v>
      </c>
      <c r="J260" s="36">
        <f>IFERROR(I260/$AC260,0)</f>
        <v>0.35150812064965198</v>
      </c>
      <c r="K260" s="17">
        <v>13</v>
      </c>
      <c r="L260" s="36">
        <f>IFERROR(K260/$AD260,0)</f>
        <v>0.29545454545454547</v>
      </c>
      <c r="M260" s="17">
        <v>313</v>
      </c>
      <c r="N260" s="36">
        <f>IFERROR(M260/$AC260,0)</f>
        <v>0.36310904872389793</v>
      </c>
      <c r="O260" s="17">
        <v>14</v>
      </c>
      <c r="P260" s="36">
        <f>IFERROR(O260/$AD260,0)</f>
        <v>0.31818181818181818</v>
      </c>
      <c r="Q260" s="17">
        <v>156</v>
      </c>
      <c r="R260" s="36">
        <f>IFERROR(Q260/$AC260,0)</f>
        <v>0.18097447795823665</v>
      </c>
      <c r="S260" s="17">
        <v>7</v>
      </c>
      <c r="T260" s="36">
        <f>IFERROR(S260/$AD260,0)</f>
        <v>0.15909090909090909</v>
      </c>
      <c r="U260" s="17">
        <v>49</v>
      </c>
      <c r="V260" s="36">
        <f>IFERROR(U260/$AC260,0)</f>
        <v>5.6844547563805102E-2</v>
      </c>
      <c r="W260" s="17">
        <v>5</v>
      </c>
      <c r="X260" s="36">
        <f>IFERROR(W260/$AD260,0)</f>
        <v>0.11363636363636363</v>
      </c>
      <c r="Y260" s="17">
        <v>19</v>
      </c>
      <c r="Z260" s="36">
        <f>IFERROR(Y260/$AC260,0)</f>
        <v>2.2041763341067284E-2</v>
      </c>
      <c r="AA260" s="17">
        <v>2</v>
      </c>
      <c r="AB260" s="36">
        <f>IFERROR(AA260/$AD260,0)</f>
        <v>4.5454545454545456E-2</v>
      </c>
      <c r="AC260" s="17">
        <v>862</v>
      </c>
      <c r="AD260" s="17">
        <v>44</v>
      </c>
    </row>
    <row r="261" spans="1:30" ht="15.75" customHeight="1" x14ac:dyDescent="0.25">
      <c r="A261" s="37">
        <v>2023</v>
      </c>
      <c r="B261" s="35">
        <v>172010</v>
      </c>
      <c r="C261" s="33" t="str">
        <f>VLOOKUP(B261,procv!$A$2:$D$142,4,FALSE)</f>
        <v>Bico do Papagaio</v>
      </c>
      <c r="D261" s="33" t="s">
        <v>125</v>
      </c>
      <c r="E261" s="17">
        <v>30</v>
      </c>
      <c r="F261" s="36">
        <f>IFERROR(E261/$AC261,0)</f>
        <v>1.4947683109118086E-2</v>
      </c>
      <c r="G261" s="17">
        <v>8</v>
      </c>
      <c r="H261" s="36">
        <f>IFERROR(G261/$AD261,0)</f>
        <v>2.7027027027027029E-2</v>
      </c>
      <c r="I261" s="17">
        <v>750</v>
      </c>
      <c r="J261" s="36">
        <f>IFERROR(I261/$AC261,0)</f>
        <v>0.37369207772795215</v>
      </c>
      <c r="K261" s="17">
        <v>99</v>
      </c>
      <c r="L261" s="36">
        <f>IFERROR(K261/$AD261,0)</f>
        <v>0.33445945945945948</v>
      </c>
      <c r="M261" s="17">
        <v>728</v>
      </c>
      <c r="N261" s="36">
        <f>IFERROR(M261/$AC261,0)</f>
        <v>0.36273044344793226</v>
      </c>
      <c r="O261" s="17">
        <v>98</v>
      </c>
      <c r="P261" s="36">
        <f>IFERROR(O261/$AD261,0)</f>
        <v>0.33108108108108109</v>
      </c>
      <c r="Q261" s="17">
        <v>343</v>
      </c>
      <c r="R261" s="36">
        <f>IFERROR(Q261/$AC261,0)</f>
        <v>0.17090184354758345</v>
      </c>
      <c r="S261" s="17">
        <v>61</v>
      </c>
      <c r="T261" s="36">
        <f>IFERROR(S261/$AD261,0)</f>
        <v>0.20608108108108109</v>
      </c>
      <c r="U261" s="17">
        <v>115</v>
      </c>
      <c r="V261" s="36">
        <f>IFERROR(U261/$AC261,0)</f>
        <v>5.7299451918285997E-2</v>
      </c>
      <c r="W261" s="17">
        <v>22</v>
      </c>
      <c r="X261" s="36">
        <f>IFERROR(W261/$AD261,0)</f>
        <v>7.4324324324324328E-2</v>
      </c>
      <c r="Y261" s="17">
        <v>41</v>
      </c>
      <c r="Z261" s="36">
        <f>IFERROR(Y261/$AC261,0)</f>
        <v>2.042850024912805E-2</v>
      </c>
      <c r="AA261" s="17">
        <v>8</v>
      </c>
      <c r="AB261" s="36">
        <f>IFERROR(AA261/$AD261,0)</f>
        <v>2.7027027027027029E-2</v>
      </c>
      <c r="AC261" s="16">
        <v>2007</v>
      </c>
      <c r="AD261" s="17">
        <v>296</v>
      </c>
    </row>
    <row r="262" spans="1:30" ht="15.75" customHeight="1" x14ac:dyDescent="0.25">
      <c r="A262" s="37">
        <v>2023</v>
      </c>
      <c r="B262" s="35">
        <v>172015</v>
      </c>
      <c r="C262" s="33" t="str">
        <f>VLOOKUP(B262,procv!$A$2:$D$142,4,FALSE)</f>
        <v>Capim Dourado</v>
      </c>
      <c r="D262" s="33" t="s">
        <v>126</v>
      </c>
      <c r="E262" s="17">
        <v>18</v>
      </c>
      <c r="F262" s="36">
        <f>IFERROR(E262/$AC262,0)</f>
        <v>2.8799999999999999E-2</v>
      </c>
      <c r="G262" s="17">
        <v>2</v>
      </c>
      <c r="H262" s="36">
        <f>IFERROR(G262/$AD262,0)</f>
        <v>2.2727272727272728E-2</v>
      </c>
      <c r="I262" s="17">
        <v>249</v>
      </c>
      <c r="J262" s="36">
        <f>IFERROR(I262/$AC262,0)</f>
        <v>0.39839999999999998</v>
      </c>
      <c r="K262" s="17">
        <v>26</v>
      </c>
      <c r="L262" s="36">
        <f>IFERROR(K262/$AD262,0)</f>
        <v>0.29545454545454547</v>
      </c>
      <c r="M262" s="17">
        <v>228</v>
      </c>
      <c r="N262" s="36">
        <f>IFERROR(M262/$AC262,0)</f>
        <v>0.36480000000000001</v>
      </c>
      <c r="O262" s="17">
        <v>37</v>
      </c>
      <c r="P262" s="36">
        <f>IFERROR(O262/$AD262,0)</f>
        <v>0.42045454545454547</v>
      </c>
      <c r="Q262" s="17">
        <v>92</v>
      </c>
      <c r="R262" s="36">
        <f>IFERROR(Q262/$AC262,0)</f>
        <v>0.1472</v>
      </c>
      <c r="S262" s="17">
        <v>20</v>
      </c>
      <c r="T262" s="36">
        <f>IFERROR(S262/$AD262,0)</f>
        <v>0.22727272727272727</v>
      </c>
      <c r="U262" s="17">
        <v>29</v>
      </c>
      <c r="V262" s="36">
        <f>IFERROR(U262/$AC262,0)</f>
        <v>4.6399999999999997E-2</v>
      </c>
      <c r="W262" s="17">
        <v>2</v>
      </c>
      <c r="X262" s="36">
        <f>IFERROR(W262/$AD262,0)</f>
        <v>2.2727272727272728E-2</v>
      </c>
      <c r="Y262" s="17">
        <v>9</v>
      </c>
      <c r="Z262" s="36">
        <f>IFERROR(Y262/$AC262,0)</f>
        <v>1.44E-2</v>
      </c>
      <c r="AA262" s="17">
        <v>1</v>
      </c>
      <c r="AB262" s="36">
        <f>IFERROR(AA262/$AD262,0)</f>
        <v>1.1363636363636364E-2</v>
      </c>
      <c r="AC262" s="17">
        <v>625</v>
      </c>
      <c r="AD262" s="17">
        <v>88</v>
      </c>
    </row>
    <row r="263" spans="1:30" ht="15.75" customHeight="1" x14ac:dyDescent="0.25">
      <c r="A263" s="37">
        <v>2023</v>
      </c>
      <c r="B263" s="35">
        <v>172020</v>
      </c>
      <c r="C263" s="33" t="str">
        <f>VLOOKUP(B263,procv!$A$2:$D$142,4,FALSE)</f>
        <v>Bico do Papagaio</v>
      </c>
      <c r="D263" s="33" t="s">
        <v>127</v>
      </c>
      <c r="E263" s="17">
        <v>110</v>
      </c>
      <c r="F263" s="36">
        <f>IFERROR(E263/$AC263,0)</f>
        <v>2.8270367514777694E-2</v>
      </c>
      <c r="G263" s="17">
        <v>15</v>
      </c>
      <c r="H263" s="36">
        <f>IFERROR(G263/$AD263,0)</f>
        <v>3.5885167464114832E-2</v>
      </c>
      <c r="I263" s="16">
        <v>1473</v>
      </c>
      <c r="J263" s="36">
        <f>IFERROR(I263/$AC263,0)</f>
        <v>0.37856592135697764</v>
      </c>
      <c r="K263" s="17">
        <v>167</v>
      </c>
      <c r="L263" s="36">
        <f>IFERROR(K263/$AD263,0)</f>
        <v>0.39952153110047844</v>
      </c>
      <c r="M263" s="16">
        <v>1350</v>
      </c>
      <c r="N263" s="36">
        <f>IFERROR(M263/$AC263,0)</f>
        <v>0.34695451040863529</v>
      </c>
      <c r="O263" s="17">
        <v>121</v>
      </c>
      <c r="P263" s="36">
        <f>IFERROR(O263/$AD263,0)</f>
        <v>0.28947368421052633</v>
      </c>
      <c r="Q263" s="17">
        <v>659</v>
      </c>
      <c r="R263" s="36">
        <f>IFERROR(Q263/$AC263,0)</f>
        <v>0.16936520174762271</v>
      </c>
      <c r="S263" s="17">
        <v>75</v>
      </c>
      <c r="T263" s="36">
        <f>IFERROR(S263/$AD263,0)</f>
        <v>0.17942583732057416</v>
      </c>
      <c r="U263" s="17">
        <v>209</v>
      </c>
      <c r="V263" s="36">
        <f>IFERROR(U263/$AC263,0)</f>
        <v>5.3713698278077614E-2</v>
      </c>
      <c r="W263" s="17">
        <v>31</v>
      </c>
      <c r="X263" s="36">
        <f>IFERROR(W263/$AD263,0)</f>
        <v>7.4162679425837319E-2</v>
      </c>
      <c r="Y263" s="17">
        <v>90</v>
      </c>
      <c r="Z263" s="36">
        <f>IFERROR(Y263/$AC263,0)</f>
        <v>2.313030069390902E-2</v>
      </c>
      <c r="AA263" s="17">
        <v>9</v>
      </c>
      <c r="AB263" s="36">
        <f>IFERROR(AA263/$AD263,0)</f>
        <v>2.1531100478468901E-2</v>
      </c>
      <c r="AC263" s="16">
        <v>3891</v>
      </c>
      <c r="AD263" s="17">
        <v>418</v>
      </c>
    </row>
    <row r="264" spans="1:30" ht="15.75" customHeight="1" x14ac:dyDescent="0.25">
      <c r="A264" s="37">
        <v>2023</v>
      </c>
      <c r="B264" s="35">
        <v>172025</v>
      </c>
      <c r="C264" s="33" t="str">
        <f>VLOOKUP(B264,procv!$A$2:$D$142,4,FALSE)</f>
        <v>Ilha do Bananal</v>
      </c>
      <c r="D264" s="33" t="s">
        <v>128</v>
      </c>
      <c r="E264" s="17">
        <v>21</v>
      </c>
      <c r="F264" s="36">
        <f>IFERROR(E264/$AC264,0)</f>
        <v>2.567237163814181E-2</v>
      </c>
      <c r="G264" s="17">
        <v>1</v>
      </c>
      <c r="H264" s="36">
        <f>IFERROR(G264/$AD264,0)</f>
        <v>1.4084507042253521E-2</v>
      </c>
      <c r="I264" s="17">
        <v>269</v>
      </c>
      <c r="J264" s="36">
        <f>IFERROR(I264/$AC264,0)</f>
        <v>0.32885085574572126</v>
      </c>
      <c r="K264" s="17">
        <v>26</v>
      </c>
      <c r="L264" s="36">
        <f>IFERROR(K264/$AD264,0)</f>
        <v>0.36619718309859156</v>
      </c>
      <c r="M264" s="17">
        <v>298</v>
      </c>
      <c r="N264" s="36">
        <f>IFERROR(M264/$AC264,0)</f>
        <v>0.36430317848410759</v>
      </c>
      <c r="O264" s="17">
        <v>17</v>
      </c>
      <c r="P264" s="36">
        <f>IFERROR(O264/$AD264,0)</f>
        <v>0.23943661971830985</v>
      </c>
      <c r="Q264" s="17">
        <v>139</v>
      </c>
      <c r="R264" s="36">
        <f>IFERROR(Q264/$AC264,0)</f>
        <v>0.16992665036674817</v>
      </c>
      <c r="S264" s="17">
        <v>13</v>
      </c>
      <c r="T264" s="36">
        <f>IFERROR(S264/$AD264,0)</f>
        <v>0.18309859154929578</v>
      </c>
      <c r="U264" s="17">
        <v>52</v>
      </c>
      <c r="V264" s="36">
        <f>IFERROR(U264/$AC264,0)</f>
        <v>6.3569682151589244E-2</v>
      </c>
      <c r="W264" s="17">
        <v>8</v>
      </c>
      <c r="X264" s="36">
        <f>IFERROR(W264/$AD264,0)</f>
        <v>0.11267605633802817</v>
      </c>
      <c r="Y264" s="17">
        <v>39</v>
      </c>
      <c r="Z264" s="36">
        <f>IFERROR(Y264/$AC264,0)</f>
        <v>4.7677261613691929E-2</v>
      </c>
      <c r="AA264" s="17">
        <v>6</v>
      </c>
      <c r="AB264" s="36">
        <f>IFERROR(AA264/$AD264,0)</f>
        <v>8.4507042253521125E-2</v>
      </c>
      <c r="AC264" s="17">
        <v>818</v>
      </c>
      <c r="AD264" s="17">
        <v>71</v>
      </c>
    </row>
    <row r="265" spans="1:30" ht="15.75" customHeight="1" x14ac:dyDescent="0.25">
      <c r="A265" s="37">
        <v>2023</v>
      </c>
      <c r="B265" s="35">
        <v>172030</v>
      </c>
      <c r="C265" s="33" t="str">
        <f>VLOOKUP(B265,procv!$A$2:$D$142,4,FALSE)</f>
        <v>Bico do Papagaio</v>
      </c>
      <c r="D265" s="33" t="s">
        <v>129</v>
      </c>
      <c r="E265" s="17">
        <v>21</v>
      </c>
      <c r="F265" s="36">
        <f>IFERROR(E265/$AC265,0)</f>
        <v>3.8043478260869568E-2</v>
      </c>
      <c r="G265" s="17">
        <v>5</v>
      </c>
      <c r="H265" s="36">
        <f>IFERROR(G265/$AD265,0)</f>
        <v>4.4642857142857144E-2</v>
      </c>
      <c r="I265" s="17">
        <v>176</v>
      </c>
      <c r="J265" s="36">
        <f>IFERROR(I265/$AC265,0)</f>
        <v>0.3188405797101449</v>
      </c>
      <c r="K265" s="17">
        <v>37</v>
      </c>
      <c r="L265" s="36">
        <f>IFERROR(K265/$AD265,0)</f>
        <v>0.33035714285714285</v>
      </c>
      <c r="M265" s="17">
        <v>192</v>
      </c>
      <c r="N265" s="36">
        <f>IFERROR(M265/$AC265,0)</f>
        <v>0.34782608695652173</v>
      </c>
      <c r="O265" s="17">
        <v>35</v>
      </c>
      <c r="P265" s="36">
        <f>IFERROR(O265/$AD265,0)</f>
        <v>0.3125</v>
      </c>
      <c r="Q265" s="17">
        <v>111</v>
      </c>
      <c r="R265" s="36">
        <f>IFERROR(Q265/$AC265,0)</f>
        <v>0.20108695652173914</v>
      </c>
      <c r="S265" s="17">
        <v>25</v>
      </c>
      <c r="T265" s="36">
        <f>IFERROR(S265/$AD265,0)</f>
        <v>0.22321428571428573</v>
      </c>
      <c r="U265" s="17">
        <v>35</v>
      </c>
      <c r="V265" s="36">
        <f>IFERROR(U265/$AC265,0)</f>
        <v>6.3405797101449279E-2</v>
      </c>
      <c r="W265" s="17">
        <v>7</v>
      </c>
      <c r="X265" s="36">
        <f>IFERROR(W265/$AD265,0)</f>
        <v>6.25E-2</v>
      </c>
      <c r="Y265" s="17">
        <v>17</v>
      </c>
      <c r="Z265" s="36">
        <f>IFERROR(Y265/$AC265,0)</f>
        <v>3.0797101449275364E-2</v>
      </c>
      <c r="AA265" s="17">
        <v>3</v>
      </c>
      <c r="AB265" s="36">
        <f>IFERROR(AA265/$AD265,0)</f>
        <v>2.6785714285714284E-2</v>
      </c>
      <c r="AC265" s="17">
        <v>552</v>
      </c>
      <c r="AD265" s="17">
        <v>112</v>
      </c>
    </row>
    <row r="266" spans="1:30" ht="15.75" customHeight="1" x14ac:dyDescent="0.25">
      <c r="A266" s="37">
        <v>2023</v>
      </c>
      <c r="B266" s="35">
        <v>172049</v>
      </c>
      <c r="C266" s="33" t="str">
        <f>VLOOKUP(B266,procv!$A$2:$D$142,4,FALSE)</f>
        <v>Ilha do Bananal</v>
      </c>
      <c r="D266" s="33" t="s">
        <v>130</v>
      </c>
      <c r="E266" s="17">
        <v>14</v>
      </c>
      <c r="F266" s="36">
        <f>IFERROR(E266/$AC266,0)</f>
        <v>1.5037593984962405E-2</v>
      </c>
      <c r="G266" s="17">
        <v>2</v>
      </c>
      <c r="H266" s="36">
        <f>IFERROR(G266/$AD266,0)</f>
        <v>2.4691358024691357E-2</v>
      </c>
      <c r="I266" s="17">
        <v>274</v>
      </c>
      <c r="J266" s="36">
        <f>IFERROR(I266/$AC266,0)</f>
        <v>0.29430719656283566</v>
      </c>
      <c r="K266" s="17">
        <v>35</v>
      </c>
      <c r="L266" s="36">
        <f>IFERROR(K266/$AD266,0)</f>
        <v>0.43209876543209874</v>
      </c>
      <c r="M266" s="17">
        <v>324</v>
      </c>
      <c r="N266" s="36">
        <f>IFERROR(M266/$AC266,0)</f>
        <v>0.34801288936627284</v>
      </c>
      <c r="O266" s="17">
        <v>24</v>
      </c>
      <c r="P266" s="36">
        <f>IFERROR(O266/$AD266,0)</f>
        <v>0.29629629629629628</v>
      </c>
      <c r="Q266" s="17">
        <v>213</v>
      </c>
      <c r="R266" s="36">
        <f>IFERROR(Q266/$AC266,0)</f>
        <v>0.22878625134264233</v>
      </c>
      <c r="S266" s="17">
        <v>12</v>
      </c>
      <c r="T266" s="36">
        <f>IFERROR(S266/$AD266,0)</f>
        <v>0.14814814814814814</v>
      </c>
      <c r="U266" s="17">
        <v>73</v>
      </c>
      <c r="V266" s="36">
        <f>IFERROR(U266/$AC266,0)</f>
        <v>7.8410311493018262E-2</v>
      </c>
      <c r="W266" s="17">
        <v>4</v>
      </c>
      <c r="X266" s="36">
        <f>IFERROR(W266/$AD266,0)</f>
        <v>4.9382716049382713E-2</v>
      </c>
      <c r="Y266" s="17">
        <v>33</v>
      </c>
      <c r="Z266" s="36">
        <f>IFERROR(Y266/$AC266,0)</f>
        <v>3.5445757250268529E-2</v>
      </c>
      <c r="AA266" s="17">
        <v>4</v>
      </c>
      <c r="AB266" s="36">
        <f>IFERROR(AA266/$AD266,0)</f>
        <v>4.9382716049382713E-2</v>
      </c>
      <c r="AC266" s="17">
        <v>931</v>
      </c>
      <c r="AD266" s="17">
        <v>81</v>
      </c>
    </row>
    <row r="267" spans="1:30" ht="15.75" customHeight="1" x14ac:dyDescent="0.25">
      <c r="A267" s="37">
        <v>2023</v>
      </c>
      <c r="B267" s="35">
        <v>172065</v>
      </c>
      <c r="C267" s="33" t="str">
        <f>VLOOKUP(B267,procv!$A$2:$D$142,4,FALSE)</f>
        <v>Amor Perfeito</v>
      </c>
      <c r="D267" s="33" t="s">
        <v>131</v>
      </c>
      <c r="E267" s="17">
        <v>38</v>
      </c>
      <c r="F267" s="36">
        <f>IFERROR(E267/$AC267,0)</f>
        <v>2.1360314783586284E-2</v>
      </c>
      <c r="G267" s="17">
        <v>0</v>
      </c>
      <c r="H267" s="36">
        <f>IFERROR(G267/$AD267,0)</f>
        <v>0</v>
      </c>
      <c r="I267" s="17">
        <v>627</v>
      </c>
      <c r="J267" s="36">
        <f>IFERROR(I267/$AC267,0)</f>
        <v>0.35244519392917367</v>
      </c>
      <c r="K267" s="17">
        <v>53</v>
      </c>
      <c r="L267" s="36">
        <f>IFERROR(K267/$AD267,0)</f>
        <v>0.32515337423312884</v>
      </c>
      <c r="M267" s="17">
        <v>632</v>
      </c>
      <c r="N267" s="36">
        <f>IFERROR(M267/$AC267,0)</f>
        <v>0.35525576166385608</v>
      </c>
      <c r="O267" s="17">
        <v>58</v>
      </c>
      <c r="P267" s="36">
        <f>IFERROR(O267/$AD267,0)</f>
        <v>0.35582822085889571</v>
      </c>
      <c r="Q267" s="17">
        <v>315</v>
      </c>
      <c r="R267" s="36">
        <f>IFERROR(Q267/$AC267,0)</f>
        <v>0.17706576728499157</v>
      </c>
      <c r="S267" s="17">
        <v>26</v>
      </c>
      <c r="T267" s="36">
        <f>IFERROR(S267/$AD267,0)</f>
        <v>0.15950920245398773</v>
      </c>
      <c r="U267" s="17">
        <v>104</v>
      </c>
      <c r="V267" s="36">
        <f>IFERROR(U267/$AC267,0)</f>
        <v>5.8459808881394043E-2</v>
      </c>
      <c r="W267" s="17">
        <v>19</v>
      </c>
      <c r="X267" s="36">
        <f>IFERROR(W267/$AD267,0)</f>
        <v>0.1165644171779141</v>
      </c>
      <c r="Y267" s="17">
        <v>63</v>
      </c>
      <c r="Z267" s="36">
        <f>IFERROR(Y267/$AC267,0)</f>
        <v>3.5413153456998317E-2</v>
      </c>
      <c r="AA267" s="17">
        <v>7</v>
      </c>
      <c r="AB267" s="36">
        <f>IFERROR(AA267/$AD267,0)</f>
        <v>4.2944785276073622E-2</v>
      </c>
      <c r="AC267" s="16">
        <v>1779</v>
      </c>
      <c r="AD267" s="17">
        <v>163</v>
      </c>
    </row>
    <row r="268" spans="1:30" ht="15.75" customHeight="1" x14ac:dyDescent="0.25">
      <c r="A268" s="37">
        <v>2023</v>
      </c>
      <c r="B268" s="35">
        <v>172080</v>
      </c>
      <c r="C268" s="33" t="str">
        <f>VLOOKUP(B268,procv!$A$2:$D$142,4,FALSE)</f>
        <v>Bico do Papagaio</v>
      </c>
      <c r="D268" s="33" t="s">
        <v>132</v>
      </c>
      <c r="E268" s="17">
        <v>83</v>
      </c>
      <c r="F268" s="36">
        <f>IFERROR(E268/$AC268,0)</f>
        <v>2.1975112523166536E-2</v>
      </c>
      <c r="G268" s="17">
        <v>7</v>
      </c>
      <c r="H268" s="36">
        <f>IFERROR(G268/$AD268,0)</f>
        <v>1.8087855297157621E-2</v>
      </c>
      <c r="I268" s="16">
        <v>1434</v>
      </c>
      <c r="J268" s="36">
        <f>IFERROR(I268/$AC268,0)</f>
        <v>0.37966640190627482</v>
      </c>
      <c r="K268" s="17">
        <v>163</v>
      </c>
      <c r="L268" s="36">
        <f>IFERROR(K268/$AD268,0)</f>
        <v>0.42118863049095606</v>
      </c>
      <c r="M268" s="16">
        <v>1397</v>
      </c>
      <c r="N268" s="36">
        <f>IFERROR(M268/$AC268,0)</f>
        <v>0.36987026740799578</v>
      </c>
      <c r="O268" s="17">
        <v>140</v>
      </c>
      <c r="P268" s="36">
        <f>IFERROR(O268/$AD268,0)</f>
        <v>0.36175710594315247</v>
      </c>
      <c r="Q268" s="17">
        <v>603</v>
      </c>
      <c r="R268" s="36">
        <f>IFERROR(Q268/$AC268,0)</f>
        <v>0.15965051628276411</v>
      </c>
      <c r="S268" s="17">
        <v>51</v>
      </c>
      <c r="T268" s="36">
        <f>IFERROR(S268/$AD268,0)</f>
        <v>0.13178294573643412</v>
      </c>
      <c r="U268" s="17">
        <v>195</v>
      </c>
      <c r="V268" s="36">
        <f>IFERROR(U268/$AC268,0)</f>
        <v>5.1628276409849086E-2</v>
      </c>
      <c r="W268" s="17">
        <v>19</v>
      </c>
      <c r="X268" s="36">
        <f>IFERROR(W268/$AD268,0)</f>
        <v>4.909560723514212E-2</v>
      </c>
      <c r="Y268" s="17">
        <v>65</v>
      </c>
      <c r="Z268" s="36">
        <f>IFERROR(Y268/$AC268,0)</f>
        <v>1.7209425469949694E-2</v>
      </c>
      <c r="AA268" s="17">
        <v>7</v>
      </c>
      <c r="AB268" s="36">
        <f>IFERROR(AA268/$AD268,0)</f>
        <v>1.8087855297157621E-2</v>
      </c>
      <c r="AC268" s="16">
        <v>3777</v>
      </c>
      <c r="AD268" s="17">
        <v>387</v>
      </c>
    </row>
    <row r="269" spans="1:30" ht="15.75" customHeight="1" x14ac:dyDescent="0.25">
      <c r="A269" s="37">
        <v>2023</v>
      </c>
      <c r="B269" s="35">
        <v>172085</v>
      </c>
      <c r="C269" s="33" t="str">
        <f>VLOOKUP(B269,procv!$A$2:$D$142,4,FALSE)</f>
        <v>Ilha do Bananal</v>
      </c>
      <c r="D269" s="33" t="s">
        <v>133</v>
      </c>
      <c r="E269" s="17">
        <v>15</v>
      </c>
      <c r="F269" s="36">
        <f>IFERROR(E269/$AC269,0)</f>
        <v>2.0026702269692925E-2</v>
      </c>
      <c r="G269" s="17">
        <v>2</v>
      </c>
      <c r="H269" s="36">
        <f>IFERROR(G269/$AD269,0)</f>
        <v>3.9215686274509803E-2</v>
      </c>
      <c r="I269" s="17">
        <v>209</v>
      </c>
      <c r="J269" s="36">
        <f>IFERROR(I269/$AC269,0)</f>
        <v>0.27903871829105475</v>
      </c>
      <c r="K269" s="17">
        <v>14</v>
      </c>
      <c r="L269" s="36">
        <f>IFERROR(K269/$AD269,0)</f>
        <v>0.27450980392156865</v>
      </c>
      <c r="M269" s="17">
        <v>277</v>
      </c>
      <c r="N269" s="36">
        <f>IFERROR(M269/$AC269,0)</f>
        <v>0.36982643524699599</v>
      </c>
      <c r="O269" s="17">
        <v>15</v>
      </c>
      <c r="P269" s="36">
        <f>IFERROR(O269/$AD269,0)</f>
        <v>0.29411764705882354</v>
      </c>
      <c r="Q269" s="17">
        <v>147</v>
      </c>
      <c r="R269" s="36">
        <f>IFERROR(Q269/$AC269,0)</f>
        <v>0.19626168224299065</v>
      </c>
      <c r="S269" s="17">
        <v>11</v>
      </c>
      <c r="T269" s="36">
        <f>IFERROR(S269/$AD269,0)</f>
        <v>0.21568627450980393</v>
      </c>
      <c r="U269" s="17">
        <v>67</v>
      </c>
      <c r="V269" s="36">
        <f>IFERROR(U269/$AC269,0)</f>
        <v>8.9452603471295064E-2</v>
      </c>
      <c r="W269" s="17">
        <v>6</v>
      </c>
      <c r="X269" s="36">
        <f>IFERROR(W269/$AD269,0)</f>
        <v>0.11764705882352941</v>
      </c>
      <c r="Y269" s="17">
        <v>34</v>
      </c>
      <c r="Z269" s="36">
        <f>IFERROR(Y269/$AC269,0)</f>
        <v>4.5393858477970631E-2</v>
      </c>
      <c r="AA269" s="17">
        <v>3</v>
      </c>
      <c r="AB269" s="36">
        <f>IFERROR(AA269/$AD269,0)</f>
        <v>5.8823529411764705E-2</v>
      </c>
      <c r="AC269" s="17">
        <v>749</v>
      </c>
      <c r="AD269" s="17">
        <v>51</v>
      </c>
    </row>
    <row r="270" spans="1:30" ht="15.75" customHeight="1" x14ac:dyDescent="0.25">
      <c r="A270" s="37">
        <v>2023</v>
      </c>
      <c r="B270" s="35">
        <v>170825</v>
      </c>
      <c r="C270" s="33" t="str">
        <f>VLOOKUP(B270,procv!$A$2:$D$142,4,FALSE)</f>
        <v>Capim Dourado</v>
      </c>
      <c r="D270" s="33" t="s">
        <v>134</v>
      </c>
      <c r="E270" s="17">
        <v>5</v>
      </c>
      <c r="F270" s="36">
        <f>IFERROR(E270/$AC270,0)</f>
        <v>1.7730496453900711E-2</v>
      </c>
      <c r="G270" s="17">
        <v>1</v>
      </c>
      <c r="H270" s="36">
        <f>IFERROR(G270/$AD270,0)</f>
        <v>1.1111111111111112E-2</v>
      </c>
      <c r="I270" s="17">
        <v>86</v>
      </c>
      <c r="J270" s="36">
        <f>IFERROR(I270/$AC270,0)</f>
        <v>0.30496453900709219</v>
      </c>
      <c r="K270" s="17">
        <v>34</v>
      </c>
      <c r="L270" s="36">
        <f>IFERROR(K270/$AD270,0)</f>
        <v>0.37777777777777777</v>
      </c>
      <c r="M270" s="17">
        <v>103</v>
      </c>
      <c r="N270" s="36">
        <f>IFERROR(M270/$AC270,0)</f>
        <v>0.36524822695035464</v>
      </c>
      <c r="O270" s="17">
        <v>33</v>
      </c>
      <c r="P270" s="36">
        <f>IFERROR(O270/$AD270,0)</f>
        <v>0.36666666666666664</v>
      </c>
      <c r="Q270" s="17">
        <v>52</v>
      </c>
      <c r="R270" s="36">
        <f>IFERROR(Q270/$AC270,0)</f>
        <v>0.18439716312056736</v>
      </c>
      <c r="S270" s="17">
        <v>13</v>
      </c>
      <c r="T270" s="36">
        <f>IFERROR(S270/$AD270,0)</f>
        <v>0.14444444444444443</v>
      </c>
      <c r="U270" s="17">
        <v>24</v>
      </c>
      <c r="V270" s="36">
        <f>IFERROR(U270/$AC270,0)</f>
        <v>8.5106382978723402E-2</v>
      </c>
      <c r="W270" s="17">
        <v>8</v>
      </c>
      <c r="X270" s="36">
        <f>IFERROR(W270/$AD270,0)</f>
        <v>8.8888888888888892E-2</v>
      </c>
      <c r="Y270" s="17">
        <v>12</v>
      </c>
      <c r="Z270" s="36">
        <f>IFERROR(Y270/$AC270,0)</f>
        <v>4.2553191489361701E-2</v>
      </c>
      <c r="AA270" s="17">
        <v>1</v>
      </c>
      <c r="AB270" s="36">
        <f>IFERROR(AA270/$AD270,0)</f>
        <v>1.1111111111111112E-2</v>
      </c>
      <c r="AC270" s="17">
        <v>282</v>
      </c>
      <c r="AD270" s="17">
        <v>90</v>
      </c>
    </row>
    <row r="271" spans="1:30" ht="15.75" customHeight="1" x14ac:dyDescent="0.25">
      <c r="A271" s="37">
        <v>2023</v>
      </c>
      <c r="B271" s="35">
        <v>172090</v>
      </c>
      <c r="C271" s="33" t="str">
        <f>VLOOKUP(B271,procv!$A$2:$D$142,4,FALSE)</f>
        <v>Sudeste</v>
      </c>
      <c r="D271" s="33" t="s">
        <v>135</v>
      </c>
      <c r="E271" s="17">
        <v>69</v>
      </c>
      <c r="F271" s="36">
        <f>IFERROR(E271/$AC271,0)</f>
        <v>1.9464033850493653E-2</v>
      </c>
      <c r="G271" s="17">
        <v>11</v>
      </c>
      <c r="H271" s="36">
        <f>IFERROR(G271/$AD271,0)</f>
        <v>2.4282560706401765E-2</v>
      </c>
      <c r="I271" s="16">
        <v>1141</v>
      </c>
      <c r="J271" s="36">
        <f>IFERROR(I271/$AC271,0)</f>
        <v>0.32186177715091679</v>
      </c>
      <c r="K271" s="17">
        <v>159</v>
      </c>
      <c r="L271" s="36">
        <f>IFERROR(K271/$AD271,0)</f>
        <v>0.35099337748344372</v>
      </c>
      <c r="M271" s="16">
        <v>1261</v>
      </c>
      <c r="N271" s="36">
        <f>IFERROR(M271/$AC271,0)</f>
        <v>0.35571227080394924</v>
      </c>
      <c r="O271" s="17">
        <v>145</v>
      </c>
      <c r="P271" s="36">
        <f>IFERROR(O271/$AD271,0)</f>
        <v>0.32008830022075058</v>
      </c>
      <c r="Q271" s="17">
        <v>697</v>
      </c>
      <c r="R271" s="36">
        <f>IFERROR(Q271/$AC271,0)</f>
        <v>0.19661495063469675</v>
      </c>
      <c r="S271" s="17">
        <v>88</v>
      </c>
      <c r="T271" s="36">
        <f>IFERROR(S271/$AD271,0)</f>
        <v>0.19426048565121412</v>
      </c>
      <c r="U271" s="17">
        <v>265</v>
      </c>
      <c r="V271" s="36">
        <f>IFERROR(U271/$AC271,0)</f>
        <v>7.4753173483779967E-2</v>
      </c>
      <c r="W271" s="17">
        <v>37</v>
      </c>
      <c r="X271" s="36">
        <f>IFERROR(W271/$AD271,0)</f>
        <v>8.1677704194260486E-2</v>
      </c>
      <c r="Y271" s="17">
        <v>112</v>
      </c>
      <c r="Z271" s="36">
        <f>IFERROR(Y271/$AC271,0)</f>
        <v>3.1593794076163612E-2</v>
      </c>
      <c r="AA271" s="17">
        <v>13</v>
      </c>
      <c r="AB271" s="36">
        <f>IFERROR(AA271/$AD271,0)</f>
        <v>2.8697571743929361E-2</v>
      </c>
      <c r="AC271" s="16">
        <v>3545</v>
      </c>
      <c r="AD271" s="17">
        <v>453</v>
      </c>
    </row>
    <row r="272" spans="1:30" ht="15.75" customHeight="1" x14ac:dyDescent="0.25">
      <c r="A272" s="37">
        <v>2023</v>
      </c>
      <c r="B272" s="35">
        <v>172093</v>
      </c>
      <c r="C272" s="33" t="str">
        <f>VLOOKUP(B272,procv!$A$2:$D$142,4,FALSE)</f>
        <v>Sudeste</v>
      </c>
      <c r="D272" s="33" t="s">
        <v>136</v>
      </c>
      <c r="E272" s="17">
        <v>7</v>
      </c>
      <c r="F272" s="36">
        <f>IFERROR(E272/$AC272,0)</f>
        <v>1.9390581717451522E-2</v>
      </c>
      <c r="G272" s="17">
        <v>1</v>
      </c>
      <c r="H272" s="36">
        <f>IFERROR(G272/$AD272,0)</f>
        <v>3.8461538461538464E-2</v>
      </c>
      <c r="I272" s="17">
        <v>100</v>
      </c>
      <c r="J272" s="36">
        <f>IFERROR(I272/$AC272,0)</f>
        <v>0.2770083102493075</v>
      </c>
      <c r="K272" s="17">
        <v>10</v>
      </c>
      <c r="L272" s="36">
        <f>IFERROR(K272/$AD272,0)</f>
        <v>0.38461538461538464</v>
      </c>
      <c r="M272" s="17">
        <v>117</v>
      </c>
      <c r="N272" s="36">
        <f>IFERROR(M272/$AC272,0)</f>
        <v>0.32409972299168976</v>
      </c>
      <c r="O272" s="17">
        <v>6</v>
      </c>
      <c r="P272" s="36">
        <f>IFERROR(O272/$AD272,0)</f>
        <v>0.23076923076923078</v>
      </c>
      <c r="Q272" s="17">
        <v>81</v>
      </c>
      <c r="R272" s="36">
        <f>IFERROR(Q272/$AC272,0)</f>
        <v>0.22437673130193905</v>
      </c>
      <c r="S272" s="17">
        <v>2</v>
      </c>
      <c r="T272" s="36">
        <f>IFERROR(S272/$AD272,0)</f>
        <v>7.6923076923076927E-2</v>
      </c>
      <c r="U272" s="17">
        <v>43</v>
      </c>
      <c r="V272" s="36">
        <f>IFERROR(U272/$AC272,0)</f>
        <v>0.11911357340720222</v>
      </c>
      <c r="W272" s="17">
        <v>4</v>
      </c>
      <c r="X272" s="36">
        <f>IFERROR(W272/$AD272,0)</f>
        <v>0.15384615384615385</v>
      </c>
      <c r="Y272" s="17">
        <v>13</v>
      </c>
      <c r="Z272" s="36">
        <f>IFERROR(Y272/$AC272,0)</f>
        <v>3.6011080332409975E-2</v>
      </c>
      <c r="AA272" s="17">
        <v>3</v>
      </c>
      <c r="AB272" s="36">
        <f>IFERROR(AA272/$AD272,0)</f>
        <v>0.11538461538461539</v>
      </c>
      <c r="AC272" s="17">
        <v>361</v>
      </c>
      <c r="AD272" s="17">
        <v>26</v>
      </c>
    </row>
    <row r="273" spans="1:30" ht="15.75" customHeight="1" x14ac:dyDescent="0.25">
      <c r="A273" s="37">
        <v>2023</v>
      </c>
      <c r="B273" s="35">
        <v>172097</v>
      </c>
      <c r="C273" s="33" t="str">
        <f>VLOOKUP(B273,procv!$A$2:$D$142,4,FALSE)</f>
        <v>Ilha do Bananal</v>
      </c>
      <c r="D273" s="33" t="s">
        <v>137</v>
      </c>
      <c r="E273" s="17">
        <v>27</v>
      </c>
      <c r="F273" s="36">
        <f>IFERROR(E273/$AC273,0)</f>
        <v>2.8331584470094439E-2</v>
      </c>
      <c r="G273" s="17">
        <v>3</v>
      </c>
      <c r="H273" s="36">
        <f>IFERROR(G273/$AD273,0)</f>
        <v>4.4117647058823532E-2</v>
      </c>
      <c r="I273" s="17">
        <v>287</v>
      </c>
      <c r="J273" s="36">
        <f>IFERROR(I273/$AC273,0)</f>
        <v>0.30115424973767052</v>
      </c>
      <c r="K273" s="17">
        <v>17</v>
      </c>
      <c r="L273" s="36">
        <f>IFERROR(K273/$AD273,0)</f>
        <v>0.25</v>
      </c>
      <c r="M273" s="17">
        <v>317</v>
      </c>
      <c r="N273" s="36">
        <f>IFERROR(M273/$AC273,0)</f>
        <v>0.33263378803777544</v>
      </c>
      <c r="O273" s="17">
        <v>24</v>
      </c>
      <c r="P273" s="36">
        <f>IFERROR(O273/$AD273,0)</f>
        <v>0.35294117647058826</v>
      </c>
      <c r="Q273" s="17">
        <v>216</v>
      </c>
      <c r="R273" s="36">
        <f>IFERROR(Q273/$AC273,0)</f>
        <v>0.22665267576075551</v>
      </c>
      <c r="S273" s="17">
        <v>16</v>
      </c>
      <c r="T273" s="36">
        <f>IFERROR(S273/$AD273,0)</f>
        <v>0.23529411764705882</v>
      </c>
      <c r="U273" s="17">
        <v>79</v>
      </c>
      <c r="V273" s="36">
        <f>IFERROR(U273/$AC273,0)</f>
        <v>8.2896117523609647E-2</v>
      </c>
      <c r="W273" s="17">
        <v>6</v>
      </c>
      <c r="X273" s="36">
        <f>IFERROR(W273/$AD273,0)</f>
        <v>8.8235294117647065E-2</v>
      </c>
      <c r="Y273" s="17">
        <v>27</v>
      </c>
      <c r="Z273" s="36">
        <f>IFERROR(Y273/$AC273,0)</f>
        <v>2.8331584470094439E-2</v>
      </c>
      <c r="AA273" s="17">
        <v>2</v>
      </c>
      <c r="AB273" s="36">
        <f>IFERROR(AA273/$AD273,0)</f>
        <v>2.9411764705882353E-2</v>
      </c>
      <c r="AC273" s="17">
        <v>953</v>
      </c>
      <c r="AD273" s="17">
        <v>68</v>
      </c>
    </row>
    <row r="274" spans="1:30" ht="15.75" customHeight="1" x14ac:dyDescent="0.25">
      <c r="A274" s="37">
        <v>2023</v>
      </c>
      <c r="B274" s="35">
        <v>172110</v>
      </c>
      <c r="C274" s="33" t="str">
        <f>VLOOKUP(B274,procv!$A$2:$D$142,4,FALSE)</f>
        <v>Capim Dourado</v>
      </c>
      <c r="D274" s="33" t="s">
        <v>138</v>
      </c>
      <c r="E274" s="17">
        <v>46</v>
      </c>
      <c r="F274" s="36">
        <f>IFERROR(E274/$AC274,0)</f>
        <v>2.2051773729626079E-2</v>
      </c>
      <c r="G274" s="17">
        <v>21</v>
      </c>
      <c r="H274" s="36">
        <f>IFERROR(G274/$AD274,0)</f>
        <v>2.2850924918389554E-2</v>
      </c>
      <c r="I274" s="17">
        <v>606</v>
      </c>
      <c r="J274" s="36">
        <f>IFERROR(I274/$AC274,0)</f>
        <v>0.29050814956855225</v>
      </c>
      <c r="K274" s="17">
        <v>277</v>
      </c>
      <c r="L274" s="36">
        <f>IFERROR(K274/$AD274,0)</f>
        <v>0.30141458106637647</v>
      </c>
      <c r="M274" s="17">
        <v>778</v>
      </c>
      <c r="N274" s="36">
        <f>IFERROR(M274/$AC274,0)</f>
        <v>0.37296260786193675</v>
      </c>
      <c r="O274" s="17">
        <v>366</v>
      </c>
      <c r="P274" s="36">
        <f>IFERROR(O274/$AD274,0)</f>
        <v>0.3982589771490751</v>
      </c>
      <c r="Q274" s="17">
        <v>434</v>
      </c>
      <c r="R274" s="36">
        <f>IFERROR(Q274/$AC274,0)</f>
        <v>0.20805369127516779</v>
      </c>
      <c r="S274" s="17">
        <v>174</v>
      </c>
      <c r="T274" s="36">
        <f>IFERROR(S274/$AD274,0)</f>
        <v>0.18933623503808489</v>
      </c>
      <c r="U274" s="17">
        <v>164</v>
      </c>
      <c r="V274" s="36">
        <f>IFERROR(U274/$AC274,0)</f>
        <v>7.861936720997123E-2</v>
      </c>
      <c r="W274" s="17">
        <v>61</v>
      </c>
      <c r="X274" s="36">
        <f>IFERROR(W274/$AD274,0)</f>
        <v>6.6376496191512507E-2</v>
      </c>
      <c r="Y274" s="17">
        <v>58</v>
      </c>
      <c r="Z274" s="36">
        <f>IFERROR(Y274/$AC274,0)</f>
        <v>2.7804410354745925E-2</v>
      </c>
      <c r="AA274" s="17">
        <v>20</v>
      </c>
      <c r="AB274" s="36">
        <f>IFERROR(AA274/$AD274,0)</f>
        <v>2.176278563656148E-2</v>
      </c>
      <c r="AC274" s="16">
        <v>2086</v>
      </c>
      <c r="AD274" s="17">
        <v>919</v>
      </c>
    </row>
    <row r="275" spans="1:30" ht="15.75" customHeight="1" x14ac:dyDescent="0.25">
      <c r="A275" s="37">
        <v>2023</v>
      </c>
      <c r="B275" s="35">
        <v>172120</v>
      </c>
      <c r="C275" s="33" t="str">
        <f>VLOOKUP(B275,procv!$A$2:$D$142,4,FALSE)</f>
        <v>Bico do Papagaio</v>
      </c>
      <c r="D275" s="33" t="s">
        <v>139</v>
      </c>
      <c r="E275" s="17">
        <v>112</v>
      </c>
      <c r="F275" s="36">
        <f>IFERROR(E275/$AC275,0)</f>
        <v>2.9242819843342035E-2</v>
      </c>
      <c r="G275" s="17">
        <v>39</v>
      </c>
      <c r="H275" s="36">
        <f>IFERROR(G275/$AD275,0)</f>
        <v>3.8423645320197042E-2</v>
      </c>
      <c r="I275" s="16">
        <v>1371</v>
      </c>
      <c r="J275" s="36">
        <f>IFERROR(I275/$AC275,0)</f>
        <v>0.35796344647519585</v>
      </c>
      <c r="K275" s="17">
        <v>412</v>
      </c>
      <c r="L275" s="36">
        <f>IFERROR(K275/$AD275,0)</f>
        <v>0.40591133004926111</v>
      </c>
      <c r="M275" s="16">
        <v>1360</v>
      </c>
      <c r="N275" s="36">
        <f>IFERROR(M275/$AC275,0)</f>
        <v>0.35509138381201044</v>
      </c>
      <c r="O275" s="17">
        <v>343</v>
      </c>
      <c r="P275" s="36">
        <f>IFERROR(O275/$AD275,0)</f>
        <v>0.33793103448275863</v>
      </c>
      <c r="Q275" s="17">
        <v>683</v>
      </c>
      <c r="R275" s="36">
        <f>IFERROR(Q275/$AC275,0)</f>
        <v>0.17832898172323761</v>
      </c>
      <c r="S275" s="17">
        <v>157</v>
      </c>
      <c r="T275" s="36">
        <f>IFERROR(S275/$AD275,0)</f>
        <v>0.15467980295566502</v>
      </c>
      <c r="U275" s="17">
        <v>226</v>
      </c>
      <c r="V275" s="36">
        <f>IFERROR(U275/$AC275,0)</f>
        <v>5.9007832898172324E-2</v>
      </c>
      <c r="W275" s="17">
        <v>46</v>
      </c>
      <c r="X275" s="36">
        <f>IFERROR(W275/$AD275,0)</f>
        <v>4.5320197044334973E-2</v>
      </c>
      <c r="Y275" s="17">
        <v>78</v>
      </c>
      <c r="Z275" s="36">
        <f>IFERROR(Y275/$AC275,0)</f>
        <v>2.0365535248041775E-2</v>
      </c>
      <c r="AA275" s="17">
        <v>18</v>
      </c>
      <c r="AB275" s="36">
        <f>IFERROR(AA275/$AD275,0)</f>
        <v>1.7733990147783252E-2</v>
      </c>
      <c r="AC275" s="16">
        <v>3830</v>
      </c>
      <c r="AD275" s="16">
        <v>1015</v>
      </c>
    </row>
    <row r="276" spans="1:30" ht="15.75" customHeight="1" x14ac:dyDescent="0.25">
      <c r="A276" s="37">
        <v>2023</v>
      </c>
      <c r="B276" s="35">
        <v>172125</v>
      </c>
      <c r="C276" s="33" t="str">
        <f>VLOOKUP(B276,procv!$A$2:$D$142,4,FALSE)</f>
        <v>Cerrado Tocantins Araguaia</v>
      </c>
      <c r="D276" s="33" t="s">
        <v>140</v>
      </c>
      <c r="E276" s="17">
        <v>24</v>
      </c>
      <c r="F276" s="36">
        <f>IFERROR(E276/$AC276,0)</f>
        <v>3.4632034632034632E-2</v>
      </c>
      <c r="G276" s="17">
        <v>0</v>
      </c>
      <c r="H276" s="36">
        <f>IFERROR(G276/$AD276,0)</f>
        <v>0</v>
      </c>
      <c r="I276" s="17">
        <v>244</v>
      </c>
      <c r="J276" s="36">
        <f>IFERROR(I276/$AC276,0)</f>
        <v>0.35209235209235207</v>
      </c>
      <c r="K276" s="17">
        <v>11</v>
      </c>
      <c r="L276" s="36">
        <f>IFERROR(K276/$AD276,0)</f>
        <v>0.45833333333333331</v>
      </c>
      <c r="M276" s="17">
        <v>231</v>
      </c>
      <c r="N276" s="36">
        <f>IFERROR(M276/$AC276,0)</f>
        <v>0.33333333333333331</v>
      </c>
      <c r="O276" s="17">
        <v>5</v>
      </c>
      <c r="P276" s="36">
        <f>IFERROR(O276/$AD276,0)</f>
        <v>0.20833333333333334</v>
      </c>
      <c r="Q276" s="17">
        <v>135</v>
      </c>
      <c r="R276" s="36">
        <f>IFERROR(Q276/$AC276,0)</f>
        <v>0.19480519480519481</v>
      </c>
      <c r="S276" s="17">
        <v>5</v>
      </c>
      <c r="T276" s="36">
        <f>IFERROR(S276/$AD276,0)</f>
        <v>0.20833333333333334</v>
      </c>
      <c r="U276" s="17">
        <v>42</v>
      </c>
      <c r="V276" s="36">
        <f>IFERROR(U276/$AC276,0)</f>
        <v>6.0606060606060608E-2</v>
      </c>
      <c r="W276" s="17">
        <v>2</v>
      </c>
      <c r="X276" s="36">
        <f>IFERROR(W276/$AD276,0)</f>
        <v>8.3333333333333329E-2</v>
      </c>
      <c r="Y276" s="17">
        <v>17</v>
      </c>
      <c r="Z276" s="36">
        <f>IFERROR(Y276/$AC276,0)</f>
        <v>2.4531024531024532E-2</v>
      </c>
      <c r="AA276" s="17">
        <v>1</v>
      </c>
      <c r="AB276" s="36">
        <f>IFERROR(AA276/$AD276,0)</f>
        <v>4.1666666666666664E-2</v>
      </c>
      <c r="AC276" s="17">
        <v>693</v>
      </c>
      <c r="AD276" s="17">
        <v>24</v>
      </c>
    </row>
    <row r="277" spans="1:30" ht="15.75" customHeight="1" x14ac:dyDescent="0.25">
      <c r="A277" s="37">
        <v>2023</v>
      </c>
      <c r="B277" s="35">
        <v>172130</v>
      </c>
      <c r="C277" s="33" t="str">
        <f>VLOOKUP(B277,procv!$A$2:$D$142,4,FALSE)</f>
        <v>Cerrado Tocantins Araguaia</v>
      </c>
      <c r="D277" s="33" t="s">
        <v>141</v>
      </c>
      <c r="E277" s="17">
        <v>7</v>
      </c>
      <c r="F277" s="36">
        <f>IFERROR(E277/$AC277,0)</f>
        <v>1.348747591522158E-2</v>
      </c>
      <c r="G277" s="17">
        <v>1</v>
      </c>
      <c r="H277" s="36">
        <f>IFERROR(G277/$AD277,0)</f>
        <v>2.7777777777777776E-2</v>
      </c>
      <c r="I277" s="17">
        <v>166</v>
      </c>
      <c r="J277" s="36">
        <f>IFERROR(I277/$AC277,0)</f>
        <v>0.31984585741811178</v>
      </c>
      <c r="K277" s="17">
        <v>8</v>
      </c>
      <c r="L277" s="36">
        <f>IFERROR(K277/$AD277,0)</f>
        <v>0.22222222222222221</v>
      </c>
      <c r="M277" s="17">
        <v>184</v>
      </c>
      <c r="N277" s="36">
        <f>IFERROR(M277/$AC277,0)</f>
        <v>0.35452793834296725</v>
      </c>
      <c r="O277" s="17">
        <v>18</v>
      </c>
      <c r="P277" s="36">
        <f>IFERROR(O277/$AD277,0)</f>
        <v>0.5</v>
      </c>
      <c r="Q277" s="17">
        <v>107</v>
      </c>
      <c r="R277" s="36">
        <f>IFERROR(Q277/$AC277,0)</f>
        <v>0.20616570327552985</v>
      </c>
      <c r="S277" s="17">
        <v>4</v>
      </c>
      <c r="T277" s="36">
        <f>IFERROR(S277/$AD277,0)</f>
        <v>0.1111111111111111</v>
      </c>
      <c r="U277" s="17">
        <v>44</v>
      </c>
      <c r="V277" s="36">
        <f>IFERROR(U277/$AC277,0)</f>
        <v>8.477842003853564E-2</v>
      </c>
      <c r="W277" s="17">
        <v>5</v>
      </c>
      <c r="X277" s="36">
        <f>IFERROR(W277/$AD277,0)</f>
        <v>0.1388888888888889</v>
      </c>
      <c r="Y277" s="17">
        <v>11</v>
      </c>
      <c r="Z277" s="36">
        <f>IFERROR(Y277/$AC277,0)</f>
        <v>2.119460500963391E-2</v>
      </c>
      <c r="AA277" s="17">
        <v>0</v>
      </c>
      <c r="AB277" s="36">
        <f>IFERROR(AA277/$AD277,0)</f>
        <v>0</v>
      </c>
      <c r="AC277" s="17">
        <v>519</v>
      </c>
      <c r="AD277" s="17">
        <v>36</v>
      </c>
    </row>
    <row r="278" spans="1:30" ht="15.75" customHeight="1" x14ac:dyDescent="0.25">
      <c r="A278" s="37">
        <v>2023</v>
      </c>
      <c r="B278" s="35">
        <v>172208</v>
      </c>
      <c r="C278" s="33" t="str">
        <f>VLOOKUP(B278,procv!$A$2:$D$142,4,FALSE)</f>
        <v>Médio Norte Araguaia</v>
      </c>
      <c r="D278" s="33" t="s">
        <v>142</v>
      </c>
      <c r="E278" s="17">
        <v>60</v>
      </c>
      <c r="F278" s="36">
        <f>IFERROR(E278/$AC278,0)</f>
        <v>2.3400936037441498E-2</v>
      </c>
      <c r="G278" s="17">
        <v>16</v>
      </c>
      <c r="H278" s="36">
        <f>IFERROR(G278/$AD278,0)</f>
        <v>4.6920821114369501E-2</v>
      </c>
      <c r="I278" s="17">
        <v>880</v>
      </c>
      <c r="J278" s="36">
        <f>IFERROR(I278/$AC278,0)</f>
        <v>0.34321372854914195</v>
      </c>
      <c r="K278" s="17">
        <v>110</v>
      </c>
      <c r="L278" s="36">
        <f>IFERROR(K278/$AD278,0)</f>
        <v>0.32258064516129031</v>
      </c>
      <c r="M278" s="17">
        <v>863</v>
      </c>
      <c r="N278" s="36">
        <f>IFERROR(M278/$AC278,0)</f>
        <v>0.33658346333853356</v>
      </c>
      <c r="O278" s="17">
        <v>99</v>
      </c>
      <c r="P278" s="36">
        <f>IFERROR(O278/$AD278,0)</f>
        <v>0.29032258064516131</v>
      </c>
      <c r="Q278" s="17">
        <v>513</v>
      </c>
      <c r="R278" s="36">
        <f>IFERROR(Q278/$AC278,0)</f>
        <v>0.2000780031201248</v>
      </c>
      <c r="S278" s="17">
        <v>81</v>
      </c>
      <c r="T278" s="36">
        <f>IFERROR(S278/$AD278,0)</f>
        <v>0.23753665689149561</v>
      </c>
      <c r="U278" s="17">
        <v>181</v>
      </c>
      <c r="V278" s="36">
        <f>IFERROR(U278/$AC278,0)</f>
        <v>7.0592823712948519E-2</v>
      </c>
      <c r="W278" s="17">
        <v>28</v>
      </c>
      <c r="X278" s="36">
        <f>IFERROR(W278/$AD278,0)</f>
        <v>8.2111436950146624E-2</v>
      </c>
      <c r="Y278" s="17">
        <v>67</v>
      </c>
      <c r="Z278" s="36">
        <f>IFERROR(Y278/$AC278,0)</f>
        <v>2.6131045241809672E-2</v>
      </c>
      <c r="AA278" s="17">
        <v>7</v>
      </c>
      <c r="AB278" s="36">
        <f>IFERROR(AA278/$AD278,0)</f>
        <v>2.0527859237536656E-2</v>
      </c>
      <c r="AC278" s="16">
        <v>2564</v>
      </c>
      <c r="AD278" s="17">
        <v>341</v>
      </c>
    </row>
    <row r="279" spans="1:30" ht="15.75" customHeight="1" x14ac:dyDescent="0.25">
      <c r="A279" s="37">
        <v>2023</v>
      </c>
      <c r="B279" s="35">
        <v>172210</v>
      </c>
      <c r="C279" s="33" t="str">
        <f>VLOOKUP(B279,procv!$A$2:$D$142,4,FALSE)</f>
        <v>Médio Norte Araguaia</v>
      </c>
      <c r="D279" s="33" t="s">
        <v>143</v>
      </c>
      <c r="E279" s="17">
        <v>54</v>
      </c>
      <c r="F279" s="36">
        <f>IFERROR(E279/$AC279,0)</f>
        <v>1.8854748603351956E-2</v>
      </c>
      <c r="G279" s="17">
        <v>11</v>
      </c>
      <c r="H279" s="36">
        <f>IFERROR(G279/$AD279,0)</f>
        <v>4.0590405904059039E-2</v>
      </c>
      <c r="I279" s="17">
        <v>908</v>
      </c>
      <c r="J279" s="36">
        <f>IFERROR(I279/$AC279,0)</f>
        <v>0.31703910614525138</v>
      </c>
      <c r="K279" s="17">
        <v>90</v>
      </c>
      <c r="L279" s="36">
        <f>IFERROR(K279/$AD279,0)</f>
        <v>0.33210332103321033</v>
      </c>
      <c r="M279" s="16">
        <v>1026</v>
      </c>
      <c r="N279" s="36">
        <f>IFERROR(M279/$AC279,0)</f>
        <v>0.35824022346368717</v>
      </c>
      <c r="O279" s="17">
        <v>82</v>
      </c>
      <c r="P279" s="36">
        <f>IFERROR(O279/$AD279,0)</f>
        <v>0.30258302583025831</v>
      </c>
      <c r="Q279" s="17">
        <v>583</v>
      </c>
      <c r="R279" s="36">
        <f>IFERROR(Q279/$AC279,0)</f>
        <v>0.20356145251396648</v>
      </c>
      <c r="S279" s="17">
        <v>54</v>
      </c>
      <c r="T279" s="36">
        <f>IFERROR(S279/$AD279,0)</f>
        <v>0.19926199261992619</v>
      </c>
      <c r="U279" s="17">
        <v>200</v>
      </c>
      <c r="V279" s="36">
        <f>IFERROR(U279/$AC279,0)</f>
        <v>6.9832402234636867E-2</v>
      </c>
      <c r="W279" s="17">
        <v>22</v>
      </c>
      <c r="X279" s="36">
        <f>IFERROR(W279/$AD279,0)</f>
        <v>8.1180811808118078E-2</v>
      </c>
      <c r="Y279" s="17">
        <v>93</v>
      </c>
      <c r="Z279" s="36">
        <f>IFERROR(Y279/$AC279,0)</f>
        <v>3.2472067039106142E-2</v>
      </c>
      <c r="AA279" s="17">
        <v>12</v>
      </c>
      <c r="AB279" s="36">
        <f>IFERROR(AA279/$AD279,0)</f>
        <v>4.4280442804428041E-2</v>
      </c>
      <c r="AC279" s="16">
        <v>2864</v>
      </c>
      <c r="AD279" s="17">
        <v>271</v>
      </c>
    </row>
    <row r="280" spans="1:30" ht="15.75" customHeight="1" x14ac:dyDescent="0.25">
      <c r="A280" s="37">
        <v>2022</v>
      </c>
      <c r="B280" s="35">
        <v>170025</v>
      </c>
      <c r="C280" s="33" t="str">
        <f>VLOOKUP(B280,procv!$A$2:$D$142,4,FALSE)</f>
        <v>Cantão</v>
      </c>
      <c r="D280" s="33" t="s">
        <v>5</v>
      </c>
      <c r="E280" s="17">
        <v>19</v>
      </c>
      <c r="F280" s="36">
        <f>IFERROR(E280/$AC280,0)</f>
        <v>1.8446601941747572E-2</v>
      </c>
      <c r="G280" s="17">
        <v>3</v>
      </c>
      <c r="H280" s="36">
        <f>IFERROR(G280/$AD280,0)</f>
        <v>5.2631578947368418E-2</v>
      </c>
      <c r="I280" s="17">
        <v>352</v>
      </c>
      <c r="J280" s="36">
        <f>IFERROR(I280/$AC280,0)</f>
        <v>0.34174757281553397</v>
      </c>
      <c r="K280" s="17">
        <v>25</v>
      </c>
      <c r="L280" s="36">
        <f>IFERROR(K280/$AD280,0)</f>
        <v>0.43859649122807015</v>
      </c>
      <c r="M280" s="17">
        <v>369</v>
      </c>
      <c r="N280" s="36">
        <f>IFERROR(M280/$AC280,0)</f>
        <v>0.35825242718446604</v>
      </c>
      <c r="O280" s="17">
        <v>21</v>
      </c>
      <c r="P280" s="36">
        <f>IFERROR(O280/$AD280,0)</f>
        <v>0.36842105263157893</v>
      </c>
      <c r="Q280" s="17">
        <v>192</v>
      </c>
      <c r="R280" s="36">
        <f>IFERROR(Q280/$AC280,0)</f>
        <v>0.18640776699029127</v>
      </c>
      <c r="S280" s="17">
        <v>5</v>
      </c>
      <c r="T280" s="36">
        <f>IFERROR(S280/$AD280,0)</f>
        <v>8.771929824561403E-2</v>
      </c>
      <c r="U280" s="17">
        <v>73</v>
      </c>
      <c r="V280" s="36">
        <f>IFERROR(U280/$AC280,0)</f>
        <v>7.0873786407766995E-2</v>
      </c>
      <c r="W280" s="17">
        <v>2</v>
      </c>
      <c r="X280" s="36">
        <f>IFERROR(W280/$AD280,0)</f>
        <v>3.5087719298245612E-2</v>
      </c>
      <c r="Y280" s="17">
        <v>25</v>
      </c>
      <c r="Z280" s="36">
        <f>IFERROR(Y280/$AC280,0)</f>
        <v>2.4271844660194174E-2</v>
      </c>
      <c r="AA280" s="17">
        <v>1</v>
      </c>
      <c r="AB280" s="36">
        <f>IFERROR(AA280/$AD280,0)</f>
        <v>1.7543859649122806E-2</v>
      </c>
      <c r="AC280" s="16">
        <v>1030</v>
      </c>
      <c r="AD280" s="17">
        <v>57</v>
      </c>
    </row>
    <row r="281" spans="1:30" ht="15.75" customHeight="1" x14ac:dyDescent="0.25">
      <c r="A281" s="37">
        <v>2022</v>
      </c>
      <c r="B281" s="35">
        <v>170030</v>
      </c>
      <c r="C281" s="33" t="str">
        <f>VLOOKUP(B281,procv!$A$2:$D$142,4,FALSE)</f>
        <v>Bico do Papagaio</v>
      </c>
      <c r="D281" s="33" t="s">
        <v>6</v>
      </c>
      <c r="E281" s="17">
        <v>21</v>
      </c>
      <c r="F281" s="36">
        <f>IFERROR(E281/$AC281,0)</f>
        <v>3.0523255813953487E-2</v>
      </c>
      <c r="G281" s="17">
        <v>4</v>
      </c>
      <c r="H281" s="36">
        <f>IFERROR(G281/$AD281,0)</f>
        <v>3.2000000000000001E-2</v>
      </c>
      <c r="I281" s="17">
        <v>246</v>
      </c>
      <c r="J281" s="36">
        <f>IFERROR(I281/$AC281,0)</f>
        <v>0.35755813953488375</v>
      </c>
      <c r="K281" s="17">
        <v>45</v>
      </c>
      <c r="L281" s="36">
        <f>IFERROR(K281/$AD281,0)</f>
        <v>0.36</v>
      </c>
      <c r="M281" s="17">
        <v>237</v>
      </c>
      <c r="N281" s="36">
        <f>IFERROR(M281/$AC281,0)</f>
        <v>0.34447674418604651</v>
      </c>
      <c r="O281" s="17">
        <v>40</v>
      </c>
      <c r="P281" s="36">
        <f>IFERROR(O281/$AD281,0)</f>
        <v>0.32</v>
      </c>
      <c r="Q281" s="17">
        <v>136</v>
      </c>
      <c r="R281" s="36">
        <f>IFERROR(Q281/$AC281,0)</f>
        <v>0.19767441860465115</v>
      </c>
      <c r="S281" s="17">
        <v>26</v>
      </c>
      <c r="T281" s="36">
        <f>IFERROR(S281/$AD281,0)</f>
        <v>0.20799999999999999</v>
      </c>
      <c r="U281" s="17">
        <v>28</v>
      </c>
      <c r="V281" s="36">
        <f>IFERROR(U281/$AC281,0)</f>
        <v>4.0697674418604654E-2</v>
      </c>
      <c r="W281" s="17">
        <v>7</v>
      </c>
      <c r="X281" s="36">
        <f>IFERROR(W281/$AD281,0)</f>
        <v>5.6000000000000001E-2</v>
      </c>
      <c r="Y281" s="17">
        <v>20</v>
      </c>
      <c r="Z281" s="36">
        <f>IFERROR(Y281/$AC281,0)</f>
        <v>2.9069767441860465E-2</v>
      </c>
      <c r="AA281" s="17">
        <v>3</v>
      </c>
      <c r="AB281" s="36">
        <f>IFERROR(AA281/$AD281,0)</f>
        <v>2.4E-2</v>
      </c>
      <c r="AC281" s="17">
        <v>688</v>
      </c>
      <c r="AD281" s="17">
        <v>125</v>
      </c>
    </row>
    <row r="282" spans="1:30" ht="15.75" customHeight="1" x14ac:dyDescent="0.25">
      <c r="A282" s="37">
        <v>2022</v>
      </c>
      <c r="B282" s="35">
        <v>170035</v>
      </c>
      <c r="C282" s="33" t="str">
        <f>VLOOKUP(B282,procv!$A$2:$D$142,4,FALSE)</f>
        <v>Ilha do Bananal</v>
      </c>
      <c r="D282" s="33" t="s">
        <v>7</v>
      </c>
      <c r="E282" s="17">
        <v>33</v>
      </c>
      <c r="F282" s="36">
        <f>IFERROR(E282/$AC282,0)</f>
        <v>2.3826714801444042E-2</v>
      </c>
      <c r="G282" s="17">
        <v>8</v>
      </c>
      <c r="H282" s="36">
        <f>IFERROR(G282/$AD282,0)</f>
        <v>6.1538461538461542E-2</v>
      </c>
      <c r="I282" s="17">
        <v>436</v>
      </c>
      <c r="J282" s="36">
        <f>IFERROR(I282/$AC282,0)</f>
        <v>0.31480144404332128</v>
      </c>
      <c r="K282" s="17">
        <v>48</v>
      </c>
      <c r="L282" s="36">
        <f>IFERROR(K282/$AD282,0)</f>
        <v>0.36923076923076925</v>
      </c>
      <c r="M282" s="17">
        <v>490</v>
      </c>
      <c r="N282" s="36">
        <f>IFERROR(M282/$AC282,0)</f>
        <v>0.35379061371841153</v>
      </c>
      <c r="O282" s="17">
        <v>42</v>
      </c>
      <c r="P282" s="36">
        <f>IFERROR(O282/$AD282,0)</f>
        <v>0.32307692307692309</v>
      </c>
      <c r="Q282" s="17">
        <v>279</v>
      </c>
      <c r="R282" s="36">
        <f>IFERROR(Q282/$AC282,0)</f>
        <v>0.20144404332129964</v>
      </c>
      <c r="S282" s="17">
        <v>23</v>
      </c>
      <c r="T282" s="36">
        <f>IFERROR(S282/$AD282,0)</f>
        <v>0.17692307692307693</v>
      </c>
      <c r="U282" s="17">
        <v>111</v>
      </c>
      <c r="V282" s="36">
        <f>IFERROR(U282/$AC282,0)</f>
        <v>8.0144404332129965E-2</v>
      </c>
      <c r="W282" s="17">
        <v>4</v>
      </c>
      <c r="X282" s="36">
        <f>IFERROR(W282/$AD282,0)</f>
        <v>3.0769230769230771E-2</v>
      </c>
      <c r="Y282" s="17">
        <v>36</v>
      </c>
      <c r="Z282" s="36">
        <f>IFERROR(Y282/$AC282,0)</f>
        <v>2.5992779783393503E-2</v>
      </c>
      <c r="AA282" s="17">
        <v>5</v>
      </c>
      <c r="AB282" s="36">
        <f>IFERROR(AA282/$AD282,0)</f>
        <v>3.8461538461538464E-2</v>
      </c>
      <c r="AC282" s="16">
        <v>1385</v>
      </c>
      <c r="AD282" s="17">
        <v>130</v>
      </c>
    </row>
    <row r="283" spans="1:30" ht="15.75" customHeight="1" x14ac:dyDescent="0.25">
      <c r="A283" s="37">
        <v>2022</v>
      </c>
      <c r="B283" s="35">
        <v>170040</v>
      </c>
      <c r="C283" s="33" t="str">
        <f>VLOOKUP(B283,procv!$A$2:$D$142,4,FALSE)</f>
        <v>Sudeste</v>
      </c>
      <c r="D283" s="33" t="s">
        <v>8</v>
      </c>
      <c r="E283" s="17">
        <v>26</v>
      </c>
      <c r="F283" s="36">
        <f>IFERROR(E283/$AC283,0)</f>
        <v>1.4533258803801007E-2</v>
      </c>
      <c r="G283" s="17">
        <v>5</v>
      </c>
      <c r="H283" s="36">
        <f>IFERROR(G283/$AD283,0)</f>
        <v>2.4875621890547265E-2</v>
      </c>
      <c r="I283" s="17">
        <v>638</v>
      </c>
      <c r="J283" s="36">
        <f>IFERROR(I283/$AC283,0)</f>
        <v>0.35662381218557854</v>
      </c>
      <c r="K283" s="17">
        <v>76</v>
      </c>
      <c r="L283" s="36">
        <f>IFERROR(K283/$AD283,0)</f>
        <v>0.37810945273631841</v>
      </c>
      <c r="M283" s="17">
        <v>605</v>
      </c>
      <c r="N283" s="36">
        <f>IFERROR(M283/$AC283,0)</f>
        <v>0.33817775293460034</v>
      </c>
      <c r="O283" s="17">
        <v>69</v>
      </c>
      <c r="P283" s="36">
        <f>IFERROR(O283/$AD283,0)</f>
        <v>0.34328358208955223</v>
      </c>
      <c r="Q283" s="17">
        <v>364</v>
      </c>
      <c r="R283" s="36">
        <f>IFERROR(Q283/$AC283,0)</f>
        <v>0.20346562325321407</v>
      </c>
      <c r="S283" s="17">
        <v>35</v>
      </c>
      <c r="T283" s="36">
        <f>IFERROR(S283/$AD283,0)</f>
        <v>0.17412935323383086</v>
      </c>
      <c r="U283" s="17">
        <v>119</v>
      </c>
      <c r="V283" s="36">
        <f>IFERROR(U283/$AC283,0)</f>
        <v>6.6517607602012294E-2</v>
      </c>
      <c r="W283" s="17">
        <v>9</v>
      </c>
      <c r="X283" s="36">
        <f>IFERROR(W283/$AD283,0)</f>
        <v>4.4776119402985072E-2</v>
      </c>
      <c r="Y283" s="17">
        <v>37</v>
      </c>
      <c r="Z283" s="36">
        <f>IFERROR(Y283/$AC283,0)</f>
        <v>2.0681945220793741E-2</v>
      </c>
      <c r="AA283" s="17">
        <v>7</v>
      </c>
      <c r="AB283" s="36">
        <f>IFERROR(AA283/$AD283,0)</f>
        <v>3.482587064676617E-2</v>
      </c>
      <c r="AC283" s="16">
        <v>1789</v>
      </c>
      <c r="AD283" s="17">
        <v>201</v>
      </c>
    </row>
    <row r="284" spans="1:30" ht="15.75" customHeight="1" x14ac:dyDescent="0.25">
      <c r="A284" s="37">
        <v>2022</v>
      </c>
      <c r="B284" s="35">
        <v>170070</v>
      </c>
      <c r="C284" s="33" t="str">
        <f>VLOOKUP(B284,procv!$A$2:$D$142,4,FALSE)</f>
        <v>Ilha do Bananal</v>
      </c>
      <c r="D284" s="33" t="s">
        <v>9</v>
      </c>
      <c r="E284" s="17">
        <v>50</v>
      </c>
      <c r="F284" s="36">
        <f>IFERROR(E284/$AC284,0)</f>
        <v>1.9179133103183737E-2</v>
      </c>
      <c r="G284" s="17">
        <v>8</v>
      </c>
      <c r="H284" s="36">
        <f>IFERROR(G284/$AD284,0)</f>
        <v>1.7738359201773836E-2</v>
      </c>
      <c r="I284" s="17">
        <v>794</v>
      </c>
      <c r="J284" s="36">
        <f>IFERROR(I284/$AC284,0)</f>
        <v>0.30456463367855774</v>
      </c>
      <c r="K284" s="17">
        <v>134</v>
      </c>
      <c r="L284" s="36">
        <f>IFERROR(K284/$AD284,0)</f>
        <v>0.29711751662971175</v>
      </c>
      <c r="M284" s="16">
        <v>1006</v>
      </c>
      <c r="N284" s="36">
        <f>IFERROR(M284/$AC284,0)</f>
        <v>0.38588415803605675</v>
      </c>
      <c r="O284" s="17">
        <v>183</v>
      </c>
      <c r="P284" s="36">
        <f>IFERROR(O284/$AD284,0)</f>
        <v>0.40576496674057649</v>
      </c>
      <c r="Q284" s="17">
        <v>499</v>
      </c>
      <c r="R284" s="36">
        <f>IFERROR(Q284/$AC284,0)</f>
        <v>0.19140774836977367</v>
      </c>
      <c r="S284" s="17">
        <v>91</v>
      </c>
      <c r="T284" s="36">
        <f>IFERROR(S284/$AD284,0)</f>
        <v>0.20177383592017739</v>
      </c>
      <c r="U284" s="17">
        <v>186</v>
      </c>
      <c r="V284" s="36">
        <f>IFERROR(U284/$AC284,0)</f>
        <v>7.1346375143843496E-2</v>
      </c>
      <c r="W284" s="17">
        <v>23</v>
      </c>
      <c r="X284" s="36">
        <f>IFERROR(W284/$AD284,0)</f>
        <v>5.0997782705099776E-2</v>
      </c>
      <c r="Y284" s="17">
        <v>72</v>
      </c>
      <c r="Z284" s="36">
        <f>IFERROR(Y284/$AC284,0)</f>
        <v>2.7617951668584578E-2</v>
      </c>
      <c r="AA284" s="17">
        <v>12</v>
      </c>
      <c r="AB284" s="36">
        <f>IFERROR(AA284/$AD284,0)</f>
        <v>2.6607538802660754E-2</v>
      </c>
      <c r="AC284" s="16">
        <v>2607</v>
      </c>
      <c r="AD284" s="17">
        <v>451</v>
      </c>
    </row>
    <row r="285" spans="1:30" ht="15.75" customHeight="1" x14ac:dyDescent="0.25">
      <c r="A285" s="37">
        <v>2022</v>
      </c>
      <c r="B285" s="35">
        <v>170100</v>
      </c>
      <c r="C285" s="33" t="str">
        <f>VLOOKUP(B285,procv!$A$2:$D$142,4,FALSE)</f>
        <v>Bico do Papagaio</v>
      </c>
      <c r="D285" s="33" t="s">
        <v>10</v>
      </c>
      <c r="E285" s="17">
        <v>37</v>
      </c>
      <c r="F285" s="36">
        <f>IFERROR(E285/$AC285,0)</f>
        <v>2.1739130434782608E-2</v>
      </c>
      <c r="G285" s="17">
        <v>21</v>
      </c>
      <c r="H285" s="36">
        <f>IFERROR(G285/$AD285,0)</f>
        <v>3.8321167883211681E-2</v>
      </c>
      <c r="I285" s="17">
        <v>565</v>
      </c>
      <c r="J285" s="36">
        <f>IFERROR(I285/$AC285,0)</f>
        <v>0.33196239717978848</v>
      </c>
      <c r="K285" s="17">
        <v>199</v>
      </c>
      <c r="L285" s="36">
        <f>IFERROR(K285/$AD285,0)</f>
        <v>0.36313868613138683</v>
      </c>
      <c r="M285" s="17">
        <v>604</v>
      </c>
      <c r="N285" s="36">
        <f>IFERROR(M285/$AC285,0)</f>
        <v>0.35487661574618096</v>
      </c>
      <c r="O285" s="17">
        <v>181</v>
      </c>
      <c r="P285" s="36">
        <f>IFERROR(O285/$AD285,0)</f>
        <v>0.33029197080291972</v>
      </c>
      <c r="Q285" s="17">
        <v>332</v>
      </c>
      <c r="R285" s="36">
        <f>IFERROR(Q285/$AC285,0)</f>
        <v>0.19506462984723855</v>
      </c>
      <c r="S285" s="17">
        <v>108</v>
      </c>
      <c r="T285" s="36">
        <f>IFERROR(S285/$AD285,0)</f>
        <v>0.19708029197080293</v>
      </c>
      <c r="U285" s="17">
        <v>116</v>
      </c>
      <c r="V285" s="36">
        <f>IFERROR(U285/$AC285,0)</f>
        <v>6.8155111633372498E-2</v>
      </c>
      <c r="W285" s="17">
        <v>31</v>
      </c>
      <c r="X285" s="36">
        <f>IFERROR(W285/$AD285,0)</f>
        <v>5.6569343065693431E-2</v>
      </c>
      <c r="Y285" s="17">
        <v>48</v>
      </c>
      <c r="Z285" s="36">
        <f>IFERROR(Y285/$AC285,0)</f>
        <v>2.8202115158636899E-2</v>
      </c>
      <c r="AA285" s="17">
        <v>8</v>
      </c>
      <c r="AB285" s="36">
        <f>IFERROR(AA285/$AD285,0)</f>
        <v>1.4598540145985401E-2</v>
      </c>
      <c r="AC285" s="16">
        <v>1702</v>
      </c>
      <c r="AD285" s="17">
        <v>548</v>
      </c>
    </row>
    <row r="286" spans="1:30" ht="15.75" customHeight="1" x14ac:dyDescent="0.25">
      <c r="A286" s="37">
        <v>2022</v>
      </c>
      <c r="B286" s="35">
        <v>170105</v>
      </c>
      <c r="C286" s="33" t="str">
        <f>VLOOKUP(B286,procv!$A$2:$D$142,4,FALSE)</f>
        <v>Bico do Papagaio</v>
      </c>
      <c r="D286" s="33" t="s">
        <v>11</v>
      </c>
      <c r="E286" s="17">
        <v>22</v>
      </c>
      <c r="F286" s="36">
        <f>IFERROR(E286/$AC286,0)</f>
        <v>2.4149286498353458E-2</v>
      </c>
      <c r="G286" s="17">
        <v>4</v>
      </c>
      <c r="H286" s="36">
        <f>IFERROR(G286/$AD286,0)</f>
        <v>2.6845637583892617E-2</v>
      </c>
      <c r="I286" s="17">
        <v>346</v>
      </c>
      <c r="J286" s="36">
        <f>IFERROR(I286/$AC286,0)</f>
        <v>0.37980241492864986</v>
      </c>
      <c r="K286" s="17">
        <v>64</v>
      </c>
      <c r="L286" s="36">
        <f>IFERROR(K286/$AD286,0)</f>
        <v>0.42953020134228187</v>
      </c>
      <c r="M286" s="17">
        <v>340</v>
      </c>
      <c r="N286" s="36">
        <f>IFERROR(M286/$AC286,0)</f>
        <v>0.37321624588364433</v>
      </c>
      <c r="O286" s="17">
        <v>45</v>
      </c>
      <c r="P286" s="36">
        <f>IFERROR(O286/$AD286,0)</f>
        <v>0.30201342281879195</v>
      </c>
      <c r="Q286" s="17">
        <v>148</v>
      </c>
      <c r="R286" s="36">
        <f>IFERROR(Q286/$AC286,0)</f>
        <v>0.16245883644346873</v>
      </c>
      <c r="S286" s="17">
        <v>30</v>
      </c>
      <c r="T286" s="36">
        <f>IFERROR(S286/$AD286,0)</f>
        <v>0.20134228187919462</v>
      </c>
      <c r="U286" s="17">
        <v>39</v>
      </c>
      <c r="V286" s="36">
        <f>IFERROR(U286/$AC286,0)</f>
        <v>4.2810098792535674E-2</v>
      </c>
      <c r="W286" s="17">
        <v>4</v>
      </c>
      <c r="X286" s="36">
        <f>IFERROR(W286/$AD286,0)</f>
        <v>2.6845637583892617E-2</v>
      </c>
      <c r="Y286" s="17">
        <v>16</v>
      </c>
      <c r="Z286" s="36">
        <f>IFERROR(Y286/$AC286,0)</f>
        <v>1.756311745334797E-2</v>
      </c>
      <c r="AA286" s="17">
        <v>2</v>
      </c>
      <c r="AB286" s="36">
        <f>IFERROR(AA286/$AD286,0)</f>
        <v>1.3422818791946308E-2</v>
      </c>
      <c r="AC286" s="17">
        <v>911</v>
      </c>
      <c r="AD286" s="17">
        <v>149</v>
      </c>
    </row>
    <row r="287" spans="1:30" ht="15.75" customHeight="1" x14ac:dyDescent="0.25">
      <c r="A287" s="37">
        <v>2022</v>
      </c>
      <c r="B287" s="35">
        <v>170110</v>
      </c>
      <c r="C287" s="33" t="str">
        <f>VLOOKUP(B287,procv!$A$2:$D$142,4,FALSE)</f>
        <v>Capim Dourado</v>
      </c>
      <c r="D287" s="33" t="s">
        <v>12</v>
      </c>
      <c r="E287" s="17">
        <v>35</v>
      </c>
      <c r="F287" s="36">
        <f>IFERROR(E287/$AC287,0)</f>
        <v>2.3600809170600135E-2</v>
      </c>
      <c r="G287" s="17">
        <v>3</v>
      </c>
      <c r="H287" s="36">
        <f>IFERROR(G287/$AD287,0)</f>
        <v>2.6315789473684209E-2</v>
      </c>
      <c r="I287" s="17">
        <v>529</v>
      </c>
      <c r="J287" s="36">
        <f>IFERROR(I287/$AC287,0)</f>
        <v>0.35670937289278487</v>
      </c>
      <c r="K287" s="17">
        <v>43</v>
      </c>
      <c r="L287" s="36">
        <f>IFERROR(K287/$AD287,0)</f>
        <v>0.37719298245614036</v>
      </c>
      <c r="M287" s="17">
        <v>494</v>
      </c>
      <c r="N287" s="36">
        <f>IFERROR(M287/$AC287,0)</f>
        <v>0.33310856372218478</v>
      </c>
      <c r="O287" s="17">
        <v>39</v>
      </c>
      <c r="P287" s="36">
        <f>IFERROR(O287/$AD287,0)</f>
        <v>0.34210526315789475</v>
      </c>
      <c r="Q287" s="17">
        <v>279</v>
      </c>
      <c r="R287" s="36">
        <f>IFERROR(Q287/$AC287,0)</f>
        <v>0.18813216453135537</v>
      </c>
      <c r="S287" s="17">
        <v>21</v>
      </c>
      <c r="T287" s="36">
        <f>IFERROR(S287/$AD287,0)</f>
        <v>0.18421052631578946</v>
      </c>
      <c r="U287" s="17">
        <v>98</v>
      </c>
      <c r="V287" s="36">
        <f>IFERROR(U287/$AC287,0)</f>
        <v>6.6082265677680371E-2</v>
      </c>
      <c r="W287" s="17">
        <v>8</v>
      </c>
      <c r="X287" s="36">
        <f>IFERROR(W287/$AD287,0)</f>
        <v>7.0175438596491224E-2</v>
      </c>
      <c r="Y287" s="17">
        <v>48</v>
      </c>
      <c r="Z287" s="36">
        <f>IFERROR(Y287/$AC287,0)</f>
        <v>3.2366824005394472E-2</v>
      </c>
      <c r="AA287" s="17">
        <v>0</v>
      </c>
      <c r="AB287" s="36">
        <f>IFERROR(AA287/$AD287,0)</f>
        <v>0</v>
      </c>
      <c r="AC287" s="16">
        <v>1483</v>
      </c>
      <c r="AD287" s="17">
        <v>114</v>
      </c>
    </row>
    <row r="288" spans="1:30" ht="15.75" customHeight="1" x14ac:dyDescent="0.25">
      <c r="A288" s="37">
        <v>2022</v>
      </c>
      <c r="B288" s="35">
        <v>170130</v>
      </c>
      <c r="C288" s="33" t="str">
        <f>VLOOKUP(B288,procv!$A$2:$D$142,4,FALSE)</f>
        <v>Médio Norte Araguaia</v>
      </c>
      <c r="D288" s="33" t="s">
        <v>13</v>
      </c>
      <c r="E288" s="17">
        <v>39</v>
      </c>
      <c r="F288" s="36">
        <f>IFERROR(E288/$AC288,0)</f>
        <v>2.5308241401687217E-2</v>
      </c>
      <c r="G288" s="17">
        <v>6</v>
      </c>
      <c r="H288" s="36">
        <f>IFERROR(G288/$AD288,0)</f>
        <v>3.4482758620689655E-2</v>
      </c>
      <c r="I288" s="17">
        <v>556</v>
      </c>
      <c r="J288" s="36">
        <f>IFERROR(I288/$AC288,0)</f>
        <v>0.36080467229072033</v>
      </c>
      <c r="K288" s="17">
        <v>69</v>
      </c>
      <c r="L288" s="36">
        <f>IFERROR(K288/$AD288,0)</f>
        <v>0.39655172413793105</v>
      </c>
      <c r="M288" s="17">
        <v>537</v>
      </c>
      <c r="N288" s="36">
        <f>IFERROR(M288/$AC288,0)</f>
        <v>0.34847501622323168</v>
      </c>
      <c r="O288" s="17">
        <v>58</v>
      </c>
      <c r="P288" s="36">
        <f>IFERROR(O288/$AD288,0)</f>
        <v>0.33333333333333331</v>
      </c>
      <c r="Q288" s="17">
        <v>276</v>
      </c>
      <c r="R288" s="36">
        <f>IFERROR(Q288/$AC288,0)</f>
        <v>0.17910447761194029</v>
      </c>
      <c r="S288" s="17">
        <v>26</v>
      </c>
      <c r="T288" s="36">
        <f>IFERROR(S288/$AD288,0)</f>
        <v>0.14942528735632185</v>
      </c>
      <c r="U288" s="17">
        <v>94</v>
      </c>
      <c r="V288" s="36">
        <f>IFERROR(U288/$AC288,0)</f>
        <v>6.0999351070733288E-2</v>
      </c>
      <c r="W288" s="17">
        <v>10</v>
      </c>
      <c r="X288" s="36">
        <f>IFERROR(W288/$AD288,0)</f>
        <v>5.7471264367816091E-2</v>
      </c>
      <c r="Y288" s="17">
        <v>39</v>
      </c>
      <c r="Z288" s="36">
        <f>IFERROR(Y288/$AC288,0)</f>
        <v>2.5308241401687217E-2</v>
      </c>
      <c r="AA288" s="17">
        <v>5</v>
      </c>
      <c r="AB288" s="36">
        <f>IFERROR(AA288/$AD288,0)</f>
        <v>2.8735632183908046E-2</v>
      </c>
      <c r="AC288" s="16">
        <v>1541</v>
      </c>
      <c r="AD288" s="17">
        <v>174</v>
      </c>
    </row>
    <row r="289" spans="1:30" ht="15.75" customHeight="1" x14ac:dyDescent="0.25">
      <c r="A289" s="37">
        <v>2022</v>
      </c>
      <c r="B289" s="35">
        <v>170190</v>
      </c>
      <c r="C289" s="33" t="str">
        <f>VLOOKUP(B289,procv!$A$2:$D$142,4,FALSE)</f>
        <v>Cantão</v>
      </c>
      <c r="D289" s="33" t="s">
        <v>14</v>
      </c>
      <c r="E289" s="17">
        <v>36</v>
      </c>
      <c r="F289" s="36">
        <f>IFERROR(E289/$AC289,0)</f>
        <v>2.0316027088036117E-2</v>
      </c>
      <c r="G289" s="17">
        <v>5</v>
      </c>
      <c r="H289" s="36">
        <f>IFERROR(G289/$AD289,0)</f>
        <v>2.2624434389140271E-2</v>
      </c>
      <c r="I289" s="17">
        <v>546</v>
      </c>
      <c r="J289" s="36">
        <f>IFERROR(I289/$AC289,0)</f>
        <v>0.30812641083521447</v>
      </c>
      <c r="K289" s="17">
        <v>83</v>
      </c>
      <c r="L289" s="36">
        <f>IFERROR(K289/$AD289,0)</f>
        <v>0.3755656108597285</v>
      </c>
      <c r="M289" s="17">
        <v>639</v>
      </c>
      <c r="N289" s="36">
        <f>IFERROR(M289/$AC289,0)</f>
        <v>0.3606094808126411</v>
      </c>
      <c r="O289" s="17">
        <v>56</v>
      </c>
      <c r="P289" s="36">
        <f>IFERROR(O289/$AD289,0)</f>
        <v>0.25339366515837103</v>
      </c>
      <c r="Q289" s="17">
        <v>350</v>
      </c>
      <c r="R289" s="36">
        <f>IFERROR(Q289/$AC289,0)</f>
        <v>0.19751693002257337</v>
      </c>
      <c r="S289" s="17">
        <v>43</v>
      </c>
      <c r="T289" s="36">
        <f>IFERROR(S289/$AD289,0)</f>
        <v>0.19457013574660634</v>
      </c>
      <c r="U289" s="17">
        <v>127</v>
      </c>
      <c r="V289" s="36">
        <f>IFERROR(U289/$AC289,0)</f>
        <v>7.1670428893905194E-2</v>
      </c>
      <c r="W289" s="17">
        <v>21</v>
      </c>
      <c r="X289" s="36">
        <f>IFERROR(W289/$AD289,0)</f>
        <v>9.5022624434389136E-2</v>
      </c>
      <c r="Y289" s="17">
        <v>74</v>
      </c>
      <c r="Z289" s="36">
        <f>IFERROR(Y289/$AC289,0)</f>
        <v>4.17607223476298E-2</v>
      </c>
      <c r="AA289" s="17">
        <v>13</v>
      </c>
      <c r="AB289" s="36">
        <f>IFERROR(AA289/$AD289,0)</f>
        <v>5.8823529411764705E-2</v>
      </c>
      <c r="AC289" s="16">
        <v>1772</v>
      </c>
      <c r="AD289" s="17">
        <v>221</v>
      </c>
    </row>
    <row r="290" spans="1:30" ht="15.75" customHeight="1" x14ac:dyDescent="0.25">
      <c r="A290" s="37">
        <v>2022</v>
      </c>
      <c r="B290" s="35">
        <v>170200</v>
      </c>
      <c r="C290" s="33" t="str">
        <f>VLOOKUP(B290,procv!$A$2:$D$142,4,FALSE)</f>
        <v>Ilha do Bananal</v>
      </c>
      <c r="D290" s="33" t="s">
        <v>15</v>
      </c>
      <c r="E290" s="17">
        <v>41</v>
      </c>
      <c r="F290" s="36">
        <f>IFERROR(E290/$AC290,0)</f>
        <v>2.0854526958290945E-2</v>
      </c>
      <c r="G290" s="17">
        <v>8</v>
      </c>
      <c r="H290" s="36">
        <f>IFERROR(G290/$AD290,0)</f>
        <v>4.878048780487805E-2</v>
      </c>
      <c r="I290" s="17">
        <v>610</v>
      </c>
      <c r="J290" s="36">
        <f>IFERROR(I290/$AC290,0)</f>
        <v>0.31027466937945064</v>
      </c>
      <c r="K290" s="17">
        <v>48</v>
      </c>
      <c r="L290" s="36">
        <f>IFERROR(K290/$AD290,0)</f>
        <v>0.29268292682926828</v>
      </c>
      <c r="M290" s="17">
        <v>692</v>
      </c>
      <c r="N290" s="36">
        <f>IFERROR(M290/$AC290,0)</f>
        <v>0.35198372329603256</v>
      </c>
      <c r="O290" s="17">
        <v>54</v>
      </c>
      <c r="P290" s="36">
        <f>IFERROR(O290/$AD290,0)</f>
        <v>0.32926829268292684</v>
      </c>
      <c r="Q290" s="17">
        <v>389</v>
      </c>
      <c r="R290" s="36">
        <f>IFERROR(Q290/$AC290,0)</f>
        <v>0.19786368260427264</v>
      </c>
      <c r="S290" s="17">
        <v>29</v>
      </c>
      <c r="T290" s="36">
        <f>IFERROR(S290/$AD290,0)</f>
        <v>0.17682926829268292</v>
      </c>
      <c r="U290" s="17">
        <v>151</v>
      </c>
      <c r="V290" s="36">
        <f>IFERROR(U290/$AC290,0)</f>
        <v>7.6805696846388605E-2</v>
      </c>
      <c r="W290" s="17">
        <v>14</v>
      </c>
      <c r="X290" s="36">
        <f>IFERROR(W290/$AD290,0)</f>
        <v>8.5365853658536592E-2</v>
      </c>
      <c r="Y290" s="17">
        <v>83</v>
      </c>
      <c r="Z290" s="36">
        <f>IFERROR(Y290/$AC290,0)</f>
        <v>4.22177009155646E-2</v>
      </c>
      <c r="AA290" s="17">
        <v>11</v>
      </c>
      <c r="AB290" s="36">
        <f>IFERROR(AA290/$AD290,0)</f>
        <v>6.7073170731707321E-2</v>
      </c>
      <c r="AC290" s="16">
        <v>1966</v>
      </c>
      <c r="AD290" s="17">
        <v>164</v>
      </c>
    </row>
    <row r="291" spans="1:30" ht="15.75" customHeight="1" x14ac:dyDescent="0.25">
      <c r="A291" s="37">
        <v>2022</v>
      </c>
      <c r="B291" s="35">
        <v>170210</v>
      </c>
      <c r="C291" s="33" t="str">
        <f>VLOOKUP(B291,procv!$A$2:$D$142,4,FALSE)</f>
        <v>Médio Norte Araguaia</v>
      </c>
      <c r="D291" s="33" t="s">
        <v>16</v>
      </c>
      <c r="E291" s="17">
        <v>682</v>
      </c>
      <c r="F291" s="36">
        <f>IFERROR(E291/$AC291,0)</f>
        <v>2.2561863173216887E-2</v>
      </c>
      <c r="G291" s="17">
        <v>72</v>
      </c>
      <c r="H291" s="36">
        <f>IFERROR(G291/$AD291,0)</f>
        <v>1.2954300107952501E-2</v>
      </c>
      <c r="I291" s="16">
        <v>10266</v>
      </c>
      <c r="J291" s="36">
        <f>IFERROR(I291/$AC291,0)</f>
        <v>0.33961889638745535</v>
      </c>
      <c r="K291" s="16">
        <v>2096</v>
      </c>
      <c r="L291" s="36">
        <f>IFERROR(K291/$AD291,0)</f>
        <v>0.37711406980928391</v>
      </c>
      <c r="M291" s="16">
        <v>10564</v>
      </c>
      <c r="N291" s="36">
        <f>IFERROR(M291/$AC291,0)</f>
        <v>0.34947730580918351</v>
      </c>
      <c r="O291" s="16">
        <v>1920</v>
      </c>
      <c r="P291" s="36">
        <f>IFERROR(O291/$AD291,0)</f>
        <v>0.34544800287873334</v>
      </c>
      <c r="Q291" s="16">
        <v>5984</v>
      </c>
      <c r="R291" s="36">
        <f>IFERROR(Q291/$AC291,0)</f>
        <v>0.19796215429403202</v>
      </c>
      <c r="S291" s="16">
        <v>1216</v>
      </c>
      <c r="T291" s="36">
        <f>IFERROR(S291/$AD291,0)</f>
        <v>0.21878373515653113</v>
      </c>
      <c r="U291" s="16">
        <v>1875</v>
      </c>
      <c r="V291" s="36">
        <f>IFERROR(U291/$AC291,0)</f>
        <v>6.2028582770940852E-2</v>
      </c>
      <c r="W291" s="17">
        <v>183</v>
      </c>
      <c r="X291" s="36">
        <f>IFERROR(W291/$AD291,0)</f>
        <v>3.2925512774379273E-2</v>
      </c>
      <c r="Y291" s="17">
        <v>857</v>
      </c>
      <c r="Z291" s="36">
        <f>IFERROR(Y291/$AC291,0)</f>
        <v>2.8351197565171363E-2</v>
      </c>
      <c r="AA291" s="17">
        <v>71</v>
      </c>
      <c r="AB291" s="36">
        <f>IFERROR(AA291/$AD291,0)</f>
        <v>1.2774379273119828E-2</v>
      </c>
      <c r="AC291" s="16">
        <v>30228</v>
      </c>
      <c r="AD291" s="16">
        <v>5558</v>
      </c>
    </row>
    <row r="292" spans="1:30" ht="15.75" customHeight="1" x14ac:dyDescent="0.25">
      <c r="A292" s="37">
        <v>2022</v>
      </c>
      <c r="B292" s="35">
        <v>170215</v>
      </c>
      <c r="C292" s="33" t="str">
        <f>VLOOKUP(B292,procv!$A$2:$D$142,4,FALSE)</f>
        <v>Médio Norte Araguaia</v>
      </c>
      <c r="D292" s="33" t="s">
        <v>17</v>
      </c>
      <c r="E292" s="17">
        <v>19</v>
      </c>
      <c r="F292" s="36">
        <f>IFERROR(E292/$AC292,0)</f>
        <v>1.9648397104446741E-2</v>
      </c>
      <c r="G292" s="17">
        <v>7</v>
      </c>
      <c r="H292" s="36">
        <f>IFERROR(G292/$AD292,0)</f>
        <v>5.9829059829059832E-2</v>
      </c>
      <c r="I292" s="17">
        <v>341</v>
      </c>
      <c r="J292" s="36">
        <f>IFERROR(I292/$AC292,0)</f>
        <v>0.35263702171664946</v>
      </c>
      <c r="K292" s="17">
        <v>42</v>
      </c>
      <c r="L292" s="36">
        <f>IFERROR(K292/$AD292,0)</f>
        <v>0.35897435897435898</v>
      </c>
      <c r="M292" s="17">
        <v>311</v>
      </c>
      <c r="N292" s="36">
        <f>IFERROR(M292/$AC292,0)</f>
        <v>0.3216132368148914</v>
      </c>
      <c r="O292" s="17">
        <v>26</v>
      </c>
      <c r="P292" s="36">
        <f>IFERROR(O292/$AD292,0)</f>
        <v>0.22222222222222221</v>
      </c>
      <c r="Q292" s="17">
        <v>192</v>
      </c>
      <c r="R292" s="36">
        <f>IFERROR(Q292/$AC292,0)</f>
        <v>0.19855222337125128</v>
      </c>
      <c r="S292" s="17">
        <v>33</v>
      </c>
      <c r="T292" s="36">
        <f>IFERROR(S292/$AD292,0)</f>
        <v>0.28205128205128205</v>
      </c>
      <c r="U292" s="17">
        <v>69</v>
      </c>
      <c r="V292" s="36">
        <f>IFERROR(U292/$AC292,0)</f>
        <v>7.1354705274043431E-2</v>
      </c>
      <c r="W292" s="17">
        <v>3</v>
      </c>
      <c r="X292" s="36">
        <f>IFERROR(W292/$AD292,0)</f>
        <v>2.564102564102564E-2</v>
      </c>
      <c r="Y292" s="17">
        <v>35</v>
      </c>
      <c r="Z292" s="36">
        <f>IFERROR(Y292/$AC292,0)</f>
        <v>3.6194415718717683E-2</v>
      </c>
      <c r="AA292" s="17">
        <v>6</v>
      </c>
      <c r="AB292" s="36">
        <f>IFERROR(AA292/$AD292,0)</f>
        <v>5.128205128205128E-2</v>
      </c>
      <c r="AC292" s="17">
        <v>967</v>
      </c>
      <c r="AD292" s="17">
        <v>117</v>
      </c>
    </row>
    <row r="293" spans="1:30" ht="15.75" customHeight="1" x14ac:dyDescent="0.25">
      <c r="A293" s="37">
        <v>2022</v>
      </c>
      <c r="B293" s="35">
        <v>170220</v>
      </c>
      <c r="C293" s="33" t="str">
        <f>VLOOKUP(B293,procv!$A$2:$D$142,4,FALSE)</f>
        <v>Bico do Papagaio</v>
      </c>
      <c r="D293" s="33" t="s">
        <v>18</v>
      </c>
      <c r="E293" s="17">
        <v>242</v>
      </c>
      <c r="F293" s="36">
        <f>IFERROR(E293/$AC293,0)</f>
        <v>3.05825856186023E-2</v>
      </c>
      <c r="G293" s="17">
        <v>39</v>
      </c>
      <c r="H293" s="36">
        <f>IFERROR(G293/$AD293,0)</f>
        <v>3.3533963886500429E-2</v>
      </c>
      <c r="I293" s="16">
        <v>3297</v>
      </c>
      <c r="J293" s="36">
        <f>IFERROR(I293/$AC293,0)</f>
        <v>0.41665613547327185</v>
      </c>
      <c r="K293" s="17">
        <v>508</v>
      </c>
      <c r="L293" s="36">
        <f>IFERROR(K293/$AD293,0)</f>
        <v>0.43680137575236455</v>
      </c>
      <c r="M293" s="16">
        <v>2687</v>
      </c>
      <c r="N293" s="36">
        <f>IFERROR(M293/$AC293,0)</f>
        <v>0.33956779982307594</v>
      </c>
      <c r="O293" s="17">
        <v>344</v>
      </c>
      <c r="P293" s="36">
        <f>IFERROR(O293/$AD293,0)</f>
        <v>0.29578675838349094</v>
      </c>
      <c r="Q293" s="16">
        <v>1239</v>
      </c>
      <c r="R293" s="36">
        <f>IFERROR(Q293/$AC293,0)</f>
        <v>0.15657778339441425</v>
      </c>
      <c r="S293" s="17">
        <v>194</v>
      </c>
      <c r="T293" s="36">
        <f>IFERROR(S293/$AD293,0)</f>
        <v>0.16680997420464316</v>
      </c>
      <c r="U293" s="17">
        <v>318</v>
      </c>
      <c r="V293" s="36">
        <f>IFERROR(U293/$AC293,0)</f>
        <v>4.0187033994692277E-2</v>
      </c>
      <c r="W293" s="17">
        <v>61</v>
      </c>
      <c r="X293" s="36">
        <f>IFERROR(W293/$AD293,0)</f>
        <v>5.2450558899398106E-2</v>
      </c>
      <c r="Y293" s="17">
        <v>130</v>
      </c>
      <c r="Z293" s="36">
        <f>IFERROR(Y293/$AC293,0)</f>
        <v>1.6428661695943383E-2</v>
      </c>
      <c r="AA293" s="17">
        <v>17</v>
      </c>
      <c r="AB293" s="36">
        <f>IFERROR(AA293/$AD293,0)</f>
        <v>1.4617368873602751E-2</v>
      </c>
      <c r="AC293" s="16">
        <v>7913</v>
      </c>
      <c r="AD293" s="16">
        <v>1163</v>
      </c>
    </row>
    <row r="294" spans="1:30" ht="15.75" customHeight="1" x14ac:dyDescent="0.25">
      <c r="A294" s="37">
        <v>2022</v>
      </c>
      <c r="B294" s="35">
        <v>170230</v>
      </c>
      <c r="C294" s="33" t="str">
        <f>VLOOKUP(B294,procv!$A$2:$D$142,4,FALSE)</f>
        <v>Cerrado Tocantins Araguaia</v>
      </c>
      <c r="D294" s="33" t="s">
        <v>19</v>
      </c>
      <c r="E294" s="17">
        <v>14</v>
      </c>
      <c r="F294" s="36">
        <f>IFERROR(E294/$AC294,0)</f>
        <v>2.8747433264887063E-2</v>
      </c>
      <c r="G294" s="17">
        <v>9</v>
      </c>
      <c r="H294" s="36">
        <f>IFERROR(G294/$AD294,0)</f>
        <v>2.8753993610223641E-2</v>
      </c>
      <c r="I294" s="17">
        <v>151</v>
      </c>
      <c r="J294" s="36">
        <f>IFERROR(I294/$AC294,0)</f>
        <v>0.31006160164271046</v>
      </c>
      <c r="K294" s="17">
        <v>116</v>
      </c>
      <c r="L294" s="36">
        <f>IFERROR(K294/$AD294,0)</f>
        <v>0.37060702875399359</v>
      </c>
      <c r="M294" s="17">
        <v>166</v>
      </c>
      <c r="N294" s="36">
        <f>IFERROR(M294/$AC294,0)</f>
        <v>0.34086242299794661</v>
      </c>
      <c r="O294" s="17">
        <v>103</v>
      </c>
      <c r="P294" s="36">
        <f>IFERROR(O294/$AD294,0)</f>
        <v>0.32907348242811502</v>
      </c>
      <c r="Q294" s="17">
        <v>89</v>
      </c>
      <c r="R294" s="36">
        <f>IFERROR(Q294/$AC294,0)</f>
        <v>0.18275154004106775</v>
      </c>
      <c r="S294" s="17">
        <v>49</v>
      </c>
      <c r="T294" s="36">
        <f>IFERROR(S294/$AD294,0)</f>
        <v>0.15654952076677317</v>
      </c>
      <c r="U294" s="17">
        <v>49</v>
      </c>
      <c r="V294" s="36">
        <f>IFERROR(U294/$AC294,0)</f>
        <v>0.10061601642710473</v>
      </c>
      <c r="W294" s="17">
        <v>28</v>
      </c>
      <c r="X294" s="36">
        <f>IFERROR(W294/$AD294,0)</f>
        <v>8.9456869009584661E-2</v>
      </c>
      <c r="Y294" s="17">
        <v>18</v>
      </c>
      <c r="Z294" s="36">
        <f>IFERROR(Y294/$AC294,0)</f>
        <v>3.6960985626283367E-2</v>
      </c>
      <c r="AA294" s="17">
        <v>8</v>
      </c>
      <c r="AB294" s="36">
        <f>IFERROR(AA294/$AD294,0)</f>
        <v>2.5559105431309903E-2</v>
      </c>
      <c r="AC294" s="17">
        <v>487</v>
      </c>
      <c r="AD294" s="17">
        <v>313</v>
      </c>
    </row>
    <row r="295" spans="1:30" ht="15.75" customHeight="1" x14ac:dyDescent="0.25">
      <c r="A295" s="37">
        <v>2022</v>
      </c>
      <c r="B295" s="35">
        <v>170240</v>
      </c>
      <c r="C295" s="33" t="str">
        <f>VLOOKUP(B295,procv!$A$2:$D$142,4,FALSE)</f>
        <v>Sudeste</v>
      </c>
      <c r="D295" s="33" t="s">
        <v>20</v>
      </c>
      <c r="E295" s="17">
        <v>95</v>
      </c>
      <c r="F295" s="36">
        <f>IFERROR(E295/$AC295,0)</f>
        <v>3.5342261904761904E-2</v>
      </c>
      <c r="G295" s="17">
        <v>30</v>
      </c>
      <c r="H295" s="36">
        <f>IFERROR(G295/$AD295,0)</f>
        <v>8.0428954423592491E-2</v>
      </c>
      <c r="I295" s="16">
        <v>1027</v>
      </c>
      <c r="J295" s="36">
        <f>IFERROR(I295/$AC295,0)</f>
        <v>0.38206845238095238</v>
      </c>
      <c r="K295" s="17">
        <v>135</v>
      </c>
      <c r="L295" s="36">
        <f>IFERROR(K295/$AD295,0)</f>
        <v>0.36193029490616624</v>
      </c>
      <c r="M295" s="17">
        <v>970</v>
      </c>
      <c r="N295" s="36">
        <f>IFERROR(M295/$AC295,0)</f>
        <v>0.36086309523809523</v>
      </c>
      <c r="O295" s="17">
        <v>122</v>
      </c>
      <c r="P295" s="36">
        <f>IFERROR(O295/$AD295,0)</f>
        <v>0.32707774798927614</v>
      </c>
      <c r="Q295" s="17">
        <v>424</v>
      </c>
      <c r="R295" s="36">
        <f>IFERROR(Q295/$AC295,0)</f>
        <v>0.15773809523809523</v>
      </c>
      <c r="S295" s="17">
        <v>52</v>
      </c>
      <c r="T295" s="36">
        <f>IFERROR(S295/$AD295,0)</f>
        <v>0.13941018766756033</v>
      </c>
      <c r="U295" s="17">
        <v>135</v>
      </c>
      <c r="V295" s="36">
        <f>IFERROR(U295/$AC295,0)</f>
        <v>5.0223214285714288E-2</v>
      </c>
      <c r="W295" s="17">
        <v>23</v>
      </c>
      <c r="X295" s="36">
        <f>IFERROR(W295/$AD295,0)</f>
        <v>6.1662198391420911E-2</v>
      </c>
      <c r="Y295" s="17">
        <v>37</v>
      </c>
      <c r="Z295" s="36">
        <f>IFERROR(Y295/$AC295,0)</f>
        <v>1.3764880952380952E-2</v>
      </c>
      <c r="AA295" s="17">
        <v>11</v>
      </c>
      <c r="AB295" s="36">
        <f>IFERROR(AA295/$AD295,0)</f>
        <v>2.9490616621983913E-2</v>
      </c>
      <c r="AC295" s="16">
        <v>2688</v>
      </c>
      <c r="AD295" s="17">
        <v>373</v>
      </c>
    </row>
    <row r="296" spans="1:30" ht="15.75" customHeight="1" x14ac:dyDescent="0.25">
      <c r="A296" s="37">
        <v>2022</v>
      </c>
      <c r="B296" s="35">
        <v>170255</v>
      </c>
      <c r="C296" s="33" t="str">
        <f>VLOOKUP(B296,procv!$A$2:$D$142,4,FALSE)</f>
        <v>Bico do Papagaio</v>
      </c>
      <c r="D296" s="33" t="s">
        <v>21</v>
      </c>
      <c r="E296" s="17">
        <v>102</v>
      </c>
      <c r="F296" s="36">
        <f>IFERROR(E296/$AC296,0)</f>
        <v>2.6687598116169546E-2</v>
      </c>
      <c r="G296" s="17">
        <v>14</v>
      </c>
      <c r="H296" s="36">
        <f>IFERROR(G296/$AD296,0)</f>
        <v>3.5000000000000003E-2</v>
      </c>
      <c r="I296" s="16">
        <v>1456</v>
      </c>
      <c r="J296" s="36">
        <f>IFERROR(I296/$AC296,0)</f>
        <v>0.38095238095238093</v>
      </c>
      <c r="K296" s="17">
        <v>149</v>
      </c>
      <c r="L296" s="36">
        <f>IFERROR(K296/$AD296,0)</f>
        <v>0.3725</v>
      </c>
      <c r="M296" s="16">
        <v>1314</v>
      </c>
      <c r="N296" s="36">
        <f>IFERROR(M296/$AC296,0)</f>
        <v>0.34379905808477235</v>
      </c>
      <c r="O296" s="17">
        <v>137</v>
      </c>
      <c r="P296" s="36">
        <f>IFERROR(O296/$AD296,0)</f>
        <v>0.34250000000000003</v>
      </c>
      <c r="Q296" s="17">
        <v>640</v>
      </c>
      <c r="R296" s="36">
        <f>IFERROR(Q296/$AC296,0)</f>
        <v>0.16745159602302459</v>
      </c>
      <c r="S296" s="17">
        <v>57</v>
      </c>
      <c r="T296" s="36">
        <f>IFERROR(S296/$AD296,0)</f>
        <v>0.14249999999999999</v>
      </c>
      <c r="U296" s="17">
        <v>232</v>
      </c>
      <c r="V296" s="36">
        <f>IFERROR(U296/$AC296,0)</f>
        <v>6.0701203558346413E-2</v>
      </c>
      <c r="W296" s="17">
        <v>32</v>
      </c>
      <c r="X296" s="36">
        <f>IFERROR(W296/$AD296,0)</f>
        <v>0.08</v>
      </c>
      <c r="Y296" s="17">
        <v>78</v>
      </c>
      <c r="Z296" s="36">
        <f>IFERROR(Y296/$AC296,0)</f>
        <v>2.0408163265306121E-2</v>
      </c>
      <c r="AA296" s="17">
        <v>11</v>
      </c>
      <c r="AB296" s="36">
        <f>IFERROR(AA296/$AD296,0)</f>
        <v>2.75E-2</v>
      </c>
      <c r="AC296" s="16">
        <v>3822</v>
      </c>
      <c r="AD296" s="17">
        <v>400</v>
      </c>
    </row>
    <row r="297" spans="1:30" ht="15.75" customHeight="1" x14ac:dyDescent="0.25">
      <c r="A297" s="37">
        <v>2022</v>
      </c>
      <c r="B297" s="35">
        <v>170270</v>
      </c>
      <c r="C297" s="33" t="str">
        <f>VLOOKUP(B297,procv!$A$2:$D$142,4,FALSE)</f>
        <v>Sudeste</v>
      </c>
      <c r="D297" s="33" t="s">
        <v>22</v>
      </c>
      <c r="E297" s="17">
        <v>30</v>
      </c>
      <c r="F297" s="36">
        <f>IFERROR(E297/$AC297,0)</f>
        <v>2.4115755627009645E-2</v>
      </c>
      <c r="G297" s="17">
        <v>11</v>
      </c>
      <c r="H297" s="36">
        <f>IFERROR(G297/$AD297,0)</f>
        <v>4.0441176470588237E-2</v>
      </c>
      <c r="I297" s="17">
        <v>485</v>
      </c>
      <c r="J297" s="36">
        <f>IFERROR(I297/$AC297,0)</f>
        <v>0.38987138263665594</v>
      </c>
      <c r="K297" s="17">
        <v>99</v>
      </c>
      <c r="L297" s="36">
        <f>IFERROR(K297/$AD297,0)</f>
        <v>0.3639705882352941</v>
      </c>
      <c r="M297" s="17">
        <v>453</v>
      </c>
      <c r="N297" s="36">
        <f>IFERROR(M297/$AC297,0)</f>
        <v>0.36414790996784568</v>
      </c>
      <c r="O297" s="17">
        <v>89</v>
      </c>
      <c r="P297" s="36">
        <f>IFERROR(O297/$AD297,0)</f>
        <v>0.32720588235294118</v>
      </c>
      <c r="Q297" s="17">
        <v>202</v>
      </c>
      <c r="R297" s="36">
        <f>IFERROR(Q297/$AC297,0)</f>
        <v>0.16237942122186494</v>
      </c>
      <c r="S297" s="17">
        <v>53</v>
      </c>
      <c r="T297" s="36">
        <f>IFERROR(S297/$AD297,0)</f>
        <v>0.19485294117647059</v>
      </c>
      <c r="U297" s="17">
        <v>54</v>
      </c>
      <c r="V297" s="36">
        <f>IFERROR(U297/$AC297,0)</f>
        <v>4.3408360128617367E-2</v>
      </c>
      <c r="W297" s="17">
        <v>15</v>
      </c>
      <c r="X297" s="36">
        <f>IFERROR(W297/$AD297,0)</f>
        <v>5.514705882352941E-2</v>
      </c>
      <c r="Y297" s="17">
        <v>20</v>
      </c>
      <c r="Z297" s="36">
        <f>IFERROR(Y297/$AC297,0)</f>
        <v>1.607717041800643E-2</v>
      </c>
      <c r="AA297" s="17">
        <v>5</v>
      </c>
      <c r="AB297" s="36">
        <f>IFERROR(AA297/$AD297,0)</f>
        <v>1.8382352941176471E-2</v>
      </c>
      <c r="AC297" s="16">
        <v>1244</v>
      </c>
      <c r="AD297" s="17">
        <v>272</v>
      </c>
    </row>
    <row r="298" spans="1:30" ht="15.75" customHeight="1" x14ac:dyDescent="0.25">
      <c r="A298" s="37">
        <v>2022</v>
      </c>
      <c r="B298" s="35">
        <v>170290</v>
      </c>
      <c r="C298" s="33" t="str">
        <f>VLOOKUP(B298,procv!$A$2:$D$142,4,FALSE)</f>
        <v>Bico do Papagaio</v>
      </c>
      <c r="D298" s="33" t="s">
        <v>23</v>
      </c>
      <c r="E298" s="17">
        <v>36</v>
      </c>
      <c r="F298" s="36">
        <f>IFERROR(E298/$AC298,0)</f>
        <v>2.903225806451613E-2</v>
      </c>
      <c r="G298" s="17">
        <v>19</v>
      </c>
      <c r="H298" s="36">
        <f>IFERROR(G298/$AD298,0)</f>
        <v>3.5514018691588788E-2</v>
      </c>
      <c r="I298" s="17">
        <v>511</v>
      </c>
      <c r="J298" s="36">
        <f>IFERROR(I298/$AC298,0)</f>
        <v>0.4120967741935484</v>
      </c>
      <c r="K298" s="17">
        <v>243</v>
      </c>
      <c r="L298" s="36">
        <f>IFERROR(K298/$AD298,0)</f>
        <v>0.45420560747663552</v>
      </c>
      <c r="M298" s="17">
        <v>423</v>
      </c>
      <c r="N298" s="36">
        <f>IFERROR(M298/$AC298,0)</f>
        <v>0.34112903225806451</v>
      </c>
      <c r="O298" s="17">
        <v>178</v>
      </c>
      <c r="P298" s="36">
        <f>IFERROR(O298/$AD298,0)</f>
        <v>0.33271028037383177</v>
      </c>
      <c r="Q298" s="17">
        <v>193</v>
      </c>
      <c r="R298" s="36">
        <f>IFERROR(Q298/$AC298,0)</f>
        <v>0.15564516129032258</v>
      </c>
      <c r="S298" s="17">
        <v>70</v>
      </c>
      <c r="T298" s="36">
        <f>IFERROR(S298/$AD298,0)</f>
        <v>0.13084112149532709</v>
      </c>
      <c r="U298" s="17">
        <v>58</v>
      </c>
      <c r="V298" s="36">
        <f>IFERROR(U298/$AC298,0)</f>
        <v>4.6774193548387098E-2</v>
      </c>
      <c r="W298" s="17">
        <v>22</v>
      </c>
      <c r="X298" s="36">
        <f>IFERROR(W298/$AD298,0)</f>
        <v>4.1121495327102804E-2</v>
      </c>
      <c r="Y298" s="17">
        <v>19</v>
      </c>
      <c r="Z298" s="36">
        <f>IFERROR(Y298/$AC298,0)</f>
        <v>1.532258064516129E-2</v>
      </c>
      <c r="AA298" s="17">
        <v>3</v>
      </c>
      <c r="AB298" s="36">
        <f>IFERROR(AA298/$AD298,0)</f>
        <v>5.6074766355140183E-3</v>
      </c>
      <c r="AC298" s="16">
        <v>1240</v>
      </c>
      <c r="AD298" s="17">
        <v>535</v>
      </c>
    </row>
    <row r="299" spans="1:30" ht="15.75" customHeight="1" x14ac:dyDescent="0.25">
      <c r="A299" s="37">
        <v>2022</v>
      </c>
      <c r="B299" s="35">
        <v>170300</v>
      </c>
      <c r="C299" s="33" t="str">
        <f>VLOOKUP(B299,procv!$A$2:$D$142,4,FALSE)</f>
        <v>Médio Norte Araguaia</v>
      </c>
      <c r="D299" s="33" t="s">
        <v>24</v>
      </c>
      <c r="E299" s="17">
        <v>38</v>
      </c>
      <c r="F299" s="36">
        <f>IFERROR(E299/$AC299,0)</f>
        <v>1.8774703557312252E-2</v>
      </c>
      <c r="G299" s="17">
        <v>6</v>
      </c>
      <c r="H299" s="36">
        <f>IFERROR(G299/$AD299,0)</f>
        <v>2.3715415019762844E-2</v>
      </c>
      <c r="I299" s="17">
        <v>718</v>
      </c>
      <c r="J299" s="36">
        <f>IFERROR(I299/$AC299,0)</f>
        <v>0.35474308300395258</v>
      </c>
      <c r="K299" s="17">
        <v>113</v>
      </c>
      <c r="L299" s="36">
        <f>IFERROR(K299/$AD299,0)</f>
        <v>0.44664031620553357</v>
      </c>
      <c r="M299" s="17">
        <v>726</v>
      </c>
      <c r="N299" s="36">
        <f>IFERROR(M299/$AC299,0)</f>
        <v>0.35869565217391303</v>
      </c>
      <c r="O299" s="17">
        <v>68</v>
      </c>
      <c r="P299" s="36">
        <f>IFERROR(O299/$AD299,0)</f>
        <v>0.26877470355731226</v>
      </c>
      <c r="Q299" s="17">
        <v>370</v>
      </c>
      <c r="R299" s="36">
        <f>IFERROR(Q299/$AC299,0)</f>
        <v>0.18280632411067194</v>
      </c>
      <c r="S299" s="17">
        <v>49</v>
      </c>
      <c r="T299" s="36">
        <f>IFERROR(S299/$AD299,0)</f>
        <v>0.19367588932806323</v>
      </c>
      <c r="U299" s="17">
        <v>126</v>
      </c>
      <c r="V299" s="36">
        <f>IFERROR(U299/$AC299,0)</f>
        <v>6.2252964426877472E-2</v>
      </c>
      <c r="W299" s="17">
        <v>12</v>
      </c>
      <c r="X299" s="36">
        <f>IFERROR(W299/$AD299,0)</f>
        <v>4.7430830039525688E-2</v>
      </c>
      <c r="Y299" s="17">
        <v>46</v>
      </c>
      <c r="Z299" s="36">
        <f>IFERROR(Y299/$AC299,0)</f>
        <v>2.2727272727272728E-2</v>
      </c>
      <c r="AA299" s="17">
        <v>5</v>
      </c>
      <c r="AB299" s="36">
        <f>IFERROR(AA299/$AD299,0)</f>
        <v>1.9762845849802372E-2</v>
      </c>
      <c r="AC299" s="16">
        <v>2024</v>
      </c>
      <c r="AD299" s="17">
        <v>253</v>
      </c>
    </row>
    <row r="300" spans="1:30" ht="15.75" customHeight="1" x14ac:dyDescent="0.25">
      <c r="A300" s="37">
        <v>2022</v>
      </c>
      <c r="B300" s="35">
        <v>170305</v>
      </c>
      <c r="C300" s="33" t="str">
        <f>VLOOKUP(B300,procv!$A$2:$D$142,4,FALSE)</f>
        <v>Cerrado Tocantins Araguaia</v>
      </c>
      <c r="D300" s="33" t="s">
        <v>25</v>
      </c>
      <c r="E300" s="17">
        <v>17</v>
      </c>
      <c r="F300" s="36">
        <f>IFERROR(E300/$AC300,0)</f>
        <v>1.7346938775510204E-2</v>
      </c>
      <c r="G300" s="17">
        <v>0</v>
      </c>
      <c r="H300" s="36">
        <f>IFERROR(G300/$AD300,0)</f>
        <v>0</v>
      </c>
      <c r="I300" s="17">
        <v>344</v>
      </c>
      <c r="J300" s="36">
        <f>IFERROR(I300/$AC300,0)</f>
        <v>0.3510204081632653</v>
      </c>
      <c r="K300" s="17">
        <v>32</v>
      </c>
      <c r="L300" s="36">
        <f>IFERROR(K300/$AD300,0)</f>
        <v>0.36781609195402298</v>
      </c>
      <c r="M300" s="17">
        <v>321</v>
      </c>
      <c r="N300" s="36">
        <f>IFERROR(M300/$AC300,0)</f>
        <v>0.32755102040816325</v>
      </c>
      <c r="O300" s="17">
        <v>30</v>
      </c>
      <c r="P300" s="36">
        <f>IFERROR(O300/$AD300,0)</f>
        <v>0.34482758620689657</v>
      </c>
      <c r="Q300" s="17">
        <v>194</v>
      </c>
      <c r="R300" s="36">
        <f>IFERROR(Q300/$AC300,0)</f>
        <v>0.19795918367346937</v>
      </c>
      <c r="S300" s="17">
        <v>16</v>
      </c>
      <c r="T300" s="36">
        <f>IFERROR(S300/$AD300,0)</f>
        <v>0.18390804597701149</v>
      </c>
      <c r="U300" s="17">
        <v>71</v>
      </c>
      <c r="V300" s="36">
        <f>IFERROR(U300/$AC300,0)</f>
        <v>7.2448979591836729E-2</v>
      </c>
      <c r="W300" s="17">
        <v>7</v>
      </c>
      <c r="X300" s="36">
        <f>IFERROR(W300/$AD300,0)</f>
        <v>8.0459770114942528E-2</v>
      </c>
      <c r="Y300" s="17">
        <v>33</v>
      </c>
      <c r="Z300" s="36">
        <f>IFERROR(Y300/$AC300,0)</f>
        <v>3.3673469387755103E-2</v>
      </c>
      <c r="AA300" s="17">
        <v>2</v>
      </c>
      <c r="AB300" s="36">
        <f>IFERROR(AA300/$AD300,0)</f>
        <v>2.2988505747126436E-2</v>
      </c>
      <c r="AC300" s="17">
        <v>980</v>
      </c>
      <c r="AD300" s="17">
        <v>87</v>
      </c>
    </row>
    <row r="301" spans="1:30" ht="15.75" customHeight="1" x14ac:dyDescent="0.25">
      <c r="A301" s="37">
        <v>2022</v>
      </c>
      <c r="B301" s="35">
        <v>170307</v>
      </c>
      <c r="C301" s="33" t="str">
        <f>VLOOKUP(B301,procv!$A$2:$D$142,4,FALSE)</f>
        <v>Médio Norte Araguaia</v>
      </c>
      <c r="D301" s="33" t="s">
        <v>26</v>
      </c>
      <c r="E301" s="17">
        <v>19</v>
      </c>
      <c r="F301" s="36">
        <f>IFERROR(E301/$AC301,0)</f>
        <v>1.6450216450216451E-2</v>
      </c>
      <c r="G301" s="17">
        <v>3</v>
      </c>
      <c r="H301" s="36">
        <f>IFERROR(G301/$AD301,0)</f>
        <v>1.5789473684210527E-2</v>
      </c>
      <c r="I301" s="17">
        <v>420</v>
      </c>
      <c r="J301" s="36">
        <f>IFERROR(I301/$AC301,0)</f>
        <v>0.36363636363636365</v>
      </c>
      <c r="K301" s="17">
        <v>87</v>
      </c>
      <c r="L301" s="36">
        <f>IFERROR(K301/$AD301,0)</f>
        <v>0.45789473684210524</v>
      </c>
      <c r="M301" s="17">
        <v>415</v>
      </c>
      <c r="N301" s="36">
        <f>IFERROR(M301/$AC301,0)</f>
        <v>0.3593073593073593</v>
      </c>
      <c r="O301" s="17">
        <v>53</v>
      </c>
      <c r="P301" s="36">
        <f>IFERROR(O301/$AD301,0)</f>
        <v>0.27894736842105261</v>
      </c>
      <c r="Q301" s="17">
        <v>199</v>
      </c>
      <c r="R301" s="36">
        <f>IFERROR(Q301/$AC301,0)</f>
        <v>0.17229437229437231</v>
      </c>
      <c r="S301" s="17">
        <v>32</v>
      </c>
      <c r="T301" s="36">
        <f>IFERROR(S301/$AD301,0)</f>
        <v>0.16842105263157894</v>
      </c>
      <c r="U301" s="17">
        <v>69</v>
      </c>
      <c r="V301" s="36">
        <f>IFERROR(U301/$AC301,0)</f>
        <v>5.9740259740259739E-2</v>
      </c>
      <c r="W301" s="17">
        <v>12</v>
      </c>
      <c r="X301" s="36">
        <f>IFERROR(W301/$AD301,0)</f>
        <v>6.3157894736842107E-2</v>
      </c>
      <c r="Y301" s="17">
        <v>33</v>
      </c>
      <c r="Z301" s="36">
        <f>IFERROR(Y301/$AC301,0)</f>
        <v>2.8571428571428571E-2</v>
      </c>
      <c r="AA301" s="17">
        <v>3</v>
      </c>
      <c r="AB301" s="36">
        <f>IFERROR(AA301/$AD301,0)</f>
        <v>1.5789473684210527E-2</v>
      </c>
      <c r="AC301" s="16">
        <v>1155</v>
      </c>
      <c r="AD301" s="17">
        <v>190</v>
      </c>
    </row>
    <row r="302" spans="1:30" ht="15.75" customHeight="1" x14ac:dyDescent="0.25">
      <c r="A302" s="37">
        <v>2022</v>
      </c>
      <c r="B302" s="35">
        <v>170310</v>
      </c>
      <c r="C302" s="33" t="str">
        <f>VLOOKUP(B302,procv!$A$2:$D$142,4,FALSE)</f>
        <v>Cantão</v>
      </c>
      <c r="D302" s="33" t="s">
        <v>27</v>
      </c>
      <c r="E302" s="17">
        <v>32</v>
      </c>
      <c r="F302" s="36">
        <f>IFERROR(E302/$AC302,0)</f>
        <v>3.0476190476190476E-2</v>
      </c>
      <c r="G302" s="17">
        <v>0</v>
      </c>
      <c r="H302" s="36">
        <f>IFERROR(G302/$AD302,0)</f>
        <v>0</v>
      </c>
      <c r="I302" s="17">
        <v>333</v>
      </c>
      <c r="J302" s="36">
        <f>IFERROR(I302/$AC302,0)</f>
        <v>0.31714285714285712</v>
      </c>
      <c r="K302" s="17">
        <v>13</v>
      </c>
      <c r="L302" s="36">
        <f>IFERROR(K302/$AD302,0)</f>
        <v>0.38235294117647056</v>
      </c>
      <c r="M302" s="17">
        <v>372</v>
      </c>
      <c r="N302" s="36">
        <f>IFERROR(M302/$AC302,0)</f>
        <v>0.35428571428571426</v>
      </c>
      <c r="O302" s="17">
        <v>11</v>
      </c>
      <c r="P302" s="36">
        <f>IFERROR(O302/$AD302,0)</f>
        <v>0.3235294117647059</v>
      </c>
      <c r="Q302" s="17">
        <v>210</v>
      </c>
      <c r="R302" s="36">
        <f>IFERROR(Q302/$AC302,0)</f>
        <v>0.2</v>
      </c>
      <c r="S302" s="17">
        <v>8</v>
      </c>
      <c r="T302" s="36">
        <f>IFERROR(S302/$AD302,0)</f>
        <v>0.23529411764705882</v>
      </c>
      <c r="U302" s="17">
        <v>73</v>
      </c>
      <c r="V302" s="36">
        <f>IFERROR(U302/$AC302,0)</f>
        <v>6.9523809523809529E-2</v>
      </c>
      <c r="W302" s="17">
        <v>1</v>
      </c>
      <c r="X302" s="36">
        <f>IFERROR(W302/$AD302,0)</f>
        <v>2.9411764705882353E-2</v>
      </c>
      <c r="Y302" s="17">
        <v>30</v>
      </c>
      <c r="Z302" s="36">
        <f>IFERROR(Y302/$AC302,0)</f>
        <v>2.8571428571428571E-2</v>
      </c>
      <c r="AA302" s="17">
        <v>1</v>
      </c>
      <c r="AB302" s="36">
        <f>IFERROR(AA302/$AD302,0)</f>
        <v>2.9411764705882353E-2</v>
      </c>
      <c r="AC302" s="16">
        <v>1050</v>
      </c>
      <c r="AD302" s="17">
        <v>34</v>
      </c>
    </row>
    <row r="303" spans="1:30" ht="15.75" customHeight="1" x14ac:dyDescent="0.25">
      <c r="A303" s="37">
        <v>2022</v>
      </c>
      <c r="B303" s="35">
        <v>170320</v>
      </c>
      <c r="C303" s="33" t="str">
        <f>VLOOKUP(B303,procv!$A$2:$D$142,4,FALSE)</f>
        <v>Cerrado Tocantins Araguaia</v>
      </c>
      <c r="D303" s="33" t="s">
        <v>28</v>
      </c>
      <c r="E303" s="17">
        <v>3</v>
      </c>
      <c r="F303" s="36">
        <f>IFERROR(E303/$AC303,0)</f>
        <v>4.6367851622874804E-3</v>
      </c>
      <c r="G303" s="17">
        <v>2</v>
      </c>
      <c r="H303" s="36">
        <f>IFERROR(G303/$AD303,0)</f>
        <v>1.2903225806451613E-2</v>
      </c>
      <c r="I303" s="17">
        <v>231</v>
      </c>
      <c r="J303" s="36">
        <f>IFERROR(I303/$AC303,0)</f>
        <v>0.35703245749613599</v>
      </c>
      <c r="K303" s="17">
        <v>62</v>
      </c>
      <c r="L303" s="36">
        <f>IFERROR(K303/$AD303,0)</f>
        <v>0.4</v>
      </c>
      <c r="M303" s="17">
        <v>204</v>
      </c>
      <c r="N303" s="36">
        <f>IFERROR(M303/$AC303,0)</f>
        <v>0.31530139103554866</v>
      </c>
      <c r="O303" s="17">
        <v>46</v>
      </c>
      <c r="P303" s="36">
        <f>IFERROR(O303/$AD303,0)</f>
        <v>0.29677419354838708</v>
      </c>
      <c r="Q303" s="17">
        <v>123</v>
      </c>
      <c r="R303" s="36">
        <f>IFERROR(Q303/$AC303,0)</f>
        <v>0.1901081916537867</v>
      </c>
      <c r="S303" s="17">
        <v>24</v>
      </c>
      <c r="T303" s="36">
        <f>IFERROR(S303/$AD303,0)</f>
        <v>0.15483870967741936</v>
      </c>
      <c r="U303" s="17">
        <v>60</v>
      </c>
      <c r="V303" s="36">
        <f>IFERROR(U303/$AC303,0)</f>
        <v>9.2735703245749618E-2</v>
      </c>
      <c r="W303" s="17">
        <v>15</v>
      </c>
      <c r="X303" s="36">
        <f>IFERROR(W303/$AD303,0)</f>
        <v>9.6774193548387094E-2</v>
      </c>
      <c r="Y303" s="17">
        <v>26</v>
      </c>
      <c r="Z303" s="36">
        <f>IFERROR(Y303/$AC303,0)</f>
        <v>4.0185471406491501E-2</v>
      </c>
      <c r="AA303" s="17">
        <v>6</v>
      </c>
      <c r="AB303" s="36">
        <f>IFERROR(AA303/$AD303,0)</f>
        <v>3.870967741935484E-2</v>
      </c>
      <c r="AC303" s="17">
        <v>647</v>
      </c>
      <c r="AD303" s="17">
        <v>155</v>
      </c>
    </row>
    <row r="304" spans="1:30" ht="15.75" customHeight="1" x14ac:dyDescent="0.25">
      <c r="A304" s="37">
        <v>2022</v>
      </c>
      <c r="B304" s="35">
        <v>170330</v>
      </c>
      <c r="C304" s="33" t="str">
        <f>VLOOKUP(B304,procv!$A$2:$D$142,4,FALSE)</f>
        <v>Cerrado Tocantins Araguaia</v>
      </c>
      <c r="D304" s="33" t="s">
        <v>29</v>
      </c>
      <c r="E304" s="17">
        <v>10</v>
      </c>
      <c r="F304" s="36">
        <f>IFERROR(E304/$AC304,0)</f>
        <v>2.2172949002217297E-2</v>
      </c>
      <c r="G304" s="17">
        <v>4</v>
      </c>
      <c r="H304" s="36">
        <f>IFERROR(G304/$AD304,0)</f>
        <v>5.6338028169014086E-2</v>
      </c>
      <c r="I304" s="17">
        <v>155</v>
      </c>
      <c r="J304" s="36">
        <f>IFERROR(I304/$AC304,0)</f>
        <v>0.34368070953436808</v>
      </c>
      <c r="K304" s="17">
        <v>32</v>
      </c>
      <c r="L304" s="36">
        <f>IFERROR(K304/$AD304,0)</f>
        <v>0.45070422535211269</v>
      </c>
      <c r="M304" s="17">
        <v>137</v>
      </c>
      <c r="N304" s="36">
        <f>IFERROR(M304/$AC304,0)</f>
        <v>0.30376940133037694</v>
      </c>
      <c r="O304" s="17">
        <v>16</v>
      </c>
      <c r="P304" s="36">
        <f>IFERROR(O304/$AD304,0)</f>
        <v>0.22535211267605634</v>
      </c>
      <c r="Q304" s="17">
        <v>92</v>
      </c>
      <c r="R304" s="36">
        <f>IFERROR(Q304/$AC304,0)</f>
        <v>0.2039911308203991</v>
      </c>
      <c r="S304" s="17">
        <v>14</v>
      </c>
      <c r="T304" s="36">
        <f>IFERROR(S304/$AD304,0)</f>
        <v>0.19718309859154928</v>
      </c>
      <c r="U304" s="17">
        <v>35</v>
      </c>
      <c r="V304" s="36">
        <f>IFERROR(U304/$AC304,0)</f>
        <v>7.7605321507760533E-2</v>
      </c>
      <c r="W304" s="17">
        <v>1</v>
      </c>
      <c r="X304" s="36">
        <f>IFERROR(W304/$AD304,0)</f>
        <v>1.4084507042253521E-2</v>
      </c>
      <c r="Y304" s="17">
        <v>22</v>
      </c>
      <c r="Z304" s="36">
        <f>IFERROR(Y304/$AC304,0)</f>
        <v>4.878048780487805E-2</v>
      </c>
      <c r="AA304" s="17">
        <v>4</v>
      </c>
      <c r="AB304" s="36">
        <f>IFERROR(AA304/$AD304,0)</f>
        <v>5.6338028169014086E-2</v>
      </c>
      <c r="AC304" s="17">
        <v>451</v>
      </c>
      <c r="AD304" s="17">
        <v>71</v>
      </c>
    </row>
    <row r="305" spans="1:30" ht="15.75" customHeight="1" x14ac:dyDescent="0.25">
      <c r="A305" s="37">
        <v>2022</v>
      </c>
      <c r="B305" s="35">
        <v>170360</v>
      </c>
      <c r="C305" s="33" t="str">
        <f>VLOOKUP(B305,procv!$A$2:$D$142,4,FALSE)</f>
        <v>Cerrado Tocantins Araguaia</v>
      </c>
      <c r="D305" s="33" t="s">
        <v>30</v>
      </c>
      <c r="E305" s="17">
        <v>13</v>
      </c>
      <c r="F305" s="36">
        <f>IFERROR(E305/$AC305,0)</f>
        <v>1.8571428571428572E-2</v>
      </c>
      <c r="G305" s="17">
        <v>7</v>
      </c>
      <c r="H305" s="36">
        <f>IFERROR(G305/$AD305,0)</f>
        <v>7.2916666666666671E-2</v>
      </c>
      <c r="I305" s="17">
        <v>199</v>
      </c>
      <c r="J305" s="36">
        <f>IFERROR(I305/$AC305,0)</f>
        <v>0.28428571428571431</v>
      </c>
      <c r="K305" s="17">
        <v>26</v>
      </c>
      <c r="L305" s="36">
        <f>IFERROR(K305/$AD305,0)</f>
        <v>0.27083333333333331</v>
      </c>
      <c r="M305" s="17">
        <v>265</v>
      </c>
      <c r="N305" s="36">
        <f>IFERROR(M305/$AC305,0)</f>
        <v>0.37857142857142856</v>
      </c>
      <c r="O305" s="17">
        <v>33</v>
      </c>
      <c r="P305" s="36">
        <f>IFERROR(O305/$AD305,0)</f>
        <v>0.34375</v>
      </c>
      <c r="Q305" s="17">
        <v>146</v>
      </c>
      <c r="R305" s="36">
        <f>IFERROR(Q305/$AC305,0)</f>
        <v>0.20857142857142857</v>
      </c>
      <c r="S305" s="17">
        <v>19</v>
      </c>
      <c r="T305" s="36">
        <f>IFERROR(S305/$AD305,0)</f>
        <v>0.19791666666666666</v>
      </c>
      <c r="U305" s="17">
        <v>53</v>
      </c>
      <c r="V305" s="36">
        <f>IFERROR(U305/$AC305,0)</f>
        <v>7.571428571428572E-2</v>
      </c>
      <c r="W305" s="17">
        <v>8</v>
      </c>
      <c r="X305" s="36">
        <f>IFERROR(W305/$AD305,0)</f>
        <v>8.3333333333333329E-2</v>
      </c>
      <c r="Y305" s="17">
        <v>24</v>
      </c>
      <c r="Z305" s="36">
        <f>IFERROR(Y305/$AC305,0)</f>
        <v>3.4285714285714287E-2</v>
      </c>
      <c r="AA305" s="17">
        <v>3</v>
      </c>
      <c r="AB305" s="36">
        <f>IFERROR(AA305/$AD305,0)</f>
        <v>3.125E-2</v>
      </c>
      <c r="AC305" s="17">
        <v>700</v>
      </c>
      <c r="AD305" s="17">
        <v>96</v>
      </c>
    </row>
    <row r="306" spans="1:30" ht="15.75" customHeight="1" x14ac:dyDescent="0.25">
      <c r="A306" s="37">
        <v>2022</v>
      </c>
      <c r="B306" s="35">
        <v>170370</v>
      </c>
      <c r="C306" s="33" t="str">
        <f>VLOOKUP(B306,procv!$A$2:$D$142,4,FALSE)</f>
        <v>Amor Perfeito</v>
      </c>
      <c r="D306" s="33" t="s">
        <v>31</v>
      </c>
      <c r="E306" s="17">
        <v>25</v>
      </c>
      <c r="F306" s="36">
        <f>IFERROR(E306/$AC306,0)</f>
        <v>2.7654867256637169E-2</v>
      </c>
      <c r="G306" s="17">
        <v>8</v>
      </c>
      <c r="H306" s="36">
        <f>IFERROR(G306/$AD306,0)</f>
        <v>6.5040650406504072E-2</v>
      </c>
      <c r="I306" s="17">
        <v>283</v>
      </c>
      <c r="J306" s="36">
        <f>IFERROR(I306/$AC306,0)</f>
        <v>0.31305309734513276</v>
      </c>
      <c r="K306" s="17">
        <v>33</v>
      </c>
      <c r="L306" s="36">
        <f>IFERROR(K306/$AD306,0)</f>
        <v>0.26829268292682928</v>
      </c>
      <c r="M306" s="17">
        <v>309</v>
      </c>
      <c r="N306" s="36">
        <f>IFERROR(M306/$AC306,0)</f>
        <v>0.3418141592920354</v>
      </c>
      <c r="O306" s="17">
        <v>41</v>
      </c>
      <c r="P306" s="36">
        <f>IFERROR(O306/$AD306,0)</f>
        <v>0.33333333333333331</v>
      </c>
      <c r="Q306" s="17">
        <v>186</v>
      </c>
      <c r="R306" s="36">
        <f>IFERROR(Q306/$AC306,0)</f>
        <v>0.20575221238938052</v>
      </c>
      <c r="S306" s="17">
        <v>22</v>
      </c>
      <c r="T306" s="36">
        <f>IFERROR(S306/$AD306,0)</f>
        <v>0.17886178861788618</v>
      </c>
      <c r="U306" s="17">
        <v>71</v>
      </c>
      <c r="V306" s="36">
        <f>IFERROR(U306/$AC306,0)</f>
        <v>7.8539823008849555E-2</v>
      </c>
      <c r="W306" s="17">
        <v>13</v>
      </c>
      <c r="X306" s="36">
        <f>IFERROR(W306/$AD306,0)</f>
        <v>0.10569105691056911</v>
      </c>
      <c r="Y306" s="17">
        <v>30</v>
      </c>
      <c r="Z306" s="36">
        <f>IFERROR(Y306/$AC306,0)</f>
        <v>3.3185840707964605E-2</v>
      </c>
      <c r="AA306" s="17">
        <v>6</v>
      </c>
      <c r="AB306" s="36">
        <f>IFERROR(AA306/$AD306,0)</f>
        <v>4.878048780487805E-2</v>
      </c>
      <c r="AC306" s="17">
        <v>904</v>
      </c>
      <c r="AD306" s="17">
        <v>123</v>
      </c>
    </row>
    <row r="307" spans="1:30" ht="15.75" customHeight="1" x14ac:dyDescent="0.25">
      <c r="A307" s="37">
        <v>2022</v>
      </c>
      <c r="B307" s="35">
        <v>170380</v>
      </c>
      <c r="C307" s="33" t="str">
        <f>VLOOKUP(B307,procv!$A$2:$D$142,4,FALSE)</f>
        <v>Bico do Papagaio</v>
      </c>
      <c r="D307" s="33" t="s">
        <v>32</v>
      </c>
      <c r="E307" s="17">
        <v>65</v>
      </c>
      <c r="F307" s="36">
        <f>IFERROR(E307/$AC307,0)</f>
        <v>2.4280911468061262E-2</v>
      </c>
      <c r="G307" s="17">
        <v>5</v>
      </c>
      <c r="H307" s="36">
        <f>IFERROR(G307/$AD307,0)</f>
        <v>2.1097046413502109E-2</v>
      </c>
      <c r="I307" s="17">
        <v>983</v>
      </c>
      <c r="J307" s="36">
        <f>IFERROR(I307/$AC307,0)</f>
        <v>0.36720209189391112</v>
      </c>
      <c r="K307" s="17">
        <v>82</v>
      </c>
      <c r="L307" s="36">
        <f>IFERROR(K307/$AD307,0)</f>
        <v>0.34599156118143459</v>
      </c>
      <c r="M307" s="17">
        <v>980</v>
      </c>
      <c r="N307" s="36">
        <f>IFERROR(M307/$AC307,0)</f>
        <v>0.36608143444153901</v>
      </c>
      <c r="O307" s="17">
        <v>72</v>
      </c>
      <c r="P307" s="36">
        <f>IFERROR(O307/$AD307,0)</f>
        <v>0.30379746835443039</v>
      </c>
      <c r="Q307" s="17">
        <v>459</v>
      </c>
      <c r="R307" s="36">
        <f>IFERROR(Q307/$AC307,0)</f>
        <v>0.17146059021292492</v>
      </c>
      <c r="S307" s="17">
        <v>59</v>
      </c>
      <c r="T307" s="36">
        <f>IFERROR(S307/$AD307,0)</f>
        <v>0.24894514767932491</v>
      </c>
      <c r="U307" s="17">
        <v>143</v>
      </c>
      <c r="V307" s="36">
        <f>IFERROR(U307/$AC307,0)</f>
        <v>5.3418005229734777E-2</v>
      </c>
      <c r="W307" s="17">
        <v>13</v>
      </c>
      <c r="X307" s="36">
        <f>IFERROR(W307/$AD307,0)</f>
        <v>5.4852320675105488E-2</v>
      </c>
      <c r="Y307" s="17">
        <v>47</v>
      </c>
      <c r="Z307" s="36">
        <f>IFERROR(Y307/$AC307,0)</f>
        <v>1.7556966753828913E-2</v>
      </c>
      <c r="AA307" s="17">
        <v>6</v>
      </c>
      <c r="AB307" s="36">
        <f>IFERROR(AA307/$AD307,0)</f>
        <v>2.5316455696202531E-2</v>
      </c>
      <c r="AC307" s="16">
        <v>2677</v>
      </c>
      <c r="AD307" s="17">
        <v>237</v>
      </c>
    </row>
    <row r="308" spans="1:30" ht="15.75" customHeight="1" x14ac:dyDescent="0.25">
      <c r="A308" s="37">
        <v>2022</v>
      </c>
      <c r="B308" s="35">
        <v>170382</v>
      </c>
      <c r="C308" s="33" t="str">
        <f>VLOOKUP(B308,procv!$A$2:$D$142,4,FALSE)</f>
        <v>Bico do Papagaio</v>
      </c>
      <c r="D308" s="33" t="s">
        <v>33</v>
      </c>
      <c r="E308" s="17">
        <v>10</v>
      </c>
      <c r="F308" s="36">
        <f>IFERROR(E308/$AC308,0)</f>
        <v>2.7932960893854747E-2</v>
      </c>
      <c r="G308" s="17">
        <v>4</v>
      </c>
      <c r="H308" s="36">
        <f>IFERROR(G308/$AD308,0)</f>
        <v>5.9701492537313432E-2</v>
      </c>
      <c r="I308" s="17">
        <v>135</v>
      </c>
      <c r="J308" s="36">
        <f>IFERROR(I308/$AC308,0)</f>
        <v>0.37709497206703912</v>
      </c>
      <c r="K308" s="17">
        <v>27</v>
      </c>
      <c r="L308" s="36">
        <f>IFERROR(K308/$AD308,0)</f>
        <v>0.40298507462686567</v>
      </c>
      <c r="M308" s="17">
        <v>130</v>
      </c>
      <c r="N308" s="36">
        <f>IFERROR(M308/$AC308,0)</f>
        <v>0.36312849162011174</v>
      </c>
      <c r="O308" s="17">
        <v>25</v>
      </c>
      <c r="P308" s="36">
        <f>IFERROR(O308/$AD308,0)</f>
        <v>0.37313432835820898</v>
      </c>
      <c r="Q308" s="17">
        <v>57</v>
      </c>
      <c r="R308" s="36">
        <f>IFERROR(Q308/$AC308,0)</f>
        <v>0.15921787709497207</v>
      </c>
      <c r="S308" s="17">
        <v>8</v>
      </c>
      <c r="T308" s="36">
        <f>IFERROR(S308/$AD308,0)</f>
        <v>0.11940298507462686</v>
      </c>
      <c r="U308" s="17">
        <v>21</v>
      </c>
      <c r="V308" s="36">
        <f>IFERROR(U308/$AC308,0)</f>
        <v>5.8659217877094973E-2</v>
      </c>
      <c r="W308" s="17">
        <v>2</v>
      </c>
      <c r="X308" s="36">
        <f>IFERROR(W308/$AD308,0)</f>
        <v>2.9850746268656716E-2</v>
      </c>
      <c r="Y308" s="17">
        <v>5</v>
      </c>
      <c r="Z308" s="36">
        <f>IFERROR(Y308/$AC308,0)</f>
        <v>1.3966480446927373E-2</v>
      </c>
      <c r="AA308" s="17">
        <v>1</v>
      </c>
      <c r="AB308" s="36">
        <f>IFERROR(AA308/$AD308,0)</f>
        <v>1.4925373134328358E-2</v>
      </c>
      <c r="AC308" s="17">
        <v>358</v>
      </c>
      <c r="AD308" s="17">
        <v>67</v>
      </c>
    </row>
    <row r="309" spans="1:30" ht="15.75" customHeight="1" x14ac:dyDescent="0.25">
      <c r="A309" s="37">
        <v>2022</v>
      </c>
      <c r="B309" s="35">
        <v>170384</v>
      </c>
      <c r="C309" s="33" t="str">
        <f>VLOOKUP(B309,procv!$A$2:$D$142,4,FALSE)</f>
        <v>Médio Norte Araguaia</v>
      </c>
      <c r="D309" s="33" t="s">
        <v>34</v>
      </c>
      <c r="E309" s="17">
        <v>56</v>
      </c>
      <c r="F309" s="36">
        <f>IFERROR(E309/$AC309,0)</f>
        <v>2.6266416510318951E-2</v>
      </c>
      <c r="G309" s="17">
        <v>14</v>
      </c>
      <c r="H309" s="36">
        <f>IFERROR(G309/$AD309,0)</f>
        <v>2.5179856115107913E-2</v>
      </c>
      <c r="I309" s="17">
        <v>823</v>
      </c>
      <c r="J309" s="36">
        <f>IFERROR(I309/$AC309,0)</f>
        <v>0.38602251407129456</v>
      </c>
      <c r="K309" s="17">
        <v>218</v>
      </c>
      <c r="L309" s="36">
        <f>IFERROR(K309/$AD309,0)</f>
        <v>0.3920863309352518</v>
      </c>
      <c r="M309" s="17">
        <v>754</v>
      </c>
      <c r="N309" s="36">
        <f>IFERROR(M309/$AC309,0)</f>
        <v>0.35365853658536583</v>
      </c>
      <c r="O309" s="17">
        <v>187</v>
      </c>
      <c r="P309" s="36">
        <f>IFERROR(O309/$AD309,0)</f>
        <v>0.33633093525179858</v>
      </c>
      <c r="Q309" s="17">
        <v>336</v>
      </c>
      <c r="R309" s="36">
        <f>IFERROR(Q309/$AC309,0)</f>
        <v>0.1575984990619137</v>
      </c>
      <c r="S309" s="17">
        <v>97</v>
      </c>
      <c r="T309" s="36">
        <f>IFERROR(S309/$AD309,0)</f>
        <v>0.17446043165467626</v>
      </c>
      <c r="U309" s="17">
        <v>109</v>
      </c>
      <c r="V309" s="36">
        <f>IFERROR(U309/$AC309,0)</f>
        <v>5.1125703564727953E-2</v>
      </c>
      <c r="W309" s="17">
        <v>29</v>
      </c>
      <c r="X309" s="36">
        <f>IFERROR(W309/$AD309,0)</f>
        <v>5.2158273381294966E-2</v>
      </c>
      <c r="Y309" s="17">
        <v>54</v>
      </c>
      <c r="Z309" s="36">
        <f>IFERROR(Y309/$AC309,0)</f>
        <v>2.5328330206378986E-2</v>
      </c>
      <c r="AA309" s="17">
        <v>11</v>
      </c>
      <c r="AB309" s="36">
        <f>IFERROR(AA309/$AD309,0)</f>
        <v>1.9784172661870502E-2</v>
      </c>
      <c r="AC309" s="16">
        <v>2132</v>
      </c>
      <c r="AD309" s="17">
        <v>556</v>
      </c>
    </row>
    <row r="310" spans="1:30" ht="15.75" customHeight="1" x14ac:dyDescent="0.25">
      <c r="A310" s="37">
        <v>2022</v>
      </c>
      <c r="B310" s="35">
        <v>170386</v>
      </c>
      <c r="C310" s="33" t="str">
        <f>VLOOKUP(B310,procv!$A$2:$D$142,4,FALSE)</f>
        <v>Ilha do Bananal</v>
      </c>
      <c r="D310" s="33" t="s">
        <v>35</v>
      </c>
      <c r="E310" s="17">
        <v>18</v>
      </c>
      <c r="F310" s="36">
        <f>IFERROR(E310/$AC310,0)</f>
        <v>1.8054162487462388E-2</v>
      </c>
      <c r="G310" s="17">
        <v>4</v>
      </c>
      <c r="H310" s="36">
        <f>IFERROR(G310/$AD310,0)</f>
        <v>5.8823529411764705E-2</v>
      </c>
      <c r="I310" s="17">
        <v>290</v>
      </c>
      <c r="J310" s="36">
        <f>IFERROR(I310/$AC310,0)</f>
        <v>0.29087261785356067</v>
      </c>
      <c r="K310" s="17">
        <v>23</v>
      </c>
      <c r="L310" s="36">
        <f>IFERROR(K310/$AD310,0)</f>
        <v>0.33823529411764708</v>
      </c>
      <c r="M310" s="17">
        <v>352</v>
      </c>
      <c r="N310" s="36">
        <f>IFERROR(M310/$AC310,0)</f>
        <v>0.3530591775325978</v>
      </c>
      <c r="O310" s="17">
        <v>25</v>
      </c>
      <c r="P310" s="36">
        <f>IFERROR(O310/$AD310,0)</f>
        <v>0.36764705882352944</v>
      </c>
      <c r="Q310" s="17">
        <v>213</v>
      </c>
      <c r="R310" s="36">
        <f>IFERROR(Q310/$AC310,0)</f>
        <v>0.2136409227683049</v>
      </c>
      <c r="S310" s="17">
        <v>12</v>
      </c>
      <c r="T310" s="36">
        <f>IFERROR(S310/$AD310,0)</f>
        <v>0.17647058823529413</v>
      </c>
      <c r="U310" s="17">
        <v>78</v>
      </c>
      <c r="V310" s="36">
        <f>IFERROR(U310/$AC310,0)</f>
        <v>7.8234704112337017E-2</v>
      </c>
      <c r="W310" s="17">
        <v>4</v>
      </c>
      <c r="X310" s="36">
        <f>IFERROR(W310/$AD310,0)</f>
        <v>5.8823529411764705E-2</v>
      </c>
      <c r="Y310" s="17">
        <v>46</v>
      </c>
      <c r="Z310" s="36">
        <f>IFERROR(Y310/$AC310,0)</f>
        <v>4.613841524573721E-2</v>
      </c>
      <c r="AA310" s="17">
        <v>0</v>
      </c>
      <c r="AB310" s="36">
        <f>IFERROR(AA310/$AD310,0)</f>
        <v>0</v>
      </c>
      <c r="AC310" s="17">
        <v>997</v>
      </c>
      <c r="AD310" s="17">
        <v>68</v>
      </c>
    </row>
    <row r="311" spans="1:30" ht="15.75" customHeight="1" x14ac:dyDescent="0.25">
      <c r="A311" s="37">
        <v>2022</v>
      </c>
      <c r="B311" s="35">
        <v>170388</v>
      </c>
      <c r="C311" s="33" t="str">
        <f>VLOOKUP(B311,procv!$A$2:$D$142,4,FALSE)</f>
        <v>Médio Norte Araguaia</v>
      </c>
      <c r="D311" s="33" t="s">
        <v>36</v>
      </c>
      <c r="E311" s="17">
        <v>27</v>
      </c>
      <c r="F311" s="36">
        <f>IFERROR(E311/$AC311,0)</f>
        <v>2.9637760702524697E-2</v>
      </c>
      <c r="G311" s="17">
        <v>4</v>
      </c>
      <c r="H311" s="36">
        <f>IFERROR(G311/$AD311,0)</f>
        <v>2.8169014084507043E-2</v>
      </c>
      <c r="I311" s="17">
        <v>318</v>
      </c>
      <c r="J311" s="36">
        <f>IFERROR(I311/$AC311,0)</f>
        <v>0.34906695938529086</v>
      </c>
      <c r="K311" s="17">
        <v>47</v>
      </c>
      <c r="L311" s="36">
        <f>IFERROR(K311/$AD311,0)</f>
        <v>0.33098591549295775</v>
      </c>
      <c r="M311" s="17">
        <v>320</v>
      </c>
      <c r="N311" s="36">
        <f>IFERROR(M311/$AC311,0)</f>
        <v>0.35126234906695941</v>
      </c>
      <c r="O311" s="17">
        <v>47</v>
      </c>
      <c r="P311" s="36">
        <f>IFERROR(O311/$AD311,0)</f>
        <v>0.33098591549295775</v>
      </c>
      <c r="Q311" s="17">
        <v>155</v>
      </c>
      <c r="R311" s="36">
        <f>IFERROR(Q311/$AC311,0)</f>
        <v>0.17014270032930845</v>
      </c>
      <c r="S311" s="17">
        <v>33</v>
      </c>
      <c r="T311" s="36">
        <f>IFERROR(S311/$AD311,0)</f>
        <v>0.23239436619718309</v>
      </c>
      <c r="U311" s="17">
        <v>58</v>
      </c>
      <c r="V311" s="36">
        <f>IFERROR(U311/$AC311,0)</f>
        <v>6.3666300768386391E-2</v>
      </c>
      <c r="W311" s="17">
        <v>9</v>
      </c>
      <c r="X311" s="36">
        <f>IFERROR(W311/$AD311,0)</f>
        <v>6.3380281690140844E-2</v>
      </c>
      <c r="Y311" s="17">
        <v>33</v>
      </c>
      <c r="Z311" s="36">
        <f>IFERROR(Y311/$AC311,0)</f>
        <v>3.6223929747530186E-2</v>
      </c>
      <c r="AA311" s="17">
        <v>2</v>
      </c>
      <c r="AB311" s="36">
        <f>IFERROR(AA311/$AD311,0)</f>
        <v>1.4084507042253521E-2</v>
      </c>
      <c r="AC311" s="17">
        <v>911</v>
      </c>
      <c r="AD311" s="17">
        <v>142</v>
      </c>
    </row>
    <row r="312" spans="1:30" ht="15.75" customHeight="1" x14ac:dyDescent="0.25">
      <c r="A312" s="37">
        <v>2022</v>
      </c>
      <c r="B312" s="35">
        <v>170389</v>
      </c>
      <c r="C312" s="33" t="str">
        <f>VLOOKUP(B312,procv!$A$2:$D$142,4,FALSE)</f>
        <v>Bico do Papagaio</v>
      </c>
      <c r="D312" s="33" t="s">
        <v>37</v>
      </c>
      <c r="E312" s="17">
        <v>15</v>
      </c>
      <c r="F312" s="36">
        <f>IFERROR(E312/$AC312,0)</f>
        <v>1.7584994138335287E-2</v>
      </c>
      <c r="G312" s="17">
        <v>3</v>
      </c>
      <c r="H312" s="36">
        <f>IFERROR(G312/$AD312,0)</f>
        <v>2.7777777777777776E-2</v>
      </c>
      <c r="I312" s="17">
        <v>268</v>
      </c>
      <c r="J312" s="36">
        <f>IFERROR(I312/$AC312,0)</f>
        <v>0.31418522860492382</v>
      </c>
      <c r="K312" s="17">
        <v>27</v>
      </c>
      <c r="L312" s="36">
        <f>IFERROR(K312/$AD312,0)</f>
        <v>0.25</v>
      </c>
      <c r="M312" s="17">
        <v>311</v>
      </c>
      <c r="N312" s="36">
        <f>IFERROR(M312/$AC312,0)</f>
        <v>0.36459554513481829</v>
      </c>
      <c r="O312" s="17">
        <v>44</v>
      </c>
      <c r="P312" s="36">
        <f>IFERROR(O312/$AD312,0)</f>
        <v>0.40740740740740738</v>
      </c>
      <c r="Q312" s="17">
        <v>175</v>
      </c>
      <c r="R312" s="36">
        <f>IFERROR(Q312/$AC312,0)</f>
        <v>0.20515826494724501</v>
      </c>
      <c r="S312" s="17">
        <v>17</v>
      </c>
      <c r="T312" s="36">
        <f>IFERROR(S312/$AD312,0)</f>
        <v>0.15740740740740741</v>
      </c>
      <c r="U312" s="17">
        <v>51</v>
      </c>
      <c r="V312" s="36">
        <f>IFERROR(U312/$AC312,0)</f>
        <v>5.9788980070339975E-2</v>
      </c>
      <c r="W312" s="17">
        <v>9</v>
      </c>
      <c r="X312" s="36">
        <f>IFERROR(W312/$AD312,0)</f>
        <v>8.3333333333333329E-2</v>
      </c>
      <c r="Y312" s="17">
        <v>33</v>
      </c>
      <c r="Z312" s="36">
        <f>IFERROR(Y312/$AC312,0)</f>
        <v>3.8686987104337635E-2</v>
      </c>
      <c r="AA312" s="17">
        <v>8</v>
      </c>
      <c r="AB312" s="36">
        <f>IFERROR(AA312/$AD312,0)</f>
        <v>7.407407407407407E-2</v>
      </c>
      <c r="AC312" s="17">
        <v>853</v>
      </c>
      <c r="AD312" s="17">
        <v>108</v>
      </c>
    </row>
    <row r="313" spans="1:30" ht="15.75" customHeight="1" x14ac:dyDescent="0.25">
      <c r="A313" s="37">
        <v>2022</v>
      </c>
      <c r="B313" s="35">
        <v>170390</v>
      </c>
      <c r="C313" s="33" t="str">
        <f>VLOOKUP(B313,procv!$A$2:$D$142,4,FALSE)</f>
        <v>Cantão</v>
      </c>
      <c r="D313" s="33" t="s">
        <v>38</v>
      </c>
      <c r="E313" s="17">
        <v>24</v>
      </c>
      <c r="F313" s="36">
        <f>IFERROR(E313/$AC313,0)</f>
        <v>1.8461538461538463E-2</v>
      </c>
      <c r="G313" s="17">
        <v>9</v>
      </c>
      <c r="H313" s="36">
        <f>IFERROR(G313/$AD313,0)</f>
        <v>5.3254437869822487E-2</v>
      </c>
      <c r="I313" s="17">
        <v>408</v>
      </c>
      <c r="J313" s="36">
        <f>IFERROR(I313/$AC313,0)</f>
        <v>0.31384615384615383</v>
      </c>
      <c r="K313" s="17">
        <v>52</v>
      </c>
      <c r="L313" s="36">
        <f>IFERROR(K313/$AD313,0)</f>
        <v>0.30769230769230771</v>
      </c>
      <c r="M313" s="17">
        <v>464</v>
      </c>
      <c r="N313" s="36">
        <f>IFERROR(M313/$AC313,0)</f>
        <v>0.3569230769230769</v>
      </c>
      <c r="O313" s="17">
        <v>53</v>
      </c>
      <c r="P313" s="36">
        <f>IFERROR(O313/$AD313,0)</f>
        <v>0.31360946745562129</v>
      </c>
      <c r="Q313" s="17">
        <v>259</v>
      </c>
      <c r="R313" s="36">
        <f>IFERROR(Q313/$AC313,0)</f>
        <v>0.19923076923076924</v>
      </c>
      <c r="S313" s="17">
        <v>28</v>
      </c>
      <c r="T313" s="36">
        <f>IFERROR(S313/$AD313,0)</f>
        <v>0.16568047337278108</v>
      </c>
      <c r="U313" s="17">
        <v>95</v>
      </c>
      <c r="V313" s="36">
        <f>IFERROR(U313/$AC313,0)</f>
        <v>7.3076923076923081E-2</v>
      </c>
      <c r="W313" s="17">
        <v>16</v>
      </c>
      <c r="X313" s="36">
        <f>IFERROR(W313/$AD313,0)</f>
        <v>9.4674556213017749E-2</v>
      </c>
      <c r="Y313" s="17">
        <v>50</v>
      </c>
      <c r="Z313" s="36">
        <f>IFERROR(Y313/$AC313,0)</f>
        <v>3.8461538461538464E-2</v>
      </c>
      <c r="AA313" s="17">
        <v>11</v>
      </c>
      <c r="AB313" s="36">
        <f>IFERROR(AA313/$AD313,0)</f>
        <v>6.5088757396449703E-2</v>
      </c>
      <c r="AC313" s="16">
        <v>1300</v>
      </c>
      <c r="AD313" s="17">
        <v>169</v>
      </c>
    </row>
    <row r="314" spans="1:30" ht="15.75" customHeight="1" x14ac:dyDescent="0.25">
      <c r="A314" s="37">
        <v>2022</v>
      </c>
      <c r="B314" s="35">
        <v>170410</v>
      </c>
      <c r="C314" s="33" t="str">
        <f>VLOOKUP(B314,procv!$A$2:$D$142,4,FALSE)</f>
        <v>Cerrado Tocantins Araguaia</v>
      </c>
      <c r="D314" s="33" t="s">
        <v>39</v>
      </c>
      <c r="E314" s="17">
        <v>6</v>
      </c>
      <c r="F314" s="36">
        <f>IFERROR(E314/$AC314,0)</f>
        <v>1.0434782608695653E-2</v>
      </c>
      <c r="G314" s="17">
        <v>4</v>
      </c>
      <c r="H314" s="36">
        <f>IFERROR(G314/$AD314,0)</f>
        <v>5.4794520547945202E-2</v>
      </c>
      <c r="I314" s="17">
        <v>209</v>
      </c>
      <c r="J314" s="36">
        <f>IFERROR(I314/$AC314,0)</f>
        <v>0.3634782608695652</v>
      </c>
      <c r="K314" s="17">
        <v>23</v>
      </c>
      <c r="L314" s="36">
        <f>IFERROR(K314/$AD314,0)</f>
        <v>0.31506849315068491</v>
      </c>
      <c r="M314" s="17">
        <v>212</v>
      </c>
      <c r="N314" s="36">
        <f>IFERROR(M314/$AC314,0)</f>
        <v>0.36869565217391304</v>
      </c>
      <c r="O314" s="17">
        <v>25</v>
      </c>
      <c r="P314" s="36">
        <f>IFERROR(O314/$AD314,0)</f>
        <v>0.34246575342465752</v>
      </c>
      <c r="Q314" s="17">
        <v>100</v>
      </c>
      <c r="R314" s="36">
        <f>IFERROR(Q314/$AC314,0)</f>
        <v>0.17391304347826086</v>
      </c>
      <c r="S314" s="17">
        <v>15</v>
      </c>
      <c r="T314" s="36">
        <f>IFERROR(S314/$AD314,0)</f>
        <v>0.20547945205479451</v>
      </c>
      <c r="U314" s="17">
        <v>33</v>
      </c>
      <c r="V314" s="36">
        <f>IFERROR(U314/$AC314,0)</f>
        <v>5.7391304347826085E-2</v>
      </c>
      <c r="W314" s="17">
        <v>4</v>
      </c>
      <c r="X314" s="36">
        <f>IFERROR(W314/$AD314,0)</f>
        <v>5.4794520547945202E-2</v>
      </c>
      <c r="Y314" s="17">
        <v>15</v>
      </c>
      <c r="Z314" s="36">
        <f>IFERROR(Y314/$AC314,0)</f>
        <v>2.6086956521739129E-2</v>
      </c>
      <c r="AA314" s="17">
        <v>2</v>
      </c>
      <c r="AB314" s="36">
        <f>IFERROR(AA314/$AD314,0)</f>
        <v>2.7397260273972601E-2</v>
      </c>
      <c r="AC314" s="17">
        <v>575</v>
      </c>
      <c r="AD314" s="17">
        <v>73</v>
      </c>
    </row>
    <row r="315" spans="1:30" ht="15.75" customHeight="1" x14ac:dyDescent="0.25">
      <c r="A315" s="37">
        <v>2022</v>
      </c>
      <c r="B315" s="35">
        <v>170510</v>
      </c>
      <c r="C315" s="33" t="str">
        <f>VLOOKUP(B315,procv!$A$2:$D$142,4,FALSE)</f>
        <v>Amor Perfeito</v>
      </c>
      <c r="D315" s="33" t="s">
        <v>40</v>
      </c>
      <c r="E315" s="17">
        <v>25</v>
      </c>
      <c r="F315" s="36">
        <f>IFERROR(E315/$AC315,0)</f>
        <v>2.3430178069353328E-2</v>
      </c>
      <c r="G315" s="17">
        <v>7</v>
      </c>
      <c r="H315" s="36">
        <f>IFERROR(G315/$AD315,0)</f>
        <v>5.9322033898305086E-2</v>
      </c>
      <c r="I315" s="17">
        <v>369</v>
      </c>
      <c r="J315" s="36">
        <f>IFERROR(I315/$AC315,0)</f>
        <v>0.3458294283036551</v>
      </c>
      <c r="K315" s="17">
        <v>35</v>
      </c>
      <c r="L315" s="36">
        <f>IFERROR(K315/$AD315,0)</f>
        <v>0.29661016949152541</v>
      </c>
      <c r="M315" s="17">
        <v>363</v>
      </c>
      <c r="N315" s="36">
        <f>IFERROR(M315/$AC315,0)</f>
        <v>0.34020618556701032</v>
      </c>
      <c r="O315" s="17">
        <v>35</v>
      </c>
      <c r="P315" s="36">
        <f>IFERROR(O315/$AD315,0)</f>
        <v>0.29661016949152541</v>
      </c>
      <c r="Q315" s="17">
        <v>216</v>
      </c>
      <c r="R315" s="36">
        <f>IFERROR(Q315/$AC315,0)</f>
        <v>0.20243673851921273</v>
      </c>
      <c r="S315" s="17">
        <v>24</v>
      </c>
      <c r="T315" s="36">
        <f>IFERROR(S315/$AD315,0)</f>
        <v>0.20338983050847459</v>
      </c>
      <c r="U315" s="17">
        <v>64</v>
      </c>
      <c r="V315" s="36">
        <f>IFERROR(U315/$AC315,0)</f>
        <v>5.9981255857544519E-2</v>
      </c>
      <c r="W315" s="17">
        <v>6</v>
      </c>
      <c r="X315" s="36">
        <f>IFERROR(W315/$AD315,0)</f>
        <v>5.0847457627118647E-2</v>
      </c>
      <c r="Y315" s="17">
        <v>30</v>
      </c>
      <c r="Z315" s="36">
        <f>IFERROR(Y315/$AC315,0)</f>
        <v>2.8116213683223992E-2</v>
      </c>
      <c r="AA315" s="17">
        <v>11</v>
      </c>
      <c r="AB315" s="36">
        <f>IFERROR(AA315/$AD315,0)</f>
        <v>9.3220338983050849E-2</v>
      </c>
      <c r="AC315" s="16">
        <v>1067</v>
      </c>
      <c r="AD315" s="17">
        <v>118</v>
      </c>
    </row>
    <row r="316" spans="1:30" ht="15.75" customHeight="1" x14ac:dyDescent="0.25">
      <c r="A316" s="37">
        <v>2022</v>
      </c>
      <c r="B316" s="35">
        <v>170460</v>
      </c>
      <c r="C316" s="33" t="str">
        <f>VLOOKUP(B316,procv!$A$2:$D$142,4,FALSE)</f>
        <v>Cantão</v>
      </c>
      <c r="D316" s="33" t="s">
        <v>41</v>
      </c>
      <c r="E316" s="17">
        <v>17</v>
      </c>
      <c r="F316" s="36">
        <f>IFERROR(E316/$AC316,0)</f>
        <v>2.4817518248175182E-2</v>
      </c>
      <c r="G316" s="17">
        <v>1</v>
      </c>
      <c r="H316" s="36">
        <f>IFERROR(G316/$AD316,0)</f>
        <v>1.2048192771084338E-2</v>
      </c>
      <c r="I316" s="17">
        <v>254</v>
      </c>
      <c r="J316" s="36">
        <f>IFERROR(I316/$AC316,0)</f>
        <v>0.3708029197080292</v>
      </c>
      <c r="K316" s="17">
        <v>40</v>
      </c>
      <c r="L316" s="36">
        <f>IFERROR(K316/$AD316,0)</f>
        <v>0.48192771084337349</v>
      </c>
      <c r="M316" s="17">
        <v>233</v>
      </c>
      <c r="N316" s="36">
        <f>IFERROR(M316/$AC316,0)</f>
        <v>0.34014598540145985</v>
      </c>
      <c r="O316" s="17">
        <v>24</v>
      </c>
      <c r="P316" s="36">
        <f>IFERROR(O316/$AD316,0)</f>
        <v>0.28915662650602408</v>
      </c>
      <c r="Q316" s="17">
        <v>127</v>
      </c>
      <c r="R316" s="36">
        <f>IFERROR(Q316/$AC316,0)</f>
        <v>0.1854014598540146</v>
      </c>
      <c r="S316" s="17">
        <v>9</v>
      </c>
      <c r="T316" s="36">
        <f>IFERROR(S316/$AD316,0)</f>
        <v>0.10843373493975904</v>
      </c>
      <c r="U316" s="17">
        <v>40</v>
      </c>
      <c r="V316" s="36">
        <f>IFERROR(U316/$AC316,0)</f>
        <v>5.8394160583941604E-2</v>
      </c>
      <c r="W316" s="17">
        <v>6</v>
      </c>
      <c r="X316" s="36">
        <f>IFERROR(W316/$AD316,0)</f>
        <v>7.2289156626506021E-2</v>
      </c>
      <c r="Y316" s="17">
        <v>14</v>
      </c>
      <c r="Z316" s="36">
        <f>IFERROR(Y316/$AC316,0)</f>
        <v>2.0437956204379562E-2</v>
      </c>
      <c r="AA316" s="17">
        <v>3</v>
      </c>
      <c r="AB316" s="36">
        <f>IFERROR(AA316/$AD316,0)</f>
        <v>3.614457831325301E-2</v>
      </c>
      <c r="AC316" s="17">
        <v>685</v>
      </c>
      <c r="AD316" s="17">
        <v>83</v>
      </c>
    </row>
    <row r="317" spans="1:30" ht="15.75" customHeight="1" x14ac:dyDescent="0.25">
      <c r="A317" s="37">
        <v>2022</v>
      </c>
      <c r="B317" s="35">
        <v>170550</v>
      </c>
      <c r="C317" s="33" t="str">
        <f>VLOOKUP(B317,procv!$A$2:$D$142,4,FALSE)</f>
        <v>Cerrado Tocantins Araguaia</v>
      </c>
      <c r="D317" s="33" t="s">
        <v>42</v>
      </c>
      <c r="E317" s="17">
        <v>155</v>
      </c>
      <c r="F317" s="36">
        <f>IFERROR(E317/$AC317,0)</f>
        <v>2.7983390503701029E-2</v>
      </c>
      <c r="G317" s="17">
        <v>23</v>
      </c>
      <c r="H317" s="36">
        <f>IFERROR(G317/$AD317,0)</f>
        <v>4.0998217468805706E-2</v>
      </c>
      <c r="I317" s="16">
        <v>1994</v>
      </c>
      <c r="J317" s="36">
        <f>IFERROR(I317/$AC317,0)</f>
        <v>0.35999277847986999</v>
      </c>
      <c r="K317" s="17">
        <v>203</v>
      </c>
      <c r="L317" s="36">
        <f>IFERROR(K317/$AD317,0)</f>
        <v>0.36185383244206776</v>
      </c>
      <c r="M317" s="16">
        <v>1885</v>
      </c>
      <c r="N317" s="36">
        <f>IFERROR(M317/$AC317,0)</f>
        <v>0.34031413612565448</v>
      </c>
      <c r="O317" s="17">
        <v>187</v>
      </c>
      <c r="P317" s="36">
        <f>IFERROR(O317/$AD317,0)</f>
        <v>0.33333333333333331</v>
      </c>
      <c r="Q317" s="17">
        <v>952</v>
      </c>
      <c r="R317" s="36">
        <f>IFERROR(Q317/$AC317,0)</f>
        <v>0.17187217909369923</v>
      </c>
      <c r="S317" s="17">
        <v>91</v>
      </c>
      <c r="T317" s="36">
        <f>IFERROR(S317/$AD317,0)</f>
        <v>0.16221033868092691</v>
      </c>
      <c r="U317" s="17">
        <v>396</v>
      </c>
      <c r="V317" s="36">
        <f>IFERROR(U317/$AC317,0)</f>
        <v>7.1493049286874888E-2</v>
      </c>
      <c r="W317" s="17">
        <v>43</v>
      </c>
      <c r="X317" s="36">
        <f>IFERROR(W317/$AD317,0)</f>
        <v>7.6648841354723704E-2</v>
      </c>
      <c r="Y317" s="17">
        <v>157</v>
      </c>
      <c r="Z317" s="36">
        <f>IFERROR(Y317/$AC317,0)</f>
        <v>2.8344466510200398E-2</v>
      </c>
      <c r="AA317" s="17">
        <v>14</v>
      </c>
      <c r="AB317" s="36">
        <f>IFERROR(AA317/$AD317,0)</f>
        <v>2.4955436720142603E-2</v>
      </c>
      <c r="AC317" s="16">
        <v>5539</v>
      </c>
      <c r="AD317" s="17">
        <v>561</v>
      </c>
    </row>
    <row r="318" spans="1:30" ht="15.75" customHeight="1" x14ac:dyDescent="0.25">
      <c r="A318" s="37">
        <v>2022</v>
      </c>
      <c r="B318" s="35">
        <v>171670</v>
      </c>
      <c r="C318" s="33" t="str">
        <f>VLOOKUP(B318,procv!$A$2:$D$142,4,FALSE)</f>
        <v>Cerrado Tocantins Araguaia</v>
      </c>
      <c r="D318" s="33" t="s">
        <v>43</v>
      </c>
      <c r="E318" s="17">
        <v>37</v>
      </c>
      <c r="F318" s="36">
        <f>IFERROR(E318/$AC318,0)</f>
        <v>2.5429553264604811E-2</v>
      </c>
      <c r="G318" s="17">
        <v>7</v>
      </c>
      <c r="H318" s="36">
        <f>IFERROR(G318/$AD318,0)</f>
        <v>2.734375E-2</v>
      </c>
      <c r="I318" s="17">
        <v>482</v>
      </c>
      <c r="J318" s="36">
        <f>IFERROR(I318/$AC318,0)</f>
        <v>0.33127147766323023</v>
      </c>
      <c r="K318" s="17">
        <v>83</v>
      </c>
      <c r="L318" s="36">
        <f>IFERROR(K318/$AD318,0)</f>
        <v>0.32421875</v>
      </c>
      <c r="M318" s="17">
        <v>507</v>
      </c>
      <c r="N318" s="36">
        <f>IFERROR(M318/$AC318,0)</f>
        <v>0.34845360824742266</v>
      </c>
      <c r="O318" s="17">
        <v>91</v>
      </c>
      <c r="P318" s="36">
        <f>IFERROR(O318/$AD318,0)</f>
        <v>0.35546875</v>
      </c>
      <c r="Q318" s="17">
        <v>283</v>
      </c>
      <c r="R318" s="36">
        <f>IFERROR(Q318/$AC318,0)</f>
        <v>0.19450171821305842</v>
      </c>
      <c r="S318" s="17">
        <v>48</v>
      </c>
      <c r="T318" s="36">
        <f>IFERROR(S318/$AD318,0)</f>
        <v>0.1875</v>
      </c>
      <c r="U318" s="17">
        <v>103</v>
      </c>
      <c r="V318" s="36">
        <f>IFERROR(U318/$AC318,0)</f>
        <v>7.0790378006872851E-2</v>
      </c>
      <c r="W318" s="17">
        <v>15</v>
      </c>
      <c r="X318" s="36">
        <f>IFERROR(W318/$AD318,0)</f>
        <v>5.859375E-2</v>
      </c>
      <c r="Y318" s="17">
        <v>43</v>
      </c>
      <c r="Z318" s="36">
        <f>IFERROR(Y318/$AC318,0)</f>
        <v>2.9553264604810996E-2</v>
      </c>
      <c r="AA318" s="17">
        <v>12</v>
      </c>
      <c r="AB318" s="36">
        <f>IFERROR(AA318/$AD318,0)</f>
        <v>4.6875E-2</v>
      </c>
      <c r="AC318" s="16">
        <v>1455</v>
      </c>
      <c r="AD318" s="17">
        <v>256</v>
      </c>
    </row>
    <row r="319" spans="1:30" ht="15.75" customHeight="1" x14ac:dyDescent="0.25">
      <c r="A319" s="37">
        <v>2022</v>
      </c>
      <c r="B319" s="35">
        <v>170555</v>
      </c>
      <c r="C319" s="33" t="str">
        <f>VLOOKUP(B319,procv!$A$2:$D$142,4,FALSE)</f>
        <v>Sudeste</v>
      </c>
      <c r="D319" s="33" t="s">
        <v>44</v>
      </c>
      <c r="E319" s="17">
        <v>34</v>
      </c>
      <c r="F319" s="36">
        <f>IFERROR(E319/$AC319,0)</f>
        <v>1.8114011720831113E-2</v>
      </c>
      <c r="G319" s="17">
        <v>7</v>
      </c>
      <c r="H319" s="36">
        <f>IFERROR(G319/$AD319,0)</f>
        <v>2.6119402985074626E-2</v>
      </c>
      <c r="I319" s="17">
        <v>722</v>
      </c>
      <c r="J319" s="36">
        <f>IFERROR(I319/$AC319,0)</f>
        <v>0.3846563665423548</v>
      </c>
      <c r="K319" s="17">
        <v>101</v>
      </c>
      <c r="L319" s="36">
        <f>IFERROR(K319/$AD319,0)</f>
        <v>0.37686567164179102</v>
      </c>
      <c r="M319" s="17">
        <v>666</v>
      </c>
      <c r="N319" s="36">
        <f>IFERROR(M319/$AC319,0)</f>
        <v>0.35482152370804476</v>
      </c>
      <c r="O319" s="17">
        <v>88</v>
      </c>
      <c r="P319" s="36">
        <f>IFERROR(O319/$AD319,0)</f>
        <v>0.32835820895522388</v>
      </c>
      <c r="Q319" s="17">
        <v>327</v>
      </c>
      <c r="R319" s="36">
        <f>IFERROR(Q319/$AC319,0)</f>
        <v>0.1742141715503463</v>
      </c>
      <c r="S319" s="17">
        <v>49</v>
      </c>
      <c r="T319" s="36">
        <f>IFERROR(S319/$AD319,0)</f>
        <v>0.18283582089552239</v>
      </c>
      <c r="U319" s="17">
        <v>87</v>
      </c>
      <c r="V319" s="36">
        <f>IFERROR(U319/$AC319,0)</f>
        <v>4.635055940330314E-2</v>
      </c>
      <c r="W319" s="17">
        <v>18</v>
      </c>
      <c r="X319" s="36">
        <f>IFERROR(W319/$AD319,0)</f>
        <v>6.7164179104477612E-2</v>
      </c>
      <c r="Y319" s="17">
        <v>41</v>
      </c>
      <c r="Z319" s="36">
        <f>IFERROR(Y319/$AC319,0)</f>
        <v>2.1843367075119871E-2</v>
      </c>
      <c r="AA319" s="17">
        <v>5</v>
      </c>
      <c r="AB319" s="36">
        <f>IFERROR(AA319/$AD319,0)</f>
        <v>1.8656716417910446E-2</v>
      </c>
      <c r="AC319" s="16">
        <v>1877</v>
      </c>
      <c r="AD319" s="17">
        <v>268</v>
      </c>
    </row>
    <row r="320" spans="1:30" ht="15.75" customHeight="1" x14ac:dyDescent="0.25">
      <c r="A320" s="37">
        <v>2022</v>
      </c>
      <c r="B320" s="35">
        <v>170560</v>
      </c>
      <c r="C320" s="33" t="str">
        <f>VLOOKUP(B320,procv!$A$2:$D$142,4,FALSE)</f>
        <v>Sudeste</v>
      </c>
      <c r="D320" s="33" t="s">
        <v>45</v>
      </c>
      <c r="E320" s="17">
        <v>24</v>
      </c>
      <c r="F320" s="36">
        <f>IFERROR(E320/$AC320,0)</f>
        <v>2.1182700794351281E-2</v>
      </c>
      <c r="G320" s="17">
        <v>4</v>
      </c>
      <c r="H320" s="36">
        <f>IFERROR(G320/$AD320,0)</f>
        <v>1.7094017094017096E-2</v>
      </c>
      <c r="I320" s="17">
        <v>419</v>
      </c>
      <c r="J320" s="36">
        <f>IFERROR(I320/$AC320,0)</f>
        <v>0.36981465136804942</v>
      </c>
      <c r="K320" s="17">
        <v>98</v>
      </c>
      <c r="L320" s="36">
        <f>IFERROR(K320/$AD320,0)</f>
        <v>0.41880341880341881</v>
      </c>
      <c r="M320" s="17">
        <v>378</v>
      </c>
      <c r="N320" s="36">
        <f>IFERROR(M320/$AC320,0)</f>
        <v>0.33362753751103263</v>
      </c>
      <c r="O320" s="17">
        <v>60</v>
      </c>
      <c r="P320" s="36">
        <f>IFERROR(O320/$AD320,0)</f>
        <v>0.25641025641025639</v>
      </c>
      <c r="Q320" s="17">
        <v>199</v>
      </c>
      <c r="R320" s="36">
        <f>IFERROR(Q320/$AC320,0)</f>
        <v>0.17563989408649602</v>
      </c>
      <c r="S320" s="17">
        <v>45</v>
      </c>
      <c r="T320" s="36">
        <f>IFERROR(S320/$AD320,0)</f>
        <v>0.19230769230769232</v>
      </c>
      <c r="U320" s="17">
        <v>75</v>
      </c>
      <c r="V320" s="36">
        <f>IFERROR(U320/$AC320,0)</f>
        <v>6.6195939982347754E-2</v>
      </c>
      <c r="W320" s="17">
        <v>16</v>
      </c>
      <c r="X320" s="36">
        <f>IFERROR(W320/$AD320,0)</f>
        <v>6.8376068376068383E-2</v>
      </c>
      <c r="Y320" s="17">
        <v>38</v>
      </c>
      <c r="Z320" s="36">
        <f>IFERROR(Y320/$AC320,0)</f>
        <v>3.3539276257722857E-2</v>
      </c>
      <c r="AA320" s="17">
        <v>11</v>
      </c>
      <c r="AB320" s="36">
        <f>IFERROR(AA320/$AD320,0)</f>
        <v>4.7008547008547008E-2</v>
      </c>
      <c r="AC320" s="16">
        <v>1133</v>
      </c>
      <c r="AD320" s="17">
        <v>234</v>
      </c>
    </row>
    <row r="321" spans="1:30" ht="15.75" customHeight="1" x14ac:dyDescent="0.25">
      <c r="A321" s="37">
        <v>2022</v>
      </c>
      <c r="B321" s="35">
        <v>170600</v>
      </c>
      <c r="C321" s="33" t="str">
        <f>VLOOKUP(B321,procv!$A$2:$D$142,4,FALSE)</f>
        <v>Cerrado Tocantins Araguaia</v>
      </c>
      <c r="D321" s="33" t="s">
        <v>46</v>
      </c>
      <c r="E321" s="17">
        <v>34</v>
      </c>
      <c r="F321" s="36">
        <f>IFERROR(E321/$AC321,0)</f>
        <v>2.6173979984603541E-2</v>
      </c>
      <c r="G321" s="17">
        <v>8</v>
      </c>
      <c r="H321" s="36">
        <f>IFERROR(G321/$AD321,0)</f>
        <v>4.5454545454545456E-2</v>
      </c>
      <c r="I321" s="17">
        <v>505</v>
      </c>
      <c r="J321" s="36">
        <f>IFERROR(I321/$AC321,0)</f>
        <v>0.38876058506543493</v>
      </c>
      <c r="K321" s="17">
        <v>77</v>
      </c>
      <c r="L321" s="36">
        <f>IFERROR(K321/$AD321,0)</f>
        <v>0.4375</v>
      </c>
      <c r="M321" s="17">
        <v>414</v>
      </c>
      <c r="N321" s="36">
        <f>IFERROR(M321/$AC321,0)</f>
        <v>0.3187066974595843</v>
      </c>
      <c r="O321" s="17">
        <v>54</v>
      </c>
      <c r="P321" s="36">
        <f>IFERROR(O321/$AD321,0)</f>
        <v>0.30681818181818182</v>
      </c>
      <c r="Q321" s="17">
        <v>226</v>
      </c>
      <c r="R321" s="36">
        <f>IFERROR(Q321/$AC321,0)</f>
        <v>0.17397998460354119</v>
      </c>
      <c r="S321" s="17">
        <v>23</v>
      </c>
      <c r="T321" s="36">
        <f>IFERROR(S321/$AD321,0)</f>
        <v>0.13068181818181818</v>
      </c>
      <c r="U321" s="17">
        <v>89</v>
      </c>
      <c r="V321" s="36">
        <f>IFERROR(U321/$AC321,0)</f>
        <v>6.8514241724403388E-2</v>
      </c>
      <c r="W321" s="17">
        <v>11</v>
      </c>
      <c r="X321" s="36">
        <f>IFERROR(W321/$AD321,0)</f>
        <v>6.25E-2</v>
      </c>
      <c r="Y321" s="17">
        <v>31</v>
      </c>
      <c r="Z321" s="36">
        <f>IFERROR(Y321/$AC321,0)</f>
        <v>2.3864511162432642E-2</v>
      </c>
      <c r="AA321" s="17">
        <v>3</v>
      </c>
      <c r="AB321" s="36">
        <f>IFERROR(AA321/$AD321,0)</f>
        <v>1.7045454545454544E-2</v>
      </c>
      <c r="AC321" s="16">
        <v>1299</v>
      </c>
      <c r="AD321" s="17">
        <v>176</v>
      </c>
    </row>
    <row r="322" spans="1:30" ht="15.75" customHeight="1" x14ac:dyDescent="0.25">
      <c r="A322" s="37">
        <v>2022</v>
      </c>
      <c r="B322" s="35">
        <v>170610</v>
      </c>
      <c r="C322" s="33" t="str">
        <f>VLOOKUP(B322,procv!$A$2:$D$142,4,FALSE)</f>
        <v>Cantão</v>
      </c>
      <c r="D322" s="33" t="s">
        <v>47</v>
      </c>
      <c r="E322" s="17">
        <v>41</v>
      </c>
      <c r="F322" s="36">
        <f>IFERROR(E322/$AC322,0)</f>
        <v>2.4433849821215731E-2</v>
      </c>
      <c r="G322" s="17">
        <v>1</v>
      </c>
      <c r="H322" s="36">
        <f>IFERROR(G322/$AD322,0)</f>
        <v>9.6153846153846159E-3</v>
      </c>
      <c r="I322" s="17">
        <v>542</v>
      </c>
      <c r="J322" s="36">
        <f>IFERROR(I322/$AC322,0)</f>
        <v>0.32300357568533972</v>
      </c>
      <c r="K322" s="17">
        <v>40</v>
      </c>
      <c r="L322" s="36">
        <f>IFERROR(K322/$AD322,0)</f>
        <v>0.38461538461538464</v>
      </c>
      <c r="M322" s="17">
        <v>616</v>
      </c>
      <c r="N322" s="36">
        <f>IFERROR(M322/$AC322,0)</f>
        <v>0.36710369487485101</v>
      </c>
      <c r="O322" s="17">
        <v>33</v>
      </c>
      <c r="P322" s="36">
        <f>IFERROR(O322/$AD322,0)</f>
        <v>0.31730769230769229</v>
      </c>
      <c r="Q322" s="17">
        <v>322</v>
      </c>
      <c r="R322" s="36">
        <f>IFERROR(Q322/$AC322,0)</f>
        <v>0.19189511323003575</v>
      </c>
      <c r="S322" s="17">
        <v>17</v>
      </c>
      <c r="T322" s="36">
        <f>IFERROR(S322/$AD322,0)</f>
        <v>0.16346153846153846</v>
      </c>
      <c r="U322" s="17">
        <v>110</v>
      </c>
      <c r="V322" s="36">
        <f>IFERROR(U322/$AC322,0)</f>
        <v>6.5554231227651971E-2</v>
      </c>
      <c r="W322" s="17">
        <v>11</v>
      </c>
      <c r="X322" s="36">
        <f>IFERROR(W322/$AD322,0)</f>
        <v>0.10576923076923077</v>
      </c>
      <c r="Y322" s="17">
        <v>47</v>
      </c>
      <c r="Z322" s="36">
        <f>IFERROR(Y322/$AC322,0)</f>
        <v>2.8009535160905839E-2</v>
      </c>
      <c r="AA322" s="17">
        <v>2</v>
      </c>
      <c r="AB322" s="36">
        <f>IFERROR(AA322/$AD322,0)</f>
        <v>1.9230769230769232E-2</v>
      </c>
      <c r="AC322" s="16">
        <v>1678</v>
      </c>
      <c r="AD322" s="17">
        <v>104</v>
      </c>
    </row>
    <row r="323" spans="1:30" ht="15.75" customHeight="1" x14ac:dyDescent="0.25">
      <c r="A323" s="37">
        <v>2022</v>
      </c>
      <c r="B323" s="35">
        <v>170625</v>
      </c>
      <c r="C323" s="33" t="str">
        <f>VLOOKUP(B323,procv!$A$2:$D$142,4,FALSE)</f>
        <v>Ilha do Bananal</v>
      </c>
      <c r="D323" s="33" t="s">
        <v>48</v>
      </c>
      <c r="E323" s="17">
        <v>4</v>
      </c>
      <c r="F323" s="36">
        <f>IFERROR(E323/$AC323,0)</f>
        <v>6.8965517241379309E-3</v>
      </c>
      <c r="G323" s="17">
        <v>0</v>
      </c>
      <c r="H323" s="36">
        <f>IFERROR(G323/$AD323,0)</f>
        <v>0</v>
      </c>
      <c r="I323" s="17">
        <v>172</v>
      </c>
      <c r="J323" s="36">
        <f>IFERROR(I323/$AC323,0)</f>
        <v>0.29655172413793102</v>
      </c>
      <c r="K323" s="17">
        <v>10</v>
      </c>
      <c r="L323" s="36">
        <f>IFERROR(K323/$AD323,0)</f>
        <v>0.35714285714285715</v>
      </c>
      <c r="M323" s="17">
        <v>201</v>
      </c>
      <c r="N323" s="36">
        <f>IFERROR(M323/$AC323,0)</f>
        <v>0.34655172413793106</v>
      </c>
      <c r="O323" s="17">
        <v>11</v>
      </c>
      <c r="P323" s="36">
        <f>IFERROR(O323/$AD323,0)</f>
        <v>0.39285714285714285</v>
      </c>
      <c r="Q323" s="17">
        <v>119</v>
      </c>
      <c r="R323" s="36">
        <f>IFERROR(Q323/$AC323,0)</f>
        <v>0.20517241379310344</v>
      </c>
      <c r="S323" s="17">
        <v>5</v>
      </c>
      <c r="T323" s="36">
        <f>IFERROR(S323/$AD323,0)</f>
        <v>0.17857142857142858</v>
      </c>
      <c r="U323" s="17">
        <v>52</v>
      </c>
      <c r="V323" s="36">
        <f>IFERROR(U323/$AC323,0)</f>
        <v>8.9655172413793102E-2</v>
      </c>
      <c r="W323" s="17">
        <v>2</v>
      </c>
      <c r="X323" s="36">
        <f>IFERROR(W323/$AD323,0)</f>
        <v>7.1428571428571425E-2</v>
      </c>
      <c r="Y323" s="17">
        <v>32</v>
      </c>
      <c r="Z323" s="36">
        <f>IFERROR(Y323/$AC323,0)</f>
        <v>5.5172413793103448E-2</v>
      </c>
      <c r="AA323" s="17">
        <v>0</v>
      </c>
      <c r="AB323" s="36">
        <f>IFERROR(AA323/$AD323,0)</f>
        <v>0</v>
      </c>
      <c r="AC323" s="17">
        <v>580</v>
      </c>
      <c r="AD323" s="17">
        <v>28</v>
      </c>
    </row>
    <row r="324" spans="1:30" ht="15.75" customHeight="1" x14ac:dyDescent="0.25">
      <c r="A324" s="37">
        <v>2022</v>
      </c>
      <c r="B324" s="35">
        <v>170650</v>
      </c>
      <c r="C324" s="33" t="str">
        <f>VLOOKUP(B324,procv!$A$2:$D$142,4,FALSE)</f>
        <v>Médio Norte Araguaia</v>
      </c>
      <c r="D324" s="33" t="s">
        <v>49</v>
      </c>
      <c r="E324" s="17">
        <v>3</v>
      </c>
      <c r="F324" s="36">
        <f>IFERROR(E324/$AC324,0)</f>
        <v>9.5238095238095247E-3</v>
      </c>
      <c r="G324" s="17">
        <v>2</v>
      </c>
      <c r="H324" s="36">
        <f>IFERROR(G324/$AD324,0)</f>
        <v>2.1505376344086023E-2</v>
      </c>
      <c r="I324" s="17">
        <v>115</v>
      </c>
      <c r="J324" s="36">
        <f>IFERROR(I324/$AC324,0)</f>
        <v>0.36507936507936506</v>
      </c>
      <c r="K324" s="17">
        <v>37</v>
      </c>
      <c r="L324" s="36">
        <f>IFERROR(K324/$AD324,0)</f>
        <v>0.39784946236559138</v>
      </c>
      <c r="M324" s="17">
        <v>104</v>
      </c>
      <c r="N324" s="36">
        <f>IFERROR(M324/$AC324,0)</f>
        <v>0.33015873015873015</v>
      </c>
      <c r="O324" s="17">
        <v>31</v>
      </c>
      <c r="P324" s="36">
        <f>IFERROR(O324/$AD324,0)</f>
        <v>0.33333333333333331</v>
      </c>
      <c r="Q324" s="17">
        <v>59</v>
      </c>
      <c r="R324" s="36">
        <f>IFERROR(Q324/$AC324,0)</f>
        <v>0.1873015873015873</v>
      </c>
      <c r="S324" s="17">
        <v>16</v>
      </c>
      <c r="T324" s="36">
        <f>IFERROR(S324/$AD324,0)</f>
        <v>0.17204301075268819</v>
      </c>
      <c r="U324" s="17">
        <v>23</v>
      </c>
      <c r="V324" s="36">
        <f>IFERROR(U324/$AC324,0)</f>
        <v>7.301587301587302E-2</v>
      </c>
      <c r="W324" s="17">
        <v>5</v>
      </c>
      <c r="X324" s="36">
        <f>IFERROR(W324/$AD324,0)</f>
        <v>5.3763440860215055E-2</v>
      </c>
      <c r="Y324" s="17">
        <v>11</v>
      </c>
      <c r="Z324" s="36">
        <f>IFERROR(Y324/$AC324,0)</f>
        <v>3.4920634920634921E-2</v>
      </c>
      <c r="AA324" s="17">
        <v>2</v>
      </c>
      <c r="AB324" s="36">
        <f>IFERROR(AA324/$AD324,0)</f>
        <v>2.1505376344086023E-2</v>
      </c>
      <c r="AC324" s="17">
        <v>315</v>
      </c>
      <c r="AD324" s="17">
        <v>93</v>
      </c>
    </row>
    <row r="325" spans="1:30" ht="15.75" customHeight="1" x14ac:dyDescent="0.25">
      <c r="A325" s="37">
        <v>2022</v>
      </c>
      <c r="B325" s="35">
        <v>170700</v>
      </c>
      <c r="C325" s="33" t="str">
        <f>VLOOKUP(B325,procv!$A$2:$D$142,4,FALSE)</f>
        <v>Sudeste</v>
      </c>
      <c r="D325" s="33" t="s">
        <v>50</v>
      </c>
      <c r="E325" s="17">
        <v>112</v>
      </c>
      <c r="F325" s="36">
        <f>IFERROR(E325/$AC325,0)</f>
        <v>2.6660318971673411E-2</v>
      </c>
      <c r="G325" s="17">
        <v>15</v>
      </c>
      <c r="H325" s="36">
        <f>IFERROR(G325/$AD325,0)</f>
        <v>3.7128712871287127E-2</v>
      </c>
      <c r="I325" s="16">
        <v>1437</v>
      </c>
      <c r="J325" s="36">
        <f>IFERROR(I325/$AC325,0)</f>
        <v>0.34206141394905976</v>
      </c>
      <c r="K325" s="17">
        <v>142</v>
      </c>
      <c r="L325" s="36">
        <f>IFERROR(K325/$AD325,0)</f>
        <v>0.35148514851485146</v>
      </c>
      <c r="M325" s="16">
        <v>1522</v>
      </c>
      <c r="N325" s="36">
        <f>IFERROR(M325/$AC325,0)</f>
        <v>0.3622946917400619</v>
      </c>
      <c r="O325" s="17">
        <v>149</v>
      </c>
      <c r="P325" s="36">
        <f>IFERROR(O325/$AD325,0)</f>
        <v>0.36881188118811881</v>
      </c>
      <c r="Q325" s="17">
        <v>798</v>
      </c>
      <c r="R325" s="36">
        <f>IFERROR(Q325/$AC325,0)</f>
        <v>0.18995477267317307</v>
      </c>
      <c r="S325" s="17">
        <v>65</v>
      </c>
      <c r="T325" s="36">
        <f>IFERROR(S325/$AD325,0)</f>
        <v>0.1608910891089109</v>
      </c>
      <c r="U325" s="17">
        <v>236</v>
      </c>
      <c r="V325" s="36">
        <f>IFERROR(U325/$AC325,0)</f>
        <v>5.6177100690311829E-2</v>
      </c>
      <c r="W325" s="17">
        <v>25</v>
      </c>
      <c r="X325" s="36">
        <f>IFERROR(W325/$AD325,0)</f>
        <v>6.1881188118811881E-2</v>
      </c>
      <c r="Y325" s="17">
        <v>96</v>
      </c>
      <c r="Z325" s="36">
        <f>IFERROR(Y325/$AC325,0)</f>
        <v>2.2851701975720066E-2</v>
      </c>
      <c r="AA325" s="17">
        <v>8</v>
      </c>
      <c r="AB325" s="36">
        <f>IFERROR(AA325/$AD325,0)</f>
        <v>1.9801980198019802E-2</v>
      </c>
      <c r="AC325" s="16">
        <v>4201</v>
      </c>
      <c r="AD325" s="17">
        <v>404</v>
      </c>
    </row>
    <row r="326" spans="1:30" ht="15.75" customHeight="1" x14ac:dyDescent="0.25">
      <c r="A326" s="37">
        <v>2022</v>
      </c>
      <c r="B326" s="35">
        <v>170710</v>
      </c>
      <c r="C326" s="33" t="str">
        <f>VLOOKUP(B326,procv!$A$2:$D$142,4,FALSE)</f>
        <v>Cantão</v>
      </c>
      <c r="D326" s="33" t="s">
        <v>51</v>
      </c>
      <c r="E326" s="17">
        <v>48</v>
      </c>
      <c r="F326" s="36">
        <f>IFERROR(E326/$AC326,0)</f>
        <v>2.4242424242424242E-2</v>
      </c>
      <c r="G326" s="17">
        <v>9</v>
      </c>
      <c r="H326" s="36">
        <f>IFERROR(G326/$AD326,0)</f>
        <v>6.6666666666666666E-2</v>
      </c>
      <c r="I326" s="17">
        <v>653</v>
      </c>
      <c r="J326" s="36">
        <f>IFERROR(I326/$AC326,0)</f>
        <v>0.32979797979797981</v>
      </c>
      <c r="K326" s="17">
        <v>49</v>
      </c>
      <c r="L326" s="36">
        <f>IFERROR(K326/$AD326,0)</f>
        <v>0.36296296296296299</v>
      </c>
      <c r="M326" s="17">
        <v>727</v>
      </c>
      <c r="N326" s="36">
        <f>IFERROR(M326/$AC326,0)</f>
        <v>0.36717171717171715</v>
      </c>
      <c r="O326" s="17">
        <v>41</v>
      </c>
      <c r="P326" s="36">
        <f>IFERROR(O326/$AD326,0)</f>
        <v>0.3037037037037037</v>
      </c>
      <c r="Q326" s="17">
        <v>378</v>
      </c>
      <c r="R326" s="36">
        <f>IFERROR(Q326/$AC326,0)</f>
        <v>0.19090909090909092</v>
      </c>
      <c r="S326" s="17">
        <v>28</v>
      </c>
      <c r="T326" s="36">
        <f>IFERROR(S326/$AD326,0)</f>
        <v>0.2074074074074074</v>
      </c>
      <c r="U326" s="17">
        <v>126</v>
      </c>
      <c r="V326" s="36">
        <f>IFERROR(U326/$AC326,0)</f>
        <v>6.363636363636363E-2</v>
      </c>
      <c r="W326" s="17">
        <v>6</v>
      </c>
      <c r="X326" s="36">
        <f>IFERROR(W326/$AD326,0)</f>
        <v>4.4444444444444446E-2</v>
      </c>
      <c r="Y326" s="17">
        <v>48</v>
      </c>
      <c r="Z326" s="36">
        <f>IFERROR(Y326/$AC326,0)</f>
        <v>2.4242424242424242E-2</v>
      </c>
      <c r="AA326" s="17">
        <v>2</v>
      </c>
      <c r="AB326" s="36">
        <f>IFERROR(AA326/$AD326,0)</f>
        <v>1.4814814814814815E-2</v>
      </c>
      <c r="AC326" s="16">
        <v>1980</v>
      </c>
      <c r="AD326" s="17">
        <v>135</v>
      </c>
    </row>
    <row r="327" spans="1:30" ht="15.75" customHeight="1" x14ac:dyDescent="0.25">
      <c r="A327" s="37">
        <v>2022</v>
      </c>
      <c r="B327" s="35">
        <v>170720</v>
      </c>
      <c r="C327" s="33" t="str">
        <f>VLOOKUP(B327,procv!$A$2:$D$142,4,FALSE)</f>
        <v>Cantão</v>
      </c>
      <c r="D327" s="33" t="s">
        <v>52</v>
      </c>
      <c r="E327" s="17">
        <v>15</v>
      </c>
      <c r="F327" s="36">
        <f>IFERROR(E327/$AC327,0)</f>
        <v>1.4807502467917079E-2</v>
      </c>
      <c r="G327" s="17">
        <v>6</v>
      </c>
      <c r="H327" s="36">
        <f>IFERROR(G327/$AD327,0)</f>
        <v>3.2085561497326207E-2</v>
      </c>
      <c r="I327" s="17">
        <v>318</v>
      </c>
      <c r="J327" s="36">
        <f>IFERROR(I327/$AC327,0)</f>
        <v>0.31391905231984207</v>
      </c>
      <c r="K327" s="17">
        <v>68</v>
      </c>
      <c r="L327" s="36">
        <f>IFERROR(K327/$AD327,0)</f>
        <v>0.36363636363636365</v>
      </c>
      <c r="M327" s="17">
        <v>361</v>
      </c>
      <c r="N327" s="36">
        <f>IFERROR(M327/$AC327,0)</f>
        <v>0.35636722606120436</v>
      </c>
      <c r="O327" s="17">
        <v>62</v>
      </c>
      <c r="P327" s="36">
        <f>IFERROR(O327/$AD327,0)</f>
        <v>0.33155080213903743</v>
      </c>
      <c r="Q327" s="17">
        <v>215</v>
      </c>
      <c r="R327" s="36">
        <f>IFERROR(Q327/$AC327,0)</f>
        <v>0.21224086870681144</v>
      </c>
      <c r="S327" s="17">
        <v>33</v>
      </c>
      <c r="T327" s="36">
        <f>IFERROR(S327/$AD327,0)</f>
        <v>0.17647058823529413</v>
      </c>
      <c r="U327" s="17">
        <v>75</v>
      </c>
      <c r="V327" s="36">
        <f>IFERROR(U327/$AC327,0)</f>
        <v>7.4037512339585387E-2</v>
      </c>
      <c r="W327" s="17">
        <v>15</v>
      </c>
      <c r="X327" s="36">
        <f>IFERROR(W327/$AD327,0)</f>
        <v>8.0213903743315509E-2</v>
      </c>
      <c r="Y327" s="17">
        <v>29</v>
      </c>
      <c r="Z327" s="36">
        <f>IFERROR(Y327/$AC327,0)</f>
        <v>2.8627838104639685E-2</v>
      </c>
      <c r="AA327" s="17">
        <v>3</v>
      </c>
      <c r="AB327" s="36">
        <f>IFERROR(AA327/$AD327,0)</f>
        <v>1.6042780748663103E-2</v>
      </c>
      <c r="AC327" s="16">
        <v>1013</v>
      </c>
      <c r="AD327" s="17">
        <v>187</v>
      </c>
    </row>
    <row r="328" spans="1:30" ht="15.75" customHeight="1" x14ac:dyDescent="0.25">
      <c r="A328" s="37">
        <v>2022</v>
      </c>
      <c r="B328" s="35">
        <v>170730</v>
      </c>
      <c r="C328" s="33" t="str">
        <f>VLOOKUP(B328,procv!$A$2:$D$142,4,FALSE)</f>
        <v>Ilha do Bananal</v>
      </c>
      <c r="D328" s="33" t="s">
        <v>53</v>
      </c>
      <c r="E328" s="17">
        <v>26</v>
      </c>
      <c r="F328" s="36">
        <f>IFERROR(E328/$AC328,0)</f>
        <v>2.048857368006304E-2</v>
      </c>
      <c r="G328" s="17">
        <v>4</v>
      </c>
      <c r="H328" s="36">
        <f>IFERROR(G328/$AD328,0)</f>
        <v>2.4844720496894408E-2</v>
      </c>
      <c r="I328" s="17">
        <v>385</v>
      </c>
      <c r="J328" s="36">
        <f>IFERROR(I328/$AC328,0)</f>
        <v>0.30338849487785657</v>
      </c>
      <c r="K328" s="17">
        <v>55</v>
      </c>
      <c r="L328" s="36">
        <f>IFERROR(K328/$AD328,0)</f>
        <v>0.34161490683229812</v>
      </c>
      <c r="M328" s="17">
        <v>448</v>
      </c>
      <c r="N328" s="36">
        <f>IFERROR(M328/$AC328,0)</f>
        <v>0.35303388494877858</v>
      </c>
      <c r="O328" s="17">
        <v>54</v>
      </c>
      <c r="P328" s="36">
        <f>IFERROR(O328/$AD328,0)</f>
        <v>0.33540372670807456</v>
      </c>
      <c r="Q328" s="17">
        <v>277</v>
      </c>
      <c r="R328" s="36">
        <f>IFERROR(Q328/$AC328,0)</f>
        <v>0.21828211189913319</v>
      </c>
      <c r="S328" s="17">
        <v>30</v>
      </c>
      <c r="T328" s="36">
        <f>IFERROR(S328/$AD328,0)</f>
        <v>0.18633540372670807</v>
      </c>
      <c r="U328" s="17">
        <v>96</v>
      </c>
      <c r="V328" s="36">
        <f>IFERROR(U328/$AC328,0)</f>
        <v>7.5650118203309691E-2</v>
      </c>
      <c r="W328" s="17">
        <v>13</v>
      </c>
      <c r="X328" s="36">
        <f>IFERROR(W328/$AD328,0)</f>
        <v>8.0745341614906832E-2</v>
      </c>
      <c r="Y328" s="17">
        <v>37</v>
      </c>
      <c r="Z328" s="36">
        <f>IFERROR(Y328/$AC328,0)</f>
        <v>2.9156816390858944E-2</v>
      </c>
      <c r="AA328" s="17">
        <v>5</v>
      </c>
      <c r="AB328" s="36">
        <f>IFERROR(AA328/$AD328,0)</f>
        <v>3.1055900621118012E-2</v>
      </c>
      <c r="AC328" s="16">
        <v>1269</v>
      </c>
      <c r="AD328" s="17">
        <v>161</v>
      </c>
    </row>
    <row r="329" spans="1:30" ht="15.75" customHeight="1" x14ac:dyDescent="0.25">
      <c r="A329" s="37">
        <v>2022</v>
      </c>
      <c r="B329" s="35">
        <v>170740</v>
      </c>
      <c r="C329" s="33" t="str">
        <f>VLOOKUP(B329,procv!$A$2:$D$142,4,FALSE)</f>
        <v>Bico do Papagaio</v>
      </c>
      <c r="D329" s="33" t="s">
        <v>54</v>
      </c>
      <c r="E329" s="17">
        <v>59</v>
      </c>
      <c r="F329" s="36">
        <f>IFERROR(E329/$AC329,0)</f>
        <v>2.2459078797106968E-2</v>
      </c>
      <c r="G329" s="17">
        <v>20</v>
      </c>
      <c r="H329" s="36">
        <f>IFERROR(G329/$AD329,0)</f>
        <v>3.1796502384737677E-2</v>
      </c>
      <c r="I329" s="17">
        <v>907</v>
      </c>
      <c r="J329" s="36">
        <f>IFERROR(I329/$AC329,0)</f>
        <v>0.34526075371145792</v>
      </c>
      <c r="K329" s="17">
        <v>235</v>
      </c>
      <c r="L329" s="36">
        <f>IFERROR(K329/$AD329,0)</f>
        <v>0.37360890302066774</v>
      </c>
      <c r="M329" s="17">
        <v>937</v>
      </c>
      <c r="N329" s="36">
        <f>IFERROR(M329/$AC329,0)</f>
        <v>0.35668062428625807</v>
      </c>
      <c r="O329" s="17">
        <v>219</v>
      </c>
      <c r="P329" s="36">
        <f>IFERROR(O329/$AD329,0)</f>
        <v>0.3481717011128776</v>
      </c>
      <c r="Q329" s="17">
        <v>492</v>
      </c>
      <c r="R329" s="36">
        <f>IFERROR(Q329/$AC329,0)</f>
        <v>0.18728587742672251</v>
      </c>
      <c r="S329" s="17">
        <v>107</v>
      </c>
      <c r="T329" s="36">
        <f>IFERROR(S329/$AD329,0)</f>
        <v>0.17011128775834658</v>
      </c>
      <c r="U329" s="17">
        <v>158</v>
      </c>
      <c r="V329" s="36">
        <f>IFERROR(U329/$AC329,0)</f>
        <v>6.0144651693947469E-2</v>
      </c>
      <c r="W329" s="17">
        <v>34</v>
      </c>
      <c r="X329" s="36">
        <f>IFERROR(W329/$AD329,0)</f>
        <v>5.4054054054054057E-2</v>
      </c>
      <c r="Y329" s="17">
        <v>74</v>
      </c>
      <c r="Z329" s="36">
        <f>IFERROR(Y329/$AC329,0)</f>
        <v>2.8169014084507043E-2</v>
      </c>
      <c r="AA329" s="17">
        <v>14</v>
      </c>
      <c r="AB329" s="36">
        <f>IFERROR(AA329/$AD329,0)</f>
        <v>2.2257551669316374E-2</v>
      </c>
      <c r="AC329" s="16">
        <v>2627</v>
      </c>
      <c r="AD329" s="17">
        <v>629</v>
      </c>
    </row>
    <row r="330" spans="1:30" ht="15.75" customHeight="1" x14ac:dyDescent="0.25">
      <c r="A330" s="37">
        <v>2022</v>
      </c>
      <c r="B330" s="35">
        <v>170755</v>
      </c>
      <c r="C330" s="33" t="str">
        <f>VLOOKUP(B330,procv!$A$2:$D$142,4,FALSE)</f>
        <v>Amor Perfeito</v>
      </c>
      <c r="D330" s="33" t="s">
        <v>55</v>
      </c>
      <c r="E330" s="17">
        <v>5</v>
      </c>
      <c r="F330" s="36">
        <f>IFERROR(E330/$AC330,0)</f>
        <v>1.7667844522968199E-2</v>
      </c>
      <c r="G330" s="17">
        <v>2</v>
      </c>
      <c r="H330" s="36">
        <f>IFERROR(G330/$AD330,0)</f>
        <v>2.8169014084507043E-2</v>
      </c>
      <c r="I330" s="17">
        <v>83</v>
      </c>
      <c r="J330" s="36">
        <f>IFERROR(I330/$AC330,0)</f>
        <v>0.29328621908127206</v>
      </c>
      <c r="K330" s="17">
        <v>21</v>
      </c>
      <c r="L330" s="36">
        <f>IFERROR(K330/$AD330,0)</f>
        <v>0.29577464788732394</v>
      </c>
      <c r="M330" s="17">
        <v>107</v>
      </c>
      <c r="N330" s="36">
        <f>IFERROR(M330/$AC330,0)</f>
        <v>0.37809187279151946</v>
      </c>
      <c r="O330" s="17">
        <v>28</v>
      </c>
      <c r="P330" s="36">
        <f>IFERROR(O330/$AD330,0)</f>
        <v>0.39436619718309857</v>
      </c>
      <c r="Q330" s="17">
        <v>54</v>
      </c>
      <c r="R330" s="36">
        <f>IFERROR(Q330/$AC330,0)</f>
        <v>0.19081272084805653</v>
      </c>
      <c r="S330" s="17">
        <v>11</v>
      </c>
      <c r="T330" s="36">
        <f>IFERROR(S330/$AD330,0)</f>
        <v>0.15492957746478872</v>
      </c>
      <c r="U330" s="17">
        <v>22</v>
      </c>
      <c r="V330" s="36">
        <f>IFERROR(U330/$AC330,0)</f>
        <v>7.7738515901060068E-2</v>
      </c>
      <c r="W330" s="17">
        <v>7</v>
      </c>
      <c r="X330" s="36">
        <f>IFERROR(W330/$AD330,0)</f>
        <v>9.8591549295774641E-2</v>
      </c>
      <c r="Y330" s="17">
        <v>12</v>
      </c>
      <c r="Z330" s="36">
        <f>IFERROR(Y330/$AC330,0)</f>
        <v>4.2402826855123678E-2</v>
      </c>
      <c r="AA330" s="17">
        <v>2</v>
      </c>
      <c r="AB330" s="36">
        <f>IFERROR(AA330/$AD330,0)</f>
        <v>2.8169014084507043E-2</v>
      </c>
      <c r="AC330" s="17">
        <v>283</v>
      </c>
      <c r="AD330" s="17">
        <v>71</v>
      </c>
    </row>
    <row r="331" spans="1:30" ht="15.75" customHeight="1" x14ac:dyDescent="0.25">
      <c r="A331" s="37">
        <v>2022</v>
      </c>
      <c r="B331" s="35">
        <v>170765</v>
      </c>
      <c r="C331" s="33" t="str">
        <f>VLOOKUP(B331,procv!$A$2:$D$142,4,FALSE)</f>
        <v>Ilha do Bananal</v>
      </c>
      <c r="D331" s="33" t="s">
        <v>56</v>
      </c>
      <c r="E331" s="17">
        <v>24</v>
      </c>
      <c r="F331" s="36">
        <f>IFERROR(E331/$AC331,0)</f>
        <v>2.7366020524515394E-2</v>
      </c>
      <c r="G331" s="17">
        <v>3</v>
      </c>
      <c r="H331" s="36">
        <f>IFERROR(G331/$AD331,0)</f>
        <v>2.3622047244094488E-2</v>
      </c>
      <c r="I331" s="17">
        <v>249</v>
      </c>
      <c r="J331" s="36">
        <f>IFERROR(I331/$AC331,0)</f>
        <v>0.2839224629418472</v>
      </c>
      <c r="K331" s="17">
        <v>47</v>
      </c>
      <c r="L331" s="36">
        <f>IFERROR(K331/$AD331,0)</f>
        <v>0.37007874015748032</v>
      </c>
      <c r="M331" s="17">
        <v>279</v>
      </c>
      <c r="N331" s="36">
        <f>IFERROR(M331/$AC331,0)</f>
        <v>0.31812998859749148</v>
      </c>
      <c r="O331" s="17">
        <v>31</v>
      </c>
      <c r="P331" s="36">
        <f>IFERROR(O331/$AD331,0)</f>
        <v>0.24409448818897639</v>
      </c>
      <c r="Q331" s="17">
        <v>196</v>
      </c>
      <c r="R331" s="36">
        <f>IFERROR(Q331/$AC331,0)</f>
        <v>0.22348916761687571</v>
      </c>
      <c r="S331" s="17">
        <v>24</v>
      </c>
      <c r="T331" s="36">
        <f>IFERROR(S331/$AD331,0)</f>
        <v>0.1889763779527559</v>
      </c>
      <c r="U331" s="17">
        <v>83</v>
      </c>
      <c r="V331" s="36">
        <f>IFERROR(U331/$AC331,0)</f>
        <v>9.4640820980615742E-2</v>
      </c>
      <c r="W331" s="17">
        <v>15</v>
      </c>
      <c r="X331" s="36">
        <f>IFERROR(W331/$AD331,0)</f>
        <v>0.11811023622047244</v>
      </c>
      <c r="Y331" s="17">
        <v>46</v>
      </c>
      <c r="Z331" s="36">
        <f>IFERROR(Y331/$AC331,0)</f>
        <v>5.2451539338654506E-2</v>
      </c>
      <c r="AA331" s="17">
        <v>7</v>
      </c>
      <c r="AB331" s="36">
        <f>IFERROR(AA331/$AD331,0)</f>
        <v>5.5118110236220472E-2</v>
      </c>
      <c r="AC331" s="17">
        <v>877</v>
      </c>
      <c r="AD331" s="17">
        <v>127</v>
      </c>
    </row>
    <row r="332" spans="1:30" ht="15.75" customHeight="1" x14ac:dyDescent="0.25">
      <c r="A332" s="37">
        <v>2022</v>
      </c>
      <c r="B332" s="35">
        <v>170770</v>
      </c>
      <c r="C332" s="33" t="str">
        <f>VLOOKUP(B332,procv!$A$2:$D$142,4,FALSE)</f>
        <v>Médio Norte Araguaia</v>
      </c>
      <c r="D332" s="33" t="s">
        <v>57</v>
      </c>
      <c r="E332" s="17">
        <v>62</v>
      </c>
      <c r="F332" s="36">
        <f>IFERROR(E332/$AC332,0)</f>
        <v>2.8505747126436783E-2</v>
      </c>
      <c r="G332" s="17">
        <v>23</v>
      </c>
      <c r="H332" s="36">
        <f>IFERROR(G332/$AD332,0)</f>
        <v>4.2750929368029739E-2</v>
      </c>
      <c r="I332" s="17">
        <v>732</v>
      </c>
      <c r="J332" s="36">
        <f>IFERROR(I332/$AC332,0)</f>
        <v>0.33655172413793105</v>
      </c>
      <c r="K332" s="17">
        <v>189</v>
      </c>
      <c r="L332" s="36">
        <f>IFERROR(K332/$AD332,0)</f>
        <v>0.35130111524163571</v>
      </c>
      <c r="M332" s="17">
        <v>762</v>
      </c>
      <c r="N332" s="36">
        <f>IFERROR(M332/$AC332,0)</f>
        <v>0.35034482758620689</v>
      </c>
      <c r="O332" s="17">
        <v>161</v>
      </c>
      <c r="P332" s="36">
        <f>IFERROR(O332/$AD332,0)</f>
        <v>0.2992565055762082</v>
      </c>
      <c r="Q332" s="17">
        <v>416</v>
      </c>
      <c r="R332" s="36">
        <f>IFERROR(Q332/$AC332,0)</f>
        <v>0.19126436781609196</v>
      </c>
      <c r="S332" s="17">
        <v>113</v>
      </c>
      <c r="T332" s="36">
        <f>IFERROR(S332/$AD332,0)</f>
        <v>0.2100371747211896</v>
      </c>
      <c r="U332" s="17">
        <v>136</v>
      </c>
      <c r="V332" s="36">
        <f>IFERROR(U332/$AC332,0)</f>
        <v>6.2528735632183904E-2</v>
      </c>
      <c r="W332" s="17">
        <v>32</v>
      </c>
      <c r="X332" s="36">
        <f>IFERROR(W332/$AD332,0)</f>
        <v>5.9479553903345722E-2</v>
      </c>
      <c r="Y332" s="17">
        <v>67</v>
      </c>
      <c r="Z332" s="36">
        <f>IFERROR(Y332/$AC332,0)</f>
        <v>3.0804597701149426E-2</v>
      </c>
      <c r="AA332" s="17">
        <v>20</v>
      </c>
      <c r="AB332" s="36">
        <f>IFERROR(AA332/$AD332,0)</f>
        <v>3.717472118959108E-2</v>
      </c>
      <c r="AC332" s="16">
        <v>2175</v>
      </c>
      <c r="AD332" s="17">
        <v>538</v>
      </c>
    </row>
    <row r="333" spans="1:30" ht="15.75" customHeight="1" x14ac:dyDescent="0.25">
      <c r="A333" s="37">
        <v>2022</v>
      </c>
      <c r="B333" s="35">
        <v>170820</v>
      </c>
      <c r="C333" s="33" t="str">
        <f>VLOOKUP(B333,procv!$A$2:$D$142,4,FALSE)</f>
        <v>Ilha do Bananal</v>
      </c>
      <c r="D333" s="33" t="s">
        <v>58</v>
      </c>
      <c r="E333" s="17">
        <v>68</v>
      </c>
      <c r="F333" s="36">
        <f>IFERROR(E333/$AC333,0)</f>
        <v>2.2427440633245383E-2</v>
      </c>
      <c r="G333" s="17">
        <v>13</v>
      </c>
      <c r="H333" s="36">
        <f>IFERROR(G333/$AD333,0)</f>
        <v>1.9726858877086494E-2</v>
      </c>
      <c r="I333" s="17">
        <v>936</v>
      </c>
      <c r="J333" s="36">
        <f>IFERROR(I333/$AC333,0)</f>
        <v>0.30870712401055411</v>
      </c>
      <c r="K333" s="17">
        <v>225</v>
      </c>
      <c r="L333" s="36">
        <f>IFERROR(K333/$AD333,0)</f>
        <v>0.34142640364188165</v>
      </c>
      <c r="M333" s="16">
        <v>1092</v>
      </c>
      <c r="N333" s="36">
        <f>IFERROR(M333/$AC333,0)</f>
        <v>0.36015831134564646</v>
      </c>
      <c r="O333" s="17">
        <v>207</v>
      </c>
      <c r="P333" s="36">
        <f>IFERROR(O333/$AD333,0)</f>
        <v>0.31411229135053109</v>
      </c>
      <c r="Q333" s="17">
        <v>586</v>
      </c>
      <c r="R333" s="36">
        <f>IFERROR(Q333/$AC333,0)</f>
        <v>0.19327176781002639</v>
      </c>
      <c r="S333" s="17">
        <v>135</v>
      </c>
      <c r="T333" s="36">
        <f>IFERROR(S333/$AD333,0)</f>
        <v>0.20485584218512898</v>
      </c>
      <c r="U333" s="17">
        <v>233</v>
      </c>
      <c r="V333" s="36">
        <f>IFERROR(U333/$AC333,0)</f>
        <v>7.6846965699208444E-2</v>
      </c>
      <c r="W333" s="17">
        <v>52</v>
      </c>
      <c r="X333" s="36">
        <f>IFERROR(W333/$AD333,0)</f>
        <v>7.8907435508345974E-2</v>
      </c>
      <c r="Y333" s="17">
        <v>117</v>
      </c>
      <c r="Z333" s="36">
        <f>IFERROR(Y333/$AC333,0)</f>
        <v>3.8588390501319264E-2</v>
      </c>
      <c r="AA333" s="17">
        <v>27</v>
      </c>
      <c r="AB333" s="36">
        <f>IFERROR(AA333/$AD333,0)</f>
        <v>4.09711684370258E-2</v>
      </c>
      <c r="AC333" s="16">
        <v>3032</v>
      </c>
      <c r="AD333" s="17">
        <v>659</v>
      </c>
    </row>
    <row r="334" spans="1:30" ht="15.75" customHeight="1" x14ac:dyDescent="0.25">
      <c r="A334" s="37">
        <v>2022</v>
      </c>
      <c r="B334" s="35">
        <v>170830</v>
      </c>
      <c r="C334" s="33" t="str">
        <f>VLOOKUP(B334,procv!$A$2:$D$142,4,FALSE)</f>
        <v>Cerrado Tocantins Araguaia</v>
      </c>
      <c r="D334" s="33" t="s">
        <v>59</v>
      </c>
      <c r="E334" s="17">
        <v>24</v>
      </c>
      <c r="F334" s="36">
        <f>IFERROR(E334/$AC334,0)</f>
        <v>1.8018018018018018E-2</v>
      </c>
      <c r="G334" s="17">
        <v>3</v>
      </c>
      <c r="H334" s="36">
        <f>IFERROR(G334/$AD334,0)</f>
        <v>1.5873015873015872E-2</v>
      </c>
      <c r="I334" s="17">
        <v>478</v>
      </c>
      <c r="J334" s="36">
        <f>IFERROR(I334/$AC334,0)</f>
        <v>0.35885885885885888</v>
      </c>
      <c r="K334" s="17">
        <v>72</v>
      </c>
      <c r="L334" s="36">
        <f>IFERROR(K334/$AD334,0)</f>
        <v>0.38095238095238093</v>
      </c>
      <c r="M334" s="17">
        <v>496</v>
      </c>
      <c r="N334" s="36">
        <f>IFERROR(M334/$AC334,0)</f>
        <v>0.37237237237237236</v>
      </c>
      <c r="O334" s="17">
        <v>60</v>
      </c>
      <c r="P334" s="36">
        <f>IFERROR(O334/$AD334,0)</f>
        <v>0.31746031746031744</v>
      </c>
      <c r="Q334" s="17">
        <v>236</v>
      </c>
      <c r="R334" s="36">
        <f>IFERROR(Q334/$AC334,0)</f>
        <v>0.17717717717717718</v>
      </c>
      <c r="S334" s="17">
        <v>38</v>
      </c>
      <c r="T334" s="36">
        <f>IFERROR(S334/$AD334,0)</f>
        <v>0.20105820105820105</v>
      </c>
      <c r="U334" s="17">
        <v>76</v>
      </c>
      <c r="V334" s="36">
        <f>IFERROR(U334/$AC334,0)</f>
        <v>5.7057057057057055E-2</v>
      </c>
      <c r="W334" s="17">
        <v>13</v>
      </c>
      <c r="X334" s="36">
        <f>IFERROR(W334/$AD334,0)</f>
        <v>6.8783068783068779E-2</v>
      </c>
      <c r="Y334" s="17">
        <v>22</v>
      </c>
      <c r="Z334" s="36">
        <f>IFERROR(Y334/$AC334,0)</f>
        <v>1.6516516516516516E-2</v>
      </c>
      <c r="AA334" s="17">
        <v>3</v>
      </c>
      <c r="AB334" s="36">
        <f>IFERROR(AA334/$AD334,0)</f>
        <v>1.5873015873015872E-2</v>
      </c>
      <c r="AC334" s="16">
        <v>1332</v>
      </c>
      <c r="AD334" s="17">
        <v>189</v>
      </c>
    </row>
    <row r="335" spans="1:30" ht="15.75" customHeight="1" x14ac:dyDescent="0.25">
      <c r="A335" s="37">
        <v>2022</v>
      </c>
      <c r="B335" s="35">
        <v>170900</v>
      </c>
      <c r="C335" s="33" t="str">
        <f>VLOOKUP(B335,procv!$A$2:$D$142,4,FALSE)</f>
        <v>Médio Norte Araguaia</v>
      </c>
      <c r="D335" s="33" t="s">
        <v>60</v>
      </c>
      <c r="E335" s="17">
        <v>48</v>
      </c>
      <c r="F335" s="36">
        <f>IFERROR(E335/$AC335,0)</f>
        <v>2.8571428571428571E-2</v>
      </c>
      <c r="G335" s="17">
        <v>17</v>
      </c>
      <c r="H335" s="36">
        <f>IFERROR(G335/$AD335,0)</f>
        <v>3.1423290203327174E-2</v>
      </c>
      <c r="I335" s="17">
        <v>630</v>
      </c>
      <c r="J335" s="36">
        <f>IFERROR(I335/$AC335,0)</f>
        <v>0.375</v>
      </c>
      <c r="K335" s="17">
        <v>215</v>
      </c>
      <c r="L335" s="36">
        <f>IFERROR(K335/$AD335,0)</f>
        <v>0.39741219963031421</v>
      </c>
      <c r="M335" s="17">
        <v>573</v>
      </c>
      <c r="N335" s="36">
        <f>IFERROR(M335/$AC335,0)</f>
        <v>0.34107142857142858</v>
      </c>
      <c r="O335" s="17">
        <v>171</v>
      </c>
      <c r="P335" s="36">
        <f>IFERROR(O335/$AD335,0)</f>
        <v>0.31608133086876156</v>
      </c>
      <c r="Q335" s="17">
        <v>307</v>
      </c>
      <c r="R335" s="36">
        <f>IFERROR(Q335/$AC335,0)</f>
        <v>0.18273809523809523</v>
      </c>
      <c r="S335" s="17">
        <v>95</v>
      </c>
      <c r="T335" s="36">
        <f>IFERROR(S335/$AD335,0)</f>
        <v>0.1756007393715342</v>
      </c>
      <c r="U335" s="17">
        <v>88</v>
      </c>
      <c r="V335" s="36">
        <f>IFERROR(U335/$AC335,0)</f>
        <v>5.2380952380952382E-2</v>
      </c>
      <c r="W335" s="17">
        <v>33</v>
      </c>
      <c r="X335" s="36">
        <f>IFERROR(W335/$AD335,0)</f>
        <v>6.0998151571164512E-2</v>
      </c>
      <c r="Y335" s="17">
        <v>34</v>
      </c>
      <c r="Z335" s="36">
        <f>IFERROR(Y335/$AC335,0)</f>
        <v>2.0238095238095239E-2</v>
      </c>
      <c r="AA335" s="17">
        <v>10</v>
      </c>
      <c r="AB335" s="36">
        <f>IFERROR(AA335/$AD335,0)</f>
        <v>1.8484288354898338E-2</v>
      </c>
      <c r="AC335" s="16">
        <v>1680</v>
      </c>
      <c r="AD335" s="17">
        <v>541</v>
      </c>
    </row>
    <row r="336" spans="1:30" ht="15.75" customHeight="1" x14ac:dyDescent="0.25">
      <c r="A336" s="37">
        <v>2022</v>
      </c>
      <c r="B336" s="35">
        <v>170930</v>
      </c>
      <c r="C336" s="33" t="str">
        <f>VLOOKUP(B336,procv!$A$2:$D$142,4,FALSE)</f>
        <v>Cerrado Tocantins Araguaia</v>
      </c>
      <c r="D336" s="33" t="s">
        <v>61</v>
      </c>
      <c r="E336" s="17">
        <v>89</v>
      </c>
      <c r="F336" s="36">
        <f>IFERROR(E336/$AC336,0)</f>
        <v>1.9123334765792865E-2</v>
      </c>
      <c r="G336" s="17">
        <v>11</v>
      </c>
      <c r="H336" s="36">
        <f>IFERROR(G336/$AD336,0)</f>
        <v>3.4161490683229816E-2</v>
      </c>
      <c r="I336" s="16">
        <v>1485</v>
      </c>
      <c r="J336" s="36">
        <f>IFERROR(I336/$AC336,0)</f>
        <v>0.3190803609798023</v>
      </c>
      <c r="K336" s="17">
        <v>113</v>
      </c>
      <c r="L336" s="36">
        <f>IFERROR(K336/$AD336,0)</f>
        <v>0.35093167701863354</v>
      </c>
      <c r="M336" s="16">
        <v>1700</v>
      </c>
      <c r="N336" s="36">
        <f>IFERROR(M336/$AC336,0)</f>
        <v>0.36527718091963901</v>
      </c>
      <c r="O336" s="17">
        <v>105</v>
      </c>
      <c r="P336" s="36">
        <f>IFERROR(O336/$AD336,0)</f>
        <v>0.32608695652173914</v>
      </c>
      <c r="Q336" s="17">
        <v>932</v>
      </c>
      <c r="R336" s="36">
        <f>IFERROR(Q336/$AC336,0)</f>
        <v>0.20025784271594327</v>
      </c>
      <c r="S336" s="17">
        <v>54</v>
      </c>
      <c r="T336" s="36">
        <f>IFERROR(S336/$AD336,0)</f>
        <v>0.16770186335403728</v>
      </c>
      <c r="U336" s="17">
        <v>309</v>
      </c>
      <c r="V336" s="36">
        <f>IFERROR(U336/$AC336,0)</f>
        <v>6.6394499355393211E-2</v>
      </c>
      <c r="W336" s="17">
        <v>27</v>
      </c>
      <c r="X336" s="36">
        <f>IFERROR(W336/$AD336,0)</f>
        <v>8.3850931677018639E-2</v>
      </c>
      <c r="Y336" s="17">
        <v>139</v>
      </c>
      <c r="Z336" s="36">
        <f>IFERROR(Y336/$AC336,0)</f>
        <v>2.9866781263429308E-2</v>
      </c>
      <c r="AA336" s="17">
        <v>12</v>
      </c>
      <c r="AB336" s="36">
        <f>IFERROR(AA336/$AD336,0)</f>
        <v>3.7267080745341616E-2</v>
      </c>
      <c r="AC336" s="16">
        <v>4654</v>
      </c>
      <c r="AD336" s="17">
        <v>322</v>
      </c>
    </row>
    <row r="337" spans="1:30" ht="15.75" customHeight="1" x14ac:dyDescent="0.25">
      <c r="A337" s="37">
        <v>2022</v>
      </c>
      <c r="B337" s="35">
        <v>170950</v>
      </c>
      <c r="C337" s="33" t="str">
        <f>VLOOKUP(B337,procv!$A$2:$D$142,4,FALSE)</f>
        <v>Ilha do Bananal</v>
      </c>
      <c r="D337" s="33" t="s">
        <v>62</v>
      </c>
      <c r="E337" s="17">
        <v>108</v>
      </c>
      <c r="F337" s="36">
        <f>IFERROR(E337/$AC337,0)</f>
        <v>1.7277235642297231E-2</v>
      </c>
      <c r="G337" s="17">
        <v>27</v>
      </c>
      <c r="H337" s="36">
        <f>IFERROR(G337/$AD337,0)</f>
        <v>1.5202702702702704E-2</v>
      </c>
      <c r="I337" s="16">
        <v>2491</v>
      </c>
      <c r="J337" s="36">
        <f>IFERROR(I337/$AC337,0)</f>
        <v>0.39849624060150374</v>
      </c>
      <c r="K337" s="16">
        <v>1253</v>
      </c>
      <c r="L337" s="36">
        <f>IFERROR(K337/$AD337,0)</f>
        <v>0.70551801801801806</v>
      </c>
      <c r="M337" s="16">
        <v>1903</v>
      </c>
      <c r="N337" s="36">
        <f>IFERROR(M337/$AC337,0)</f>
        <v>0.30443129099344107</v>
      </c>
      <c r="O337" s="17">
        <v>285</v>
      </c>
      <c r="P337" s="36">
        <f>IFERROR(O337/$AD337,0)</f>
        <v>0.16047297297297297</v>
      </c>
      <c r="Q337" s="16">
        <v>1099</v>
      </c>
      <c r="R337" s="36">
        <f>IFERROR(Q337/$AC337,0)</f>
        <v>0.17581187010078386</v>
      </c>
      <c r="S337" s="17">
        <v>133</v>
      </c>
      <c r="T337" s="36">
        <f>IFERROR(S337/$AD337,0)</f>
        <v>7.4887387387387386E-2</v>
      </c>
      <c r="U337" s="17">
        <v>458</v>
      </c>
      <c r="V337" s="36">
        <f>IFERROR(U337/$AC337,0)</f>
        <v>7.3268277075667895E-2</v>
      </c>
      <c r="W337" s="17">
        <v>59</v>
      </c>
      <c r="X337" s="36">
        <f>IFERROR(W337/$AD337,0)</f>
        <v>3.3220720720720721E-2</v>
      </c>
      <c r="Y337" s="17">
        <v>192</v>
      </c>
      <c r="Z337" s="36">
        <f>IFERROR(Y337/$AC337,0)</f>
        <v>3.0715085586306191E-2</v>
      </c>
      <c r="AA337" s="17">
        <v>19</v>
      </c>
      <c r="AB337" s="36">
        <f>IFERROR(AA337/$AD337,0)</f>
        <v>1.0698198198198198E-2</v>
      </c>
      <c r="AC337" s="16">
        <v>6251</v>
      </c>
      <c r="AD337" s="16">
        <v>1776</v>
      </c>
    </row>
    <row r="338" spans="1:30" ht="15.75" customHeight="1" x14ac:dyDescent="0.25">
      <c r="A338" s="37">
        <v>2022</v>
      </c>
      <c r="B338" s="35">
        <v>170980</v>
      </c>
      <c r="C338" s="33" t="str">
        <f>VLOOKUP(B338,procv!$A$2:$D$142,4,FALSE)</f>
        <v>Amor Perfeito</v>
      </c>
      <c r="D338" s="33" t="s">
        <v>63</v>
      </c>
      <c r="E338" s="17">
        <v>11</v>
      </c>
      <c r="F338" s="36">
        <f>IFERROR(E338/$AC338,0)</f>
        <v>2.2727272727272728E-2</v>
      </c>
      <c r="G338" s="17">
        <v>1</v>
      </c>
      <c r="H338" s="36">
        <f>IFERROR(G338/$AD338,0)</f>
        <v>1.3333333333333334E-2</v>
      </c>
      <c r="I338" s="17">
        <v>120</v>
      </c>
      <c r="J338" s="36">
        <f>IFERROR(I338/$AC338,0)</f>
        <v>0.24793388429752067</v>
      </c>
      <c r="K338" s="17">
        <v>14</v>
      </c>
      <c r="L338" s="36">
        <f>IFERROR(K338/$AD338,0)</f>
        <v>0.18666666666666668</v>
      </c>
      <c r="M338" s="17">
        <v>171</v>
      </c>
      <c r="N338" s="36">
        <f>IFERROR(M338/$AC338,0)</f>
        <v>0.35330578512396693</v>
      </c>
      <c r="O338" s="17">
        <v>25</v>
      </c>
      <c r="P338" s="36">
        <f>IFERROR(O338/$AD338,0)</f>
        <v>0.33333333333333331</v>
      </c>
      <c r="Q338" s="17">
        <v>127</v>
      </c>
      <c r="R338" s="36">
        <f>IFERROR(Q338/$AC338,0)</f>
        <v>0.26239669421487605</v>
      </c>
      <c r="S338" s="17">
        <v>25</v>
      </c>
      <c r="T338" s="36">
        <f>IFERROR(S338/$AD338,0)</f>
        <v>0.33333333333333331</v>
      </c>
      <c r="U338" s="17">
        <v>38</v>
      </c>
      <c r="V338" s="36">
        <f>IFERROR(U338/$AC338,0)</f>
        <v>7.8512396694214878E-2</v>
      </c>
      <c r="W338" s="17">
        <v>8</v>
      </c>
      <c r="X338" s="36">
        <f>IFERROR(W338/$AD338,0)</f>
        <v>0.10666666666666667</v>
      </c>
      <c r="Y338" s="17">
        <v>17</v>
      </c>
      <c r="Z338" s="36">
        <f>IFERROR(Y338/$AC338,0)</f>
        <v>3.5123966942148761E-2</v>
      </c>
      <c r="AA338" s="17">
        <v>2</v>
      </c>
      <c r="AB338" s="36">
        <f>IFERROR(AA338/$AD338,0)</f>
        <v>2.6666666666666668E-2</v>
      </c>
      <c r="AC338" s="17">
        <v>484</v>
      </c>
      <c r="AD338" s="17">
        <v>75</v>
      </c>
    </row>
    <row r="339" spans="1:30" ht="15.75" customHeight="1" x14ac:dyDescent="0.25">
      <c r="A339" s="37">
        <v>2022</v>
      </c>
      <c r="B339" s="35">
        <v>171050</v>
      </c>
      <c r="C339" s="33" t="str">
        <f>VLOOKUP(B339,procv!$A$2:$D$142,4,FALSE)</f>
        <v>Cerrado Tocantins Araguaia</v>
      </c>
      <c r="D339" s="33" t="s">
        <v>64</v>
      </c>
      <c r="E339" s="17">
        <v>27</v>
      </c>
      <c r="F339" s="36">
        <f>IFERROR(E339/$AC339,0)</f>
        <v>2.3417172593235037E-2</v>
      </c>
      <c r="G339" s="17">
        <v>13</v>
      </c>
      <c r="H339" s="36">
        <f>IFERROR(G339/$AD339,0)</f>
        <v>3.5714285714285712E-2</v>
      </c>
      <c r="I339" s="17">
        <v>400</v>
      </c>
      <c r="J339" s="36">
        <f>IFERROR(I339/$AC339,0)</f>
        <v>0.3469210754553339</v>
      </c>
      <c r="K339" s="17">
        <v>132</v>
      </c>
      <c r="L339" s="36">
        <f>IFERROR(K339/$AD339,0)</f>
        <v>0.36263736263736263</v>
      </c>
      <c r="M339" s="17">
        <v>423</v>
      </c>
      <c r="N339" s="36">
        <f>IFERROR(M339/$AC339,0)</f>
        <v>0.3668690372940156</v>
      </c>
      <c r="O339" s="17">
        <v>113</v>
      </c>
      <c r="P339" s="36">
        <f>IFERROR(O339/$AD339,0)</f>
        <v>0.31043956043956045</v>
      </c>
      <c r="Q339" s="17">
        <v>214</v>
      </c>
      <c r="R339" s="36">
        <f>IFERROR(Q339/$AC339,0)</f>
        <v>0.18560277536860365</v>
      </c>
      <c r="S339" s="17">
        <v>73</v>
      </c>
      <c r="T339" s="36">
        <f>IFERROR(S339/$AD339,0)</f>
        <v>0.20054945054945056</v>
      </c>
      <c r="U339" s="17">
        <v>59</v>
      </c>
      <c r="V339" s="36">
        <f>IFERROR(U339/$AC339,0)</f>
        <v>5.1170858629661753E-2</v>
      </c>
      <c r="W339" s="17">
        <v>20</v>
      </c>
      <c r="X339" s="36">
        <f>IFERROR(W339/$AD339,0)</f>
        <v>5.4945054945054944E-2</v>
      </c>
      <c r="Y339" s="17">
        <v>30</v>
      </c>
      <c r="Z339" s="36">
        <f>IFERROR(Y339/$AC339,0)</f>
        <v>2.6019080659150044E-2</v>
      </c>
      <c r="AA339" s="17">
        <v>13</v>
      </c>
      <c r="AB339" s="36">
        <f>IFERROR(AA339/$AD339,0)</f>
        <v>3.5714285714285712E-2</v>
      </c>
      <c r="AC339" s="16">
        <v>1153</v>
      </c>
      <c r="AD339" s="17">
        <v>364</v>
      </c>
    </row>
    <row r="340" spans="1:30" ht="15.75" customHeight="1" x14ac:dyDescent="0.25">
      <c r="A340" s="37">
        <v>2022</v>
      </c>
      <c r="B340" s="35">
        <v>171070</v>
      </c>
      <c r="C340" s="33" t="str">
        <f>VLOOKUP(B340,procv!$A$2:$D$142,4,FALSE)</f>
        <v>Bico do Papagaio</v>
      </c>
      <c r="D340" s="33" t="s">
        <v>65</v>
      </c>
      <c r="E340" s="17">
        <v>25</v>
      </c>
      <c r="F340" s="36">
        <f>IFERROR(E340/$AC340,0)</f>
        <v>2.3169601482854494E-2</v>
      </c>
      <c r="G340" s="17">
        <v>8</v>
      </c>
      <c r="H340" s="36">
        <f>IFERROR(G340/$AD340,0)</f>
        <v>5.2287581699346407E-2</v>
      </c>
      <c r="I340" s="17">
        <v>408</v>
      </c>
      <c r="J340" s="36">
        <f>IFERROR(I340/$AC340,0)</f>
        <v>0.37812789620018533</v>
      </c>
      <c r="K340" s="17">
        <v>64</v>
      </c>
      <c r="L340" s="36">
        <f>IFERROR(K340/$AD340,0)</f>
        <v>0.41830065359477125</v>
      </c>
      <c r="M340" s="17">
        <v>395</v>
      </c>
      <c r="N340" s="36">
        <f>IFERROR(M340/$AC340,0)</f>
        <v>0.36607970342910101</v>
      </c>
      <c r="O340" s="17">
        <v>50</v>
      </c>
      <c r="P340" s="36">
        <f>IFERROR(O340/$AD340,0)</f>
        <v>0.32679738562091504</v>
      </c>
      <c r="Q340" s="17">
        <v>163</v>
      </c>
      <c r="R340" s="36">
        <f>IFERROR(Q340/$AC340,0)</f>
        <v>0.15106580166821132</v>
      </c>
      <c r="S340" s="17">
        <v>23</v>
      </c>
      <c r="T340" s="36">
        <f>IFERROR(S340/$AD340,0)</f>
        <v>0.15032679738562091</v>
      </c>
      <c r="U340" s="17">
        <v>66</v>
      </c>
      <c r="V340" s="36">
        <f>IFERROR(U340/$AC340,0)</f>
        <v>6.1167747914735865E-2</v>
      </c>
      <c r="W340" s="17">
        <v>6</v>
      </c>
      <c r="X340" s="36">
        <f>IFERROR(W340/$AD340,0)</f>
        <v>3.9215686274509803E-2</v>
      </c>
      <c r="Y340" s="17">
        <v>22</v>
      </c>
      <c r="Z340" s="36">
        <f>IFERROR(Y340/$AC340,0)</f>
        <v>2.0389249304911955E-2</v>
      </c>
      <c r="AA340" s="17">
        <v>2</v>
      </c>
      <c r="AB340" s="36">
        <f>IFERROR(AA340/$AD340,0)</f>
        <v>1.3071895424836602E-2</v>
      </c>
      <c r="AC340" s="16">
        <v>1079</v>
      </c>
      <c r="AD340" s="17">
        <v>153</v>
      </c>
    </row>
    <row r="341" spans="1:30" ht="15.75" customHeight="1" x14ac:dyDescent="0.25">
      <c r="A341" s="37">
        <v>2022</v>
      </c>
      <c r="B341" s="35">
        <v>171090</v>
      </c>
      <c r="C341" s="33" t="str">
        <f>VLOOKUP(B341,procv!$A$2:$D$142,4,FALSE)</f>
        <v>Cerrado Tocantins Araguaia</v>
      </c>
      <c r="D341" s="33" t="s">
        <v>66</v>
      </c>
      <c r="E341" s="17">
        <v>17</v>
      </c>
      <c r="F341" s="36">
        <f>IFERROR(E341/$AC341,0)</f>
        <v>1.6520894071914479E-2</v>
      </c>
      <c r="G341" s="17">
        <v>4</v>
      </c>
      <c r="H341" s="36">
        <f>IFERROR(G341/$AD341,0)</f>
        <v>3.4782608695652174E-2</v>
      </c>
      <c r="I341" s="17">
        <v>323</v>
      </c>
      <c r="J341" s="36">
        <f>IFERROR(I341/$AC341,0)</f>
        <v>0.31389698736637511</v>
      </c>
      <c r="K341" s="17">
        <v>37</v>
      </c>
      <c r="L341" s="36">
        <f>IFERROR(K341/$AD341,0)</f>
        <v>0.32173913043478258</v>
      </c>
      <c r="M341" s="17">
        <v>386</v>
      </c>
      <c r="N341" s="36">
        <f>IFERROR(M341/$AC341,0)</f>
        <v>0.37512147716229349</v>
      </c>
      <c r="O341" s="17">
        <v>41</v>
      </c>
      <c r="P341" s="36">
        <f>IFERROR(O341/$AD341,0)</f>
        <v>0.35652173913043478</v>
      </c>
      <c r="Q341" s="17">
        <v>209</v>
      </c>
      <c r="R341" s="36">
        <f>IFERROR(Q341/$AC341,0)</f>
        <v>0.20310981535471331</v>
      </c>
      <c r="S341" s="17">
        <v>24</v>
      </c>
      <c r="T341" s="36">
        <f>IFERROR(S341/$AD341,0)</f>
        <v>0.20869565217391303</v>
      </c>
      <c r="U341" s="17">
        <v>62</v>
      </c>
      <c r="V341" s="36">
        <f>IFERROR(U341/$AC341,0)</f>
        <v>6.0252672497570457E-2</v>
      </c>
      <c r="W341" s="17">
        <v>5</v>
      </c>
      <c r="X341" s="36">
        <f>IFERROR(W341/$AD341,0)</f>
        <v>4.3478260869565216E-2</v>
      </c>
      <c r="Y341" s="17">
        <v>32</v>
      </c>
      <c r="Z341" s="36">
        <f>IFERROR(Y341/$AC341,0)</f>
        <v>3.1098153547133137E-2</v>
      </c>
      <c r="AA341" s="17">
        <v>4</v>
      </c>
      <c r="AB341" s="36">
        <f>IFERROR(AA341/$AD341,0)</f>
        <v>3.4782608695652174E-2</v>
      </c>
      <c r="AC341" s="16">
        <v>1029</v>
      </c>
      <c r="AD341" s="17">
        <v>115</v>
      </c>
    </row>
    <row r="342" spans="1:30" ht="15.75" customHeight="1" x14ac:dyDescent="0.25">
      <c r="A342" s="37">
        <v>2022</v>
      </c>
      <c r="B342" s="35">
        <v>171110</v>
      </c>
      <c r="C342" s="33" t="str">
        <f>VLOOKUP(B342,procv!$A$2:$D$142,4,FALSE)</f>
        <v>Cerrado Tocantins Araguaia</v>
      </c>
      <c r="D342" s="33" t="s">
        <v>67</v>
      </c>
      <c r="E342" s="17">
        <v>17</v>
      </c>
      <c r="F342" s="36">
        <f>IFERROR(E342/$AC342,0)</f>
        <v>2.3643949930458971E-2</v>
      </c>
      <c r="G342" s="17">
        <v>5</v>
      </c>
      <c r="H342" s="36">
        <f>IFERROR(G342/$AD342,0)</f>
        <v>3.937007874015748E-2</v>
      </c>
      <c r="I342" s="17">
        <v>211</v>
      </c>
      <c r="J342" s="36">
        <f>IFERROR(I342/$AC342,0)</f>
        <v>0.29346314325452016</v>
      </c>
      <c r="K342" s="17">
        <v>39</v>
      </c>
      <c r="L342" s="36">
        <f>IFERROR(K342/$AD342,0)</f>
        <v>0.30708661417322836</v>
      </c>
      <c r="M342" s="17">
        <v>272</v>
      </c>
      <c r="N342" s="36">
        <f>IFERROR(M342/$AC342,0)</f>
        <v>0.37830319888734354</v>
      </c>
      <c r="O342" s="17">
        <v>46</v>
      </c>
      <c r="P342" s="36">
        <f>IFERROR(O342/$AD342,0)</f>
        <v>0.36220472440944884</v>
      </c>
      <c r="Q342" s="17">
        <v>147</v>
      </c>
      <c r="R342" s="36">
        <f>IFERROR(Q342/$AC342,0)</f>
        <v>0.20445062586926285</v>
      </c>
      <c r="S342" s="17">
        <v>23</v>
      </c>
      <c r="T342" s="36">
        <f>IFERROR(S342/$AD342,0)</f>
        <v>0.18110236220472442</v>
      </c>
      <c r="U342" s="17">
        <v>51</v>
      </c>
      <c r="V342" s="36">
        <f>IFERROR(U342/$AC342,0)</f>
        <v>7.0931849791376914E-2</v>
      </c>
      <c r="W342" s="17">
        <v>9</v>
      </c>
      <c r="X342" s="36">
        <f>IFERROR(W342/$AD342,0)</f>
        <v>7.0866141732283464E-2</v>
      </c>
      <c r="Y342" s="17">
        <v>21</v>
      </c>
      <c r="Z342" s="36">
        <f>IFERROR(Y342/$AC342,0)</f>
        <v>2.9207232267037551E-2</v>
      </c>
      <c r="AA342" s="17">
        <v>5</v>
      </c>
      <c r="AB342" s="36">
        <f>IFERROR(AA342/$AD342,0)</f>
        <v>3.937007874015748E-2</v>
      </c>
      <c r="AC342" s="17">
        <v>719</v>
      </c>
      <c r="AD342" s="17">
        <v>127</v>
      </c>
    </row>
    <row r="343" spans="1:30" ht="15.75" customHeight="1" x14ac:dyDescent="0.25">
      <c r="A343" s="37">
        <v>2022</v>
      </c>
      <c r="B343" s="35">
        <v>171150</v>
      </c>
      <c r="C343" s="33" t="str">
        <f>VLOOKUP(B343,procv!$A$2:$D$142,4,FALSE)</f>
        <v>Ilha do Bananal</v>
      </c>
      <c r="D343" s="33" t="s">
        <v>68</v>
      </c>
      <c r="E343" s="17">
        <v>21</v>
      </c>
      <c r="F343" s="36">
        <f>IFERROR(E343/$AC343,0)</f>
        <v>1.797945205479452E-2</v>
      </c>
      <c r="G343" s="17">
        <v>0</v>
      </c>
      <c r="H343" s="36">
        <f>IFERROR(G343/$AD343,0)</f>
        <v>0</v>
      </c>
      <c r="I343" s="17">
        <v>429</v>
      </c>
      <c r="J343" s="36">
        <f>IFERROR(I343/$AC343,0)</f>
        <v>0.3672945205479452</v>
      </c>
      <c r="K343" s="17">
        <v>45</v>
      </c>
      <c r="L343" s="36">
        <f>IFERROR(K343/$AD343,0)</f>
        <v>0.43269230769230771</v>
      </c>
      <c r="M343" s="17">
        <v>423</v>
      </c>
      <c r="N343" s="36">
        <f>IFERROR(M343/$AC343,0)</f>
        <v>0.36215753424657532</v>
      </c>
      <c r="O343" s="17">
        <v>30</v>
      </c>
      <c r="P343" s="36">
        <f>IFERROR(O343/$AD343,0)</f>
        <v>0.28846153846153844</v>
      </c>
      <c r="Q343" s="17">
        <v>200</v>
      </c>
      <c r="R343" s="36">
        <f>IFERROR(Q343/$AC343,0)</f>
        <v>0.17123287671232876</v>
      </c>
      <c r="S343" s="17">
        <v>21</v>
      </c>
      <c r="T343" s="36">
        <f>IFERROR(S343/$AD343,0)</f>
        <v>0.20192307692307693</v>
      </c>
      <c r="U343" s="17">
        <v>65</v>
      </c>
      <c r="V343" s="36">
        <f>IFERROR(U343/$AC343,0)</f>
        <v>5.565068493150685E-2</v>
      </c>
      <c r="W343" s="17">
        <v>5</v>
      </c>
      <c r="X343" s="36">
        <f>IFERROR(W343/$AD343,0)</f>
        <v>4.807692307692308E-2</v>
      </c>
      <c r="Y343" s="17">
        <v>30</v>
      </c>
      <c r="Z343" s="36">
        <f>IFERROR(Y343/$AC343,0)</f>
        <v>2.5684931506849314E-2</v>
      </c>
      <c r="AA343" s="17">
        <v>3</v>
      </c>
      <c r="AB343" s="36">
        <f>IFERROR(AA343/$AD343,0)</f>
        <v>2.8846153846153848E-2</v>
      </c>
      <c r="AC343" s="16">
        <v>1168</v>
      </c>
      <c r="AD343" s="17">
        <v>104</v>
      </c>
    </row>
    <row r="344" spans="1:30" ht="15.75" customHeight="1" x14ac:dyDescent="0.25">
      <c r="A344" s="37">
        <v>2022</v>
      </c>
      <c r="B344" s="35">
        <v>171180</v>
      </c>
      <c r="C344" s="33" t="str">
        <f>VLOOKUP(B344,procv!$A$2:$D$142,4,FALSE)</f>
        <v>Cerrado Tocantins Araguaia</v>
      </c>
      <c r="D344" s="33" t="s">
        <v>69</v>
      </c>
      <c r="E344" s="17">
        <v>16</v>
      </c>
      <c r="F344" s="36">
        <f>IFERROR(E344/$AC344,0)</f>
        <v>2.1768707482993196E-2</v>
      </c>
      <c r="G344" s="17">
        <v>2</v>
      </c>
      <c r="H344" s="36">
        <f>IFERROR(G344/$AD344,0)</f>
        <v>2.1739130434782608E-2</v>
      </c>
      <c r="I344" s="17">
        <v>253</v>
      </c>
      <c r="J344" s="36">
        <f>IFERROR(I344/$AC344,0)</f>
        <v>0.34421768707482991</v>
      </c>
      <c r="K344" s="17">
        <v>37</v>
      </c>
      <c r="L344" s="36">
        <f>IFERROR(K344/$AD344,0)</f>
        <v>0.40217391304347827</v>
      </c>
      <c r="M344" s="17">
        <v>254</v>
      </c>
      <c r="N344" s="36">
        <f>IFERROR(M344/$AC344,0)</f>
        <v>0.34557823129251702</v>
      </c>
      <c r="O344" s="17">
        <v>26</v>
      </c>
      <c r="P344" s="36">
        <f>IFERROR(O344/$AD344,0)</f>
        <v>0.28260869565217389</v>
      </c>
      <c r="Q344" s="17">
        <v>146</v>
      </c>
      <c r="R344" s="36">
        <f>IFERROR(Q344/$AC344,0)</f>
        <v>0.19863945578231293</v>
      </c>
      <c r="S344" s="17">
        <v>23</v>
      </c>
      <c r="T344" s="36">
        <f>IFERROR(S344/$AD344,0)</f>
        <v>0.25</v>
      </c>
      <c r="U344" s="17">
        <v>47</v>
      </c>
      <c r="V344" s="36">
        <f>IFERROR(U344/$AC344,0)</f>
        <v>6.3945578231292516E-2</v>
      </c>
      <c r="W344" s="17">
        <v>3</v>
      </c>
      <c r="X344" s="36">
        <f>IFERROR(W344/$AD344,0)</f>
        <v>3.2608695652173912E-2</v>
      </c>
      <c r="Y344" s="17">
        <v>19</v>
      </c>
      <c r="Z344" s="36">
        <f>IFERROR(Y344/$AC344,0)</f>
        <v>2.5850340136054421E-2</v>
      </c>
      <c r="AA344" s="17">
        <v>1</v>
      </c>
      <c r="AB344" s="36">
        <f>IFERROR(AA344/$AD344,0)</f>
        <v>1.0869565217391304E-2</v>
      </c>
      <c r="AC344" s="17">
        <v>735</v>
      </c>
      <c r="AD344" s="17">
        <v>92</v>
      </c>
    </row>
    <row r="345" spans="1:30" ht="15.75" customHeight="1" x14ac:dyDescent="0.25">
      <c r="A345" s="37">
        <v>2022</v>
      </c>
      <c r="B345" s="35">
        <v>171190</v>
      </c>
      <c r="C345" s="33" t="str">
        <f>VLOOKUP(B345,procv!$A$2:$D$142,4,FALSE)</f>
        <v>Cantão</v>
      </c>
      <c r="D345" s="33" t="s">
        <v>70</v>
      </c>
      <c r="E345" s="17">
        <v>36</v>
      </c>
      <c r="F345" s="36">
        <f>IFERROR(E345/$AC345,0)</f>
        <v>3.5538005923000986E-2</v>
      </c>
      <c r="G345" s="17">
        <v>26</v>
      </c>
      <c r="H345" s="36">
        <f>IFERROR(G345/$AD345,0)</f>
        <v>4.133545310015898E-2</v>
      </c>
      <c r="I345" s="17">
        <v>379</v>
      </c>
      <c r="J345" s="36">
        <f>IFERROR(I345/$AC345,0)</f>
        <v>0.37413622902270482</v>
      </c>
      <c r="K345" s="17">
        <v>251</v>
      </c>
      <c r="L345" s="36">
        <f>IFERROR(K345/$AD345,0)</f>
        <v>0.39904610492845788</v>
      </c>
      <c r="M345" s="17">
        <v>340</v>
      </c>
      <c r="N345" s="36">
        <f>IFERROR(M345/$AC345,0)</f>
        <v>0.33563672260612043</v>
      </c>
      <c r="O345" s="17">
        <v>214</v>
      </c>
      <c r="P345" s="36">
        <f>IFERROR(O345/$AD345,0)</f>
        <v>0.34022257551669316</v>
      </c>
      <c r="Q345" s="17">
        <v>157</v>
      </c>
      <c r="R345" s="36">
        <f>IFERROR(Q345/$AC345,0)</f>
        <v>0.15498519249753209</v>
      </c>
      <c r="S345" s="17">
        <v>88</v>
      </c>
      <c r="T345" s="36">
        <f>IFERROR(S345/$AD345,0)</f>
        <v>0.13990461049284578</v>
      </c>
      <c r="U345" s="17">
        <v>70</v>
      </c>
      <c r="V345" s="36">
        <f>IFERROR(U345/$AC345,0)</f>
        <v>6.9101678183613027E-2</v>
      </c>
      <c r="W345" s="17">
        <v>38</v>
      </c>
      <c r="X345" s="36">
        <f>IFERROR(W345/$AD345,0)</f>
        <v>6.0413354531001592E-2</v>
      </c>
      <c r="Y345" s="17">
        <v>31</v>
      </c>
      <c r="Z345" s="36">
        <f>IFERROR(Y345/$AC345,0)</f>
        <v>3.0602171767028629E-2</v>
      </c>
      <c r="AA345" s="17">
        <v>12</v>
      </c>
      <c r="AB345" s="36">
        <f>IFERROR(AA345/$AD345,0)</f>
        <v>1.9077901430842606E-2</v>
      </c>
      <c r="AC345" s="16">
        <v>1013</v>
      </c>
      <c r="AD345" s="17">
        <v>629</v>
      </c>
    </row>
    <row r="346" spans="1:30" ht="15.75" customHeight="1" x14ac:dyDescent="0.25">
      <c r="A346" s="37">
        <v>2022</v>
      </c>
      <c r="B346" s="35">
        <v>171195</v>
      </c>
      <c r="C346" s="33" t="str">
        <f>VLOOKUP(B346,procv!$A$2:$D$142,4,FALSE)</f>
        <v>Capim Dourado</v>
      </c>
      <c r="D346" s="33" t="s">
        <v>71</v>
      </c>
      <c r="E346" s="17">
        <v>26</v>
      </c>
      <c r="F346" s="36">
        <f>IFERROR(E346/$AC346,0)</f>
        <v>2.1276595744680851E-2</v>
      </c>
      <c r="G346" s="17">
        <v>5</v>
      </c>
      <c r="H346" s="36">
        <f>IFERROR(G346/$AD346,0)</f>
        <v>3.5460992907801421E-2</v>
      </c>
      <c r="I346" s="17">
        <v>483</v>
      </c>
      <c r="J346" s="36">
        <f>IFERROR(I346/$AC346,0)</f>
        <v>0.39525368248772502</v>
      </c>
      <c r="K346" s="17">
        <v>57</v>
      </c>
      <c r="L346" s="36">
        <f>IFERROR(K346/$AD346,0)</f>
        <v>0.40425531914893614</v>
      </c>
      <c r="M346" s="17">
        <v>443</v>
      </c>
      <c r="N346" s="36">
        <f>IFERROR(M346/$AC346,0)</f>
        <v>0.36252045826513912</v>
      </c>
      <c r="O346" s="17">
        <v>52</v>
      </c>
      <c r="P346" s="36">
        <f>IFERROR(O346/$AD346,0)</f>
        <v>0.36879432624113473</v>
      </c>
      <c r="Q346" s="17">
        <v>182</v>
      </c>
      <c r="R346" s="36">
        <f>IFERROR(Q346/$AC346,0)</f>
        <v>0.14893617021276595</v>
      </c>
      <c r="S346" s="17">
        <v>18</v>
      </c>
      <c r="T346" s="36">
        <f>IFERROR(S346/$AD346,0)</f>
        <v>0.1276595744680851</v>
      </c>
      <c r="U346" s="17">
        <v>61</v>
      </c>
      <c r="V346" s="36">
        <f>IFERROR(U346/$AC346,0)</f>
        <v>4.9918166939443537E-2</v>
      </c>
      <c r="W346" s="17">
        <v>6</v>
      </c>
      <c r="X346" s="36">
        <f>IFERROR(W346/$AD346,0)</f>
        <v>4.2553191489361701E-2</v>
      </c>
      <c r="Y346" s="17">
        <v>27</v>
      </c>
      <c r="Z346" s="36">
        <f>IFERROR(Y346/$AC346,0)</f>
        <v>2.20949263502455E-2</v>
      </c>
      <c r="AA346" s="17">
        <v>3</v>
      </c>
      <c r="AB346" s="36">
        <f>IFERROR(AA346/$AD346,0)</f>
        <v>2.1276595744680851E-2</v>
      </c>
      <c r="AC346" s="16">
        <v>1222</v>
      </c>
      <c r="AD346" s="17">
        <v>141</v>
      </c>
    </row>
    <row r="347" spans="1:30" ht="15.75" customHeight="1" x14ac:dyDescent="0.25">
      <c r="A347" s="37">
        <v>2022</v>
      </c>
      <c r="B347" s="35">
        <v>171200</v>
      </c>
      <c r="C347" s="33" t="str">
        <f>VLOOKUP(B347,procv!$A$2:$D$142,4,FALSE)</f>
        <v>Capim Dourado</v>
      </c>
      <c r="D347" s="33" t="s">
        <v>72</v>
      </c>
      <c r="E347" s="17">
        <v>3</v>
      </c>
      <c r="F347" s="36">
        <f>IFERROR(E347/$AC347,0)</f>
        <v>2.5423728813559324E-2</v>
      </c>
      <c r="G347" s="17">
        <v>0</v>
      </c>
      <c r="H347" s="36">
        <f>IFERROR(G347/$AD347,0)</f>
        <v>0</v>
      </c>
      <c r="I347" s="17">
        <v>36</v>
      </c>
      <c r="J347" s="36">
        <f>IFERROR(I347/$AC347,0)</f>
        <v>0.30508474576271188</v>
      </c>
      <c r="K347" s="17">
        <v>11</v>
      </c>
      <c r="L347" s="36">
        <f>IFERROR(K347/$AD347,0)</f>
        <v>0.36666666666666664</v>
      </c>
      <c r="M347" s="17">
        <v>34</v>
      </c>
      <c r="N347" s="36">
        <f>IFERROR(M347/$AC347,0)</f>
        <v>0.28813559322033899</v>
      </c>
      <c r="O347" s="17">
        <v>9</v>
      </c>
      <c r="P347" s="36">
        <f>IFERROR(O347/$AD347,0)</f>
        <v>0.3</v>
      </c>
      <c r="Q347" s="17">
        <v>29</v>
      </c>
      <c r="R347" s="36">
        <f>IFERROR(Q347/$AC347,0)</f>
        <v>0.24576271186440679</v>
      </c>
      <c r="S347" s="17">
        <v>8</v>
      </c>
      <c r="T347" s="36">
        <f>IFERROR(S347/$AD347,0)</f>
        <v>0.26666666666666666</v>
      </c>
      <c r="U347" s="17">
        <v>13</v>
      </c>
      <c r="V347" s="36">
        <f>IFERROR(U347/$AC347,0)</f>
        <v>0.11016949152542373</v>
      </c>
      <c r="W347" s="17">
        <v>2</v>
      </c>
      <c r="X347" s="36">
        <f>IFERROR(W347/$AD347,0)</f>
        <v>6.6666666666666666E-2</v>
      </c>
      <c r="Y347" s="17">
        <v>3</v>
      </c>
      <c r="Z347" s="36">
        <f>IFERROR(Y347/$AC347,0)</f>
        <v>2.5423728813559324E-2</v>
      </c>
      <c r="AA347" s="17">
        <v>0</v>
      </c>
      <c r="AB347" s="36">
        <f>IFERROR(AA347/$AD347,0)</f>
        <v>0</v>
      </c>
      <c r="AC347" s="17">
        <v>118</v>
      </c>
      <c r="AD347" s="17">
        <v>30</v>
      </c>
    </row>
    <row r="348" spans="1:30" ht="15.75" customHeight="1" x14ac:dyDescent="0.25">
      <c r="A348" s="37">
        <v>2022</v>
      </c>
      <c r="B348" s="35">
        <v>171215</v>
      </c>
      <c r="C348" s="33" t="str">
        <f>VLOOKUP(B348,procv!$A$2:$D$142,4,FALSE)</f>
        <v>Sudeste</v>
      </c>
      <c r="D348" s="33" t="s">
        <v>73</v>
      </c>
      <c r="E348" s="17">
        <v>12</v>
      </c>
      <c r="F348" s="36">
        <f>IFERROR(E348/$AC348,0)</f>
        <v>1.9801980198019802E-2</v>
      </c>
      <c r="G348" s="17">
        <v>2</v>
      </c>
      <c r="H348" s="36">
        <f>IFERROR(G348/$AD348,0)</f>
        <v>4.3478260869565216E-2</v>
      </c>
      <c r="I348" s="17">
        <v>202</v>
      </c>
      <c r="J348" s="36">
        <f>IFERROR(I348/$AC348,0)</f>
        <v>0.33333333333333331</v>
      </c>
      <c r="K348" s="17">
        <v>14</v>
      </c>
      <c r="L348" s="36">
        <f>IFERROR(K348/$AD348,0)</f>
        <v>0.30434782608695654</v>
      </c>
      <c r="M348" s="17">
        <v>199</v>
      </c>
      <c r="N348" s="36">
        <f>IFERROR(M348/$AC348,0)</f>
        <v>0.32838283828382836</v>
      </c>
      <c r="O348" s="17">
        <v>9</v>
      </c>
      <c r="P348" s="36">
        <f>IFERROR(O348/$AD348,0)</f>
        <v>0.19565217391304349</v>
      </c>
      <c r="Q348" s="17">
        <v>127</v>
      </c>
      <c r="R348" s="36">
        <f>IFERROR(Q348/$AC348,0)</f>
        <v>0.20957095709570958</v>
      </c>
      <c r="S348" s="17">
        <v>17</v>
      </c>
      <c r="T348" s="36">
        <f>IFERROR(S348/$AD348,0)</f>
        <v>0.36956521739130432</v>
      </c>
      <c r="U348" s="17">
        <v>47</v>
      </c>
      <c r="V348" s="36">
        <f>IFERROR(U348/$AC348,0)</f>
        <v>7.7557755775577553E-2</v>
      </c>
      <c r="W348" s="17">
        <v>3</v>
      </c>
      <c r="X348" s="36">
        <f>IFERROR(W348/$AD348,0)</f>
        <v>6.5217391304347824E-2</v>
      </c>
      <c r="Y348" s="17">
        <v>19</v>
      </c>
      <c r="Z348" s="36">
        <f>IFERROR(Y348/$AC348,0)</f>
        <v>3.1353135313531351E-2</v>
      </c>
      <c r="AA348" s="17">
        <v>1</v>
      </c>
      <c r="AB348" s="36">
        <f>IFERROR(AA348/$AD348,0)</f>
        <v>2.1739130434782608E-2</v>
      </c>
      <c r="AC348" s="17">
        <v>606</v>
      </c>
      <c r="AD348" s="17">
        <v>46</v>
      </c>
    </row>
    <row r="349" spans="1:30" ht="15.75" customHeight="1" x14ac:dyDescent="0.25">
      <c r="A349" s="37">
        <v>2022</v>
      </c>
      <c r="B349" s="35">
        <v>171240</v>
      </c>
      <c r="C349" s="33" t="str">
        <f>VLOOKUP(B349,procv!$A$2:$D$142,4,FALSE)</f>
        <v>Capim Dourado</v>
      </c>
      <c r="D349" s="33" t="s">
        <v>74</v>
      </c>
      <c r="E349" s="17">
        <v>16</v>
      </c>
      <c r="F349" s="36">
        <f>IFERROR(E349/$AC349,0)</f>
        <v>3.125E-2</v>
      </c>
      <c r="G349" s="17">
        <v>10</v>
      </c>
      <c r="H349" s="36">
        <f>IFERROR(G349/$AD349,0)</f>
        <v>5.1546391752577317E-2</v>
      </c>
      <c r="I349" s="17">
        <v>192</v>
      </c>
      <c r="J349" s="36">
        <f>IFERROR(I349/$AC349,0)</f>
        <v>0.375</v>
      </c>
      <c r="K349" s="17">
        <v>70</v>
      </c>
      <c r="L349" s="36">
        <f>IFERROR(K349/$AD349,0)</f>
        <v>0.36082474226804123</v>
      </c>
      <c r="M349" s="17">
        <v>196</v>
      </c>
      <c r="N349" s="36">
        <f>IFERROR(M349/$AC349,0)</f>
        <v>0.3828125</v>
      </c>
      <c r="O349" s="17">
        <v>66</v>
      </c>
      <c r="P349" s="36">
        <f>IFERROR(O349/$AD349,0)</f>
        <v>0.34020618556701032</v>
      </c>
      <c r="Q349" s="17">
        <v>79</v>
      </c>
      <c r="R349" s="36">
        <f>IFERROR(Q349/$AC349,0)</f>
        <v>0.154296875</v>
      </c>
      <c r="S349" s="17">
        <v>38</v>
      </c>
      <c r="T349" s="36">
        <f>IFERROR(S349/$AD349,0)</f>
        <v>0.19587628865979381</v>
      </c>
      <c r="U349" s="17">
        <v>21</v>
      </c>
      <c r="V349" s="36">
        <f>IFERROR(U349/$AC349,0)</f>
        <v>4.1015625E-2</v>
      </c>
      <c r="W349" s="17">
        <v>6</v>
      </c>
      <c r="X349" s="36">
        <f>IFERROR(W349/$AD349,0)</f>
        <v>3.0927835051546393E-2</v>
      </c>
      <c r="Y349" s="17">
        <v>8</v>
      </c>
      <c r="Z349" s="36">
        <f>IFERROR(Y349/$AC349,0)</f>
        <v>1.5625E-2</v>
      </c>
      <c r="AA349" s="17">
        <v>4</v>
      </c>
      <c r="AB349" s="36">
        <f>IFERROR(AA349/$AD349,0)</f>
        <v>2.0618556701030927E-2</v>
      </c>
      <c r="AC349" s="17">
        <v>512</v>
      </c>
      <c r="AD349" s="17">
        <v>194</v>
      </c>
    </row>
    <row r="350" spans="1:30" ht="15.75" customHeight="1" x14ac:dyDescent="0.25">
      <c r="A350" s="37">
        <v>2022</v>
      </c>
      <c r="B350" s="35">
        <v>171245</v>
      </c>
      <c r="C350" s="33" t="str">
        <f>VLOOKUP(B350,procv!$A$2:$D$142,4,FALSE)</f>
        <v>Bico do Papagaio</v>
      </c>
      <c r="D350" s="33" t="s">
        <v>75</v>
      </c>
      <c r="E350" s="17">
        <v>16</v>
      </c>
      <c r="F350" s="36">
        <f>IFERROR(E350/$AC350,0)</f>
        <v>1.641025641025641E-2</v>
      </c>
      <c r="G350" s="17">
        <v>6</v>
      </c>
      <c r="H350" s="36">
        <f>IFERROR(G350/$AD350,0)</f>
        <v>3.8461538461538464E-2</v>
      </c>
      <c r="I350" s="17">
        <v>362</v>
      </c>
      <c r="J350" s="36">
        <f>IFERROR(I350/$AC350,0)</f>
        <v>0.37128205128205127</v>
      </c>
      <c r="K350" s="17">
        <v>53</v>
      </c>
      <c r="L350" s="36">
        <f>IFERROR(K350/$AD350,0)</f>
        <v>0.33974358974358976</v>
      </c>
      <c r="M350" s="17">
        <v>351</v>
      </c>
      <c r="N350" s="36">
        <f>IFERROR(M350/$AC350,0)</f>
        <v>0.36</v>
      </c>
      <c r="O350" s="17">
        <v>59</v>
      </c>
      <c r="P350" s="36">
        <f>IFERROR(O350/$AD350,0)</f>
        <v>0.37820512820512819</v>
      </c>
      <c r="Q350" s="17">
        <v>179</v>
      </c>
      <c r="R350" s="36">
        <f>IFERROR(Q350/$AC350,0)</f>
        <v>0.18358974358974359</v>
      </c>
      <c r="S350" s="17">
        <v>27</v>
      </c>
      <c r="T350" s="36">
        <f>IFERROR(S350/$AD350,0)</f>
        <v>0.17307692307692307</v>
      </c>
      <c r="U350" s="17">
        <v>42</v>
      </c>
      <c r="V350" s="36">
        <f>IFERROR(U350/$AC350,0)</f>
        <v>4.3076923076923075E-2</v>
      </c>
      <c r="W350" s="17">
        <v>8</v>
      </c>
      <c r="X350" s="36">
        <f>IFERROR(W350/$AD350,0)</f>
        <v>5.128205128205128E-2</v>
      </c>
      <c r="Y350" s="17">
        <v>25</v>
      </c>
      <c r="Z350" s="36">
        <f>IFERROR(Y350/$AC350,0)</f>
        <v>2.564102564102564E-2</v>
      </c>
      <c r="AA350" s="17">
        <v>3</v>
      </c>
      <c r="AB350" s="36">
        <f>IFERROR(AA350/$AD350,0)</f>
        <v>1.9230769230769232E-2</v>
      </c>
      <c r="AC350" s="17">
        <v>975</v>
      </c>
      <c r="AD350" s="17">
        <v>156</v>
      </c>
    </row>
    <row r="351" spans="1:30" ht="15.75" customHeight="1" x14ac:dyDescent="0.25">
      <c r="A351" s="37">
        <v>2022</v>
      </c>
      <c r="B351" s="35">
        <v>171250</v>
      </c>
      <c r="C351" s="33" t="str">
        <f>VLOOKUP(B351,procv!$A$2:$D$142,4,FALSE)</f>
        <v>Cantão</v>
      </c>
      <c r="D351" s="33" t="s">
        <v>76</v>
      </c>
      <c r="E351" s="17">
        <v>31</v>
      </c>
      <c r="F351" s="36">
        <f>IFERROR(E351/$AC351,0)</f>
        <v>2.0394736842105264E-2</v>
      </c>
      <c r="G351" s="17">
        <v>2</v>
      </c>
      <c r="H351" s="36">
        <f>IFERROR(G351/$AD351,0)</f>
        <v>2.4096385542168676E-2</v>
      </c>
      <c r="I351" s="17">
        <v>518</v>
      </c>
      <c r="J351" s="36">
        <f>IFERROR(I351/$AC351,0)</f>
        <v>0.34078947368421053</v>
      </c>
      <c r="K351" s="17">
        <v>18</v>
      </c>
      <c r="L351" s="36">
        <f>IFERROR(K351/$AD351,0)</f>
        <v>0.21686746987951808</v>
      </c>
      <c r="M351" s="17">
        <v>535</v>
      </c>
      <c r="N351" s="36">
        <f>IFERROR(M351/$AC351,0)</f>
        <v>0.35197368421052633</v>
      </c>
      <c r="O351" s="17">
        <v>30</v>
      </c>
      <c r="P351" s="36">
        <f>IFERROR(O351/$AD351,0)</f>
        <v>0.36144578313253012</v>
      </c>
      <c r="Q351" s="17">
        <v>293</v>
      </c>
      <c r="R351" s="36">
        <f>IFERROR(Q351/$AC351,0)</f>
        <v>0.19276315789473683</v>
      </c>
      <c r="S351" s="17">
        <v>24</v>
      </c>
      <c r="T351" s="36">
        <f>IFERROR(S351/$AD351,0)</f>
        <v>0.28915662650602408</v>
      </c>
      <c r="U351" s="17">
        <v>89</v>
      </c>
      <c r="V351" s="36">
        <f>IFERROR(U351/$AC351,0)</f>
        <v>5.855263157894737E-2</v>
      </c>
      <c r="W351" s="17">
        <v>3</v>
      </c>
      <c r="X351" s="36">
        <f>IFERROR(W351/$AD351,0)</f>
        <v>3.614457831325301E-2</v>
      </c>
      <c r="Y351" s="17">
        <v>54</v>
      </c>
      <c r="Z351" s="36">
        <f>IFERROR(Y351/$AC351,0)</f>
        <v>3.5526315789473684E-2</v>
      </c>
      <c r="AA351" s="17">
        <v>6</v>
      </c>
      <c r="AB351" s="36">
        <f>IFERROR(AA351/$AD351,0)</f>
        <v>7.2289156626506021E-2</v>
      </c>
      <c r="AC351" s="16">
        <v>1520</v>
      </c>
      <c r="AD351" s="17">
        <v>83</v>
      </c>
    </row>
    <row r="352" spans="1:30" ht="15.75" customHeight="1" x14ac:dyDescent="0.25">
      <c r="A352" s="37">
        <v>2022</v>
      </c>
      <c r="B352" s="35">
        <v>171270</v>
      </c>
      <c r="C352" s="33" t="str">
        <f>VLOOKUP(B352,procv!$A$2:$D$142,4,FALSE)</f>
        <v>Amor Perfeito</v>
      </c>
      <c r="D352" s="33" t="s">
        <v>77</v>
      </c>
      <c r="E352" s="17">
        <v>18</v>
      </c>
      <c r="F352" s="36">
        <f>IFERROR(E352/$AC352,0)</f>
        <v>2.0642201834862386E-2</v>
      </c>
      <c r="G352" s="17">
        <v>7</v>
      </c>
      <c r="H352" s="36">
        <f>IFERROR(G352/$AD352,0)</f>
        <v>7.5268817204301078E-2</v>
      </c>
      <c r="I352" s="17">
        <v>316</v>
      </c>
      <c r="J352" s="36">
        <f>IFERROR(I352/$AC352,0)</f>
        <v>0.36238532110091742</v>
      </c>
      <c r="K352" s="17">
        <v>37</v>
      </c>
      <c r="L352" s="36">
        <f>IFERROR(K352/$AD352,0)</f>
        <v>0.39784946236559138</v>
      </c>
      <c r="M352" s="17">
        <v>312</v>
      </c>
      <c r="N352" s="36">
        <f>IFERROR(M352/$AC352,0)</f>
        <v>0.3577981651376147</v>
      </c>
      <c r="O352" s="17">
        <v>30</v>
      </c>
      <c r="P352" s="36">
        <f>IFERROR(O352/$AD352,0)</f>
        <v>0.32258064516129031</v>
      </c>
      <c r="Q352" s="17">
        <v>161</v>
      </c>
      <c r="R352" s="36">
        <f>IFERROR(Q352/$AC352,0)</f>
        <v>0.18463302752293578</v>
      </c>
      <c r="S352" s="17">
        <v>14</v>
      </c>
      <c r="T352" s="36">
        <f>IFERROR(S352/$AD352,0)</f>
        <v>0.15053763440860216</v>
      </c>
      <c r="U352" s="17">
        <v>55</v>
      </c>
      <c r="V352" s="36">
        <f>IFERROR(U352/$AC352,0)</f>
        <v>6.3073394495412841E-2</v>
      </c>
      <c r="W352" s="17">
        <v>2</v>
      </c>
      <c r="X352" s="36">
        <f>IFERROR(W352/$AD352,0)</f>
        <v>2.1505376344086023E-2</v>
      </c>
      <c r="Y352" s="17">
        <v>10</v>
      </c>
      <c r="Z352" s="36">
        <f>IFERROR(Y352/$AC352,0)</f>
        <v>1.1467889908256881E-2</v>
      </c>
      <c r="AA352" s="17">
        <v>3</v>
      </c>
      <c r="AB352" s="36">
        <f>IFERROR(AA352/$AD352,0)</f>
        <v>3.2258064516129031E-2</v>
      </c>
      <c r="AC352" s="17">
        <v>872</v>
      </c>
      <c r="AD352" s="17">
        <v>93</v>
      </c>
    </row>
    <row r="353" spans="1:30" ht="15.75" customHeight="1" x14ac:dyDescent="0.25">
      <c r="A353" s="37">
        <v>2022</v>
      </c>
      <c r="B353" s="35">
        <v>171280</v>
      </c>
      <c r="C353" s="33" t="str">
        <f>VLOOKUP(B353,procv!$A$2:$D$142,4,FALSE)</f>
        <v>Bico do Papagaio</v>
      </c>
      <c r="D353" s="33" t="s">
        <v>78</v>
      </c>
      <c r="E353" s="17">
        <v>27</v>
      </c>
      <c r="F353" s="36">
        <f>IFERROR(E353/$AC353,0)</f>
        <v>2.7522935779816515E-2</v>
      </c>
      <c r="G353" s="17">
        <v>2</v>
      </c>
      <c r="H353" s="36">
        <f>IFERROR(G353/$AD353,0)</f>
        <v>1.5748031496062992E-2</v>
      </c>
      <c r="I353" s="17">
        <v>354</v>
      </c>
      <c r="J353" s="36">
        <f>IFERROR(I353/$AC353,0)</f>
        <v>0.36085626911314983</v>
      </c>
      <c r="K353" s="17">
        <v>48</v>
      </c>
      <c r="L353" s="36">
        <f>IFERROR(K353/$AD353,0)</f>
        <v>0.37795275590551181</v>
      </c>
      <c r="M353" s="17">
        <v>343</v>
      </c>
      <c r="N353" s="36">
        <f>IFERROR(M353/$AC353,0)</f>
        <v>0.34964322120285424</v>
      </c>
      <c r="O353" s="17">
        <v>41</v>
      </c>
      <c r="P353" s="36">
        <f>IFERROR(O353/$AD353,0)</f>
        <v>0.32283464566929132</v>
      </c>
      <c r="Q353" s="17">
        <v>168</v>
      </c>
      <c r="R353" s="36">
        <f>IFERROR(Q353/$AC353,0)</f>
        <v>0.17125382262996941</v>
      </c>
      <c r="S353" s="17">
        <v>20</v>
      </c>
      <c r="T353" s="36">
        <f>IFERROR(S353/$AD353,0)</f>
        <v>0.15748031496062992</v>
      </c>
      <c r="U353" s="17">
        <v>71</v>
      </c>
      <c r="V353" s="36">
        <f>IFERROR(U353/$AC353,0)</f>
        <v>7.2375127420998983E-2</v>
      </c>
      <c r="W353" s="17">
        <v>12</v>
      </c>
      <c r="X353" s="36">
        <f>IFERROR(W353/$AD353,0)</f>
        <v>9.4488188976377951E-2</v>
      </c>
      <c r="Y353" s="17">
        <v>18</v>
      </c>
      <c r="Z353" s="36">
        <f>IFERROR(Y353/$AC353,0)</f>
        <v>1.834862385321101E-2</v>
      </c>
      <c r="AA353" s="17">
        <v>4</v>
      </c>
      <c r="AB353" s="36">
        <f>IFERROR(AA353/$AD353,0)</f>
        <v>3.1496062992125984E-2</v>
      </c>
      <c r="AC353" s="17">
        <v>981</v>
      </c>
      <c r="AD353" s="17">
        <v>127</v>
      </c>
    </row>
    <row r="354" spans="1:30" ht="15.75" customHeight="1" x14ac:dyDescent="0.25">
      <c r="A354" s="37">
        <v>2022</v>
      </c>
      <c r="B354" s="35">
        <v>171320</v>
      </c>
      <c r="C354" s="33" t="str">
        <f>VLOOKUP(B354,procv!$A$2:$D$142,4,FALSE)</f>
        <v>Capim Dourado</v>
      </c>
      <c r="D354" s="33" t="s">
        <v>79</v>
      </c>
      <c r="E354" s="17">
        <v>100</v>
      </c>
      <c r="F354" s="36">
        <f>IFERROR(E354/$AC354,0)</f>
        <v>2.4313153415998056E-2</v>
      </c>
      <c r="G354" s="17">
        <v>13</v>
      </c>
      <c r="H354" s="36">
        <f>IFERROR(G354/$AD354,0)</f>
        <v>2.9082774049217001E-2</v>
      </c>
      <c r="I354" s="16">
        <v>1380</v>
      </c>
      <c r="J354" s="36">
        <f>IFERROR(I354/$AC354,0)</f>
        <v>0.33552151714077316</v>
      </c>
      <c r="K354" s="17">
        <v>200</v>
      </c>
      <c r="L354" s="36">
        <f>IFERROR(K354/$AD354,0)</f>
        <v>0.44742729306487694</v>
      </c>
      <c r="M354" s="16">
        <v>1439</v>
      </c>
      <c r="N354" s="36">
        <f>IFERROR(M354/$AC354,0)</f>
        <v>0.34986627765621203</v>
      </c>
      <c r="O354" s="17">
        <v>120</v>
      </c>
      <c r="P354" s="36">
        <f>IFERROR(O354/$AD354,0)</f>
        <v>0.26845637583892618</v>
      </c>
      <c r="Q354" s="17">
        <v>795</v>
      </c>
      <c r="R354" s="36">
        <f>IFERROR(Q354/$AC354,0)</f>
        <v>0.19328956965718452</v>
      </c>
      <c r="S354" s="17">
        <v>83</v>
      </c>
      <c r="T354" s="36">
        <f>IFERROR(S354/$AD354,0)</f>
        <v>0.18568232662192394</v>
      </c>
      <c r="U354" s="17">
        <v>287</v>
      </c>
      <c r="V354" s="36">
        <f>IFERROR(U354/$AC354,0)</f>
        <v>6.9778750303914422E-2</v>
      </c>
      <c r="W354" s="17">
        <v>21</v>
      </c>
      <c r="X354" s="36">
        <f>IFERROR(W354/$AD354,0)</f>
        <v>4.6979865771812082E-2</v>
      </c>
      <c r="Y354" s="17">
        <v>112</v>
      </c>
      <c r="Z354" s="36">
        <f>IFERROR(Y354/$AC354,0)</f>
        <v>2.7230731825917821E-2</v>
      </c>
      <c r="AA354" s="17">
        <v>10</v>
      </c>
      <c r="AB354" s="36">
        <f>IFERROR(AA354/$AD354,0)</f>
        <v>2.2371364653243849E-2</v>
      </c>
      <c r="AC354" s="16">
        <v>4113</v>
      </c>
      <c r="AD354" s="17">
        <v>447</v>
      </c>
    </row>
    <row r="355" spans="1:30" ht="15.75" customHeight="1" x14ac:dyDescent="0.25">
      <c r="A355" s="37">
        <v>2022</v>
      </c>
      <c r="B355" s="35">
        <v>171330</v>
      </c>
      <c r="C355" s="33" t="str">
        <f>VLOOKUP(B355,procv!$A$2:$D$142,4,FALSE)</f>
        <v>Capim Dourado</v>
      </c>
      <c r="D355" s="33" t="s">
        <v>80</v>
      </c>
      <c r="E355" s="17">
        <v>60</v>
      </c>
      <c r="F355" s="36">
        <f>IFERROR(E355/$AC355,0)</f>
        <v>1.9730351857941468E-2</v>
      </c>
      <c r="G355" s="17">
        <v>12</v>
      </c>
      <c r="H355" s="36">
        <f>IFERROR(G355/$AD355,0)</f>
        <v>3.5087719298245612E-2</v>
      </c>
      <c r="I355" s="16">
        <v>1082</v>
      </c>
      <c r="J355" s="36">
        <f>IFERROR(I355/$AC355,0)</f>
        <v>0.35580401183821109</v>
      </c>
      <c r="K355" s="17">
        <v>132</v>
      </c>
      <c r="L355" s="36">
        <f>IFERROR(K355/$AD355,0)</f>
        <v>0.38596491228070173</v>
      </c>
      <c r="M355" s="16">
        <v>1105</v>
      </c>
      <c r="N355" s="36">
        <f>IFERROR(M355/$AC355,0)</f>
        <v>0.36336731338375533</v>
      </c>
      <c r="O355" s="17">
        <v>115</v>
      </c>
      <c r="P355" s="36">
        <f>IFERROR(O355/$AD355,0)</f>
        <v>0.33625730994152048</v>
      </c>
      <c r="Q355" s="17">
        <v>532</v>
      </c>
      <c r="R355" s="36">
        <f>IFERROR(Q355/$AC355,0)</f>
        <v>0.17494245314041434</v>
      </c>
      <c r="S355" s="17">
        <v>53</v>
      </c>
      <c r="T355" s="36">
        <f>IFERROR(S355/$AD355,0)</f>
        <v>0.15497076023391812</v>
      </c>
      <c r="U355" s="17">
        <v>185</v>
      </c>
      <c r="V355" s="36">
        <f>IFERROR(U355/$AC355,0)</f>
        <v>6.0835251561986187E-2</v>
      </c>
      <c r="W355" s="17">
        <v>24</v>
      </c>
      <c r="X355" s="36">
        <f>IFERROR(W355/$AD355,0)</f>
        <v>7.0175438596491224E-2</v>
      </c>
      <c r="Y355" s="17">
        <v>77</v>
      </c>
      <c r="Z355" s="36">
        <f>IFERROR(Y355/$AC355,0)</f>
        <v>2.5320618217691548E-2</v>
      </c>
      <c r="AA355" s="17">
        <v>6</v>
      </c>
      <c r="AB355" s="36">
        <f>IFERROR(AA355/$AD355,0)</f>
        <v>1.7543859649122806E-2</v>
      </c>
      <c r="AC355" s="16">
        <v>3041</v>
      </c>
      <c r="AD355" s="17">
        <v>342</v>
      </c>
    </row>
    <row r="356" spans="1:30" ht="15.75" customHeight="1" x14ac:dyDescent="0.25">
      <c r="A356" s="37">
        <v>2022</v>
      </c>
      <c r="B356" s="35">
        <v>171360</v>
      </c>
      <c r="C356" s="33" t="str">
        <f>VLOOKUP(B356,procv!$A$2:$D$142,4,FALSE)</f>
        <v>Amor Perfeito</v>
      </c>
      <c r="D356" s="33" t="s">
        <v>81</v>
      </c>
      <c r="E356" s="17">
        <v>29</v>
      </c>
      <c r="F356" s="36">
        <f>IFERROR(E356/$AC356,0)</f>
        <v>2.1014492753623187E-2</v>
      </c>
      <c r="G356" s="17">
        <v>4</v>
      </c>
      <c r="H356" s="36">
        <f>IFERROR(G356/$AD356,0)</f>
        <v>2.7027027027027029E-2</v>
      </c>
      <c r="I356" s="17">
        <v>423</v>
      </c>
      <c r="J356" s="36">
        <f>IFERROR(I356/$AC356,0)</f>
        <v>0.30652173913043479</v>
      </c>
      <c r="K356" s="17">
        <v>50</v>
      </c>
      <c r="L356" s="36">
        <f>IFERROR(K356/$AD356,0)</f>
        <v>0.33783783783783783</v>
      </c>
      <c r="M356" s="17">
        <v>494</v>
      </c>
      <c r="N356" s="36">
        <f>IFERROR(M356/$AC356,0)</f>
        <v>0.35797101449275365</v>
      </c>
      <c r="O356" s="17">
        <v>43</v>
      </c>
      <c r="P356" s="36">
        <f>IFERROR(O356/$AD356,0)</f>
        <v>0.29054054054054052</v>
      </c>
      <c r="Q356" s="17">
        <v>266</v>
      </c>
      <c r="R356" s="36">
        <f>IFERROR(Q356/$AC356,0)</f>
        <v>0.1927536231884058</v>
      </c>
      <c r="S356" s="17">
        <v>31</v>
      </c>
      <c r="T356" s="36">
        <f>IFERROR(S356/$AD356,0)</f>
        <v>0.20945945945945946</v>
      </c>
      <c r="U356" s="17">
        <v>120</v>
      </c>
      <c r="V356" s="36">
        <f>IFERROR(U356/$AC356,0)</f>
        <v>8.6956521739130432E-2</v>
      </c>
      <c r="W356" s="17">
        <v>13</v>
      </c>
      <c r="X356" s="36">
        <f>IFERROR(W356/$AD356,0)</f>
        <v>8.7837837837837843E-2</v>
      </c>
      <c r="Y356" s="17">
        <v>48</v>
      </c>
      <c r="Z356" s="36">
        <f>IFERROR(Y356/$AC356,0)</f>
        <v>3.4782608695652174E-2</v>
      </c>
      <c r="AA356" s="17">
        <v>7</v>
      </c>
      <c r="AB356" s="36">
        <f>IFERROR(AA356/$AD356,0)</f>
        <v>4.72972972972973E-2</v>
      </c>
      <c r="AC356" s="16">
        <v>1380</v>
      </c>
      <c r="AD356" s="17">
        <v>148</v>
      </c>
    </row>
    <row r="357" spans="1:30" ht="15.75" customHeight="1" x14ac:dyDescent="0.25">
      <c r="A357" s="37">
        <v>2022</v>
      </c>
      <c r="B357" s="35">
        <v>171370</v>
      </c>
      <c r="C357" s="33" t="str">
        <f>VLOOKUP(B357,procv!$A$2:$D$142,4,FALSE)</f>
        <v>Cantão</v>
      </c>
      <c r="D357" s="33" t="s">
        <v>82</v>
      </c>
      <c r="E357" s="17">
        <v>12</v>
      </c>
      <c r="F357" s="36">
        <f>IFERROR(E357/$AC357,0)</f>
        <v>1.8072289156626505E-2</v>
      </c>
      <c r="G357" s="17">
        <v>0</v>
      </c>
      <c r="H357" s="36">
        <f>IFERROR(G357/$AD357,0)</f>
        <v>0</v>
      </c>
      <c r="I357" s="17">
        <v>212</v>
      </c>
      <c r="J357" s="36">
        <f>IFERROR(I357/$AC357,0)</f>
        <v>0.31927710843373491</v>
      </c>
      <c r="K357" s="17">
        <v>10</v>
      </c>
      <c r="L357" s="36">
        <f>IFERROR(K357/$AD357,0)</f>
        <v>0.41666666666666669</v>
      </c>
      <c r="M357" s="17">
        <v>244</v>
      </c>
      <c r="N357" s="36">
        <f>IFERROR(M357/$AC357,0)</f>
        <v>0.36746987951807231</v>
      </c>
      <c r="O357" s="17">
        <v>7</v>
      </c>
      <c r="P357" s="36">
        <f>IFERROR(O357/$AD357,0)</f>
        <v>0.29166666666666669</v>
      </c>
      <c r="Q357" s="17">
        <v>130</v>
      </c>
      <c r="R357" s="36">
        <f>IFERROR(Q357/$AC357,0)</f>
        <v>0.19578313253012047</v>
      </c>
      <c r="S357" s="17">
        <v>6</v>
      </c>
      <c r="T357" s="36">
        <f>IFERROR(S357/$AD357,0)</f>
        <v>0.25</v>
      </c>
      <c r="U357" s="17">
        <v>44</v>
      </c>
      <c r="V357" s="36">
        <f>IFERROR(U357/$AC357,0)</f>
        <v>6.6265060240963861E-2</v>
      </c>
      <c r="W357" s="17">
        <v>0</v>
      </c>
      <c r="X357" s="36">
        <f>IFERROR(W357/$AD357,0)</f>
        <v>0</v>
      </c>
      <c r="Y357" s="17">
        <v>22</v>
      </c>
      <c r="Z357" s="36">
        <f>IFERROR(Y357/$AC357,0)</f>
        <v>3.313253012048193E-2</v>
      </c>
      <c r="AA357" s="17">
        <v>1</v>
      </c>
      <c r="AB357" s="36">
        <f>IFERROR(AA357/$AD357,0)</f>
        <v>4.1666666666666664E-2</v>
      </c>
      <c r="AC357" s="17">
        <v>664</v>
      </c>
      <c r="AD357" s="17">
        <v>24</v>
      </c>
    </row>
    <row r="358" spans="1:30" ht="15.75" customHeight="1" x14ac:dyDescent="0.25">
      <c r="A358" s="37">
        <v>2022</v>
      </c>
      <c r="B358" s="35">
        <v>171395</v>
      </c>
      <c r="C358" s="33" t="str">
        <f>VLOOKUP(B358,procv!$A$2:$D$142,4,FALSE)</f>
        <v>Médio Norte Araguaia</v>
      </c>
      <c r="D358" s="33" t="s">
        <v>83</v>
      </c>
      <c r="E358" s="17">
        <v>30</v>
      </c>
      <c r="F358" s="36">
        <f>IFERROR(E358/$AC358,0)</f>
        <v>2.4115755627009645E-2</v>
      </c>
      <c r="G358" s="17">
        <v>6</v>
      </c>
      <c r="H358" s="36">
        <f>IFERROR(G358/$AD358,0)</f>
        <v>4.4776119402985072E-2</v>
      </c>
      <c r="I358" s="17">
        <v>474</v>
      </c>
      <c r="J358" s="36">
        <f>IFERROR(I358/$AC358,0)</f>
        <v>0.38102893890675243</v>
      </c>
      <c r="K358" s="17">
        <v>64</v>
      </c>
      <c r="L358" s="36">
        <f>IFERROR(K358/$AD358,0)</f>
        <v>0.47761194029850745</v>
      </c>
      <c r="M358" s="17">
        <v>408</v>
      </c>
      <c r="N358" s="36">
        <f>IFERROR(M358/$AC358,0)</f>
        <v>0.32797427652733119</v>
      </c>
      <c r="O358" s="17">
        <v>40</v>
      </c>
      <c r="P358" s="36">
        <f>IFERROR(O358/$AD358,0)</f>
        <v>0.29850746268656714</v>
      </c>
      <c r="Q358" s="17">
        <v>212</v>
      </c>
      <c r="R358" s="36">
        <f>IFERROR(Q358/$AC358,0)</f>
        <v>0.17041800643086816</v>
      </c>
      <c r="S358" s="17">
        <v>14</v>
      </c>
      <c r="T358" s="36">
        <f>IFERROR(S358/$AD358,0)</f>
        <v>0.1044776119402985</v>
      </c>
      <c r="U358" s="17">
        <v>91</v>
      </c>
      <c r="V358" s="36">
        <f>IFERROR(U358/$AC358,0)</f>
        <v>7.3151125401929265E-2</v>
      </c>
      <c r="W358" s="17">
        <v>10</v>
      </c>
      <c r="X358" s="36">
        <f>IFERROR(W358/$AD358,0)</f>
        <v>7.4626865671641784E-2</v>
      </c>
      <c r="Y358" s="17">
        <v>29</v>
      </c>
      <c r="Z358" s="36">
        <f>IFERROR(Y358/$AC358,0)</f>
        <v>2.3311897106109324E-2</v>
      </c>
      <c r="AA358" s="17">
        <v>0</v>
      </c>
      <c r="AB358" s="36">
        <f>IFERROR(AA358/$AD358,0)</f>
        <v>0</v>
      </c>
      <c r="AC358" s="16">
        <v>1244</v>
      </c>
      <c r="AD358" s="17">
        <v>134</v>
      </c>
    </row>
    <row r="359" spans="1:30" ht="15.75" customHeight="1" x14ac:dyDescent="0.25">
      <c r="A359" s="37">
        <v>2022</v>
      </c>
      <c r="B359" s="35">
        <v>171420</v>
      </c>
      <c r="C359" s="33" t="str">
        <f>VLOOKUP(B359,procv!$A$2:$D$142,4,FALSE)</f>
        <v>Amor Perfeito</v>
      </c>
      <c r="D359" s="33" t="s">
        <v>84</v>
      </c>
      <c r="E359" s="17">
        <v>61</v>
      </c>
      <c r="F359" s="36">
        <f>IFERROR(E359/$AC359,0)</f>
        <v>2.2492625368731565E-2</v>
      </c>
      <c r="G359" s="17">
        <v>15</v>
      </c>
      <c r="H359" s="36">
        <f>IFERROR(G359/$AD359,0)</f>
        <v>3.7499999999999999E-2</v>
      </c>
      <c r="I359" s="17">
        <v>909</v>
      </c>
      <c r="J359" s="36">
        <f>IFERROR(I359/$AC359,0)</f>
        <v>0.33517699115044247</v>
      </c>
      <c r="K359" s="17">
        <v>139</v>
      </c>
      <c r="L359" s="36">
        <f>IFERROR(K359/$AD359,0)</f>
        <v>0.34749999999999998</v>
      </c>
      <c r="M359" s="17">
        <v>975</v>
      </c>
      <c r="N359" s="36">
        <f>IFERROR(M359/$AC359,0)</f>
        <v>0.35951327433628316</v>
      </c>
      <c r="O359" s="17">
        <v>124</v>
      </c>
      <c r="P359" s="36">
        <f>IFERROR(O359/$AD359,0)</f>
        <v>0.31</v>
      </c>
      <c r="Q359" s="17">
        <v>526</v>
      </c>
      <c r="R359" s="36">
        <f>IFERROR(Q359/$AC359,0)</f>
        <v>0.19395280235988199</v>
      </c>
      <c r="S359" s="17">
        <v>68</v>
      </c>
      <c r="T359" s="36">
        <f>IFERROR(S359/$AD359,0)</f>
        <v>0.17</v>
      </c>
      <c r="U359" s="17">
        <v>177</v>
      </c>
      <c r="V359" s="36">
        <f>IFERROR(U359/$AC359,0)</f>
        <v>6.5265486725663721E-2</v>
      </c>
      <c r="W359" s="17">
        <v>35</v>
      </c>
      <c r="X359" s="36">
        <f>IFERROR(W359/$AD359,0)</f>
        <v>8.7499999999999994E-2</v>
      </c>
      <c r="Y359" s="17">
        <v>64</v>
      </c>
      <c r="Z359" s="36">
        <f>IFERROR(Y359/$AC359,0)</f>
        <v>2.359882005899705E-2</v>
      </c>
      <c r="AA359" s="17">
        <v>19</v>
      </c>
      <c r="AB359" s="36">
        <f>IFERROR(AA359/$AD359,0)</f>
        <v>4.7500000000000001E-2</v>
      </c>
      <c r="AC359" s="16">
        <v>2712</v>
      </c>
      <c r="AD359" s="17">
        <v>400</v>
      </c>
    </row>
    <row r="360" spans="1:30" ht="15.75" customHeight="1" x14ac:dyDescent="0.25">
      <c r="A360" s="37">
        <v>2022</v>
      </c>
      <c r="B360" s="35">
        <v>171430</v>
      </c>
      <c r="C360" s="33" t="str">
        <f>VLOOKUP(B360,procv!$A$2:$D$142,4,FALSE)</f>
        <v>Bico do Papagaio</v>
      </c>
      <c r="D360" s="33" t="s">
        <v>85</v>
      </c>
      <c r="E360" s="17">
        <v>36</v>
      </c>
      <c r="F360" s="36">
        <f>IFERROR(E360/$AC360,0)</f>
        <v>2.903225806451613E-2</v>
      </c>
      <c r="G360" s="17">
        <v>13</v>
      </c>
      <c r="H360" s="36">
        <f>IFERROR(G360/$AD360,0)</f>
        <v>6.5326633165829151E-2</v>
      </c>
      <c r="I360" s="17">
        <v>454</v>
      </c>
      <c r="J360" s="36">
        <f>IFERROR(I360/$AC360,0)</f>
        <v>0.36612903225806454</v>
      </c>
      <c r="K360" s="17">
        <v>92</v>
      </c>
      <c r="L360" s="36">
        <f>IFERROR(K360/$AD360,0)</f>
        <v>0.46231155778894473</v>
      </c>
      <c r="M360" s="17">
        <v>443</v>
      </c>
      <c r="N360" s="36">
        <f>IFERROR(M360/$AC360,0)</f>
        <v>0.35725806451612901</v>
      </c>
      <c r="O360" s="17">
        <v>52</v>
      </c>
      <c r="P360" s="36">
        <f>IFERROR(O360/$AD360,0)</f>
        <v>0.2613065326633166</v>
      </c>
      <c r="Q360" s="17">
        <v>215</v>
      </c>
      <c r="R360" s="36">
        <f>IFERROR(Q360/$AC360,0)</f>
        <v>0.17338709677419356</v>
      </c>
      <c r="S360" s="17">
        <v>27</v>
      </c>
      <c r="T360" s="36">
        <f>IFERROR(S360/$AD360,0)</f>
        <v>0.135678391959799</v>
      </c>
      <c r="U360" s="17">
        <v>66</v>
      </c>
      <c r="V360" s="36">
        <f>IFERROR(U360/$AC360,0)</f>
        <v>5.32258064516129E-2</v>
      </c>
      <c r="W360" s="17">
        <v>13</v>
      </c>
      <c r="X360" s="36">
        <f>IFERROR(W360/$AD360,0)</f>
        <v>6.5326633165829151E-2</v>
      </c>
      <c r="Y360" s="17">
        <v>26</v>
      </c>
      <c r="Z360" s="36">
        <f>IFERROR(Y360/$AC360,0)</f>
        <v>2.0967741935483872E-2</v>
      </c>
      <c r="AA360" s="17">
        <v>2</v>
      </c>
      <c r="AB360" s="36">
        <f>IFERROR(AA360/$AD360,0)</f>
        <v>1.0050251256281407E-2</v>
      </c>
      <c r="AC360" s="16">
        <v>1240</v>
      </c>
      <c r="AD360" s="17">
        <v>199</v>
      </c>
    </row>
    <row r="361" spans="1:30" ht="15.75" customHeight="1" x14ac:dyDescent="0.25">
      <c r="A361" s="37">
        <v>2022</v>
      </c>
      <c r="B361" s="35">
        <v>171488</v>
      </c>
      <c r="C361" s="33" t="str">
        <f>VLOOKUP(B361,procv!$A$2:$D$142,4,FALSE)</f>
        <v>Médio Norte Araguaia</v>
      </c>
      <c r="D361" s="33" t="s">
        <v>86</v>
      </c>
      <c r="E361" s="17">
        <v>35</v>
      </c>
      <c r="F361" s="36">
        <f>IFERROR(E361/$AC361,0)</f>
        <v>2.5491624180626365E-2</v>
      </c>
      <c r="G361" s="17">
        <v>6</v>
      </c>
      <c r="H361" s="36">
        <f>IFERROR(G361/$AD361,0)</f>
        <v>2.3076923076923078E-2</v>
      </c>
      <c r="I361" s="17">
        <v>487</v>
      </c>
      <c r="J361" s="36">
        <f>IFERROR(I361/$AC361,0)</f>
        <v>0.35469774217042971</v>
      </c>
      <c r="K361" s="17">
        <v>110</v>
      </c>
      <c r="L361" s="36">
        <f>IFERROR(K361/$AD361,0)</f>
        <v>0.42307692307692307</v>
      </c>
      <c r="M361" s="17">
        <v>463</v>
      </c>
      <c r="N361" s="36">
        <f>IFERROR(M361/$AC361,0)</f>
        <v>0.3372177713037145</v>
      </c>
      <c r="O361" s="17">
        <v>76</v>
      </c>
      <c r="P361" s="36">
        <f>IFERROR(O361/$AD361,0)</f>
        <v>0.29230769230769232</v>
      </c>
      <c r="Q361" s="17">
        <v>262</v>
      </c>
      <c r="R361" s="36">
        <f>IFERROR(Q361/$AC361,0)</f>
        <v>0.1908230152949745</v>
      </c>
      <c r="S361" s="17">
        <v>47</v>
      </c>
      <c r="T361" s="36">
        <f>IFERROR(S361/$AD361,0)</f>
        <v>0.18076923076923077</v>
      </c>
      <c r="U361" s="17">
        <v>87</v>
      </c>
      <c r="V361" s="36">
        <f>IFERROR(U361/$AC361,0)</f>
        <v>6.3364894391842674E-2</v>
      </c>
      <c r="W361" s="17">
        <v>17</v>
      </c>
      <c r="X361" s="36">
        <f>IFERROR(W361/$AD361,0)</f>
        <v>6.5384615384615388E-2</v>
      </c>
      <c r="Y361" s="17">
        <v>39</v>
      </c>
      <c r="Z361" s="36">
        <f>IFERROR(Y361/$AC361,0)</f>
        <v>2.8404952658412235E-2</v>
      </c>
      <c r="AA361" s="17">
        <v>4</v>
      </c>
      <c r="AB361" s="36">
        <f>IFERROR(AA361/$AD361,0)</f>
        <v>1.5384615384615385E-2</v>
      </c>
      <c r="AC361" s="16">
        <v>1373</v>
      </c>
      <c r="AD361" s="17">
        <v>260</v>
      </c>
    </row>
    <row r="362" spans="1:30" ht="15.75" customHeight="1" x14ac:dyDescent="0.25">
      <c r="A362" s="37">
        <v>2022</v>
      </c>
      <c r="B362" s="35">
        <v>171500</v>
      </c>
      <c r="C362" s="33" t="str">
        <f>VLOOKUP(B362,procv!$A$2:$D$142,4,FALSE)</f>
        <v>Cantão</v>
      </c>
      <c r="D362" s="33" t="s">
        <v>87</v>
      </c>
      <c r="E362" s="17">
        <v>24</v>
      </c>
      <c r="F362" s="36">
        <f>IFERROR(E362/$AC362,0)</f>
        <v>1.8957345971563982E-2</v>
      </c>
      <c r="G362" s="17">
        <v>0</v>
      </c>
      <c r="H362" s="36">
        <f>IFERROR(G362/$AD362,0)</f>
        <v>0</v>
      </c>
      <c r="I362" s="17">
        <v>444</v>
      </c>
      <c r="J362" s="36">
        <f>IFERROR(I362/$AC362,0)</f>
        <v>0.35071090047393366</v>
      </c>
      <c r="K362" s="17">
        <v>32</v>
      </c>
      <c r="L362" s="36">
        <f>IFERROR(K362/$AD362,0)</f>
        <v>0.43835616438356162</v>
      </c>
      <c r="M362" s="17">
        <v>446</v>
      </c>
      <c r="N362" s="36">
        <f>IFERROR(M362/$AC362,0)</f>
        <v>0.35229067930489733</v>
      </c>
      <c r="O362" s="17">
        <v>26</v>
      </c>
      <c r="P362" s="36">
        <f>IFERROR(O362/$AD362,0)</f>
        <v>0.35616438356164382</v>
      </c>
      <c r="Q362" s="17">
        <v>226</v>
      </c>
      <c r="R362" s="36">
        <f>IFERROR(Q362/$AC362,0)</f>
        <v>0.17851500789889416</v>
      </c>
      <c r="S362" s="17">
        <v>8</v>
      </c>
      <c r="T362" s="36">
        <f>IFERROR(S362/$AD362,0)</f>
        <v>0.1095890410958904</v>
      </c>
      <c r="U362" s="17">
        <v>88</v>
      </c>
      <c r="V362" s="36">
        <f>IFERROR(U362/$AC362,0)</f>
        <v>6.9510268562401265E-2</v>
      </c>
      <c r="W362" s="17">
        <v>3</v>
      </c>
      <c r="X362" s="36">
        <f>IFERROR(W362/$AD362,0)</f>
        <v>4.1095890410958902E-2</v>
      </c>
      <c r="Y362" s="17">
        <v>38</v>
      </c>
      <c r="Z362" s="36">
        <f>IFERROR(Y362/$AC362,0)</f>
        <v>3.0015797788309637E-2</v>
      </c>
      <c r="AA362" s="17">
        <v>4</v>
      </c>
      <c r="AB362" s="36">
        <f>IFERROR(AA362/$AD362,0)</f>
        <v>5.4794520547945202E-2</v>
      </c>
      <c r="AC362" s="16">
        <v>1266</v>
      </c>
      <c r="AD362" s="17">
        <v>73</v>
      </c>
    </row>
    <row r="363" spans="1:30" ht="15.75" customHeight="1" x14ac:dyDescent="0.25">
      <c r="A363" s="37">
        <v>2022</v>
      </c>
      <c r="B363" s="35">
        <v>171510</v>
      </c>
      <c r="C363" s="33" t="str">
        <f>VLOOKUP(B363,procv!$A$2:$D$142,4,FALSE)</f>
        <v>Capim Dourado</v>
      </c>
      <c r="D363" s="33" t="s">
        <v>88</v>
      </c>
      <c r="E363" s="17">
        <v>12</v>
      </c>
      <c r="F363" s="36">
        <f>IFERROR(E363/$AC363,0)</f>
        <v>3.2967032967032968E-2</v>
      </c>
      <c r="G363" s="17">
        <v>3</v>
      </c>
      <c r="H363" s="36">
        <f>IFERROR(G363/$AD363,0)</f>
        <v>5.4545454545454543E-2</v>
      </c>
      <c r="I363" s="17">
        <v>142</v>
      </c>
      <c r="J363" s="36">
        <f>IFERROR(I363/$AC363,0)</f>
        <v>0.39010989010989011</v>
      </c>
      <c r="K363" s="17">
        <v>21</v>
      </c>
      <c r="L363" s="36">
        <f>IFERROR(K363/$AD363,0)</f>
        <v>0.38181818181818183</v>
      </c>
      <c r="M363" s="17">
        <v>122</v>
      </c>
      <c r="N363" s="36">
        <f>IFERROR(M363/$AC363,0)</f>
        <v>0.33516483516483514</v>
      </c>
      <c r="O363" s="17">
        <v>19</v>
      </c>
      <c r="P363" s="36">
        <f>IFERROR(O363/$AD363,0)</f>
        <v>0.34545454545454546</v>
      </c>
      <c r="Q363" s="17">
        <v>57</v>
      </c>
      <c r="R363" s="36">
        <f>IFERROR(Q363/$AC363,0)</f>
        <v>0.15659340659340659</v>
      </c>
      <c r="S363" s="17">
        <v>12</v>
      </c>
      <c r="T363" s="36">
        <f>IFERROR(S363/$AD363,0)</f>
        <v>0.21818181818181817</v>
      </c>
      <c r="U363" s="17">
        <v>23</v>
      </c>
      <c r="V363" s="36">
        <f>IFERROR(U363/$AC363,0)</f>
        <v>6.3186813186813184E-2</v>
      </c>
      <c r="W363" s="17">
        <v>0</v>
      </c>
      <c r="X363" s="36">
        <f>IFERROR(W363/$AD363,0)</f>
        <v>0</v>
      </c>
      <c r="Y363" s="17">
        <v>8</v>
      </c>
      <c r="Z363" s="36">
        <f>IFERROR(Y363/$AC363,0)</f>
        <v>2.197802197802198E-2</v>
      </c>
      <c r="AA363" s="17">
        <v>0</v>
      </c>
      <c r="AB363" s="36">
        <f>IFERROR(AA363/$AD363,0)</f>
        <v>0</v>
      </c>
      <c r="AC363" s="17">
        <v>364</v>
      </c>
      <c r="AD363" s="17">
        <v>55</v>
      </c>
    </row>
    <row r="364" spans="1:30" ht="15.75" customHeight="1" x14ac:dyDescent="0.25">
      <c r="A364" s="37">
        <v>2022</v>
      </c>
      <c r="B364" s="35">
        <v>171515</v>
      </c>
      <c r="C364" s="33" t="str">
        <f>VLOOKUP(B364,procv!$A$2:$D$142,4,FALSE)</f>
        <v>Sudeste</v>
      </c>
      <c r="D364" s="33" t="s">
        <v>89</v>
      </c>
      <c r="E364" s="17">
        <v>25</v>
      </c>
      <c r="F364" s="36">
        <f>IFERROR(E364/$AC364,0)</f>
        <v>2.7233115468409588E-2</v>
      </c>
      <c r="G364" s="17">
        <v>2</v>
      </c>
      <c r="H364" s="36">
        <f>IFERROR(G364/$AD364,0)</f>
        <v>2.3255813953488372E-2</v>
      </c>
      <c r="I364" s="17">
        <v>344</v>
      </c>
      <c r="J364" s="36">
        <f>IFERROR(I364/$AC364,0)</f>
        <v>0.37472766884531589</v>
      </c>
      <c r="K364" s="17">
        <v>30</v>
      </c>
      <c r="L364" s="36">
        <f>IFERROR(K364/$AD364,0)</f>
        <v>0.34883720930232559</v>
      </c>
      <c r="M364" s="17">
        <v>328</v>
      </c>
      <c r="N364" s="36">
        <f>IFERROR(M364/$AC364,0)</f>
        <v>0.35729847494553379</v>
      </c>
      <c r="O364" s="17">
        <v>29</v>
      </c>
      <c r="P364" s="36">
        <f>IFERROR(O364/$AD364,0)</f>
        <v>0.33720930232558138</v>
      </c>
      <c r="Q364" s="17">
        <v>156</v>
      </c>
      <c r="R364" s="36">
        <f>IFERROR(Q364/$AC364,0)</f>
        <v>0.16993464052287582</v>
      </c>
      <c r="S364" s="17">
        <v>13</v>
      </c>
      <c r="T364" s="36">
        <f>IFERROR(S364/$AD364,0)</f>
        <v>0.15116279069767441</v>
      </c>
      <c r="U364" s="17">
        <v>50</v>
      </c>
      <c r="V364" s="36">
        <f>IFERROR(U364/$AC364,0)</f>
        <v>5.4466230936819175E-2</v>
      </c>
      <c r="W364" s="17">
        <v>11</v>
      </c>
      <c r="X364" s="36">
        <f>IFERROR(W364/$AD364,0)</f>
        <v>0.12790697674418605</v>
      </c>
      <c r="Y364" s="17">
        <v>15</v>
      </c>
      <c r="Z364" s="36">
        <f>IFERROR(Y364/$AC364,0)</f>
        <v>1.6339869281045753E-2</v>
      </c>
      <c r="AA364" s="17">
        <v>1</v>
      </c>
      <c r="AB364" s="36">
        <f>IFERROR(AA364/$AD364,0)</f>
        <v>1.1627906976744186E-2</v>
      </c>
      <c r="AC364" s="17">
        <v>918</v>
      </c>
      <c r="AD364" s="17">
        <v>86</v>
      </c>
    </row>
    <row r="365" spans="1:30" ht="15.75" customHeight="1" x14ac:dyDescent="0.25">
      <c r="A365" s="37">
        <v>2022</v>
      </c>
      <c r="B365" s="35">
        <v>171525</v>
      </c>
      <c r="C365" s="33" t="str">
        <f>VLOOKUP(B365,procv!$A$2:$D$142,4,FALSE)</f>
        <v>Sudeste</v>
      </c>
      <c r="D365" s="33" t="s">
        <v>90</v>
      </c>
      <c r="E365" s="17">
        <v>4</v>
      </c>
      <c r="F365" s="36">
        <f>IFERROR(E365/$AC365,0)</f>
        <v>2.3121387283236993E-2</v>
      </c>
      <c r="G365" s="17">
        <v>3</v>
      </c>
      <c r="H365" s="36">
        <f>IFERROR(G365/$AD365,0)</f>
        <v>6.25E-2</v>
      </c>
      <c r="I365" s="17">
        <v>66</v>
      </c>
      <c r="J365" s="36">
        <f>IFERROR(I365/$AC365,0)</f>
        <v>0.38150289017341038</v>
      </c>
      <c r="K365" s="17">
        <v>22</v>
      </c>
      <c r="L365" s="36">
        <f>IFERROR(K365/$AD365,0)</f>
        <v>0.45833333333333331</v>
      </c>
      <c r="M365" s="17">
        <v>63</v>
      </c>
      <c r="N365" s="36">
        <f>IFERROR(M365/$AC365,0)</f>
        <v>0.36416184971098264</v>
      </c>
      <c r="O365" s="17">
        <v>12</v>
      </c>
      <c r="P365" s="36">
        <f>IFERROR(O365/$AD365,0)</f>
        <v>0.25</v>
      </c>
      <c r="Q365" s="17">
        <v>30</v>
      </c>
      <c r="R365" s="36">
        <f>IFERROR(Q365/$AC365,0)</f>
        <v>0.17341040462427745</v>
      </c>
      <c r="S365" s="17">
        <v>9</v>
      </c>
      <c r="T365" s="36">
        <f>IFERROR(S365/$AD365,0)</f>
        <v>0.1875</v>
      </c>
      <c r="U365" s="17">
        <v>6</v>
      </c>
      <c r="V365" s="36">
        <f>IFERROR(U365/$AC365,0)</f>
        <v>3.4682080924855488E-2</v>
      </c>
      <c r="W365" s="17">
        <v>1</v>
      </c>
      <c r="X365" s="36">
        <f>IFERROR(W365/$AD365,0)</f>
        <v>2.0833333333333332E-2</v>
      </c>
      <c r="Y365" s="17">
        <v>4</v>
      </c>
      <c r="Z365" s="36">
        <f>IFERROR(Y365/$AC365,0)</f>
        <v>2.3121387283236993E-2</v>
      </c>
      <c r="AA365" s="17">
        <v>1</v>
      </c>
      <c r="AB365" s="36">
        <f>IFERROR(AA365/$AD365,0)</f>
        <v>2.0833333333333332E-2</v>
      </c>
      <c r="AC365" s="17">
        <v>173</v>
      </c>
      <c r="AD365" s="17">
        <v>48</v>
      </c>
    </row>
    <row r="366" spans="1:30" ht="15.75" customHeight="1" x14ac:dyDescent="0.25">
      <c r="A366" s="37">
        <v>2022</v>
      </c>
      <c r="B366" s="35">
        <v>171550</v>
      </c>
      <c r="C366" s="33" t="str">
        <f>VLOOKUP(B366,procv!$A$2:$D$142,4,FALSE)</f>
        <v>Amor Perfeito</v>
      </c>
      <c r="D366" s="33" t="s">
        <v>91</v>
      </c>
      <c r="E366" s="17">
        <v>12</v>
      </c>
      <c r="F366" s="36">
        <f>IFERROR(E366/$AC366,0)</f>
        <v>2.0833333333333332E-2</v>
      </c>
      <c r="G366" s="17">
        <v>2</v>
      </c>
      <c r="H366" s="36">
        <f>IFERROR(G366/$AD366,0)</f>
        <v>3.3898305084745763E-2</v>
      </c>
      <c r="I366" s="17">
        <v>172</v>
      </c>
      <c r="J366" s="36">
        <f>IFERROR(I366/$AC366,0)</f>
        <v>0.2986111111111111</v>
      </c>
      <c r="K366" s="17">
        <v>13</v>
      </c>
      <c r="L366" s="36">
        <f>IFERROR(K366/$AD366,0)</f>
        <v>0.22033898305084745</v>
      </c>
      <c r="M366" s="17">
        <v>229</v>
      </c>
      <c r="N366" s="36">
        <f>IFERROR(M366/$AC366,0)</f>
        <v>0.39756944444444442</v>
      </c>
      <c r="O366" s="17">
        <v>21</v>
      </c>
      <c r="P366" s="36">
        <f>IFERROR(O366/$AD366,0)</f>
        <v>0.3559322033898305</v>
      </c>
      <c r="Q366" s="17">
        <v>103</v>
      </c>
      <c r="R366" s="36">
        <f>IFERROR(Q366/$AC366,0)</f>
        <v>0.17881944444444445</v>
      </c>
      <c r="S366" s="17">
        <v>14</v>
      </c>
      <c r="T366" s="36">
        <f>IFERROR(S366/$AD366,0)</f>
        <v>0.23728813559322035</v>
      </c>
      <c r="U366" s="17">
        <v>35</v>
      </c>
      <c r="V366" s="36">
        <f>IFERROR(U366/$AC366,0)</f>
        <v>6.0763888888888888E-2</v>
      </c>
      <c r="W366" s="17">
        <v>4</v>
      </c>
      <c r="X366" s="36">
        <f>IFERROR(W366/$AD366,0)</f>
        <v>6.7796610169491525E-2</v>
      </c>
      <c r="Y366" s="17">
        <v>25</v>
      </c>
      <c r="Z366" s="36">
        <f>IFERROR(Y366/$AC366,0)</f>
        <v>4.3402777777777776E-2</v>
      </c>
      <c r="AA366" s="17">
        <v>5</v>
      </c>
      <c r="AB366" s="36">
        <f>IFERROR(AA366/$AD366,0)</f>
        <v>8.4745762711864403E-2</v>
      </c>
      <c r="AC366" s="17">
        <v>576</v>
      </c>
      <c r="AD366" s="17">
        <v>59</v>
      </c>
    </row>
    <row r="367" spans="1:30" ht="15.75" customHeight="1" x14ac:dyDescent="0.25">
      <c r="A367" s="37">
        <v>2022</v>
      </c>
      <c r="B367" s="35">
        <v>172100</v>
      </c>
      <c r="C367" s="33" t="str">
        <f>VLOOKUP(B367,procv!$A$2:$D$142,4,FALSE)</f>
        <v>Capim Dourado</v>
      </c>
      <c r="D367" s="33" t="s">
        <v>92</v>
      </c>
      <c r="E367" s="16">
        <v>1342</v>
      </c>
      <c r="F367" s="36">
        <f>IFERROR(E367/$AC367,0)</f>
        <v>2.6590580356258296E-2</v>
      </c>
      <c r="G367" s="17">
        <v>119</v>
      </c>
      <c r="H367" s="36">
        <f>IFERROR(G367/$AD367,0)</f>
        <v>3.2058189655172417E-2</v>
      </c>
      <c r="I367" s="16">
        <v>18859</v>
      </c>
      <c r="J367" s="36">
        <f>IFERROR(I367/$AC367,0)</f>
        <v>0.37367492916443756</v>
      </c>
      <c r="K367" s="16">
        <v>1480</v>
      </c>
      <c r="L367" s="36">
        <f>IFERROR(K367/$AD367,0)</f>
        <v>0.39870689655172414</v>
      </c>
      <c r="M367" s="16">
        <v>17412</v>
      </c>
      <c r="N367" s="36">
        <f>IFERROR(M367/$AC367,0)</f>
        <v>0.34500386375795045</v>
      </c>
      <c r="O367" s="16">
        <v>1175</v>
      </c>
      <c r="P367" s="36">
        <f>IFERROR(O367/$AD367,0)</f>
        <v>0.31654094827586204</v>
      </c>
      <c r="Q367" s="16">
        <v>8808</v>
      </c>
      <c r="R367" s="36">
        <f>IFERROR(Q367/$AC367,0)</f>
        <v>0.17452297449919751</v>
      </c>
      <c r="S367" s="17">
        <v>618</v>
      </c>
      <c r="T367" s="36">
        <f>IFERROR(S367/$AD367,0)</f>
        <v>0.16648706896551724</v>
      </c>
      <c r="U367" s="16">
        <v>2779</v>
      </c>
      <c r="V367" s="36">
        <f>IFERROR(U367/$AC367,0)</f>
        <v>5.506350432939032E-2</v>
      </c>
      <c r="W367" s="17">
        <v>211</v>
      </c>
      <c r="X367" s="36">
        <f>IFERROR(W367/$AD367,0)</f>
        <v>5.6842672413793101E-2</v>
      </c>
      <c r="Y367" s="16">
        <v>1269</v>
      </c>
      <c r="Z367" s="36">
        <f>IFERROR(Y367/$AC367,0)</f>
        <v>2.5144147892765856E-2</v>
      </c>
      <c r="AA367" s="17">
        <v>109</v>
      </c>
      <c r="AB367" s="36">
        <f>IFERROR(AA367/$AD367,0)</f>
        <v>2.9364224137931036E-2</v>
      </c>
      <c r="AC367" s="16">
        <v>50469</v>
      </c>
      <c r="AD367" s="16">
        <v>3712</v>
      </c>
    </row>
    <row r="368" spans="1:30" ht="15.75" customHeight="1" x14ac:dyDescent="0.25">
      <c r="A368" s="37">
        <v>2022</v>
      </c>
      <c r="B368" s="35">
        <v>171570</v>
      </c>
      <c r="C368" s="33" t="str">
        <f>VLOOKUP(B368,procv!$A$2:$D$142,4,FALSE)</f>
        <v>Cerrado Tocantins Araguaia</v>
      </c>
      <c r="D368" s="33" t="s">
        <v>93</v>
      </c>
      <c r="E368" s="17">
        <v>36</v>
      </c>
      <c r="F368" s="36">
        <f>IFERROR(E368/$AC368,0)</f>
        <v>2.3076923076923078E-2</v>
      </c>
      <c r="G368" s="17">
        <v>1</v>
      </c>
      <c r="H368" s="36">
        <f>IFERROR(G368/$AD368,0)</f>
        <v>5.3191489361702126E-3</v>
      </c>
      <c r="I368" s="17">
        <v>613</v>
      </c>
      <c r="J368" s="36">
        <f>IFERROR(I368/$AC368,0)</f>
        <v>0.39294871794871794</v>
      </c>
      <c r="K368" s="17">
        <v>76</v>
      </c>
      <c r="L368" s="36">
        <f>IFERROR(K368/$AD368,0)</f>
        <v>0.40425531914893614</v>
      </c>
      <c r="M368" s="17">
        <v>552</v>
      </c>
      <c r="N368" s="36">
        <f>IFERROR(M368/$AC368,0)</f>
        <v>0.35384615384615387</v>
      </c>
      <c r="O368" s="17">
        <v>61</v>
      </c>
      <c r="P368" s="36">
        <f>IFERROR(O368/$AD368,0)</f>
        <v>0.32446808510638298</v>
      </c>
      <c r="Q368" s="17">
        <v>259</v>
      </c>
      <c r="R368" s="36">
        <f>IFERROR(Q368/$AC368,0)</f>
        <v>0.16602564102564102</v>
      </c>
      <c r="S368" s="17">
        <v>34</v>
      </c>
      <c r="T368" s="36">
        <f>IFERROR(S368/$AD368,0)</f>
        <v>0.18085106382978725</v>
      </c>
      <c r="U368" s="17">
        <v>74</v>
      </c>
      <c r="V368" s="36">
        <f>IFERROR(U368/$AC368,0)</f>
        <v>4.7435897435897434E-2</v>
      </c>
      <c r="W368" s="17">
        <v>13</v>
      </c>
      <c r="X368" s="36">
        <f>IFERROR(W368/$AD368,0)</f>
        <v>6.9148936170212769E-2</v>
      </c>
      <c r="Y368" s="17">
        <v>26</v>
      </c>
      <c r="Z368" s="36">
        <f>IFERROR(Y368/$AC368,0)</f>
        <v>1.6666666666666666E-2</v>
      </c>
      <c r="AA368" s="17">
        <v>3</v>
      </c>
      <c r="AB368" s="36">
        <f>IFERROR(AA368/$AD368,0)</f>
        <v>1.5957446808510637E-2</v>
      </c>
      <c r="AC368" s="16">
        <v>1560</v>
      </c>
      <c r="AD368" s="17">
        <v>188</v>
      </c>
    </row>
    <row r="369" spans="1:30" ht="15.75" customHeight="1" x14ac:dyDescent="0.25">
      <c r="A369" s="37">
        <v>2022</v>
      </c>
      <c r="B369" s="35">
        <v>171380</v>
      </c>
      <c r="C369" s="33" t="str">
        <f>VLOOKUP(B369,procv!$A$2:$D$142,4,FALSE)</f>
        <v>Bico do Papagaio</v>
      </c>
      <c r="D369" s="33" t="s">
        <v>94</v>
      </c>
      <c r="E369" s="17">
        <v>21</v>
      </c>
      <c r="F369" s="36">
        <f>IFERROR(E369/$AC369,0)</f>
        <v>3.0612244897959183E-2</v>
      </c>
      <c r="G369" s="17">
        <v>9</v>
      </c>
      <c r="H369" s="36">
        <f>IFERROR(G369/$AD369,0)</f>
        <v>3.5999999999999997E-2</v>
      </c>
      <c r="I369" s="17">
        <v>231</v>
      </c>
      <c r="J369" s="36">
        <f>IFERROR(I369/$AC369,0)</f>
        <v>0.33673469387755101</v>
      </c>
      <c r="K369" s="17">
        <v>92</v>
      </c>
      <c r="L369" s="36">
        <f>IFERROR(K369/$AD369,0)</f>
        <v>0.36799999999999999</v>
      </c>
      <c r="M369" s="17">
        <v>255</v>
      </c>
      <c r="N369" s="36">
        <f>IFERROR(M369/$AC369,0)</f>
        <v>0.3717201166180758</v>
      </c>
      <c r="O369" s="17">
        <v>88</v>
      </c>
      <c r="P369" s="36">
        <f>IFERROR(O369/$AD369,0)</f>
        <v>0.35199999999999998</v>
      </c>
      <c r="Q369" s="17">
        <v>133</v>
      </c>
      <c r="R369" s="36">
        <f>IFERROR(Q369/$AC369,0)</f>
        <v>0.19387755102040816</v>
      </c>
      <c r="S369" s="17">
        <v>43</v>
      </c>
      <c r="T369" s="36">
        <f>IFERROR(S369/$AD369,0)</f>
        <v>0.17199999999999999</v>
      </c>
      <c r="U369" s="17">
        <v>34</v>
      </c>
      <c r="V369" s="36">
        <f>IFERROR(U369/$AC369,0)</f>
        <v>4.9562682215743441E-2</v>
      </c>
      <c r="W369" s="17">
        <v>12</v>
      </c>
      <c r="X369" s="36">
        <f>IFERROR(W369/$AD369,0)</f>
        <v>4.8000000000000001E-2</v>
      </c>
      <c r="Y369" s="17">
        <v>12</v>
      </c>
      <c r="Z369" s="36">
        <f>IFERROR(Y369/$AC369,0)</f>
        <v>1.7492711370262391E-2</v>
      </c>
      <c r="AA369" s="17">
        <v>6</v>
      </c>
      <c r="AB369" s="36">
        <f>IFERROR(AA369/$AD369,0)</f>
        <v>2.4E-2</v>
      </c>
      <c r="AC369" s="17">
        <v>686</v>
      </c>
      <c r="AD369" s="17">
        <v>250</v>
      </c>
    </row>
    <row r="370" spans="1:30" ht="15.75" customHeight="1" x14ac:dyDescent="0.25">
      <c r="A370" s="37">
        <v>2022</v>
      </c>
      <c r="B370" s="35">
        <v>171575</v>
      </c>
      <c r="C370" s="33" t="str">
        <f>VLOOKUP(B370,procv!$A$2:$D$142,4,FALSE)</f>
        <v>Ilha do Bananal</v>
      </c>
      <c r="D370" s="33" t="s">
        <v>95</v>
      </c>
      <c r="E370" s="17">
        <v>31</v>
      </c>
      <c r="F370" s="36">
        <f>IFERROR(E370/$AC370,0)</f>
        <v>1.8256772673733806E-2</v>
      </c>
      <c r="G370" s="17">
        <v>3</v>
      </c>
      <c r="H370" s="36">
        <f>IFERROR(G370/$AD370,0)</f>
        <v>2.1582733812949641E-2</v>
      </c>
      <c r="I370" s="17">
        <v>634</v>
      </c>
      <c r="J370" s="36">
        <f>IFERROR(I370/$AC370,0)</f>
        <v>0.37338044758539457</v>
      </c>
      <c r="K370" s="17">
        <v>45</v>
      </c>
      <c r="L370" s="36">
        <f>IFERROR(K370/$AD370,0)</f>
        <v>0.32374100719424459</v>
      </c>
      <c r="M370" s="17">
        <v>551</v>
      </c>
      <c r="N370" s="36">
        <f>IFERROR(M370/$AC370,0)</f>
        <v>0.32449941107184921</v>
      </c>
      <c r="O370" s="17">
        <v>43</v>
      </c>
      <c r="P370" s="36">
        <f>IFERROR(O370/$AD370,0)</f>
        <v>0.30935251798561153</v>
      </c>
      <c r="Q370" s="17">
        <v>329</v>
      </c>
      <c r="R370" s="36">
        <f>IFERROR(Q370/$AC370,0)</f>
        <v>0.19375736160188456</v>
      </c>
      <c r="S370" s="17">
        <v>30</v>
      </c>
      <c r="T370" s="36">
        <f>IFERROR(S370/$AD370,0)</f>
        <v>0.21582733812949639</v>
      </c>
      <c r="U370" s="17">
        <v>109</v>
      </c>
      <c r="V370" s="36">
        <f>IFERROR(U370/$AC370,0)</f>
        <v>6.4193168433451117E-2</v>
      </c>
      <c r="W370" s="17">
        <v>13</v>
      </c>
      <c r="X370" s="36">
        <f>IFERROR(W370/$AD370,0)</f>
        <v>9.3525179856115109E-2</v>
      </c>
      <c r="Y370" s="17">
        <v>44</v>
      </c>
      <c r="Z370" s="36">
        <f>IFERROR(Y370/$AC370,0)</f>
        <v>2.591283863368669E-2</v>
      </c>
      <c r="AA370" s="17">
        <v>5</v>
      </c>
      <c r="AB370" s="36">
        <f>IFERROR(AA370/$AD370,0)</f>
        <v>3.5971223021582732E-2</v>
      </c>
      <c r="AC370" s="16">
        <v>1698</v>
      </c>
      <c r="AD370" s="17">
        <v>139</v>
      </c>
    </row>
    <row r="371" spans="1:30" ht="15.75" customHeight="1" x14ac:dyDescent="0.25">
      <c r="A371" s="37">
        <v>2022</v>
      </c>
      <c r="B371" s="35">
        <v>171610</v>
      </c>
      <c r="C371" s="33" t="str">
        <f>VLOOKUP(B371,procv!$A$2:$D$142,4,FALSE)</f>
        <v>Cantão</v>
      </c>
      <c r="D371" s="33" t="s">
        <v>96</v>
      </c>
      <c r="E371" s="17">
        <v>206</v>
      </c>
      <c r="F371" s="36">
        <f>IFERROR(E371/$AC371,0)</f>
        <v>2.3765574526995847E-2</v>
      </c>
      <c r="G371" s="17">
        <v>14</v>
      </c>
      <c r="H371" s="36">
        <f>IFERROR(G371/$AD371,0)</f>
        <v>3.3816425120772944E-2</v>
      </c>
      <c r="I371" s="16">
        <v>2990</v>
      </c>
      <c r="J371" s="36">
        <f>IFERROR(I371/$AC371,0)</f>
        <v>0.34494693124134751</v>
      </c>
      <c r="K371" s="17">
        <v>133</v>
      </c>
      <c r="L371" s="36">
        <f>IFERROR(K371/$AD371,0)</f>
        <v>0.32125603864734298</v>
      </c>
      <c r="M371" s="16">
        <v>3091</v>
      </c>
      <c r="N371" s="36">
        <f>IFERROR(M371/$AC371,0)</f>
        <v>0.35659898477157359</v>
      </c>
      <c r="O371" s="17">
        <v>136</v>
      </c>
      <c r="P371" s="36">
        <f>IFERROR(O371/$AD371,0)</f>
        <v>0.32850241545893721</v>
      </c>
      <c r="Q371" s="16">
        <v>1540</v>
      </c>
      <c r="R371" s="36">
        <f>IFERROR(Q371/$AC371,0)</f>
        <v>0.17766497461928935</v>
      </c>
      <c r="S371" s="17">
        <v>79</v>
      </c>
      <c r="T371" s="36">
        <f>IFERROR(S371/$AD371,0)</f>
        <v>0.19082125603864733</v>
      </c>
      <c r="U371" s="17">
        <v>575</v>
      </c>
      <c r="V371" s="36">
        <f>IFERROR(U371/$AC371,0)</f>
        <v>6.6335948315643753E-2</v>
      </c>
      <c r="W371" s="17">
        <v>37</v>
      </c>
      <c r="X371" s="36">
        <f>IFERROR(W371/$AD371,0)</f>
        <v>8.9371980676328497E-2</v>
      </c>
      <c r="Y371" s="17">
        <v>266</v>
      </c>
      <c r="Z371" s="36">
        <f>IFERROR(Y371/$AC371,0)</f>
        <v>3.0687586525149978E-2</v>
      </c>
      <c r="AA371" s="17">
        <v>15</v>
      </c>
      <c r="AB371" s="36">
        <f>IFERROR(AA371/$AD371,0)</f>
        <v>3.6231884057971016E-2</v>
      </c>
      <c r="AC371" s="16">
        <v>8668</v>
      </c>
      <c r="AD371" s="17">
        <v>414</v>
      </c>
    </row>
    <row r="372" spans="1:30" ht="15.75" customHeight="1" x14ac:dyDescent="0.25">
      <c r="A372" s="37">
        <v>2022</v>
      </c>
      <c r="B372" s="35">
        <v>171620</v>
      </c>
      <c r="C372" s="33" t="str">
        <f>VLOOKUP(B372,procv!$A$2:$D$142,4,FALSE)</f>
        <v>Sudeste</v>
      </c>
      <c r="D372" s="33" t="s">
        <v>97</v>
      </c>
      <c r="E372" s="17">
        <v>67</v>
      </c>
      <c r="F372" s="36">
        <f>IFERROR(E372/$AC372,0)</f>
        <v>2.463235294117647E-2</v>
      </c>
      <c r="G372" s="17">
        <v>14</v>
      </c>
      <c r="H372" s="36">
        <f>IFERROR(G372/$AD372,0)</f>
        <v>2.6070763500931099E-2</v>
      </c>
      <c r="I372" s="16">
        <v>1037</v>
      </c>
      <c r="J372" s="36">
        <f>IFERROR(I372/$AC372,0)</f>
        <v>0.38124999999999998</v>
      </c>
      <c r="K372" s="17">
        <v>211</v>
      </c>
      <c r="L372" s="36">
        <f>IFERROR(K372/$AD372,0)</f>
        <v>0.3929236499068901</v>
      </c>
      <c r="M372" s="17">
        <v>957</v>
      </c>
      <c r="N372" s="36">
        <f>IFERROR(M372/$AC372,0)</f>
        <v>0.35183823529411767</v>
      </c>
      <c r="O372" s="17">
        <v>181</v>
      </c>
      <c r="P372" s="36">
        <f>IFERROR(O372/$AD372,0)</f>
        <v>0.33705772811918061</v>
      </c>
      <c r="Q372" s="17">
        <v>447</v>
      </c>
      <c r="R372" s="36">
        <f>IFERROR(Q372/$AC372,0)</f>
        <v>0.16433823529411765</v>
      </c>
      <c r="S372" s="17">
        <v>83</v>
      </c>
      <c r="T372" s="36">
        <f>IFERROR(S372/$AD372,0)</f>
        <v>0.15456238361266295</v>
      </c>
      <c r="U372" s="17">
        <v>147</v>
      </c>
      <c r="V372" s="36">
        <f>IFERROR(U372/$AC372,0)</f>
        <v>5.4044117647058826E-2</v>
      </c>
      <c r="W372" s="17">
        <v>36</v>
      </c>
      <c r="X372" s="36">
        <f>IFERROR(W372/$AD372,0)</f>
        <v>6.7039106145251395E-2</v>
      </c>
      <c r="Y372" s="17">
        <v>65</v>
      </c>
      <c r="Z372" s="36">
        <f>IFERROR(Y372/$AC372,0)</f>
        <v>2.389705882352941E-2</v>
      </c>
      <c r="AA372" s="17">
        <v>12</v>
      </c>
      <c r="AB372" s="36">
        <f>IFERROR(AA372/$AD372,0)</f>
        <v>2.23463687150838E-2</v>
      </c>
      <c r="AC372" s="16">
        <v>2720</v>
      </c>
      <c r="AD372" s="17">
        <v>537</v>
      </c>
    </row>
    <row r="373" spans="1:30" ht="15.75" customHeight="1" x14ac:dyDescent="0.25">
      <c r="A373" s="37">
        <v>2022</v>
      </c>
      <c r="B373" s="35">
        <v>171630</v>
      </c>
      <c r="C373" s="33" t="str">
        <f>VLOOKUP(B373,procv!$A$2:$D$142,4,FALSE)</f>
        <v>Médio Norte Araguaia</v>
      </c>
      <c r="D373" s="33" t="s">
        <v>98</v>
      </c>
      <c r="E373" s="17">
        <v>41</v>
      </c>
      <c r="F373" s="36">
        <f>IFERROR(E373/$AC373,0)</f>
        <v>3.2565528196981733E-2</v>
      </c>
      <c r="G373" s="17">
        <v>4</v>
      </c>
      <c r="H373" s="36">
        <f>IFERROR(G373/$AD373,0)</f>
        <v>3.7735849056603772E-2</v>
      </c>
      <c r="I373" s="17">
        <v>445</v>
      </c>
      <c r="J373" s="36">
        <f>IFERROR(I373/$AC373,0)</f>
        <v>0.35345512311358218</v>
      </c>
      <c r="K373" s="17">
        <v>46</v>
      </c>
      <c r="L373" s="36">
        <f>IFERROR(K373/$AD373,0)</f>
        <v>0.43396226415094341</v>
      </c>
      <c r="M373" s="17">
        <v>435</v>
      </c>
      <c r="N373" s="36">
        <f>IFERROR(M373/$AC373,0)</f>
        <v>0.3455123113582208</v>
      </c>
      <c r="O373" s="17">
        <v>35</v>
      </c>
      <c r="P373" s="36">
        <f>IFERROR(O373/$AD373,0)</f>
        <v>0.330188679245283</v>
      </c>
      <c r="Q373" s="17">
        <v>227</v>
      </c>
      <c r="R373" s="36">
        <f>IFERROR(Q373/$AC373,0)</f>
        <v>0.18030182684670373</v>
      </c>
      <c r="S373" s="17">
        <v>16</v>
      </c>
      <c r="T373" s="36">
        <f>IFERROR(S373/$AD373,0)</f>
        <v>0.15094339622641509</v>
      </c>
      <c r="U373" s="17">
        <v>65</v>
      </c>
      <c r="V373" s="36">
        <f>IFERROR(U373/$AC373,0)</f>
        <v>5.1628276409849086E-2</v>
      </c>
      <c r="W373" s="17">
        <v>5</v>
      </c>
      <c r="X373" s="36">
        <f>IFERROR(W373/$AD373,0)</f>
        <v>4.716981132075472E-2</v>
      </c>
      <c r="Y373" s="17">
        <v>46</v>
      </c>
      <c r="Z373" s="36">
        <f>IFERROR(Y373/$AC373,0)</f>
        <v>3.6536934074662429E-2</v>
      </c>
      <c r="AA373" s="17">
        <v>0</v>
      </c>
      <c r="AB373" s="36">
        <f>IFERROR(AA373/$AD373,0)</f>
        <v>0</v>
      </c>
      <c r="AC373" s="16">
        <v>1259</v>
      </c>
      <c r="AD373" s="17">
        <v>106</v>
      </c>
    </row>
    <row r="374" spans="1:30" ht="15.75" customHeight="1" x14ac:dyDescent="0.25">
      <c r="A374" s="37">
        <v>2022</v>
      </c>
      <c r="B374" s="35">
        <v>171650</v>
      </c>
      <c r="C374" s="33" t="str">
        <f>VLOOKUP(B374,procv!$A$2:$D$142,4,FALSE)</f>
        <v>Cerrado Tocantins Araguaia</v>
      </c>
      <c r="D374" s="33" t="s">
        <v>99</v>
      </c>
      <c r="E374" s="17">
        <v>77</v>
      </c>
      <c r="F374" s="36">
        <f>IFERROR(E374/$AC374,0)</f>
        <v>1.8281101614434948E-2</v>
      </c>
      <c r="G374" s="17">
        <v>6</v>
      </c>
      <c r="H374" s="36">
        <f>IFERROR(G374/$AD374,0)</f>
        <v>1.8518518518518517E-2</v>
      </c>
      <c r="I374" s="16">
        <v>1448</v>
      </c>
      <c r="J374" s="36">
        <f>IFERROR(I374/$AC374,0)</f>
        <v>0.34377967711301044</v>
      </c>
      <c r="K374" s="17">
        <v>118</v>
      </c>
      <c r="L374" s="36">
        <f>IFERROR(K374/$AD374,0)</f>
        <v>0.36419753086419754</v>
      </c>
      <c r="M374" s="16">
        <v>1512</v>
      </c>
      <c r="N374" s="36">
        <f>IFERROR(M374/$AC374,0)</f>
        <v>0.35897435897435898</v>
      </c>
      <c r="O374" s="17">
        <v>99</v>
      </c>
      <c r="P374" s="36">
        <f>IFERROR(O374/$AD374,0)</f>
        <v>0.30555555555555558</v>
      </c>
      <c r="Q374" s="17">
        <v>792</v>
      </c>
      <c r="R374" s="36">
        <f>IFERROR(Q374/$AC374,0)</f>
        <v>0.18803418803418803</v>
      </c>
      <c r="S374" s="17">
        <v>65</v>
      </c>
      <c r="T374" s="36">
        <f>IFERROR(S374/$AD374,0)</f>
        <v>0.20061728395061729</v>
      </c>
      <c r="U374" s="17">
        <v>254</v>
      </c>
      <c r="V374" s="36">
        <f>IFERROR(U374/$AC374,0)</f>
        <v>6.030389363722697E-2</v>
      </c>
      <c r="W374" s="17">
        <v>21</v>
      </c>
      <c r="X374" s="36">
        <f>IFERROR(W374/$AD374,0)</f>
        <v>6.4814814814814811E-2</v>
      </c>
      <c r="Y374" s="17">
        <v>129</v>
      </c>
      <c r="Z374" s="36">
        <f>IFERROR(Y374/$AC374,0)</f>
        <v>3.0626780626780627E-2</v>
      </c>
      <c r="AA374" s="17">
        <v>15</v>
      </c>
      <c r="AB374" s="36">
        <f>IFERROR(AA374/$AD374,0)</f>
        <v>4.6296296296296294E-2</v>
      </c>
      <c r="AC374" s="16">
        <v>4212</v>
      </c>
      <c r="AD374" s="17">
        <v>324</v>
      </c>
    </row>
    <row r="375" spans="1:30" ht="15.75" customHeight="1" x14ac:dyDescent="0.25">
      <c r="A375" s="37">
        <v>2022</v>
      </c>
      <c r="B375" s="35">
        <v>171660</v>
      </c>
      <c r="C375" s="33" t="str">
        <f>VLOOKUP(B375,procv!$A$2:$D$142,4,FALSE)</f>
        <v>Ilha do Bananal</v>
      </c>
      <c r="D375" s="33" t="s">
        <v>100</v>
      </c>
      <c r="E375" s="17">
        <v>57</v>
      </c>
      <c r="F375" s="36">
        <f>IFERROR(E375/$AC375,0)</f>
        <v>2.0155586987270154E-2</v>
      </c>
      <c r="G375" s="17">
        <v>14</v>
      </c>
      <c r="H375" s="36">
        <f>IFERROR(G375/$AD375,0)</f>
        <v>3.4653465346534656E-2</v>
      </c>
      <c r="I375" s="17">
        <v>829</v>
      </c>
      <c r="J375" s="36">
        <f>IFERROR(I375/$AC375,0)</f>
        <v>0.29314002828854313</v>
      </c>
      <c r="K375" s="17">
        <v>123</v>
      </c>
      <c r="L375" s="36">
        <f>IFERROR(K375/$AD375,0)</f>
        <v>0.30445544554455445</v>
      </c>
      <c r="M375" s="16">
        <v>1022</v>
      </c>
      <c r="N375" s="36">
        <f>IFERROR(M375/$AC375,0)</f>
        <v>0.36138613861386137</v>
      </c>
      <c r="O375" s="17">
        <v>137</v>
      </c>
      <c r="P375" s="36">
        <f>IFERROR(O375/$AD375,0)</f>
        <v>0.33910891089108913</v>
      </c>
      <c r="Q375" s="17">
        <v>582</v>
      </c>
      <c r="R375" s="36">
        <f>IFERROR(Q375/$AC375,0)</f>
        <v>0.2057991513437058</v>
      </c>
      <c r="S375" s="17">
        <v>72</v>
      </c>
      <c r="T375" s="36">
        <f>IFERROR(S375/$AD375,0)</f>
        <v>0.17821782178217821</v>
      </c>
      <c r="U375" s="17">
        <v>228</v>
      </c>
      <c r="V375" s="36">
        <f>IFERROR(U375/$AC375,0)</f>
        <v>8.0622347949080617E-2</v>
      </c>
      <c r="W375" s="17">
        <v>33</v>
      </c>
      <c r="X375" s="36">
        <f>IFERROR(W375/$AD375,0)</f>
        <v>8.1683168316831686E-2</v>
      </c>
      <c r="Y375" s="17">
        <v>110</v>
      </c>
      <c r="Z375" s="36">
        <f>IFERROR(Y375/$AC375,0)</f>
        <v>3.8896746817538894E-2</v>
      </c>
      <c r="AA375" s="17">
        <v>25</v>
      </c>
      <c r="AB375" s="36">
        <f>IFERROR(AA375/$AD375,0)</f>
        <v>6.1881188118811881E-2</v>
      </c>
      <c r="AC375" s="16">
        <v>2828</v>
      </c>
      <c r="AD375" s="17">
        <v>404</v>
      </c>
    </row>
    <row r="376" spans="1:30" ht="15.75" customHeight="1" x14ac:dyDescent="0.25">
      <c r="A376" s="37">
        <v>2022</v>
      </c>
      <c r="B376" s="35">
        <v>171665</v>
      </c>
      <c r="C376" s="33" t="str">
        <f>VLOOKUP(B376,procv!$A$2:$D$142,4,FALSE)</f>
        <v>Cerrado Tocantins Araguaia</v>
      </c>
      <c r="D376" s="33" t="s">
        <v>101</v>
      </c>
      <c r="E376" s="17">
        <v>37</v>
      </c>
      <c r="F376" s="36">
        <f>IFERROR(E376/$AC376,0)</f>
        <v>2.3840206185567009E-2</v>
      </c>
      <c r="G376" s="17">
        <v>8</v>
      </c>
      <c r="H376" s="36">
        <f>IFERROR(G376/$AD376,0)</f>
        <v>4.4692737430167599E-2</v>
      </c>
      <c r="I376" s="17">
        <v>521</v>
      </c>
      <c r="J376" s="36">
        <f>IFERROR(I376/$AC376,0)</f>
        <v>0.33569587628865977</v>
      </c>
      <c r="K376" s="17">
        <v>59</v>
      </c>
      <c r="L376" s="36">
        <f>IFERROR(K376/$AD376,0)</f>
        <v>0.32960893854748602</v>
      </c>
      <c r="M376" s="17">
        <v>569</v>
      </c>
      <c r="N376" s="36">
        <f>IFERROR(M376/$AC376,0)</f>
        <v>0.36662371134020616</v>
      </c>
      <c r="O376" s="17">
        <v>56</v>
      </c>
      <c r="P376" s="36">
        <f>IFERROR(O376/$AD376,0)</f>
        <v>0.31284916201117319</v>
      </c>
      <c r="Q376" s="17">
        <v>289</v>
      </c>
      <c r="R376" s="36">
        <f>IFERROR(Q376/$AC376,0)</f>
        <v>0.18621134020618557</v>
      </c>
      <c r="S376" s="17">
        <v>35</v>
      </c>
      <c r="T376" s="36">
        <f>IFERROR(S376/$AD376,0)</f>
        <v>0.19553072625698323</v>
      </c>
      <c r="U376" s="17">
        <v>96</v>
      </c>
      <c r="V376" s="36">
        <f>IFERROR(U376/$AC376,0)</f>
        <v>6.1855670103092786E-2</v>
      </c>
      <c r="W376" s="17">
        <v>13</v>
      </c>
      <c r="X376" s="36">
        <f>IFERROR(W376/$AD376,0)</f>
        <v>7.2625698324022353E-2</v>
      </c>
      <c r="Y376" s="17">
        <v>40</v>
      </c>
      <c r="Z376" s="36">
        <f>IFERROR(Y376/$AC376,0)</f>
        <v>2.5773195876288658E-2</v>
      </c>
      <c r="AA376" s="17">
        <v>8</v>
      </c>
      <c r="AB376" s="36">
        <f>IFERROR(AA376/$AD376,0)</f>
        <v>4.4692737430167599E-2</v>
      </c>
      <c r="AC376" s="16">
        <v>1552</v>
      </c>
      <c r="AD376" s="17">
        <v>179</v>
      </c>
    </row>
    <row r="377" spans="1:30" ht="15.75" customHeight="1" x14ac:dyDescent="0.25">
      <c r="A377" s="37">
        <v>2022</v>
      </c>
      <c r="B377" s="35">
        <v>171700</v>
      </c>
      <c r="C377" s="33" t="str">
        <f>VLOOKUP(B377,procv!$A$2:$D$142,4,FALSE)</f>
        <v>Amor Perfeito</v>
      </c>
      <c r="D377" s="33" t="s">
        <v>102</v>
      </c>
      <c r="E377" s="17">
        <v>20</v>
      </c>
      <c r="F377" s="36">
        <f>IFERROR(E377/$AC377,0)</f>
        <v>1.8467220683287166E-2</v>
      </c>
      <c r="G377" s="17">
        <v>1</v>
      </c>
      <c r="H377" s="36">
        <f>IFERROR(G377/$AD377,0)</f>
        <v>1.0101010101010102E-2</v>
      </c>
      <c r="I377" s="17">
        <v>382</v>
      </c>
      <c r="J377" s="36">
        <f>IFERROR(I377/$AC377,0)</f>
        <v>0.35272391505078488</v>
      </c>
      <c r="K377" s="17">
        <v>40</v>
      </c>
      <c r="L377" s="36">
        <f>IFERROR(K377/$AD377,0)</f>
        <v>0.40404040404040403</v>
      </c>
      <c r="M377" s="17">
        <v>403</v>
      </c>
      <c r="N377" s="36">
        <f>IFERROR(M377/$AC377,0)</f>
        <v>0.37211449676823638</v>
      </c>
      <c r="O377" s="17">
        <v>31</v>
      </c>
      <c r="P377" s="36">
        <f>IFERROR(O377/$AD377,0)</f>
        <v>0.31313131313131315</v>
      </c>
      <c r="Q377" s="17">
        <v>190</v>
      </c>
      <c r="R377" s="36">
        <f>IFERROR(Q377/$AC377,0)</f>
        <v>0.17543859649122806</v>
      </c>
      <c r="S377" s="17">
        <v>19</v>
      </c>
      <c r="T377" s="36">
        <f>IFERROR(S377/$AD377,0)</f>
        <v>0.19191919191919191</v>
      </c>
      <c r="U377" s="17">
        <v>59</v>
      </c>
      <c r="V377" s="36">
        <f>IFERROR(U377/$AC377,0)</f>
        <v>5.4478301015697138E-2</v>
      </c>
      <c r="W377" s="17">
        <v>5</v>
      </c>
      <c r="X377" s="36">
        <f>IFERROR(W377/$AD377,0)</f>
        <v>5.0505050505050504E-2</v>
      </c>
      <c r="Y377" s="17">
        <v>29</v>
      </c>
      <c r="Z377" s="36">
        <f>IFERROR(Y377/$AC377,0)</f>
        <v>2.6777469990766391E-2</v>
      </c>
      <c r="AA377" s="17">
        <v>3</v>
      </c>
      <c r="AB377" s="36">
        <f>IFERROR(AA377/$AD377,0)</f>
        <v>3.0303030303030304E-2</v>
      </c>
      <c r="AC377" s="16">
        <v>1083</v>
      </c>
      <c r="AD377" s="17">
        <v>99</v>
      </c>
    </row>
    <row r="378" spans="1:30" ht="15.75" customHeight="1" x14ac:dyDescent="0.25">
      <c r="A378" s="37">
        <v>2022</v>
      </c>
      <c r="B378" s="35">
        <v>171720</v>
      </c>
      <c r="C378" s="33" t="str">
        <f>VLOOKUP(B378,procv!$A$2:$D$142,4,FALSE)</f>
        <v>Médio Norte Araguaia</v>
      </c>
      <c r="D378" s="33" t="s">
        <v>103</v>
      </c>
      <c r="E378" s="17">
        <v>13</v>
      </c>
      <c r="F378" s="36">
        <f>IFERROR(E378/$AC378,0)</f>
        <v>1.5081206496519721E-2</v>
      </c>
      <c r="G378" s="17">
        <v>3</v>
      </c>
      <c r="H378" s="36">
        <f>IFERROR(G378/$AD378,0)</f>
        <v>1.935483870967742E-2</v>
      </c>
      <c r="I378" s="17">
        <v>293</v>
      </c>
      <c r="J378" s="36">
        <f>IFERROR(I378/$AC378,0)</f>
        <v>0.33990719257540603</v>
      </c>
      <c r="K378" s="17">
        <v>49</v>
      </c>
      <c r="L378" s="36">
        <f>IFERROR(K378/$AD378,0)</f>
        <v>0.31612903225806449</v>
      </c>
      <c r="M378" s="17">
        <v>307</v>
      </c>
      <c r="N378" s="36">
        <f>IFERROR(M378/$AC378,0)</f>
        <v>0.35614849187935033</v>
      </c>
      <c r="O378" s="17">
        <v>57</v>
      </c>
      <c r="P378" s="36">
        <f>IFERROR(O378/$AD378,0)</f>
        <v>0.36774193548387096</v>
      </c>
      <c r="Q378" s="17">
        <v>166</v>
      </c>
      <c r="R378" s="36">
        <f>IFERROR(Q378/$AC378,0)</f>
        <v>0.1925754060324826</v>
      </c>
      <c r="S378" s="17">
        <v>27</v>
      </c>
      <c r="T378" s="36">
        <f>IFERROR(S378/$AD378,0)</f>
        <v>0.17419354838709677</v>
      </c>
      <c r="U378" s="17">
        <v>49</v>
      </c>
      <c r="V378" s="36">
        <f>IFERROR(U378/$AC378,0)</f>
        <v>5.6844547563805102E-2</v>
      </c>
      <c r="W378" s="17">
        <v>12</v>
      </c>
      <c r="X378" s="36">
        <f>IFERROR(W378/$AD378,0)</f>
        <v>7.7419354838709681E-2</v>
      </c>
      <c r="Y378" s="17">
        <v>34</v>
      </c>
      <c r="Z378" s="36">
        <f>IFERROR(Y378/$AC378,0)</f>
        <v>3.9443155452436193E-2</v>
      </c>
      <c r="AA378" s="17">
        <v>7</v>
      </c>
      <c r="AB378" s="36">
        <f>IFERROR(AA378/$AD378,0)</f>
        <v>4.5161290322580643E-2</v>
      </c>
      <c r="AC378" s="17">
        <v>862</v>
      </c>
      <c r="AD378" s="17">
        <v>155</v>
      </c>
    </row>
    <row r="379" spans="1:30" ht="15.75" customHeight="1" x14ac:dyDescent="0.25">
      <c r="A379" s="37">
        <v>2022</v>
      </c>
      <c r="B379" s="35">
        <v>171750</v>
      </c>
      <c r="C379" s="33" t="str">
        <f>VLOOKUP(B379,procv!$A$2:$D$142,4,FALSE)</f>
        <v>Cantão</v>
      </c>
      <c r="D379" s="33" t="s">
        <v>104</v>
      </c>
      <c r="E379" s="17">
        <v>51</v>
      </c>
      <c r="F379" s="36">
        <f>IFERROR(E379/$AC379,0)</f>
        <v>2.7884089666484417E-2</v>
      </c>
      <c r="G379" s="17">
        <v>3</v>
      </c>
      <c r="H379" s="36">
        <f>IFERROR(G379/$AD379,0)</f>
        <v>3.3333333333333333E-2</v>
      </c>
      <c r="I379" s="17">
        <v>611</v>
      </c>
      <c r="J379" s="36">
        <f>IFERROR(I379/$AC379,0)</f>
        <v>0.33406232914160744</v>
      </c>
      <c r="K379" s="17">
        <v>22</v>
      </c>
      <c r="L379" s="36">
        <f>IFERROR(K379/$AD379,0)</f>
        <v>0.24444444444444444</v>
      </c>
      <c r="M379" s="17">
        <v>641</v>
      </c>
      <c r="N379" s="36">
        <f>IFERROR(M379/$AC379,0)</f>
        <v>0.35046473482777474</v>
      </c>
      <c r="O379" s="17">
        <v>31</v>
      </c>
      <c r="P379" s="36">
        <f>IFERROR(O379/$AD379,0)</f>
        <v>0.34444444444444444</v>
      </c>
      <c r="Q379" s="17">
        <v>353</v>
      </c>
      <c r="R379" s="36">
        <f>IFERROR(Q379/$AC379,0)</f>
        <v>0.19300164024056862</v>
      </c>
      <c r="S379" s="17">
        <v>19</v>
      </c>
      <c r="T379" s="36">
        <f>IFERROR(S379/$AD379,0)</f>
        <v>0.21111111111111111</v>
      </c>
      <c r="U379" s="17">
        <v>124</v>
      </c>
      <c r="V379" s="36">
        <f>IFERROR(U379/$AC379,0)</f>
        <v>6.7796610169491525E-2</v>
      </c>
      <c r="W379" s="17">
        <v>11</v>
      </c>
      <c r="X379" s="36">
        <f>IFERROR(W379/$AD379,0)</f>
        <v>0.12222222222222222</v>
      </c>
      <c r="Y379" s="17">
        <v>49</v>
      </c>
      <c r="Z379" s="36">
        <f>IFERROR(Y379/$AC379,0)</f>
        <v>2.6790595954073265E-2</v>
      </c>
      <c r="AA379" s="17">
        <v>4</v>
      </c>
      <c r="AB379" s="36">
        <f>IFERROR(AA379/$AD379,0)</f>
        <v>4.4444444444444446E-2</v>
      </c>
      <c r="AC379" s="16">
        <v>1829</v>
      </c>
      <c r="AD379" s="17">
        <v>90</v>
      </c>
    </row>
    <row r="380" spans="1:30" ht="15.75" customHeight="1" x14ac:dyDescent="0.25">
      <c r="A380" s="37">
        <v>2022</v>
      </c>
      <c r="B380" s="35">
        <v>171780</v>
      </c>
      <c r="C380" s="33" t="str">
        <f>VLOOKUP(B380,procv!$A$2:$D$142,4,FALSE)</f>
        <v>Sudeste</v>
      </c>
      <c r="D380" s="33" t="s">
        <v>105</v>
      </c>
      <c r="E380" s="17">
        <v>44</v>
      </c>
      <c r="F380" s="36">
        <f>IFERROR(E380/$AC380,0)</f>
        <v>3.7768240343347637E-2</v>
      </c>
      <c r="G380" s="17">
        <v>8</v>
      </c>
      <c r="H380" s="36">
        <f>IFERROR(G380/$AD380,0)</f>
        <v>4.2780748663101602E-2</v>
      </c>
      <c r="I380" s="17">
        <v>423</v>
      </c>
      <c r="J380" s="36">
        <f>IFERROR(I380/$AC380,0)</f>
        <v>0.36309012875536478</v>
      </c>
      <c r="K380" s="17">
        <v>57</v>
      </c>
      <c r="L380" s="36">
        <f>IFERROR(K380/$AD380,0)</f>
        <v>0.30481283422459893</v>
      </c>
      <c r="M380" s="17">
        <v>423</v>
      </c>
      <c r="N380" s="36">
        <f>IFERROR(M380/$AC380,0)</f>
        <v>0.36309012875536478</v>
      </c>
      <c r="O380" s="17">
        <v>64</v>
      </c>
      <c r="P380" s="36">
        <f>IFERROR(O380/$AD380,0)</f>
        <v>0.34224598930481281</v>
      </c>
      <c r="Q380" s="17">
        <v>187</v>
      </c>
      <c r="R380" s="36">
        <f>IFERROR(Q380/$AC380,0)</f>
        <v>0.16051502145922747</v>
      </c>
      <c r="S380" s="17">
        <v>36</v>
      </c>
      <c r="T380" s="36">
        <f>IFERROR(S380/$AD380,0)</f>
        <v>0.19251336898395721</v>
      </c>
      <c r="U380" s="17">
        <v>74</v>
      </c>
      <c r="V380" s="36">
        <f>IFERROR(U380/$AC380,0)</f>
        <v>6.3519313304721034E-2</v>
      </c>
      <c r="W380" s="17">
        <v>16</v>
      </c>
      <c r="X380" s="36">
        <f>IFERROR(W380/$AD380,0)</f>
        <v>8.5561497326203204E-2</v>
      </c>
      <c r="Y380" s="17">
        <v>14</v>
      </c>
      <c r="Z380" s="36">
        <f>IFERROR(Y380/$AC380,0)</f>
        <v>1.201716738197425E-2</v>
      </c>
      <c r="AA380" s="17">
        <v>6</v>
      </c>
      <c r="AB380" s="36">
        <f>IFERROR(AA380/$AD380,0)</f>
        <v>3.2085561497326207E-2</v>
      </c>
      <c r="AC380" s="16">
        <v>1165</v>
      </c>
      <c r="AD380" s="17">
        <v>187</v>
      </c>
    </row>
    <row r="381" spans="1:30" ht="15.75" customHeight="1" x14ac:dyDescent="0.25">
      <c r="A381" s="37">
        <v>2022</v>
      </c>
      <c r="B381" s="35">
        <v>171790</v>
      </c>
      <c r="C381" s="33" t="str">
        <f>VLOOKUP(B381,procv!$A$2:$D$142,4,FALSE)</f>
        <v>Amor Perfeito</v>
      </c>
      <c r="D381" s="33" t="s">
        <v>106</v>
      </c>
      <c r="E381" s="17">
        <v>29</v>
      </c>
      <c r="F381" s="36">
        <f>IFERROR(E381/$AC381,0)</f>
        <v>2.6777469990766391E-2</v>
      </c>
      <c r="G381" s="17">
        <v>8</v>
      </c>
      <c r="H381" s="36">
        <f>IFERROR(G381/$AD381,0)</f>
        <v>2.4024024024024024E-2</v>
      </c>
      <c r="I381" s="17">
        <v>336</v>
      </c>
      <c r="J381" s="36">
        <f>IFERROR(I381/$AC381,0)</f>
        <v>0.31024930747922436</v>
      </c>
      <c r="K381" s="17">
        <v>102</v>
      </c>
      <c r="L381" s="36">
        <f>IFERROR(K381/$AD381,0)</f>
        <v>0.30630630630630629</v>
      </c>
      <c r="M381" s="17">
        <v>370</v>
      </c>
      <c r="N381" s="36">
        <f>IFERROR(M381/$AC381,0)</f>
        <v>0.34164358264081257</v>
      </c>
      <c r="O381" s="17">
        <v>125</v>
      </c>
      <c r="P381" s="36">
        <f>IFERROR(O381/$AD381,0)</f>
        <v>0.37537537537537535</v>
      </c>
      <c r="Q381" s="17">
        <v>228</v>
      </c>
      <c r="R381" s="36">
        <f>IFERROR(Q381/$AC381,0)</f>
        <v>0.21052631578947367</v>
      </c>
      <c r="S381" s="17">
        <v>69</v>
      </c>
      <c r="T381" s="36">
        <f>IFERROR(S381/$AD381,0)</f>
        <v>0.2072072072072072</v>
      </c>
      <c r="U381" s="17">
        <v>78</v>
      </c>
      <c r="V381" s="36">
        <f>IFERROR(U381/$AC381,0)</f>
        <v>7.2022160664819951E-2</v>
      </c>
      <c r="W381" s="17">
        <v>21</v>
      </c>
      <c r="X381" s="36">
        <f>IFERROR(W381/$AD381,0)</f>
        <v>6.3063063063063057E-2</v>
      </c>
      <c r="Y381" s="17">
        <v>42</v>
      </c>
      <c r="Z381" s="36">
        <f>IFERROR(Y381/$AC381,0)</f>
        <v>3.8781163434903045E-2</v>
      </c>
      <c r="AA381" s="17">
        <v>8</v>
      </c>
      <c r="AB381" s="36">
        <f>IFERROR(AA381/$AD381,0)</f>
        <v>2.4024024024024024E-2</v>
      </c>
      <c r="AC381" s="16">
        <v>1083</v>
      </c>
      <c r="AD381" s="17">
        <v>333</v>
      </c>
    </row>
    <row r="382" spans="1:30" ht="15.75" customHeight="1" x14ac:dyDescent="0.25">
      <c r="A382" s="37">
        <v>2022</v>
      </c>
      <c r="B382" s="35">
        <v>171800</v>
      </c>
      <c r="C382" s="33" t="str">
        <f>VLOOKUP(B382,procv!$A$2:$D$142,4,FALSE)</f>
        <v>Sudeste</v>
      </c>
      <c r="D382" s="33" t="s">
        <v>107</v>
      </c>
      <c r="E382" s="17">
        <v>21</v>
      </c>
      <c r="F382" s="36">
        <f>IFERROR(E382/$AC382,0)</f>
        <v>2.8846153846153848E-2</v>
      </c>
      <c r="G382" s="17">
        <v>6</v>
      </c>
      <c r="H382" s="36">
        <f>IFERROR(G382/$AD382,0)</f>
        <v>4.4117647058823532E-2</v>
      </c>
      <c r="I382" s="17">
        <v>241</v>
      </c>
      <c r="J382" s="36">
        <f>IFERROR(I382/$AC382,0)</f>
        <v>0.33104395604395603</v>
      </c>
      <c r="K382" s="17">
        <v>46</v>
      </c>
      <c r="L382" s="36">
        <f>IFERROR(K382/$AD382,0)</f>
        <v>0.33823529411764708</v>
      </c>
      <c r="M382" s="17">
        <v>244</v>
      </c>
      <c r="N382" s="36">
        <f>IFERROR(M382/$AC382,0)</f>
        <v>0.33516483516483514</v>
      </c>
      <c r="O382" s="17">
        <v>45</v>
      </c>
      <c r="P382" s="36">
        <f>IFERROR(O382/$AD382,0)</f>
        <v>0.33088235294117646</v>
      </c>
      <c r="Q382" s="17">
        <v>153</v>
      </c>
      <c r="R382" s="36">
        <f>IFERROR(Q382/$AC382,0)</f>
        <v>0.21016483516483517</v>
      </c>
      <c r="S382" s="17">
        <v>26</v>
      </c>
      <c r="T382" s="36">
        <f>IFERROR(S382/$AD382,0)</f>
        <v>0.19117647058823528</v>
      </c>
      <c r="U382" s="17">
        <v>42</v>
      </c>
      <c r="V382" s="36">
        <f>IFERROR(U382/$AC382,0)</f>
        <v>5.7692307692307696E-2</v>
      </c>
      <c r="W382" s="17">
        <v>6</v>
      </c>
      <c r="X382" s="36">
        <f>IFERROR(W382/$AD382,0)</f>
        <v>4.4117647058823532E-2</v>
      </c>
      <c r="Y382" s="17">
        <v>27</v>
      </c>
      <c r="Z382" s="36">
        <f>IFERROR(Y382/$AC382,0)</f>
        <v>3.7087912087912088E-2</v>
      </c>
      <c r="AA382" s="17">
        <v>7</v>
      </c>
      <c r="AB382" s="36">
        <f>IFERROR(AA382/$AD382,0)</f>
        <v>5.1470588235294115E-2</v>
      </c>
      <c r="AC382" s="17">
        <v>728</v>
      </c>
      <c r="AD382" s="17">
        <v>136</v>
      </c>
    </row>
    <row r="383" spans="1:30" ht="15.75" customHeight="1" x14ac:dyDescent="0.25">
      <c r="A383" s="37">
        <v>2022</v>
      </c>
      <c r="B383" s="35">
        <v>171820</v>
      </c>
      <c r="C383" s="33" t="str">
        <f>VLOOKUP(B383,procv!$A$2:$D$142,4,FALSE)</f>
        <v>Amor Perfeito</v>
      </c>
      <c r="D383" s="33" t="s">
        <v>108</v>
      </c>
      <c r="E383" s="17">
        <v>346</v>
      </c>
      <c r="F383" s="36">
        <f>IFERROR(E383/$AC383,0)</f>
        <v>2.2733245729303547E-2</v>
      </c>
      <c r="G383" s="17">
        <v>39</v>
      </c>
      <c r="H383" s="36">
        <f>IFERROR(G383/$AD383,0)</f>
        <v>3.439153439153439E-2</v>
      </c>
      <c r="I383" s="16">
        <v>5048</v>
      </c>
      <c r="J383" s="36">
        <f>IFERROR(I383/$AC383,0)</f>
        <v>0.33166885676741131</v>
      </c>
      <c r="K383" s="17">
        <v>402</v>
      </c>
      <c r="L383" s="36">
        <f>IFERROR(K383/$AD383,0)</f>
        <v>0.35449735449735448</v>
      </c>
      <c r="M383" s="16">
        <v>5497</v>
      </c>
      <c r="N383" s="36">
        <f>IFERROR(M383/$AC383,0)</f>
        <v>0.36116951379763468</v>
      </c>
      <c r="O383" s="17">
        <v>350</v>
      </c>
      <c r="P383" s="36">
        <f>IFERROR(O383/$AD383,0)</f>
        <v>0.30864197530864196</v>
      </c>
      <c r="Q383" s="16">
        <v>2846</v>
      </c>
      <c r="R383" s="36">
        <f>IFERROR(Q383/$AC383,0)</f>
        <v>0.18699080157687253</v>
      </c>
      <c r="S383" s="17">
        <v>212</v>
      </c>
      <c r="T383" s="36">
        <f>IFERROR(S383/$AD383,0)</f>
        <v>0.18694885361552027</v>
      </c>
      <c r="U383" s="16">
        <v>1030</v>
      </c>
      <c r="V383" s="36">
        <f>IFERROR(U383/$AC383,0)</f>
        <v>6.7674113009198428E-2</v>
      </c>
      <c r="W383" s="17">
        <v>81</v>
      </c>
      <c r="X383" s="36">
        <f>IFERROR(W383/$AD383,0)</f>
        <v>7.1428571428571425E-2</v>
      </c>
      <c r="Y383" s="17">
        <v>453</v>
      </c>
      <c r="Z383" s="36">
        <f>IFERROR(Y383/$AC383,0)</f>
        <v>2.97634691195795E-2</v>
      </c>
      <c r="AA383" s="17">
        <v>50</v>
      </c>
      <c r="AB383" s="36">
        <f>IFERROR(AA383/$AD383,0)</f>
        <v>4.4091710758377423E-2</v>
      </c>
      <c r="AC383" s="16">
        <v>15220</v>
      </c>
      <c r="AD383" s="16">
        <v>1134</v>
      </c>
    </row>
    <row r="384" spans="1:30" ht="15.75" customHeight="1" x14ac:dyDescent="0.25">
      <c r="A384" s="37">
        <v>2022</v>
      </c>
      <c r="B384" s="35">
        <v>171830</v>
      </c>
      <c r="C384" s="33" t="str">
        <f>VLOOKUP(B384,procv!$A$2:$D$142,4,FALSE)</f>
        <v>Bico do Papagaio</v>
      </c>
      <c r="D384" s="33" t="s">
        <v>109</v>
      </c>
      <c r="E384" s="17">
        <v>36</v>
      </c>
      <c r="F384" s="36">
        <f>IFERROR(E384/$AC384,0)</f>
        <v>2.2915340547422024E-2</v>
      </c>
      <c r="G384" s="17">
        <v>8</v>
      </c>
      <c r="H384" s="36">
        <f>IFERROR(G384/$AD384,0)</f>
        <v>4.060913705583756E-2</v>
      </c>
      <c r="I384" s="17">
        <v>519</v>
      </c>
      <c r="J384" s="36">
        <f>IFERROR(I384/$AC384,0)</f>
        <v>0.33036282622533419</v>
      </c>
      <c r="K384" s="17">
        <v>71</v>
      </c>
      <c r="L384" s="36">
        <f>IFERROR(K384/$AD384,0)</f>
        <v>0.3604060913705584</v>
      </c>
      <c r="M384" s="17">
        <v>590</v>
      </c>
      <c r="N384" s="36">
        <f>IFERROR(M384/$AC384,0)</f>
        <v>0.37555697008274985</v>
      </c>
      <c r="O384" s="17">
        <v>67</v>
      </c>
      <c r="P384" s="36">
        <f>IFERROR(O384/$AD384,0)</f>
        <v>0.34010152284263961</v>
      </c>
      <c r="Q384" s="17">
        <v>292</v>
      </c>
      <c r="R384" s="36">
        <f>IFERROR(Q384/$AC384,0)</f>
        <v>0.18586887332908975</v>
      </c>
      <c r="S384" s="17">
        <v>31</v>
      </c>
      <c r="T384" s="36">
        <f>IFERROR(S384/$AD384,0)</f>
        <v>0.15736040609137056</v>
      </c>
      <c r="U384" s="17">
        <v>104</v>
      </c>
      <c r="V384" s="36">
        <f>IFERROR(U384/$AC384,0)</f>
        <v>6.6199872692552508E-2</v>
      </c>
      <c r="W384" s="17">
        <v>16</v>
      </c>
      <c r="X384" s="36">
        <f>IFERROR(W384/$AD384,0)</f>
        <v>8.1218274111675121E-2</v>
      </c>
      <c r="Y384" s="17">
        <v>30</v>
      </c>
      <c r="Z384" s="36">
        <f>IFERROR(Y384/$AC384,0)</f>
        <v>1.9096117122851686E-2</v>
      </c>
      <c r="AA384" s="17">
        <v>4</v>
      </c>
      <c r="AB384" s="36">
        <f>IFERROR(AA384/$AD384,0)</f>
        <v>2.030456852791878E-2</v>
      </c>
      <c r="AC384" s="16">
        <v>1571</v>
      </c>
      <c r="AD384" s="17">
        <v>197</v>
      </c>
    </row>
    <row r="385" spans="1:30" ht="15.75" customHeight="1" x14ac:dyDescent="0.25">
      <c r="A385" s="37">
        <v>2022</v>
      </c>
      <c r="B385" s="35">
        <v>171840</v>
      </c>
      <c r="C385" s="33" t="str">
        <f>VLOOKUP(B385,procv!$A$2:$D$142,4,FALSE)</f>
        <v>Cerrado Tocantins Araguaia</v>
      </c>
      <c r="D385" s="33" t="s">
        <v>110</v>
      </c>
      <c r="E385" s="17">
        <v>19</v>
      </c>
      <c r="F385" s="36">
        <f>IFERROR(E385/$AC385,0)</f>
        <v>2.0585048754062838E-2</v>
      </c>
      <c r="G385" s="17">
        <v>3</v>
      </c>
      <c r="H385" s="36">
        <f>IFERROR(G385/$AD385,0)</f>
        <v>3.614457831325301E-2</v>
      </c>
      <c r="I385" s="17">
        <v>308</v>
      </c>
      <c r="J385" s="36">
        <f>IFERROR(I385/$AC385,0)</f>
        <v>0.33369447453954498</v>
      </c>
      <c r="K385" s="17">
        <v>28</v>
      </c>
      <c r="L385" s="36">
        <f>IFERROR(K385/$AD385,0)</f>
        <v>0.33734939759036142</v>
      </c>
      <c r="M385" s="17">
        <v>308</v>
      </c>
      <c r="N385" s="36">
        <f>IFERROR(M385/$AC385,0)</f>
        <v>0.33369447453954498</v>
      </c>
      <c r="O385" s="17">
        <v>24</v>
      </c>
      <c r="P385" s="36">
        <f>IFERROR(O385/$AD385,0)</f>
        <v>0.28915662650602408</v>
      </c>
      <c r="Q385" s="17">
        <v>175</v>
      </c>
      <c r="R385" s="36">
        <f>IFERROR(Q385/$AC385,0)</f>
        <v>0.18959913326110509</v>
      </c>
      <c r="S385" s="17">
        <v>14</v>
      </c>
      <c r="T385" s="36">
        <f>IFERROR(S385/$AD385,0)</f>
        <v>0.16867469879518071</v>
      </c>
      <c r="U385" s="17">
        <v>82</v>
      </c>
      <c r="V385" s="36">
        <f>IFERROR(U385/$AC385,0)</f>
        <v>8.8840736728060671E-2</v>
      </c>
      <c r="W385" s="17">
        <v>13</v>
      </c>
      <c r="X385" s="36">
        <f>IFERROR(W385/$AD385,0)</f>
        <v>0.15662650602409639</v>
      </c>
      <c r="Y385" s="17">
        <v>31</v>
      </c>
      <c r="Z385" s="36">
        <f>IFERROR(Y385/$AC385,0)</f>
        <v>3.3586132177681471E-2</v>
      </c>
      <c r="AA385" s="17">
        <v>1</v>
      </c>
      <c r="AB385" s="36">
        <f>IFERROR(AA385/$AD385,0)</f>
        <v>1.2048192771084338E-2</v>
      </c>
      <c r="AC385" s="17">
        <v>923</v>
      </c>
      <c r="AD385" s="17">
        <v>83</v>
      </c>
    </row>
    <row r="386" spans="1:30" ht="15.75" customHeight="1" x14ac:dyDescent="0.25">
      <c r="A386" s="37">
        <v>2022</v>
      </c>
      <c r="B386" s="35">
        <v>171845</v>
      </c>
      <c r="C386" s="33" t="str">
        <f>VLOOKUP(B386,procv!$A$2:$D$142,4,FALSE)</f>
        <v>Cantão</v>
      </c>
      <c r="D386" s="33" t="s">
        <v>111</v>
      </c>
      <c r="E386" s="17">
        <v>18</v>
      </c>
      <c r="F386" s="36">
        <f>IFERROR(E386/$AC386,0)</f>
        <v>2.085747392815759E-2</v>
      </c>
      <c r="G386" s="17">
        <v>2</v>
      </c>
      <c r="H386" s="36">
        <f>IFERROR(G386/$AD386,0)</f>
        <v>2.1276595744680851E-2</v>
      </c>
      <c r="I386" s="17">
        <v>297</v>
      </c>
      <c r="J386" s="36">
        <f>IFERROR(I386/$AC386,0)</f>
        <v>0.34414831981460026</v>
      </c>
      <c r="K386" s="17">
        <v>39</v>
      </c>
      <c r="L386" s="36">
        <f>IFERROR(K386/$AD386,0)</f>
        <v>0.41489361702127658</v>
      </c>
      <c r="M386" s="17">
        <v>306</v>
      </c>
      <c r="N386" s="36">
        <f>IFERROR(M386/$AC386,0)</f>
        <v>0.35457705677867901</v>
      </c>
      <c r="O386" s="17">
        <v>28</v>
      </c>
      <c r="P386" s="36">
        <f>IFERROR(O386/$AD386,0)</f>
        <v>0.2978723404255319</v>
      </c>
      <c r="Q386" s="17">
        <v>165</v>
      </c>
      <c r="R386" s="36">
        <f>IFERROR(Q386/$AC386,0)</f>
        <v>0.19119351100811124</v>
      </c>
      <c r="S386" s="17">
        <v>17</v>
      </c>
      <c r="T386" s="36">
        <f>IFERROR(S386/$AD386,0)</f>
        <v>0.18085106382978725</v>
      </c>
      <c r="U386" s="17">
        <v>56</v>
      </c>
      <c r="V386" s="36">
        <f>IFERROR(U386/$AC386,0)</f>
        <v>6.4889918887601386E-2</v>
      </c>
      <c r="W386" s="17">
        <v>7</v>
      </c>
      <c r="X386" s="36">
        <f>IFERROR(W386/$AD386,0)</f>
        <v>7.4468085106382975E-2</v>
      </c>
      <c r="Y386" s="17">
        <v>21</v>
      </c>
      <c r="Z386" s="36">
        <f>IFERROR(Y386/$AC386,0)</f>
        <v>2.4333719582850522E-2</v>
      </c>
      <c r="AA386" s="17">
        <v>1</v>
      </c>
      <c r="AB386" s="36">
        <f>IFERROR(AA386/$AD386,0)</f>
        <v>1.0638297872340425E-2</v>
      </c>
      <c r="AC386" s="17">
        <v>863</v>
      </c>
      <c r="AD386" s="17">
        <v>94</v>
      </c>
    </row>
    <row r="387" spans="1:30" ht="15.75" customHeight="1" x14ac:dyDescent="0.25">
      <c r="A387" s="37">
        <v>2022</v>
      </c>
      <c r="B387" s="35">
        <v>171850</v>
      </c>
      <c r="C387" s="33" t="str">
        <f>VLOOKUP(B387,procv!$A$2:$D$142,4,FALSE)</f>
        <v>Cerrado Tocantins Araguaia</v>
      </c>
      <c r="D387" s="33" t="s">
        <v>112</v>
      </c>
      <c r="E387" s="17">
        <v>39</v>
      </c>
      <c r="F387" s="36">
        <f>IFERROR(E387/$AC387,0)</f>
        <v>3.3219761499148209E-2</v>
      </c>
      <c r="G387" s="17">
        <v>5</v>
      </c>
      <c r="H387" s="36">
        <f>IFERROR(G387/$AD387,0)</f>
        <v>4.0983606557377046E-2</v>
      </c>
      <c r="I387" s="17">
        <v>498</v>
      </c>
      <c r="J387" s="36">
        <f>IFERROR(I387/$AC387,0)</f>
        <v>0.424190800681431</v>
      </c>
      <c r="K387" s="17">
        <v>53</v>
      </c>
      <c r="L387" s="36">
        <f>IFERROR(K387/$AD387,0)</f>
        <v>0.4344262295081967</v>
      </c>
      <c r="M387" s="17">
        <v>406</v>
      </c>
      <c r="N387" s="36">
        <f>IFERROR(M387/$AC387,0)</f>
        <v>0.34582623509369675</v>
      </c>
      <c r="O387" s="17">
        <v>43</v>
      </c>
      <c r="P387" s="36">
        <f>IFERROR(O387/$AD387,0)</f>
        <v>0.35245901639344263</v>
      </c>
      <c r="Q387" s="17">
        <v>174</v>
      </c>
      <c r="R387" s="36">
        <f>IFERROR(Q387/$AC387,0)</f>
        <v>0.14821124361158433</v>
      </c>
      <c r="S387" s="17">
        <v>17</v>
      </c>
      <c r="T387" s="36">
        <f>IFERROR(S387/$AD387,0)</f>
        <v>0.13934426229508196</v>
      </c>
      <c r="U387" s="17">
        <v>47</v>
      </c>
      <c r="V387" s="36">
        <f>IFERROR(U387/$AC387,0)</f>
        <v>4.003407155025554E-2</v>
      </c>
      <c r="W387" s="17">
        <v>2</v>
      </c>
      <c r="X387" s="36">
        <f>IFERROR(W387/$AD387,0)</f>
        <v>1.6393442622950821E-2</v>
      </c>
      <c r="Y387" s="17">
        <v>10</v>
      </c>
      <c r="Z387" s="36">
        <f>IFERROR(Y387/$AC387,0)</f>
        <v>8.5178875638841564E-3</v>
      </c>
      <c r="AA387" s="17">
        <v>2</v>
      </c>
      <c r="AB387" s="36">
        <f>IFERROR(AA387/$AD387,0)</f>
        <v>1.6393442622950821E-2</v>
      </c>
      <c r="AC387" s="16">
        <v>1174</v>
      </c>
      <c r="AD387" s="17">
        <v>122</v>
      </c>
    </row>
    <row r="388" spans="1:30" ht="15.75" customHeight="1" x14ac:dyDescent="0.25">
      <c r="A388" s="37">
        <v>2022</v>
      </c>
      <c r="B388" s="35">
        <v>171855</v>
      </c>
      <c r="C388" s="33" t="str">
        <f>VLOOKUP(B388,procv!$A$2:$D$142,4,FALSE)</f>
        <v>Bico do Papagaio</v>
      </c>
      <c r="D388" s="33" t="s">
        <v>113</v>
      </c>
      <c r="E388" s="17">
        <v>24</v>
      </c>
      <c r="F388" s="36">
        <f>IFERROR(E388/$AC388,0)</f>
        <v>2.0066889632107024E-2</v>
      </c>
      <c r="G388" s="17">
        <v>7</v>
      </c>
      <c r="H388" s="36">
        <f>IFERROR(G388/$AD388,0)</f>
        <v>3.2863849765258218E-2</v>
      </c>
      <c r="I388" s="17">
        <v>394</v>
      </c>
      <c r="J388" s="36">
        <f>IFERROR(I388/$AC388,0)</f>
        <v>0.3294314381270903</v>
      </c>
      <c r="K388" s="17">
        <v>80</v>
      </c>
      <c r="L388" s="36">
        <f>IFERROR(K388/$AD388,0)</f>
        <v>0.37558685446009388</v>
      </c>
      <c r="M388" s="17">
        <v>419</v>
      </c>
      <c r="N388" s="36">
        <f>IFERROR(M388/$AC388,0)</f>
        <v>0.35033444816053511</v>
      </c>
      <c r="O388" s="17">
        <v>57</v>
      </c>
      <c r="P388" s="36">
        <f>IFERROR(O388/$AD388,0)</f>
        <v>0.26760563380281688</v>
      </c>
      <c r="Q388" s="17">
        <v>250</v>
      </c>
      <c r="R388" s="36">
        <f>IFERROR(Q388/$AC388,0)</f>
        <v>0.20903010033444816</v>
      </c>
      <c r="S388" s="17">
        <v>54</v>
      </c>
      <c r="T388" s="36">
        <f>IFERROR(S388/$AD388,0)</f>
        <v>0.25352112676056338</v>
      </c>
      <c r="U388" s="17">
        <v>78</v>
      </c>
      <c r="V388" s="36">
        <f>IFERROR(U388/$AC388,0)</f>
        <v>6.5217391304347824E-2</v>
      </c>
      <c r="W388" s="17">
        <v>8</v>
      </c>
      <c r="X388" s="36">
        <f>IFERROR(W388/$AD388,0)</f>
        <v>3.7558685446009391E-2</v>
      </c>
      <c r="Y388" s="17">
        <v>31</v>
      </c>
      <c r="Z388" s="36">
        <f>IFERROR(Y388/$AC388,0)</f>
        <v>2.5919732441471572E-2</v>
      </c>
      <c r="AA388" s="17">
        <v>7</v>
      </c>
      <c r="AB388" s="36">
        <f>IFERROR(AA388/$AD388,0)</f>
        <v>3.2863849765258218E-2</v>
      </c>
      <c r="AC388" s="16">
        <v>1196</v>
      </c>
      <c r="AD388" s="17">
        <v>213</v>
      </c>
    </row>
    <row r="389" spans="1:30" ht="15.75" customHeight="1" x14ac:dyDescent="0.25">
      <c r="A389" s="37">
        <v>2022</v>
      </c>
      <c r="B389" s="35">
        <v>171865</v>
      </c>
      <c r="C389" s="33" t="str">
        <f>VLOOKUP(B389,procv!$A$2:$D$142,4,FALSE)</f>
        <v>Sudeste</v>
      </c>
      <c r="D389" s="33" t="s">
        <v>114</v>
      </c>
      <c r="E389" s="17">
        <v>12</v>
      </c>
      <c r="F389" s="36">
        <f>IFERROR(E389/$AC389,0)</f>
        <v>2.2304832713754646E-2</v>
      </c>
      <c r="G389" s="17">
        <v>2</v>
      </c>
      <c r="H389" s="36">
        <f>IFERROR(G389/$AD389,0)</f>
        <v>3.9215686274509803E-2</v>
      </c>
      <c r="I389" s="17">
        <v>198</v>
      </c>
      <c r="J389" s="36">
        <f>IFERROR(I389/$AC389,0)</f>
        <v>0.36802973977695169</v>
      </c>
      <c r="K389" s="17">
        <v>19</v>
      </c>
      <c r="L389" s="36">
        <f>IFERROR(K389/$AD389,0)</f>
        <v>0.37254901960784315</v>
      </c>
      <c r="M389" s="17">
        <v>201</v>
      </c>
      <c r="N389" s="36">
        <f>IFERROR(M389/$AC389,0)</f>
        <v>0.37360594795539032</v>
      </c>
      <c r="O389" s="17">
        <v>14</v>
      </c>
      <c r="P389" s="36">
        <f>IFERROR(O389/$AD389,0)</f>
        <v>0.27450980392156865</v>
      </c>
      <c r="Q389" s="17">
        <v>86</v>
      </c>
      <c r="R389" s="36">
        <f>IFERROR(Q389/$AC389,0)</f>
        <v>0.15985130111524162</v>
      </c>
      <c r="S389" s="17">
        <v>10</v>
      </c>
      <c r="T389" s="36">
        <f>IFERROR(S389/$AD389,0)</f>
        <v>0.19607843137254902</v>
      </c>
      <c r="U389" s="17">
        <v>34</v>
      </c>
      <c r="V389" s="36">
        <f>IFERROR(U389/$AC389,0)</f>
        <v>6.3197026022304828E-2</v>
      </c>
      <c r="W389" s="17">
        <v>5</v>
      </c>
      <c r="X389" s="36">
        <f>IFERROR(W389/$AD389,0)</f>
        <v>9.8039215686274508E-2</v>
      </c>
      <c r="Y389" s="17">
        <v>7</v>
      </c>
      <c r="Z389" s="36">
        <f>IFERROR(Y389/$AC389,0)</f>
        <v>1.3011152416356878E-2</v>
      </c>
      <c r="AA389" s="17">
        <v>1</v>
      </c>
      <c r="AB389" s="36">
        <f>IFERROR(AA389/$AD389,0)</f>
        <v>1.9607843137254902E-2</v>
      </c>
      <c r="AC389" s="17">
        <v>538</v>
      </c>
      <c r="AD389" s="17">
        <v>51</v>
      </c>
    </row>
    <row r="390" spans="1:30" ht="15.75" customHeight="1" x14ac:dyDescent="0.25">
      <c r="A390" s="37">
        <v>2022</v>
      </c>
      <c r="B390" s="35">
        <v>171870</v>
      </c>
      <c r="C390" s="33" t="str">
        <f>VLOOKUP(B390,procv!$A$2:$D$142,4,FALSE)</f>
        <v>Capim Dourado</v>
      </c>
      <c r="D390" s="33" t="s">
        <v>115</v>
      </c>
      <c r="E390" s="17">
        <v>7</v>
      </c>
      <c r="F390" s="36">
        <f>IFERROR(E390/$AC390,0)</f>
        <v>1.0115606936416185E-2</v>
      </c>
      <c r="G390" s="17">
        <v>2</v>
      </c>
      <c r="H390" s="36">
        <f>IFERROR(G390/$AD390,0)</f>
        <v>1.4925373134328358E-2</v>
      </c>
      <c r="I390" s="17">
        <v>193</v>
      </c>
      <c r="J390" s="36">
        <f>IFERROR(I390/$AC390,0)</f>
        <v>0.27890173410404623</v>
      </c>
      <c r="K390" s="17">
        <v>34</v>
      </c>
      <c r="L390" s="36">
        <f>IFERROR(K390/$AD390,0)</f>
        <v>0.2537313432835821</v>
      </c>
      <c r="M390" s="17">
        <v>248</v>
      </c>
      <c r="N390" s="36">
        <f>IFERROR(M390/$AC390,0)</f>
        <v>0.3583815028901734</v>
      </c>
      <c r="O390" s="17">
        <v>55</v>
      </c>
      <c r="P390" s="36">
        <f>IFERROR(O390/$AD390,0)</f>
        <v>0.41044776119402987</v>
      </c>
      <c r="Q390" s="17">
        <v>149</v>
      </c>
      <c r="R390" s="36">
        <f>IFERROR(Q390/$AC390,0)</f>
        <v>0.2153179190751445</v>
      </c>
      <c r="S390" s="17">
        <v>25</v>
      </c>
      <c r="T390" s="36">
        <f>IFERROR(S390/$AD390,0)</f>
        <v>0.18656716417910449</v>
      </c>
      <c r="U390" s="17">
        <v>62</v>
      </c>
      <c r="V390" s="36">
        <f>IFERROR(U390/$AC390,0)</f>
        <v>8.9595375722543349E-2</v>
      </c>
      <c r="W390" s="17">
        <v>10</v>
      </c>
      <c r="X390" s="36">
        <f>IFERROR(W390/$AD390,0)</f>
        <v>7.4626865671641784E-2</v>
      </c>
      <c r="Y390" s="17">
        <v>33</v>
      </c>
      <c r="Z390" s="36">
        <f>IFERROR(Y390/$AC390,0)</f>
        <v>4.7687861271676298E-2</v>
      </c>
      <c r="AA390" s="17">
        <v>8</v>
      </c>
      <c r="AB390" s="36">
        <f>IFERROR(AA390/$AD390,0)</f>
        <v>5.9701492537313432E-2</v>
      </c>
      <c r="AC390" s="17">
        <v>692</v>
      </c>
      <c r="AD390" s="17">
        <v>134</v>
      </c>
    </row>
    <row r="391" spans="1:30" ht="15.75" customHeight="1" x14ac:dyDescent="0.25">
      <c r="A391" s="37">
        <v>2022</v>
      </c>
      <c r="B391" s="35">
        <v>171875</v>
      </c>
      <c r="C391" s="33" t="str">
        <f>VLOOKUP(B391,procv!$A$2:$D$142,4,FALSE)</f>
        <v>Capim Dourado</v>
      </c>
      <c r="D391" s="33" t="s">
        <v>116</v>
      </c>
      <c r="E391" s="17">
        <v>30</v>
      </c>
      <c r="F391" s="36">
        <f>IFERROR(E391/$AC391,0)</f>
        <v>2.1321961620469083E-2</v>
      </c>
      <c r="G391" s="17">
        <v>3</v>
      </c>
      <c r="H391" s="36">
        <f>IFERROR(G391/$AD391,0)</f>
        <v>1.4018691588785047E-2</v>
      </c>
      <c r="I391" s="17">
        <v>471</v>
      </c>
      <c r="J391" s="36">
        <f>IFERROR(I391/$AC391,0)</f>
        <v>0.3347547974413646</v>
      </c>
      <c r="K391" s="17">
        <v>71</v>
      </c>
      <c r="L391" s="36">
        <f>IFERROR(K391/$AD391,0)</f>
        <v>0.33177570093457942</v>
      </c>
      <c r="M391" s="17">
        <v>523</v>
      </c>
      <c r="N391" s="36">
        <f>IFERROR(M391/$AC391,0)</f>
        <v>0.37171286425017769</v>
      </c>
      <c r="O391" s="17">
        <v>88</v>
      </c>
      <c r="P391" s="36">
        <f>IFERROR(O391/$AD391,0)</f>
        <v>0.41121495327102803</v>
      </c>
      <c r="Q391" s="17">
        <v>270</v>
      </c>
      <c r="R391" s="36">
        <f>IFERROR(Q391/$AC391,0)</f>
        <v>0.19189765458422176</v>
      </c>
      <c r="S391" s="17">
        <v>38</v>
      </c>
      <c r="T391" s="36">
        <f>IFERROR(S391/$AD391,0)</f>
        <v>0.17757009345794392</v>
      </c>
      <c r="U391" s="17">
        <v>84</v>
      </c>
      <c r="V391" s="36">
        <f>IFERROR(U391/$AC391,0)</f>
        <v>5.9701492537313432E-2</v>
      </c>
      <c r="W391" s="17">
        <v>11</v>
      </c>
      <c r="X391" s="36">
        <f>IFERROR(W391/$AD391,0)</f>
        <v>5.1401869158878503E-2</v>
      </c>
      <c r="Y391" s="17">
        <v>29</v>
      </c>
      <c r="Z391" s="36">
        <f>IFERROR(Y391/$AC391,0)</f>
        <v>2.0611229566453448E-2</v>
      </c>
      <c r="AA391" s="17">
        <v>3</v>
      </c>
      <c r="AB391" s="36">
        <f>IFERROR(AA391/$AD391,0)</f>
        <v>1.4018691588785047E-2</v>
      </c>
      <c r="AC391" s="16">
        <v>1407</v>
      </c>
      <c r="AD391" s="17">
        <v>214</v>
      </c>
    </row>
    <row r="392" spans="1:30" ht="15.75" customHeight="1" x14ac:dyDescent="0.25">
      <c r="A392" s="37">
        <v>2022</v>
      </c>
      <c r="B392" s="35">
        <v>171880</v>
      </c>
      <c r="C392" s="33" t="str">
        <f>VLOOKUP(B392,procv!$A$2:$D$142,4,FALSE)</f>
        <v>Bico do Papagaio</v>
      </c>
      <c r="D392" s="33" t="s">
        <v>117</v>
      </c>
      <c r="E392" s="17">
        <v>33</v>
      </c>
      <c r="F392" s="36">
        <f>IFERROR(E392/$AC392,0)</f>
        <v>2.4354243542435424E-2</v>
      </c>
      <c r="G392" s="17">
        <v>12</v>
      </c>
      <c r="H392" s="36">
        <f>IFERROR(G392/$AD392,0)</f>
        <v>4.878048780487805E-2</v>
      </c>
      <c r="I392" s="17">
        <v>459</v>
      </c>
      <c r="J392" s="36">
        <f>IFERROR(I392/$AC392,0)</f>
        <v>0.33874538745387456</v>
      </c>
      <c r="K392" s="17">
        <v>99</v>
      </c>
      <c r="L392" s="36">
        <f>IFERROR(K392/$AD392,0)</f>
        <v>0.40243902439024393</v>
      </c>
      <c r="M392" s="17">
        <v>467</v>
      </c>
      <c r="N392" s="36">
        <f>IFERROR(M392/$AC392,0)</f>
        <v>0.34464944649446494</v>
      </c>
      <c r="O392" s="17">
        <v>78</v>
      </c>
      <c r="P392" s="36">
        <f>IFERROR(O392/$AD392,0)</f>
        <v>0.31707317073170732</v>
      </c>
      <c r="Q392" s="17">
        <v>277</v>
      </c>
      <c r="R392" s="36">
        <f>IFERROR(Q392/$AC392,0)</f>
        <v>0.20442804428044281</v>
      </c>
      <c r="S392" s="17">
        <v>45</v>
      </c>
      <c r="T392" s="36">
        <f>IFERROR(S392/$AD392,0)</f>
        <v>0.18292682926829268</v>
      </c>
      <c r="U392" s="17">
        <v>81</v>
      </c>
      <c r="V392" s="36">
        <f>IFERROR(U392/$AC392,0)</f>
        <v>5.9778597785977862E-2</v>
      </c>
      <c r="W392" s="17">
        <v>8</v>
      </c>
      <c r="X392" s="36">
        <f>IFERROR(W392/$AD392,0)</f>
        <v>3.2520325203252036E-2</v>
      </c>
      <c r="Y392" s="17">
        <v>38</v>
      </c>
      <c r="Z392" s="36">
        <f>IFERROR(Y392/$AC392,0)</f>
        <v>2.8044280442804426E-2</v>
      </c>
      <c r="AA392" s="17">
        <v>4</v>
      </c>
      <c r="AB392" s="36">
        <f>IFERROR(AA392/$AD392,0)</f>
        <v>1.6260162601626018E-2</v>
      </c>
      <c r="AC392" s="16">
        <v>1355</v>
      </c>
      <c r="AD392" s="17">
        <v>246</v>
      </c>
    </row>
    <row r="393" spans="1:30" ht="15.75" customHeight="1" x14ac:dyDescent="0.25">
      <c r="A393" s="37">
        <v>2022</v>
      </c>
      <c r="B393" s="35">
        <v>171884</v>
      </c>
      <c r="C393" s="33" t="str">
        <f>VLOOKUP(B393,procv!$A$2:$D$142,4,FALSE)</f>
        <v>Ilha do Bananal</v>
      </c>
      <c r="D393" s="33" t="s">
        <v>118</v>
      </c>
      <c r="E393" s="17">
        <v>20</v>
      </c>
      <c r="F393" s="36">
        <f>IFERROR(E393/$AC393,0)</f>
        <v>1.713796058269066E-2</v>
      </c>
      <c r="G393" s="17">
        <v>3</v>
      </c>
      <c r="H393" s="36">
        <f>IFERROR(G393/$AD393,0)</f>
        <v>4.2253521126760563E-2</v>
      </c>
      <c r="I393" s="17">
        <v>354</v>
      </c>
      <c r="J393" s="36">
        <f>IFERROR(I393/$AC393,0)</f>
        <v>0.30334190231362468</v>
      </c>
      <c r="K393" s="17">
        <v>17</v>
      </c>
      <c r="L393" s="36">
        <f>IFERROR(K393/$AD393,0)</f>
        <v>0.23943661971830985</v>
      </c>
      <c r="M393" s="17">
        <v>413</v>
      </c>
      <c r="N393" s="36">
        <f>IFERROR(M393/$AC393,0)</f>
        <v>0.35389888603256214</v>
      </c>
      <c r="O393" s="17">
        <v>25</v>
      </c>
      <c r="P393" s="36">
        <f>IFERROR(O393/$AD393,0)</f>
        <v>0.352112676056338</v>
      </c>
      <c r="Q393" s="17">
        <v>239</v>
      </c>
      <c r="R393" s="36">
        <f>IFERROR(Q393/$AC393,0)</f>
        <v>0.20479862896315337</v>
      </c>
      <c r="S393" s="17">
        <v>17</v>
      </c>
      <c r="T393" s="36">
        <f>IFERROR(S393/$AD393,0)</f>
        <v>0.23943661971830985</v>
      </c>
      <c r="U393" s="17">
        <v>99</v>
      </c>
      <c r="V393" s="36">
        <f>IFERROR(U393/$AC393,0)</f>
        <v>8.4832904884318772E-2</v>
      </c>
      <c r="W393" s="17">
        <v>4</v>
      </c>
      <c r="X393" s="36">
        <f>IFERROR(W393/$AD393,0)</f>
        <v>5.6338028169014086E-2</v>
      </c>
      <c r="Y393" s="17">
        <v>42</v>
      </c>
      <c r="Z393" s="36">
        <f>IFERROR(Y393/$AC393,0)</f>
        <v>3.5989717223650387E-2</v>
      </c>
      <c r="AA393" s="17">
        <v>5</v>
      </c>
      <c r="AB393" s="36">
        <f>IFERROR(AA393/$AD393,0)</f>
        <v>7.0422535211267609E-2</v>
      </c>
      <c r="AC393" s="16">
        <v>1167</v>
      </c>
      <c r="AD393" s="17">
        <v>71</v>
      </c>
    </row>
    <row r="394" spans="1:30" ht="15.75" customHeight="1" x14ac:dyDescent="0.25">
      <c r="A394" s="37">
        <v>2022</v>
      </c>
      <c r="B394" s="35">
        <v>171886</v>
      </c>
      <c r="C394" s="33" t="str">
        <f>VLOOKUP(B394,procv!$A$2:$D$142,4,FALSE)</f>
        <v>Médio Norte Araguaia</v>
      </c>
      <c r="D394" s="33" t="s">
        <v>119</v>
      </c>
      <c r="E394" s="17">
        <v>47</v>
      </c>
      <c r="F394" s="36">
        <f>IFERROR(E394/$AC394,0)</f>
        <v>2.6419336706014616E-2</v>
      </c>
      <c r="G394" s="17">
        <v>6</v>
      </c>
      <c r="H394" s="36">
        <f>IFERROR(G394/$AD394,0)</f>
        <v>3.5294117647058823E-2</v>
      </c>
      <c r="I394" s="17">
        <v>600</v>
      </c>
      <c r="J394" s="36">
        <f>IFERROR(I394/$AC394,0)</f>
        <v>0.33726812816188873</v>
      </c>
      <c r="K394" s="17">
        <v>96</v>
      </c>
      <c r="L394" s="36">
        <f>IFERROR(K394/$AD394,0)</f>
        <v>0.56470588235294117</v>
      </c>
      <c r="M394" s="17">
        <v>635</v>
      </c>
      <c r="N394" s="36">
        <f>IFERROR(M394/$AC394,0)</f>
        <v>0.35694210230466555</v>
      </c>
      <c r="O394" s="17">
        <v>42</v>
      </c>
      <c r="P394" s="36">
        <f>IFERROR(O394/$AD394,0)</f>
        <v>0.24705882352941178</v>
      </c>
      <c r="Q394" s="17">
        <v>309</v>
      </c>
      <c r="R394" s="36">
        <f>IFERROR(Q394/$AC394,0)</f>
        <v>0.17369308600337269</v>
      </c>
      <c r="S394" s="17">
        <v>17</v>
      </c>
      <c r="T394" s="36">
        <f>IFERROR(S394/$AD394,0)</f>
        <v>0.1</v>
      </c>
      <c r="U394" s="17">
        <v>122</v>
      </c>
      <c r="V394" s="36">
        <f>IFERROR(U394/$AC394,0)</f>
        <v>6.8577852726250707E-2</v>
      </c>
      <c r="W394" s="17">
        <v>6</v>
      </c>
      <c r="X394" s="36">
        <f>IFERROR(W394/$AD394,0)</f>
        <v>3.5294117647058823E-2</v>
      </c>
      <c r="Y394" s="17">
        <v>66</v>
      </c>
      <c r="Z394" s="36">
        <f>IFERROR(Y394/$AC394,0)</f>
        <v>3.7099494097807759E-2</v>
      </c>
      <c r="AA394" s="17">
        <v>3</v>
      </c>
      <c r="AB394" s="36">
        <f>IFERROR(AA394/$AD394,0)</f>
        <v>1.7647058823529412E-2</v>
      </c>
      <c r="AC394" s="16">
        <v>1779</v>
      </c>
      <c r="AD394" s="17">
        <v>170</v>
      </c>
    </row>
    <row r="395" spans="1:30" ht="15.75" customHeight="1" x14ac:dyDescent="0.25">
      <c r="A395" s="37">
        <v>2022</v>
      </c>
      <c r="B395" s="35">
        <v>171888</v>
      </c>
      <c r="C395" s="33" t="str">
        <f>VLOOKUP(B395,procv!$A$2:$D$142,4,FALSE)</f>
        <v>Cerrado Tocantins Araguaia</v>
      </c>
      <c r="D395" s="33" t="s">
        <v>120</v>
      </c>
      <c r="E395" s="17">
        <v>13</v>
      </c>
      <c r="F395" s="36">
        <f>IFERROR(E395/$AC395,0)</f>
        <v>1.5222482435597189E-2</v>
      </c>
      <c r="G395" s="17">
        <v>1</v>
      </c>
      <c r="H395" s="36">
        <f>IFERROR(G395/$AD395,0)</f>
        <v>2.7777777777777776E-2</v>
      </c>
      <c r="I395" s="17">
        <v>288</v>
      </c>
      <c r="J395" s="36">
        <f>IFERROR(I395/$AC395,0)</f>
        <v>0.33723653395784542</v>
      </c>
      <c r="K395" s="17">
        <v>5</v>
      </c>
      <c r="L395" s="36">
        <f>IFERROR(K395/$AD395,0)</f>
        <v>0.1388888888888889</v>
      </c>
      <c r="M395" s="17">
        <v>329</v>
      </c>
      <c r="N395" s="36">
        <f>IFERROR(M395/$AC395,0)</f>
        <v>0.38524590163934425</v>
      </c>
      <c r="O395" s="17">
        <v>18</v>
      </c>
      <c r="P395" s="36">
        <f>IFERROR(O395/$AD395,0)</f>
        <v>0.5</v>
      </c>
      <c r="Q395" s="17">
        <v>156</v>
      </c>
      <c r="R395" s="36">
        <f>IFERROR(Q395/$AC395,0)</f>
        <v>0.18266978922716628</v>
      </c>
      <c r="S395" s="17">
        <v>8</v>
      </c>
      <c r="T395" s="36">
        <f>IFERROR(S395/$AD395,0)</f>
        <v>0.22222222222222221</v>
      </c>
      <c r="U395" s="17">
        <v>47</v>
      </c>
      <c r="V395" s="36">
        <f>IFERROR(U395/$AC395,0)</f>
        <v>5.5035128805620608E-2</v>
      </c>
      <c r="W395" s="17">
        <v>2</v>
      </c>
      <c r="X395" s="36">
        <f>IFERROR(W395/$AD395,0)</f>
        <v>5.5555555555555552E-2</v>
      </c>
      <c r="Y395" s="17">
        <v>21</v>
      </c>
      <c r="Z395" s="36">
        <f>IFERROR(Y395/$AC395,0)</f>
        <v>2.4590163934426229E-2</v>
      </c>
      <c r="AA395" s="17">
        <v>2</v>
      </c>
      <c r="AB395" s="36">
        <f>IFERROR(AA395/$AD395,0)</f>
        <v>5.5555555555555552E-2</v>
      </c>
      <c r="AC395" s="17">
        <v>854</v>
      </c>
      <c r="AD395" s="17">
        <v>36</v>
      </c>
    </row>
    <row r="396" spans="1:30" ht="15.75" customHeight="1" x14ac:dyDescent="0.25">
      <c r="A396" s="37">
        <v>2022</v>
      </c>
      <c r="B396" s="35">
        <v>171889</v>
      </c>
      <c r="C396" s="33" t="str">
        <f>VLOOKUP(B396,procv!$A$2:$D$142,4,FALSE)</f>
        <v>Ilha do Bananal</v>
      </c>
      <c r="D396" s="33" t="s">
        <v>121</v>
      </c>
      <c r="E396" s="17">
        <v>8</v>
      </c>
      <c r="F396" s="36">
        <f>IFERROR(E396/$AC396,0)</f>
        <v>1.8140589569160998E-2</v>
      </c>
      <c r="G396" s="17">
        <v>0</v>
      </c>
      <c r="H396" s="36">
        <f>IFERROR(G396/$AD396,0)</f>
        <v>0</v>
      </c>
      <c r="I396" s="17">
        <v>136</v>
      </c>
      <c r="J396" s="36">
        <f>IFERROR(I396/$AC396,0)</f>
        <v>0.30839002267573695</v>
      </c>
      <c r="K396" s="17">
        <v>10</v>
      </c>
      <c r="L396" s="36">
        <f>IFERROR(K396/$AD396,0)</f>
        <v>0.2857142857142857</v>
      </c>
      <c r="M396" s="17">
        <v>148</v>
      </c>
      <c r="N396" s="36">
        <f>IFERROR(M396/$AC396,0)</f>
        <v>0.33560090702947848</v>
      </c>
      <c r="O396" s="17">
        <v>15</v>
      </c>
      <c r="P396" s="36">
        <f>IFERROR(O396/$AD396,0)</f>
        <v>0.42857142857142855</v>
      </c>
      <c r="Q396" s="17">
        <v>108</v>
      </c>
      <c r="R396" s="36">
        <f>IFERROR(Q396/$AC396,0)</f>
        <v>0.24489795918367346</v>
      </c>
      <c r="S396" s="17">
        <v>5</v>
      </c>
      <c r="T396" s="36">
        <f>IFERROR(S396/$AD396,0)</f>
        <v>0.14285714285714285</v>
      </c>
      <c r="U396" s="17">
        <v>27</v>
      </c>
      <c r="V396" s="36">
        <f>IFERROR(U396/$AC396,0)</f>
        <v>6.1224489795918366E-2</v>
      </c>
      <c r="W396" s="17">
        <v>3</v>
      </c>
      <c r="X396" s="36">
        <f>IFERROR(W396/$AD396,0)</f>
        <v>8.5714285714285715E-2</v>
      </c>
      <c r="Y396" s="17">
        <v>14</v>
      </c>
      <c r="Z396" s="36">
        <f>IFERROR(Y396/$AC396,0)</f>
        <v>3.1746031746031744E-2</v>
      </c>
      <c r="AA396" s="17">
        <v>2</v>
      </c>
      <c r="AB396" s="36">
        <f>IFERROR(AA396/$AD396,0)</f>
        <v>5.7142857142857141E-2</v>
      </c>
      <c r="AC396" s="17">
        <v>441</v>
      </c>
      <c r="AD396" s="17">
        <v>35</v>
      </c>
    </row>
    <row r="397" spans="1:30" ht="15.75" customHeight="1" x14ac:dyDescent="0.25">
      <c r="A397" s="37">
        <v>2022</v>
      </c>
      <c r="B397" s="35">
        <v>171890</v>
      </c>
      <c r="C397" s="33" t="str">
        <f>VLOOKUP(B397,procv!$A$2:$D$142,4,FALSE)</f>
        <v>Amor Perfeito</v>
      </c>
      <c r="D397" s="33" t="s">
        <v>122</v>
      </c>
      <c r="E397" s="17">
        <v>36</v>
      </c>
      <c r="F397" s="36">
        <f>IFERROR(E397/$AC397,0)</f>
        <v>2.5017373175816541E-2</v>
      </c>
      <c r="G397" s="17">
        <v>9</v>
      </c>
      <c r="H397" s="36">
        <f>IFERROR(G397/$AD397,0)</f>
        <v>4.2253521126760563E-2</v>
      </c>
      <c r="I397" s="17">
        <v>559</v>
      </c>
      <c r="J397" s="36">
        <f>IFERROR(I397/$AC397,0)</f>
        <v>0.38846421125781794</v>
      </c>
      <c r="K397" s="17">
        <v>91</v>
      </c>
      <c r="L397" s="36">
        <f>IFERROR(K397/$AD397,0)</f>
        <v>0.42723004694835681</v>
      </c>
      <c r="M397" s="17">
        <v>487</v>
      </c>
      <c r="N397" s="36">
        <f>IFERROR(M397/$AC397,0)</f>
        <v>0.33842946490618486</v>
      </c>
      <c r="O397" s="17">
        <v>59</v>
      </c>
      <c r="P397" s="36">
        <f>IFERROR(O397/$AD397,0)</f>
        <v>0.27699530516431925</v>
      </c>
      <c r="Q397" s="17">
        <v>250</v>
      </c>
      <c r="R397" s="36">
        <f>IFERROR(Q397/$AC397,0)</f>
        <v>0.17373175816539263</v>
      </c>
      <c r="S397" s="17">
        <v>36</v>
      </c>
      <c r="T397" s="36">
        <f>IFERROR(S397/$AD397,0)</f>
        <v>0.16901408450704225</v>
      </c>
      <c r="U397" s="17">
        <v>81</v>
      </c>
      <c r="V397" s="36">
        <f>IFERROR(U397/$AC397,0)</f>
        <v>5.6289089645587216E-2</v>
      </c>
      <c r="W397" s="17">
        <v>13</v>
      </c>
      <c r="X397" s="36">
        <f>IFERROR(W397/$AD397,0)</f>
        <v>6.1032863849765258E-2</v>
      </c>
      <c r="Y397" s="17">
        <v>26</v>
      </c>
      <c r="Z397" s="36">
        <f>IFERROR(Y397/$AC397,0)</f>
        <v>1.8068102849200834E-2</v>
      </c>
      <c r="AA397" s="17">
        <v>5</v>
      </c>
      <c r="AB397" s="36">
        <f>IFERROR(AA397/$AD397,0)</f>
        <v>2.3474178403755867E-2</v>
      </c>
      <c r="AC397" s="16">
        <v>1439</v>
      </c>
      <c r="AD397" s="17">
        <v>213</v>
      </c>
    </row>
    <row r="398" spans="1:30" ht="15.75" customHeight="1" x14ac:dyDescent="0.25">
      <c r="A398" s="37">
        <v>2022</v>
      </c>
      <c r="B398" s="35">
        <v>171900</v>
      </c>
      <c r="C398" s="33" t="str">
        <f>VLOOKUP(B398,procv!$A$2:$D$142,4,FALSE)</f>
        <v>Capim Dourado</v>
      </c>
      <c r="D398" s="33" t="s">
        <v>123</v>
      </c>
      <c r="E398" s="17">
        <v>27</v>
      </c>
      <c r="F398" s="36">
        <f>IFERROR(E398/$AC398,0)</f>
        <v>2.4816176470588234E-2</v>
      </c>
      <c r="G398" s="17">
        <v>3</v>
      </c>
      <c r="H398" s="36">
        <f>IFERROR(G398/$AD398,0)</f>
        <v>2.2222222222222223E-2</v>
      </c>
      <c r="I398" s="17">
        <v>372</v>
      </c>
      <c r="J398" s="36">
        <f>IFERROR(I398/$AC398,0)</f>
        <v>0.34191176470588236</v>
      </c>
      <c r="K398" s="17">
        <v>46</v>
      </c>
      <c r="L398" s="36">
        <f>IFERROR(K398/$AD398,0)</f>
        <v>0.34074074074074073</v>
      </c>
      <c r="M398" s="17">
        <v>381</v>
      </c>
      <c r="N398" s="36">
        <f>IFERROR(M398/$AC398,0)</f>
        <v>0.35018382352941174</v>
      </c>
      <c r="O398" s="17">
        <v>43</v>
      </c>
      <c r="P398" s="36">
        <f>IFERROR(O398/$AD398,0)</f>
        <v>0.31851851851851853</v>
      </c>
      <c r="Q398" s="17">
        <v>207</v>
      </c>
      <c r="R398" s="36">
        <f>IFERROR(Q398/$AC398,0)</f>
        <v>0.19025735294117646</v>
      </c>
      <c r="S398" s="17">
        <v>23</v>
      </c>
      <c r="T398" s="36">
        <f>IFERROR(S398/$AD398,0)</f>
        <v>0.17037037037037037</v>
      </c>
      <c r="U398" s="17">
        <v>64</v>
      </c>
      <c r="V398" s="36">
        <f>IFERROR(U398/$AC398,0)</f>
        <v>5.8823529411764705E-2</v>
      </c>
      <c r="W398" s="17">
        <v>15</v>
      </c>
      <c r="X398" s="36">
        <f>IFERROR(W398/$AD398,0)</f>
        <v>0.1111111111111111</v>
      </c>
      <c r="Y398" s="17">
        <v>37</v>
      </c>
      <c r="Z398" s="36">
        <f>IFERROR(Y398/$AC398,0)</f>
        <v>3.4007352941176468E-2</v>
      </c>
      <c r="AA398" s="17">
        <v>5</v>
      </c>
      <c r="AB398" s="36">
        <f>IFERROR(AA398/$AD398,0)</f>
        <v>3.7037037037037035E-2</v>
      </c>
      <c r="AC398" s="16">
        <v>1088</v>
      </c>
      <c r="AD398" s="17">
        <v>135</v>
      </c>
    </row>
    <row r="399" spans="1:30" ht="15.75" customHeight="1" x14ac:dyDescent="0.25">
      <c r="A399" s="37">
        <v>2022</v>
      </c>
      <c r="B399" s="35">
        <v>172000</v>
      </c>
      <c r="C399" s="33" t="str">
        <f>VLOOKUP(B399,procv!$A$2:$D$142,4,FALSE)</f>
        <v>Bico do Papagaio</v>
      </c>
      <c r="D399" s="33" t="s">
        <v>124</v>
      </c>
      <c r="E399" s="17">
        <v>12</v>
      </c>
      <c r="F399" s="36">
        <f>IFERROR(E399/$AC399,0)</f>
        <v>1.4268727705112961E-2</v>
      </c>
      <c r="G399" s="17">
        <v>2</v>
      </c>
      <c r="H399" s="36">
        <f>IFERROR(G399/$AD399,0)</f>
        <v>2.247191011235955E-2</v>
      </c>
      <c r="I399" s="17">
        <v>262</v>
      </c>
      <c r="J399" s="36">
        <f>IFERROR(I399/$AC399,0)</f>
        <v>0.31153388822829964</v>
      </c>
      <c r="K399" s="17">
        <v>37</v>
      </c>
      <c r="L399" s="36">
        <f>IFERROR(K399/$AD399,0)</f>
        <v>0.4157303370786517</v>
      </c>
      <c r="M399" s="17">
        <v>349</v>
      </c>
      <c r="N399" s="36">
        <f>IFERROR(M399/$AC399,0)</f>
        <v>0.41498216409036859</v>
      </c>
      <c r="O399" s="17">
        <v>28</v>
      </c>
      <c r="P399" s="36">
        <f>IFERROR(O399/$AD399,0)</f>
        <v>0.3146067415730337</v>
      </c>
      <c r="Q399" s="17">
        <v>151</v>
      </c>
      <c r="R399" s="36">
        <f>IFERROR(Q399/$AC399,0)</f>
        <v>0.17954815695600476</v>
      </c>
      <c r="S399" s="17">
        <v>17</v>
      </c>
      <c r="T399" s="36">
        <f>IFERROR(S399/$AD399,0)</f>
        <v>0.19101123595505617</v>
      </c>
      <c r="U399" s="17">
        <v>44</v>
      </c>
      <c r="V399" s="36">
        <f>IFERROR(U399/$AC399,0)</f>
        <v>5.2318668252080855E-2</v>
      </c>
      <c r="W399" s="17">
        <v>2</v>
      </c>
      <c r="X399" s="36">
        <f>IFERROR(W399/$AD399,0)</f>
        <v>2.247191011235955E-2</v>
      </c>
      <c r="Y399" s="17">
        <v>23</v>
      </c>
      <c r="Z399" s="36">
        <f>IFERROR(Y399/$AC399,0)</f>
        <v>2.7348394768133173E-2</v>
      </c>
      <c r="AA399" s="17">
        <v>3</v>
      </c>
      <c r="AB399" s="36">
        <f>IFERROR(AA399/$AD399,0)</f>
        <v>3.3707865168539325E-2</v>
      </c>
      <c r="AC399" s="17">
        <v>841</v>
      </c>
      <c r="AD399" s="17">
        <v>89</v>
      </c>
    </row>
    <row r="400" spans="1:30" ht="15.75" customHeight="1" x14ac:dyDescent="0.25">
      <c r="A400" s="37">
        <v>2022</v>
      </c>
      <c r="B400" s="35">
        <v>172010</v>
      </c>
      <c r="C400" s="33" t="str">
        <f>VLOOKUP(B400,procv!$A$2:$D$142,4,FALSE)</f>
        <v>Bico do Papagaio</v>
      </c>
      <c r="D400" s="33" t="s">
        <v>125</v>
      </c>
      <c r="E400" s="17">
        <v>52</v>
      </c>
      <c r="F400" s="36">
        <f>IFERROR(E400/$AC400,0)</f>
        <v>3.0678466076696165E-2</v>
      </c>
      <c r="G400" s="17">
        <v>17</v>
      </c>
      <c r="H400" s="36">
        <f>IFERROR(G400/$AD400,0)</f>
        <v>3.6247334754797439E-2</v>
      </c>
      <c r="I400" s="17">
        <v>712</v>
      </c>
      <c r="J400" s="36">
        <f>IFERROR(I400/$AC400,0)</f>
        <v>0.42005899705014749</v>
      </c>
      <c r="K400" s="17">
        <v>178</v>
      </c>
      <c r="L400" s="36">
        <f>IFERROR(K400/$AD400,0)</f>
        <v>0.3795309168443497</v>
      </c>
      <c r="M400" s="17">
        <v>559</v>
      </c>
      <c r="N400" s="36">
        <f>IFERROR(M400/$AC400,0)</f>
        <v>0.32979351032448379</v>
      </c>
      <c r="O400" s="17">
        <v>156</v>
      </c>
      <c r="P400" s="36">
        <f>IFERROR(O400/$AD400,0)</f>
        <v>0.3326226012793177</v>
      </c>
      <c r="Q400" s="17">
        <v>261</v>
      </c>
      <c r="R400" s="36">
        <f>IFERROR(Q400/$AC400,0)</f>
        <v>0.15398230088495576</v>
      </c>
      <c r="S400" s="17">
        <v>73</v>
      </c>
      <c r="T400" s="36">
        <f>IFERROR(S400/$AD400,0)</f>
        <v>0.15565031982942432</v>
      </c>
      <c r="U400" s="17">
        <v>90</v>
      </c>
      <c r="V400" s="36">
        <f>IFERROR(U400/$AC400,0)</f>
        <v>5.3097345132743362E-2</v>
      </c>
      <c r="W400" s="17">
        <v>37</v>
      </c>
      <c r="X400" s="36">
        <f>IFERROR(W400/$AD400,0)</f>
        <v>7.8891257995735611E-2</v>
      </c>
      <c r="Y400" s="17">
        <v>21</v>
      </c>
      <c r="Z400" s="36">
        <f>IFERROR(Y400/$AC400,0)</f>
        <v>1.2389380530973451E-2</v>
      </c>
      <c r="AA400" s="17">
        <v>8</v>
      </c>
      <c r="AB400" s="36">
        <f>IFERROR(AA400/$AD400,0)</f>
        <v>1.7057569296375266E-2</v>
      </c>
      <c r="AC400" s="16">
        <v>1695</v>
      </c>
      <c r="AD400" s="17">
        <v>469</v>
      </c>
    </row>
    <row r="401" spans="1:30" ht="15.75" customHeight="1" x14ac:dyDescent="0.25">
      <c r="A401" s="37">
        <v>2022</v>
      </c>
      <c r="B401" s="35">
        <v>172015</v>
      </c>
      <c r="C401" s="33" t="str">
        <f>VLOOKUP(B401,procv!$A$2:$D$142,4,FALSE)</f>
        <v>Capim Dourado</v>
      </c>
      <c r="D401" s="33" t="s">
        <v>126</v>
      </c>
      <c r="E401" s="17">
        <v>19</v>
      </c>
      <c r="F401" s="36">
        <f>IFERROR(E401/$AC401,0)</f>
        <v>2.8919330289193301E-2</v>
      </c>
      <c r="G401" s="17">
        <v>2</v>
      </c>
      <c r="H401" s="36">
        <f>IFERROR(G401/$AD401,0)</f>
        <v>2.3529411764705882E-2</v>
      </c>
      <c r="I401" s="17">
        <v>276</v>
      </c>
      <c r="J401" s="36">
        <f>IFERROR(I401/$AC401,0)</f>
        <v>0.42009132420091322</v>
      </c>
      <c r="K401" s="17">
        <v>31</v>
      </c>
      <c r="L401" s="36">
        <f>IFERROR(K401/$AD401,0)</f>
        <v>0.36470588235294116</v>
      </c>
      <c r="M401" s="17">
        <v>232</v>
      </c>
      <c r="N401" s="36">
        <f>IFERROR(M401/$AC401,0)</f>
        <v>0.35312024353120242</v>
      </c>
      <c r="O401" s="17">
        <v>31</v>
      </c>
      <c r="P401" s="36">
        <f>IFERROR(O401/$AD401,0)</f>
        <v>0.36470588235294116</v>
      </c>
      <c r="Q401" s="17">
        <v>93</v>
      </c>
      <c r="R401" s="36">
        <f>IFERROR(Q401/$AC401,0)</f>
        <v>0.14155251141552511</v>
      </c>
      <c r="S401" s="17">
        <v>18</v>
      </c>
      <c r="T401" s="36">
        <f>IFERROR(S401/$AD401,0)</f>
        <v>0.21176470588235294</v>
      </c>
      <c r="U401" s="17">
        <v>26</v>
      </c>
      <c r="V401" s="36">
        <f>IFERROR(U401/$AC401,0)</f>
        <v>3.9573820395738202E-2</v>
      </c>
      <c r="W401" s="17">
        <v>2</v>
      </c>
      <c r="X401" s="36">
        <f>IFERROR(W401/$AD401,0)</f>
        <v>2.3529411764705882E-2</v>
      </c>
      <c r="Y401" s="17">
        <v>11</v>
      </c>
      <c r="Z401" s="36">
        <f>IFERROR(Y401/$AC401,0)</f>
        <v>1.6742770167427701E-2</v>
      </c>
      <c r="AA401" s="17">
        <v>1</v>
      </c>
      <c r="AB401" s="36">
        <f>IFERROR(AA401/$AD401,0)</f>
        <v>1.1764705882352941E-2</v>
      </c>
      <c r="AC401" s="17">
        <v>657</v>
      </c>
      <c r="AD401" s="17">
        <v>85</v>
      </c>
    </row>
    <row r="402" spans="1:30" ht="15.75" customHeight="1" x14ac:dyDescent="0.25">
      <c r="A402" s="37">
        <v>2022</v>
      </c>
      <c r="B402" s="35">
        <v>172020</v>
      </c>
      <c r="C402" s="33" t="str">
        <f>VLOOKUP(B402,procv!$A$2:$D$142,4,FALSE)</f>
        <v>Bico do Papagaio</v>
      </c>
      <c r="D402" s="33" t="s">
        <v>127</v>
      </c>
      <c r="E402" s="17">
        <v>113</v>
      </c>
      <c r="F402" s="36">
        <f>IFERROR(E402/$AC402,0)</f>
        <v>3.0351866774106902E-2</v>
      </c>
      <c r="G402" s="17">
        <v>9</v>
      </c>
      <c r="H402" s="36">
        <f>IFERROR(G402/$AD402,0)</f>
        <v>2.4064171122994651E-2</v>
      </c>
      <c r="I402" s="16">
        <v>1397</v>
      </c>
      <c r="J402" s="36">
        <f>IFERROR(I402/$AC402,0)</f>
        <v>0.37523502551705612</v>
      </c>
      <c r="K402" s="17">
        <v>142</v>
      </c>
      <c r="L402" s="36">
        <f>IFERROR(K402/$AD402,0)</f>
        <v>0.37967914438502676</v>
      </c>
      <c r="M402" s="16">
        <v>1319</v>
      </c>
      <c r="N402" s="36">
        <f>IFERROR(M402/$AC402,0)</f>
        <v>0.35428417942519475</v>
      </c>
      <c r="O402" s="17">
        <v>123</v>
      </c>
      <c r="P402" s="36">
        <f>IFERROR(O402/$AD402,0)</f>
        <v>0.32887700534759357</v>
      </c>
      <c r="Q402" s="17">
        <v>636</v>
      </c>
      <c r="R402" s="36">
        <f>IFERROR(Q402/$AC402,0)</f>
        <v>0.17082997582594681</v>
      </c>
      <c r="S402" s="17">
        <v>73</v>
      </c>
      <c r="T402" s="36">
        <f>IFERROR(S402/$AD402,0)</f>
        <v>0.19518716577540107</v>
      </c>
      <c r="U402" s="17">
        <v>204</v>
      </c>
      <c r="V402" s="36">
        <f>IFERROR(U402/$AC402,0)</f>
        <v>5.4794520547945202E-2</v>
      </c>
      <c r="W402" s="17">
        <v>26</v>
      </c>
      <c r="X402" s="36">
        <f>IFERROR(W402/$AD402,0)</f>
        <v>6.9518716577540107E-2</v>
      </c>
      <c r="Y402" s="17">
        <v>54</v>
      </c>
      <c r="Z402" s="36">
        <f>IFERROR(Y402/$AC402,0)</f>
        <v>1.4504431909750202E-2</v>
      </c>
      <c r="AA402" s="17">
        <v>1</v>
      </c>
      <c r="AB402" s="36">
        <f>IFERROR(AA402/$AD402,0)</f>
        <v>2.6737967914438501E-3</v>
      </c>
      <c r="AC402" s="16">
        <v>3723</v>
      </c>
      <c r="AD402" s="17">
        <v>374</v>
      </c>
    </row>
    <row r="403" spans="1:30" ht="15.75" customHeight="1" x14ac:dyDescent="0.25">
      <c r="A403" s="37">
        <v>2022</v>
      </c>
      <c r="B403" s="35">
        <v>172025</v>
      </c>
      <c r="C403" s="33" t="str">
        <f>VLOOKUP(B403,procv!$A$2:$D$142,4,FALSE)</f>
        <v>Ilha do Bananal</v>
      </c>
      <c r="D403" s="33" t="s">
        <v>128</v>
      </c>
      <c r="E403" s="17">
        <v>16</v>
      </c>
      <c r="F403" s="36">
        <f>IFERROR(E403/$AC403,0)</f>
        <v>1.9138755980861243E-2</v>
      </c>
      <c r="G403" s="17">
        <v>1</v>
      </c>
      <c r="H403" s="36">
        <f>IFERROR(G403/$AD403,0)</f>
        <v>5.8823529411764705E-3</v>
      </c>
      <c r="I403" s="17">
        <v>281</v>
      </c>
      <c r="J403" s="36">
        <f>IFERROR(I403/$AC403,0)</f>
        <v>0.3361244019138756</v>
      </c>
      <c r="K403" s="17">
        <v>60</v>
      </c>
      <c r="L403" s="36">
        <f>IFERROR(K403/$AD403,0)</f>
        <v>0.35294117647058826</v>
      </c>
      <c r="M403" s="17">
        <v>306</v>
      </c>
      <c r="N403" s="36">
        <f>IFERROR(M403/$AC403,0)</f>
        <v>0.36602870813397131</v>
      </c>
      <c r="O403" s="17">
        <v>62</v>
      </c>
      <c r="P403" s="36">
        <f>IFERROR(O403/$AD403,0)</f>
        <v>0.36470588235294116</v>
      </c>
      <c r="Q403" s="17">
        <v>138</v>
      </c>
      <c r="R403" s="36">
        <f>IFERROR(Q403/$AC403,0)</f>
        <v>0.16507177033492823</v>
      </c>
      <c r="S403" s="17">
        <v>27</v>
      </c>
      <c r="T403" s="36">
        <f>IFERROR(S403/$AD403,0)</f>
        <v>0.1588235294117647</v>
      </c>
      <c r="U403" s="17">
        <v>60</v>
      </c>
      <c r="V403" s="36">
        <f>IFERROR(U403/$AC403,0)</f>
        <v>7.1770334928229665E-2</v>
      </c>
      <c r="W403" s="17">
        <v>13</v>
      </c>
      <c r="X403" s="36">
        <f>IFERROR(W403/$AD403,0)</f>
        <v>7.6470588235294124E-2</v>
      </c>
      <c r="Y403" s="17">
        <v>35</v>
      </c>
      <c r="Z403" s="36">
        <f>IFERROR(Y403/$AC403,0)</f>
        <v>4.1866028708133975E-2</v>
      </c>
      <c r="AA403" s="17">
        <v>7</v>
      </c>
      <c r="AB403" s="36">
        <f>IFERROR(AA403/$AD403,0)</f>
        <v>4.1176470588235294E-2</v>
      </c>
      <c r="AC403" s="17">
        <v>836</v>
      </c>
      <c r="AD403" s="17">
        <v>170</v>
      </c>
    </row>
    <row r="404" spans="1:30" ht="15.75" customHeight="1" x14ac:dyDescent="0.25">
      <c r="A404" s="37">
        <v>2022</v>
      </c>
      <c r="B404" s="35">
        <v>172030</v>
      </c>
      <c r="C404" s="33" t="str">
        <f>VLOOKUP(B404,procv!$A$2:$D$142,4,FALSE)</f>
        <v>Bico do Papagaio</v>
      </c>
      <c r="D404" s="33" t="s">
        <v>129</v>
      </c>
      <c r="E404" s="17">
        <v>8</v>
      </c>
      <c r="F404" s="36">
        <f>IFERROR(E404/$AC404,0)</f>
        <v>1.4466546112115732E-2</v>
      </c>
      <c r="G404" s="17">
        <v>5</v>
      </c>
      <c r="H404" s="36">
        <f>IFERROR(G404/$AD404,0)</f>
        <v>3.0120481927710843E-2</v>
      </c>
      <c r="I404" s="17">
        <v>163</v>
      </c>
      <c r="J404" s="36">
        <f>IFERROR(I404/$AC404,0)</f>
        <v>0.29475587703435807</v>
      </c>
      <c r="K404" s="17">
        <v>54</v>
      </c>
      <c r="L404" s="36">
        <f>IFERROR(K404/$AD404,0)</f>
        <v>0.3253012048192771</v>
      </c>
      <c r="M404" s="17">
        <v>201</v>
      </c>
      <c r="N404" s="36">
        <f>IFERROR(M404/$AC404,0)</f>
        <v>0.36347197106690776</v>
      </c>
      <c r="O404" s="17">
        <v>56</v>
      </c>
      <c r="P404" s="36">
        <f>IFERROR(O404/$AD404,0)</f>
        <v>0.33734939759036142</v>
      </c>
      <c r="Q404" s="17">
        <v>120</v>
      </c>
      <c r="R404" s="36">
        <f>IFERROR(Q404/$AC404,0)</f>
        <v>0.21699819168173598</v>
      </c>
      <c r="S404" s="17">
        <v>38</v>
      </c>
      <c r="T404" s="36">
        <f>IFERROR(S404/$AD404,0)</f>
        <v>0.2289156626506024</v>
      </c>
      <c r="U404" s="17">
        <v>42</v>
      </c>
      <c r="V404" s="36">
        <f>IFERROR(U404/$AC404,0)</f>
        <v>7.5949367088607597E-2</v>
      </c>
      <c r="W404" s="17">
        <v>10</v>
      </c>
      <c r="X404" s="36">
        <f>IFERROR(W404/$AD404,0)</f>
        <v>6.0240963855421686E-2</v>
      </c>
      <c r="Y404" s="17">
        <v>19</v>
      </c>
      <c r="Z404" s="36">
        <f>IFERROR(Y404/$AC404,0)</f>
        <v>3.4358047016274866E-2</v>
      </c>
      <c r="AA404" s="17">
        <v>3</v>
      </c>
      <c r="AB404" s="36">
        <f>IFERROR(AA404/$AD404,0)</f>
        <v>1.8072289156626505E-2</v>
      </c>
      <c r="AC404" s="17">
        <v>553</v>
      </c>
      <c r="AD404" s="17">
        <v>166</v>
      </c>
    </row>
    <row r="405" spans="1:30" ht="15.75" customHeight="1" x14ac:dyDescent="0.25">
      <c r="A405" s="37">
        <v>2022</v>
      </c>
      <c r="B405" s="35">
        <v>172049</v>
      </c>
      <c r="C405" s="33" t="str">
        <f>VLOOKUP(B405,procv!$A$2:$D$142,4,FALSE)</f>
        <v>Ilha do Bananal</v>
      </c>
      <c r="D405" s="33" t="s">
        <v>130</v>
      </c>
      <c r="E405" s="17">
        <v>24</v>
      </c>
      <c r="F405" s="36">
        <f>IFERROR(E405/$AC405,0)</f>
        <v>2.8402366863905324E-2</v>
      </c>
      <c r="G405" s="17">
        <v>7</v>
      </c>
      <c r="H405" s="36">
        <f>IFERROR(G405/$AD405,0)</f>
        <v>4.7945205479452052E-2</v>
      </c>
      <c r="I405" s="17">
        <v>223</v>
      </c>
      <c r="J405" s="36">
        <f>IFERROR(I405/$AC405,0)</f>
        <v>0.26390532544378698</v>
      </c>
      <c r="K405" s="17">
        <v>39</v>
      </c>
      <c r="L405" s="36">
        <f>IFERROR(K405/$AD405,0)</f>
        <v>0.26712328767123289</v>
      </c>
      <c r="M405" s="17">
        <v>309</v>
      </c>
      <c r="N405" s="36">
        <f>IFERROR(M405/$AC405,0)</f>
        <v>0.36568047337278109</v>
      </c>
      <c r="O405" s="17">
        <v>57</v>
      </c>
      <c r="P405" s="36">
        <f>IFERROR(O405/$AD405,0)</f>
        <v>0.3904109589041096</v>
      </c>
      <c r="Q405" s="17">
        <v>187</v>
      </c>
      <c r="R405" s="36">
        <f>IFERROR(Q405/$AC405,0)</f>
        <v>0.22130177514792898</v>
      </c>
      <c r="S405" s="17">
        <v>24</v>
      </c>
      <c r="T405" s="36">
        <f>IFERROR(S405/$AD405,0)</f>
        <v>0.16438356164383561</v>
      </c>
      <c r="U405" s="17">
        <v>61</v>
      </c>
      <c r="V405" s="36">
        <f>IFERROR(U405/$AC405,0)</f>
        <v>7.2189349112426041E-2</v>
      </c>
      <c r="W405" s="17">
        <v>11</v>
      </c>
      <c r="X405" s="36">
        <f>IFERROR(W405/$AD405,0)</f>
        <v>7.5342465753424653E-2</v>
      </c>
      <c r="Y405" s="17">
        <v>41</v>
      </c>
      <c r="Z405" s="36">
        <f>IFERROR(Y405/$AC405,0)</f>
        <v>4.85207100591716E-2</v>
      </c>
      <c r="AA405" s="17">
        <v>8</v>
      </c>
      <c r="AB405" s="36">
        <f>IFERROR(AA405/$AD405,0)</f>
        <v>5.4794520547945202E-2</v>
      </c>
      <c r="AC405" s="17">
        <v>845</v>
      </c>
      <c r="AD405" s="17">
        <v>146</v>
      </c>
    </row>
    <row r="406" spans="1:30" ht="15.75" customHeight="1" x14ac:dyDescent="0.25">
      <c r="A406" s="37">
        <v>2022</v>
      </c>
      <c r="B406" s="35">
        <v>172065</v>
      </c>
      <c r="C406" s="33" t="str">
        <f>VLOOKUP(B406,procv!$A$2:$D$142,4,FALSE)</f>
        <v>Amor Perfeito</v>
      </c>
      <c r="D406" s="33" t="s">
        <v>131</v>
      </c>
      <c r="E406" s="17">
        <v>45</v>
      </c>
      <c r="F406" s="36">
        <f>IFERROR(E406/$AC406,0)</f>
        <v>2.3784355179704016E-2</v>
      </c>
      <c r="G406" s="17">
        <v>8</v>
      </c>
      <c r="H406" s="36">
        <f>IFERROR(G406/$AD406,0)</f>
        <v>3.3195020746887967E-2</v>
      </c>
      <c r="I406" s="17">
        <v>643</v>
      </c>
      <c r="J406" s="36">
        <f>IFERROR(I406/$AC406,0)</f>
        <v>0.33985200845665964</v>
      </c>
      <c r="K406" s="17">
        <v>87</v>
      </c>
      <c r="L406" s="36">
        <f>IFERROR(K406/$AD406,0)</f>
        <v>0.36099585062240663</v>
      </c>
      <c r="M406" s="17">
        <v>673</v>
      </c>
      <c r="N406" s="36">
        <f>IFERROR(M406/$AC406,0)</f>
        <v>0.35570824524312894</v>
      </c>
      <c r="O406" s="17">
        <v>84</v>
      </c>
      <c r="P406" s="36">
        <f>IFERROR(O406/$AD406,0)</f>
        <v>0.34854771784232363</v>
      </c>
      <c r="Q406" s="17">
        <v>336</v>
      </c>
      <c r="R406" s="36">
        <f>IFERROR(Q406/$AC406,0)</f>
        <v>0.17758985200845667</v>
      </c>
      <c r="S406" s="17">
        <v>35</v>
      </c>
      <c r="T406" s="36">
        <f>IFERROR(S406/$AD406,0)</f>
        <v>0.14522821576763487</v>
      </c>
      <c r="U406" s="17">
        <v>132</v>
      </c>
      <c r="V406" s="36">
        <f>IFERROR(U406/$AC406,0)</f>
        <v>6.9767441860465115E-2</v>
      </c>
      <c r="W406" s="17">
        <v>18</v>
      </c>
      <c r="X406" s="36">
        <f>IFERROR(W406/$AD406,0)</f>
        <v>7.4688796680497924E-2</v>
      </c>
      <c r="Y406" s="17">
        <v>63</v>
      </c>
      <c r="Z406" s="36">
        <f>IFERROR(Y406/$AC406,0)</f>
        <v>3.3298097251585626E-2</v>
      </c>
      <c r="AA406" s="17">
        <v>9</v>
      </c>
      <c r="AB406" s="36">
        <f>IFERROR(AA406/$AD406,0)</f>
        <v>3.7344398340248962E-2</v>
      </c>
      <c r="AC406" s="16">
        <v>1892</v>
      </c>
      <c r="AD406" s="17">
        <v>241</v>
      </c>
    </row>
    <row r="407" spans="1:30" ht="15.75" customHeight="1" x14ac:dyDescent="0.25">
      <c r="A407" s="37">
        <v>2022</v>
      </c>
      <c r="B407" s="35">
        <v>172080</v>
      </c>
      <c r="C407" s="33" t="str">
        <f>VLOOKUP(B407,procv!$A$2:$D$142,4,FALSE)</f>
        <v>Bico do Papagaio</v>
      </c>
      <c r="D407" s="33" t="s">
        <v>132</v>
      </c>
      <c r="E407" s="17">
        <v>96</v>
      </c>
      <c r="F407" s="36">
        <f>IFERROR(E407/$AC407,0)</f>
        <v>2.7436410402972278E-2</v>
      </c>
      <c r="G407" s="17">
        <v>18</v>
      </c>
      <c r="H407" s="36">
        <f>IFERROR(G407/$AD407,0)</f>
        <v>3.163444639718805E-2</v>
      </c>
      <c r="I407" s="16">
        <v>1353</v>
      </c>
      <c r="J407" s="36">
        <f>IFERROR(I407/$AC407,0)</f>
        <v>0.38668190911689054</v>
      </c>
      <c r="K407" s="17">
        <v>234</v>
      </c>
      <c r="L407" s="36">
        <f>IFERROR(K407/$AD407,0)</f>
        <v>0.41124780316344461</v>
      </c>
      <c r="M407" s="16">
        <v>1287</v>
      </c>
      <c r="N407" s="36">
        <f>IFERROR(M407/$AC407,0)</f>
        <v>0.36781937696484712</v>
      </c>
      <c r="O407" s="17">
        <v>215</v>
      </c>
      <c r="P407" s="36">
        <f>IFERROR(O407/$AD407,0)</f>
        <v>0.37785588752196836</v>
      </c>
      <c r="Q407" s="17">
        <v>552</v>
      </c>
      <c r="R407" s="36">
        <f>IFERROR(Q407/$AC407,0)</f>
        <v>0.15775935981709061</v>
      </c>
      <c r="S407" s="17">
        <v>80</v>
      </c>
      <c r="T407" s="36">
        <f>IFERROR(S407/$AD407,0)</f>
        <v>0.14059753954305801</v>
      </c>
      <c r="U407" s="17">
        <v>153</v>
      </c>
      <c r="V407" s="36">
        <f>IFERROR(U407/$AC407,0)</f>
        <v>4.3726779079737065E-2</v>
      </c>
      <c r="W407" s="17">
        <v>13</v>
      </c>
      <c r="X407" s="36">
        <f>IFERROR(W407/$AD407,0)</f>
        <v>2.2847100175746926E-2</v>
      </c>
      <c r="Y407" s="17">
        <v>58</v>
      </c>
      <c r="Z407" s="36">
        <f>IFERROR(Y407/$AC407,0)</f>
        <v>1.6576164618462418E-2</v>
      </c>
      <c r="AA407" s="17">
        <v>9</v>
      </c>
      <c r="AB407" s="36">
        <f>IFERROR(AA407/$AD407,0)</f>
        <v>1.5817223198594025E-2</v>
      </c>
      <c r="AC407" s="16">
        <v>3499</v>
      </c>
      <c r="AD407" s="17">
        <v>569</v>
      </c>
    </row>
    <row r="408" spans="1:30" ht="15.75" customHeight="1" x14ac:dyDescent="0.25">
      <c r="A408" s="37">
        <v>2022</v>
      </c>
      <c r="B408" s="35">
        <v>172085</v>
      </c>
      <c r="C408" s="33" t="str">
        <f>VLOOKUP(B408,procv!$A$2:$D$142,4,FALSE)</f>
        <v>Ilha do Bananal</v>
      </c>
      <c r="D408" s="33" t="s">
        <v>133</v>
      </c>
      <c r="E408" s="17">
        <v>16</v>
      </c>
      <c r="F408" s="36">
        <f>IFERROR(E408/$AC408,0)</f>
        <v>2.1534320323014805E-2</v>
      </c>
      <c r="G408" s="17">
        <v>3</v>
      </c>
      <c r="H408" s="36">
        <f>IFERROR(G408/$AD408,0)</f>
        <v>5.5555555555555552E-2</v>
      </c>
      <c r="I408" s="17">
        <v>231</v>
      </c>
      <c r="J408" s="36">
        <f>IFERROR(I408/$AC408,0)</f>
        <v>0.31090174966352624</v>
      </c>
      <c r="K408" s="17">
        <v>17</v>
      </c>
      <c r="L408" s="36">
        <f>IFERROR(K408/$AD408,0)</f>
        <v>0.31481481481481483</v>
      </c>
      <c r="M408" s="17">
        <v>249</v>
      </c>
      <c r="N408" s="36">
        <f>IFERROR(M408/$AC408,0)</f>
        <v>0.33512786002691791</v>
      </c>
      <c r="O408" s="17">
        <v>22</v>
      </c>
      <c r="P408" s="36">
        <f>IFERROR(O408/$AD408,0)</f>
        <v>0.40740740740740738</v>
      </c>
      <c r="Q408" s="17">
        <v>154</v>
      </c>
      <c r="R408" s="36">
        <f>IFERROR(Q408/$AC408,0)</f>
        <v>0.2072678331090175</v>
      </c>
      <c r="S408" s="17">
        <v>5</v>
      </c>
      <c r="T408" s="36">
        <f>IFERROR(S408/$AD408,0)</f>
        <v>9.2592592592592587E-2</v>
      </c>
      <c r="U408" s="17">
        <v>59</v>
      </c>
      <c r="V408" s="36">
        <f>IFERROR(U408/$AC408,0)</f>
        <v>7.9407806191117092E-2</v>
      </c>
      <c r="W408" s="17">
        <v>5</v>
      </c>
      <c r="X408" s="36">
        <f>IFERROR(W408/$AD408,0)</f>
        <v>9.2592592592592587E-2</v>
      </c>
      <c r="Y408" s="17">
        <v>34</v>
      </c>
      <c r="Z408" s="36">
        <f>IFERROR(Y408/$AC408,0)</f>
        <v>4.5760430686406457E-2</v>
      </c>
      <c r="AA408" s="17">
        <v>2</v>
      </c>
      <c r="AB408" s="36">
        <f>IFERROR(AA408/$AD408,0)</f>
        <v>3.7037037037037035E-2</v>
      </c>
      <c r="AC408" s="17">
        <v>743</v>
      </c>
      <c r="AD408" s="17">
        <v>54</v>
      </c>
    </row>
    <row r="409" spans="1:30" ht="15.75" customHeight="1" x14ac:dyDescent="0.25">
      <c r="A409" s="37">
        <v>2022</v>
      </c>
      <c r="B409" s="35">
        <v>170825</v>
      </c>
      <c r="C409" s="33" t="str">
        <f>VLOOKUP(B409,procv!$A$2:$D$142,4,FALSE)</f>
        <v>Capim Dourado</v>
      </c>
      <c r="D409" s="33" t="s">
        <v>134</v>
      </c>
      <c r="E409" s="17">
        <v>2</v>
      </c>
      <c r="F409" s="36">
        <f>IFERROR(E409/$AC409,0)</f>
        <v>1.0309278350515464E-2</v>
      </c>
      <c r="G409" s="17">
        <v>2</v>
      </c>
      <c r="H409" s="36">
        <f>IFERROR(G409/$AD409,0)</f>
        <v>1.3698630136986301E-2</v>
      </c>
      <c r="I409" s="17">
        <v>57</v>
      </c>
      <c r="J409" s="36">
        <f>IFERROR(I409/$AC409,0)</f>
        <v>0.29381443298969073</v>
      </c>
      <c r="K409" s="17">
        <v>50</v>
      </c>
      <c r="L409" s="36">
        <f>IFERROR(K409/$AD409,0)</f>
        <v>0.34246575342465752</v>
      </c>
      <c r="M409" s="17">
        <v>67</v>
      </c>
      <c r="N409" s="36">
        <f>IFERROR(M409/$AC409,0)</f>
        <v>0.34536082474226804</v>
      </c>
      <c r="O409" s="17">
        <v>58</v>
      </c>
      <c r="P409" s="36">
        <f>IFERROR(O409/$AD409,0)</f>
        <v>0.39726027397260272</v>
      </c>
      <c r="Q409" s="17">
        <v>30</v>
      </c>
      <c r="R409" s="36">
        <f>IFERROR(Q409/$AC409,0)</f>
        <v>0.15463917525773196</v>
      </c>
      <c r="S409" s="17">
        <v>23</v>
      </c>
      <c r="T409" s="36">
        <f>IFERROR(S409/$AD409,0)</f>
        <v>0.15753424657534246</v>
      </c>
      <c r="U409" s="17">
        <v>20</v>
      </c>
      <c r="V409" s="36">
        <f>IFERROR(U409/$AC409,0)</f>
        <v>0.10309278350515463</v>
      </c>
      <c r="W409" s="17">
        <v>8</v>
      </c>
      <c r="X409" s="36">
        <f>IFERROR(W409/$AD409,0)</f>
        <v>5.4794520547945202E-2</v>
      </c>
      <c r="Y409" s="17">
        <v>18</v>
      </c>
      <c r="Z409" s="36">
        <f>IFERROR(Y409/$AC409,0)</f>
        <v>9.2783505154639179E-2</v>
      </c>
      <c r="AA409" s="17">
        <v>5</v>
      </c>
      <c r="AB409" s="36">
        <f>IFERROR(AA409/$AD409,0)</f>
        <v>3.4246575342465752E-2</v>
      </c>
      <c r="AC409" s="17">
        <v>194</v>
      </c>
      <c r="AD409" s="17">
        <v>146</v>
      </c>
    </row>
    <row r="410" spans="1:30" ht="15.75" customHeight="1" x14ac:dyDescent="0.25">
      <c r="A410" s="37">
        <v>2022</v>
      </c>
      <c r="B410" s="35">
        <v>172090</v>
      </c>
      <c r="C410" s="33" t="str">
        <f>VLOOKUP(B410,procv!$A$2:$D$142,4,FALSE)</f>
        <v>Sudeste</v>
      </c>
      <c r="D410" s="33" t="s">
        <v>135</v>
      </c>
      <c r="E410" s="17">
        <v>80</v>
      </c>
      <c r="F410" s="36">
        <f>IFERROR(E410/$AC410,0)</f>
        <v>2.3710729104919975E-2</v>
      </c>
      <c r="G410" s="17">
        <v>19</v>
      </c>
      <c r="H410" s="36">
        <f>IFERROR(G410/$AD410,0)</f>
        <v>2.9733959311424099E-2</v>
      </c>
      <c r="I410" s="16">
        <v>1133</v>
      </c>
      <c r="J410" s="36">
        <f>IFERROR(I410/$AC410,0)</f>
        <v>0.33580320094842914</v>
      </c>
      <c r="K410" s="17">
        <v>232</v>
      </c>
      <c r="L410" s="36">
        <f>IFERROR(K410/$AD410,0)</f>
        <v>0.36306729264475746</v>
      </c>
      <c r="M410" s="16">
        <v>1197</v>
      </c>
      <c r="N410" s="36">
        <f>IFERROR(M410/$AC410,0)</f>
        <v>0.35477178423236516</v>
      </c>
      <c r="O410" s="17">
        <v>187</v>
      </c>
      <c r="P410" s="36">
        <f>IFERROR(O410/$AD410,0)</f>
        <v>0.29264475743348983</v>
      </c>
      <c r="Q410" s="17">
        <v>646</v>
      </c>
      <c r="R410" s="36">
        <f>IFERROR(Q410/$AC410,0)</f>
        <v>0.19146413752222882</v>
      </c>
      <c r="S410" s="17">
        <v>132</v>
      </c>
      <c r="T410" s="36">
        <f>IFERROR(S410/$AD410,0)</f>
        <v>0.20657276995305165</v>
      </c>
      <c r="U410" s="17">
        <v>230</v>
      </c>
      <c r="V410" s="36">
        <f>IFERROR(U410/$AC410,0)</f>
        <v>6.8168346176644926E-2</v>
      </c>
      <c r="W410" s="17">
        <v>51</v>
      </c>
      <c r="X410" s="36">
        <f>IFERROR(W410/$AD410,0)</f>
        <v>7.9812206572769953E-2</v>
      </c>
      <c r="Y410" s="17">
        <v>88</v>
      </c>
      <c r="Z410" s="36">
        <f>IFERROR(Y410/$AC410,0)</f>
        <v>2.6081802015411975E-2</v>
      </c>
      <c r="AA410" s="17">
        <v>18</v>
      </c>
      <c r="AB410" s="36">
        <f>IFERROR(AA410/$AD410,0)</f>
        <v>2.8169014084507043E-2</v>
      </c>
      <c r="AC410" s="16">
        <v>3374</v>
      </c>
      <c r="AD410" s="17">
        <v>639</v>
      </c>
    </row>
    <row r="411" spans="1:30" ht="15.75" customHeight="1" x14ac:dyDescent="0.25">
      <c r="A411" s="37">
        <v>2022</v>
      </c>
      <c r="B411" s="35">
        <v>172093</v>
      </c>
      <c r="C411" s="33" t="str">
        <f>VLOOKUP(B411,procv!$A$2:$D$142,4,FALSE)</f>
        <v>Sudeste</v>
      </c>
      <c r="D411" s="33" t="s">
        <v>136</v>
      </c>
      <c r="E411" s="17">
        <v>1</v>
      </c>
      <c r="F411" s="36">
        <f>IFERROR(E411/$AC411,0)</f>
        <v>4.9019607843137254E-3</v>
      </c>
      <c r="G411" s="17">
        <v>1</v>
      </c>
      <c r="H411" s="36">
        <f>IFERROR(G411/$AD411,0)</f>
        <v>3.5714285714285712E-2</v>
      </c>
      <c r="I411" s="17">
        <v>36</v>
      </c>
      <c r="J411" s="36">
        <f>IFERROR(I411/$AC411,0)</f>
        <v>0.17647058823529413</v>
      </c>
      <c r="K411" s="17">
        <v>5</v>
      </c>
      <c r="L411" s="36">
        <f>IFERROR(K411/$AD411,0)</f>
        <v>0.17857142857142858</v>
      </c>
      <c r="M411" s="17">
        <v>68</v>
      </c>
      <c r="N411" s="36">
        <f>IFERROR(M411/$AC411,0)</f>
        <v>0.33333333333333331</v>
      </c>
      <c r="O411" s="17">
        <v>10</v>
      </c>
      <c r="P411" s="36">
        <f>IFERROR(O411/$AD411,0)</f>
        <v>0.35714285714285715</v>
      </c>
      <c r="Q411" s="17">
        <v>57</v>
      </c>
      <c r="R411" s="36">
        <f>IFERROR(Q411/$AC411,0)</f>
        <v>0.27941176470588236</v>
      </c>
      <c r="S411" s="17">
        <v>9</v>
      </c>
      <c r="T411" s="36">
        <f>IFERROR(S411/$AD411,0)</f>
        <v>0.32142857142857145</v>
      </c>
      <c r="U411" s="17">
        <v>31</v>
      </c>
      <c r="V411" s="36">
        <f>IFERROR(U411/$AC411,0)</f>
        <v>0.15196078431372548</v>
      </c>
      <c r="W411" s="17">
        <v>2</v>
      </c>
      <c r="X411" s="36">
        <f>IFERROR(W411/$AD411,0)</f>
        <v>7.1428571428571425E-2</v>
      </c>
      <c r="Y411" s="17">
        <v>11</v>
      </c>
      <c r="Z411" s="36">
        <f>IFERROR(Y411/$AC411,0)</f>
        <v>5.3921568627450983E-2</v>
      </c>
      <c r="AA411" s="17">
        <v>1</v>
      </c>
      <c r="AB411" s="36">
        <f>IFERROR(AA411/$AD411,0)</f>
        <v>3.5714285714285712E-2</v>
      </c>
      <c r="AC411" s="17">
        <v>204</v>
      </c>
      <c r="AD411" s="17">
        <v>28</v>
      </c>
    </row>
    <row r="412" spans="1:30" ht="15.75" customHeight="1" x14ac:dyDescent="0.25">
      <c r="A412" s="37">
        <v>2022</v>
      </c>
      <c r="B412" s="35">
        <v>172097</v>
      </c>
      <c r="C412" s="33" t="str">
        <f>VLOOKUP(B412,procv!$A$2:$D$142,4,FALSE)</f>
        <v>Ilha do Bananal</v>
      </c>
      <c r="D412" s="33" t="s">
        <v>137</v>
      </c>
      <c r="E412" s="17">
        <v>23</v>
      </c>
      <c r="F412" s="36">
        <f>IFERROR(E412/$AC412,0)</f>
        <v>2.4364406779661018E-2</v>
      </c>
      <c r="G412" s="17">
        <v>2</v>
      </c>
      <c r="H412" s="36">
        <f>IFERROR(G412/$AD412,0)</f>
        <v>2.1739130434782608E-2</v>
      </c>
      <c r="I412" s="17">
        <v>298</v>
      </c>
      <c r="J412" s="36">
        <f>IFERROR(I412/$AC412,0)</f>
        <v>0.31567796610169491</v>
      </c>
      <c r="K412" s="17">
        <v>28</v>
      </c>
      <c r="L412" s="36">
        <f>IFERROR(K412/$AD412,0)</f>
        <v>0.30434782608695654</v>
      </c>
      <c r="M412" s="17">
        <v>300</v>
      </c>
      <c r="N412" s="36">
        <f>IFERROR(M412/$AC412,0)</f>
        <v>0.31779661016949151</v>
      </c>
      <c r="O412" s="17">
        <v>29</v>
      </c>
      <c r="P412" s="36">
        <f>IFERROR(O412/$AD412,0)</f>
        <v>0.31521739130434784</v>
      </c>
      <c r="Q412" s="17">
        <v>216</v>
      </c>
      <c r="R412" s="36">
        <f>IFERROR(Q412/$AC412,0)</f>
        <v>0.2288135593220339</v>
      </c>
      <c r="S412" s="17">
        <v>25</v>
      </c>
      <c r="T412" s="36">
        <f>IFERROR(S412/$AD412,0)</f>
        <v>0.27173913043478259</v>
      </c>
      <c r="U412" s="17">
        <v>70</v>
      </c>
      <c r="V412" s="36">
        <f>IFERROR(U412/$AC412,0)</f>
        <v>7.4152542372881353E-2</v>
      </c>
      <c r="W412" s="17">
        <v>6</v>
      </c>
      <c r="X412" s="36">
        <f>IFERROR(W412/$AD412,0)</f>
        <v>6.5217391304347824E-2</v>
      </c>
      <c r="Y412" s="17">
        <v>37</v>
      </c>
      <c r="Z412" s="36">
        <f>IFERROR(Y412/$AC412,0)</f>
        <v>3.9194915254237288E-2</v>
      </c>
      <c r="AA412" s="17">
        <v>2</v>
      </c>
      <c r="AB412" s="36">
        <f>IFERROR(AA412/$AD412,0)</f>
        <v>2.1739130434782608E-2</v>
      </c>
      <c r="AC412" s="17">
        <v>944</v>
      </c>
      <c r="AD412" s="17">
        <v>92</v>
      </c>
    </row>
    <row r="413" spans="1:30" ht="15.75" customHeight="1" x14ac:dyDescent="0.25">
      <c r="A413" s="37">
        <v>2022</v>
      </c>
      <c r="B413" s="35">
        <v>172110</v>
      </c>
      <c r="C413" s="33" t="str">
        <f>VLOOKUP(B413,procv!$A$2:$D$142,4,FALSE)</f>
        <v>Capim Dourado</v>
      </c>
      <c r="D413" s="33" t="s">
        <v>138</v>
      </c>
      <c r="E413" s="17">
        <v>39</v>
      </c>
      <c r="F413" s="36">
        <f>IFERROR(E413/$AC413,0)</f>
        <v>1.9422310756972112E-2</v>
      </c>
      <c r="G413" s="17">
        <v>10</v>
      </c>
      <c r="H413" s="36">
        <f>IFERROR(G413/$AD413,0)</f>
        <v>1.0373443983402489E-2</v>
      </c>
      <c r="I413" s="17">
        <v>614</v>
      </c>
      <c r="J413" s="36">
        <f>IFERROR(I413/$AC413,0)</f>
        <v>0.30577689243027889</v>
      </c>
      <c r="K413" s="17">
        <v>288</v>
      </c>
      <c r="L413" s="36">
        <f>IFERROR(K413/$AD413,0)</f>
        <v>0.29875518672199169</v>
      </c>
      <c r="M413" s="17">
        <v>800</v>
      </c>
      <c r="N413" s="36">
        <f>IFERROR(M413/$AC413,0)</f>
        <v>0.39840637450199201</v>
      </c>
      <c r="O413" s="17">
        <v>396</v>
      </c>
      <c r="P413" s="36">
        <f>IFERROR(O413/$AD413,0)</f>
        <v>0.41078838174273857</v>
      </c>
      <c r="Q413" s="17">
        <v>392</v>
      </c>
      <c r="R413" s="36">
        <f>IFERROR(Q413/$AC413,0)</f>
        <v>0.19521912350597609</v>
      </c>
      <c r="S413" s="17">
        <v>200</v>
      </c>
      <c r="T413" s="36">
        <f>IFERROR(S413/$AD413,0)</f>
        <v>0.2074688796680498</v>
      </c>
      <c r="U413" s="17">
        <v>132</v>
      </c>
      <c r="V413" s="36">
        <f>IFERROR(U413/$AC413,0)</f>
        <v>6.5737051792828682E-2</v>
      </c>
      <c r="W413" s="17">
        <v>54</v>
      </c>
      <c r="X413" s="36">
        <f>IFERROR(W413/$AD413,0)</f>
        <v>5.6016597510373446E-2</v>
      </c>
      <c r="Y413" s="17">
        <v>31</v>
      </c>
      <c r="Z413" s="36">
        <f>IFERROR(Y413/$AC413,0)</f>
        <v>1.5438247011952191E-2</v>
      </c>
      <c r="AA413" s="17">
        <v>16</v>
      </c>
      <c r="AB413" s="36">
        <f>IFERROR(AA413/$AD413,0)</f>
        <v>1.6597510373443983E-2</v>
      </c>
      <c r="AC413" s="16">
        <v>2008</v>
      </c>
      <c r="AD413" s="17">
        <v>964</v>
      </c>
    </row>
    <row r="414" spans="1:30" ht="15.75" customHeight="1" x14ac:dyDescent="0.25">
      <c r="A414" s="37">
        <v>2022</v>
      </c>
      <c r="B414" s="35">
        <v>172120</v>
      </c>
      <c r="C414" s="33" t="str">
        <f>VLOOKUP(B414,procv!$A$2:$D$142,4,FALSE)</f>
        <v>Bico do Papagaio</v>
      </c>
      <c r="D414" s="33" t="s">
        <v>139</v>
      </c>
      <c r="E414" s="17">
        <v>139</v>
      </c>
      <c r="F414" s="36">
        <f>IFERROR(E414/$AC414,0)</f>
        <v>3.7007454739084129E-2</v>
      </c>
      <c r="G414" s="17">
        <v>57</v>
      </c>
      <c r="H414" s="36">
        <f>IFERROR(G414/$AD414,0)</f>
        <v>4.7818791946308725E-2</v>
      </c>
      <c r="I414" s="16">
        <v>1415</v>
      </c>
      <c r="J414" s="36">
        <f>IFERROR(I414/$AC414,0)</f>
        <v>0.37673056443024494</v>
      </c>
      <c r="K414" s="17">
        <v>491</v>
      </c>
      <c r="L414" s="36">
        <f>IFERROR(K414/$AD414,0)</f>
        <v>0.41191275167785235</v>
      </c>
      <c r="M414" s="16">
        <v>1266</v>
      </c>
      <c r="N414" s="36">
        <f>IFERROR(M414/$AC414,0)</f>
        <v>0.33706070287539935</v>
      </c>
      <c r="O414" s="17">
        <v>382</v>
      </c>
      <c r="P414" s="36">
        <f>IFERROR(O414/$AD414,0)</f>
        <v>0.32046979865771813</v>
      </c>
      <c r="Q414" s="17">
        <v>645</v>
      </c>
      <c r="R414" s="36">
        <f>IFERROR(Q414/$AC414,0)</f>
        <v>0.17172523961661343</v>
      </c>
      <c r="S414" s="17">
        <v>191</v>
      </c>
      <c r="T414" s="36">
        <f>IFERROR(S414/$AD414,0)</f>
        <v>0.16023489932885907</v>
      </c>
      <c r="U414" s="17">
        <v>215</v>
      </c>
      <c r="V414" s="36">
        <f>IFERROR(U414/$AC414,0)</f>
        <v>5.7241746538871138E-2</v>
      </c>
      <c r="W414" s="17">
        <v>53</v>
      </c>
      <c r="X414" s="36">
        <f>IFERROR(W414/$AD414,0)</f>
        <v>4.4463087248322146E-2</v>
      </c>
      <c r="Y414" s="17">
        <v>76</v>
      </c>
      <c r="Z414" s="36">
        <f>IFERROR(Y414/$AC414,0)</f>
        <v>2.0234291799787009E-2</v>
      </c>
      <c r="AA414" s="17">
        <v>18</v>
      </c>
      <c r="AB414" s="36">
        <f>IFERROR(AA414/$AD414,0)</f>
        <v>1.5100671140939598E-2</v>
      </c>
      <c r="AC414" s="16">
        <v>3756</v>
      </c>
      <c r="AD414" s="16">
        <v>1192</v>
      </c>
    </row>
    <row r="415" spans="1:30" ht="15.75" customHeight="1" x14ac:dyDescent="0.25">
      <c r="A415" s="37">
        <v>2022</v>
      </c>
      <c r="B415" s="35">
        <v>172125</v>
      </c>
      <c r="C415" s="33" t="str">
        <f>VLOOKUP(B415,procv!$A$2:$D$142,4,FALSE)</f>
        <v>Cerrado Tocantins Araguaia</v>
      </c>
      <c r="D415" s="33" t="s">
        <v>140</v>
      </c>
      <c r="E415" s="17">
        <v>26</v>
      </c>
      <c r="F415" s="36">
        <f>IFERROR(E415/$AC415,0)</f>
        <v>3.5567715458276333E-2</v>
      </c>
      <c r="G415" s="17">
        <v>5</v>
      </c>
      <c r="H415" s="36">
        <f>IFERROR(G415/$AD415,0)</f>
        <v>5.8139534883720929E-2</v>
      </c>
      <c r="I415" s="17">
        <v>264</v>
      </c>
      <c r="J415" s="36">
        <f>IFERROR(I415/$AC415,0)</f>
        <v>0.36114911080711354</v>
      </c>
      <c r="K415" s="17">
        <v>31</v>
      </c>
      <c r="L415" s="36">
        <f>IFERROR(K415/$AD415,0)</f>
        <v>0.36046511627906974</v>
      </c>
      <c r="M415" s="17">
        <v>253</v>
      </c>
      <c r="N415" s="36">
        <f>IFERROR(M415/$AC415,0)</f>
        <v>0.34610123119015046</v>
      </c>
      <c r="O415" s="17">
        <v>27</v>
      </c>
      <c r="P415" s="36">
        <f>IFERROR(O415/$AD415,0)</f>
        <v>0.31395348837209303</v>
      </c>
      <c r="Q415" s="17">
        <v>126</v>
      </c>
      <c r="R415" s="36">
        <f>IFERROR(Q415/$AC415,0)</f>
        <v>0.17236662106703146</v>
      </c>
      <c r="S415" s="17">
        <v>17</v>
      </c>
      <c r="T415" s="36">
        <f>IFERROR(S415/$AD415,0)</f>
        <v>0.19767441860465115</v>
      </c>
      <c r="U415" s="17">
        <v>45</v>
      </c>
      <c r="V415" s="36">
        <f>IFERROR(U415/$AC415,0)</f>
        <v>6.1559507523939808E-2</v>
      </c>
      <c r="W415" s="17">
        <v>3</v>
      </c>
      <c r="X415" s="36">
        <f>IFERROR(W415/$AD415,0)</f>
        <v>3.4883720930232558E-2</v>
      </c>
      <c r="Y415" s="17">
        <v>17</v>
      </c>
      <c r="Z415" s="36">
        <f>IFERROR(Y415/$AC415,0)</f>
        <v>2.3255813953488372E-2</v>
      </c>
      <c r="AA415" s="17">
        <v>3</v>
      </c>
      <c r="AB415" s="36">
        <f>IFERROR(AA415/$AD415,0)</f>
        <v>3.4883720930232558E-2</v>
      </c>
      <c r="AC415" s="17">
        <v>731</v>
      </c>
      <c r="AD415" s="17">
        <v>86</v>
      </c>
    </row>
    <row r="416" spans="1:30" ht="15.75" customHeight="1" x14ac:dyDescent="0.25">
      <c r="A416" s="37">
        <v>2022</v>
      </c>
      <c r="B416" s="35">
        <v>172130</v>
      </c>
      <c r="C416" s="33" t="str">
        <f>VLOOKUP(B416,procv!$A$2:$D$142,4,FALSE)</f>
        <v>Cerrado Tocantins Araguaia</v>
      </c>
      <c r="D416" s="33" t="s">
        <v>141</v>
      </c>
      <c r="E416" s="17">
        <v>11</v>
      </c>
      <c r="F416" s="36">
        <f>IFERROR(E416/$AC416,0)</f>
        <v>2.0072992700729927E-2</v>
      </c>
      <c r="G416" s="17">
        <v>0</v>
      </c>
      <c r="H416" s="36">
        <f>IFERROR(G416/$AD416,0)</f>
        <v>0</v>
      </c>
      <c r="I416" s="17">
        <v>157</v>
      </c>
      <c r="J416" s="36">
        <f>IFERROR(I416/$AC416,0)</f>
        <v>0.28649635036496351</v>
      </c>
      <c r="K416" s="17">
        <v>5</v>
      </c>
      <c r="L416" s="36">
        <f>IFERROR(K416/$AD416,0)</f>
        <v>0.38461538461538464</v>
      </c>
      <c r="M416" s="17">
        <v>210</v>
      </c>
      <c r="N416" s="36">
        <f>IFERROR(M416/$AC416,0)</f>
        <v>0.38321167883211676</v>
      </c>
      <c r="O416" s="17">
        <v>6</v>
      </c>
      <c r="P416" s="36">
        <f>IFERROR(O416/$AD416,0)</f>
        <v>0.46153846153846156</v>
      </c>
      <c r="Q416" s="17">
        <v>107</v>
      </c>
      <c r="R416" s="36">
        <f>IFERROR(Q416/$AC416,0)</f>
        <v>0.19525547445255476</v>
      </c>
      <c r="S416" s="17">
        <v>0</v>
      </c>
      <c r="T416" s="36">
        <f>IFERROR(S416/$AD416,0)</f>
        <v>0</v>
      </c>
      <c r="U416" s="17">
        <v>42</v>
      </c>
      <c r="V416" s="36">
        <f>IFERROR(U416/$AC416,0)</f>
        <v>7.6642335766423361E-2</v>
      </c>
      <c r="W416" s="17">
        <v>1</v>
      </c>
      <c r="X416" s="36">
        <f>IFERROR(W416/$AD416,0)</f>
        <v>7.6923076923076927E-2</v>
      </c>
      <c r="Y416" s="17">
        <v>21</v>
      </c>
      <c r="Z416" s="36">
        <f>IFERROR(Y416/$AC416,0)</f>
        <v>3.8321167883211681E-2</v>
      </c>
      <c r="AA416" s="17">
        <v>1</v>
      </c>
      <c r="AB416" s="36">
        <f>IFERROR(AA416/$AD416,0)</f>
        <v>7.6923076923076927E-2</v>
      </c>
      <c r="AC416" s="17">
        <v>548</v>
      </c>
      <c r="AD416" s="17">
        <v>13</v>
      </c>
    </row>
    <row r="417" spans="1:30" ht="15.75" customHeight="1" x14ac:dyDescent="0.25">
      <c r="A417" s="37">
        <v>2022</v>
      </c>
      <c r="B417" s="35">
        <v>172208</v>
      </c>
      <c r="C417" s="33" t="str">
        <f>VLOOKUP(B417,procv!$A$2:$D$142,4,FALSE)</f>
        <v>Médio Norte Araguaia</v>
      </c>
      <c r="D417" s="33" t="s">
        <v>142</v>
      </c>
      <c r="E417" s="17">
        <v>60</v>
      </c>
      <c r="F417" s="36">
        <f>IFERROR(E417/$AC417,0)</f>
        <v>2.4400162667751118E-2</v>
      </c>
      <c r="G417" s="17">
        <v>9</v>
      </c>
      <c r="H417" s="36">
        <f>IFERROR(G417/$AD417,0)</f>
        <v>2.0134228187919462E-2</v>
      </c>
      <c r="I417" s="17">
        <v>893</v>
      </c>
      <c r="J417" s="36">
        <f>IFERROR(I417/$AC417,0)</f>
        <v>0.36315575437169584</v>
      </c>
      <c r="K417" s="17">
        <v>162</v>
      </c>
      <c r="L417" s="36">
        <f>IFERROR(K417/$AD417,0)</f>
        <v>0.36241610738255031</v>
      </c>
      <c r="M417" s="17">
        <v>874</v>
      </c>
      <c r="N417" s="36">
        <f>IFERROR(M417/$AC417,0)</f>
        <v>0.35542903619357463</v>
      </c>
      <c r="O417" s="17">
        <v>150</v>
      </c>
      <c r="P417" s="36">
        <f>IFERROR(O417/$AD417,0)</f>
        <v>0.33557046979865773</v>
      </c>
      <c r="Q417" s="17">
        <v>431</v>
      </c>
      <c r="R417" s="36">
        <f>IFERROR(Q417/$AC417,0)</f>
        <v>0.1752745018300122</v>
      </c>
      <c r="S417" s="17">
        <v>87</v>
      </c>
      <c r="T417" s="36">
        <f>IFERROR(S417/$AD417,0)</f>
        <v>0.19463087248322147</v>
      </c>
      <c r="U417" s="17">
        <v>150</v>
      </c>
      <c r="V417" s="36">
        <f>IFERROR(U417/$AC417,0)</f>
        <v>6.1000406669377796E-2</v>
      </c>
      <c r="W417" s="17">
        <v>28</v>
      </c>
      <c r="X417" s="36">
        <f>IFERROR(W417/$AD417,0)</f>
        <v>6.2639821029082776E-2</v>
      </c>
      <c r="Y417" s="17">
        <v>51</v>
      </c>
      <c r="Z417" s="36">
        <f>IFERROR(Y417/$AC417,0)</f>
        <v>2.074013826758845E-2</v>
      </c>
      <c r="AA417" s="17">
        <v>11</v>
      </c>
      <c r="AB417" s="36">
        <f>IFERROR(AA417/$AD417,0)</f>
        <v>2.4608501118568233E-2</v>
      </c>
      <c r="AC417" s="16">
        <v>2459</v>
      </c>
      <c r="AD417" s="17">
        <v>447</v>
      </c>
    </row>
    <row r="418" spans="1:30" ht="15.75" customHeight="1" x14ac:dyDescent="0.25">
      <c r="A418" s="37">
        <v>2022</v>
      </c>
      <c r="B418" s="35">
        <v>172210</v>
      </c>
      <c r="C418" s="33" t="str">
        <f>VLOOKUP(B418,procv!$A$2:$D$142,4,FALSE)</f>
        <v>Médio Norte Araguaia</v>
      </c>
      <c r="D418" s="33" t="s">
        <v>143</v>
      </c>
      <c r="E418" s="17">
        <v>68</v>
      </c>
      <c r="F418" s="36">
        <f>IFERROR(E418/$AC418,0)</f>
        <v>2.4655547498187092E-2</v>
      </c>
      <c r="G418" s="17">
        <v>12</v>
      </c>
      <c r="H418" s="36">
        <f>IFERROR(G418/$AD418,0)</f>
        <v>2.3715415019762844E-2</v>
      </c>
      <c r="I418" s="17">
        <v>853</v>
      </c>
      <c r="J418" s="36">
        <f>IFERROR(I418/$AC418,0)</f>
        <v>0.30928208846990574</v>
      </c>
      <c r="K418" s="17">
        <v>171</v>
      </c>
      <c r="L418" s="36">
        <f>IFERROR(K418/$AD418,0)</f>
        <v>0.33794466403162055</v>
      </c>
      <c r="M418" s="17">
        <v>999</v>
      </c>
      <c r="N418" s="36">
        <f>IFERROR(M418/$AC418,0)</f>
        <v>0.36221899927483686</v>
      </c>
      <c r="O418" s="17">
        <v>156</v>
      </c>
      <c r="P418" s="36">
        <f>IFERROR(O418/$AD418,0)</f>
        <v>0.30830039525691699</v>
      </c>
      <c r="Q418" s="17">
        <v>556</v>
      </c>
      <c r="R418" s="36">
        <f>IFERROR(Q418/$AC418,0)</f>
        <v>0.20159535895576505</v>
      </c>
      <c r="S418" s="17">
        <v>108</v>
      </c>
      <c r="T418" s="36">
        <f>IFERROR(S418/$AD418,0)</f>
        <v>0.2134387351778656</v>
      </c>
      <c r="U418" s="17">
        <v>199</v>
      </c>
      <c r="V418" s="36">
        <f>IFERROR(U418/$AC418,0)</f>
        <v>7.215373459028282E-2</v>
      </c>
      <c r="W418" s="17">
        <v>39</v>
      </c>
      <c r="X418" s="36">
        <f>IFERROR(W418/$AD418,0)</f>
        <v>7.7075098814229248E-2</v>
      </c>
      <c r="Y418" s="17">
        <v>83</v>
      </c>
      <c r="Z418" s="36">
        <f>IFERROR(Y418/$AC418,0)</f>
        <v>3.009427121102248E-2</v>
      </c>
      <c r="AA418" s="17">
        <v>20</v>
      </c>
      <c r="AB418" s="36">
        <f>IFERROR(AA418/$AD418,0)</f>
        <v>3.9525691699604744E-2</v>
      </c>
      <c r="AC418" s="16">
        <v>2758</v>
      </c>
      <c r="AD418" s="17">
        <v>506</v>
      </c>
    </row>
    <row r="419" spans="1:30" ht="15.75" customHeight="1" x14ac:dyDescent="0.25">
      <c r="A419" s="37">
        <v>2021</v>
      </c>
      <c r="B419" s="35">
        <v>170025</v>
      </c>
      <c r="C419" s="34" t="s">
        <v>144</v>
      </c>
      <c r="D419" s="34" t="s">
        <v>5</v>
      </c>
      <c r="E419" s="17">
        <v>16</v>
      </c>
      <c r="F419" s="36">
        <f>IFERROR(E419/$AC419,0)</f>
        <v>1.5108593012275733E-2</v>
      </c>
      <c r="G419" s="17">
        <v>4</v>
      </c>
      <c r="H419" s="36">
        <f>IFERROR(G419/$AD419,0)</f>
        <v>5.0632911392405063E-2</v>
      </c>
      <c r="I419" s="17">
        <v>335</v>
      </c>
      <c r="J419" s="36">
        <f>IFERROR(I419/$AC419,0)</f>
        <v>0.31633616619452315</v>
      </c>
      <c r="K419" s="17">
        <v>25</v>
      </c>
      <c r="L419" s="36">
        <f>IFERROR(K419/$AD419,0)</f>
        <v>0.31645569620253167</v>
      </c>
      <c r="M419" s="17">
        <v>437</v>
      </c>
      <c r="N419" s="36">
        <f>IFERROR(M419/$AC419,0)</f>
        <v>0.41265344664778092</v>
      </c>
      <c r="O419" s="17">
        <v>28</v>
      </c>
      <c r="P419" s="36">
        <f>IFERROR(O419/$AD419,0)</f>
        <v>0.35443037974683544</v>
      </c>
      <c r="Q419" s="17">
        <v>180</v>
      </c>
      <c r="R419" s="36">
        <f>IFERROR(Q419/$AC419,0)</f>
        <v>0.16997167138810199</v>
      </c>
      <c r="S419" s="17">
        <v>17</v>
      </c>
      <c r="T419" s="36">
        <f>IFERROR(S419/$AD419,0)</f>
        <v>0.21518987341772153</v>
      </c>
      <c r="U419" s="17">
        <v>65</v>
      </c>
      <c r="V419" s="36">
        <f>IFERROR(U419/$AC419,0)</f>
        <v>6.1378659112370164E-2</v>
      </c>
      <c r="W419" s="17">
        <v>4</v>
      </c>
      <c r="X419" s="36">
        <f>IFERROR(W419/$AD419,0)</f>
        <v>5.0632911392405063E-2</v>
      </c>
      <c r="Y419" s="17">
        <v>26</v>
      </c>
      <c r="Z419" s="36">
        <f>IFERROR(Y419/$AC419,0)</f>
        <v>2.4551463644948063E-2</v>
      </c>
      <c r="AA419" s="17">
        <v>1</v>
      </c>
      <c r="AB419" s="36">
        <f>IFERROR(AA419/$AD419,0)</f>
        <v>1.2658227848101266E-2</v>
      </c>
      <c r="AC419" s="16">
        <v>1059</v>
      </c>
      <c r="AD419" s="17">
        <v>79</v>
      </c>
    </row>
    <row r="420" spans="1:30" ht="15.75" customHeight="1" x14ac:dyDescent="0.25">
      <c r="A420" s="37">
        <v>2021</v>
      </c>
      <c r="B420" s="35">
        <v>170030</v>
      </c>
      <c r="C420" s="34" t="s">
        <v>145</v>
      </c>
      <c r="D420" s="34" t="s">
        <v>6</v>
      </c>
      <c r="E420" s="17">
        <v>10</v>
      </c>
      <c r="F420" s="36">
        <f>IFERROR(E420/$AC420,0)</f>
        <v>2.5316455696202531E-2</v>
      </c>
      <c r="G420" s="17">
        <v>4</v>
      </c>
      <c r="H420" s="36">
        <f>IFERROR(G420/$AD420,0)</f>
        <v>3.3898305084745763E-2</v>
      </c>
      <c r="I420" s="17">
        <v>125</v>
      </c>
      <c r="J420" s="36">
        <f>IFERROR(I420/$AC420,0)</f>
        <v>0.31645569620253167</v>
      </c>
      <c r="K420" s="17">
        <v>36</v>
      </c>
      <c r="L420" s="36">
        <f>IFERROR(K420/$AD420,0)</f>
        <v>0.30508474576271188</v>
      </c>
      <c r="M420" s="17">
        <v>155</v>
      </c>
      <c r="N420" s="36">
        <f>IFERROR(M420/$AC420,0)</f>
        <v>0.39240506329113922</v>
      </c>
      <c r="O420" s="17">
        <v>46</v>
      </c>
      <c r="P420" s="36">
        <f>IFERROR(O420/$AD420,0)</f>
        <v>0.38983050847457629</v>
      </c>
      <c r="Q420" s="17">
        <v>74</v>
      </c>
      <c r="R420" s="36">
        <f>IFERROR(Q420/$AC420,0)</f>
        <v>0.18734177215189873</v>
      </c>
      <c r="S420" s="17">
        <v>20</v>
      </c>
      <c r="T420" s="36">
        <f>IFERROR(S420/$AD420,0)</f>
        <v>0.16949152542372881</v>
      </c>
      <c r="U420" s="17">
        <v>21</v>
      </c>
      <c r="V420" s="36">
        <f>IFERROR(U420/$AC420,0)</f>
        <v>5.3164556962025315E-2</v>
      </c>
      <c r="W420" s="17">
        <v>8</v>
      </c>
      <c r="X420" s="36">
        <f>IFERROR(W420/$AD420,0)</f>
        <v>6.7796610169491525E-2</v>
      </c>
      <c r="Y420" s="17">
        <v>10</v>
      </c>
      <c r="Z420" s="36">
        <f>IFERROR(Y420/$AC420,0)</f>
        <v>2.5316455696202531E-2</v>
      </c>
      <c r="AA420" s="17">
        <v>4</v>
      </c>
      <c r="AB420" s="36">
        <f>IFERROR(AA420/$AD420,0)</f>
        <v>3.3898305084745763E-2</v>
      </c>
      <c r="AC420" s="17">
        <v>395</v>
      </c>
      <c r="AD420" s="17">
        <v>118</v>
      </c>
    </row>
    <row r="421" spans="1:30" ht="15.75" customHeight="1" x14ac:dyDescent="0.25">
      <c r="A421" s="37">
        <v>2021</v>
      </c>
      <c r="B421" s="35">
        <v>170035</v>
      </c>
      <c r="C421" s="34" t="s">
        <v>146</v>
      </c>
      <c r="D421" s="34" t="s">
        <v>7</v>
      </c>
      <c r="E421" s="17">
        <v>11</v>
      </c>
      <c r="F421" s="36">
        <f>IFERROR(E421/$AC421,0)</f>
        <v>2.4608501118568233E-2</v>
      </c>
      <c r="G421" s="17">
        <v>5</v>
      </c>
      <c r="H421" s="36">
        <f>IFERROR(G421/$AD421,0)</f>
        <v>4.5454545454545456E-2</v>
      </c>
      <c r="I421" s="17">
        <v>139</v>
      </c>
      <c r="J421" s="36">
        <f>IFERROR(I421/$AC421,0)</f>
        <v>0.31096196868008946</v>
      </c>
      <c r="K421" s="17">
        <v>33</v>
      </c>
      <c r="L421" s="36">
        <f>IFERROR(K421/$AD421,0)</f>
        <v>0.3</v>
      </c>
      <c r="M421" s="17">
        <v>170</v>
      </c>
      <c r="N421" s="36">
        <f>IFERROR(M421/$AC421,0)</f>
        <v>0.38031319910514544</v>
      </c>
      <c r="O421" s="17">
        <v>38</v>
      </c>
      <c r="P421" s="36">
        <f>IFERROR(O421/$AD421,0)</f>
        <v>0.34545454545454546</v>
      </c>
      <c r="Q421" s="17">
        <v>75</v>
      </c>
      <c r="R421" s="36">
        <f>IFERROR(Q421/$AC421,0)</f>
        <v>0.16778523489932887</v>
      </c>
      <c r="S421" s="17">
        <v>18</v>
      </c>
      <c r="T421" s="36">
        <f>IFERROR(S421/$AD421,0)</f>
        <v>0.16363636363636364</v>
      </c>
      <c r="U421" s="17">
        <v>32</v>
      </c>
      <c r="V421" s="36">
        <f>IFERROR(U421/$AC421,0)</f>
        <v>7.1588366890380312E-2</v>
      </c>
      <c r="W421" s="17">
        <v>10</v>
      </c>
      <c r="X421" s="36">
        <f>IFERROR(W421/$AD421,0)</f>
        <v>9.0909090909090912E-2</v>
      </c>
      <c r="Y421" s="17">
        <v>20</v>
      </c>
      <c r="Z421" s="36">
        <f>IFERROR(Y421/$AC421,0)</f>
        <v>4.4742729306487698E-2</v>
      </c>
      <c r="AA421" s="17">
        <v>6</v>
      </c>
      <c r="AB421" s="36">
        <f>IFERROR(AA421/$AD421,0)</f>
        <v>5.4545454545454543E-2</v>
      </c>
      <c r="AC421" s="17">
        <v>447</v>
      </c>
      <c r="AD421" s="17">
        <v>110</v>
      </c>
    </row>
    <row r="422" spans="1:30" ht="15.75" customHeight="1" x14ac:dyDescent="0.25">
      <c r="A422" s="37">
        <v>2021</v>
      </c>
      <c r="B422" s="35">
        <v>170040</v>
      </c>
      <c r="C422" s="34" t="s">
        <v>147</v>
      </c>
      <c r="D422" s="34" t="s">
        <v>8</v>
      </c>
      <c r="E422" s="17">
        <v>0</v>
      </c>
      <c r="F422" s="36">
        <f>IFERROR(E422/$AC422,0)</f>
        <v>0</v>
      </c>
      <c r="G422" s="17">
        <v>0</v>
      </c>
      <c r="H422" s="36">
        <f>IFERROR(G422/$AD422,0)</f>
        <v>0</v>
      </c>
      <c r="I422" s="17">
        <v>15</v>
      </c>
      <c r="J422" s="36">
        <f>IFERROR(I422/$AC422,0)</f>
        <v>0.28846153846153844</v>
      </c>
      <c r="K422" s="17">
        <v>8</v>
      </c>
      <c r="L422" s="36">
        <f>IFERROR(K422/$AD422,0)</f>
        <v>0.38095238095238093</v>
      </c>
      <c r="M422" s="17">
        <v>13</v>
      </c>
      <c r="N422" s="36">
        <f>IFERROR(M422/$AC422,0)</f>
        <v>0.25</v>
      </c>
      <c r="O422" s="17">
        <v>1</v>
      </c>
      <c r="P422" s="36">
        <f>IFERROR(O422/$AD422,0)</f>
        <v>4.7619047619047616E-2</v>
      </c>
      <c r="Q422" s="17">
        <v>14</v>
      </c>
      <c r="R422" s="36">
        <f>IFERROR(Q422/$AC422,0)</f>
        <v>0.26923076923076922</v>
      </c>
      <c r="S422" s="17">
        <v>6</v>
      </c>
      <c r="T422" s="36">
        <f>IFERROR(S422/$AD422,0)</f>
        <v>0.2857142857142857</v>
      </c>
      <c r="U422" s="17">
        <v>6</v>
      </c>
      <c r="V422" s="36">
        <f>IFERROR(U422/$AC422,0)</f>
        <v>0.11538461538461539</v>
      </c>
      <c r="W422" s="17">
        <v>3</v>
      </c>
      <c r="X422" s="36">
        <f>IFERROR(W422/$AD422,0)</f>
        <v>0.14285714285714285</v>
      </c>
      <c r="Y422" s="17">
        <v>4</v>
      </c>
      <c r="Z422" s="36">
        <f>IFERROR(Y422/$AC422,0)</f>
        <v>7.6923076923076927E-2</v>
      </c>
      <c r="AA422" s="17">
        <v>3</v>
      </c>
      <c r="AB422" s="36">
        <f>IFERROR(AA422/$AD422,0)</f>
        <v>0.14285714285714285</v>
      </c>
      <c r="AC422" s="17">
        <v>52</v>
      </c>
      <c r="AD422" s="17">
        <v>21</v>
      </c>
    </row>
    <row r="423" spans="1:30" ht="15.75" customHeight="1" x14ac:dyDescent="0.25">
      <c r="A423" s="37">
        <v>2021</v>
      </c>
      <c r="B423" s="35">
        <v>170070</v>
      </c>
      <c r="C423" s="34" t="s">
        <v>146</v>
      </c>
      <c r="D423" s="34" t="s">
        <v>9</v>
      </c>
      <c r="E423" s="17">
        <v>28</v>
      </c>
      <c r="F423" s="36">
        <f>IFERROR(E423/$AC423,0)</f>
        <v>2.4496937882764653E-2</v>
      </c>
      <c r="G423" s="17">
        <v>13</v>
      </c>
      <c r="H423" s="36">
        <f>IFERROR(G423/$AD423,0)</f>
        <v>5.078125E-2</v>
      </c>
      <c r="I423" s="17">
        <v>404</v>
      </c>
      <c r="J423" s="36">
        <f>IFERROR(I423/$AC423,0)</f>
        <v>0.35345581802274717</v>
      </c>
      <c r="K423" s="17">
        <v>90</v>
      </c>
      <c r="L423" s="36">
        <f>IFERROR(K423/$AD423,0)</f>
        <v>0.3515625</v>
      </c>
      <c r="M423" s="17">
        <v>374</v>
      </c>
      <c r="N423" s="36">
        <f>IFERROR(M423/$AC423,0)</f>
        <v>0.32720909886264216</v>
      </c>
      <c r="O423" s="17">
        <v>81</v>
      </c>
      <c r="P423" s="36">
        <f>IFERROR(O423/$AD423,0)</f>
        <v>0.31640625</v>
      </c>
      <c r="Q423" s="17">
        <v>217</v>
      </c>
      <c r="R423" s="36">
        <f>IFERROR(Q423/$AC423,0)</f>
        <v>0.18985126859142606</v>
      </c>
      <c r="S423" s="17">
        <v>49</v>
      </c>
      <c r="T423" s="36">
        <f>IFERROR(S423/$AD423,0)</f>
        <v>0.19140625</v>
      </c>
      <c r="U423" s="17">
        <v>73</v>
      </c>
      <c r="V423" s="36">
        <f>IFERROR(U423/$AC423,0)</f>
        <v>6.3867016622922129E-2</v>
      </c>
      <c r="W423" s="17">
        <v>13</v>
      </c>
      <c r="X423" s="36">
        <f>IFERROR(W423/$AD423,0)</f>
        <v>5.078125E-2</v>
      </c>
      <c r="Y423" s="17">
        <v>47</v>
      </c>
      <c r="Z423" s="36">
        <f>IFERROR(Y423/$AC423,0)</f>
        <v>4.111986001749781E-2</v>
      </c>
      <c r="AA423" s="17">
        <v>10</v>
      </c>
      <c r="AB423" s="36">
        <f>IFERROR(AA423/$AD423,0)</f>
        <v>3.90625E-2</v>
      </c>
      <c r="AC423" s="16">
        <v>1143</v>
      </c>
      <c r="AD423" s="17">
        <v>256</v>
      </c>
    </row>
    <row r="424" spans="1:30" ht="15.75" customHeight="1" x14ac:dyDescent="0.25">
      <c r="A424" s="37">
        <v>2021</v>
      </c>
      <c r="B424" s="35">
        <v>170100</v>
      </c>
      <c r="C424" s="34" t="s">
        <v>145</v>
      </c>
      <c r="D424" s="34" t="s">
        <v>10</v>
      </c>
      <c r="E424" s="17">
        <v>29</v>
      </c>
      <c r="F424" s="36">
        <f>IFERROR(E424/$AC424,0)</f>
        <v>3.1216361679224973E-2</v>
      </c>
      <c r="G424" s="17">
        <v>22</v>
      </c>
      <c r="H424" s="36">
        <f>IFERROR(G424/$AD424,0)</f>
        <v>5.3658536585365853E-2</v>
      </c>
      <c r="I424" s="17">
        <v>274</v>
      </c>
      <c r="J424" s="36">
        <f>IFERROR(I424/$AC424,0)</f>
        <v>0.29494079655543598</v>
      </c>
      <c r="K424" s="17">
        <v>133</v>
      </c>
      <c r="L424" s="36">
        <f>IFERROR(K424/$AD424,0)</f>
        <v>0.32439024390243903</v>
      </c>
      <c r="M424" s="17">
        <v>324</v>
      </c>
      <c r="N424" s="36">
        <f>IFERROR(M424/$AC424,0)</f>
        <v>0.348762109795479</v>
      </c>
      <c r="O424" s="17">
        <v>143</v>
      </c>
      <c r="P424" s="36">
        <f>IFERROR(O424/$AD424,0)</f>
        <v>0.34878048780487803</v>
      </c>
      <c r="Q424" s="17">
        <v>186</v>
      </c>
      <c r="R424" s="36">
        <f>IFERROR(Q424/$AC424,0)</f>
        <v>0.20021528525296017</v>
      </c>
      <c r="S424" s="17">
        <v>62</v>
      </c>
      <c r="T424" s="36">
        <f>IFERROR(S424/$AD424,0)</f>
        <v>0.15121951219512195</v>
      </c>
      <c r="U424" s="17">
        <v>82</v>
      </c>
      <c r="V424" s="36">
        <f>IFERROR(U424/$AC424,0)</f>
        <v>8.8266953713670618E-2</v>
      </c>
      <c r="W424" s="17">
        <v>37</v>
      </c>
      <c r="X424" s="36">
        <f>IFERROR(W424/$AD424,0)</f>
        <v>9.0243902439024387E-2</v>
      </c>
      <c r="Y424" s="17">
        <v>34</v>
      </c>
      <c r="Z424" s="36">
        <f>IFERROR(Y424/$AC424,0)</f>
        <v>3.6598493003229281E-2</v>
      </c>
      <c r="AA424" s="17">
        <v>13</v>
      </c>
      <c r="AB424" s="36">
        <f>IFERROR(AA424/$AD424,0)</f>
        <v>3.1707317073170732E-2</v>
      </c>
      <c r="AC424" s="17">
        <v>929</v>
      </c>
      <c r="AD424" s="17">
        <v>410</v>
      </c>
    </row>
    <row r="425" spans="1:30" ht="15.75" customHeight="1" x14ac:dyDescent="0.25">
      <c r="A425" s="37">
        <v>2021</v>
      </c>
      <c r="B425" s="35">
        <v>170105</v>
      </c>
      <c r="C425" s="34" t="s">
        <v>145</v>
      </c>
      <c r="D425" s="34" t="s">
        <v>11</v>
      </c>
      <c r="E425" s="17">
        <v>6</v>
      </c>
      <c r="F425" s="36">
        <f>IFERROR(E425/$AC425,0)</f>
        <v>1.8927444794952682E-2</v>
      </c>
      <c r="G425" s="17">
        <v>3</v>
      </c>
      <c r="H425" s="36">
        <f>IFERROR(G425/$AD425,0)</f>
        <v>2.564102564102564E-2</v>
      </c>
      <c r="I425" s="17">
        <v>114</v>
      </c>
      <c r="J425" s="36">
        <f>IFERROR(I425/$AC425,0)</f>
        <v>0.35962145110410093</v>
      </c>
      <c r="K425" s="17">
        <v>41</v>
      </c>
      <c r="L425" s="36">
        <f>IFERROR(K425/$AD425,0)</f>
        <v>0.3504273504273504</v>
      </c>
      <c r="M425" s="17">
        <v>120</v>
      </c>
      <c r="N425" s="36">
        <f>IFERROR(M425/$AC425,0)</f>
        <v>0.37854889589905361</v>
      </c>
      <c r="O425" s="17">
        <v>47</v>
      </c>
      <c r="P425" s="36">
        <f>IFERROR(O425/$AD425,0)</f>
        <v>0.40170940170940173</v>
      </c>
      <c r="Q425" s="17">
        <v>42</v>
      </c>
      <c r="R425" s="36">
        <f>IFERROR(Q425/$AC425,0)</f>
        <v>0.13249211356466878</v>
      </c>
      <c r="S425" s="17">
        <v>14</v>
      </c>
      <c r="T425" s="36">
        <f>IFERROR(S425/$AD425,0)</f>
        <v>0.11965811965811966</v>
      </c>
      <c r="U425" s="17">
        <v>26</v>
      </c>
      <c r="V425" s="36">
        <f>IFERROR(U425/$AC425,0)</f>
        <v>8.2018927444794956E-2</v>
      </c>
      <c r="W425" s="17">
        <v>9</v>
      </c>
      <c r="X425" s="36">
        <f>IFERROR(W425/$AD425,0)</f>
        <v>7.6923076923076927E-2</v>
      </c>
      <c r="Y425" s="17">
        <v>9</v>
      </c>
      <c r="Z425" s="36">
        <f>IFERROR(Y425/$AC425,0)</f>
        <v>2.8391167192429023E-2</v>
      </c>
      <c r="AA425" s="17">
        <v>3</v>
      </c>
      <c r="AB425" s="36">
        <f>IFERROR(AA425/$AD425,0)</f>
        <v>2.564102564102564E-2</v>
      </c>
      <c r="AC425" s="17">
        <v>317</v>
      </c>
      <c r="AD425" s="17">
        <v>117</v>
      </c>
    </row>
    <row r="426" spans="1:30" ht="15.75" customHeight="1" x14ac:dyDescent="0.25">
      <c r="A426" s="37">
        <v>2021</v>
      </c>
      <c r="B426" s="35">
        <v>170110</v>
      </c>
      <c r="C426" s="34" t="s">
        <v>148</v>
      </c>
      <c r="D426" s="34" t="s">
        <v>12</v>
      </c>
      <c r="E426" s="17">
        <v>10</v>
      </c>
      <c r="F426" s="36">
        <f>IFERROR(E426/$AC426,0)</f>
        <v>2.1834061135371178E-2</v>
      </c>
      <c r="G426" s="17">
        <v>3</v>
      </c>
      <c r="H426" s="36">
        <f>IFERROR(G426/$AD426,0)</f>
        <v>6.1224489795918366E-2</v>
      </c>
      <c r="I426" s="17">
        <v>162</v>
      </c>
      <c r="J426" s="36">
        <f>IFERROR(I426/$AC426,0)</f>
        <v>0.35371179039301309</v>
      </c>
      <c r="K426" s="17">
        <v>22</v>
      </c>
      <c r="L426" s="36">
        <f>IFERROR(K426/$AD426,0)</f>
        <v>0.44897959183673469</v>
      </c>
      <c r="M426" s="17">
        <v>137</v>
      </c>
      <c r="N426" s="36">
        <f>IFERROR(M426/$AC426,0)</f>
        <v>0.29912663755458513</v>
      </c>
      <c r="O426" s="17">
        <v>11</v>
      </c>
      <c r="P426" s="36">
        <f>IFERROR(O426/$AD426,0)</f>
        <v>0.22448979591836735</v>
      </c>
      <c r="Q426" s="17">
        <v>98</v>
      </c>
      <c r="R426" s="36">
        <f>IFERROR(Q426/$AC426,0)</f>
        <v>0.21397379912663755</v>
      </c>
      <c r="S426" s="17">
        <v>10</v>
      </c>
      <c r="T426" s="36">
        <f>IFERROR(S426/$AD426,0)</f>
        <v>0.20408163265306123</v>
      </c>
      <c r="U426" s="17">
        <v>37</v>
      </c>
      <c r="V426" s="36">
        <f>IFERROR(U426/$AC426,0)</f>
        <v>8.0786026200873357E-2</v>
      </c>
      <c r="W426" s="17">
        <v>2</v>
      </c>
      <c r="X426" s="36">
        <f>IFERROR(W426/$AD426,0)</f>
        <v>4.0816326530612242E-2</v>
      </c>
      <c r="Y426" s="17">
        <v>14</v>
      </c>
      <c r="Z426" s="36">
        <f>IFERROR(Y426/$AC426,0)</f>
        <v>3.0567685589519649E-2</v>
      </c>
      <c r="AA426" s="17">
        <v>1</v>
      </c>
      <c r="AB426" s="36">
        <f>IFERROR(AA426/$AD426,0)</f>
        <v>2.0408163265306121E-2</v>
      </c>
      <c r="AC426" s="17">
        <v>458</v>
      </c>
      <c r="AD426" s="17">
        <v>49</v>
      </c>
    </row>
    <row r="427" spans="1:30" ht="15.75" customHeight="1" x14ac:dyDescent="0.25">
      <c r="A427" s="37">
        <v>2021</v>
      </c>
      <c r="B427" s="35">
        <v>170130</v>
      </c>
      <c r="C427" s="34" t="s">
        <v>149</v>
      </c>
      <c r="D427" s="34" t="s">
        <v>13</v>
      </c>
      <c r="E427" s="17">
        <v>19</v>
      </c>
      <c r="F427" s="36">
        <f>IFERROR(E427/$AC427,0)</f>
        <v>2.464332036316472E-2</v>
      </c>
      <c r="G427" s="17">
        <v>3</v>
      </c>
      <c r="H427" s="36">
        <f>IFERROR(G427/$AD427,0)</f>
        <v>2.1276595744680851E-2</v>
      </c>
      <c r="I427" s="17">
        <v>282</v>
      </c>
      <c r="J427" s="36">
        <f>IFERROR(I427/$AC427,0)</f>
        <v>0.36575875486381321</v>
      </c>
      <c r="K427" s="17">
        <v>56</v>
      </c>
      <c r="L427" s="36">
        <f>IFERROR(K427/$AD427,0)</f>
        <v>0.3971631205673759</v>
      </c>
      <c r="M427" s="17">
        <v>259</v>
      </c>
      <c r="N427" s="36">
        <f>IFERROR(M427/$AC427,0)</f>
        <v>0.3359273670557717</v>
      </c>
      <c r="O427" s="17">
        <v>43</v>
      </c>
      <c r="P427" s="36">
        <f>IFERROR(O427/$AD427,0)</f>
        <v>0.30496453900709219</v>
      </c>
      <c r="Q427" s="17">
        <v>137</v>
      </c>
      <c r="R427" s="36">
        <f>IFERROR(Q427/$AC427,0)</f>
        <v>0.17769130998702984</v>
      </c>
      <c r="S427" s="17">
        <v>23</v>
      </c>
      <c r="T427" s="36">
        <f>IFERROR(S427/$AD427,0)</f>
        <v>0.16312056737588654</v>
      </c>
      <c r="U427" s="17">
        <v>50</v>
      </c>
      <c r="V427" s="36">
        <f>IFERROR(U427/$AC427,0)</f>
        <v>6.4850843060959798E-2</v>
      </c>
      <c r="W427" s="17">
        <v>12</v>
      </c>
      <c r="X427" s="36">
        <f>IFERROR(W427/$AD427,0)</f>
        <v>8.5106382978723402E-2</v>
      </c>
      <c r="Y427" s="17">
        <v>24</v>
      </c>
      <c r="Z427" s="36">
        <f>IFERROR(Y427/$AC427,0)</f>
        <v>3.1128404669260701E-2</v>
      </c>
      <c r="AA427" s="17">
        <v>4</v>
      </c>
      <c r="AB427" s="36">
        <f>IFERROR(AA427/$AD427,0)</f>
        <v>2.8368794326241134E-2</v>
      </c>
      <c r="AC427" s="17">
        <v>771</v>
      </c>
      <c r="AD427" s="17">
        <v>141</v>
      </c>
    </row>
    <row r="428" spans="1:30" ht="15.75" customHeight="1" x14ac:dyDescent="0.25">
      <c r="A428" s="37">
        <v>2021</v>
      </c>
      <c r="B428" s="35">
        <v>170190</v>
      </c>
      <c r="C428" s="34" t="s">
        <v>144</v>
      </c>
      <c r="D428" s="34" t="s">
        <v>14</v>
      </c>
      <c r="E428" s="17">
        <v>15</v>
      </c>
      <c r="F428" s="36">
        <f>IFERROR(E428/$AC428,0)</f>
        <v>1.6930022573363433E-2</v>
      </c>
      <c r="G428" s="17">
        <v>4</v>
      </c>
      <c r="H428" s="36">
        <f>IFERROR(G428/$AD428,0)</f>
        <v>1.7241379310344827E-2</v>
      </c>
      <c r="I428" s="17">
        <v>296</v>
      </c>
      <c r="J428" s="36">
        <f>IFERROR(I428/$AC428,0)</f>
        <v>0.3340857787810384</v>
      </c>
      <c r="K428" s="17">
        <v>73</v>
      </c>
      <c r="L428" s="36">
        <f>IFERROR(K428/$AD428,0)</f>
        <v>0.31465517241379309</v>
      </c>
      <c r="M428" s="17">
        <v>308</v>
      </c>
      <c r="N428" s="36">
        <f>IFERROR(M428/$AC428,0)</f>
        <v>0.34762979683972911</v>
      </c>
      <c r="O428" s="17">
        <v>78</v>
      </c>
      <c r="P428" s="36">
        <f>IFERROR(O428/$AD428,0)</f>
        <v>0.33620689655172414</v>
      </c>
      <c r="Q428" s="17">
        <v>170</v>
      </c>
      <c r="R428" s="36">
        <f>IFERROR(Q428/$AC428,0)</f>
        <v>0.19187358916478556</v>
      </c>
      <c r="S428" s="17">
        <v>45</v>
      </c>
      <c r="T428" s="36">
        <f>IFERROR(S428/$AD428,0)</f>
        <v>0.19396551724137931</v>
      </c>
      <c r="U428" s="17">
        <v>67</v>
      </c>
      <c r="V428" s="36">
        <f>IFERROR(U428/$AC428,0)</f>
        <v>7.5620767494356658E-2</v>
      </c>
      <c r="W428" s="17">
        <v>25</v>
      </c>
      <c r="X428" s="36">
        <f>IFERROR(W428/$AD428,0)</f>
        <v>0.10775862068965517</v>
      </c>
      <c r="Y428" s="17">
        <v>30</v>
      </c>
      <c r="Z428" s="36">
        <f>IFERROR(Y428/$AC428,0)</f>
        <v>3.3860045146726865E-2</v>
      </c>
      <c r="AA428" s="17">
        <v>7</v>
      </c>
      <c r="AB428" s="36">
        <f>IFERROR(AA428/$AD428,0)</f>
        <v>3.017241379310345E-2</v>
      </c>
      <c r="AC428" s="17">
        <v>886</v>
      </c>
      <c r="AD428" s="17">
        <v>232</v>
      </c>
    </row>
    <row r="429" spans="1:30" ht="15.75" customHeight="1" x14ac:dyDescent="0.25">
      <c r="A429" s="37">
        <v>2021</v>
      </c>
      <c r="B429" s="35">
        <v>170200</v>
      </c>
      <c r="C429" s="34" t="s">
        <v>146</v>
      </c>
      <c r="D429" s="34" t="s">
        <v>15</v>
      </c>
      <c r="E429" s="17">
        <v>38</v>
      </c>
      <c r="F429" s="36">
        <f>IFERROR(E429/$AC429,0)</f>
        <v>2.20162224797219E-2</v>
      </c>
      <c r="G429" s="17">
        <v>6</v>
      </c>
      <c r="H429" s="36">
        <f>IFERROR(G429/$AD429,0)</f>
        <v>3.0303030303030304E-2</v>
      </c>
      <c r="I429" s="17">
        <v>520</v>
      </c>
      <c r="J429" s="36">
        <f>IFERROR(I429/$AC429,0)</f>
        <v>0.30127462340672073</v>
      </c>
      <c r="K429" s="17">
        <v>64</v>
      </c>
      <c r="L429" s="36">
        <f>IFERROR(K429/$AD429,0)</f>
        <v>0.32323232323232326</v>
      </c>
      <c r="M429" s="17">
        <v>603</v>
      </c>
      <c r="N429" s="36">
        <f>IFERROR(M429/$AC429,0)</f>
        <v>0.34936268829663963</v>
      </c>
      <c r="O429" s="17">
        <v>58</v>
      </c>
      <c r="P429" s="36">
        <f>IFERROR(O429/$AD429,0)</f>
        <v>0.29292929292929293</v>
      </c>
      <c r="Q429" s="17">
        <v>368</v>
      </c>
      <c r="R429" s="36">
        <f>IFERROR(Q429/$AC429,0)</f>
        <v>0.21320973348783315</v>
      </c>
      <c r="S429" s="17">
        <v>47</v>
      </c>
      <c r="T429" s="36">
        <f>IFERROR(S429/$AD429,0)</f>
        <v>0.23737373737373738</v>
      </c>
      <c r="U429" s="17">
        <v>113</v>
      </c>
      <c r="V429" s="36">
        <f>IFERROR(U429/$AC429,0)</f>
        <v>6.5469293163383541E-2</v>
      </c>
      <c r="W429" s="17">
        <v>11</v>
      </c>
      <c r="X429" s="36">
        <f>IFERROR(W429/$AD429,0)</f>
        <v>5.5555555555555552E-2</v>
      </c>
      <c r="Y429" s="17">
        <v>84</v>
      </c>
      <c r="Z429" s="36">
        <f>IFERROR(Y429/$AC429,0)</f>
        <v>4.8667439165701043E-2</v>
      </c>
      <c r="AA429" s="17">
        <v>12</v>
      </c>
      <c r="AB429" s="36">
        <f>IFERROR(AA429/$AD429,0)</f>
        <v>6.0606060606060608E-2</v>
      </c>
      <c r="AC429" s="16">
        <v>1726</v>
      </c>
      <c r="AD429" s="17">
        <v>198</v>
      </c>
    </row>
    <row r="430" spans="1:30" ht="15.75" customHeight="1" x14ac:dyDescent="0.25">
      <c r="A430" s="37">
        <v>2021</v>
      </c>
      <c r="B430" s="35">
        <v>170210</v>
      </c>
      <c r="C430" s="34" t="s">
        <v>149</v>
      </c>
      <c r="D430" s="34" t="s">
        <v>16</v>
      </c>
      <c r="E430" s="17">
        <v>371</v>
      </c>
      <c r="F430" s="36">
        <f>IFERROR(E430/$AC430,0)</f>
        <v>2.2120200333889815E-2</v>
      </c>
      <c r="G430" s="17">
        <v>42</v>
      </c>
      <c r="H430" s="36">
        <f>IFERROR(G430/$AD430,0)</f>
        <v>1.1669908307863295E-2</v>
      </c>
      <c r="I430" s="16">
        <v>4959</v>
      </c>
      <c r="J430" s="36">
        <f>IFERROR(I430/$AC430,0)</f>
        <v>0.2956713570236108</v>
      </c>
      <c r="K430" s="17">
        <v>781</v>
      </c>
      <c r="L430" s="36">
        <f>IFERROR(K430/$AD430,0)</f>
        <v>0.21700472353431507</v>
      </c>
      <c r="M430" s="16">
        <v>6412</v>
      </c>
      <c r="N430" s="36">
        <f>IFERROR(M430/$AC430,0)</f>
        <v>0.38230383973288817</v>
      </c>
      <c r="O430" s="16">
        <v>1722</v>
      </c>
      <c r="P430" s="36">
        <f>IFERROR(O430/$AD430,0)</f>
        <v>0.47846624062239512</v>
      </c>
      <c r="Q430" s="16">
        <v>3465</v>
      </c>
      <c r="R430" s="36">
        <f>IFERROR(Q430/$AC430,0)</f>
        <v>0.20659432387312188</v>
      </c>
      <c r="S430" s="17">
        <v>844</v>
      </c>
      <c r="T430" s="36">
        <f>IFERROR(S430/$AD430,0)</f>
        <v>0.23450958599611002</v>
      </c>
      <c r="U430" s="16">
        <v>1057</v>
      </c>
      <c r="V430" s="36">
        <f>IFERROR(U430/$AC430,0)</f>
        <v>6.3021702838063437E-2</v>
      </c>
      <c r="W430" s="17">
        <v>142</v>
      </c>
      <c r="X430" s="36">
        <f>IFERROR(W430/$AD430,0)</f>
        <v>3.9455404278966377E-2</v>
      </c>
      <c r="Y430" s="17">
        <v>508</v>
      </c>
      <c r="Z430" s="36">
        <f>IFERROR(Y430/$AC430,0)</f>
        <v>3.0288576198425947E-2</v>
      </c>
      <c r="AA430" s="17">
        <v>68</v>
      </c>
      <c r="AB430" s="36">
        <f>IFERROR(AA430/$AD430,0)</f>
        <v>1.8894137260350097E-2</v>
      </c>
      <c r="AC430" s="16">
        <v>16772</v>
      </c>
      <c r="AD430" s="16">
        <v>3599</v>
      </c>
    </row>
    <row r="431" spans="1:30" ht="15.75" customHeight="1" x14ac:dyDescent="0.25">
      <c r="A431" s="37">
        <v>2021</v>
      </c>
      <c r="B431" s="35">
        <v>170215</v>
      </c>
      <c r="C431" s="34" t="s">
        <v>149</v>
      </c>
      <c r="D431" s="34" t="s">
        <v>17</v>
      </c>
      <c r="E431" s="17">
        <v>25</v>
      </c>
      <c r="F431" s="36">
        <f>IFERROR(E431/$AC431,0)</f>
        <v>3.048780487804878E-2</v>
      </c>
      <c r="G431" s="17">
        <v>6</v>
      </c>
      <c r="H431" s="36">
        <f>IFERROR(G431/$AD431,0)</f>
        <v>4.2553191489361701E-2</v>
      </c>
      <c r="I431" s="17">
        <v>280</v>
      </c>
      <c r="J431" s="36">
        <f>IFERROR(I431/$AC431,0)</f>
        <v>0.34146341463414637</v>
      </c>
      <c r="K431" s="17">
        <v>61</v>
      </c>
      <c r="L431" s="36">
        <f>IFERROR(K431/$AD431,0)</f>
        <v>0.43262411347517732</v>
      </c>
      <c r="M431" s="17">
        <v>277</v>
      </c>
      <c r="N431" s="36">
        <f>IFERROR(M431/$AC431,0)</f>
        <v>0.33780487804878051</v>
      </c>
      <c r="O431" s="17">
        <v>34</v>
      </c>
      <c r="P431" s="36">
        <f>IFERROR(O431/$AD431,0)</f>
        <v>0.24113475177304963</v>
      </c>
      <c r="Q431" s="17">
        <v>146</v>
      </c>
      <c r="R431" s="36">
        <f>IFERROR(Q431/$AC431,0)</f>
        <v>0.17804878048780487</v>
      </c>
      <c r="S431" s="17">
        <v>25</v>
      </c>
      <c r="T431" s="36">
        <f>IFERROR(S431/$AD431,0)</f>
        <v>0.1773049645390071</v>
      </c>
      <c r="U431" s="17">
        <v>58</v>
      </c>
      <c r="V431" s="36">
        <f>IFERROR(U431/$AC431,0)</f>
        <v>7.0731707317073164E-2</v>
      </c>
      <c r="W431" s="17">
        <v>9</v>
      </c>
      <c r="X431" s="36">
        <f>IFERROR(W431/$AD431,0)</f>
        <v>6.3829787234042548E-2</v>
      </c>
      <c r="Y431" s="17">
        <v>34</v>
      </c>
      <c r="Z431" s="36">
        <f>IFERROR(Y431/$AC431,0)</f>
        <v>4.1463414634146344E-2</v>
      </c>
      <c r="AA431" s="17">
        <v>6</v>
      </c>
      <c r="AB431" s="36">
        <f>IFERROR(AA431/$AD431,0)</f>
        <v>4.2553191489361701E-2</v>
      </c>
      <c r="AC431" s="17">
        <v>820</v>
      </c>
      <c r="AD431" s="17">
        <v>141</v>
      </c>
    </row>
    <row r="432" spans="1:30" ht="15.75" customHeight="1" x14ac:dyDescent="0.25">
      <c r="A432" s="37">
        <v>2021</v>
      </c>
      <c r="B432" s="35">
        <v>170220</v>
      </c>
      <c r="C432" s="34" t="s">
        <v>145</v>
      </c>
      <c r="D432" s="34" t="s">
        <v>18</v>
      </c>
      <c r="E432" s="17">
        <v>149</v>
      </c>
      <c r="F432" s="36">
        <f>IFERROR(E432/$AC432,0)</f>
        <v>3.0564102564102563E-2</v>
      </c>
      <c r="G432" s="17">
        <v>56</v>
      </c>
      <c r="H432" s="36">
        <f>IFERROR(G432/$AD432,0)</f>
        <v>4.220045214770158E-2</v>
      </c>
      <c r="I432" s="16">
        <v>1905</v>
      </c>
      <c r="J432" s="36">
        <f>IFERROR(I432/$AC432,0)</f>
        <v>0.39076923076923076</v>
      </c>
      <c r="K432" s="17">
        <v>544</v>
      </c>
      <c r="L432" s="36">
        <f>IFERROR(K432/$AD432,0)</f>
        <v>0.40994724943481536</v>
      </c>
      <c r="M432" s="16">
        <v>1738</v>
      </c>
      <c r="N432" s="36">
        <f>IFERROR(M432/$AC432,0)</f>
        <v>0.35651282051282052</v>
      </c>
      <c r="O432" s="17">
        <v>442</v>
      </c>
      <c r="P432" s="36">
        <f>IFERROR(O432/$AD432,0)</f>
        <v>0.33308214016578747</v>
      </c>
      <c r="Q432" s="17">
        <v>768</v>
      </c>
      <c r="R432" s="36">
        <f>IFERROR(Q432/$AC432,0)</f>
        <v>0.15753846153846154</v>
      </c>
      <c r="S432" s="17">
        <v>207</v>
      </c>
      <c r="T432" s="36">
        <f>IFERROR(S432/$AD432,0)</f>
        <v>0.15599095704596835</v>
      </c>
      <c r="U432" s="17">
        <v>227</v>
      </c>
      <c r="V432" s="36">
        <f>IFERROR(U432/$AC432,0)</f>
        <v>4.6564102564102566E-2</v>
      </c>
      <c r="W432" s="17">
        <v>62</v>
      </c>
      <c r="X432" s="36">
        <f>IFERROR(W432/$AD432,0)</f>
        <v>4.672192916352675E-2</v>
      </c>
      <c r="Y432" s="17">
        <v>88</v>
      </c>
      <c r="Z432" s="36">
        <f>IFERROR(Y432/$AC432,0)</f>
        <v>1.805128205128205E-2</v>
      </c>
      <c r="AA432" s="17">
        <v>16</v>
      </c>
      <c r="AB432" s="36">
        <f>IFERROR(AA432/$AD432,0)</f>
        <v>1.2057272042200452E-2</v>
      </c>
      <c r="AC432" s="16">
        <v>4875</v>
      </c>
      <c r="AD432" s="16">
        <v>1327</v>
      </c>
    </row>
    <row r="433" spans="1:30" ht="15.75" customHeight="1" x14ac:dyDescent="0.25">
      <c r="A433" s="37">
        <v>2021</v>
      </c>
      <c r="B433" s="35">
        <v>170230</v>
      </c>
      <c r="C433" s="34" t="s">
        <v>150</v>
      </c>
      <c r="D433" s="34" t="s">
        <v>19</v>
      </c>
      <c r="E433" s="17">
        <v>9</v>
      </c>
      <c r="F433" s="36">
        <f>IFERROR(E433/$AC433,0)</f>
        <v>2.6548672566371681E-2</v>
      </c>
      <c r="G433" s="17">
        <v>4</v>
      </c>
      <c r="H433" s="36">
        <f>IFERROR(G433/$AD433,0)</f>
        <v>1.834862385321101E-2</v>
      </c>
      <c r="I433" s="17">
        <v>108</v>
      </c>
      <c r="J433" s="36">
        <f>IFERROR(I433/$AC433,0)</f>
        <v>0.31858407079646017</v>
      </c>
      <c r="K433" s="17">
        <v>84</v>
      </c>
      <c r="L433" s="36">
        <f>IFERROR(K433/$AD433,0)</f>
        <v>0.38532110091743121</v>
      </c>
      <c r="M433" s="17">
        <v>110</v>
      </c>
      <c r="N433" s="36">
        <f>IFERROR(M433/$AC433,0)</f>
        <v>0.32448377581120946</v>
      </c>
      <c r="O433" s="17">
        <v>68</v>
      </c>
      <c r="P433" s="36">
        <f>IFERROR(O433/$AD433,0)</f>
        <v>0.31192660550458717</v>
      </c>
      <c r="Q433" s="17">
        <v>57</v>
      </c>
      <c r="R433" s="36">
        <f>IFERROR(Q433/$AC433,0)</f>
        <v>0.16814159292035399</v>
      </c>
      <c r="S433" s="17">
        <v>32</v>
      </c>
      <c r="T433" s="36">
        <f>IFERROR(S433/$AD433,0)</f>
        <v>0.14678899082568808</v>
      </c>
      <c r="U433" s="17">
        <v>38</v>
      </c>
      <c r="V433" s="36">
        <f>IFERROR(U433/$AC433,0)</f>
        <v>0.11209439528023599</v>
      </c>
      <c r="W433" s="17">
        <v>22</v>
      </c>
      <c r="X433" s="36">
        <f>IFERROR(W433/$AD433,0)</f>
        <v>0.10091743119266056</v>
      </c>
      <c r="Y433" s="17">
        <v>17</v>
      </c>
      <c r="Z433" s="36">
        <f>IFERROR(Y433/$AC433,0)</f>
        <v>5.0147492625368731E-2</v>
      </c>
      <c r="AA433" s="17">
        <v>8</v>
      </c>
      <c r="AB433" s="36">
        <f>IFERROR(AA433/$AD433,0)</f>
        <v>3.669724770642202E-2</v>
      </c>
      <c r="AC433" s="17">
        <v>339</v>
      </c>
      <c r="AD433" s="17">
        <v>218</v>
      </c>
    </row>
    <row r="434" spans="1:30" ht="15.75" customHeight="1" x14ac:dyDescent="0.25">
      <c r="A434" s="37">
        <v>2021</v>
      </c>
      <c r="B434" s="35">
        <v>170240</v>
      </c>
      <c r="C434" s="34" t="s">
        <v>147</v>
      </c>
      <c r="D434" s="34" t="s">
        <v>20</v>
      </c>
      <c r="E434" s="17">
        <v>12</v>
      </c>
      <c r="F434" s="36">
        <f>IFERROR(E434/$AC434,0)</f>
        <v>1.721664275466284E-2</v>
      </c>
      <c r="G434" s="17">
        <v>4</v>
      </c>
      <c r="H434" s="36">
        <f>IFERROR(G434/$AD434,0)</f>
        <v>4.1237113402061855E-2</v>
      </c>
      <c r="I434" s="17">
        <v>240</v>
      </c>
      <c r="J434" s="36">
        <f>IFERROR(I434/$AC434,0)</f>
        <v>0.34433285509325684</v>
      </c>
      <c r="K434" s="17">
        <v>28</v>
      </c>
      <c r="L434" s="36">
        <f>IFERROR(K434/$AD434,0)</f>
        <v>0.28865979381443296</v>
      </c>
      <c r="M434" s="17">
        <v>274</v>
      </c>
      <c r="N434" s="36">
        <f>IFERROR(M434/$AC434,0)</f>
        <v>0.39311334289813488</v>
      </c>
      <c r="O434" s="17">
        <v>41</v>
      </c>
      <c r="P434" s="36">
        <f>IFERROR(O434/$AD434,0)</f>
        <v>0.42268041237113402</v>
      </c>
      <c r="Q434" s="17">
        <v>121</v>
      </c>
      <c r="R434" s="36">
        <f>IFERROR(Q434/$AC434,0)</f>
        <v>0.17360114777618366</v>
      </c>
      <c r="S434" s="17">
        <v>20</v>
      </c>
      <c r="T434" s="36">
        <f>IFERROR(S434/$AD434,0)</f>
        <v>0.20618556701030927</v>
      </c>
      <c r="U434" s="17">
        <v>35</v>
      </c>
      <c r="V434" s="36">
        <f>IFERROR(U434/$AC434,0)</f>
        <v>5.0215208034433287E-2</v>
      </c>
      <c r="W434" s="17">
        <v>3</v>
      </c>
      <c r="X434" s="36">
        <f>IFERROR(W434/$AD434,0)</f>
        <v>3.0927835051546393E-2</v>
      </c>
      <c r="Y434" s="17">
        <v>15</v>
      </c>
      <c r="Z434" s="36">
        <f>IFERROR(Y434/$AC434,0)</f>
        <v>2.1520803443328552E-2</v>
      </c>
      <c r="AA434" s="17">
        <v>1</v>
      </c>
      <c r="AB434" s="36">
        <f>IFERROR(AA434/$AD434,0)</f>
        <v>1.0309278350515464E-2</v>
      </c>
      <c r="AC434" s="17">
        <v>697</v>
      </c>
      <c r="AD434" s="17">
        <v>97</v>
      </c>
    </row>
    <row r="435" spans="1:30" ht="15.75" customHeight="1" x14ac:dyDescent="0.25">
      <c r="A435" s="37">
        <v>2021</v>
      </c>
      <c r="B435" s="35">
        <v>170255</v>
      </c>
      <c r="C435" s="34" t="s">
        <v>145</v>
      </c>
      <c r="D435" s="34" t="s">
        <v>21</v>
      </c>
      <c r="E435" s="17">
        <v>62</v>
      </c>
      <c r="F435" s="36">
        <f>IFERROR(E435/$AC435,0)</f>
        <v>2.570480928689884E-2</v>
      </c>
      <c r="G435" s="17">
        <v>15</v>
      </c>
      <c r="H435" s="36">
        <f>IFERROR(G435/$AD435,0)</f>
        <v>3.6945812807881777E-2</v>
      </c>
      <c r="I435" s="17">
        <v>895</v>
      </c>
      <c r="J435" s="36">
        <f>IFERROR(I435/$AC435,0)</f>
        <v>0.37106135986733002</v>
      </c>
      <c r="K435" s="17">
        <v>168</v>
      </c>
      <c r="L435" s="36">
        <f>IFERROR(K435/$AD435,0)</f>
        <v>0.41379310344827586</v>
      </c>
      <c r="M435" s="17">
        <v>873</v>
      </c>
      <c r="N435" s="36">
        <f>IFERROR(M435/$AC435,0)</f>
        <v>0.36194029850746268</v>
      </c>
      <c r="O435" s="17">
        <v>134</v>
      </c>
      <c r="P435" s="36">
        <f>IFERROR(O435/$AD435,0)</f>
        <v>0.33004926108374383</v>
      </c>
      <c r="Q435" s="17">
        <v>392</v>
      </c>
      <c r="R435" s="36">
        <f>IFERROR(Q435/$AC435,0)</f>
        <v>0.1625207296849088</v>
      </c>
      <c r="S435" s="17">
        <v>64</v>
      </c>
      <c r="T435" s="36">
        <f>IFERROR(S435/$AD435,0)</f>
        <v>0.15763546798029557</v>
      </c>
      <c r="U435" s="17">
        <v>136</v>
      </c>
      <c r="V435" s="36">
        <f>IFERROR(U435/$AC435,0)</f>
        <v>5.6384742951907131E-2</v>
      </c>
      <c r="W435" s="17">
        <v>18</v>
      </c>
      <c r="X435" s="36">
        <f>IFERROR(W435/$AD435,0)</f>
        <v>4.4334975369458129E-2</v>
      </c>
      <c r="Y435" s="17">
        <v>54</v>
      </c>
      <c r="Z435" s="36">
        <f>IFERROR(Y435/$AC435,0)</f>
        <v>2.2388059701492536E-2</v>
      </c>
      <c r="AA435" s="17">
        <v>7</v>
      </c>
      <c r="AB435" s="36">
        <f>IFERROR(AA435/$AD435,0)</f>
        <v>1.7241379310344827E-2</v>
      </c>
      <c r="AC435" s="16">
        <v>2412</v>
      </c>
      <c r="AD435" s="17">
        <v>406</v>
      </c>
    </row>
    <row r="436" spans="1:30" ht="15.75" customHeight="1" x14ac:dyDescent="0.25">
      <c r="A436" s="37">
        <v>2021</v>
      </c>
      <c r="B436" s="35">
        <v>170270</v>
      </c>
      <c r="C436" s="34" t="s">
        <v>147</v>
      </c>
      <c r="D436" s="34" t="s">
        <v>22</v>
      </c>
      <c r="E436" s="17">
        <v>8</v>
      </c>
      <c r="F436" s="36">
        <f>IFERROR(E436/$AC436,0)</f>
        <v>3.3898305084745763E-2</v>
      </c>
      <c r="G436" s="17">
        <v>7</v>
      </c>
      <c r="H436" s="36">
        <f>IFERROR(G436/$AD436,0)</f>
        <v>3.2863849765258218E-2</v>
      </c>
      <c r="I436" s="17">
        <v>75</v>
      </c>
      <c r="J436" s="36">
        <f>IFERROR(I436/$AC436,0)</f>
        <v>0.31779661016949151</v>
      </c>
      <c r="K436" s="17">
        <v>69</v>
      </c>
      <c r="L436" s="36">
        <f>IFERROR(K436/$AD436,0)</f>
        <v>0.323943661971831</v>
      </c>
      <c r="M436" s="17">
        <v>94</v>
      </c>
      <c r="N436" s="36">
        <f>IFERROR(M436/$AC436,0)</f>
        <v>0.39830508474576271</v>
      </c>
      <c r="O436" s="17">
        <v>87</v>
      </c>
      <c r="P436" s="36">
        <f>IFERROR(O436/$AD436,0)</f>
        <v>0.40845070422535212</v>
      </c>
      <c r="Q436" s="17">
        <v>35</v>
      </c>
      <c r="R436" s="36">
        <f>IFERROR(Q436/$AC436,0)</f>
        <v>0.14830508474576271</v>
      </c>
      <c r="S436" s="17">
        <v>30</v>
      </c>
      <c r="T436" s="36">
        <f>IFERROR(S436/$AD436,0)</f>
        <v>0.14084507042253522</v>
      </c>
      <c r="U436" s="17">
        <v>17</v>
      </c>
      <c r="V436" s="36">
        <f>IFERROR(U436/$AC436,0)</f>
        <v>7.2033898305084748E-2</v>
      </c>
      <c r="W436" s="17">
        <v>15</v>
      </c>
      <c r="X436" s="36">
        <f>IFERROR(W436/$AD436,0)</f>
        <v>7.0422535211267609E-2</v>
      </c>
      <c r="Y436" s="17">
        <v>7</v>
      </c>
      <c r="Z436" s="36">
        <f>IFERROR(Y436/$AC436,0)</f>
        <v>2.9661016949152543E-2</v>
      </c>
      <c r="AA436" s="17">
        <v>5</v>
      </c>
      <c r="AB436" s="36">
        <f>IFERROR(AA436/$AD436,0)</f>
        <v>2.3474178403755867E-2</v>
      </c>
      <c r="AC436" s="17">
        <v>236</v>
      </c>
      <c r="AD436" s="17">
        <v>213</v>
      </c>
    </row>
    <row r="437" spans="1:30" ht="15.75" customHeight="1" x14ac:dyDescent="0.25">
      <c r="A437" s="37">
        <v>2021</v>
      </c>
      <c r="B437" s="35">
        <v>170290</v>
      </c>
      <c r="C437" s="34" t="s">
        <v>145</v>
      </c>
      <c r="D437" s="34" t="s">
        <v>23</v>
      </c>
      <c r="E437" s="17">
        <v>37</v>
      </c>
      <c r="F437" s="36">
        <f>IFERROR(E437/$AC437,0)</f>
        <v>3.2570422535211266E-2</v>
      </c>
      <c r="G437" s="17">
        <v>26</v>
      </c>
      <c r="H437" s="36">
        <f>IFERROR(G437/$AD437,0)</f>
        <v>3.8011695906432746E-2</v>
      </c>
      <c r="I437" s="17">
        <v>428</v>
      </c>
      <c r="J437" s="36">
        <f>IFERROR(I437/$AC437,0)</f>
        <v>0.37676056338028169</v>
      </c>
      <c r="K437" s="17">
        <v>269</v>
      </c>
      <c r="L437" s="36">
        <f>IFERROR(K437/$AD437,0)</f>
        <v>0.39327485380116961</v>
      </c>
      <c r="M437" s="17">
        <v>379</v>
      </c>
      <c r="N437" s="36">
        <f>IFERROR(M437/$AC437,0)</f>
        <v>0.33362676056338031</v>
      </c>
      <c r="O437" s="17">
        <v>230</v>
      </c>
      <c r="P437" s="36">
        <f>IFERROR(O437/$AD437,0)</f>
        <v>0.33625730994152048</v>
      </c>
      <c r="Q437" s="17">
        <v>177</v>
      </c>
      <c r="R437" s="36">
        <f>IFERROR(Q437/$AC437,0)</f>
        <v>0.15580985915492956</v>
      </c>
      <c r="S437" s="17">
        <v>90</v>
      </c>
      <c r="T437" s="36">
        <f>IFERROR(S437/$AD437,0)</f>
        <v>0.13157894736842105</v>
      </c>
      <c r="U437" s="17">
        <v>82</v>
      </c>
      <c r="V437" s="36">
        <f>IFERROR(U437/$AC437,0)</f>
        <v>7.2183098591549297E-2</v>
      </c>
      <c r="W437" s="17">
        <v>48</v>
      </c>
      <c r="X437" s="36">
        <f>IFERROR(W437/$AD437,0)</f>
        <v>7.0175438596491224E-2</v>
      </c>
      <c r="Y437" s="17">
        <v>33</v>
      </c>
      <c r="Z437" s="36">
        <f>IFERROR(Y437/$AC437,0)</f>
        <v>2.9049295774647887E-2</v>
      </c>
      <c r="AA437" s="17">
        <v>21</v>
      </c>
      <c r="AB437" s="36">
        <f>IFERROR(AA437/$AD437,0)</f>
        <v>3.0701754385964911E-2</v>
      </c>
      <c r="AC437" s="16">
        <v>1136</v>
      </c>
      <c r="AD437" s="17">
        <v>684</v>
      </c>
    </row>
    <row r="438" spans="1:30" ht="15.75" customHeight="1" x14ac:dyDescent="0.25">
      <c r="A438" s="37">
        <v>2021</v>
      </c>
      <c r="B438" s="35">
        <v>170300</v>
      </c>
      <c r="C438" s="34" t="s">
        <v>149</v>
      </c>
      <c r="D438" s="34" t="s">
        <v>24</v>
      </c>
      <c r="E438" s="17">
        <v>21</v>
      </c>
      <c r="F438" s="36">
        <f>IFERROR(E438/$AC438,0)</f>
        <v>2.4221453287197232E-2</v>
      </c>
      <c r="G438" s="17">
        <v>11</v>
      </c>
      <c r="H438" s="36">
        <f>IFERROR(G438/$AD438,0)</f>
        <v>3.9145907473309607E-2</v>
      </c>
      <c r="I438" s="17">
        <v>308</v>
      </c>
      <c r="J438" s="36">
        <f>IFERROR(I438/$AC438,0)</f>
        <v>0.35524798154555942</v>
      </c>
      <c r="K438" s="17">
        <v>118</v>
      </c>
      <c r="L438" s="36">
        <f>IFERROR(K438/$AD438,0)</f>
        <v>0.41992882562277578</v>
      </c>
      <c r="M438" s="17">
        <v>301</v>
      </c>
      <c r="N438" s="36">
        <f>IFERROR(M438/$AC438,0)</f>
        <v>0.34717416378316035</v>
      </c>
      <c r="O438" s="17">
        <v>90</v>
      </c>
      <c r="P438" s="36">
        <f>IFERROR(O438/$AD438,0)</f>
        <v>0.32028469750889682</v>
      </c>
      <c r="Q438" s="17">
        <v>170</v>
      </c>
      <c r="R438" s="36">
        <f>IFERROR(Q438/$AC438,0)</f>
        <v>0.19607843137254902</v>
      </c>
      <c r="S438" s="17">
        <v>42</v>
      </c>
      <c r="T438" s="36">
        <f>IFERROR(S438/$AD438,0)</f>
        <v>0.1494661921708185</v>
      </c>
      <c r="U438" s="17">
        <v>42</v>
      </c>
      <c r="V438" s="36">
        <f>IFERROR(U438/$AC438,0)</f>
        <v>4.8442906574394463E-2</v>
      </c>
      <c r="W438" s="17">
        <v>12</v>
      </c>
      <c r="X438" s="36">
        <f>IFERROR(W438/$AD438,0)</f>
        <v>4.2704626334519574E-2</v>
      </c>
      <c r="Y438" s="17">
        <v>25</v>
      </c>
      <c r="Z438" s="36">
        <f>IFERROR(Y438/$AC438,0)</f>
        <v>2.8835063437139562E-2</v>
      </c>
      <c r="AA438" s="17">
        <v>8</v>
      </c>
      <c r="AB438" s="36">
        <f>IFERROR(AA438/$AD438,0)</f>
        <v>2.8469750889679714E-2</v>
      </c>
      <c r="AC438" s="17">
        <v>867</v>
      </c>
      <c r="AD438" s="17">
        <v>281</v>
      </c>
    </row>
    <row r="439" spans="1:30" ht="15.75" customHeight="1" x14ac:dyDescent="0.25">
      <c r="A439" s="37">
        <v>2021</v>
      </c>
      <c r="B439" s="35">
        <v>170305</v>
      </c>
      <c r="C439" s="34" t="s">
        <v>150</v>
      </c>
      <c r="D439" s="34" t="s">
        <v>25</v>
      </c>
      <c r="E439" s="17">
        <v>4</v>
      </c>
      <c r="F439" s="36">
        <f>IFERROR(E439/$AC439,0)</f>
        <v>2.9197080291970802E-2</v>
      </c>
      <c r="G439" s="17">
        <v>3</v>
      </c>
      <c r="H439" s="36">
        <f>IFERROR(G439/$AD439,0)</f>
        <v>4.1666666666666664E-2</v>
      </c>
      <c r="I439" s="17">
        <v>29</v>
      </c>
      <c r="J439" s="36">
        <f>IFERROR(I439/$AC439,0)</f>
        <v>0.21167883211678831</v>
      </c>
      <c r="K439" s="17">
        <v>18</v>
      </c>
      <c r="L439" s="36">
        <f>IFERROR(K439/$AD439,0)</f>
        <v>0.25</v>
      </c>
      <c r="M439" s="17">
        <v>53</v>
      </c>
      <c r="N439" s="36">
        <f>IFERROR(M439/$AC439,0)</f>
        <v>0.38686131386861317</v>
      </c>
      <c r="O439" s="17">
        <v>30</v>
      </c>
      <c r="P439" s="36">
        <f>IFERROR(O439/$AD439,0)</f>
        <v>0.41666666666666669</v>
      </c>
      <c r="Q439" s="17">
        <v>29</v>
      </c>
      <c r="R439" s="36">
        <f>IFERROR(Q439/$AC439,0)</f>
        <v>0.21167883211678831</v>
      </c>
      <c r="S439" s="17">
        <v>11</v>
      </c>
      <c r="T439" s="36">
        <f>IFERROR(S439/$AD439,0)</f>
        <v>0.15277777777777779</v>
      </c>
      <c r="U439" s="17">
        <v>16</v>
      </c>
      <c r="V439" s="36">
        <f>IFERROR(U439/$AC439,0)</f>
        <v>0.11678832116788321</v>
      </c>
      <c r="W439" s="17">
        <v>8</v>
      </c>
      <c r="X439" s="36">
        <f>IFERROR(W439/$AD439,0)</f>
        <v>0.1111111111111111</v>
      </c>
      <c r="Y439" s="17">
        <v>6</v>
      </c>
      <c r="Z439" s="36">
        <f>IFERROR(Y439/$AC439,0)</f>
        <v>4.3795620437956206E-2</v>
      </c>
      <c r="AA439" s="17">
        <v>2</v>
      </c>
      <c r="AB439" s="36">
        <f>IFERROR(AA439/$AD439,0)</f>
        <v>2.7777777777777776E-2</v>
      </c>
      <c r="AC439" s="17">
        <v>137</v>
      </c>
      <c r="AD439" s="17">
        <v>72</v>
      </c>
    </row>
    <row r="440" spans="1:30" ht="15.75" customHeight="1" x14ac:dyDescent="0.25">
      <c r="A440" s="37">
        <v>2021</v>
      </c>
      <c r="B440" s="35">
        <v>170307</v>
      </c>
      <c r="C440" s="34" t="s">
        <v>149</v>
      </c>
      <c r="D440" s="34" t="s">
        <v>26</v>
      </c>
      <c r="E440" s="17">
        <v>10</v>
      </c>
      <c r="F440" s="36">
        <f>IFERROR(E440/$AC440,0)</f>
        <v>1.3089005235602094E-2</v>
      </c>
      <c r="G440" s="17">
        <v>6</v>
      </c>
      <c r="H440" s="36">
        <f>IFERROR(G440/$AD440,0)</f>
        <v>2.4896265560165973E-2</v>
      </c>
      <c r="I440" s="17">
        <v>241</v>
      </c>
      <c r="J440" s="36">
        <f>IFERROR(I440/$AC440,0)</f>
        <v>0.31544502617801046</v>
      </c>
      <c r="K440" s="17">
        <v>83</v>
      </c>
      <c r="L440" s="36">
        <f>IFERROR(K440/$AD440,0)</f>
        <v>0.34439834024896265</v>
      </c>
      <c r="M440" s="17">
        <v>293</v>
      </c>
      <c r="N440" s="36">
        <f>IFERROR(M440/$AC440,0)</f>
        <v>0.38350785340314136</v>
      </c>
      <c r="O440" s="17">
        <v>84</v>
      </c>
      <c r="P440" s="36">
        <f>IFERROR(O440/$AD440,0)</f>
        <v>0.34854771784232363</v>
      </c>
      <c r="Q440" s="17">
        <v>140</v>
      </c>
      <c r="R440" s="36">
        <f>IFERROR(Q440/$AC440,0)</f>
        <v>0.18324607329842932</v>
      </c>
      <c r="S440" s="17">
        <v>40</v>
      </c>
      <c r="T440" s="36">
        <f>IFERROR(S440/$AD440,0)</f>
        <v>0.16597510373443983</v>
      </c>
      <c r="U440" s="17">
        <v>51</v>
      </c>
      <c r="V440" s="36">
        <f>IFERROR(U440/$AC440,0)</f>
        <v>6.6753926701570682E-2</v>
      </c>
      <c r="W440" s="17">
        <v>20</v>
      </c>
      <c r="X440" s="36">
        <f>IFERROR(W440/$AD440,0)</f>
        <v>8.2987551867219914E-2</v>
      </c>
      <c r="Y440" s="17">
        <v>29</v>
      </c>
      <c r="Z440" s="36">
        <f>IFERROR(Y440/$AC440,0)</f>
        <v>3.7958115183246072E-2</v>
      </c>
      <c r="AA440" s="17">
        <v>8</v>
      </c>
      <c r="AB440" s="36">
        <f>IFERROR(AA440/$AD440,0)</f>
        <v>3.3195020746887967E-2</v>
      </c>
      <c r="AC440" s="17">
        <v>764</v>
      </c>
      <c r="AD440" s="17">
        <v>241</v>
      </c>
    </row>
    <row r="441" spans="1:30" ht="15.75" customHeight="1" x14ac:dyDescent="0.25">
      <c r="A441" s="37">
        <v>2021</v>
      </c>
      <c r="B441" s="35">
        <v>170310</v>
      </c>
      <c r="C441" s="34" t="s">
        <v>144</v>
      </c>
      <c r="D441" s="34" t="s">
        <v>27</v>
      </c>
      <c r="E441" s="17">
        <v>7</v>
      </c>
      <c r="F441" s="36">
        <f>IFERROR(E441/$AC441,0)</f>
        <v>2.5830258302583026E-2</v>
      </c>
      <c r="G441" s="17">
        <v>2</v>
      </c>
      <c r="H441" s="36">
        <f>IFERROR(G441/$AD441,0)</f>
        <v>6.6666666666666666E-2</v>
      </c>
      <c r="I441" s="17">
        <v>70</v>
      </c>
      <c r="J441" s="36">
        <f>IFERROR(I441/$AC441,0)</f>
        <v>0.25830258302583026</v>
      </c>
      <c r="K441" s="17">
        <v>10</v>
      </c>
      <c r="L441" s="36">
        <f>IFERROR(K441/$AD441,0)</f>
        <v>0.33333333333333331</v>
      </c>
      <c r="M441" s="17">
        <v>100</v>
      </c>
      <c r="N441" s="36">
        <f>IFERROR(M441/$AC441,0)</f>
        <v>0.36900369003690037</v>
      </c>
      <c r="O441" s="17">
        <v>9</v>
      </c>
      <c r="P441" s="36">
        <f>IFERROR(O441/$AD441,0)</f>
        <v>0.3</v>
      </c>
      <c r="Q441" s="17">
        <v>56</v>
      </c>
      <c r="R441" s="36">
        <f>IFERROR(Q441/$AC441,0)</f>
        <v>0.20664206642066421</v>
      </c>
      <c r="S441" s="17">
        <v>4</v>
      </c>
      <c r="T441" s="36">
        <f>IFERROR(S441/$AD441,0)</f>
        <v>0.13333333333333333</v>
      </c>
      <c r="U441" s="17">
        <v>27</v>
      </c>
      <c r="V441" s="36">
        <f>IFERROR(U441/$AC441,0)</f>
        <v>9.9630996309963096E-2</v>
      </c>
      <c r="W441" s="17">
        <v>2</v>
      </c>
      <c r="X441" s="36">
        <f>IFERROR(W441/$AD441,0)</f>
        <v>6.6666666666666666E-2</v>
      </c>
      <c r="Y441" s="17">
        <v>11</v>
      </c>
      <c r="Z441" s="36">
        <f>IFERROR(Y441/$AC441,0)</f>
        <v>4.0590405904059039E-2</v>
      </c>
      <c r="AA441" s="17">
        <v>3</v>
      </c>
      <c r="AB441" s="36">
        <f>IFERROR(AA441/$AD441,0)</f>
        <v>0.1</v>
      </c>
      <c r="AC441" s="17">
        <v>271</v>
      </c>
      <c r="AD441" s="17">
        <v>30</v>
      </c>
    </row>
    <row r="442" spans="1:30" ht="15.75" customHeight="1" x14ac:dyDescent="0.25">
      <c r="A442" s="37">
        <v>2021</v>
      </c>
      <c r="B442" s="35">
        <v>170320</v>
      </c>
      <c r="C442" s="34" t="s">
        <v>150</v>
      </c>
      <c r="D442" s="34" t="s">
        <v>28</v>
      </c>
      <c r="E442" s="17">
        <v>5</v>
      </c>
      <c r="F442" s="36">
        <f>IFERROR(E442/$AC442,0)</f>
        <v>2.2123893805309734E-2</v>
      </c>
      <c r="G442" s="17">
        <v>4</v>
      </c>
      <c r="H442" s="36">
        <f>IFERROR(G442/$AD442,0)</f>
        <v>2.6666666666666668E-2</v>
      </c>
      <c r="I442" s="17">
        <v>56</v>
      </c>
      <c r="J442" s="36">
        <f>IFERROR(I442/$AC442,0)</f>
        <v>0.24778761061946902</v>
      </c>
      <c r="K442" s="17">
        <v>49</v>
      </c>
      <c r="L442" s="36">
        <f>IFERROR(K442/$AD442,0)</f>
        <v>0.32666666666666666</v>
      </c>
      <c r="M442" s="17">
        <v>68</v>
      </c>
      <c r="N442" s="36">
        <f>IFERROR(M442/$AC442,0)</f>
        <v>0.30088495575221241</v>
      </c>
      <c r="O442" s="17">
        <v>52</v>
      </c>
      <c r="P442" s="36">
        <f>IFERROR(O442/$AD442,0)</f>
        <v>0.34666666666666668</v>
      </c>
      <c r="Q442" s="17">
        <v>41</v>
      </c>
      <c r="R442" s="36">
        <f>IFERROR(Q442/$AC442,0)</f>
        <v>0.18141592920353983</v>
      </c>
      <c r="S442" s="17">
        <v>26</v>
      </c>
      <c r="T442" s="36">
        <f>IFERROR(S442/$AD442,0)</f>
        <v>0.17333333333333334</v>
      </c>
      <c r="U442" s="17">
        <v>24</v>
      </c>
      <c r="V442" s="36">
        <f>IFERROR(U442/$AC442,0)</f>
        <v>0.10619469026548672</v>
      </c>
      <c r="W442" s="17">
        <v>13</v>
      </c>
      <c r="X442" s="36">
        <f>IFERROR(W442/$AD442,0)</f>
        <v>8.666666666666667E-2</v>
      </c>
      <c r="Y442" s="17">
        <v>32</v>
      </c>
      <c r="Z442" s="36">
        <f>IFERROR(Y442/$AC442,0)</f>
        <v>0.1415929203539823</v>
      </c>
      <c r="AA442" s="17">
        <v>6</v>
      </c>
      <c r="AB442" s="36">
        <f>IFERROR(AA442/$AD442,0)</f>
        <v>0.04</v>
      </c>
      <c r="AC442" s="17">
        <v>226</v>
      </c>
      <c r="AD442" s="17">
        <v>150</v>
      </c>
    </row>
    <row r="443" spans="1:30" ht="15.75" customHeight="1" x14ac:dyDescent="0.25">
      <c r="A443" s="37">
        <v>2021</v>
      </c>
      <c r="B443" s="35">
        <v>170330</v>
      </c>
      <c r="C443" s="34" t="s">
        <v>150</v>
      </c>
      <c r="D443" s="34" t="s">
        <v>29</v>
      </c>
      <c r="E443" s="17">
        <v>6</v>
      </c>
      <c r="F443" s="36">
        <f>IFERROR(E443/$AC443,0)</f>
        <v>2.3809523809523808E-2</v>
      </c>
      <c r="G443" s="17">
        <v>2</v>
      </c>
      <c r="H443" s="36">
        <f>IFERROR(G443/$AD443,0)</f>
        <v>2.3809523809523808E-2</v>
      </c>
      <c r="I443" s="17">
        <v>109</v>
      </c>
      <c r="J443" s="36">
        <f>IFERROR(I443/$AC443,0)</f>
        <v>0.43253968253968256</v>
      </c>
      <c r="K443" s="17">
        <v>27</v>
      </c>
      <c r="L443" s="36">
        <f>IFERROR(K443/$AD443,0)</f>
        <v>0.32142857142857145</v>
      </c>
      <c r="M443" s="17">
        <v>78</v>
      </c>
      <c r="N443" s="36">
        <f>IFERROR(M443/$AC443,0)</f>
        <v>0.30952380952380953</v>
      </c>
      <c r="O443" s="17">
        <v>24</v>
      </c>
      <c r="P443" s="36">
        <f>IFERROR(O443/$AD443,0)</f>
        <v>0.2857142857142857</v>
      </c>
      <c r="Q443" s="17">
        <v>34</v>
      </c>
      <c r="R443" s="36">
        <f>IFERROR(Q443/$AC443,0)</f>
        <v>0.13492063492063491</v>
      </c>
      <c r="S443" s="17">
        <v>18</v>
      </c>
      <c r="T443" s="36">
        <f>IFERROR(S443/$AD443,0)</f>
        <v>0.21428571428571427</v>
      </c>
      <c r="U443" s="17">
        <v>18</v>
      </c>
      <c r="V443" s="36">
        <f>IFERROR(U443/$AC443,0)</f>
        <v>7.1428571428571425E-2</v>
      </c>
      <c r="W443" s="17">
        <v>10</v>
      </c>
      <c r="X443" s="36">
        <f>IFERROR(W443/$AD443,0)</f>
        <v>0.11904761904761904</v>
      </c>
      <c r="Y443" s="17">
        <v>7</v>
      </c>
      <c r="Z443" s="36">
        <f>IFERROR(Y443/$AC443,0)</f>
        <v>2.7777777777777776E-2</v>
      </c>
      <c r="AA443" s="17">
        <v>3</v>
      </c>
      <c r="AB443" s="36">
        <f>IFERROR(AA443/$AD443,0)</f>
        <v>3.5714285714285712E-2</v>
      </c>
      <c r="AC443" s="17">
        <v>252</v>
      </c>
      <c r="AD443" s="17">
        <v>84</v>
      </c>
    </row>
    <row r="444" spans="1:30" ht="15.75" customHeight="1" x14ac:dyDescent="0.25">
      <c r="A444" s="37">
        <v>2021</v>
      </c>
      <c r="B444" s="35">
        <v>170360</v>
      </c>
      <c r="C444" s="34" t="s">
        <v>150</v>
      </c>
      <c r="D444" s="34" t="s">
        <v>30</v>
      </c>
      <c r="E444" s="17">
        <v>2</v>
      </c>
      <c r="F444" s="36">
        <f>IFERROR(E444/$AC444,0)</f>
        <v>1.1904761904761904E-2</v>
      </c>
      <c r="G444" s="17">
        <v>0</v>
      </c>
      <c r="H444" s="36">
        <f>IFERROR(G444/$AD444,0)</f>
        <v>0</v>
      </c>
      <c r="I444" s="17">
        <v>48</v>
      </c>
      <c r="J444" s="36">
        <f>IFERROR(I444/$AC444,0)</f>
        <v>0.2857142857142857</v>
      </c>
      <c r="K444" s="17">
        <v>16</v>
      </c>
      <c r="L444" s="36">
        <f>IFERROR(K444/$AD444,0)</f>
        <v>0.36363636363636365</v>
      </c>
      <c r="M444" s="17">
        <v>61</v>
      </c>
      <c r="N444" s="36">
        <f>IFERROR(M444/$AC444,0)</f>
        <v>0.36309523809523808</v>
      </c>
      <c r="O444" s="17">
        <v>19</v>
      </c>
      <c r="P444" s="36">
        <f>IFERROR(O444/$AD444,0)</f>
        <v>0.43181818181818182</v>
      </c>
      <c r="Q444" s="17">
        <v>41</v>
      </c>
      <c r="R444" s="36">
        <f>IFERROR(Q444/$AC444,0)</f>
        <v>0.24404761904761904</v>
      </c>
      <c r="S444" s="17">
        <v>6</v>
      </c>
      <c r="T444" s="36">
        <f>IFERROR(S444/$AD444,0)</f>
        <v>0.13636363636363635</v>
      </c>
      <c r="U444" s="17">
        <v>9</v>
      </c>
      <c r="V444" s="36">
        <f>IFERROR(U444/$AC444,0)</f>
        <v>5.3571428571428568E-2</v>
      </c>
      <c r="W444" s="17">
        <v>2</v>
      </c>
      <c r="X444" s="36">
        <f>IFERROR(W444/$AD444,0)</f>
        <v>4.5454545454545456E-2</v>
      </c>
      <c r="Y444" s="17">
        <v>7</v>
      </c>
      <c r="Z444" s="36">
        <f>IFERROR(Y444/$AC444,0)</f>
        <v>4.1666666666666664E-2</v>
      </c>
      <c r="AA444" s="17">
        <v>1</v>
      </c>
      <c r="AB444" s="36">
        <f>IFERROR(AA444/$AD444,0)</f>
        <v>2.2727272727272728E-2</v>
      </c>
      <c r="AC444" s="17">
        <v>168</v>
      </c>
      <c r="AD444" s="17">
        <v>44</v>
      </c>
    </row>
    <row r="445" spans="1:30" ht="15.75" customHeight="1" x14ac:dyDescent="0.25">
      <c r="A445" s="37">
        <v>2021</v>
      </c>
      <c r="B445" s="35">
        <v>170370</v>
      </c>
      <c r="C445" s="34" t="s">
        <v>151</v>
      </c>
      <c r="D445" s="34" t="s">
        <v>31</v>
      </c>
      <c r="E445" s="17">
        <v>5</v>
      </c>
      <c r="F445" s="36">
        <f>IFERROR(E445/$AC445,0)</f>
        <v>2.564102564102564E-2</v>
      </c>
      <c r="G445" s="17">
        <v>5</v>
      </c>
      <c r="H445" s="36">
        <f>IFERROR(G445/$AD445,0)</f>
        <v>3.8167938931297711E-2</v>
      </c>
      <c r="I445" s="17">
        <v>63</v>
      </c>
      <c r="J445" s="36">
        <f>IFERROR(I445/$AC445,0)</f>
        <v>0.32307692307692309</v>
      </c>
      <c r="K445" s="17">
        <v>49</v>
      </c>
      <c r="L445" s="36">
        <f>IFERROR(K445/$AD445,0)</f>
        <v>0.37404580152671757</v>
      </c>
      <c r="M445" s="17">
        <v>69</v>
      </c>
      <c r="N445" s="36">
        <f>IFERROR(M445/$AC445,0)</f>
        <v>0.35384615384615387</v>
      </c>
      <c r="O445" s="17">
        <v>44</v>
      </c>
      <c r="P445" s="36">
        <f>IFERROR(O445/$AD445,0)</f>
        <v>0.33587786259541985</v>
      </c>
      <c r="Q445" s="17">
        <v>36</v>
      </c>
      <c r="R445" s="36">
        <f>IFERROR(Q445/$AC445,0)</f>
        <v>0.18461538461538463</v>
      </c>
      <c r="S445" s="17">
        <v>19</v>
      </c>
      <c r="T445" s="36">
        <f>IFERROR(S445/$AD445,0)</f>
        <v>0.14503816793893129</v>
      </c>
      <c r="U445" s="17">
        <v>17</v>
      </c>
      <c r="V445" s="36">
        <f>IFERROR(U445/$AC445,0)</f>
        <v>8.7179487179487175E-2</v>
      </c>
      <c r="W445" s="17">
        <v>11</v>
      </c>
      <c r="X445" s="36">
        <f>IFERROR(W445/$AD445,0)</f>
        <v>8.3969465648854963E-2</v>
      </c>
      <c r="Y445" s="17">
        <v>5</v>
      </c>
      <c r="Z445" s="36">
        <f>IFERROR(Y445/$AC445,0)</f>
        <v>2.564102564102564E-2</v>
      </c>
      <c r="AA445" s="17">
        <v>3</v>
      </c>
      <c r="AB445" s="36">
        <f>IFERROR(AA445/$AD445,0)</f>
        <v>2.2900763358778626E-2</v>
      </c>
      <c r="AC445" s="17">
        <v>195</v>
      </c>
      <c r="AD445" s="17">
        <v>131</v>
      </c>
    </row>
    <row r="446" spans="1:30" ht="15.75" customHeight="1" x14ac:dyDescent="0.25">
      <c r="A446" s="37">
        <v>2021</v>
      </c>
      <c r="B446" s="35">
        <v>170380</v>
      </c>
      <c r="C446" s="34" t="s">
        <v>145</v>
      </c>
      <c r="D446" s="34" t="s">
        <v>32</v>
      </c>
      <c r="E446" s="17">
        <v>27</v>
      </c>
      <c r="F446" s="36">
        <f>IFERROR(E446/$AC446,0)</f>
        <v>2.4747937671860679E-2</v>
      </c>
      <c r="G446" s="17">
        <v>9</v>
      </c>
      <c r="H446" s="36">
        <f>IFERROR(G446/$AD446,0)</f>
        <v>2.9801324503311258E-2</v>
      </c>
      <c r="I446" s="17">
        <v>352</v>
      </c>
      <c r="J446" s="36">
        <f>IFERROR(I446/$AC446,0)</f>
        <v>0.32263978001833182</v>
      </c>
      <c r="K446" s="17">
        <v>101</v>
      </c>
      <c r="L446" s="36">
        <f>IFERROR(K446/$AD446,0)</f>
        <v>0.33443708609271522</v>
      </c>
      <c r="M446" s="17">
        <v>405</v>
      </c>
      <c r="N446" s="36">
        <f>IFERROR(M446/$AC446,0)</f>
        <v>0.37121906507791019</v>
      </c>
      <c r="O446" s="17">
        <v>110</v>
      </c>
      <c r="P446" s="36">
        <f>IFERROR(O446/$AD446,0)</f>
        <v>0.36423841059602646</v>
      </c>
      <c r="Q446" s="17">
        <v>223</v>
      </c>
      <c r="R446" s="36">
        <f>IFERROR(Q446/$AC446,0)</f>
        <v>0.20439963336388633</v>
      </c>
      <c r="S446" s="17">
        <v>57</v>
      </c>
      <c r="T446" s="36">
        <f>IFERROR(S446/$AD446,0)</f>
        <v>0.18874172185430463</v>
      </c>
      <c r="U446" s="17">
        <v>58</v>
      </c>
      <c r="V446" s="36">
        <f>IFERROR(U446/$AC446,0)</f>
        <v>5.3162236480293307E-2</v>
      </c>
      <c r="W446" s="17">
        <v>22</v>
      </c>
      <c r="X446" s="36">
        <f>IFERROR(W446/$AD446,0)</f>
        <v>7.2847682119205295E-2</v>
      </c>
      <c r="Y446" s="17">
        <v>26</v>
      </c>
      <c r="Z446" s="36">
        <f>IFERROR(Y446/$AC446,0)</f>
        <v>2.3831347387717691E-2</v>
      </c>
      <c r="AA446" s="17">
        <v>3</v>
      </c>
      <c r="AB446" s="36">
        <f>IFERROR(AA446/$AD446,0)</f>
        <v>9.9337748344370865E-3</v>
      </c>
      <c r="AC446" s="16">
        <v>1091</v>
      </c>
      <c r="AD446" s="17">
        <v>302</v>
      </c>
    </row>
    <row r="447" spans="1:30" ht="15.75" customHeight="1" x14ac:dyDescent="0.25">
      <c r="A447" s="37">
        <v>2021</v>
      </c>
      <c r="B447" s="35">
        <v>170382</v>
      </c>
      <c r="C447" s="34" t="s">
        <v>145</v>
      </c>
      <c r="D447" s="34" t="s">
        <v>33</v>
      </c>
      <c r="E447" s="17">
        <v>3</v>
      </c>
      <c r="F447" s="36">
        <f>IFERROR(E447/$AC447,0)</f>
        <v>4.2857142857142858E-2</v>
      </c>
      <c r="G447" s="17">
        <v>3</v>
      </c>
      <c r="H447" s="36">
        <f>IFERROR(G447/$AD447,0)</f>
        <v>4.9180327868852458E-2</v>
      </c>
      <c r="I447" s="17">
        <v>26</v>
      </c>
      <c r="J447" s="36">
        <f>IFERROR(I447/$AC447,0)</f>
        <v>0.37142857142857144</v>
      </c>
      <c r="K447" s="17">
        <v>20</v>
      </c>
      <c r="L447" s="36">
        <f>IFERROR(K447/$AD447,0)</f>
        <v>0.32786885245901637</v>
      </c>
      <c r="M447" s="17">
        <v>25</v>
      </c>
      <c r="N447" s="36">
        <f>IFERROR(M447/$AC447,0)</f>
        <v>0.35714285714285715</v>
      </c>
      <c r="O447" s="17">
        <v>22</v>
      </c>
      <c r="P447" s="36">
        <f>IFERROR(O447/$AD447,0)</f>
        <v>0.36065573770491804</v>
      </c>
      <c r="Q447" s="17">
        <v>11</v>
      </c>
      <c r="R447" s="36">
        <f>IFERROR(Q447/$AC447,0)</f>
        <v>0.15714285714285714</v>
      </c>
      <c r="S447" s="17">
        <v>11</v>
      </c>
      <c r="T447" s="36">
        <f>IFERROR(S447/$AD447,0)</f>
        <v>0.18032786885245902</v>
      </c>
      <c r="U447" s="17">
        <v>2</v>
      </c>
      <c r="V447" s="36">
        <f>IFERROR(U447/$AC447,0)</f>
        <v>2.8571428571428571E-2</v>
      </c>
      <c r="W447" s="17">
        <v>2</v>
      </c>
      <c r="X447" s="36">
        <f>IFERROR(W447/$AD447,0)</f>
        <v>3.2786885245901641E-2</v>
      </c>
      <c r="Y447" s="17">
        <v>3</v>
      </c>
      <c r="Z447" s="36">
        <f>IFERROR(Y447/$AC447,0)</f>
        <v>4.2857142857142858E-2</v>
      </c>
      <c r="AA447" s="17">
        <v>3</v>
      </c>
      <c r="AB447" s="36">
        <f>IFERROR(AA447/$AD447,0)</f>
        <v>4.9180327868852458E-2</v>
      </c>
      <c r="AC447" s="17">
        <v>70</v>
      </c>
      <c r="AD447" s="17">
        <v>61</v>
      </c>
    </row>
    <row r="448" spans="1:30" ht="15.75" customHeight="1" x14ac:dyDescent="0.25">
      <c r="A448" s="37">
        <v>2021</v>
      </c>
      <c r="B448" s="35">
        <v>170384</v>
      </c>
      <c r="C448" s="34" t="s">
        <v>149</v>
      </c>
      <c r="D448" s="34" t="s">
        <v>34</v>
      </c>
      <c r="E448" s="17">
        <v>34</v>
      </c>
      <c r="F448" s="36">
        <f>IFERROR(E448/$AC448,0)</f>
        <v>2.3726448011165389E-2</v>
      </c>
      <c r="G448" s="17">
        <v>20</v>
      </c>
      <c r="H448" s="36">
        <f>IFERROR(G448/$AD448,0)</f>
        <v>3.717472118959108E-2</v>
      </c>
      <c r="I448" s="17">
        <v>535</v>
      </c>
      <c r="J448" s="36">
        <f>IFERROR(I448/$AC448,0)</f>
        <v>0.37334263782274946</v>
      </c>
      <c r="K448" s="17">
        <v>195</v>
      </c>
      <c r="L448" s="36">
        <f>IFERROR(K448/$AD448,0)</f>
        <v>0.36245353159851301</v>
      </c>
      <c r="M448" s="17">
        <v>517</v>
      </c>
      <c r="N448" s="36">
        <f>IFERROR(M448/$AC448,0)</f>
        <v>0.36078157711095604</v>
      </c>
      <c r="O448" s="17">
        <v>195</v>
      </c>
      <c r="P448" s="36">
        <f>IFERROR(O448/$AD448,0)</f>
        <v>0.36245353159851301</v>
      </c>
      <c r="Q448" s="17">
        <v>245</v>
      </c>
      <c r="R448" s="36">
        <f>IFERROR(Q448/$AC448,0)</f>
        <v>0.17096999302163293</v>
      </c>
      <c r="S448" s="17">
        <v>87</v>
      </c>
      <c r="T448" s="36">
        <f>IFERROR(S448/$AD448,0)</f>
        <v>0.16171003717472118</v>
      </c>
      <c r="U448" s="17">
        <v>67</v>
      </c>
      <c r="V448" s="36">
        <f>IFERROR(U448/$AC448,0)</f>
        <v>4.6755059316120028E-2</v>
      </c>
      <c r="W448" s="17">
        <v>27</v>
      </c>
      <c r="X448" s="36">
        <f>IFERROR(W448/$AD448,0)</f>
        <v>5.0185873605947957E-2</v>
      </c>
      <c r="Y448" s="17">
        <v>35</v>
      </c>
      <c r="Z448" s="36">
        <f>IFERROR(Y448/$AC448,0)</f>
        <v>2.4424284717376135E-2</v>
      </c>
      <c r="AA448" s="17">
        <v>14</v>
      </c>
      <c r="AB448" s="36">
        <f>IFERROR(AA448/$AD448,0)</f>
        <v>2.6022304832713755E-2</v>
      </c>
      <c r="AC448" s="16">
        <v>1433</v>
      </c>
      <c r="AD448" s="17">
        <v>538</v>
      </c>
    </row>
    <row r="449" spans="1:30" ht="15.75" customHeight="1" x14ac:dyDescent="0.25">
      <c r="A449" s="37">
        <v>2021</v>
      </c>
      <c r="B449" s="35">
        <v>170386</v>
      </c>
      <c r="C449" s="34" t="s">
        <v>146</v>
      </c>
      <c r="D449" s="34" t="s">
        <v>35</v>
      </c>
      <c r="E449" s="17">
        <v>7</v>
      </c>
      <c r="F449" s="36">
        <f>IFERROR(E449/$AC449,0)</f>
        <v>1.8181818181818181E-2</v>
      </c>
      <c r="G449" s="17">
        <v>4</v>
      </c>
      <c r="H449" s="36">
        <f>IFERROR(G449/$AD449,0)</f>
        <v>5.0632911392405063E-2</v>
      </c>
      <c r="I449" s="17">
        <v>126</v>
      </c>
      <c r="J449" s="36">
        <f>IFERROR(I449/$AC449,0)</f>
        <v>0.32727272727272727</v>
      </c>
      <c r="K449" s="17">
        <v>34</v>
      </c>
      <c r="L449" s="36">
        <f>IFERROR(K449/$AD449,0)</f>
        <v>0.43037974683544306</v>
      </c>
      <c r="M449" s="17">
        <v>141</v>
      </c>
      <c r="N449" s="36">
        <f>IFERROR(M449/$AC449,0)</f>
        <v>0.36623376623376624</v>
      </c>
      <c r="O449" s="17">
        <v>27</v>
      </c>
      <c r="P449" s="36">
        <f>IFERROR(O449/$AD449,0)</f>
        <v>0.34177215189873417</v>
      </c>
      <c r="Q449" s="17">
        <v>67</v>
      </c>
      <c r="R449" s="36">
        <f>IFERROR(Q449/$AC449,0)</f>
        <v>0.17402597402597403</v>
      </c>
      <c r="S449" s="17">
        <v>10</v>
      </c>
      <c r="T449" s="36">
        <f>IFERROR(S449/$AD449,0)</f>
        <v>0.12658227848101267</v>
      </c>
      <c r="U449" s="17">
        <v>30</v>
      </c>
      <c r="V449" s="36">
        <f>IFERROR(U449/$AC449,0)</f>
        <v>7.792207792207792E-2</v>
      </c>
      <c r="W449" s="17">
        <v>3</v>
      </c>
      <c r="X449" s="36">
        <f>IFERROR(W449/$AD449,0)</f>
        <v>3.7974683544303799E-2</v>
      </c>
      <c r="Y449" s="17">
        <v>14</v>
      </c>
      <c r="Z449" s="36">
        <f>IFERROR(Y449/$AC449,0)</f>
        <v>3.6363636363636362E-2</v>
      </c>
      <c r="AA449" s="17">
        <v>1</v>
      </c>
      <c r="AB449" s="36">
        <f>IFERROR(AA449/$AD449,0)</f>
        <v>1.2658227848101266E-2</v>
      </c>
      <c r="AC449" s="17">
        <v>385</v>
      </c>
      <c r="AD449" s="17">
        <v>79</v>
      </c>
    </row>
    <row r="450" spans="1:30" ht="15.75" customHeight="1" x14ac:dyDescent="0.25">
      <c r="A450" s="37">
        <v>2021</v>
      </c>
      <c r="B450" s="35">
        <v>170388</v>
      </c>
      <c r="C450" s="34" t="s">
        <v>149</v>
      </c>
      <c r="D450" s="34" t="s">
        <v>36</v>
      </c>
      <c r="E450" s="17">
        <v>19</v>
      </c>
      <c r="F450" s="36">
        <f>IFERROR(E450/$AC450,0)</f>
        <v>3.2148900169204735E-2</v>
      </c>
      <c r="G450" s="17">
        <v>4</v>
      </c>
      <c r="H450" s="36">
        <f>IFERROR(G450/$AD450,0)</f>
        <v>4.7058823529411764E-2</v>
      </c>
      <c r="I450" s="17">
        <v>192</v>
      </c>
      <c r="J450" s="36">
        <f>IFERROR(I450/$AC450,0)</f>
        <v>0.32487309644670048</v>
      </c>
      <c r="K450" s="17">
        <v>29</v>
      </c>
      <c r="L450" s="36">
        <f>IFERROR(K450/$AD450,0)</f>
        <v>0.3411764705882353</v>
      </c>
      <c r="M450" s="17">
        <v>218</v>
      </c>
      <c r="N450" s="36">
        <f>IFERROR(M450/$AC450,0)</f>
        <v>0.36886632825719118</v>
      </c>
      <c r="O450" s="17">
        <v>31</v>
      </c>
      <c r="P450" s="36">
        <f>IFERROR(O450/$AD450,0)</f>
        <v>0.36470588235294116</v>
      </c>
      <c r="Q450" s="17">
        <v>107</v>
      </c>
      <c r="R450" s="36">
        <f>IFERROR(Q450/$AC450,0)</f>
        <v>0.18104906937394247</v>
      </c>
      <c r="S450" s="17">
        <v>13</v>
      </c>
      <c r="T450" s="36">
        <f>IFERROR(S450/$AD450,0)</f>
        <v>0.15294117647058825</v>
      </c>
      <c r="U450" s="17">
        <v>34</v>
      </c>
      <c r="V450" s="36">
        <f>IFERROR(U450/$AC450,0)</f>
        <v>5.7529610829103212E-2</v>
      </c>
      <c r="W450" s="17">
        <v>7</v>
      </c>
      <c r="X450" s="36">
        <f>IFERROR(W450/$AD450,0)</f>
        <v>8.2352941176470587E-2</v>
      </c>
      <c r="Y450" s="17">
        <v>21</v>
      </c>
      <c r="Z450" s="36">
        <f>IFERROR(Y450/$AC450,0)</f>
        <v>3.553299492385787E-2</v>
      </c>
      <c r="AA450" s="17">
        <v>1</v>
      </c>
      <c r="AB450" s="36">
        <f>IFERROR(AA450/$AD450,0)</f>
        <v>1.1764705882352941E-2</v>
      </c>
      <c r="AC450" s="17">
        <v>591</v>
      </c>
      <c r="AD450" s="17">
        <v>85</v>
      </c>
    </row>
    <row r="451" spans="1:30" ht="15.75" customHeight="1" x14ac:dyDescent="0.25">
      <c r="A451" s="37">
        <v>2021</v>
      </c>
      <c r="B451" s="35">
        <v>170389</v>
      </c>
      <c r="C451" s="34" t="s">
        <v>145</v>
      </c>
      <c r="D451" s="34" t="s">
        <v>37</v>
      </c>
      <c r="E451" s="17">
        <v>4</v>
      </c>
      <c r="F451" s="36">
        <f>IFERROR(E451/$AC451,0)</f>
        <v>2.0202020202020204E-2</v>
      </c>
      <c r="G451" s="17">
        <v>3</v>
      </c>
      <c r="H451" s="36">
        <f>IFERROR(G451/$AD451,0)</f>
        <v>3.7037037037037035E-2</v>
      </c>
      <c r="I451" s="17">
        <v>57</v>
      </c>
      <c r="J451" s="36">
        <f>IFERROR(I451/$AC451,0)</f>
        <v>0.2878787878787879</v>
      </c>
      <c r="K451" s="17">
        <v>22</v>
      </c>
      <c r="L451" s="36">
        <f>IFERROR(K451/$AD451,0)</f>
        <v>0.27160493827160492</v>
      </c>
      <c r="M451" s="17">
        <v>75</v>
      </c>
      <c r="N451" s="36">
        <f>IFERROR(M451/$AC451,0)</f>
        <v>0.37878787878787878</v>
      </c>
      <c r="O451" s="17">
        <v>30</v>
      </c>
      <c r="P451" s="36">
        <f>IFERROR(O451/$AD451,0)</f>
        <v>0.37037037037037035</v>
      </c>
      <c r="Q451" s="17">
        <v>36</v>
      </c>
      <c r="R451" s="36">
        <f>IFERROR(Q451/$AC451,0)</f>
        <v>0.18181818181818182</v>
      </c>
      <c r="S451" s="17">
        <v>19</v>
      </c>
      <c r="T451" s="36">
        <f>IFERROR(S451/$AD451,0)</f>
        <v>0.23456790123456789</v>
      </c>
      <c r="U451" s="17">
        <v>18</v>
      </c>
      <c r="V451" s="36">
        <f>IFERROR(U451/$AC451,0)</f>
        <v>9.0909090909090912E-2</v>
      </c>
      <c r="W451" s="17">
        <v>5</v>
      </c>
      <c r="X451" s="36">
        <f>IFERROR(W451/$AD451,0)</f>
        <v>6.1728395061728392E-2</v>
      </c>
      <c r="Y451" s="17">
        <v>8</v>
      </c>
      <c r="Z451" s="36">
        <f>IFERROR(Y451/$AC451,0)</f>
        <v>4.0404040404040407E-2</v>
      </c>
      <c r="AA451" s="17">
        <v>2</v>
      </c>
      <c r="AB451" s="36">
        <f>IFERROR(AA451/$AD451,0)</f>
        <v>2.4691358024691357E-2</v>
      </c>
      <c r="AC451" s="17">
        <v>198</v>
      </c>
      <c r="AD451" s="17">
        <v>81</v>
      </c>
    </row>
    <row r="452" spans="1:30" ht="15.75" customHeight="1" x14ac:dyDescent="0.25">
      <c r="A452" s="37">
        <v>2021</v>
      </c>
      <c r="B452" s="35">
        <v>170390</v>
      </c>
      <c r="C452" s="34" t="s">
        <v>144</v>
      </c>
      <c r="D452" s="34" t="s">
        <v>38</v>
      </c>
      <c r="E452" s="17">
        <v>2</v>
      </c>
      <c r="F452" s="36">
        <f>IFERROR(E452/$AC452,0)</f>
        <v>1.2269938650306749E-2</v>
      </c>
      <c r="G452" s="17">
        <v>1</v>
      </c>
      <c r="H452" s="36">
        <f>IFERROR(G452/$AD452,0)</f>
        <v>1.2500000000000001E-2</v>
      </c>
      <c r="I452" s="17">
        <v>67</v>
      </c>
      <c r="J452" s="36">
        <f>IFERROR(I452/$AC452,0)</f>
        <v>0.41104294478527609</v>
      </c>
      <c r="K452" s="17">
        <v>37</v>
      </c>
      <c r="L452" s="36">
        <f>IFERROR(K452/$AD452,0)</f>
        <v>0.46250000000000002</v>
      </c>
      <c r="M452" s="17">
        <v>52</v>
      </c>
      <c r="N452" s="36">
        <f>IFERROR(M452/$AC452,0)</f>
        <v>0.31901840490797545</v>
      </c>
      <c r="O452" s="17">
        <v>21</v>
      </c>
      <c r="P452" s="36">
        <f>IFERROR(O452/$AD452,0)</f>
        <v>0.26250000000000001</v>
      </c>
      <c r="Q452" s="17">
        <v>29</v>
      </c>
      <c r="R452" s="36">
        <f>IFERROR(Q452/$AC452,0)</f>
        <v>0.17791411042944785</v>
      </c>
      <c r="S452" s="17">
        <v>18</v>
      </c>
      <c r="T452" s="36">
        <f>IFERROR(S452/$AD452,0)</f>
        <v>0.22500000000000001</v>
      </c>
      <c r="U452" s="17">
        <v>10</v>
      </c>
      <c r="V452" s="36">
        <f>IFERROR(U452/$AC452,0)</f>
        <v>6.1349693251533742E-2</v>
      </c>
      <c r="W452" s="17">
        <v>3</v>
      </c>
      <c r="X452" s="36">
        <f>IFERROR(W452/$AD452,0)</f>
        <v>3.7499999999999999E-2</v>
      </c>
      <c r="Y452" s="17">
        <v>3</v>
      </c>
      <c r="Z452" s="36">
        <f>IFERROR(Y452/$AC452,0)</f>
        <v>1.8404907975460124E-2</v>
      </c>
      <c r="AA452" s="17">
        <v>0</v>
      </c>
      <c r="AB452" s="36">
        <f>IFERROR(AA452/$AD452,0)</f>
        <v>0</v>
      </c>
      <c r="AC452" s="17">
        <v>163</v>
      </c>
      <c r="AD452" s="17">
        <v>80</v>
      </c>
    </row>
    <row r="453" spans="1:30" ht="15.75" customHeight="1" x14ac:dyDescent="0.25">
      <c r="A453" s="37">
        <v>2021</v>
      </c>
      <c r="B453" s="35">
        <v>170410</v>
      </c>
      <c r="C453" s="34" t="s">
        <v>150</v>
      </c>
      <c r="D453" s="34" t="s">
        <v>39</v>
      </c>
      <c r="E453" s="17">
        <v>5</v>
      </c>
      <c r="F453" s="36">
        <f>IFERROR(E453/$AC453,0)</f>
        <v>2.7322404371584699E-2</v>
      </c>
      <c r="G453" s="17">
        <v>6</v>
      </c>
      <c r="H453" s="36">
        <f>IFERROR(G453/$AD453,0)</f>
        <v>4.5112781954887216E-2</v>
      </c>
      <c r="I453" s="17">
        <v>68</v>
      </c>
      <c r="J453" s="36">
        <f>IFERROR(I453/$AC453,0)</f>
        <v>0.37158469945355194</v>
      </c>
      <c r="K453" s="17">
        <v>43</v>
      </c>
      <c r="L453" s="36">
        <f>IFERROR(K453/$AD453,0)</f>
        <v>0.32330827067669171</v>
      </c>
      <c r="M453" s="17">
        <v>63</v>
      </c>
      <c r="N453" s="36">
        <f>IFERROR(M453/$AC453,0)</f>
        <v>0.34426229508196721</v>
      </c>
      <c r="O453" s="17">
        <v>47</v>
      </c>
      <c r="P453" s="36">
        <f>IFERROR(O453/$AD453,0)</f>
        <v>0.35338345864661652</v>
      </c>
      <c r="Q453" s="17">
        <v>28</v>
      </c>
      <c r="R453" s="36">
        <f>IFERROR(Q453/$AC453,0)</f>
        <v>0.15300546448087432</v>
      </c>
      <c r="S453" s="17">
        <v>21</v>
      </c>
      <c r="T453" s="36">
        <f>IFERROR(S453/$AD453,0)</f>
        <v>0.15789473684210525</v>
      </c>
      <c r="U453" s="17">
        <v>13</v>
      </c>
      <c r="V453" s="36">
        <f>IFERROR(U453/$AC453,0)</f>
        <v>7.1038251366120214E-2</v>
      </c>
      <c r="W453" s="17">
        <v>10</v>
      </c>
      <c r="X453" s="36">
        <f>IFERROR(W453/$AD453,0)</f>
        <v>7.5187969924812026E-2</v>
      </c>
      <c r="Y453" s="17">
        <v>6</v>
      </c>
      <c r="Z453" s="36">
        <f>IFERROR(Y453/$AC453,0)</f>
        <v>3.2786885245901641E-2</v>
      </c>
      <c r="AA453" s="17">
        <v>6</v>
      </c>
      <c r="AB453" s="36">
        <f>IFERROR(AA453/$AD453,0)</f>
        <v>4.5112781954887216E-2</v>
      </c>
      <c r="AC453" s="17">
        <v>183</v>
      </c>
      <c r="AD453" s="17">
        <v>133</v>
      </c>
    </row>
    <row r="454" spans="1:30" ht="15.75" customHeight="1" x14ac:dyDescent="0.25">
      <c r="A454" s="37">
        <v>2021</v>
      </c>
      <c r="B454" s="35">
        <v>170510</v>
      </c>
      <c r="C454" s="34" t="s">
        <v>151</v>
      </c>
      <c r="D454" s="34" t="s">
        <v>40</v>
      </c>
      <c r="E454" s="17">
        <v>2</v>
      </c>
      <c r="F454" s="36">
        <f>IFERROR(E454/$AC454,0)</f>
        <v>7.7519379844961239E-3</v>
      </c>
      <c r="G454" s="17">
        <v>1</v>
      </c>
      <c r="H454" s="36">
        <f>IFERROR(G454/$AD454,0)</f>
        <v>1.1764705882352941E-2</v>
      </c>
      <c r="I454" s="17">
        <v>88</v>
      </c>
      <c r="J454" s="36">
        <f>IFERROR(I454/$AC454,0)</f>
        <v>0.34108527131782945</v>
      </c>
      <c r="K454" s="17">
        <v>26</v>
      </c>
      <c r="L454" s="36">
        <f>IFERROR(K454/$AD454,0)</f>
        <v>0.30588235294117649</v>
      </c>
      <c r="M454" s="17">
        <v>89</v>
      </c>
      <c r="N454" s="36">
        <f>IFERROR(M454/$AC454,0)</f>
        <v>0.34496124031007752</v>
      </c>
      <c r="O454" s="17">
        <v>29</v>
      </c>
      <c r="P454" s="36">
        <f>IFERROR(O454/$AD454,0)</f>
        <v>0.3411764705882353</v>
      </c>
      <c r="Q454" s="17">
        <v>49</v>
      </c>
      <c r="R454" s="36">
        <f>IFERROR(Q454/$AC454,0)</f>
        <v>0.18992248062015504</v>
      </c>
      <c r="S454" s="17">
        <v>18</v>
      </c>
      <c r="T454" s="36">
        <f>IFERROR(S454/$AD454,0)</f>
        <v>0.21176470588235294</v>
      </c>
      <c r="U454" s="17">
        <v>18</v>
      </c>
      <c r="V454" s="36">
        <f>IFERROR(U454/$AC454,0)</f>
        <v>6.9767441860465115E-2</v>
      </c>
      <c r="W454" s="17">
        <v>5</v>
      </c>
      <c r="X454" s="36">
        <f>IFERROR(W454/$AD454,0)</f>
        <v>5.8823529411764705E-2</v>
      </c>
      <c r="Y454" s="17">
        <v>12</v>
      </c>
      <c r="Z454" s="36">
        <f>IFERROR(Y454/$AC454,0)</f>
        <v>4.6511627906976744E-2</v>
      </c>
      <c r="AA454" s="17">
        <v>6</v>
      </c>
      <c r="AB454" s="36">
        <f>IFERROR(AA454/$AD454,0)</f>
        <v>7.0588235294117646E-2</v>
      </c>
      <c r="AC454" s="17">
        <v>258</v>
      </c>
      <c r="AD454" s="17">
        <v>85</v>
      </c>
    </row>
    <row r="455" spans="1:30" ht="15.75" customHeight="1" x14ac:dyDescent="0.25">
      <c r="A455" s="37">
        <v>2021</v>
      </c>
      <c r="B455" s="35">
        <v>170460</v>
      </c>
      <c r="C455" s="34" t="s">
        <v>144</v>
      </c>
      <c r="D455" s="34" t="s">
        <v>41</v>
      </c>
      <c r="E455" s="17">
        <v>1</v>
      </c>
      <c r="F455" s="36">
        <f>IFERROR(E455/$AC455,0)</f>
        <v>9.2592592592592587E-3</v>
      </c>
      <c r="G455" s="17">
        <v>1</v>
      </c>
      <c r="H455" s="36">
        <f>IFERROR(G455/$AD455,0)</f>
        <v>1.3698630136986301E-2</v>
      </c>
      <c r="I455" s="17">
        <v>42</v>
      </c>
      <c r="J455" s="36">
        <f>IFERROR(I455/$AC455,0)</f>
        <v>0.3888888888888889</v>
      </c>
      <c r="K455" s="17">
        <v>33</v>
      </c>
      <c r="L455" s="36">
        <f>IFERROR(K455/$AD455,0)</f>
        <v>0.45205479452054792</v>
      </c>
      <c r="M455" s="17">
        <v>34</v>
      </c>
      <c r="N455" s="36">
        <f>IFERROR(M455/$AC455,0)</f>
        <v>0.31481481481481483</v>
      </c>
      <c r="O455" s="17">
        <v>22</v>
      </c>
      <c r="P455" s="36">
        <f>IFERROR(O455/$AD455,0)</f>
        <v>0.30136986301369861</v>
      </c>
      <c r="Q455" s="17">
        <v>20</v>
      </c>
      <c r="R455" s="36">
        <f>IFERROR(Q455/$AC455,0)</f>
        <v>0.18518518518518517</v>
      </c>
      <c r="S455" s="17">
        <v>11</v>
      </c>
      <c r="T455" s="36">
        <f>IFERROR(S455/$AD455,0)</f>
        <v>0.15068493150684931</v>
      </c>
      <c r="U455" s="17">
        <v>5</v>
      </c>
      <c r="V455" s="36">
        <f>IFERROR(U455/$AC455,0)</f>
        <v>4.6296296296296294E-2</v>
      </c>
      <c r="W455" s="17">
        <v>2</v>
      </c>
      <c r="X455" s="36">
        <f>IFERROR(W455/$AD455,0)</f>
        <v>2.7397260273972601E-2</v>
      </c>
      <c r="Y455" s="17">
        <v>6</v>
      </c>
      <c r="Z455" s="36">
        <f>IFERROR(Y455/$AC455,0)</f>
        <v>5.5555555555555552E-2</v>
      </c>
      <c r="AA455" s="17">
        <v>4</v>
      </c>
      <c r="AB455" s="36">
        <f>IFERROR(AA455/$AD455,0)</f>
        <v>5.4794520547945202E-2</v>
      </c>
      <c r="AC455" s="17">
        <v>108</v>
      </c>
      <c r="AD455" s="17">
        <v>73</v>
      </c>
    </row>
    <row r="456" spans="1:30" ht="15.75" customHeight="1" x14ac:dyDescent="0.25">
      <c r="A456" s="37">
        <v>2021</v>
      </c>
      <c r="B456" s="35">
        <v>170550</v>
      </c>
      <c r="C456" s="34" t="s">
        <v>150</v>
      </c>
      <c r="D456" s="34" t="s">
        <v>42</v>
      </c>
      <c r="E456" s="17">
        <v>50</v>
      </c>
      <c r="F456" s="36">
        <f>IFERROR(E456/$AC456,0)</f>
        <v>2.4900398406374501E-2</v>
      </c>
      <c r="G456" s="17">
        <v>8</v>
      </c>
      <c r="H456" s="36">
        <f>IFERROR(G456/$AD456,0)</f>
        <v>2.0253164556962026E-2</v>
      </c>
      <c r="I456" s="17">
        <v>672</v>
      </c>
      <c r="J456" s="36">
        <f>IFERROR(I456/$AC456,0)</f>
        <v>0.33466135458167329</v>
      </c>
      <c r="K456" s="17">
        <v>134</v>
      </c>
      <c r="L456" s="36">
        <f>IFERROR(K456/$AD456,0)</f>
        <v>0.3392405063291139</v>
      </c>
      <c r="M456" s="17">
        <v>677</v>
      </c>
      <c r="N456" s="36">
        <f>IFERROR(M456/$AC456,0)</f>
        <v>0.33715139442231074</v>
      </c>
      <c r="O456" s="17">
        <v>130</v>
      </c>
      <c r="P456" s="36">
        <f>IFERROR(O456/$AD456,0)</f>
        <v>0.32911392405063289</v>
      </c>
      <c r="Q456" s="17">
        <v>352</v>
      </c>
      <c r="R456" s="36">
        <f>IFERROR(Q456/$AC456,0)</f>
        <v>0.1752988047808765</v>
      </c>
      <c r="S456" s="17">
        <v>76</v>
      </c>
      <c r="T456" s="36">
        <f>IFERROR(S456/$AD456,0)</f>
        <v>0.19240506329113924</v>
      </c>
      <c r="U456" s="17">
        <v>157</v>
      </c>
      <c r="V456" s="36">
        <f>IFERROR(U456/$AC456,0)</f>
        <v>7.8187250996015936E-2</v>
      </c>
      <c r="W456" s="17">
        <v>41</v>
      </c>
      <c r="X456" s="36">
        <f>IFERROR(W456/$AD456,0)</f>
        <v>0.10379746835443038</v>
      </c>
      <c r="Y456" s="17">
        <v>100</v>
      </c>
      <c r="Z456" s="36">
        <f>IFERROR(Y456/$AC456,0)</f>
        <v>4.9800796812749001E-2</v>
      </c>
      <c r="AA456" s="17">
        <v>6</v>
      </c>
      <c r="AB456" s="36">
        <f>IFERROR(AA456/$AD456,0)</f>
        <v>1.5189873417721518E-2</v>
      </c>
      <c r="AC456" s="16">
        <v>2008</v>
      </c>
      <c r="AD456" s="17">
        <v>395</v>
      </c>
    </row>
    <row r="457" spans="1:30" ht="15.75" customHeight="1" x14ac:dyDescent="0.25">
      <c r="A457" s="37">
        <v>2021</v>
      </c>
      <c r="B457" s="35">
        <v>171670</v>
      </c>
      <c r="C457" s="34" t="s">
        <v>150</v>
      </c>
      <c r="D457" s="34" t="s">
        <v>43</v>
      </c>
      <c r="E457" s="17">
        <v>12</v>
      </c>
      <c r="F457" s="36">
        <f>IFERROR(E457/$AC457,0)</f>
        <v>2.2727272727272728E-2</v>
      </c>
      <c r="G457" s="17">
        <v>9</v>
      </c>
      <c r="H457" s="36">
        <f>IFERROR(G457/$AD457,0)</f>
        <v>3.1802120141342753E-2</v>
      </c>
      <c r="I457" s="17">
        <v>192</v>
      </c>
      <c r="J457" s="36">
        <f>IFERROR(I457/$AC457,0)</f>
        <v>0.36363636363636365</v>
      </c>
      <c r="K457" s="17">
        <v>111</v>
      </c>
      <c r="L457" s="36">
        <f>IFERROR(K457/$AD457,0)</f>
        <v>0.392226148409894</v>
      </c>
      <c r="M457" s="17">
        <v>175</v>
      </c>
      <c r="N457" s="36">
        <f>IFERROR(M457/$AC457,0)</f>
        <v>0.33143939393939392</v>
      </c>
      <c r="O457" s="17">
        <v>90</v>
      </c>
      <c r="P457" s="36">
        <f>IFERROR(O457/$AD457,0)</f>
        <v>0.31802120141342755</v>
      </c>
      <c r="Q457" s="17">
        <v>85</v>
      </c>
      <c r="R457" s="36">
        <f>IFERROR(Q457/$AC457,0)</f>
        <v>0.16098484848484848</v>
      </c>
      <c r="S457" s="17">
        <v>41</v>
      </c>
      <c r="T457" s="36">
        <f>IFERROR(S457/$AD457,0)</f>
        <v>0.14487632508833923</v>
      </c>
      <c r="U457" s="17">
        <v>35</v>
      </c>
      <c r="V457" s="36">
        <f>IFERROR(U457/$AC457,0)</f>
        <v>6.6287878787878785E-2</v>
      </c>
      <c r="W457" s="17">
        <v>22</v>
      </c>
      <c r="X457" s="36">
        <f>IFERROR(W457/$AD457,0)</f>
        <v>7.7738515901060068E-2</v>
      </c>
      <c r="Y457" s="17">
        <v>29</v>
      </c>
      <c r="Z457" s="36">
        <f>IFERROR(Y457/$AC457,0)</f>
        <v>5.4924242424242424E-2</v>
      </c>
      <c r="AA457" s="17">
        <v>10</v>
      </c>
      <c r="AB457" s="36">
        <f>IFERROR(AA457/$AD457,0)</f>
        <v>3.5335689045936397E-2</v>
      </c>
      <c r="AC457" s="17">
        <v>528</v>
      </c>
      <c r="AD457" s="17">
        <v>283</v>
      </c>
    </row>
    <row r="458" spans="1:30" ht="15.75" customHeight="1" x14ac:dyDescent="0.25">
      <c r="A458" s="37">
        <v>2021</v>
      </c>
      <c r="B458" s="35">
        <v>170555</v>
      </c>
      <c r="C458" s="34" t="s">
        <v>147</v>
      </c>
      <c r="D458" s="34" t="s">
        <v>44</v>
      </c>
      <c r="E458" s="17">
        <v>28</v>
      </c>
      <c r="F458" s="36">
        <f>IFERROR(E458/$AC458,0)</f>
        <v>2.385008517887564E-2</v>
      </c>
      <c r="G458" s="17">
        <v>11</v>
      </c>
      <c r="H458" s="36">
        <f>IFERROR(G458/$AD458,0)</f>
        <v>4.583333333333333E-2</v>
      </c>
      <c r="I458" s="17">
        <v>449</v>
      </c>
      <c r="J458" s="36">
        <f>IFERROR(I458/$AC458,0)</f>
        <v>0.38245315161839866</v>
      </c>
      <c r="K458" s="17">
        <v>102</v>
      </c>
      <c r="L458" s="36">
        <f>IFERROR(K458/$AD458,0)</f>
        <v>0.42499999999999999</v>
      </c>
      <c r="M458" s="17">
        <v>434</v>
      </c>
      <c r="N458" s="36">
        <f>IFERROR(M458/$AC458,0)</f>
        <v>0.36967632027257241</v>
      </c>
      <c r="O458" s="17">
        <v>78</v>
      </c>
      <c r="P458" s="36">
        <f>IFERROR(O458/$AD458,0)</f>
        <v>0.32500000000000001</v>
      </c>
      <c r="Q458" s="17">
        <v>174</v>
      </c>
      <c r="R458" s="36">
        <f>IFERROR(Q458/$AC458,0)</f>
        <v>0.14821124361158433</v>
      </c>
      <c r="S458" s="17">
        <v>30</v>
      </c>
      <c r="T458" s="36">
        <f>IFERROR(S458/$AD458,0)</f>
        <v>0.125</v>
      </c>
      <c r="U458" s="17">
        <v>65</v>
      </c>
      <c r="V458" s="36">
        <f>IFERROR(U458/$AC458,0)</f>
        <v>5.536626916524702E-2</v>
      </c>
      <c r="W458" s="17">
        <v>16</v>
      </c>
      <c r="X458" s="36">
        <f>IFERROR(W458/$AD458,0)</f>
        <v>6.6666666666666666E-2</v>
      </c>
      <c r="Y458" s="17">
        <v>24</v>
      </c>
      <c r="Z458" s="36">
        <f>IFERROR(Y458/$AC458,0)</f>
        <v>2.0442930153321975E-2</v>
      </c>
      <c r="AA458" s="17">
        <v>3</v>
      </c>
      <c r="AB458" s="36">
        <f>IFERROR(AA458/$AD458,0)</f>
        <v>1.2500000000000001E-2</v>
      </c>
      <c r="AC458" s="16">
        <v>1174</v>
      </c>
      <c r="AD458" s="17">
        <v>240</v>
      </c>
    </row>
    <row r="459" spans="1:30" ht="15.75" customHeight="1" x14ac:dyDescent="0.25">
      <c r="A459" s="37">
        <v>2021</v>
      </c>
      <c r="B459" s="35">
        <v>170560</v>
      </c>
      <c r="C459" s="34" t="s">
        <v>147</v>
      </c>
      <c r="D459" s="34" t="s">
        <v>45</v>
      </c>
      <c r="E459" s="17">
        <v>15</v>
      </c>
      <c r="F459" s="36">
        <f>IFERROR(E459/$AC459,0)</f>
        <v>3.4802784222737818E-2</v>
      </c>
      <c r="G459" s="17">
        <v>12</v>
      </c>
      <c r="H459" s="36">
        <f>IFERROR(G459/$AD459,0)</f>
        <v>4.0955631399317405E-2</v>
      </c>
      <c r="I459" s="17">
        <v>160</v>
      </c>
      <c r="J459" s="36">
        <f>IFERROR(I459/$AC459,0)</f>
        <v>0.37122969837587005</v>
      </c>
      <c r="K459" s="17">
        <v>131</v>
      </c>
      <c r="L459" s="36">
        <f>IFERROR(K459/$AD459,0)</f>
        <v>0.44709897610921501</v>
      </c>
      <c r="M459" s="17">
        <v>121</v>
      </c>
      <c r="N459" s="36">
        <f>IFERROR(M459/$AC459,0)</f>
        <v>0.28074245939675174</v>
      </c>
      <c r="O459" s="17">
        <v>80</v>
      </c>
      <c r="P459" s="36">
        <f>IFERROR(O459/$AD459,0)</f>
        <v>0.27303754266211605</v>
      </c>
      <c r="Q459" s="17">
        <v>92</v>
      </c>
      <c r="R459" s="36">
        <f>IFERROR(Q459/$AC459,0)</f>
        <v>0.21345707656612528</v>
      </c>
      <c r="S459" s="17">
        <v>51</v>
      </c>
      <c r="T459" s="36">
        <f>IFERROR(S459/$AD459,0)</f>
        <v>0.17406143344709898</v>
      </c>
      <c r="U459" s="17">
        <v>28</v>
      </c>
      <c r="V459" s="36">
        <f>IFERROR(U459/$AC459,0)</f>
        <v>6.4965197215777259E-2</v>
      </c>
      <c r="W459" s="17">
        <v>14</v>
      </c>
      <c r="X459" s="36">
        <f>IFERROR(W459/$AD459,0)</f>
        <v>4.778156996587031E-2</v>
      </c>
      <c r="Y459" s="17">
        <v>15</v>
      </c>
      <c r="Z459" s="36">
        <f>IFERROR(Y459/$AC459,0)</f>
        <v>3.4802784222737818E-2</v>
      </c>
      <c r="AA459" s="17">
        <v>5</v>
      </c>
      <c r="AB459" s="36">
        <f>IFERROR(AA459/$AD459,0)</f>
        <v>1.7064846416382253E-2</v>
      </c>
      <c r="AC459" s="17">
        <v>431</v>
      </c>
      <c r="AD459" s="17">
        <v>293</v>
      </c>
    </row>
    <row r="460" spans="1:30" ht="15.75" customHeight="1" x14ac:dyDescent="0.25">
      <c r="A460" s="37">
        <v>2021</v>
      </c>
      <c r="B460" s="35">
        <v>170600</v>
      </c>
      <c r="C460" s="34" t="s">
        <v>150</v>
      </c>
      <c r="D460" s="34" t="s">
        <v>46</v>
      </c>
      <c r="E460" s="17">
        <v>11</v>
      </c>
      <c r="F460" s="36">
        <f>IFERROR(E460/$AC460,0)</f>
        <v>2.2403258655804479E-2</v>
      </c>
      <c r="G460" s="17">
        <v>9</v>
      </c>
      <c r="H460" s="36">
        <f>IFERROR(G460/$AD460,0)</f>
        <v>4.5685279187817257E-2</v>
      </c>
      <c r="I460" s="17">
        <v>186</v>
      </c>
      <c r="J460" s="36">
        <f>IFERROR(I460/$AC460,0)</f>
        <v>0.37881873727087578</v>
      </c>
      <c r="K460" s="17">
        <v>85</v>
      </c>
      <c r="L460" s="36">
        <f>IFERROR(K460/$AD460,0)</f>
        <v>0.43147208121827413</v>
      </c>
      <c r="M460" s="17">
        <v>184</v>
      </c>
      <c r="N460" s="36">
        <f>IFERROR(M460/$AC460,0)</f>
        <v>0.37474541751527496</v>
      </c>
      <c r="O460" s="17">
        <v>60</v>
      </c>
      <c r="P460" s="36">
        <f>IFERROR(O460/$AD460,0)</f>
        <v>0.30456852791878175</v>
      </c>
      <c r="Q460" s="17">
        <v>64</v>
      </c>
      <c r="R460" s="36">
        <f>IFERROR(Q460/$AC460,0)</f>
        <v>0.13034623217922606</v>
      </c>
      <c r="S460" s="17">
        <v>26</v>
      </c>
      <c r="T460" s="36">
        <f>IFERROR(S460/$AD460,0)</f>
        <v>0.13197969543147209</v>
      </c>
      <c r="U460" s="17">
        <v>26</v>
      </c>
      <c r="V460" s="36">
        <f>IFERROR(U460/$AC460,0)</f>
        <v>5.2953156822810592E-2</v>
      </c>
      <c r="W460" s="17">
        <v>7</v>
      </c>
      <c r="X460" s="36">
        <f>IFERROR(W460/$AD460,0)</f>
        <v>3.553299492385787E-2</v>
      </c>
      <c r="Y460" s="17">
        <v>20</v>
      </c>
      <c r="Z460" s="36">
        <f>IFERROR(Y460/$AC460,0)</f>
        <v>4.0733197556008148E-2</v>
      </c>
      <c r="AA460" s="17">
        <v>10</v>
      </c>
      <c r="AB460" s="36">
        <f>IFERROR(AA460/$AD460,0)</f>
        <v>5.0761421319796954E-2</v>
      </c>
      <c r="AC460" s="17">
        <v>491</v>
      </c>
      <c r="AD460" s="17">
        <v>197</v>
      </c>
    </row>
    <row r="461" spans="1:30" ht="15.75" customHeight="1" x14ac:dyDescent="0.25">
      <c r="A461" s="37">
        <v>2021</v>
      </c>
      <c r="B461" s="35">
        <v>170610</v>
      </c>
      <c r="C461" s="34" t="s">
        <v>144</v>
      </c>
      <c r="D461" s="34" t="s">
        <v>47</v>
      </c>
      <c r="E461" s="17">
        <v>15</v>
      </c>
      <c r="F461" s="36">
        <f>IFERROR(E461/$AC461,0)</f>
        <v>2.0134228187919462E-2</v>
      </c>
      <c r="G461" s="17">
        <v>6</v>
      </c>
      <c r="H461" s="36">
        <f>IFERROR(G461/$AD461,0)</f>
        <v>3.6585365853658534E-2</v>
      </c>
      <c r="I461" s="17">
        <v>234</v>
      </c>
      <c r="J461" s="36">
        <f>IFERROR(I461/$AC461,0)</f>
        <v>0.31409395973154364</v>
      </c>
      <c r="K461" s="17">
        <v>56</v>
      </c>
      <c r="L461" s="36">
        <f>IFERROR(K461/$AD461,0)</f>
        <v>0.34146341463414637</v>
      </c>
      <c r="M461" s="17">
        <v>276</v>
      </c>
      <c r="N461" s="36">
        <f>IFERROR(M461/$AC461,0)</f>
        <v>0.37046979865771812</v>
      </c>
      <c r="O461" s="17">
        <v>54</v>
      </c>
      <c r="P461" s="36">
        <f>IFERROR(O461/$AD461,0)</f>
        <v>0.32926829268292684</v>
      </c>
      <c r="Q461" s="17">
        <v>154</v>
      </c>
      <c r="R461" s="36">
        <f>IFERROR(Q461/$AC461,0)</f>
        <v>0.20671140939597316</v>
      </c>
      <c r="S461" s="17">
        <v>29</v>
      </c>
      <c r="T461" s="36">
        <f>IFERROR(S461/$AD461,0)</f>
        <v>0.17682926829268292</v>
      </c>
      <c r="U461" s="17">
        <v>47</v>
      </c>
      <c r="V461" s="36">
        <f>IFERROR(U461/$AC461,0)</f>
        <v>6.3087248322147654E-2</v>
      </c>
      <c r="W461" s="17">
        <v>15</v>
      </c>
      <c r="X461" s="36">
        <f>IFERROR(W461/$AD461,0)</f>
        <v>9.1463414634146339E-2</v>
      </c>
      <c r="Y461" s="17">
        <v>19</v>
      </c>
      <c r="Z461" s="36">
        <f>IFERROR(Y461/$AC461,0)</f>
        <v>2.5503355704697986E-2</v>
      </c>
      <c r="AA461" s="17">
        <v>4</v>
      </c>
      <c r="AB461" s="36">
        <f>IFERROR(AA461/$AD461,0)</f>
        <v>2.4390243902439025E-2</v>
      </c>
      <c r="AC461" s="17">
        <v>745</v>
      </c>
      <c r="AD461" s="17">
        <v>164</v>
      </c>
    </row>
    <row r="462" spans="1:30" ht="15.75" customHeight="1" x14ac:dyDescent="0.25">
      <c r="A462" s="37">
        <v>2021</v>
      </c>
      <c r="B462" s="35">
        <v>170625</v>
      </c>
      <c r="C462" s="34" t="s">
        <v>146</v>
      </c>
      <c r="D462" s="34" t="s">
        <v>48</v>
      </c>
      <c r="E462" s="17">
        <v>1</v>
      </c>
      <c r="F462" s="36">
        <f>IFERROR(E462/$AC462,0)</f>
        <v>6.1349693251533744E-3</v>
      </c>
      <c r="G462" s="17">
        <v>0</v>
      </c>
      <c r="H462" s="36">
        <f>IFERROR(G462/$AD462,0)</f>
        <v>0</v>
      </c>
      <c r="I462" s="17">
        <v>39</v>
      </c>
      <c r="J462" s="36">
        <f>IFERROR(I462/$AC462,0)</f>
        <v>0.2392638036809816</v>
      </c>
      <c r="K462" s="17">
        <v>4</v>
      </c>
      <c r="L462" s="36">
        <f>IFERROR(K462/$AD462,0)</f>
        <v>0.33333333333333331</v>
      </c>
      <c r="M462" s="17">
        <v>51</v>
      </c>
      <c r="N462" s="36">
        <f>IFERROR(M462/$AC462,0)</f>
        <v>0.31288343558282211</v>
      </c>
      <c r="O462" s="17">
        <v>2</v>
      </c>
      <c r="P462" s="36">
        <f>IFERROR(O462/$AD462,0)</f>
        <v>0.16666666666666666</v>
      </c>
      <c r="Q462" s="17">
        <v>41</v>
      </c>
      <c r="R462" s="36">
        <f>IFERROR(Q462/$AC462,0)</f>
        <v>0.25153374233128833</v>
      </c>
      <c r="S462" s="17">
        <v>1</v>
      </c>
      <c r="T462" s="36">
        <f>IFERROR(S462/$AD462,0)</f>
        <v>8.3333333333333329E-2</v>
      </c>
      <c r="U462" s="17">
        <v>20</v>
      </c>
      <c r="V462" s="36">
        <f>IFERROR(U462/$AC462,0)</f>
        <v>0.12269938650306748</v>
      </c>
      <c r="W462" s="17">
        <v>2</v>
      </c>
      <c r="X462" s="36">
        <f>IFERROR(W462/$AD462,0)</f>
        <v>0.16666666666666666</v>
      </c>
      <c r="Y462" s="17">
        <v>11</v>
      </c>
      <c r="Z462" s="36">
        <f>IFERROR(Y462/$AC462,0)</f>
        <v>6.7484662576687116E-2</v>
      </c>
      <c r="AA462" s="17">
        <v>3</v>
      </c>
      <c r="AB462" s="36">
        <f>IFERROR(AA462/$AD462,0)</f>
        <v>0.25</v>
      </c>
      <c r="AC462" s="17">
        <v>163</v>
      </c>
      <c r="AD462" s="17">
        <v>12</v>
      </c>
    </row>
    <row r="463" spans="1:30" ht="15.75" customHeight="1" x14ac:dyDescent="0.25">
      <c r="A463" s="37">
        <v>2021</v>
      </c>
      <c r="B463" s="35">
        <v>170650</v>
      </c>
      <c r="C463" s="34" t="s">
        <v>149</v>
      </c>
      <c r="D463" s="34" t="s">
        <v>49</v>
      </c>
      <c r="E463" s="17">
        <v>5</v>
      </c>
      <c r="F463" s="36">
        <f>IFERROR(E463/$AC463,0)</f>
        <v>1.4409221902017291E-2</v>
      </c>
      <c r="G463" s="17">
        <v>5</v>
      </c>
      <c r="H463" s="36">
        <f>IFERROR(G463/$AD463,0)</f>
        <v>2.2522522522522521E-2</v>
      </c>
      <c r="I463" s="17">
        <v>136</v>
      </c>
      <c r="J463" s="36">
        <f>IFERROR(I463/$AC463,0)</f>
        <v>0.39193083573487031</v>
      </c>
      <c r="K463" s="17">
        <v>80</v>
      </c>
      <c r="L463" s="36">
        <f>IFERROR(K463/$AD463,0)</f>
        <v>0.36036036036036034</v>
      </c>
      <c r="M463" s="17">
        <v>124</v>
      </c>
      <c r="N463" s="36">
        <f>IFERROR(M463/$AC463,0)</f>
        <v>0.35734870317002881</v>
      </c>
      <c r="O463" s="17">
        <v>74</v>
      </c>
      <c r="P463" s="36">
        <f>IFERROR(O463/$AD463,0)</f>
        <v>0.33333333333333331</v>
      </c>
      <c r="Q463" s="17">
        <v>55</v>
      </c>
      <c r="R463" s="36">
        <f>IFERROR(Q463/$AC463,0)</f>
        <v>0.15850144092219021</v>
      </c>
      <c r="S463" s="17">
        <v>37</v>
      </c>
      <c r="T463" s="36">
        <f>IFERROR(S463/$AD463,0)</f>
        <v>0.16666666666666666</v>
      </c>
      <c r="U463" s="17">
        <v>20</v>
      </c>
      <c r="V463" s="36">
        <f>IFERROR(U463/$AC463,0)</f>
        <v>5.7636887608069162E-2</v>
      </c>
      <c r="W463" s="17">
        <v>17</v>
      </c>
      <c r="X463" s="36">
        <f>IFERROR(W463/$AD463,0)</f>
        <v>7.6576576576576572E-2</v>
      </c>
      <c r="Y463" s="17">
        <v>7</v>
      </c>
      <c r="Z463" s="36">
        <f>IFERROR(Y463/$AC463,0)</f>
        <v>2.0172910662824207E-2</v>
      </c>
      <c r="AA463" s="17">
        <v>9</v>
      </c>
      <c r="AB463" s="36">
        <f>IFERROR(AA463/$AD463,0)</f>
        <v>4.0540540540540543E-2</v>
      </c>
      <c r="AC463" s="17">
        <v>347</v>
      </c>
      <c r="AD463" s="17">
        <v>222</v>
      </c>
    </row>
    <row r="464" spans="1:30" ht="15.75" customHeight="1" x14ac:dyDescent="0.25">
      <c r="A464" s="37">
        <v>2021</v>
      </c>
      <c r="B464" s="35">
        <v>170700</v>
      </c>
      <c r="C464" s="34" t="s">
        <v>147</v>
      </c>
      <c r="D464" s="34" t="s">
        <v>50</v>
      </c>
      <c r="E464" s="17">
        <v>38</v>
      </c>
      <c r="F464" s="36">
        <f>IFERROR(E464/$AC464,0)</f>
        <v>1.5510204081632653E-2</v>
      </c>
      <c r="G464" s="17">
        <v>7</v>
      </c>
      <c r="H464" s="36">
        <f>IFERROR(G464/$AD464,0)</f>
        <v>1.4925373134328358E-2</v>
      </c>
      <c r="I464" s="17">
        <v>843</v>
      </c>
      <c r="J464" s="36">
        <f>IFERROR(I464/$AC464,0)</f>
        <v>0.34408163265306124</v>
      </c>
      <c r="K464" s="17">
        <v>155</v>
      </c>
      <c r="L464" s="36">
        <f>IFERROR(K464/$AD464,0)</f>
        <v>0.33049040511727079</v>
      </c>
      <c r="M464" s="17">
        <v>874</v>
      </c>
      <c r="N464" s="36">
        <f>IFERROR(M464/$AC464,0)</f>
        <v>0.35673469387755102</v>
      </c>
      <c r="O464" s="17">
        <v>170</v>
      </c>
      <c r="P464" s="36">
        <f>IFERROR(O464/$AD464,0)</f>
        <v>0.36247334754797439</v>
      </c>
      <c r="Q464" s="17">
        <v>464</v>
      </c>
      <c r="R464" s="36">
        <f>IFERROR(Q464/$AC464,0)</f>
        <v>0.18938775510204081</v>
      </c>
      <c r="S464" s="17">
        <v>91</v>
      </c>
      <c r="T464" s="36">
        <f>IFERROR(S464/$AD464,0)</f>
        <v>0.19402985074626866</v>
      </c>
      <c r="U464" s="17">
        <v>155</v>
      </c>
      <c r="V464" s="36">
        <f>IFERROR(U464/$AC464,0)</f>
        <v>6.3265306122448975E-2</v>
      </c>
      <c r="W464" s="17">
        <v>29</v>
      </c>
      <c r="X464" s="36">
        <f>IFERROR(W464/$AD464,0)</f>
        <v>6.1833688699360338E-2</v>
      </c>
      <c r="Y464" s="17">
        <v>76</v>
      </c>
      <c r="Z464" s="36">
        <f>IFERROR(Y464/$AC464,0)</f>
        <v>3.1020408163265307E-2</v>
      </c>
      <c r="AA464" s="17">
        <v>17</v>
      </c>
      <c r="AB464" s="36">
        <f>IFERROR(AA464/$AD464,0)</f>
        <v>3.6247334754797439E-2</v>
      </c>
      <c r="AC464" s="16">
        <v>2450</v>
      </c>
      <c r="AD464" s="17">
        <v>469</v>
      </c>
    </row>
    <row r="465" spans="1:30" ht="15.75" customHeight="1" x14ac:dyDescent="0.25">
      <c r="A465" s="37">
        <v>2021</v>
      </c>
      <c r="B465" s="35">
        <v>170710</v>
      </c>
      <c r="C465" s="34" t="s">
        <v>144</v>
      </c>
      <c r="D465" s="34" t="s">
        <v>51</v>
      </c>
      <c r="E465" s="17">
        <v>13</v>
      </c>
      <c r="F465" s="36">
        <f>IFERROR(E465/$AC465,0)</f>
        <v>2.6422764227642278E-2</v>
      </c>
      <c r="G465" s="17">
        <v>9</v>
      </c>
      <c r="H465" s="36">
        <f>IFERROR(G465/$AD465,0)</f>
        <v>4.9180327868852458E-2</v>
      </c>
      <c r="I465" s="17">
        <v>155</v>
      </c>
      <c r="J465" s="36">
        <f>IFERROR(I465/$AC465,0)</f>
        <v>0.31504065040650409</v>
      </c>
      <c r="K465" s="17">
        <v>63</v>
      </c>
      <c r="L465" s="36">
        <f>IFERROR(K465/$AD465,0)</f>
        <v>0.34426229508196721</v>
      </c>
      <c r="M465" s="17">
        <v>177</v>
      </c>
      <c r="N465" s="36">
        <f>IFERROR(M465/$AC465,0)</f>
        <v>0.3597560975609756</v>
      </c>
      <c r="O465" s="17">
        <v>66</v>
      </c>
      <c r="P465" s="36">
        <f>IFERROR(O465/$AD465,0)</f>
        <v>0.36065573770491804</v>
      </c>
      <c r="Q465" s="17">
        <v>79</v>
      </c>
      <c r="R465" s="36">
        <f>IFERROR(Q465/$AC465,0)</f>
        <v>0.16056910569105692</v>
      </c>
      <c r="S465" s="17">
        <v>25</v>
      </c>
      <c r="T465" s="36">
        <f>IFERROR(S465/$AD465,0)</f>
        <v>0.13661202185792351</v>
      </c>
      <c r="U465" s="17">
        <v>45</v>
      </c>
      <c r="V465" s="36">
        <f>IFERROR(U465/$AC465,0)</f>
        <v>9.1463414634146339E-2</v>
      </c>
      <c r="W465" s="17">
        <v>11</v>
      </c>
      <c r="X465" s="36">
        <f>IFERROR(W465/$AD465,0)</f>
        <v>6.0109289617486336E-2</v>
      </c>
      <c r="Y465" s="17">
        <v>23</v>
      </c>
      <c r="Z465" s="36">
        <f>IFERROR(Y465/$AC465,0)</f>
        <v>4.6747967479674794E-2</v>
      </c>
      <c r="AA465" s="17">
        <v>9</v>
      </c>
      <c r="AB465" s="36">
        <f>IFERROR(AA465/$AD465,0)</f>
        <v>4.9180327868852458E-2</v>
      </c>
      <c r="AC465" s="17">
        <v>492</v>
      </c>
      <c r="AD465" s="17">
        <v>183</v>
      </c>
    </row>
    <row r="466" spans="1:30" ht="15.75" customHeight="1" x14ac:dyDescent="0.25">
      <c r="A466" s="37">
        <v>2021</v>
      </c>
      <c r="B466" s="35">
        <v>170720</v>
      </c>
      <c r="C466" s="34" t="s">
        <v>144</v>
      </c>
      <c r="D466" s="34" t="s">
        <v>52</v>
      </c>
      <c r="E466" s="17">
        <v>11</v>
      </c>
      <c r="F466" s="36">
        <f>IFERROR(E466/$AC466,0)</f>
        <v>2.0833333333333332E-2</v>
      </c>
      <c r="G466" s="17">
        <v>8</v>
      </c>
      <c r="H466" s="36">
        <f>IFERROR(G466/$AD466,0)</f>
        <v>2.4922118380062305E-2</v>
      </c>
      <c r="I466" s="17">
        <v>189</v>
      </c>
      <c r="J466" s="36">
        <f>IFERROR(I466/$AC466,0)</f>
        <v>0.35795454545454547</v>
      </c>
      <c r="K466" s="17">
        <v>108</v>
      </c>
      <c r="L466" s="36">
        <f>IFERROR(K466/$AD466,0)</f>
        <v>0.3364485981308411</v>
      </c>
      <c r="M466" s="17">
        <v>203</v>
      </c>
      <c r="N466" s="36">
        <f>IFERROR(M466/$AC466,0)</f>
        <v>0.38446969696969696</v>
      </c>
      <c r="O466" s="17">
        <v>119</v>
      </c>
      <c r="P466" s="36">
        <f>IFERROR(O466/$AD466,0)</f>
        <v>0.37071651090342678</v>
      </c>
      <c r="Q466" s="17">
        <v>85</v>
      </c>
      <c r="R466" s="36">
        <f>IFERROR(Q466/$AC466,0)</f>
        <v>0.16098484848484848</v>
      </c>
      <c r="S466" s="17">
        <v>56</v>
      </c>
      <c r="T466" s="36">
        <f>IFERROR(S466/$AD466,0)</f>
        <v>0.17445482866043613</v>
      </c>
      <c r="U466" s="17">
        <v>31</v>
      </c>
      <c r="V466" s="36">
        <f>IFERROR(U466/$AC466,0)</f>
        <v>5.8712121212121215E-2</v>
      </c>
      <c r="W466" s="17">
        <v>23</v>
      </c>
      <c r="X466" s="36">
        <f>IFERROR(W466/$AD466,0)</f>
        <v>7.1651090342679122E-2</v>
      </c>
      <c r="Y466" s="17">
        <v>9</v>
      </c>
      <c r="Z466" s="36">
        <f>IFERROR(Y466/$AC466,0)</f>
        <v>1.7045454545454544E-2</v>
      </c>
      <c r="AA466" s="17">
        <v>7</v>
      </c>
      <c r="AB466" s="36">
        <f>IFERROR(AA466/$AD466,0)</f>
        <v>2.1806853582554516E-2</v>
      </c>
      <c r="AC466" s="17">
        <v>528</v>
      </c>
      <c r="AD466" s="17">
        <v>321</v>
      </c>
    </row>
    <row r="467" spans="1:30" ht="15.75" customHeight="1" x14ac:dyDescent="0.25">
      <c r="A467" s="37">
        <v>2021</v>
      </c>
      <c r="B467" s="35">
        <v>170730</v>
      </c>
      <c r="C467" s="34" t="s">
        <v>146</v>
      </c>
      <c r="D467" s="34" t="s">
        <v>53</v>
      </c>
      <c r="E467" s="17">
        <v>20</v>
      </c>
      <c r="F467" s="36">
        <f>IFERROR(E467/$AC467,0)</f>
        <v>4.4742729306487698E-2</v>
      </c>
      <c r="G467" s="17">
        <v>16</v>
      </c>
      <c r="H467" s="36">
        <f>IFERROR(G467/$AD467,0)</f>
        <v>0.10738255033557047</v>
      </c>
      <c r="I467" s="17">
        <v>141</v>
      </c>
      <c r="J467" s="36">
        <f>IFERROR(I467/$AC467,0)</f>
        <v>0.31543624161073824</v>
      </c>
      <c r="K467" s="17">
        <v>49</v>
      </c>
      <c r="L467" s="36">
        <f>IFERROR(K467/$AD467,0)</f>
        <v>0.32885906040268459</v>
      </c>
      <c r="M467" s="17">
        <v>148</v>
      </c>
      <c r="N467" s="36">
        <f>IFERROR(M467/$AC467,0)</f>
        <v>0.33109619686800895</v>
      </c>
      <c r="O467" s="17">
        <v>43</v>
      </c>
      <c r="P467" s="36">
        <f>IFERROR(O467/$AD467,0)</f>
        <v>0.28859060402684567</v>
      </c>
      <c r="Q467" s="17">
        <v>85</v>
      </c>
      <c r="R467" s="36">
        <f>IFERROR(Q467/$AC467,0)</f>
        <v>0.19015659955257272</v>
      </c>
      <c r="S467" s="17">
        <v>26</v>
      </c>
      <c r="T467" s="36">
        <f>IFERROR(S467/$AD467,0)</f>
        <v>0.17449664429530201</v>
      </c>
      <c r="U467" s="17">
        <v>37</v>
      </c>
      <c r="V467" s="36">
        <f>IFERROR(U467/$AC467,0)</f>
        <v>8.2774049217002238E-2</v>
      </c>
      <c r="W467" s="17">
        <v>10</v>
      </c>
      <c r="X467" s="36">
        <f>IFERROR(W467/$AD467,0)</f>
        <v>6.7114093959731544E-2</v>
      </c>
      <c r="Y467" s="17">
        <v>16</v>
      </c>
      <c r="Z467" s="36">
        <f>IFERROR(Y467/$AC467,0)</f>
        <v>3.5794183445190156E-2</v>
      </c>
      <c r="AA467" s="17">
        <v>5</v>
      </c>
      <c r="AB467" s="36">
        <f>IFERROR(AA467/$AD467,0)</f>
        <v>3.3557046979865772E-2</v>
      </c>
      <c r="AC467" s="17">
        <v>447</v>
      </c>
      <c r="AD467" s="17">
        <v>149</v>
      </c>
    </row>
    <row r="468" spans="1:30" ht="15.75" customHeight="1" x14ac:dyDescent="0.25">
      <c r="A468" s="37">
        <v>2021</v>
      </c>
      <c r="B468" s="35">
        <v>170740</v>
      </c>
      <c r="C468" s="34" t="s">
        <v>145</v>
      </c>
      <c r="D468" s="34" t="s">
        <v>54</v>
      </c>
      <c r="E468" s="17">
        <v>41</v>
      </c>
      <c r="F468" s="36">
        <f>IFERROR(E468/$AC468,0)</f>
        <v>2.6231605886116442E-2</v>
      </c>
      <c r="G468" s="17">
        <v>15</v>
      </c>
      <c r="H468" s="36">
        <f>IFERROR(G468/$AD468,0)</f>
        <v>3.048780487804878E-2</v>
      </c>
      <c r="I468" s="17">
        <v>500</v>
      </c>
      <c r="J468" s="36">
        <f>IFERROR(I468/$AC468,0)</f>
        <v>0.31989763275751759</v>
      </c>
      <c r="K468" s="17">
        <v>166</v>
      </c>
      <c r="L468" s="36">
        <f>IFERROR(K468/$AD468,0)</f>
        <v>0.33739837398373984</v>
      </c>
      <c r="M468" s="17">
        <v>551</v>
      </c>
      <c r="N468" s="36">
        <f>IFERROR(M468/$AC468,0)</f>
        <v>0.3525271912987844</v>
      </c>
      <c r="O468" s="17">
        <v>163</v>
      </c>
      <c r="P468" s="36">
        <f>IFERROR(O468/$AD468,0)</f>
        <v>0.33130081300813008</v>
      </c>
      <c r="Q468" s="17">
        <v>309</v>
      </c>
      <c r="R468" s="36">
        <f>IFERROR(Q468/$AC468,0)</f>
        <v>0.19769673704414586</v>
      </c>
      <c r="S468" s="17">
        <v>93</v>
      </c>
      <c r="T468" s="36">
        <f>IFERROR(S468/$AD468,0)</f>
        <v>0.18902439024390244</v>
      </c>
      <c r="U468" s="17">
        <v>118</v>
      </c>
      <c r="V468" s="36">
        <f>IFERROR(U468/$AC468,0)</f>
        <v>7.5495841330774152E-2</v>
      </c>
      <c r="W468" s="17">
        <v>39</v>
      </c>
      <c r="X468" s="36">
        <f>IFERROR(W468/$AD468,0)</f>
        <v>7.926829268292683E-2</v>
      </c>
      <c r="Y468" s="17">
        <v>44</v>
      </c>
      <c r="Z468" s="36">
        <f>IFERROR(Y468/$AC468,0)</f>
        <v>2.8150991682661549E-2</v>
      </c>
      <c r="AA468" s="17">
        <v>16</v>
      </c>
      <c r="AB468" s="36">
        <f>IFERROR(AA468/$AD468,0)</f>
        <v>3.2520325203252036E-2</v>
      </c>
      <c r="AC468" s="16">
        <v>1563</v>
      </c>
      <c r="AD468" s="17">
        <v>492</v>
      </c>
    </row>
    <row r="469" spans="1:30" ht="15.75" customHeight="1" x14ac:dyDescent="0.25">
      <c r="A469" s="37">
        <v>2021</v>
      </c>
      <c r="B469" s="35">
        <v>170755</v>
      </c>
      <c r="C469" s="34" t="s">
        <v>151</v>
      </c>
      <c r="D469" s="34" t="s">
        <v>55</v>
      </c>
      <c r="E469" s="17">
        <v>0</v>
      </c>
      <c r="F469" s="36">
        <f>IFERROR(E469/$AC469,0)</f>
        <v>0</v>
      </c>
      <c r="G469" s="17">
        <v>0</v>
      </c>
      <c r="H469" s="36">
        <f>IFERROR(G469/$AD469,0)</f>
        <v>0</v>
      </c>
      <c r="I469" s="17">
        <v>14</v>
      </c>
      <c r="J469" s="36">
        <f>IFERROR(I469/$AC469,0)</f>
        <v>0.24561403508771928</v>
      </c>
      <c r="K469" s="17">
        <v>3</v>
      </c>
      <c r="L469" s="36">
        <f>IFERROR(K469/$AD469,0)</f>
        <v>0.33333333333333331</v>
      </c>
      <c r="M469" s="17">
        <v>20</v>
      </c>
      <c r="N469" s="36">
        <f>IFERROR(M469/$AC469,0)</f>
        <v>0.35087719298245612</v>
      </c>
      <c r="O469" s="17">
        <v>4</v>
      </c>
      <c r="P469" s="36">
        <f>IFERROR(O469/$AD469,0)</f>
        <v>0.44444444444444442</v>
      </c>
      <c r="Q469" s="17">
        <v>15</v>
      </c>
      <c r="R469" s="36">
        <f>IFERROR(Q469/$AC469,0)</f>
        <v>0.26315789473684209</v>
      </c>
      <c r="S469" s="17">
        <v>2</v>
      </c>
      <c r="T469" s="36">
        <f>IFERROR(S469/$AD469,0)</f>
        <v>0.22222222222222221</v>
      </c>
      <c r="U469" s="17">
        <v>4</v>
      </c>
      <c r="V469" s="36">
        <f>IFERROR(U469/$AC469,0)</f>
        <v>7.0175438596491224E-2</v>
      </c>
      <c r="W469" s="17">
        <v>0</v>
      </c>
      <c r="X469" s="36">
        <f>IFERROR(W469/$AD469,0)</f>
        <v>0</v>
      </c>
      <c r="Y469" s="17">
        <v>4</v>
      </c>
      <c r="Z469" s="36">
        <f>IFERROR(Y469/$AC469,0)</f>
        <v>7.0175438596491224E-2</v>
      </c>
      <c r="AA469" s="17">
        <v>0</v>
      </c>
      <c r="AB469" s="36">
        <f>IFERROR(AA469/$AD469,0)</f>
        <v>0</v>
      </c>
      <c r="AC469" s="17">
        <v>57</v>
      </c>
      <c r="AD469" s="17">
        <v>9</v>
      </c>
    </row>
    <row r="470" spans="1:30" ht="15.75" customHeight="1" x14ac:dyDescent="0.25">
      <c r="A470" s="37">
        <v>2021</v>
      </c>
      <c r="B470" s="35">
        <v>170765</v>
      </c>
      <c r="C470" s="34" t="s">
        <v>146</v>
      </c>
      <c r="D470" s="34" t="s">
        <v>56</v>
      </c>
      <c r="E470" s="17">
        <v>13</v>
      </c>
      <c r="F470" s="36">
        <f>IFERROR(E470/$AC470,0)</f>
        <v>2.914798206278027E-2</v>
      </c>
      <c r="G470" s="17">
        <v>8</v>
      </c>
      <c r="H470" s="36">
        <f>IFERROR(G470/$AD470,0)</f>
        <v>3.4632034632034632E-2</v>
      </c>
      <c r="I470" s="17">
        <v>142</v>
      </c>
      <c r="J470" s="36">
        <f>IFERROR(I470/$AC470,0)</f>
        <v>0.31838565022421522</v>
      </c>
      <c r="K470" s="17">
        <v>79</v>
      </c>
      <c r="L470" s="36">
        <f>IFERROR(K470/$AD470,0)</f>
        <v>0.34199134199134201</v>
      </c>
      <c r="M470" s="17">
        <v>159</v>
      </c>
      <c r="N470" s="36">
        <f>IFERROR(M470/$AC470,0)</f>
        <v>0.35650224215246634</v>
      </c>
      <c r="O470" s="17">
        <v>73</v>
      </c>
      <c r="P470" s="36">
        <f>IFERROR(O470/$AD470,0)</f>
        <v>0.31601731601731603</v>
      </c>
      <c r="Q470" s="17">
        <v>81</v>
      </c>
      <c r="R470" s="36">
        <f>IFERROR(Q470/$AC470,0)</f>
        <v>0.18161434977578475</v>
      </c>
      <c r="S470" s="17">
        <v>43</v>
      </c>
      <c r="T470" s="36">
        <f>IFERROR(S470/$AD470,0)</f>
        <v>0.18614718614718614</v>
      </c>
      <c r="U470" s="17">
        <v>31</v>
      </c>
      <c r="V470" s="36">
        <f>IFERROR(U470/$AC470,0)</f>
        <v>6.9506726457399109E-2</v>
      </c>
      <c r="W470" s="17">
        <v>17</v>
      </c>
      <c r="X470" s="36">
        <f>IFERROR(W470/$AD470,0)</f>
        <v>7.3593073593073599E-2</v>
      </c>
      <c r="Y470" s="17">
        <v>20</v>
      </c>
      <c r="Z470" s="36">
        <f>IFERROR(Y470/$AC470,0)</f>
        <v>4.4843049327354258E-2</v>
      </c>
      <c r="AA470" s="17">
        <v>11</v>
      </c>
      <c r="AB470" s="36">
        <f>IFERROR(AA470/$AD470,0)</f>
        <v>4.7619047619047616E-2</v>
      </c>
      <c r="AC470" s="17">
        <v>446</v>
      </c>
      <c r="AD470" s="17">
        <v>231</v>
      </c>
    </row>
    <row r="471" spans="1:30" ht="15.75" customHeight="1" x14ac:dyDescent="0.25">
      <c r="A471" s="37">
        <v>2021</v>
      </c>
      <c r="B471" s="35">
        <v>170770</v>
      </c>
      <c r="C471" s="34" t="s">
        <v>149</v>
      </c>
      <c r="D471" s="34" t="s">
        <v>57</v>
      </c>
      <c r="E471" s="17">
        <v>27</v>
      </c>
      <c r="F471" s="36">
        <f>IFERROR(E471/$AC471,0)</f>
        <v>3.3047735618115054E-2</v>
      </c>
      <c r="G471" s="17">
        <v>24</v>
      </c>
      <c r="H471" s="36">
        <f>IFERROR(G471/$AD471,0)</f>
        <v>4.9689440993788817E-2</v>
      </c>
      <c r="I471" s="17">
        <v>265</v>
      </c>
      <c r="J471" s="36">
        <f>IFERROR(I471/$AC471,0)</f>
        <v>0.32435740514075889</v>
      </c>
      <c r="K471" s="17">
        <v>167</v>
      </c>
      <c r="L471" s="36">
        <f>IFERROR(K471/$AD471,0)</f>
        <v>0.34575569358178054</v>
      </c>
      <c r="M471" s="17">
        <v>261</v>
      </c>
      <c r="N471" s="36">
        <f>IFERROR(M471/$AC471,0)</f>
        <v>0.31946144430844553</v>
      </c>
      <c r="O471" s="17">
        <v>133</v>
      </c>
      <c r="P471" s="36">
        <f>IFERROR(O471/$AD471,0)</f>
        <v>0.27536231884057971</v>
      </c>
      <c r="Q471" s="17">
        <v>169</v>
      </c>
      <c r="R471" s="36">
        <f>IFERROR(Q471/$AC471,0)</f>
        <v>0.20685434516523868</v>
      </c>
      <c r="S471" s="17">
        <v>102</v>
      </c>
      <c r="T471" s="36">
        <f>IFERROR(S471/$AD471,0)</f>
        <v>0.21118012422360249</v>
      </c>
      <c r="U471" s="17">
        <v>67</v>
      </c>
      <c r="V471" s="36">
        <f>IFERROR(U471/$AC471,0)</f>
        <v>8.2007343941248464E-2</v>
      </c>
      <c r="W471" s="17">
        <v>37</v>
      </c>
      <c r="X471" s="36">
        <f>IFERROR(W471/$AD471,0)</f>
        <v>7.6604554865424432E-2</v>
      </c>
      <c r="Y471" s="17">
        <v>28</v>
      </c>
      <c r="Z471" s="36">
        <f>IFERROR(Y471/$AC471,0)</f>
        <v>3.4271725826193387E-2</v>
      </c>
      <c r="AA471" s="17">
        <v>20</v>
      </c>
      <c r="AB471" s="36">
        <f>IFERROR(AA471/$AD471,0)</f>
        <v>4.1407867494824016E-2</v>
      </c>
      <c r="AC471" s="17">
        <v>817</v>
      </c>
      <c r="AD471" s="17">
        <v>483</v>
      </c>
    </row>
    <row r="472" spans="1:30" ht="15.75" customHeight="1" x14ac:dyDescent="0.25">
      <c r="A472" s="37">
        <v>2021</v>
      </c>
      <c r="B472" s="35">
        <v>170820</v>
      </c>
      <c r="C472" s="34" t="s">
        <v>146</v>
      </c>
      <c r="D472" s="34" t="s">
        <v>58</v>
      </c>
      <c r="E472" s="17">
        <v>40</v>
      </c>
      <c r="F472" s="36">
        <f>IFERROR(E472/$AC472,0)</f>
        <v>2.700877785280216E-2</v>
      </c>
      <c r="G472" s="17">
        <v>26</v>
      </c>
      <c r="H472" s="36">
        <f>IFERROR(G472/$AD472,0)</f>
        <v>3.4759358288770054E-2</v>
      </c>
      <c r="I472" s="17">
        <v>444</v>
      </c>
      <c r="J472" s="36">
        <f>IFERROR(I472/$AC472,0)</f>
        <v>0.29979743416610399</v>
      </c>
      <c r="K472" s="17">
        <v>232</v>
      </c>
      <c r="L472" s="36">
        <f>IFERROR(K472/$AD472,0)</f>
        <v>0.31016042780748665</v>
      </c>
      <c r="M472" s="17">
        <v>501</v>
      </c>
      <c r="N472" s="36">
        <f>IFERROR(M472/$AC472,0)</f>
        <v>0.33828494260634706</v>
      </c>
      <c r="O472" s="17">
        <v>235</v>
      </c>
      <c r="P472" s="36">
        <f>IFERROR(O472/$AD472,0)</f>
        <v>0.31417112299465239</v>
      </c>
      <c r="Q472" s="17">
        <v>323</v>
      </c>
      <c r="R472" s="36">
        <f>IFERROR(Q472/$AC472,0)</f>
        <v>0.21809588116137746</v>
      </c>
      <c r="S472" s="17">
        <v>167</v>
      </c>
      <c r="T472" s="36">
        <f>IFERROR(S472/$AD472,0)</f>
        <v>0.2232620320855615</v>
      </c>
      <c r="U472" s="17">
        <v>116</v>
      </c>
      <c r="V472" s="36">
        <f>IFERROR(U472/$AC472,0)</f>
        <v>7.832545577312626E-2</v>
      </c>
      <c r="W472" s="17">
        <v>57</v>
      </c>
      <c r="X472" s="36">
        <f>IFERROR(W472/$AD472,0)</f>
        <v>7.6203208556149732E-2</v>
      </c>
      <c r="Y472" s="17">
        <v>57</v>
      </c>
      <c r="Z472" s="36">
        <f>IFERROR(Y472/$AC472,0)</f>
        <v>3.8487508440243082E-2</v>
      </c>
      <c r="AA472" s="17">
        <v>31</v>
      </c>
      <c r="AB472" s="36">
        <f>IFERROR(AA472/$AD472,0)</f>
        <v>4.1443850267379678E-2</v>
      </c>
      <c r="AC472" s="16">
        <v>1481</v>
      </c>
      <c r="AD472" s="17">
        <v>748</v>
      </c>
    </row>
    <row r="473" spans="1:30" ht="15.75" customHeight="1" x14ac:dyDescent="0.25">
      <c r="A473" s="37">
        <v>2021</v>
      </c>
      <c r="B473" s="35">
        <v>170830</v>
      </c>
      <c r="C473" s="34" t="s">
        <v>150</v>
      </c>
      <c r="D473" s="34" t="s">
        <v>59</v>
      </c>
      <c r="E473" s="17">
        <v>6</v>
      </c>
      <c r="F473" s="36">
        <f>IFERROR(E473/$AC473,0)</f>
        <v>1.7964071856287425E-2</v>
      </c>
      <c r="G473" s="17">
        <v>5</v>
      </c>
      <c r="H473" s="36">
        <f>IFERROR(G473/$AD473,0)</f>
        <v>2.9585798816568046E-2</v>
      </c>
      <c r="I473" s="17">
        <v>95</v>
      </c>
      <c r="J473" s="36">
        <f>IFERROR(I473/$AC473,0)</f>
        <v>0.28443113772455092</v>
      </c>
      <c r="K473" s="17">
        <v>45</v>
      </c>
      <c r="L473" s="36">
        <f>IFERROR(K473/$AD473,0)</f>
        <v>0.26627218934911245</v>
      </c>
      <c r="M473" s="17">
        <v>122</v>
      </c>
      <c r="N473" s="36">
        <f>IFERROR(M473/$AC473,0)</f>
        <v>0.3652694610778443</v>
      </c>
      <c r="O473" s="17">
        <v>60</v>
      </c>
      <c r="P473" s="36">
        <f>IFERROR(O473/$AD473,0)</f>
        <v>0.35502958579881655</v>
      </c>
      <c r="Q473" s="17">
        <v>79</v>
      </c>
      <c r="R473" s="36">
        <f>IFERROR(Q473/$AC473,0)</f>
        <v>0.23652694610778444</v>
      </c>
      <c r="S473" s="17">
        <v>39</v>
      </c>
      <c r="T473" s="36">
        <f>IFERROR(S473/$AD473,0)</f>
        <v>0.23076923076923078</v>
      </c>
      <c r="U473" s="17">
        <v>18</v>
      </c>
      <c r="V473" s="36">
        <f>IFERROR(U473/$AC473,0)</f>
        <v>5.3892215568862277E-2</v>
      </c>
      <c r="W473" s="17">
        <v>11</v>
      </c>
      <c r="X473" s="36">
        <f>IFERROR(W473/$AD473,0)</f>
        <v>6.5088757396449703E-2</v>
      </c>
      <c r="Y473" s="17">
        <v>14</v>
      </c>
      <c r="Z473" s="36">
        <f>IFERROR(Y473/$AC473,0)</f>
        <v>4.1916167664670656E-2</v>
      </c>
      <c r="AA473" s="17">
        <v>9</v>
      </c>
      <c r="AB473" s="36">
        <f>IFERROR(AA473/$AD473,0)</f>
        <v>5.3254437869822487E-2</v>
      </c>
      <c r="AC473" s="17">
        <v>334</v>
      </c>
      <c r="AD473" s="17">
        <v>169</v>
      </c>
    </row>
    <row r="474" spans="1:30" ht="15.75" customHeight="1" x14ac:dyDescent="0.25">
      <c r="A474" s="37">
        <v>2021</v>
      </c>
      <c r="B474" s="35">
        <v>170900</v>
      </c>
      <c r="C474" s="34" t="s">
        <v>149</v>
      </c>
      <c r="D474" s="34" t="s">
        <v>60</v>
      </c>
      <c r="E474" s="17">
        <v>34</v>
      </c>
      <c r="F474" s="36">
        <f>IFERROR(E474/$AC474,0)</f>
        <v>3.1775700934579439E-2</v>
      </c>
      <c r="G474" s="17">
        <v>14</v>
      </c>
      <c r="H474" s="36">
        <f>IFERROR(G474/$AD474,0)</f>
        <v>2.8629856850715747E-2</v>
      </c>
      <c r="I474" s="17">
        <v>402</v>
      </c>
      <c r="J474" s="36">
        <f>IFERROR(I474/$AC474,0)</f>
        <v>0.37570093457943926</v>
      </c>
      <c r="K474" s="17">
        <v>204</v>
      </c>
      <c r="L474" s="36">
        <f>IFERROR(K474/$AD474,0)</f>
        <v>0.41717791411042943</v>
      </c>
      <c r="M474" s="17">
        <v>372</v>
      </c>
      <c r="N474" s="36">
        <f>IFERROR(M474/$AC474,0)</f>
        <v>0.34766355140186916</v>
      </c>
      <c r="O474" s="17">
        <v>161</v>
      </c>
      <c r="P474" s="36">
        <f>IFERROR(O474/$AD474,0)</f>
        <v>0.32924335378323111</v>
      </c>
      <c r="Q474" s="17">
        <v>182</v>
      </c>
      <c r="R474" s="36">
        <f>IFERROR(Q474/$AC474,0)</f>
        <v>0.17009345794392525</v>
      </c>
      <c r="S474" s="17">
        <v>76</v>
      </c>
      <c r="T474" s="36">
        <f>IFERROR(S474/$AD474,0)</f>
        <v>0.15541922290388549</v>
      </c>
      <c r="U474" s="17">
        <v>57</v>
      </c>
      <c r="V474" s="36">
        <f>IFERROR(U474/$AC474,0)</f>
        <v>5.3271028037383178E-2</v>
      </c>
      <c r="W474" s="17">
        <v>28</v>
      </c>
      <c r="X474" s="36">
        <f>IFERROR(W474/$AD474,0)</f>
        <v>5.7259713701431493E-2</v>
      </c>
      <c r="Y474" s="17">
        <v>23</v>
      </c>
      <c r="Z474" s="36">
        <f>IFERROR(Y474/$AC474,0)</f>
        <v>2.1495327102803739E-2</v>
      </c>
      <c r="AA474" s="17">
        <v>6</v>
      </c>
      <c r="AB474" s="36">
        <f>IFERROR(AA474/$AD474,0)</f>
        <v>1.2269938650306749E-2</v>
      </c>
      <c r="AC474" s="16">
        <v>1070</v>
      </c>
      <c r="AD474" s="17">
        <v>489</v>
      </c>
    </row>
    <row r="475" spans="1:30" ht="15.75" customHeight="1" x14ac:dyDescent="0.25">
      <c r="A475" s="37">
        <v>2021</v>
      </c>
      <c r="B475" s="35">
        <v>170930</v>
      </c>
      <c r="C475" s="34" t="s">
        <v>150</v>
      </c>
      <c r="D475" s="34" t="s">
        <v>61</v>
      </c>
      <c r="E475" s="17">
        <v>43</v>
      </c>
      <c r="F475" s="36">
        <f>IFERROR(E475/$AC475,0)</f>
        <v>2.0515267175572519E-2</v>
      </c>
      <c r="G475" s="17">
        <v>6</v>
      </c>
      <c r="H475" s="36">
        <f>IFERROR(G475/$AD475,0)</f>
        <v>1.9169329073482427E-2</v>
      </c>
      <c r="I475" s="17">
        <v>676</v>
      </c>
      <c r="J475" s="36">
        <f>IFERROR(I475/$AC475,0)</f>
        <v>0.32251908396946566</v>
      </c>
      <c r="K475" s="17">
        <v>114</v>
      </c>
      <c r="L475" s="36">
        <f>IFERROR(K475/$AD475,0)</f>
        <v>0.36421725239616615</v>
      </c>
      <c r="M475" s="17">
        <v>758</v>
      </c>
      <c r="N475" s="36">
        <f>IFERROR(M475/$AC475,0)</f>
        <v>0.36164122137404581</v>
      </c>
      <c r="O475" s="17">
        <v>92</v>
      </c>
      <c r="P475" s="36">
        <f>IFERROR(O475/$AD475,0)</f>
        <v>0.29392971246006389</v>
      </c>
      <c r="Q475" s="17">
        <v>418</v>
      </c>
      <c r="R475" s="36">
        <f>IFERROR(Q475/$AC475,0)</f>
        <v>0.19942748091603055</v>
      </c>
      <c r="S475" s="17">
        <v>66</v>
      </c>
      <c r="T475" s="36">
        <f>IFERROR(S475/$AD475,0)</f>
        <v>0.2108626198083067</v>
      </c>
      <c r="U475" s="17">
        <v>132</v>
      </c>
      <c r="V475" s="36">
        <f>IFERROR(U475/$AC475,0)</f>
        <v>6.2977099236641215E-2</v>
      </c>
      <c r="W475" s="17">
        <v>22</v>
      </c>
      <c r="X475" s="36">
        <f>IFERROR(W475/$AD475,0)</f>
        <v>7.0287539936102233E-2</v>
      </c>
      <c r="Y475" s="17">
        <v>69</v>
      </c>
      <c r="Z475" s="36">
        <f>IFERROR(Y475/$AC475,0)</f>
        <v>3.2919847328244274E-2</v>
      </c>
      <c r="AA475" s="17">
        <v>13</v>
      </c>
      <c r="AB475" s="36">
        <f>IFERROR(AA475/$AD475,0)</f>
        <v>4.1533546325878593E-2</v>
      </c>
      <c r="AC475" s="16">
        <v>2096</v>
      </c>
      <c r="AD475" s="17">
        <v>313</v>
      </c>
    </row>
    <row r="476" spans="1:30" ht="15.75" customHeight="1" x14ac:dyDescent="0.25">
      <c r="A476" s="37">
        <v>2021</v>
      </c>
      <c r="B476" s="35">
        <v>170950</v>
      </c>
      <c r="C476" s="34" t="s">
        <v>146</v>
      </c>
      <c r="D476" s="34" t="s">
        <v>62</v>
      </c>
      <c r="E476" s="17">
        <v>177</v>
      </c>
      <c r="F476" s="36">
        <f>IFERROR(E476/$AC476,0)</f>
        <v>3.5063391442155312E-2</v>
      </c>
      <c r="G476" s="17">
        <v>128</v>
      </c>
      <c r="H476" s="36">
        <f>IFERROR(G476/$AD476,0)</f>
        <v>5.5315471045808126E-2</v>
      </c>
      <c r="I476" s="16">
        <v>1503</v>
      </c>
      <c r="J476" s="36">
        <f>IFERROR(I476/$AC476,0)</f>
        <v>0.29774167987321709</v>
      </c>
      <c r="K476" s="17">
        <v>768</v>
      </c>
      <c r="L476" s="36">
        <f>IFERROR(K476/$AD476,0)</f>
        <v>0.33189282627484873</v>
      </c>
      <c r="M476" s="16">
        <v>2045</v>
      </c>
      <c r="N476" s="36">
        <f>IFERROR(M476/$AC476,0)</f>
        <v>0.40511093502377177</v>
      </c>
      <c r="O476" s="16">
        <v>1111</v>
      </c>
      <c r="P476" s="36">
        <f>IFERROR(O476/$AD476,0)</f>
        <v>0.48012100259291268</v>
      </c>
      <c r="Q476" s="17">
        <v>797</v>
      </c>
      <c r="R476" s="36">
        <f>IFERROR(Q476/$AC476,0)</f>
        <v>0.15788431061806657</v>
      </c>
      <c r="S476" s="17">
        <v>183</v>
      </c>
      <c r="T476" s="36">
        <f>IFERROR(S476/$AD476,0)</f>
        <v>7.9083837510803806E-2</v>
      </c>
      <c r="U476" s="17">
        <v>338</v>
      </c>
      <c r="V476" s="36">
        <f>IFERROR(U476/$AC476,0)</f>
        <v>6.6957210776545165E-2</v>
      </c>
      <c r="W476" s="17">
        <v>77</v>
      </c>
      <c r="X476" s="36">
        <f>IFERROR(W476/$AD476,0)</f>
        <v>3.3275713050993951E-2</v>
      </c>
      <c r="Y476" s="17">
        <v>188</v>
      </c>
      <c r="Z476" s="36">
        <f>IFERROR(Y476/$AC476,0)</f>
        <v>3.724247226624406E-2</v>
      </c>
      <c r="AA476" s="17">
        <v>47</v>
      </c>
      <c r="AB476" s="36">
        <f>IFERROR(AA476/$AD476,0)</f>
        <v>2.0311149524632671E-2</v>
      </c>
      <c r="AC476" s="16">
        <v>5048</v>
      </c>
      <c r="AD476" s="16">
        <v>2314</v>
      </c>
    </row>
    <row r="477" spans="1:30" ht="15.75" customHeight="1" x14ac:dyDescent="0.25">
      <c r="A477" s="37">
        <v>2021</v>
      </c>
      <c r="B477" s="35">
        <v>170980</v>
      </c>
      <c r="C477" s="34" t="s">
        <v>151</v>
      </c>
      <c r="D477" s="34" t="s">
        <v>63</v>
      </c>
      <c r="E477" s="17">
        <v>3</v>
      </c>
      <c r="F477" s="36">
        <f>IFERROR(E477/$AC477,0)</f>
        <v>7.1770334928229667E-3</v>
      </c>
      <c r="G477" s="17">
        <v>1</v>
      </c>
      <c r="H477" s="36">
        <f>IFERROR(G477/$AD477,0)</f>
        <v>1.0752688172043012E-2</v>
      </c>
      <c r="I477" s="17">
        <v>95</v>
      </c>
      <c r="J477" s="36">
        <f>IFERROR(I477/$AC477,0)</f>
        <v>0.22727272727272727</v>
      </c>
      <c r="K477" s="17">
        <v>16</v>
      </c>
      <c r="L477" s="36">
        <f>IFERROR(K477/$AD477,0)</f>
        <v>0.17204301075268819</v>
      </c>
      <c r="M477" s="17">
        <v>151</v>
      </c>
      <c r="N477" s="36">
        <f>IFERROR(M477/$AC477,0)</f>
        <v>0.36124401913875598</v>
      </c>
      <c r="O477" s="17">
        <v>38</v>
      </c>
      <c r="P477" s="36">
        <f>IFERROR(O477/$AD477,0)</f>
        <v>0.40860215053763443</v>
      </c>
      <c r="Q477" s="17">
        <v>104</v>
      </c>
      <c r="R477" s="36">
        <f>IFERROR(Q477/$AC477,0)</f>
        <v>0.24880382775119617</v>
      </c>
      <c r="S477" s="17">
        <v>21</v>
      </c>
      <c r="T477" s="36">
        <f>IFERROR(S477/$AD477,0)</f>
        <v>0.22580645161290322</v>
      </c>
      <c r="U477" s="17">
        <v>42</v>
      </c>
      <c r="V477" s="36">
        <f>IFERROR(U477/$AC477,0)</f>
        <v>0.10047846889952153</v>
      </c>
      <c r="W477" s="17">
        <v>13</v>
      </c>
      <c r="X477" s="36">
        <f>IFERROR(W477/$AD477,0)</f>
        <v>0.13978494623655913</v>
      </c>
      <c r="Y477" s="17">
        <v>23</v>
      </c>
      <c r="Z477" s="36">
        <f>IFERROR(Y477/$AC477,0)</f>
        <v>5.5023923444976079E-2</v>
      </c>
      <c r="AA477" s="17">
        <v>4</v>
      </c>
      <c r="AB477" s="36">
        <f>IFERROR(AA477/$AD477,0)</f>
        <v>4.3010752688172046E-2</v>
      </c>
      <c r="AC477" s="17">
        <v>418</v>
      </c>
      <c r="AD477" s="17">
        <v>93</v>
      </c>
    </row>
    <row r="478" spans="1:30" ht="15.75" customHeight="1" x14ac:dyDescent="0.25">
      <c r="A478" s="37">
        <v>2021</v>
      </c>
      <c r="B478" s="35">
        <v>171050</v>
      </c>
      <c r="C478" s="34" t="s">
        <v>150</v>
      </c>
      <c r="D478" s="34" t="s">
        <v>64</v>
      </c>
      <c r="E478" s="17">
        <v>12</v>
      </c>
      <c r="F478" s="36">
        <f>IFERROR(E478/$AC478,0)</f>
        <v>2.3346303501945526E-2</v>
      </c>
      <c r="G478" s="17">
        <v>11</v>
      </c>
      <c r="H478" s="36">
        <f>IFERROR(G478/$AD478,0)</f>
        <v>2.8423772609819122E-2</v>
      </c>
      <c r="I478" s="17">
        <v>189</v>
      </c>
      <c r="J478" s="36">
        <f>IFERROR(I478/$AC478,0)</f>
        <v>0.36770428015564205</v>
      </c>
      <c r="K478" s="17">
        <v>160</v>
      </c>
      <c r="L478" s="36">
        <f>IFERROR(K478/$AD478,0)</f>
        <v>0.41343669250645992</v>
      </c>
      <c r="M478" s="17">
        <v>166</v>
      </c>
      <c r="N478" s="36">
        <f>IFERROR(M478/$AC478,0)</f>
        <v>0.32295719844357978</v>
      </c>
      <c r="O478" s="17">
        <v>128</v>
      </c>
      <c r="P478" s="36">
        <f>IFERROR(O478/$AD478,0)</f>
        <v>0.33074935400516797</v>
      </c>
      <c r="Q478" s="17">
        <v>77</v>
      </c>
      <c r="R478" s="36">
        <f>IFERROR(Q478/$AC478,0)</f>
        <v>0.14980544747081712</v>
      </c>
      <c r="S478" s="17">
        <v>54</v>
      </c>
      <c r="T478" s="36">
        <f>IFERROR(S478/$AD478,0)</f>
        <v>0.13953488372093023</v>
      </c>
      <c r="U478" s="17">
        <v>45</v>
      </c>
      <c r="V478" s="36">
        <f>IFERROR(U478/$AC478,0)</f>
        <v>8.7548638132295714E-2</v>
      </c>
      <c r="W478" s="17">
        <v>25</v>
      </c>
      <c r="X478" s="36">
        <f>IFERROR(W478/$AD478,0)</f>
        <v>6.4599483204134361E-2</v>
      </c>
      <c r="Y478" s="17">
        <v>25</v>
      </c>
      <c r="Z478" s="36">
        <f>IFERROR(Y478/$AC478,0)</f>
        <v>4.8638132295719845E-2</v>
      </c>
      <c r="AA478" s="17">
        <v>9</v>
      </c>
      <c r="AB478" s="36">
        <f>IFERROR(AA478/$AD478,0)</f>
        <v>2.3255813953488372E-2</v>
      </c>
      <c r="AC478" s="17">
        <v>514</v>
      </c>
      <c r="AD478" s="17">
        <v>387</v>
      </c>
    </row>
    <row r="479" spans="1:30" ht="15.75" customHeight="1" x14ac:dyDescent="0.25">
      <c r="A479" s="37">
        <v>2021</v>
      </c>
      <c r="B479" s="35">
        <v>171070</v>
      </c>
      <c r="C479" s="34" t="s">
        <v>145</v>
      </c>
      <c r="D479" s="34" t="s">
        <v>65</v>
      </c>
      <c r="E479" s="17">
        <v>22</v>
      </c>
      <c r="F479" s="36">
        <f>IFERROR(E479/$AC479,0)</f>
        <v>2.286902286902287E-2</v>
      </c>
      <c r="G479" s="17">
        <v>4</v>
      </c>
      <c r="H479" s="36">
        <f>IFERROR(G479/$AD479,0)</f>
        <v>1.7391304347826087E-2</v>
      </c>
      <c r="I479" s="17">
        <v>328</v>
      </c>
      <c r="J479" s="36">
        <f>IFERROR(I479/$AC479,0)</f>
        <v>0.34095634095634098</v>
      </c>
      <c r="K479" s="17">
        <v>94</v>
      </c>
      <c r="L479" s="36">
        <f>IFERROR(K479/$AD479,0)</f>
        <v>0.40869565217391307</v>
      </c>
      <c r="M479" s="17">
        <v>391</v>
      </c>
      <c r="N479" s="36">
        <f>IFERROR(M479/$AC479,0)</f>
        <v>0.40644490644490644</v>
      </c>
      <c r="O479" s="17">
        <v>86</v>
      </c>
      <c r="P479" s="36">
        <f>IFERROR(O479/$AD479,0)</f>
        <v>0.37391304347826088</v>
      </c>
      <c r="Q479" s="17">
        <v>146</v>
      </c>
      <c r="R479" s="36">
        <f>IFERROR(Q479/$AC479,0)</f>
        <v>0.15176715176715178</v>
      </c>
      <c r="S479" s="17">
        <v>32</v>
      </c>
      <c r="T479" s="36">
        <f>IFERROR(S479/$AD479,0)</f>
        <v>0.1391304347826087</v>
      </c>
      <c r="U479" s="17">
        <v>58</v>
      </c>
      <c r="V479" s="36">
        <f>IFERROR(U479/$AC479,0)</f>
        <v>6.0291060291060294E-2</v>
      </c>
      <c r="W479" s="17">
        <v>10</v>
      </c>
      <c r="X479" s="36">
        <f>IFERROR(W479/$AD479,0)</f>
        <v>4.3478260869565216E-2</v>
      </c>
      <c r="Y479" s="17">
        <v>17</v>
      </c>
      <c r="Z479" s="36">
        <f>IFERROR(Y479/$AC479,0)</f>
        <v>1.7671517671517672E-2</v>
      </c>
      <c r="AA479" s="17">
        <v>4</v>
      </c>
      <c r="AB479" s="36">
        <f>IFERROR(AA479/$AD479,0)</f>
        <v>1.7391304347826087E-2</v>
      </c>
      <c r="AC479" s="17">
        <v>962</v>
      </c>
      <c r="AD479" s="17">
        <v>230</v>
      </c>
    </row>
    <row r="480" spans="1:30" ht="15.75" customHeight="1" x14ac:dyDescent="0.25">
      <c r="A480" s="37">
        <v>2021</v>
      </c>
      <c r="B480" s="35">
        <v>171090</v>
      </c>
      <c r="C480" s="34" t="s">
        <v>150</v>
      </c>
      <c r="D480" s="34" t="s">
        <v>66</v>
      </c>
      <c r="E480" s="17">
        <v>4</v>
      </c>
      <c r="F480" s="36">
        <f>IFERROR(E480/$AC480,0)</f>
        <v>2.4390243902439025E-2</v>
      </c>
      <c r="G480" s="17">
        <v>4</v>
      </c>
      <c r="H480" s="36">
        <f>IFERROR(G480/$AD480,0)</f>
        <v>3.8461538461538464E-2</v>
      </c>
      <c r="I480" s="17">
        <v>46</v>
      </c>
      <c r="J480" s="36">
        <f>IFERROR(I480/$AC480,0)</f>
        <v>0.28048780487804881</v>
      </c>
      <c r="K480" s="17">
        <v>29</v>
      </c>
      <c r="L480" s="36">
        <f>IFERROR(K480/$AD480,0)</f>
        <v>0.27884615384615385</v>
      </c>
      <c r="M480" s="17">
        <v>51</v>
      </c>
      <c r="N480" s="36">
        <f>IFERROR(M480/$AC480,0)</f>
        <v>0.31097560975609756</v>
      </c>
      <c r="O480" s="17">
        <v>28</v>
      </c>
      <c r="P480" s="36">
        <f>IFERROR(O480/$AD480,0)</f>
        <v>0.26923076923076922</v>
      </c>
      <c r="Q480" s="17">
        <v>36</v>
      </c>
      <c r="R480" s="36">
        <f>IFERROR(Q480/$AC480,0)</f>
        <v>0.21951219512195122</v>
      </c>
      <c r="S480" s="17">
        <v>27</v>
      </c>
      <c r="T480" s="36">
        <f>IFERROR(S480/$AD480,0)</f>
        <v>0.25961538461538464</v>
      </c>
      <c r="U480" s="17">
        <v>19</v>
      </c>
      <c r="V480" s="36">
        <f>IFERROR(U480/$AC480,0)</f>
        <v>0.11585365853658537</v>
      </c>
      <c r="W480" s="17">
        <v>10</v>
      </c>
      <c r="X480" s="36">
        <f>IFERROR(W480/$AD480,0)</f>
        <v>9.6153846153846159E-2</v>
      </c>
      <c r="Y480" s="17">
        <v>8</v>
      </c>
      <c r="Z480" s="36">
        <f>IFERROR(Y480/$AC480,0)</f>
        <v>4.878048780487805E-2</v>
      </c>
      <c r="AA480" s="17">
        <v>6</v>
      </c>
      <c r="AB480" s="36">
        <f>IFERROR(AA480/$AD480,0)</f>
        <v>5.7692307692307696E-2</v>
      </c>
      <c r="AC480" s="17">
        <v>164</v>
      </c>
      <c r="AD480" s="17">
        <v>104</v>
      </c>
    </row>
    <row r="481" spans="1:30" ht="15.75" customHeight="1" x14ac:dyDescent="0.25">
      <c r="A481" s="37">
        <v>2021</v>
      </c>
      <c r="B481" s="35">
        <v>171110</v>
      </c>
      <c r="C481" s="34" t="s">
        <v>150</v>
      </c>
      <c r="D481" s="34" t="s">
        <v>67</v>
      </c>
      <c r="E481" s="17">
        <v>5</v>
      </c>
      <c r="F481" s="36">
        <f>IFERROR(E481/$AC481,0)</f>
        <v>1.6286644951140065E-2</v>
      </c>
      <c r="G481" s="17">
        <v>2</v>
      </c>
      <c r="H481" s="36">
        <f>IFERROR(G481/$AD481,0)</f>
        <v>1.9230769230769232E-2</v>
      </c>
      <c r="I481" s="17">
        <v>90</v>
      </c>
      <c r="J481" s="36">
        <f>IFERROR(I481/$AC481,0)</f>
        <v>0.29315960912052119</v>
      </c>
      <c r="K481" s="17">
        <v>29</v>
      </c>
      <c r="L481" s="36">
        <f>IFERROR(K481/$AD481,0)</f>
        <v>0.27884615384615385</v>
      </c>
      <c r="M481" s="17">
        <v>120</v>
      </c>
      <c r="N481" s="36">
        <f>IFERROR(M481/$AC481,0)</f>
        <v>0.39087947882736157</v>
      </c>
      <c r="O481" s="17">
        <v>40</v>
      </c>
      <c r="P481" s="36">
        <f>IFERROR(O481/$AD481,0)</f>
        <v>0.38461538461538464</v>
      </c>
      <c r="Q481" s="17">
        <v>67</v>
      </c>
      <c r="R481" s="36">
        <f>IFERROR(Q481/$AC481,0)</f>
        <v>0.21824104234527689</v>
      </c>
      <c r="S481" s="17">
        <v>24</v>
      </c>
      <c r="T481" s="36">
        <f>IFERROR(S481/$AD481,0)</f>
        <v>0.23076923076923078</v>
      </c>
      <c r="U481" s="17">
        <v>15</v>
      </c>
      <c r="V481" s="36">
        <f>IFERROR(U481/$AC481,0)</f>
        <v>4.8859934853420196E-2</v>
      </c>
      <c r="W481" s="17">
        <v>5</v>
      </c>
      <c r="X481" s="36">
        <f>IFERROR(W481/$AD481,0)</f>
        <v>4.807692307692308E-2</v>
      </c>
      <c r="Y481" s="17">
        <v>10</v>
      </c>
      <c r="Z481" s="36">
        <f>IFERROR(Y481/$AC481,0)</f>
        <v>3.2573289902280131E-2</v>
      </c>
      <c r="AA481" s="17">
        <v>4</v>
      </c>
      <c r="AB481" s="36">
        <f>IFERROR(AA481/$AD481,0)</f>
        <v>3.8461538461538464E-2</v>
      </c>
      <c r="AC481" s="17">
        <v>307</v>
      </c>
      <c r="AD481" s="17">
        <v>104</v>
      </c>
    </row>
    <row r="482" spans="1:30" ht="15.75" customHeight="1" x14ac:dyDescent="0.25">
      <c r="A482" s="37">
        <v>2021</v>
      </c>
      <c r="B482" s="35">
        <v>171150</v>
      </c>
      <c r="C482" s="34" t="s">
        <v>146</v>
      </c>
      <c r="D482" s="34" t="s">
        <v>68</v>
      </c>
      <c r="E482" s="17">
        <v>6</v>
      </c>
      <c r="F482" s="36">
        <f>IFERROR(E482/$AC482,0)</f>
        <v>2.4390243902439025E-2</v>
      </c>
      <c r="G482" s="17">
        <v>5</v>
      </c>
      <c r="H482" s="36">
        <f>IFERROR(G482/$AD482,0)</f>
        <v>4.2735042735042736E-2</v>
      </c>
      <c r="I482" s="17">
        <v>76</v>
      </c>
      <c r="J482" s="36">
        <f>IFERROR(I482/$AC482,0)</f>
        <v>0.30894308943089432</v>
      </c>
      <c r="K482" s="17">
        <v>38</v>
      </c>
      <c r="L482" s="36">
        <f>IFERROR(K482/$AD482,0)</f>
        <v>0.3247863247863248</v>
      </c>
      <c r="M482" s="17">
        <v>94</v>
      </c>
      <c r="N482" s="36">
        <f>IFERROR(M482/$AC482,0)</f>
        <v>0.38211382113821141</v>
      </c>
      <c r="O482" s="17">
        <v>37</v>
      </c>
      <c r="P482" s="36">
        <f>IFERROR(O482/$AD482,0)</f>
        <v>0.31623931623931623</v>
      </c>
      <c r="Q482" s="17">
        <v>35</v>
      </c>
      <c r="R482" s="36">
        <f>IFERROR(Q482/$AC482,0)</f>
        <v>0.14227642276422764</v>
      </c>
      <c r="S482" s="17">
        <v>18</v>
      </c>
      <c r="T482" s="36">
        <f>IFERROR(S482/$AD482,0)</f>
        <v>0.15384615384615385</v>
      </c>
      <c r="U482" s="17">
        <v>17</v>
      </c>
      <c r="V482" s="36">
        <f>IFERROR(U482/$AC482,0)</f>
        <v>6.910569105691057E-2</v>
      </c>
      <c r="W482" s="17">
        <v>12</v>
      </c>
      <c r="X482" s="36">
        <f>IFERROR(W482/$AD482,0)</f>
        <v>0.10256410256410256</v>
      </c>
      <c r="Y482" s="17">
        <v>18</v>
      </c>
      <c r="Z482" s="36">
        <f>IFERROR(Y482/$AC482,0)</f>
        <v>7.3170731707317069E-2</v>
      </c>
      <c r="AA482" s="17">
        <v>7</v>
      </c>
      <c r="AB482" s="36">
        <f>IFERROR(AA482/$AD482,0)</f>
        <v>5.9829059829059832E-2</v>
      </c>
      <c r="AC482" s="17">
        <v>246</v>
      </c>
      <c r="AD482" s="17">
        <v>117</v>
      </c>
    </row>
    <row r="483" spans="1:30" ht="15.75" customHeight="1" x14ac:dyDescent="0.25">
      <c r="A483" s="37">
        <v>2021</v>
      </c>
      <c r="B483" s="35">
        <v>171180</v>
      </c>
      <c r="C483" s="34" t="s">
        <v>150</v>
      </c>
      <c r="D483" s="34" t="s">
        <v>69</v>
      </c>
      <c r="E483" s="17">
        <v>3</v>
      </c>
      <c r="F483" s="36">
        <f>IFERROR(E483/$AC483,0)</f>
        <v>2.2222222222222223E-2</v>
      </c>
      <c r="G483" s="17">
        <v>3</v>
      </c>
      <c r="H483" s="36">
        <f>IFERROR(G483/$AD483,0)</f>
        <v>3.125E-2</v>
      </c>
      <c r="I483" s="17">
        <v>46</v>
      </c>
      <c r="J483" s="36">
        <f>IFERROR(I483/$AC483,0)</f>
        <v>0.34074074074074073</v>
      </c>
      <c r="K483" s="17">
        <v>36</v>
      </c>
      <c r="L483" s="36">
        <f>IFERROR(K483/$AD483,0)</f>
        <v>0.375</v>
      </c>
      <c r="M483" s="17">
        <v>48</v>
      </c>
      <c r="N483" s="36">
        <f>IFERROR(M483/$AC483,0)</f>
        <v>0.35555555555555557</v>
      </c>
      <c r="O483" s="17">
        <v>29</v>
      </c>
      <c r="P483" s="36">
        <f>IFERROR(O483/$AD483,0)</f>
        <v>0.30208333333333331</v>
      </c>
      <c r="Q483" s="17">
        <v>24</v>
      </c>
      <c r="R483" s="36">
        <f>IFERROR(Q483/$AC483,0)</f>
        <v>0.17777777777777778</v>
      </c>
      <c r="S483" s="17">
        <v>19</v>
      </c>
      <c r="T483" s="36">
        <f>IFERROR(S483/$AD483,0)</f>
        <v>0.19791666666666666</v>
      </c>
      <c r="U483" s="17">
        <v>10</v>
      </c>
      <c r="V483" s="36">
        <f>IFERROR(U483/$AC483,0)</f>
        <v>7.407407407407407E-2</v>
      </c>
      <c r="W483" s="17">
        <v>6</v>
      </c>
      <c r="X483" s="36">
        <f>IFERROR(W483/$AD483,0)</f>
        <v>6.25E-2</v>
      </c>
      <c r="Y483" s="17">
        <v>4</v>
      </c>
      <c r="Z483" s="36">
        <f>IFERROR(Y483/$AC483,0)</f>
        <v>2.9629629629629631E-2</v>
      </c>
      <c r="AA483" s="17">
        <v>3</v>
      </c>
      <c r="AB483" s="36">
        <f>IFERROR(AA483/$AD483,0)</f>
        <v>3.125E-2</v>
      </c>
      <c r="AC483" s="17">
        <v>135</v>
      </c>
      <c r="AD483" s="17">
        <v>96</v>
      </c>
    </row>
    <row r="484" spans="1:30" ht="15.75" customHeight="1" x14ac:dyDescent="0.25">
      <c r="A484" s="37">
        <v>2021</v>
      </c>
      <c r="B484" s="35">
        <v>171190</v>
      </c>
      <c r="C484" s="34" t="s">
        <v>144</v>
      </c>
      <c r="D484" s="34" t="s">
        <v>70</v>
      </c>
      <c r="E484" s="17">
        <v>18</v>
      </c>
      <c r="F484" s="36">
        <f>IFERROR(E484/$AC484,0)</f>
        <v>2.8481012658227847E-2</v>
      </c>
      <c r="G484" s="17">
        <v>15</v>
      </c>
      <c r="H484" s="36">
        <f>IFERROR(G484/$AD484,0)</f>
        <v>2.8571428571428571E-2</v>
      </c>
      <c r="I484" s="17">
        <v>234</v>
      </c>
      <c r="J484" s="36">
        <f>IFERROR(I484/$AC484,0)</f>
        <v>0.370253164556962</v>
      </c>
      <c r="K484" s="17">
        <v>209</v>
      </c>
      <c r="L484" s="36">
        <f>IFERROR(K484/$AD484,0)</f>
        <v>0.39809523809523811</v>
      </c>
      <c r="M484" s="17">
        <v>208</v>
      </c>
      <c r="N484" s="36">
        <f>IFERROR(M484/$AC484,0)</f>
        <v>0.32911392405063289</v>
      </c>
      <c r="O484" s="17">
        <v>171</v>
      </c>
      <c r="P484" s="36">
        <f>IFERROR(O484/$AD484,0)</f>
        <v>0.32571428571428573</v>
      </c>
      <c r="Q484" s="17">
        <v>105</v>
      </c>
      <c r="R484" s="36">
        <f>IFERROR(Q484/$AC484,0)</f>
        <v>0.16613924050632911</v>
      </c>
      <c r="S484" s="17">
        <v>82</v>
      </c>
      <c r="T484" s="36">
        <f>IFERROR(S484/$AD484,0)</f>
        <v>0.15619047619047619</v>
      </c>
      <c r="U484" s="17">
        <v>45</v>
      </c>
      <c r="V484" s="36">
        <f>IFERROR(U484/$AC484,0)</f>
        <v>7.1202531645569625E-2</v>
      </c>
      <c r="W484" s="17">
        <v>35</v>
      </c>
      <c r="X484" s="36">
        <f>IFERROR(W484/$AD484,0)</f>
        <v>6.6666666666666666E-2</v>
      </c>
      <c r="Y484" s="17">
        <v>22</v>
      </c>
      <c r="Z484" s="36">
        <f>IFERROR(Y484/$AC484,0)</f>
        <v>3.4810126582278479E-2</v>
      </c>
      <c r="AA484" s="17">
        <v>13</v>
      </c>
      <c r="AB484" s="36">
        <f>IFERROR(AA484/$AD484,0)</f>
        <v>2.4761904761904763E-2</v>
      </c>
      <c r="AC484" s="17">
        <v>632</v>
      </c>
      <c r="AD484" s="17">
        <v>525</v>
      </c>
    </row>
    <row r="485" spans="1:30" ht="15.75" customHeight="1" x14ac:dyDescent="0.25">
      <c r="A485" s="37">
        <v>2021</v>
      </c>
      <c r="B485" s="35">
        <v>171195</v>
      </c>
      <c r="C485" s="34" t="s">
        <v>148</v>
      </c>
      <c r="D485" s="34" t="s">
        <v>71</v>
      </c>
      <c r="E485" s="17">
        <v>14</v>
      </c>
      <c r="F485" s="36">
        <f>IFERROR(E485/$AC485,0)</f>
        <v>1.6073478760045924E-2</v>
      </c>
      <c r="G485" s="17">
        <v>8</v>
      </c>
      <c r="H485" s="36">
        <f>IFERROR(G485/$AD485,0)</f>
        <v>4.49438202247191E-2</v>
      </c>
      <c r="I485" s="17">
        <v>336</v>
      </c>
      <c r="J485" s="36">
        <f>IFERROR(I485/$AC485,0)</f>
        <v>0.38576349024110218</v>
      </c>
      <c r="K485" s="17">
        <v>78</v>
      </c>
      <c r="L485" s="36">
        <f>IFERROR(K485/$AD485,0)</f>
        <v>0.43820224719101125</v>
      </c>
      <c r="M485" s="17">
        <v>305</v>
      </c>
      <c r="N485" s="36">
        <f>IFERROR(M485/$AC485,0)</f>
        <v>0.35017221584385766</v>
      </c>
      <c r="O485" s="17">
        <v>54</v>
      </c>
      <c r="P485" s="36">
        <f>IFERROR(O485/$AD485,0)</f>
        <v>0.30337078651685395</v>
      </c>
      <c r="Q485" s="17">
        <v>140</v>
      </c>
      <c r="R485" s="36">
        <f>IFERROR(Q485/$AC485,0)</f>
        <v>0.16073478760045926</v>
      </c>
      <c r="S485" s="17">
        <v>27</v>
      </c>
      <c r="T485" s="36">
        <f>IFERROR(S485/$AD485,0)</f>
        <v>0.15168539325842698</v>
      </c>
      <c r="U485" s="17">
        <v>53</v>
      </c>
      <c r="V485" s="36">
        <f>IFERROR(U485/$AC485,0)</f>
        <v>6.0849598163030996E-2</v>
      </c>
      <c r="W485" s="17">
        <v>9</v>
      </c>
      <c r="X485" s="36">
        <f>IFERROR(W485/$AD485,0)</f>
        <v>5.0561797752808987E-2</v>
      </c>
      <c r="Y485" s="17">
        <v>23</v>
      </c>
      <c r="Z485" s="36">
        <f>IFERROR(Y485/$AC485,0)</f>
        <v>2.6406429391504019E-2</v>
      </c>
      <c r="AA485" s="17">
        <v>2</v>
      </c>
      <c r="AB485" s="36">
        <f>IFERROR(AA485/$AD485,0)</f>
        <v>1.1235955056179775E-2</v>
      </c>
      <c r="AC485" s="17">
        <v>871</v>
      </c>
      <c r="AD485" s="17">
        <v>178</v>
      </c>
    </row>
    <row r="486" spans="1:30" ht="15.75" customHeight="1" x14ac:dyDescent="0.25">
      <c r="A486" s="37">
        <v>2021</v>
      </c>
      <c r="B486" s="35">
        <v>171200</v>
      </c>
      <c r="C486" s="34" t="s">
        <v>148</v>
      </c>
      <c r="D486" s="34" t="s">
        <v>72</v>
      </c>
      <c r="E486" s="17">
        <v>2</v>
      </c>
      <c r="F486" s="36">
        <f>IFERROR(E486/$AC486,0)</f>
        <v>3.2258064516129031E-2</v>
      </c>
      <c r="G486" s="17">
        <v>2</v>
      </c>
      <c r="H486" s="36">
        <f>IFERROR(G486/$AD486,0)</f>
        <v>6.25E-2</v>
      </c>
      <c r="I486" s="17">
        <v>17</v>
      </c>
      <c r="J486" s="36">
        <f>IFERROR(I486/$AC486,0)</f>
        <v>0.27419354838709675</v>
      </c>
      <c r="K486" s="17">
        <v>7</v>
      </c>
      <c r="L486" s="36">
        <f>IFERROR(K486/$AD486,0)</f>
        <v>0.21875</v>
      </c>
      <c r="M486" s="17">
        <v>18</v>
      </c>
      <c r="N486" s="36">
        <f>IFERROR(M486/$AC486,0)</f>
        <v>0.29032258064516131</v>
      </c>
      <c r="O486" s="17">
        <v>9</v>
      </c>
      <c r="P486" s="36">
        <f>IFERROR(O486/$AD486,0)</f>
        <v>0.28125</v>
      </c>
      <c r="Q486" s="17">
        <v>17</v>
      </c>
      <c r="R486" s="36">
        <f>IFERROR(Q486/$AC486,0)</f>
        <v>0.27419354838709675</v>
      </c>
      <c r="S486" s="17">
        <v>11</v>
      </c>
      <c r="T486" s="36">
        <f>IFERROR(S486/$AD486,0)</f>
        <v>0.34375</v>
      </c>
      <c r="U486" s="17">
        <v>6</v>
      </c>
      <c r="V486" s="36">
        <f>IFERROR(U486/$AC486,0)</f>
        <v>9.6774193548387094E-2</v>
      </c>
      <c r="W486" s="17">
        <v>2</v>
      </c>
      <c r="X486" s="36">
        <f>IFERROR(W486/$AD486,0)</f>
        <v>6.25E-2</v>
      </c>
      <c r="Y486" s="17">
        <v>2</v>
      </c>
      <c r="Z486" s="36">
        <f>IFERROR(Y486/$AC486,0)</f>
        <v>3.2258064516129031E-2</v>
      </c>
      <c r="AA486" s="17">
        <v>1</v>
      </c>
      <c r="AB486" s="36">
        <f>IFERROR(AA486/$AD486,0)</f>
        <v>3.125E-2</v>
      </c>
      <c r="AC486" s="17">
        <v>62</v>
      </c>
      <c r="AD486" s="17">
        <v>32</v>
      </c>
    </row>
    <row r="487" spans="1:30" ht="15.75" customHeight="1" x14ac:dyDescent="0.25">
      <c r="A487" s="37">
        <v>2021</v>
      </c>
      <c r="B487" s="35">
        <v>171215</v>
      </c>
      <c r="C487" s="34" t="s">
        <v>147</v>
      </c>
      <c r="D487" s="34" t="s">
        <v>73</v>
      </c>
      <c r="E487" s="17">
        <v>9</v>
      </c>
      <c r="F487" s="36">
        <f>IFERROR(E487/$AC487,0)</f>
        <v>2.1028037383177569E-2</v>
      </c>
      <c r="G487" s="17">
        <v>4</v>
      </c>
      <c r="H487" s="36">
        <f>IFERROR(G487/$AD487,0)</f>
        <v>7.5471698113207544E-2</v>
      </c>
      <c r="I487" s="17">
        <v>164</v>
      </c>
      <c r="J487" s="36">
        <f>IFERROR(I487/$AC487,0)</f>
        <v>0.38317757009345793</v>
      </c>
      <c r="K487" s="17">
        <v>16</v>
      </c>
      <c r="L487" s="36">
        <f>IFERROR(K487/$AD487,0)</f>
        <v>0.30188679245283018</v>
      </c>
      <c r="M487" s="17">
        <v>148</v>
      </c>
      <c r="N487" s="36">
        <f>IFERROR(M487/$AC487,0)</f>
        <v>0.34579439252336447</v>
      </c>
      <c r="O487" s="17">
        <v>18</v>
      </c>
      <c r="P487" s="36">
        <f>IFERROR(O487/$AD487,0)</f>
        <v>0.33962264150943394</v>
      </c>
      <c r="Q487" s="17">
        <v>76</v>
      </c>
      <c r="R487" s="36">
        <f>IFERROR(Q487/$AC487,0)</f>
        <v>0.17757009345794392</v>
      </c>
      <c r="S487" s="17">
        <v>9</v>
      </c>
      <c r="T487" s="36">
        <f>IFERROR(S487/$AD487,0)</f>
        <v>0.16981132075471697</v>
      </c>
      <c r="U487" s="17">
        <v>26</v>
      </c>
      <c r="V487" s="36">
        <f>IFERROR(U487/$AC487,0)</f>
        <v>6.0747663551401869E-2</v>
      </c>
      <c r="W487" s="17">
        <v>6</v>
      </c>
      <c r="X487" s="36">
        <f>IFERROR(W487/$AD487,0)</f>
        <v>0.11320754716981132</v>
      </c>
      <c r="Y487" s="17">
        <v>5</v>
      </c>
      <c r="Z487" s="36">
        <f>IFERROR(Y487/$AC487,0)</f>
        <v>1.1682242990654205E-2</v>
      </c>
      <c r="AA487" s="17">
        <v>0</v>
      </c>
      <c r="AB487" s="36">
        <f>IFERROR(AA487/$AD487,0)</f>
        <v>0</v>
      </c>
      <c r="AC487" s="17">
        <v>428</v>
      </c>
      <c r="AD487" s="17">
        <v>53</v>
      </c>
    </row>
    <row r="488" spans="1:30" ht="15.75" customHeight="1" x14ac:dyDescent="0.25">
      <c r="A488" s="37">
        <v>2021</v>
      </c>
      <c r="B488" s="35">
        <v>171240</v>
      </c>
      <c r="C488" s="34" t="s">
        <v>148</v>
      </c>
      <c r="D488" s="34" t="s">
        <v>74</v>
      </c>
      <c r="E488" s="17">
        <v>1</v>
      </c>
      <c r="F488" s="36">
        <f>IFERROR(E488/$AC488,0)</f>
        <v>1.3888888888888888E-2</v>
      </c>
      <c r="G488" s="17">
        <v>1</v>
      </c>
      <c r="H488" s="36">
        <f>IFERROR(G488/$AD488,0)</f>
        <v>1.8181818181818181E-2</v>
      </c>
      <c r="I488" s="17">
        <v>24</v>
      </c>
      <c r="J488" s="36">
        <f>IFERROR(I488/$AC488,0)</f>
        <v>0.33333333333333331</v>
      </c>
      <c r="K488" s="17">
        <v>18</v>
      </c>
      <c r="L488" s="36">
        <f>IFERROR(K488/$AD488,0)</f>
        <v>0.32727272727272727</v>
      </c>
      <c r="M488" s="17">
        <v>26</v>
      </c>
      <c r="N488" s="36">
        <f>IFERROR(M488/$AC488,0)</f>
        <v>0.3611111111111111</v>
      </c>
      <c r="O488" s="17">
        <v>17</v>
      </c>
      <c r="P488" s="36">
        <f>IFERROR(O488/$AD488,0)</f>
        <v>0.30909090909090908</v>
      </c>
      <c r="Q488" s="17">
        <v>12</v>
      </c>
      <c r="R488" s="36">
        <f>IFERROR(Q488/$AC488,0)</f>
        <v>0.16666666666666666</v>
      </c>
      <c r="S488" s="17">
        <v>10</v>
      </c>
      <c r="T488" s="36">
        <f>IFERROR(S488/$AD488,0)</f>
        <v>0.18181818181818182</v>
      </c>
      <c r="U488" s="17">
        <v>7</v>
      </c>
      <c r="V488" s="36">
        <f>IFERROR(U488/$AC488,0)</f>
        <v>9.7222222222222224E-2</v>
      </c>
      <c r="W488" s="17">
        <v>7</v>
      </c>
      <c r="X488" s="36">
        <f>IFERROR(W488/$AD488,0)</f>
        <v>0.12727272727272726</v>
      </c>
      <c r="Y488" s="17">
        <v>2</v>
      </c>
      <c r="Z488" s="36">
        <f>IFERROR(Y488/$AC488,0)</f>
        <v>2.7777777777777776E-2</v>
      </c>
      <c r="AA488" s="17">
        <v>2</v>
      </c>
      <c r="AB488" s="36">
        <f>IFERROR(AA488/$AD488,0)</f>
        <v>3.6363636363636362E-2</v>
      </c>
      <c r="AC488" s="17">
        <v>72</v>
      </c>
      <c r="AD488" s="17">
        <v>55</v>
      </c>
    </row>
    <row r="489" spans="1:30" ht="15.75" customHeight="1" x14ac:dyDescent="0.25">
      <c r="A489" s="37">
        <v>2021</v>
      </c>
      <c r="B489" s="35">
        <v>171245</v>
      </c>
      <c r="C489" s="34" t="s">
        <v>145</v>
      </c>
      <c r="D489" s="34" t="s">
        <v>75</v>
      </c>
      <c r="E489" s="17">
        <v>9</v>
      </c>
      <c r="F489" s="36">
        <f>IFERROR(E489/$AC489,0)</f>
        <v>1.3157894736842105E-2</v>
      </c>
      <c r="G489" s="17">
        <v>5</v>
      </c>
      <c r="H489" s="36">
        <f>IFERROR(G489/$AD489,0)</f>
        <v>2.8248587570621469E-2</v>
      </c>
      <c r="I489" s="17">
        <v>246</v>
      </c>
      <c r="J489" s="36">
        <f>IFERROR(I489/$AC489,0)</f>
        <v>0.35964912280701755</v>
      </c>
      <c r="K489" s="17">
        <v>72</v>
      </c>
      <c r="L489" s="36">
        <f>IFERROR(K489/$AD489,0)</f>
        <v>0.40677966101694918</v>
      </c>
      <c r="M489" s="17">
        <v>255</v>
      </c>
      <c r="N489" s="36">
        <f>IFERROR(M489/$AC489,0)</f>
        <v>0.37280701754385964</v>
      </c>
      <c r="O489" s="17">
        <v>50</v>
      </c>
      <c r="P489" s="36">
        <f>IFERROR(O489/$AD489,0)</f>
        <v>0.2824858757062147</v>
      </c>
      <c r="Q489" s="17">
        <v>119</v>
      </c>
      <c r="R489" s="36">
        <f>IFERROR(Q489/$AC489,0)</f>
        <v>0.17397660818713451</v>
      </c>
      <c r="S489" s="17">
        <v>33</v>
      </c>
      <c r="T489" s="36">
        <f>IFERROR(S489/$AD489,0)</f>
        <v>0.1864406779661017</v>
      </c>
      <c r="U489" s="17">
        <v>33</v>
      </c>
      <c r="V489" s="36">
        <f>IFERROR(U489/$AC489,0)</f>
        <v>4.8245614035087717E-2</v>
      </c>
      <c r="W489" s="17">
        <v>9</v>
      </c>
      <c r="X489" s="36">
        <f>IFERROR(W489/$AD489,0)</f>
        <v>5.0847457627118647E-2</v>
      </c>
      <c r="Y489" s="17">
        <v>22</v>
      </c>
      <c r="Z489" s="36">
        <f>IFERROR(Y489/$AC489,0)</f>
        <v>3.2163742690058478E-2</v>
      </c>
      <c r="AA489" s="17">
        <v>8</v>
      </c>
      <c r="AB489" s="36">
        <f>IFERROR(AA489/$AD489,0)</f>
        <v>4.519774011299435E-2</v>
      </c>
      <c r="AC489" s="17">
        <v>684</v>
      </c>
      <c r="AD489" s="17">
        <v>177</v>
      </c>
    </row>
    <row r="490" spans="1:30" ht="15.75" customHeight="1" x14ac:dyDescent="0.25">
      <c r="A490" s="37">
        <v>2021</v>
      </c>
      <c r="B490" s="35">
        <v>171250</v>
      </c>
      <c r="C490" s="34" t="s">
        <v>144</v>
      </c>
      <c r="D490" s="34" t="s">
        <v>76</v>
      </c>
      <c r="E490" s="17">
        <v>7</v>
      </c>
      <c r="F490" s="36">
        <f>IFERROR(E490/$AC490,0)</f>
        <v>2.3026315789473683E-2</v>
      </c>
      <c r="G490" s="17">
        <v>3</v>
      </c>
      <c r="H490" s="36">
        <f>IFERROR(G490/$AD490,0)</f>
        <v>6.1224489795918366E-2</v>
      </c>
      <c r="I490" s="17">
        <v>99</v>
      </c>
      <c r="J490" s="36">
        <f>IFERROR(I490/$AC490,0)</f>
        <v>0.32565789473684209</v>
      </c>
      <c r="K490" s="17">
        <v>14</v>
      </c>
      <c r="L490" s="36">
        <f>IFERROR(K490/$AD490,0)</f>
        <v>0.2857142857142857</v>
      </c>
      <c r="M490" s="17">
        <v>108</v>
      </c>
      <c r="N490" s="36">
        <f>IFERROR(M490/$AC490,0)</f>
        <v>0.35526315789473684</v>
      </c>
      <c r="O490" s="17">
        <v>19</v>
      </c>
      <c r="P490" s="36">
        <f>IFERROR(O490/$AD490,0)</f>
        <v>0.38775510204081631</v>
      </c>
      <c r="Q490" s="17">
        <v>53</v>
      </c>
      <c r="R490" s="36">
        <f>IFERROR(Q490/$AC490,0)</f>
        <v>0.17434210526315788</v>
      </c>
      <c r="S490" s="17">
        <v>6</v>
      </c>
      <c r="T490" s="36">
        <f>IFERROR(S490/$AD490,0)</f>
        <v>0.12244897959183673</v>
      </c>
      <c r="U490" s="17">
        <v>21</v>
      </c>
      <c r="V490" s="36">
        <f>IFERROR(U490/$AC490,0)</f>
        <v>6.9078947368421059E-2</v>
      </c>
      <c r="W490" s="17">
        <v>4</v>
      </c>
      <c r="X490" s="36">
        <f>IFERROR(W490/$AD490,0)</f>
        <v>8.1632653061224483E-2</v>
      </c>
      <c r="Y490" s="17">
        <v>16</v>
      </c>
      <c r="Z490" s="36">
        <f>IFERROR(Y490/$AC490,0)</f>
        <v>5.2631578947368418E-2</v>
      </c>
      <c r="AA490" s="17">
        <v>3</v>
      </c>
      <c r="AB490" s="36">
        <f>IFERROR(AA490/$AD490,0)</f>
        <v>6.1224489795918366E-2</v>
      </c>
      <c r="AC490" s="17">
        <v>304</v>
      </c>
      <c r="AD490" s="17">
        <v>49</v>
      </c>
    </row>
    <row r="491" spans="1:30" ht="15.75" customHeight="1" x14ac:dyDescent="0.25">
      <c r="A491" s="37">
        <v>2021</v>
      </c>
      <c r="B491" s="35">
        <v>171270</v>
      </c>
      <c r="C491" s="34" t="s">
        <v>151</v>
      </c>
      <c r="D491" s="34" t="s">
        <v>77</v>
      </c>
      <c r="E491" s="17">
        <v>11</v>
      </c>
      <c r="F491" s="36">
        <f>IFERROR(E491/$AC491,0)</f>
        <v>2.7160493827160494E-2</v>
      </c>
      <c r="G491" s="17">
        <v>8</v>
      </c>
      <c r="H491" s="36">
        <f>IFERROR(G491/$AD491,0)</f>
        <v>6.2015503875968991E-2</v>
      </c>
      <c r="I491" s="17">
        <v>128</v>
      </c>
      <c r="J491" s="36">
        <f>IFERROR(I491/$AC491,0)</f>
        <v>0.31604938271604938</v>
      </c>
      <c r="K491" s="17">
        <v>49</v>
      </c>
      <c r="L491" s="36">
        <f>IFERROR(K491/$AD491,0)</f>
        <v>0.37984496124031009</v>
      </c>
      <c r="M491" s="17">
        <v>143</v>
      </c>
      <c r="N491" s="36">
        <f>IFERROR(M491/$AC491,0)</f>
        <v>0.35308641975308641</v>
      </c>
      <c r="O491" s="17">
        <v>42</v>
      </c>
      <c r="P491" s="36">
        <f>IFERROR(O491/$AD491,0)</f>
        <v>0.32558139534883723</v>
      </c>
      <c r="Q491" s="17">
        <v>90</v>
      </c>
      <c r="R491" s="36">
        <f>IFERROR(Q491/$AC491,0)</f>
        <v>0.22222222222222221</v>
      </c>
      <c r="S491" s="17">
        <v>23</v>
      </c>
      <c r="T491" s="36">
        <f>IFERROR(S491/$AD491,0)</f>
        <v>0.17829457364341086</v>
      </c>
      <c r="U491" s="17">
        <v>26</v>
      </c>
      <c r="V491" s="36">
        <f>IFERROR(U491/$AC491,0)</f>
        <v>6.4197530864197536E-2</v>
      </c>
      <c r="W491" s="17">
        <v>6</v>
      </c>
      <c r="X491" s="36">
        <f>IFERROR(W491/$AD491,0)</f>
        <v>4.6511627906976744E-2</v>
      </c>
      <c r="Y491" s="17">
        <v>7</v>
      </c>
      <c r="Z491" s="36">
        <f>IFERROR(Y491/$AC491,0)</f>
        <v>1.7283950617283949E-2</v>
      </c>
      <c r="AA491" s="17">
        <v>1</v>
      </c>
      <c r="AB491" s="36">
        <f>IFERROR(AA491/$AD491,0)</f>
        <v>7.7519379844961239E-3</v>
      </c>
      <c r="AC491" s="17">
        <v>405</v>
      </c>
      <c r="AD491" s="17">
        <v>129</v>
      </c>
    </row>
    <row r="492" spans="1:30" ht="15.75" customHeight="1" x14ac:dyDescent="0.25">
      <c r="A492" s="37">
        <v>2021</v>
      </c>
      <c r="B492" s="35">
        <v>171280</v>
      </c>
      <c r="C492" s="34" t="s">
        <v>145</v>
      </c>
      <c r="D492" s="34" t="s">
        <v>78</v>
      </c>
      <c r="E492" s="17">
        <v>13</v>
      </c>
      <c r="F492" s="36">
        <f>IFERROR(E492/$AC492,0)</f>
        <v>2.8634361233480177E-2</v>
      </c>
      <c r="G492" s="17">
        <v>2</v>
      </c>
      <c r="H492" s="36">
        <f>IFERROR(G492/$AD492,0)</f>
        <v>1.6260162601626018E-2</v>
      </c>
      <c r="I492" s="17">
        <v>148</v>
      </c>
      <c r="J492" s="36">
        <f>IFERROR(I492/$AC492,0)</f>
        <v>0.32599118942731276</v>
      </c>
      <c r="K492" s="17">
        <v>48</v>
      </c>
      <c r="L492" s="36">
        <f>IFERROR(K492/$AD492,0)</f>
        <v>0.3902439024390244</v>
      </c>
      <c r="M492" s="17">
        <v>164</v>
      </c>
      <c r="N492" s="36">
        <f>IFERROR(M492/$AC492,0)</f>
        <v>0.36123348017621143</v>
      </c>
      <c r="O492" s="17">
        <v>37</v>
      </c>
      <c r="P492" s="36">
        <f>IFERROR(O492/$AD492,0)</f>
        <v>0.30081300813008133</v>
      </c>
      <c r="Q492" s="17">
        <v>85</v>
      </c>
      <c r="R492" s="36">
        <f>IFERROR(Q492/$AC492,0)</f>
        <v>0.18722466960352424</v>
      </c>
      <c r="S492" s="17">
        <v>23</v>
      </c>
      <c r="T492" s="36">
        <f>IFERROR(S492/$AD492,0)</f>
        <v>0.18699186991869918</v>
      </c>
      <c r="U492" s="17">
        <v>30</v>
      </c>
      <c r="V492" s="36">
        <f>IFERROR(U492/$AC492,0)</f>
        <v>6.6079295154185022E-2</v>
      </c>
      <c r="W492" s="17">
        <v>8</v>
      </c>
      <c r="X492" s="36">
        <f>IFERROR(W492/$AD492,0)</f>
        <v>6.5040650406504072E-2</v>
      </c>
      <c r="Y492" s="17">
        <v>14</v>
      </c>
      <c r="Z492" s="36">
        <f>IFERROR(Y492/$AC492,0)</f>
        <v>3.0837004405286344E-2</v>
      </c>
      <c r="AA492" s="17">
        <v>5</v>
      </c>
      <c r="AB492" s="36">
        <f>IFERROR(AA492/$AD492,0)</f>
        <v>4.065040650406504E-2</v>
      </c>
      <c r="AC492" s="17">
        <v>454</v>
      </c>
      <c r="AD492" s="17">
        <v>123</v>
      </c>
    </row>
    <row r="493" spans="1:30" ht="15.75" customHeight="1" x14ac:dyDescent="0.25">
      <c r="A493" s="37">
        <v>2021</v>
      </c>
      <c r="B493" s="35">
        <v>171320</v>
      </c>
      <c r="C493" s="34" t="s">
        <v>148</v>
      </c>
      <c r="D493" s="34" t="s">
        <v>79</v>
      </c>
      <c r="E493" s="17">
        <v>71</v>
      </c>
      <c r="F493" s="36">
        <f>IFERROR(E493/$AC493,0)</f>
        <v>2.0675596971461853E-2</v>
      </c>
      <c r="G493" s="17">
        <v>14</v>
      </c>
      <c r="H493" s="36">
        <f>IFERROR(G493/$AD493,0)</f>
        <v>2.5688073394495414E-2</v>
      </c>
      <c r="I493" s="16">
        <v>1259</v>
      </c>
      <c r="J493" s="36">
        <f>IFERROR(I493/$AC493,0)</f>
        <v>0.3666278392545137</v>
      </c>
      <c r="K493" s="17">
        <v>199</v>
      </c>
      <c r="L493" s="36">
        <f>IFERROR(K493/$AD493,0)</f>
        <v>0.3651376146788991</v>
      </c>
      <c r="M493" s="16">
        <v>1256</v>
      </c>
      <c r="N493" s="36">
        <f>IFERROR(M493/$AC493,0)</f>
        <v>0.36575422248107164</v>
      </c>
      <c r="O493" s="17">
        <v>183</v>
      </c>
      <c r="P493" s="36">
        <f>IFERROR(O493/$AD493,0)</f>
        <v>0.33577981651376149</v>
      </c>
      <c r="Q493" s="17">
        <v>584</v>
      </c>
      <c r="R493" s="36">
        <f>IFERROR(Q493/$AC493,0)</f>
        <v>0.17006406523005241</v>
      </c>
      <c r="S493" s="17">
        <v>97</v>
      </c>
      <c r="T493" s="36">
        <f>IFERROR(S493/$AD493,0)</f>
        <v>0.1779816513761468</v>
      </c>
      <c r="U493" s="17">
        <v>179</v>
      </c>
      <c r="V493" s="36">
        <f>IFERROR(U493/$AC493,0)</f>
        <v>5.2125800815375656E-2</v>
      </c>
      <c r="W493" s="17">
        <v>34</v>
      </c>
      <c r="X493" s="36">
        <f>IFERROR(W493/$AD493,0)</f>
        <v>6.2385321100917435E-2</v>
      </c>
      <c r="Y493" s="17">
        <v>85</v>
      </c>
      <c r="Z493" s="36">
        <f>IFERROR(Y493/$AC493,0)</f>
        <v>2.4752475247524754E-2</v>
      </c>
      <c r="AA493" s="17">
        <v>18</v>
      </c>
      <c r="AB493" s="36">
        <f>IFERROR(AA493/$AD493,0)</f>
        <v>3.3027522935779818E-2</v>
      </c>
      <c r="AC493" s="16">
        <v>3434</v>
      </c>
      <c r="AD493" s="17">
        <v>545</v>
      </c>
    </row>
    <row r="494" spans="1:30" ht="15.75" customHeight="1" x14ac:dyDescent="0.25">
      <c r="A494" s="37">
        <v>2021</v>
      </c>
      <c r="B494" s="35">
        <v>171330</v>
      </c>
      <c r="C494" s="34" t="s">
        <v>148</v>
      </c>
      <c r="D494" s="34" t="s">
        <v>80</v>
      </c>
      <c r="E494" s="17">
        <v>26</v>
      </c>
      <c r="F494" s="36">
        <f>IFERROR(E494/$AC494,0)</f>
        <v>2.1940928270042195E-2</v>
      </c>
      <c r="G494" s="17">
        <v>6</v>
      </c>
      <c r="H494" s="36">
        <f>IFERROR(G494/$AD494,0)</f>
        <v>2.7906976744186046E-2</v>
      </c>
      <c r="I494" s="17">
        <v>371</v>
      </c>
      <c r="J494" s="36">
        <f>IFERROR(I494/$AC494,0)</f>
        <v>0.31308016877637129</v>
      </c>
      <c r="K494" s="17">
        <v>75</v>
      </c>
      <c r="L494" s="36">
        <f>IFERROR(K494/$AD494,0)</f>
        <v>0.34883720930232559</v>
      </c>
      <c r="M494" s="17">
        <v>432</v>
      </c>
      <c r="N494" s="36">
        <f>IFERROR(M494/$AC494,0)</f>
        <v>0.36455696202531646</v>
      </c>
      <c r="O494" s="17">
        <v>72</v>
      </c>
      <c r="P494" s="36">
        <f>IFERROR(O494/$AD494,0)</f>
        <v>0.33488372093023255</v>
      </c>
      <c r="Q494" s="17">
        <v>239</v>
      </c>
      <c r="R494" s="36">
        <f>IFERROR(Q494/$AC494,0)</f>
        <v>0.20168776371308017</v>
      </c>
      <c r="S494" s="17">
        <v>38</v>
      </c>
      <c r="T494" s="36">
        <f>IFERROR(S494/$AD494,0)</f>
        <v>0.17674418604651163</v>
      </c>
      <c r="U494" s="17">
        <v>80</v>
      </c>
      <c r="V494" s="36">
        <f>IFERROR(U494/$AC494,0)</f>
        <v>6.7510548523206745E-2</v>
      </c>
      <c r="W494" s="17">
        <v>19</v>
      </c>
      <c r="X494" s="36">
        <f>IFERROR(W494/$AD494,0)</f>
        <v>8.8372093023255813E-2</v>
      </c>
      <c r="Y494" s="17">
        <v>37</v>
      </c>
      <c r="Z494" s="36">
        <f>IFERROR(Y494/$AC494,0)</f>
        <v>3.1223628691983123E-2</v>
      </c>
      <c r="AA494" s="17">
        <v>5</v>
      </c>
      <c r="AB494" s="36">
        <f>IFERROR(AA494/$AD494,0)</f>
        <v>2.3255813953488372E-2</v>
      </c>
      <c r="AC494" s="16">
        <v>1185</v>
      </c>
      <c r="AD494" s="17">
        <v>215</v>
      </c>
    </row>
    <row r="495" spans="1:30" ht="15.75" customHeight="1" x14ac:dyDescent="0.25">
      <c r="A495" s="37">
        <v>2021</v>
      </c>
      <c r="B495" s="35">
        <v>171360</v>
      </c>
      <c r="C495" s="34" t="s">
        <v>151</v>
      </c>
      <c r="D495" s="34" t="s">
        <v>81</v>
      </c>
      <c r="E495" s="17">
        <v>15</v>
      </c>
      <c r="F495" s="36">
        <f>IFERROR(E495/$AC495,0)</f>
        <v>2.0242914979757085E-2</v>
      </c>
      <c r="G495" s="17">
        <v>1</v>
      </c>
      <c r="H495" s="36">
        <f>IFERROR(G495/$AD495,0)</f>
        <v>1.7241379310344827E-2</v>
      </c>
      <c r="I495" s="17">
        <v>239</v>
      </c>
      <c r="J495" s="36">
        <f>IFERROR(I495/$AC495,0)</f>
        <v>0.32253711201079621</v>
      </c>
      <c r="K495" s="17">
        <v>17</v>
      </c>
      <c r="L495" s="36">
        <f>IFERROR(K495/$AD495,0)</f>
        <v>0.29310344827586204</v>
      </c>
      <c r="M495" s="17">
        <v>232</v>
      </c>
      <c r="N495" s="36">
        <f>IFERROR(M495/$AC495,0)</f>
        <v>0.31309041835357626</v>
      </c>
      <c r="O495" s="17">
        <v>15</v>
      </c>
      <c r="P495" s="36">
        <f>IFERROR(O495/$AD495,0)</f>
        <v>0.25862068965517243</v>
      </c>
      <c r="Q495" s="17">
        <v>154</v>
      </c>
      <c r="R495" s="36">
        <f>IFERROR(Q495/$AC495,0)</f>
        <v>0.2078272604588394</v>
      </c>
      <c r="S495" s="17">
        <v>13</v>
      </c>
      <c r="T495" s="36">
        <f>IFERROR(S495/$AD495,0)</f>
        <v>0.22413793103448276</v>
      </c>
      <c r="U495" s="17">
        <v>59</v>
      </c>
      <c r="V495" s="36">
        <f>IFERROR(U495/$AC495,0)</f>
        <v>7.9622132253711203E-2</v>
      </c>
      <c r="W495" s="17">
        <v>9</v>
      </c>
      <c r="X495" s="36">
        <f>IFERROR(W495/$AD495,0)</f>
        <v>0.15517241379310345</v>
      </c>
      <c r="Y495" s="17">
        <v>42</v>
      </c>
      <c r="Z495" s="36">
        <f>IFERROR(Y495/$AC495,0)</f>
        <v>5.6680161943319839E-2</v>
      </c>
      <c r="AA495" s="17">
        <v>3</v>
      </c>
      <c r="AB495" s="36">
        <f>IFERROR(AA495/$AD495,0)</f>
        <v>5.1724137931034482E-2</v>
      </c>
      <c r="AC495" s="17">
        <v>741</v>
      </c>
      <c r="AD495" s="17">
        <v>58</v>
      </c>
    </row>
    <row r="496" spans="1:30" ht="15.75" customHeight="1" x14ac:dyDescent="0.25">
      <c r="A496" s="37">
        <v>2021</v>
      </c>
      <c r="B496" s="35">
        <v>171370</v>
      </c>
      <c r="C496" s="34" t="s">
        <v>144</v>
      </c>
      <c r="D496" s="34" t="s">
        <v>82</v>
      </c>
      <c r="E496" s="17">
        <v>6</v>
      </c>
      <c r="F496" s="36">
        <f>IFERROR(E496/$AC496,0)</f>
        <v>5.1724137931034482E-2</v>
      </c>
      <c r="G496" s="17">
        <v>7</v>
      </c>
      <c r="H496" s="36">
        <f>IFERROR(G496/$AD496,0)</f>
        <v>6.363636363636363E-2</v>
      </c>
      <c r="I496" s="17">
        <v>43</v>
      </c>
      <c r="J496" s="36">
        <f>IFERROR(I496/$AC496,0)</f>
        <v>0.37068965517241381</v>
      </c>
      <c r="K496" s="17">
        <v>40</v>
      </c>
      <c r="L496" s="36">
        <f>IFERROR(K496/$AD496,0)</f>
        <v>0.36363636363636365</v>
      </c>
      <c r="M496" s="17">
        <v>41</v>
      </c>
      <c r="N496" s="36">
        <f>IFERROR(M496/$AC496,0)</f>
        <v>0.35344827586206895</v>
      </c>
      <c r="O496" s="17">
        <v>39</v>
      </c>
      <c r="P496" s="36">
        <f>IFERROR(O496/$AD496,0)</f>
        <v>0.35454545454545455</v>
      </c>
      <c r="Q496" s="17">
        <v>15</v>
      </c>
      <c r="R496" s="36">
        <f>IFERROR(Q496/$AC496,0)</f>
        <v>0.12931034482758622</v>
      </c>
      <c r="S496" s="17">
        <v>14</v>
      </c>
      <c r="T496" s="36">
        <f>IFERROR(S496/$AD496,0)</f>
        <v>0.12727272727272726</v>
      </c>
      <c r="U496" s="17">
        <v>7</v>
      </c>
      <c r="V496" s="36">
        <f>IFERROR(U496/$AC496,0)</f>
        <v>6.0344827586206899E-2</v>
      </c>
      <c r="W496" s="17">
        <v>6</v>
      </c>
      <c r="X496" s="36">
        <f>IFERROR(W496/$AD496,0)</f>
        <v>5.4545454545454543E-2</v>
      </c>
      <c r="Y496" s="17">
        <v>4</v>
      </c>
      <c r="Z496" s="36">
        <f>IFERROR(Y496/$AC496,0)</f>
        <v>3.4482758620689655E-2</v>
      </c>
      <c r="AA496" s="17">
        <v>4</v>
      </c>
      <c r="AB496" s="36">
        <f>IFERROR(AA496/$AD496,0)</f>
        <v>3.6363636363636362E-2</v>
      </c>
      <c r="AC496" s="17">
        <v>116</v>
      </c>
      <c r="AD496" s="17">
        <v>110</v>
      </c>
    </row>
    <row r="497" spans="1:30" ht="15.75" customHeight="1" x14ac:dyDescent="0.25">
      <c r="A497" s="37">
        <v>2021</v>
      </c>
      <c r="B497" s="35">
        <v>171395</v>
      </c>
      <c r="C497" s="34" t="s">
        <v>149</v>
      </c>
      <c r="D497" s="34" t="s">
        <v>83</v>
      </c>
      <c r="E497" s="17">
        <v>7</v>
      </c>
      <c r="F497" s="36">
        <f>IFERROR(E497/$AC497,0)</f>
        <v>1.3461538461538462E-2</v>
      </c>
      <c r="G497" s="17">
        <v>3</v>
      </c>
      <c r="H497" s="36">
        <f>IFERROR(G497/$AD497,0)</f>
        <v>1.7045454545454544E-2</v>
      </c>
      <c r="I497" s="17">
        <v>195</v>
      </c>
      <c r="J497" s="36">
        <f>IFERROR(I497/$AC497,0)</f>
        <v>0.375</v>
      </c>
      <c r="K497" s="17">
        <v>63</v>
      </c>
      <c r="L497" s="36">
        <f>IFERROR(K497/$AD497,0)</f>
        <v>0.35795454545454547</v>
      </c>
      <c r="M497" s="17">
        <v>190</v>
      </c>
      <c r="N497" s="36">
        <f>IFERROR(M497/$AC497,0)</f>
        <v>0.36538461538461536</v>
      </c>
      <c r="O497" s="17">
        <v>64</v>
      </c>
      <c r="P497" s="36">
        <f>IFERROR(O497/$AD497,0)</f>
        <v>0.36363636363636365</v>
      </c>
      <c r="Q497" s="17">
        <v>87</v>
      </c>
      <c r="R497" s="36">
        <f>IFERROR(Q497/$AC497,0)</f>
        <v>0.1673076923076923</v>
      </c>
      <c r="S497" s="17">
        <v>37</v>
      </c>
      <c r="T497" s="36">
        <f>IFERROR(S497/$AD497,0)</f>
        <v>0.21022727272727273</v>
      </c>
      <c r="U497" s="17">
        <v>26</v>
      </c>
      <c r="V497" s="36">
        <f>IFERROR(U497/$AC497,0)</f>
        <v>0.05</v>
      </c>
      <c r="W497" s="17">
        <v>4</v>
      </c>
      <c r="X497" s="36">
        <f>IFERROR(W497/$AD497,0)</f>
        <v>2.2727272727272728E-2</v>
      </c>
      <c r="Y497" s="17">
        <v>15</v>
      </c>
      <c r="Z497" s="36">
        <f>IFERROR(Y497/$AC497,0)</f>
        <v>2.8846153846153848E-2</v>
      </c>
      <c r="AA497" s="17">
        <v>5</v>
      </c>
      <c r="AB497" s="36">
        <f>IFERROR(AA497/$AD497,0)</f>
        <v>2.8409090909090908E-2</v>
      </c>
      <c r="AC497" s="17">
        <v>520</v>
      </c>
      <c r="AD497" s="17">
        <v>176</v>
      </c>
    </row>
    <row r="498" spans="1:30" ht="15.75" customHeight="1" x14ac:dyDescent="0.25">
      <c r="A498" s="37">
        <v>2021</v>
      </c>
      <c r="B498" s="35">
        <v>171420</v>
      </c>
      <c r="C498" s="34" t="s">
        <v>151</v>
      </c>
      <c r="D498" s="34" t="s">
        <v>84</v>
      </c>
      <c r="E498" s="17">
        <v>32</v>
      </c>
      <c r="F498" s="36">
        <f>IFERROR(E498/$AC498,0)</f>
        <v>1.835915088927137E-2</v>
      </c>
      <c r="G498" s="17">
        <v>6</v>
      </c>
      <c r="H498" s="36">
        <f>IFERROR(G498/$AD498,0)</f>
        <v>2.0689655172413793E-2</v>
      </c>
      <c r="I498" s="17">
        <v>545</v>
      </c>
      <c r="J498" s="36">
        <f>IFERROR(I498/$AC498,0)</f>
        <v>0.31267928858290306</v>
      </c>
      <c r="K498" s="17">
        <v>80</v>
      </c>
      <c r="L498" s="36">
        <f>IFERROR(K498/$AD498,0)</f>
        <v>0.27586206896551724</v>
      </c>
      <c r="M498" s="17">
        <v>633</v>
      </c>
      <c r="N498" s="36">
        <f>IFERROR(M498/$AC498,0)</f>
        <v>0.36316695352839934</v>
      </c>
      <c r="O498" s="17">
        <v>109</v>
      </c>
      <c r="P498" s="36">
        <f>IFERROR(O498/$AD498,0)</f>
        <v>0.37586206896551722</v>
      </c>
      <c r="Q498" s="17">
        <v>329</v>
      </c>
      <c r="R498" s="36">
        <f>IFERROR(Q498/$AC498,0)</f>
        <v>0.18875502008032127</v>
      </c>
      <c r="S498" s="17">
        <v>60</v>
      </c>
      <c r="T498" s="36">
        <f>IFERROR(S498/$AD498,0)</f>
        <v>0.20689655172413793</v>
      </c>
      <c r="U498" s="17">
        <v>147</v>
      </c>
      <c r="V498" s="36">
        <f>IFERROR(U498/$AC498,0)</f>
        <v>8.4337349397590355E-2</v>
      </c>
      <c r="W498" s="17">
        <v>23</v>
      </c>
      <c r="X498" s="36">
        <f>IFERROR(W498/$AD498,0)</f>
        <v>7.9310344827586213E-2</v>
      </c>
      <c r="Y498" s="17">
        <v>57</v>
      </c>
      <c r="Z498" s="36">
        <f>IFERROR(Y498/$AC498,0)</f>
        <v>3.2702237521514632E-2</v>
      </c>
      <c r="AA498" s="17">
        <v>12</v>
      </c>
      <c r="AB498" s="36">
        <f>IFERROR(AA498/$AD498,0)</f>
        <v>4.1379310344827586E-2</v>
      </c>
      <c r="AC498" s="16">
        <v>1743</v>
      </c>
      <c r="AD498" s="17">
        <v>290</v>
      </c>
    </row>
    <row r="499" spans="1:30" ht="15.75" customHeight="1" x14ac:dyDescent="0.25">
      <c r="A499" s="37">
        <v>2021</v>
      </c>
      <c r="B499" s="35">
        <v>171430</v>
      </c>
      <c r="C499" s="34" t="s">
        <v>145</v>
      </c>
      <c r="D499" s="34" t="s">
        <v>85</v>
      </c>
      <c r="E499" s="17">
        <v>8</v>
      </c>
      <c r="F499" s="36">
        <f>IFERROR(E499/$AC499,0)</f>
        <v>2.0460358056265986E-2</v>
      </c>
      <c r="G499" s="17">
        <v>7</v>
      </c>
      <c r="H499" s="36">
        <f>IFERROR(G499/$AD499,0)</f>
        <v>5.4263565891472867E-2</v>
      </c>
      <c r="I499" s="17">
        <v>141</v>
      </c>
      <c r="J499" s="36">
        <f>IFERROR(I499/$AC499,0)</f>
        <v>0.36061381074168797</v>
      </c>
      <c r="K499" s="17">
        <v>51</v>
      </c>
      <c r="L499" s="36">
        <f>IFERROR(K499/$AD499,0)</f>
        <v>0.39534883720930231</v>
      </c>
      <c r="M499" s="17">
        <v>125</v>
      </c>
      <c r="N499" s="36">
        <f>IFERROR(M499/$AC499,0)</f>
        <v>0.31969309462915602</v>
      </c>
      <c r="O499" s="17">
        <v>33</v>
      </c>
      <c r="P499" s="36">
        <f>IFERROR(O499/$AD499,0)</f>
        <v>0.2558139534883721</v>
      </c>
      <c r="Q499" s="17">
        <v>81</v>
      </c>
      <c r="R499" s="36">
        <f>IFERROR(Q499/$AC499,0)</f>
        <v>0.20716112531969311</v>
      </c>
      <c r="S499" s="17">
        <v>24</v>
      </c>
      <c r="T499" s="36">
        <f>IFERROR(S499/$AD499,0)</f>
        <v>0.18604651162790697</v>
      </c>
      <c r="U499" s="17">
        <v>26</v>
      </c>
      <c r="V499" s="36">
        <f>IFERROR(U499/$AC499,0)</f>
        <v>6.6496163682864456E-2</v>
      </c>
      <c r="W499" s="17">
        <v>11</v>
      </c>
      <c r="X499" s="36">
        <f>IFERROR(W499/$AD499,0)</f>
        <v>8.5271317829457363E-2</v>
      </c>
      <c r="Y499" s="17">
        <v>10</v>
      </c>
      <c r="Z499" s="36">
        <f>IFERROR(Y499/$AC499,0)</f>
        <v>2.557544757033248E-2</v>
      </c>
      <c r="AA499" s="17">
        <v>3</v>
      </c>
      <c r="AB499" s="36">
        <f>IFERROR(AA499/$AD499,0)</f>
        <v>2.3255813953488372E-2</v>
      </c>
      <c r="AC499" s="17">
        <v>391</v>
      </c>
      <c r="AD499" s="17">
        <v>129</v>
      </c>
    </row>
    <row r="500" spans="1:30" ht="15.75" customHeight="1" x14ac:dyDescent="0.25">
      <c r="A500" s="37">
        <v>2021</v>
      </c>
      <c r="B500" s="35">
        <v>171488</v>
      </c>
      <c r="C500" s="34" t="s">
        <v>149</v>
      </c>
      <c r="D500" s="34" t="s">
        <v>86</v>
      </c>
      <c r="E500" s="17">
        <v>13</v>
      </c>
      <c r="F500" s="36">
        <f>IFERROR(E500/$AC500,0)</f>
        <v>1.4705882352941176E-2</v>
      </c>
      <c r="G500" s="17">
        <v>1</v>
      </c>
      <c r="H500" s="36">
        <f>IFERROR(G500/$AD500,0)</f>
        <v>3.3003300330033004E-3</v>
      </c>
      <c r="I500" s="17">
        <v>345</v>
      </c>
      <c r="J500" s="36">
        <f>IFERROR(I500/$AC500,0)</f>
        <v>0.39027149321266968</v>
      </c>
      <c r="K500" s="17">
        <v>146</v>
      </c>
      <c r="L500" s="36">
        <f>IFERROR(K500/$AD500,0)</f>
        <v>0.48184818481848185</v>
      </c>
      <c r="M500" s="17">
        <v>282</v>
      </c>
      <c r="N500" s="36">
        <f>IFERROR(M500/$AC500,0)</f>
        <v>0.3190045248868778</v>
      </c>
      <c r="O500" s="17">
        <v>83</v>
      </c>
      <c r="P500" s="36">
        <f>IFERROR(O500/$AD500,0)</f>
        <v>0.27392739273927391</v>
      </c>
      <c r="Q500" s="17">
        <v>148</v>
      </c>
      <c r="R500" s="36">
        <f>IFERROR(Q500/$AC500,0)</f>
        <v>0.167420814479638</v>
      </c>
      <c r="S500" s="17">
        <v>52</v>
      </c>
      <c r="T500" s="36">
        <f>IFERROR(S500/$AD500,0)</f>
        <v>0.17161716171617161</v>
      </c>
      <c r="U500" s="17">
        <v>63</v>
      </c>
      <c r="V500" s="36">
        <f>IFERROR(U500/$AC500,0)</f>
        <v>7.1266968325791852E-2</v>
      </c>
      <c r="W500" s="17">
        <v>14</v>
      </c>
      <c r="X500" s="36">
        <f>IFERROR(W500/$AD500,0)</f>
        <v>4.6204620462046202E-2</v>
      </c>
      <c r="Y500" s="17">
        <v>33</v>
      </c>
      <c r="Z500" s="36">
        <f>IFERROR(Y500/$AC500,0)</f>
        <v>3.7330316742081447E-2</v>
      </c>
      <c r="AA500" s="17">
        <v>7</v>
      </c>
      <c r="AB500" s="36">
        <f>IFERROR(AA500/$AD500,0)</f>
        <v>2.3102310231023101E-2</v>
      </c>
      <c r="AC500" s="17">
        <v>884</v>
      </c>
      <c r="AD500" s="17">
        <v>303</v>
      </c>
    </row>
    <row r="501" spans="1:30" ht="15.75" customHeight="1" x14ac:dyDescent="0.25">
      <c r="A501" s="37">
        <v>2021</v>
      </c>
      <c r="B501" s="35">
        <v>171500</v>
      </c>
      <c r="C501" s="34" t="s">
        <v>144</v>
      </c>
      <c r="D501" s="34" t="s">
        <v>87</v>
      </c>
      <c r="E501" s="17">
        <v>7</v>
      </c>
      <c r="F501" s="36">
        <f>IFERROR(E501/$AC501,0)</f>
        <v>1.7500000000000002E-2</v>
      </c>
      <c r="G501" s="17">
        <v>3</v>
      </c>
      <c r="H501" s="36">
        <f>IFERROR(G501/$AD501,0)</f>
        <v>2.2388059701492536E-2</v>
      </c>
      <c r="I501" s="17">
        <v>144</v>
      </c>
      <c r="J501" s="36">
        <f>IFERROR(I501/$AC501,0)</f>
        <v>0.36</v>
      </c>
      <c r="K501" s="17">
        <v>51</v>
      </c>
      <c r="L501" s="36">
        <f>IFERROR(K501/$AD501,0)</f>
        <v>0.38059701492537312</v>
      </c>
      <c r="M501" s="17">
        <v>142</v>
      </c>
      <c r="N501" s="36">
        <f>IFERROR(M501/$AC501,0)</f>
        <v>0.35499999999999998</v>
      </c>
      <c r="O501" s="17">
        <v>45</v>
      </c>
      <c r="P501" s="36">
        <f>IFERROR(O501/$AD501,0)</f>
        <v>0.33582089552238809</v>
      </c>
      <c r="Q501" s="17">
        <v>61</v>
      </c>
      <c r="R501" s="36">
        <f>IFERROR(Q501/$AC501,0)</f>
        <v>0.1525</v>
      </c>
      <c r="S501" s="17">
        <v>23</v>
      </c>
      <c r="T501" s="36">
        <f>IFERROR(S501/$AD501,0)</f>
        <v>0.17164179104477612</v>
      </c>
      <c r="U501" s="17">
        <v>26</v>
      </c>
      <c r="V501" s="36">
        <f>IFERROR(U501/$AC501,0)</f>
        <v>6.5000000000000002E-2</v>
      </c>
      <c r="W501" s="17">
        <v>7</v>
      </c>
      <c r="X501" s="36">
        <f>IFERROR(W501/$AD501,0)</f>
        <v>5.2238805970149252E-2</v>
      </c>
      <c r="Y501" s="17">
        <v>20</v>
      </c>
      <c r="Z501" s="36">
        <f>IFERROR(Y501/$AC501,0)</f>
        <v>0.05</v>
      </c>
      <c r="AA501" s="17">
        <v>5</v>
      </c>
      <c r="AB501" s="36">
        <f>IFERROR(AA501/$AD501,0)</f>
        <v>3.7313432835820892E-2</v>
      </c>
      <c r="AC501" s="17">
        <v>400</v>
      </c>
      <c r="AD501" s="17">
        <v>134</v>
      </c>
    </row>
    <row r="502" spans="1:30" ht="15.75" customHeight="1" x14ac:dyDescent="0.25">
      <c r="A502" s="37">
        <v>2021</v>
      </c>
      <c r="B502" s="35">
        <v>171510</v>
      </c>
      <c r="C502" s="34" t="s">
        <v>148</v>
      </c>
      <c r="D502" s="34" t="s">
        <v>88</v>
      </c>
      <c r="E502" s="17">
        <v>4</v>
      </c>
      <c r="F502" s="36">
        <f>IFERROR(E502/$AC502,0)</f>
        <v>2.1164021164021163E-2</v>
      </c>
      <c r="G502" s="17">
        <v>0</v>
      </c>
      <c r="H502" s="36">
        <f>IFERROR(G502/$AD502,0)</f>
        <v>0</v>
      </c>
      <c r="I502" s="17">
        <v>66</v>
      </c>
      <c r="J502" s="36">
        <f>IFERROR(I502/$AC502,0)</f>
        <v>0.34920634920634919</v>
      </c>
      <c r="K502" s="17">
        <v>9</v>
      </c>
      <c r="L502" s="36">
        <f>IFERROR(K502/$AD502,0)</f>
        <v>0.52941176470588236</v>
      </c>
      <c r="M502" s="17">
        <v>62</v>
      </c>
      <c r="N502" s="36">
        <f>IFERROR(M502/$AC502,0)</f>
        <v>0.32804232804232802</v>
      </c>
      <c r="O502" s="17">
        <v>6</v>
      </c>
      <c r="P502" s="36">
        <f>IFERROR(O502/$AD502,0)</f>
        <v>0.35294117647058826</v>
      </c>
      <c r="Q502" s="17">
        <v>34</v>
      </c>
      <c r="R502" s="36">
        <f>IFERROR(Q502/$AC502,0)</f>
        <v>0.17989417989417988</v>
      </c>
      <c r="S502" s="17">
        <v>2</v>
      </c>
      <c r="T502" s="36">
        <f>IFERROR(S502/$AD502,0)</f>
        <v>0.11764705882352941</v>
      </c>
      <c r="U502" s="17">
        <v>13</v>
      </c>
      <c r="V502" s="36">
        <f>IFERROR(U502/$AC502,0)</f>
        <v>6.8783068783068779E-2</v>
      </c>
      <c r="W502" s="17">
        <v>0</v>
      </c>
      <c r="X502" s="36">
        <f>IFERROR(W502/$AD502,0)</f>
        <v>0</v>
      </c>
      <c r="Y502" s="17">
        <v>10</v>
      </c>
      <c r="Z502" s="36">
        <f>IFERROR(Y502/$AC502,0)</f>
        <v>5.2910052910052907E-2</v>
      </c>
      <c r="AA502" s="17">
        <v>0</v>
      </c>
      <c r="AB502" s="36">
        <f>IFERROR(AA502/$AD502,0)</f>
        <v>0</v>
      </c>
      <c r="AC502" s="17">
        <v>189</v>
      </c>
      <c r="AD502" s="17">
        <v>17</v>
      </c>
    </row>
    <row r="503" spans="1:30" ht="15.75" customHeight="1" x14ac:dyDescent="0.25">
      <c r="A503" s="37">
        <v>2021</v>
      </c>
      <c r="B503" s="35">
        <v>171515</v>
      </c>
      <c r="C503" s="34" t="s">
        <v>147</v>
      </c>
      <c r="D503" s="34" t="s">
        <v>89</v>
      </c>
      <c r="E503" s="17">
        <v>16</v>
      </c>
      <c r="F503" s="36">
        <f>IFERROR(E503/$AC503,0)</f>
        <v>2.3357664233576641E-2</v>
      </c>
      <c r="G503" s="17">
        <v>1</v>
      </c>
      <c r="H503" s="36">
        <f>IFERROR(G503/$AD503,0)</f>
        <v>1.0416666666666666E-2</v>
      </c>
      <c r="I503" s="17">
        <v>242</v>
      </c>
      <c r="J503" s="36">
        <f>IFERROR(I503/$AC503,0)</f>
        <v>0.35328467153284671</v>
      </c>
      <c r="K503" s="17">
        <v>32</v>
      </c>
      <c r="L503" s="36">
        <f>IFERROR(K503/$AD503,0)</f>
        <v>0.33333333333333331</v>
      </c>
      <c r="M503" s="17">
        <v>247</v>
      </c>
      <c r="N503" s="36">
        <f>IFERROR(M503/$AC503,0)</f>
        <v>0.3605839416058394</v>
      </c>
      <c r="O503" s="17">
        <v>37</v>
      </c>
      <c r="P503" s="36">
        <f>IFERROR(O503/$AD503,0)</f>
        <v>0.38541666666666669</v>
      </c>
      <c r="Q503" s="17">
        <v>112</v>
      </c>
      <c r="R503" s="36">
        <f>IFERROR(Q503/$AC503,0)</f>
        <v>0.1635036496350365</v>
      </c>
      <c r="S503" s="17">
        <v>16</v>
      </c>
      <c r="T503" s="36">
        <f>IFERROR(S503/$AD503,0)</f>
        <v>0.16666666666666666</v>
      </c>
      <c r="U503" s="17">
        <v>47</v>
      </c>
      <c r="V503" s="36">
        <f>IFERROR(U503/$AC503,0)</f>
        <v>6.8613138686131392E-2</v>
      </c>
      <c r="W503" s="17">
        <v>10</v>
      </c>
      <c r="X503" s="36">
        <f>IFERROR(W503/$AD503,0)</f>
        <v>0.10416666666666667</v>
      </c>
      <c r="Y503" s="17">
        <v>21</v>
      </c>
      <c r="Z503" s="36">
        <f>IFERROR(Y503/$AC503,0)</f>
        <v>3.0656934306569343E-2</v>
      </c>
      <c r="AA503" s="17">
        <v>0</v>
      </c>
      <c r="AB503" s="36">
        <f>IFERROR(AA503/$AD503,0)</f>
        <v>0</v>
      </c>
      <c r="AC503" s="17">
        <v>685</v>
      </c>
      <c r="AD503" s="17">
        <v>96</v>
      </c>
    </row>
    <row r="504" spans="1:30" ht="15.75" customHeight="1" x14ac:dyDescent="0.25">
      <c r="A504" s="37">
        <v>2021</v>
      </c>
      <c r="B504" s="35">
        <v>171525</v>
      </c>
      <c r="C504" s="34" t="s">
        <v>147</v>
      </c>
      <c r="D504" s="34" t="s">
        <v>90</v>
      </c>
      <c r="E504" s="17">
        <v>5</v>
      </c>
      <c r="F504" s="36">
        <f>IFERROR(E504/$AC504,0)</f>
        <v>5.4945054945054944E-2</v>
      </c>
      <c r="G504" s="17">
        <v>3</v>
      </c>
      <c r="H504" s="36">
        <f>IFERROR(G504/$AD504,0)</f>
        <v>5.0847457627118647E-2</v>
      </c>
      <c r="I504" s="17">
        <v>46</v>
      </c>
      <c r="J504" s="36">
        <f>IFERROR(I504/$AC504,0)</f>
        <v>0.50549450549450547</v>
      </c>
      <c r="K504" s="17">
        <v>31</v>
      </c>
      <c r="L504" s="36">
        <f>IFERROR(K504/$AD504,0)</f>
        <v>0.52542372881355937</v>
      </c>
      <c r="M504" s="17">
        <v>22</v>
      </c>
      <c r="N504" s="36">
        <f>IFERROR(M504/$AC504,0)</f>
        <v>0.24175824175824176</v>
      </c>
      <c r="O504" s="17">
        <v>16</v>
      </c>
      <c r="P504" s="36">
        <f>IFERROR(O504/$AD504,0)</f>
        <v>0.2711864406779661</v>
      </c>
      <c r="Q504" s="17">
        <v>11</v>
      </c>
      <c r="R504" s="36">
        <f>IFERROR(Q504/$AC504,0)</f>
        <v>0.12087912087912088</v>
      </c>
      <c r="S504" s="17">
        <v>6</v>
      </c>
      <c r="T504" s="36">
        <f>IFERROR(S504/$AD504,0)</f>
        <v>0.10169491525423729</v>
      </c>
      <c r="U504" s="17">
        <v>4</v>
      </c>
      <c r="V504" s="36">
        <f>IFERROR(U504/$AC504,0)</f>
        <v>4.3956043956043959E-2</v>
      </c>
      <c r="W504" s="17">
        <v>2</v>
      </c>
      <c r="X504" s="36">
        <f>IFERROR(W504/$AD504,0)</f>
        <v>3.3898305084745763E-2</v>
      </c>
      <c r="Y504" s="17">
        <v>3</v>
      </c>
      <c r="Z504" s="36">
        <f>IFERROR(Y504/$AC504,0)</f>
        <v>3.2967032967032968E-2</v>
      </c>
      <c r="AA504" s="17">
        <v>1</v>
      </c>
      <c r="AB504" s="36">
        <f>IFERROR(AA504/$AD504,0)</f>
        <v>1.6949152542372881E-2</v>
      </c>
      <c r="AC504" s="17">
        <v>91</v>
      </c>
      <c r="AD504" s="17">
        <v>59</v>
      </c>
    </row>
    <row r="505" spans="1:30" ht="15.75" customHeight="1" x14ac:dyDescent="0.25">
      <c r="A505" s="37">
        <v>2021</v>
      </c>
      <c r="B505" s="35">
        <v>171550</v>
      </c>
      <c r="C505" s="34" t="s">
        <v>151</v>
      </c>
      <c r="D505" s="34" t="s">
        <v>91</v>
      </c>
      <c r="E505" s="17">
        <v>2</v>
      </c>
      <c r="F505" s="36">
        <f>IFERROR(E505/$AC505,0)</f>
        <v>8.8105726872246704E-3</v>
      </c>
      <c r="G505" s="17">
        <v>2</v>
      </c>
      <c r="H505" s="36">
        <f>IFERROR(G505/$AD505,0)</f>
        <v>3.5714285714285712E-2</v>
      </c>
      <c r="I505" s="17">
        <v>65</v>
      </c>
      <c r="J505" s="36">
        <f>IFERROR(I505/$AC505,0)</f>
        <v>0.28634361233480177</v>
      </c>
      <c r="K505" s="17">
        <v>17</v>
      </c>
      <c r="L505" s="36">
        <f>IFERROR(K505/$AD505,0)</f>
        <v>0.30357142857142855</v>
      </c>
      <c r="M505" s="17">
        <v>86</v>
      </c>
      <c r="N505" s="36">
        <f>IFERROR(M505/$AC505,0)</f>
        <v>0.3788546255506608</v>
      </c>
      <c r="O505" s="17">
        <v>16</v>
      </c>
      <c r="P505" s="36">
        <f>IFERROR(O505/$AD505,0)</f>
        <v>0.2857142857142857</v>
      </c>
      <c r="Q505" s="17">
        <v>42</v>
      </c>
      <c r="R505" s="36">
        <f>IFERROR(Q505/$AC505,0)</f>
        <v>0.18502202643171806</v>
      </c>
      <c r="S505" s="17">
        <v>10</v>
      </c>
      <c r="T505" s="36">
        <f>IFERROR(S505/$AD505,0)</f>
        <v>0.17857142857142858</v>
      </c>
      <c r="U505" s="17">
        <v>20</v>
      </c>
      <c r="V505" s="36">
        <f>IFERROR(U505/$AC505,0)</f>
        <v>8.8105726872246701E-2</v>
      </c>
      <c r="W505" s="17">
        <v>5</v>
      </c>
      <c r="X505" s="36">
        <f>IFERROR(W505/$AD505,0)</f>
        <v>8.9285714285714288E-2</v>
      </c>
      <c r="Y505" s="17">
        <v>12</v>
      </c>
      <c r="Z505" s="36">
        <f>IFERROR(Y505/$AC505,0)</f>
        <v>5.2863436123348019E-2</v>
      </c>
      <c r="AA505" s="17">
        <v>6</v>
      </c>
      <c r="AB505" s="36">
        <f>IFERROR(AA505/$AD505,0)</f>
        <v>0.10714285714285714</v>
      </c>
      <c r="AC505" s="17">
        <v>227</v>
      </c>
      <c r="AD505" s="17">
        <v>56</v>
      </c>
    </row>
    <row r="506" spans="1:30" ht="15.75" customHeight="1" x14ac:dyDescent="0.25">
      <c r="A506" s="37">
        <v>2021</v>
      </c>
      <c r="B506" s="35">
        <v>172100</v>
      </c>
      <c r="C506" s="34" t="s">
        <v>148</v>
      </c>
      <c r="D506" s="34" t="s">
        <v>92</v>
      </c>
      <c r="E506" s="17">
        <v>440</v>
      </c>
      <c r="F506" s="36">
        <f>IFERROR(E506/$AC506,0)</f>
        <v>2.2932193672799292E-2</v>
      </c>
      <c r="G506" s="17">
        <v>128</v>
      </c>
      <c r="H506" s="36">
        <f>IFERROR(G506/$AD506,0)</f>
        <v>3.4944034944034946E-2</v>
      </c>
      <c r="I506" s="16">
        <v>6483</v>
      </c>
      <c r="J506" s="36">
        <f>IFERROR(I506/$AC506,0)</f>
        <v>0.33788502631990408</v>
      </c>
      <c r="K506" s="16">
        <v>1448</v>
      </c>
      <c r="L506" s="36">
        <f>IFERROR(K506/$AD506,0)</f>
        <v>0.39530439530439532</v>
      </c>
      <c r="M506" s="16">
        <v>6655</v>
      </c>
      <c r="N506" s="36">
        <f>IFERROR(M506/$AC506,0)</f>
        <v>0.34684942930108925</v>
      </c>
      <c r="O506" s="16">
        <v>1166</v>
      </c>
      <c r="P506" s="36">
        <f>IFERROR(O506/$AD506,0)</f>
        <v>0.31831831831831831</v>
      </c>
      <c r="Q506" s="16">
        <v>3493</v>
      </c>
      <c r="R506" s="36">
        <f>IFERROR(Q506/$AC506,0)</f>
        <v>0.1820503465888362</v>
      </c>
      <c r="S506" s="17">
        <v>576</v>
      </c>
      <c r="T506" s="36">
        <f>IFERROR(S506/$AD506,0)</f>
        <v>0.15724815724815724</v>
      </c>
      <c r="U506" s="16">
        <v>1358</v>
      </c>
      <c r="V506" s="36">
        <f>IFERROR(U506/$AC506,0)</f>
        <v>7.0777088653775994E-2</v>
      </c>
      <c r="W506" s="17">
        <v>234</v>
      </c>
      <c r="X506" s="36">
        <f>IFERROR(W506/$AD506,0)</f>
        <v>6.3882063882063883E-2</v>
      </c>
      <c r="Y506" s="17">
        <v>758</v>
      </c>
      <c r="Z506" s="36">
        <f>IFERROR(Y506/$AC506,0)</f>
        <v>3.9505915463595144E-2</v>
      </c>
      <c r="AA506" s="17">
        <v>111</v>
      </c>
      <c r="AB506" s="36">
        <f>IFERROR(AA506/$AD506,0)</f>
        <v>3.0303030303030304E-2</v>
      </c>
      <c r="AC506" s="16">
        <v>19187</v>
      </c>
      <c r="AD506" s="16">
        <v>3663</v>
      </c>
    </row>
    <row r="507" spans="1:30" ht="15.75" customHeight="1" x14ac:dyDescent="0.25">
      <c r="A507" s="37">
        <v>2021</v>
      </c>
      <c r="B507" s="35">
        <v>171570</v>
      </c>
      <c r="C507" s="34" t="s">
        <v>150</v>
      </c>
      <c r="D507" s="34" t="s">
        <v>93</v>
      </c>
      <c r="E507" s="17">
        <v>13</v>
      </c>
      <c r="F507" s="36">
        <f>IFERROR(E507/$AC507,0)</f>
        <v>2.1381578947368422E-2</v>
      </c>
      <c r="G507" s="17">
        <v>6</v>
      </c>
      <c r="H507" s="36">
        <f>IFERROR(G507/$AD507,0)</f>
        <v>4.1095890410958902E-2</v>
      </c>
      <c r="I507" s="17">
        <v>210</v>
      </c>
      <c r="J507" s="36">
        <f>IFERROR(I507/$AC507,0)</f>
        <v>0.34539473684210525</v>
      </c>
      <c r="K507" s="17">
        <v>59</v>
      </c>
      <c r="L507" s="36">
        <f>IFERROR(K507/$AD507,0)</f>
        <v>0.4041095890410959</v>
      </c>
      <c r="M507" s="17">
        <v>215</v>
      </c>
      <c r="N507" s="36">
        <f>IFERROR(M507/$AC507,0)</f>
        <v>0.35361842105263158</v>
      </c>
      <c r="O507" s="17">
        <v>44</v>
      </c>
      <c r="P507" s="36">
        <f>IFERROR(O507/$AD507,0)</f>
        <v>0.30136986301369861</v>
      </c>
      <c r="Q507" s="17">
        <v>111</v>
      </c>
      <c r="R507" s="36">
        <f>IFERROR(Q507/$AC507,0)</f>
        <v>0.18256578947368421</v>
      </c>
      <c r="S507" s="17">
        <v>19</v>
      </c>
      <c r="T507" s="36">
        <f>IFERROR(S507/$AD507,0)</f>
        <v>0.13013698630136986</v>
      </c>
      <c r="U507" s="17">
        <v>46</v>
      </c>
      <c r="V507" s="36">
        <f>IFERROR(U507/$AC507,0)</f>
        <v>7.5657894736842105E-2</v>
      </c>
      <c r="W507" s="17">
        <v>15</v>
      </c>
      <c r="X507" s="36">
        <f>IFERROR(W507/$AD507,0)</f>
        <v>0.10273972602739725</v>
      </c>
      <c r="Y507" s="17">
        <v>13</v>
      </c>
      <c r="Z507" s="36">
        <f>IFERROR(Y507/$AC507,0)</f>
        <v>2.1381578947368422E-2</v>
      </c>
      <c r="AA507" s="17">
        <v>3</v>
      </c>
      <c r="AB507" s="36">
        <f>IFERROR(AA507/$AD507,0)</f>
        <v>2.0547945205479451E-2</v>
      </c>
      <c r="AC507" s="17">
        <v>608</v>
      </c>
      <c r="AD507" s="17">
        <v>146</v>
      </c>
    </row>
    <row r="508" spans="1:30" ht="15.75" customHeight="1" x14ac:dyDescent="0.25">
      <c r="A508" s="37">
        <v>2021</v>
      </c>
      <c r="B508" s="35">
        <v>171380</v>
      </c>
      <c r="C508" s="34" t="s">
        <v>145</v>
      </c>
      <c r="D508" s="34" t="s">
        <v>94</v>
      </c>
      <c r="E508" s="17">
        <v>4</v>
      </c>
      <c r="F508" s="36">
        <f>IFERROR(E508/$AC508,0)</f>
        <v>3.1007751937984496E-2</v>
      </c>
      <c r="G508" s="17">
        <v>0</v>
      </c>
      <c r="H508" s="36">
        <f>IFERROR(G508/$AD508,0)</f>
        <v>0</v>
      </c>
      <c r="I508" s="17">
        <v>36</v>
      </c>
      <c r="J508" s="36">
        <f>IFERROR(I508/$AC508,0)</f>
        <v>0.27906976744186046</v>
      </c>
      <c r="K508" s="17">
        <v>9</v>
      </c>
      <c r="L508" s="36">
        <f>IFERROR(K508/$AD508,0)</f>
        <v>0.3</v>
      </c>
      <c r="M508" s="17">
        <v>50</v>
      </c>
      <c r="N508" s="36">
        <f>IFERROR(M508/$AC508,0)</f>
        <v>0.38759689922480622</v>
      </c>
      <c r="O508" s="17">
        <v>11</v>
      </c>
      <c r="P508" s="36">
        <f>IFERROR(O508/$AD508,0)</f>
        <v>0.36666666666666664</v>
      </c>
      <c r="Q508" s="17">
        <v>27</v>
      </c>
      <c r="R508" s="36">
        <f>IFERROR(Q508/$AC508,0)</f>
        <v>0.20930232558139536</v>
      </c>
      <c r="S508" s="17">
        <v>8</v>
      </c>
      <c r="T508" s="36">
        <f>IFERROR(S508/$AD508,0)</f>
        <v>0.26666666666666666</v>
      </c>
      <c r="U508" s="17">
        <v>9</v>
      </c>
      <c r="V508" s="36">
        <f>IFERROR(U508/$AC508,0)</f>
        <v>6.9767441860465115E-2</v>
      </c>
      <c r="W508" s="17">
        <v>1</v>
      </c>
      <c r="X508" s="36">
        <f>IFERROR(W508/$AD508,0)</f>
        <v>3.3333333333333333E-2</v>
      </c>
      <c r="Y508" s="17">
        <v>3</v>
      </c>
      <c r="Z508" s="36">
        <f>IFERROR(Y508/$AC508,0)</f>
        <v>2.3255813953488372E-2</v>
      </c>
      <c r="AA508" s="17">
        <v>1</v>
      </c>
      <c r="AB508" s="36">
        <f>IFERROR(AA508/$AD508,0)</f>
        <v>3.3333333333333333E-2</v>
      </c>
      <c r="AC508" s="17">
        <v>129</v>
      </c>
      <c r="AD508" s="17">
        <v>30</v>
      </c>
    </row>
    <row r="509" spans="1:30" ht="15.75" customHeight="1" x14ac:dyDescent="0.25">
      <c r="A509" s="37">
        <v>2021</v>
      </c>
      <c r="B509" s="35">
        <v>171575</v>
      </c>
      <c r="C509" s="34" t="s">
        <v>146</v>
      </c>
      <c r="D509" s="34" t="s">
        <v>95</v>
      </c>
      <c r="E509" s="17">
        <v>15</v>
      </c>
      <c r="F509" s="36">
        <f>IFERROR(E509/$AC509,0)</f>
        <v>2.3696682464454975E-2</v>
      </c>
      <c r="G509" s="17">
        <v>6</v>
      </c>
      <c r="H509" s="36">
        <f>IFERROR(G509/$AD509,0)</f>
        <v>4.195804195804196E-2</v>
      </c>
      <c r="I509" s="17">
        <v>212</v>
      </c>
      <c r="J509" s="36">
        <f>IFERROR(I509/$AC509,0)</f>
        <v>0.33491311216429698</v>
      </c>
      <c r="K509" s="17">
        <v>43</v>
      </c>
      <c r="L509" s="36">
        <f>IFERROR(K509/$AD509,0)</f>
        <v>0.30069930069930068</v>
      </c>
      <c r="M509" s="17">
        <v>207</v>
      </c>
      <c r="N509" s="36">
        <f>IFERROR(M509/$AC509,0)</f>
        <v>0.32701421800947866</v>
      </c>
      <c r="O509" s="17">
        <v>44</v>
      </c>
      <c r="P509" s="36">
        <f>IFERROR(O509/$AD509,0)</f>
        <v>0.30769230769230771</v>
      </c>
      <c r="Q509" s="17">
        <v>112</v>
      </c>
      <c r="R509" s="36">
        <f>IFERROR(Q509/$AC509,0)</f>
        <v>0.17693522906793049</v>
      </c>
      <c r="S509" s="17">
        <v>32</v>
      </c>
      <c r="T509" s="36">
        <f>IFERROR(S509/$AD509,0)</f>
        <v>0.22377622377622378</v>
      </c>
      <c r="U509" s="17">
        <v>50</v>
      </c>
      <c r="V509" s="36">
        <f>IFERROR(U509/$AC509,0)</f>
        <v>7.8988941548183256E-2</v>
      </c>
      <c r="W509" s="17">
        <v>12</v>
      </c>
      <c r="X509" s="36">
        <f>IFERROR(W509/$AD509,0)</f>
        <v>8.3916083916083919E-2</v>
      </c>
      <c r="Y509" s="17">
        <v>37</v>
      </c>
      <c r="Z509" s="36">
        <f>IFERROR(Y509/$AC509,0)</f>
        <v>5.845181674565561E-2</v>
      </c>
      <c r="AA509" s="17">
        <v>6</v>
      </c>
      <c r="AB509" s="36">
        <f>IFERROR(AA509/$AD509,0)</f>
        <v>4.195804195804196E-2</v>
      </c>
      <c r="AC509" s="17">
        <v>633</v>
      </c>
      <c r="AD509" s="17">
        <v>143</v>
      </c>
    </row>
    <row r="510" spans="1:30" ht="15.75" customHeight="1" x14ac:dyDescent="0.25">
      <c r="A510" s="37">
        <v>2021</v>
      </c>
      <c r="B510" s="35">
        <v>171610</v>
      </c>
      <c r="C510" s="34" t="s">
        <v>144</v>
      </c>
      <c r="D510" s="34" t="s">
        <v>96</v>
      </c>
      <c r="E510" s="17">
        <v>36</v>
      </c>
      <c r="F510" s="36">
        <f>IFERROR(E510/$AC510,0)</f>
        <v>1.7274472168905951E-2</v>
      </c>
      <c r="G510" s="17">
        <v>8</v>
      </c>
      <c r="H510" s="36">
        <f>IFERROR(G510/$AD510,0)</f>
        <v>2.2662889518413599E-2</v>
      </c>
      <c r="I510" s="17">
        <v>655</v>
      </c>
      <c r="J510" s="36">
        <f>IFERROR(I510/$AC510,0)</f>
        <v>0.31429942418426104</v>
      </c>
      <c r="K510" s="17">
        <v>129</v>
      </c>
      <c r="L510" s="36">
        <f>IFERROR(K510/$AD510,0)</f>
        <v>0.36543909348441928</v>
      </c>
      <c r="M510" s="17">
        <v>747</v>
      </c>
      <c r="N510" s="36">
        <f>IFERROR(M510/$AC510,0)</f>
        <v>0.35844529750479848</v>
      </c>
      <c r="O510" s="17">
        <v>115</v>
      </c>
      <c r="P510" s="36">
        <f>IFERROR(O510/$AD510,0)</f>
        <v>0.32577903682719545</v>
      </c>
      <c r="Q510" s="17">
        <v>409</v>
      </c>
      <c r="R510" s="36">
        <f>IFERROR(Q510/$AC510,0)</f>
        <v>0.19625719769673705</v>
      </c>
      <c r="S510" s="17">
        <v>55</v>
      </c>
      <c r="T510" s="36">
        <f>IFERROR(S510/$AD510,0)</f>
        <v>0.15580736543909349</v>
      </c>
      <c r="U510" s="17">
        <v>163</v>
      </c>
      <c r="V510" s="36">
        <f>IFERROR(U510/$AC510,0)</f>
        <v>7.8214971209213058E-2</v>
      </c>
      <c r="W510" s="17">
        <v>30</v>
      </c>
      <c r="X510" s="36">
        <f>IFERROR(W510/$AD510,0)</f>
        <v>8.4985835694050993E-2</v>
      </c>
      <c r="Y510" s="17">
        <v>74</v>
      </c>
      <c r="Z510" s="36">
        <f>IFERROR(Y510/$AC510,0)</f>
        <v>3.5508637236084453E-2</v>
      </c>
      <c r="AA510" s="17">
        <v>16</v>
      </c>
      <c r="AB510" s="36">
        <f>IFERROR(AA510/$AD510,0)</f>
        <v>4.5325779036827198E-2</v>
      </c>
      <c r="AC510" s="16">
        <v>2084</v>
      </c>
      <c r="AD510" s="17">
        <v>353</v>
      </c>
    </row>
    <row r="511" spans="1:30" ht="15.75" customHeight="1" x14ac:dyDescent="0.25">
      <c r="A511" s="37">
        <v>2021</v>
      </c>
      <c r="B511" s="35">
        <v>171620</v>
      </c>
      <c r="C511" s="34" t="s">
        <v>147</v>
      </c>
      <c r="D511" s="34" t="s">
        <v>97</v>
      </c>
      <c r="E511" s="17">
        <v>51</v>
      </c>
      <c r="F511" s="36">
        <f>IFERROR(E511/$AC511,0)</f>
        <v>2.9668411867364748E-2</v>
      </c>
      <c r="G511" s="17">
        <v>7</v>
      </c>
      <c r="H511" s="36">
        <f>IFERROR(G511/$AD511,0)</f>
        <v>1.8518518518518517E-2</v>
      </c>
      <c r="I511" s="17">
        <v>673</v>
      </c>
      <c r="J511" s="36">
        <f>IFERROR(I511/$AC511,0)</f>
        <v>0.39150668993600929</v>
      </c>
      <c r="K511" s="17">
        <v>164</v>
      </c>
      <c r="L511" s="36">
        <f>IFERROR(K511/$AD511,0)</f>
        <v>0.43386243386243384</v>
      </c>
      <c r="M511" s="17">
        <v>631</v>
      </c>
      <c r="N511" s="36">
        <f>IFERROR(M511/$AC511,0)</f>
        <v>0.36707388016288539</v>
      </c>
      <c r="O511" s="17">
        <v>123</v>
      </c>
      <c r="P511" s="36">
        <f>IFERROR(O511/$AD511,0)</f>
        <v>0.32539682539682541</v>
      </c>
      <c r="Q511" s="17">
        <v>236</v>
      </c>
      <c r="R511" s="36">
        <f>IFERROR(Q511/$AC511,0)</f>
        <v>0.13728912158231529</v>
      </c>
      <c r="S511" s="17">
        <v>56</v>
      </c>
      <c r="T511" s="36">
        <f>IFERROR(S511/$AD511,0)</f>
        <v>0.14814814814814814</v>
      </c>
      <c r="U511" s="17">
        <v>89</v>
      </c>
      <c r="V511" s="36">
        <f>IFERROR(U511/$AC511,0)</f>
        <v>5.1774287376381616E-2</v>
      </c>
      <c r="W511" s="17">
        <v>21</v>
      </c>
      <c r="X511" s="36">
        <f>IFERROR(W511/$AD511,0)</f>
        <v>5.5555555555555552E-2</v>
      </c>
      <c r="Y511" s="17">
        <v>39</v>
      </c>
      <c r="Z511" s="36">
        <f>IFERROR(Y511/$AC511,0)</f>
        <v>2.2687609075043629E-2</v>
      </c>
      <c r="AA511" s="17">
        <v>7</v>
      </c>
      <c r="AB511" s="36">
        <f>IFERROR(AA511/$AD511,0)</f>
        <v>1.8518518518518517E-2</v>
      </c>
      <c r="AC511" s="16">
        <v>1719</v>
      </c>
      <c r="AD511" s="17">
        <v>378</v>
      </c>
    </row>
    <row r="512" spans="1:30" ht="15.75" customHeight="1" x14ac:dyDescent="0.25">
      <c r="A512" s="37">
        <v>2021</v>
      </c>
      <c r="B512" s="35">
        <v>171630</v>
      </c>
      <c r="C512" s="34" t="s">
        <v>149</v>
      </c>
      <c r="D512" s="34" t="s">
        <v>98</v>
      </c>
      <c r="E512" s="17">
        <v>16</v>
      </c>
      <c r="F512" s="36">
        <f>IFERROR(E512/$AC512,0)</f>
        <v>2.5477707006369428E-2</v>
      </c>
      <c r="G512" s="17">
        <v>7</v>
      </c>
      <c r="H512" s="36">
        <f>IFERROR(G512/$AD512,0)</f>
        <v>5.6451612903225805E-2</v>
      </c>
      <c r="I512" s="17">
        <v>236</v>
      </c>
      <c r="J512" s="36">
        <f>IFERROR(I512/$AC512,0)</f>
        <v>0.37579617834394907</v>
      </c>
      <c r="K512" s="17">
        <v>41</v>
      </c>
      <c r="L512" s="36">
        <f>IFERROR(K512/$AD512,0)</f>
        <v>0.33064516129032256</v>
      </c>
      <c r="M512" s="17">
        <v>240</v>
      </c>
      <c r="N512" s="36">
        <f>IFERROR(M512/$AC512,0)</f>
        <v>0.38216560509554143</v>
      </c>
      <c r="O512" s="17">
        <v>42</v>
      </c>
      <c r="P512" s="36">
        <f>IFERROR(O512/$AD512,0)</f>
        <v>0.33870967741935482</v>
      </c>
      <c r="Q512" s="17">
        <v>96</v>
      </c>
      <c r="R512" s="36">
        <f>IFERROR(Q512/$AC512,0)</f>
        <v>0.15286624203821655</v>
      </c>
      <c r="S512" s="17">
        <v>24</v>
      </c>
      <c r="T512" s="36">
        <f>IFERROR(S512/$AD512,0)</f>
        <v>0.19354838709677419</v>
      </c>
      <c r="U512" s="17">
        <v>27</v>
      </c>
      <c r="V512" s="36">
        <f>IFERROR(U512/$AC512,0)</f>
        <v>4.2993630573248405E-2</v>
      </c>
      <c r="W512" s="17">
        <v>7</v>
      </c>
      <c r="X512" s="36">
        <f>IFERROR(W512/$AD512,0)</f>
        <v>5.6451612903225805E-2</v>
      </c>
      <c r="Y512" s="17">
        <v>13</v>
      </c>
      <c r="Z512" s="36">
        <f>IFERROR(Y512/$AC512,0)</f>
        <v>2.0700636942675158E-2</v>
      </c>
      <c r="AA512" s="17">
        <v>3</v>
      </c>
      <c r="AB512" s="36">
        <f>IFERROR(AA512/$AD512,0)</f>
        <v>2.4193548387096774E-2</v>
      </c>
      <c r="AC512" s="17">
        <v>628</v>
      </c>
      <c r="AD512" s="17">
        <v>124</v>
      </c>
    </row>
    <row r="513" spans="1:30" ht="15.75" customHeight="1" x14ac:dyDescent="0.25">
      <c r="A513" s="37">
        <v>2021</v>
      </c>
      <c r="B513" s="35">
        <v>171650</v>
      </c>
      <c r="C513" s="34" t="s">
        <v>150</v>
      </c>
      <c r="D513" s="34" t="s">
        <v>99</v>
      </c>
      <c r="E513" s="17">
        <v>35</v>
      </c>
      <c r="F513" s="36">
        <f>IFERROR(E513/$AC513,0)</f>
        <v>2.1578298397040691E-2</v>
      </c>
      <c r="G513" s="17">
        <v>12</v>
      </c>
      <c r="H513" s="36">
        <f>IFERROR(G513/$AD513,0)</f>
        <v>3.7499999999999999E-2</v>
      </c>
      <c r="I513" s="17">
        <v>536</v>
      </c>
      <c r="J513" s="36">
        <f>IFERROR(I513/$AC513,0)</f>
        <v>0.33045622688039455</v>
      </c>
      <c r="K513" s="17">
        <v>108</v>
      </c>
      <c r="L513" s="36">
        <f>IFERROR(K513/$AD513,0)</f>
        <v>0.33750000000000002</v>
      </c>
      <c r="M513" s="17">
        <v>597</v>
      </c>
      <c r="N513" s="36">
        <f>IFERROR(M513/$AC513,0)</f>
        <v>0.36806411837237979</v>
      </c>
      <c r="O513" s="17">
        <v>111</v>
      </c>
      <c r="P513" s="36">
        <f>IFERROR(O513/$AD513,0)</f>
        <v>0.34687499999999999</v>
      </c>
      <c r="Q513" s="17">
        <v>297</v>
      </c>
      <c r="R513" s="36">
        <f>IFERROR(Q513/$AC513,0)</f>
        <v>0.18310727496917387</v>
      </c>
      <c r="S513" s="17">
        <v>58</v>
      </c>
      <c r="T513" s="36">
        <f>IFERROR(S513/$AD513,0)</f>
        <v>0.18124999999999999</v>
      </c>
      <c r="U513" s="17">
        <v>103</v>
      </c>
      <c r="V513" s="36">
        <f>IFERROR(U513/$AC513,0)</f>
        <v>6.3501849568434035E-2</v>
      </c>
      <c r="W513" s="17">
        <v>18</v>
      </c>
      <c r="X513" s="36">
        <f>IFERROR(W513/$AD513,0)</f>
        <v>5.6250000000000001E-2</v>
      </c>
      <c r="Y513" s="17">
        <v>54</v>
      </c>
      <c r="Z513" s="36">
        <f>IFERROR(Y513/$AC513,0)</f>
        <v>3.3292231812577067E-2</v>
      </c>
      <c r="AA513" s="17">
        <v>13</v>
      </c>
      <c r="AB513" s="36">
        <f>IFERROR(AA513/$AD513,0)</f>
        <v>4.0625000000000001E-2</v>
      </c>
      <c r="AC513" s="16">
        <v>1622</v>
      </c>
      <c r="AD513" s="17">
        <v>320</v>
      </c>
    </row>
    <row r="514" spans="1:30" ht="15.75" customHeight="1" x14ac:dyDescent="0.25">
      <c r="A514" s="37">
        <v>2021</v>
      </c>
      <c r="B514" s="35">
        <v>171660</v>
      </c>
      <c r="C514" s="34" t="s">
        <v>146</v>
      </c>
      <c r="D514" s="34" t="s">
        <v>100</v>
      </c>
      <c r="E514" s="17">
        <v>35</v>
      </c>
      <c r="F514" s="36">
        <f>IFERROR(E514/$AC514,0)</f>
        <v>1.7766497461928935E-2</v>
      </c>
      <c r="G514" s="17">
        <v>16</v>
      </c>
      <c r="H514" s="36">
        <f>IFERROR(G514/$AD514,0)</f>
        <v>4.4817927170868348E-2</v>
      </c>
      <c r="I514" s="17">
        <v>555</v>
      </c>
      <c r="J514" s="36">
        <f>IFERROR(I514/$AC514,0)</f>
        <v>0.28172588832487311</v>
      </c>
      <c r="K514" s="17">
        <v>106</v>
      </c>
      <c r="L514" s="36">
        <f>IFERROR(K514/$AD514,0)</f>
        <v>0.2969187675070028</v>
      </c>
      <c r="M514" s="17">
        <v>684</v>
      </c>
      <c r="N514" s="36">
        <f>IFERROR(M514/$AC514,0)</f>
        <v>0.34720812182741118</v>
      </c>
      <c r="O514" s="17">
        <v>116</v>
      </c>
      <c r="P514" s="36">
        <f>IFERROR(O514/$AD514,0)</f>
        <v>0.32492997198879553</v>
      </c>
      <c r="Q514" s="17">
        <v>418</v>
      </c>
      <c r="R514" s="36">
        <f>IFERROR(Q514/$AC514,0)</f>
        <v>0.21218274111675126</v>
      </c>
      <c r="S514" s="17">
        <v>64</v>
      </c>
      <c r="T514" s="36">
        <f>IFERROR(S514/$AD514,0)</f>
        <v>0.17927170868347339</v>
      </c>
      <c r="U514" s="17">
        <v>183</v>
      </c>
      <c r="V514" s="36">
        <f>IFERROR(U514/$AC514,0)</f>
        <v>9.289340101522843E-2</v>
      </c>
      <c r="W514" s="17">
        <v>33</v>
      </c>
      <c r="X514" s="36">
        <f>IFERROR(W514/$AD514,0)</f>
        <v>9.2436974789915971E-2</v>
      </c>
      <c r="Y514" s="17">
        <v>95</v>
      </c>
      <c r="Z514" s="36">
        <f>IFERROR(Y514/$AC514,0)</f>
        <v>4.8223350253807105E-2</v>
      </c>
      <c r="AA514" s="17">
        <v>22</v>
      </c>
      <c r="AB514" s="36">
        <f>IFERROR(AA514/$AD514,0)</f>
        <v>6.1624649859943981E-2</v>
      </c>
      <c r="AC514" s="16">
        <v>1970</v>
      </c>
      <c r="AD514" s="17">
        <v>357</v>
      </c>
    </row>
    <row r="515" spans="1:30" ht="15.75" customHeight="1" x14ac:dyDescent="0.25">
      <c r="A515" s="37">
        <v>2021</v>
      </c>
      <c r="B515" s="35">
        <v>171665</v>
      </c>
      <c r="C515" s="34" t="s">
        <v>150</v>
      </c>
      <c r="D515" s="34" t="s">
        <v>101</v>
      </c>
      <c r="E515" s="17">
        <v>8</v>
      </c>
      <c r="F515" s="36">
        <f>IFERROR(E515/$AC515,0)</f>
        <v>1.6842105263157894E-2</v>
      </c>
      <c r="G515" s="17">
        <v>2</v>
      </c>
      <c r="H515" s="36">
        <f>IFERROR(G515/$AD515,0)</f>
        <v>2.2727272727272728E-2</v>
      </c>
      <c r="I515" s="17">
        <v>145</v>
      </c>
      <c r="J515" s="36">
        <f>IFERROR(I515/$AC515,0)</f>
        <v>0.30526315789473685</v>
      </c>
      <c r="K515" s="17">
        <v>23</v>
      </c>
      <c r="L515" s="36">
        <f>IFERROR(K515/$AD515,0)</f>
        <v>0.26136363636363635</v>
      </c>
      <c r="M515" s="17">
        <v>172</v>
      </c>
      <c r="N515" s="36">
        <f>IFERROR(M515/$AC515,0)</f>
        <v>0.36210526315789476</v>
      </c>
      <c r="O515" s="17">
        <v>31</v>
      </c>
      <c r="P515" s="36">
        <f>IFERROR(O515/$AD515,0)</f>
        <v>0.35227272727272729</v>
      </c>
      <c r="Q515" s="17">
        <v>99</v>
      </c>
      <c r="R515" s="36">
        <f>IFERROR(Q515/$AC515,0)</f>
        <v>0.20842105263157895</v>
      </c>
      <c r="S515" s="17">
        <v>20</v>
      </c>
      <c r="T515" s="36">
        <f>IFERROR(S515/$AD515,0)</f>
        <v>0.22727272727272727</v>
      </c>
      <c r="U515" s="17">
        <v>33</v>
      </c>
      <c r="V515" s="36">
        <f>IFERROR(U515/$AC515,0)</f>
        <v>6.9473684210526312E-2</v>
      </c>
      <c r="W515" s="17">
        <v>6</v>
      </c>
      <c r="X515" s="36">
        <f>IFERROR(W515/$AD515,0)</f>
        <v>6.8181818181818177E-2</v>
      </c>
      <c r="Y515" s="17">
        <v>18</v>
      </c>
      <c r="Z515" s="36">
        <f>IFERROR(Y515/$AC515,0)</f>
        <v>3.7894736842105266E-2</v>
      </c>
      <c r="AA515" s="17">
        <v>6</v>
      </c>
      <c r="AB515" s="36">
        <f>IFERROR(AA515/$AD515,0)</f>
        <v>6.8181818181818177E-2</v>
      </c>
      <c r="AC515" s="17">
        <v>475</v>
      </c>
      <c r="AD515" s="17">
        <v>88</v>
      </c>
    </row>
    <row r="516" spans="1:30" ht="15.75" customHeight="1" x14ac:dyDescent="0.25">
      <c r="A516" s="37">
        <v>2021</v>
      </c>
      <c r="B516" s="35">
        <v>171700</v>
      </c>
      <c r="C516" s="34" t="s">
        <v>151</v>
      </c>
      <c r="D516" s="34" t="s">
        <v>102</v>
      </c>
      <c r="E516" s="17">
        <v>5</v>
      </c>
      <c r="F516" s="36">
        <f>IFERROR(E516/$AC516,0)</f>
        <v>2.6315789473684209E-2</v>
      </c>
      <c r="G516" s="17">
        <v>2</v>
      </c>
      <c r="H516" s="36">
        <f>IFERROR(G516/$AD516,0)</f>
        <v>2.564102564102564E-2</v>
      </c>
      <c r="I516" s="17">
        <v>71</v>
      </c>
      <c r="J516" s="36">
        <f>IFERROR(I516/$AC516,0)</f>
        <v>0.37368421052631579</v>
      </c>
      <c r="K516" s="17">
        <v>33</v>
      </c>
      <c r="L516" s="36">
        <f>IFERROR(K516/$AD516,0)</f>
        <v>0.42307692307692307</v>
      </c>
      <c r="M516" s="17">
        <v>59</v>
      </c>
      <c r="N516" s="36">
        <f>IFERROR(M516/$AC516,0)</f>
        <v>0.31052631578947371</v>
      </c>
      <c r="O516" s="17">
        <v>26</v>
      </c>
      <c r="P516" s="36">
        <f>IFERROR(O516/$AD516,0)</f>
        <v>0.33333333333333331</v>
      </c>
      <c r="Q516" s="17">
        <v>32</v>
      </c>
      <c r="R516" s="36">
        <f>IFERROR(Q516/$AC516,0)</f>
        <v>0.16842105263157894</v>
      </c>
      <c r="S516" s="17">
        <v>11</v>
      </c>
      <c r="T516" s="36">
        <f>IFERROR(S516/$AD516,0)</f>
        <v>0.14102564102564102</v>
      </c>
      <c r="U516" s="17">
        <v>15</v>
      </c>
      <c r="V516" s="36">
        <f>IFERROR(U516/$AC516,0)</f>
        <v>7.8947368421052627E-2</v>
      </c>
      <c r="W516" s="17">
        <v>2</v>
      </c>
      <c r="X516" s="36">
        <f>IFERROR(W516/$AD516,0)</f>
        <v>2.564102564102564E-2</v>
      </c>
      <c r="Y516" s="17">
        <v>8</v>
      </c>
      <c r="Z516" s="36">
        <f>IFERROR(Y516/$AC516,0)</f>
        <v>4.2105263157894736E-2</v>
      </c>
      <c r="AA516" s="17">
        <v>4</v>
      </c>
      <c r="AB516" s="36">
        <f>IFERROR(AA516/$AD516,0)</f>
        <v>5.128205128205128E-2</v>
      </c>
      <c r="AC516" s="17">
        <v>190</v>
      </c>
      <c r="AD516" s="17">
        <v>78</v>
      </c>
    </row>
    <row r="517" spans="1:30" ht="15.75" customHeight="1" x14ac:dyDescent="0.25">
      <c r="A517" s="37">
        <v>2021</v>
      </c>
      <c r="B517" s="35">
        <v>171720</v>
      </c>
      <c r="C517" s="34" t="s">
        <v>149</v>
      </c>
      <c r="D517" s="34" t="s">
        <v>103</v>
      </c>
      <c r="E517" s="17">
        <v>7</v>
      </c>
      <c r="F517" s="36">
        <f>IFERROR(E517/$AC517,0)</f>
        <v>1.5521064301552107E-2</v>
      </c>
      <c r="G517" s="17">
        <v>2</v>
      </c>
      <c r="H517" s="36">
        <f>IFERROR(G517/$AD517,0)</f>
        <v>1.6129032258064516E-2</v>
      </c>
      <c r="I517" s="17">
        <v>149</v>
      </c>
      <c r="J517" s="36">
        <f>IFERROR(I517/$AC517,0)</f>
        <v>0.3303769401330377</v>
      </c>
      <c r="K517" s="17">
        <v>55</v>
      </c>
      <c r="L517" s="36">
        <f>IFERROR(K517/$AD517,0)</f>
        <v>0.44354838709677419</v>
      </c>
      <c r="M517" s="17">
        <v>181</v>
      </c>
      <c r="N517" s="36">
        <f>IFERROR(M517/$AC517,0)</f>
        <v>0.40133037694013302</v>
      </c>
      <c r="O517" s="17">
        <v>44</v>
      </c>
      <c r="P517" s="36">
        <f>IFERROR(O517/$AD517,0)</f>
        <v>0.35483870967741937</v>
      </c>
      <c r="Q517" s="17">
        <v>76</v>
      </c>
      <c r="R517" s="36">
        <f>IFERROR(Q517/$AC517,0)</f>
        <v>0.16851441241685144</v>
      </c>
      <c r="S517" s="17">
        <v>13</v>
      </c>
      <c r="T517" s="36">
        <f>IFERROR(S517/$AD517,0)</f>
        <v>0.10483870967741936</v>
      </c>
      <c r="U517" s="17">
        <v>27</v>
      </c>
      <c r="V517" s="36">
        <f>IFERROR(U517/$AC517,0)</f>
        <v>5.9866962305986697E-2</v>
      </c>
      <c r="W517" s="17">
        <v>8</v>
      </c>
      <c r="X517" s="36">
        <f>IFERROR(W517/$AD517,0)</f>
        <v>6.4516129032258063E-2</v>
      </c>
      <c r="Y517" s="17">
        <v>11</v>
      </c>
      <c r="Z517" s="36">
        <f>IFERROR(Y517/$AC517,0)</f>
        <v>2.4390243902439025E-2</v>
      </c>
      <c r="AA517" s="17">
        <v>2</v>
      </c>
      <c r="AB517" s="36">
        <f>IFERROR(AA517/$AD517,0)</f>
        <v>1.6129032258064516E-2</v>
      </c>
      <c r="AC517" s="17">
        <v>451</v>
      </c>
      <c r="AD517" s="17">
        <v>124</v>
      </c>
    </row>
    <row r="518" spans="1:30" ht="15.75" customHeight="1" x14ac:dyDescent="0.25">
      <c r="A518" s="37">
        <v>2021</v>
      </c>
      <c r="B518" s="35">
        <v>171750</v>
      </c>
      <c r="C518" s="34" t="s">
        <v>144</v>
      </c>
      <c r="D518" s="34" t="s">
        <v>104</v>
      </c>
      <c r="E518" s="17">
        <v>18</v>
      </c>
      <c r="F518" s="36">
        <f>IFERROR(E518/$AC518,0)</f>
        <v>2.0179372197309416E-2</v>
      </c>
      <c r="G518" s="17">
        <v>0</v>
      </c>
      <c r="H518" s="36">
        <f>IFERROR(G518/$AD518,0)</f>
        <v>0</v>
      </c>
      <c r="I518" s="17">
        <v>276</v>
      </c>
      <c r="J518" s="36">
        <f>IFERROR(I518/$AC518,0)</f>
        <v>0.3094170403587444</v>
      </c>
      <c r="K518" s="17">
        <v>19</v>
      </c>
      <c r="L518" s="36">
        <f>IFERROR(K518/$AD518,0)</f>
        <v>0.2878787878787879</v>
      </c>
      <c r="M518" s="17">
        <v>293</v>
      </c>
      <c r="N518" s="36">
        <f>IFERROR(M518/$AC518,0)</f>
        <v>0.32847533632286996</v>
      </c>
      <c r="O518" s="17">
        <v>19</v>
      </c>
      <c r="P518" s="36">
        <f>IFERROR(O518/$AD518,0)</f>
        <v>0.2878787878787879</v>
      </c>
      <c r="Q518" s="17">
        <v>182</v>
      </c>
      <c r="R518" s="36">
        <f>IFERROR(Q518/$AC518,0)</f>
        <v>0.20403587443946189</v>
      </c>
      <c r="S518" s="17">
        <v>18</v>
      </c>
      <c r="T518" s="36">
        <f>IFERROR(S518/$AD518,0)</f>
        <v>0.27272727272727271</v>
      </c>
      <c r="U518" s="17">
        <v>75</v>
      </c>
      <c r="V518" s="36">
        <f>IFERROR(U518/$AC518,0)</f>
        <v>8.4080717488789244E-2</v>
      </c>
      <c r="W518" s="17">
        <v>7</v>
      </c>
      <c r="X518" s="36">
        <f>IFERROR(W518/$AD518,0)</f>
        <v>0.10606060606060606</v>
      </c>
      <c r="Y518" s="17">
        <v>48</v>
      </c>
      <c r="Z518" s="36">
        <f>IFERROR(Y518/$AC518,0)</f>
        <v>5.3811659192825115E-2</v>
      </c>
      <c r="AA518" s="17">
        <v>3</v>
      </c>
      <c r="AB518" s="36">
        <f>IFERROR(AA518/$AD518,0)</f>
        <v>4.5454545454545456E-2</v>
      </c>
      <c r="AC518" s="17">
        <v>892</v>
      </c>
      <c r="AD518" s="17">
        <v>66</v>
      </c>
    </row>
    <row r="519" spans="1:30" ht="15.75" customHeight="1" x14ac:dyDescent="0.25">
      <c r="A519" s="37">
        <v>2021</v>
      </c>
      <c r="B519" s="35">
        <v>171780</v>
      </c>
      <c r="C519" s="34" t="s">
        <v>147</v>
      </c>
      <c r="D519" s="34" t="s">
        <v>105</v>
      </c>
      <c r="E519" s="17">
        <v>16</v>
      </c>
      <c r="F519" s="36">
        <f>IFERROR(E519/$AC519,0)</f>
        <v>2.8725314183123879E-2</v>
      </c>
      <c r="G519" s="17">
        <v>4</v>
      </c>
      <c r="H519" s="36">
        <f>IFERROR(G519/$AD519,0)</f>
        <v>3.5714285714285712E-2</v>
      </c>
      <c r="I519" s="17">
        <v>177</v>
      </c>
      <c r="J519" s="36">
        <f>IFERROR(I519/$AC519,0)</f>
        <v>0.31777378815080792</v>
      </c>
      <c r="K519" s="17">
        <v>38</v>
      </c>
      <c r="L519" s="36">
        <f>IFERROR(K519/$AD519,0)</f>
        <v>0.3392857142857143</v>
      </c>
      <c r="M519" s="17">
        <v>204</v>
      </c>
      <c r="N519" s="36">
        <f>IFERROR(M519/$AC519,0)</f>
        <v>0.36624775583482944</v>
      </c>
      <c r="O519" s="17">
        <v>39</v>
      </c>
      <c r="P519" s="36">
        <f>IFERROR(O519/$AD519,0)</f>
        <v>0.3482142857142857</v>
      </c>
      <c r="Q519" s="17">
        <v>105</v>
      </c>
      <c r="R519" s="36">
        <f>IFERROR(Q519/$AC519,0)</f>
        <v>0.18850987432675045</v>
      </c>
      <c r="S519" s="17">
        <v>20</v>
      </c>
      <c r="T519" s="36">
        <f>IFERROR(S519/$AD519,0)</f>
        <v>0.17857142857142858</v>
      </c>
      <c r="U519" s="17">
        <v>43</v>
      </c>
      <c r="V519" s="36">
        <f>IFERROR(U519/$AC519,0)</f>
        <v>7.719928186714542E-2</v>
      </c>
      <c r="W519" s="17">
        <v>9</v>
      </c>
      <c r="X519" s="36">
        <f>IFERROR(W519/$AD519,0)</f>
        <v>8.0357142857142863E-2</v>
      </c>
      <c r="Y519" s="17">
        <v>12</v>
      </c>
      <c r="Z519" s="36">
        <f>IFERROR(Y519/$AC519,0)</f>
        <v>2.1543985637342909E-2</v>
      </c>
      <c r="AA519" s="17">
        <v>2</v>
      </c>
      <c r="AB519" s="36">
        <f>IFERROR(AA519/$AD519,0)</f>
        <v>1.7857142857142856E-2</v>
      </c>
      <c r="AC519" s="17">
        <v>557</v>
      </c>
      <c r="AD519" s="17">
        <v>112</v>
      </c>
    </row>
    <row r="520" spans="1:30" ht="15.75" customHeight="1" x14ac:dyDescent="0.25">
      <c r="A520" s="37">
        <v>2021</v>
      </c>
      <c r="B520" s="35">
        <v>171790</v>
      </c>
      <c r="C520" s="34" t="s">
        <v>151</v>
      </c>
      <c r="D520" s="34" t="s">
        <v>106</v>
      </c>
      <c r="E520" s="17">
        <v>9</v>
      </c>
      <c r="F520" s="36">
        <f>IFERROR(E520/$AC520,0)</f>
        <v>3.2608695652173912E-2</v>
      </c>
      <c r="G520" s="17">
        <v>9</v>
      </c>
      <c r="H520" s="36">
        <f>IFERROR(G520/$AD520,0)</f>
        <v>3.9823008849557522E-2</v>
      </c>
      <c r="I520" s="17">
        <v>80</v>
      </c>
      <c r="J520" s="36">
        <f>IFERROR(I520/$AC520,0)</f>
        <v>0.28985507246376813</v>
      </c>
      <c r="K520" s="17">
        <v>70</v>
      </c>
      <c r="L520" s="36">
        <f>IFERROR(K520/$AD520,0)</f>
        <v>0.30973451327433627</v>
      </c>
      <c r="M520" s="17">
        <v>102</v>
      </c>
      <c r="N520" s="36">
        <f>IFERROR(M520/$AC520,0)</f>
        <v>0.36956521739130432</v>
      </c>
      <c r="O520" s="17">
        <v>80</v>
      </c>
      <c r="P520" s="36">
        <f>IFERROR(O520/$AD520,0)</f>
        <v>0.35398230088495575</v>
      </c>
      <c r="Q520" s="17">
        <v>67</v>
      </c>
      <c r="R520" s="36">
        <f>IFERROR(Q520/$AC520,0)</f>
        <v>0.24275362318840579</v>
      </c>
      <c r="S520" s="17">
        <v>51</v>
      </c>
      <c r="T520" s="36">
        <f>IFERROR(S520/$AD520,0)</f>
        <v>0.22566371681415928</v>
      </c>
      <c r="U520" s="17">
        <v>7</v>
      </c>
      <c r="V520" s="36">
        <f>IFERROR(U520/$AC520,0)</f>
        <v>2.5362318840579712E-2</v>
      </c>
      <c r="W520" s="17">
        <v>7</v>
      </c>
      <c r="X520" s="36">
        <f>IFERROR(W520/$AD520,0)</f>
        <v>3.0973451327433628E-2</v>
      </c>
      <c r="Y520" s="17">
        <v>11</v>
      </c>
      <c r="Z520" s="36">
        <f>IFERROR(Y520/$AC520,0)</f>
        <v>3.9855072463768113E-2</v>
      </c>
      <c r="AA520" s="17">
        <v>9</v>
      </c>
      <c r="AB520" s="36">
        <f>IFERROR(AA520/$AD520,0)</f>
        <v>3.9823008849557522E-2</v>
      </c>
      <c r="AC520" s="17">
        <v>276</v>
      </c>
      <c r="AD520" s="17">
        <v>226</v>
      </c>
    </row>
    <row r="521" spans="1:30" ht="15.75" customHeight="1" x14ac:dyDescent="0.25">
      <c r="A521" s="37">
        <v>2021</v>
      </c>
      <c r="B521" s="35">
        <v>171800</v>
      </c>
      <c r="C521" s="34" t="s">
        <v>147</v>
      </c>
      <c r="D521" s="34" t="s">
        <v>107</v>
      </c>
      <c r="E521" s="17">
        <v>7</v>
      </c>
      <c r="F521" s="36">
        <f>IFERROR(E521/$AC521,0)</f>
        <v>3.6649214659685861E-2</v>
      </c>
      <c r="G521" s="17">
        <v>4</v>
      </c>
      <c r="H521" s="36">
        <f>IFERROR(G521/$AD521,0)</f>
        <v>2.7972027972027972E-2</v>
      </c>
      <c r="I521" s="17">
        <v>68</v>
      </c>
      <c r="J521" s="36">
        <f>IFERROR(I521/$AC521,0)</f>
        <v>0.35602094240837695</v>
      </c>
      <c r="K521" s="17">
        <v>54</v>
      </c>
      <c r="L521" s="36">
        <f>IFERROR(K521/$AD521,0)</f>
        <v>0.3776223776223776</v>
      </c>
      <c r="M521" s="17">
        <v>63</v>
      </c>
      <c r="N521" s="36">
        <f>IFERROR(M521/$AC521,0)</f>
        <v>0.32984293193717279</v>
      </c>
      <c r="O521" s="17">
        <v>49</v>
      </c>
      <c r="P521" s="36">
        <f>IFERROR(O521/$AD521,0)</f>
        <v>0.34265734265734266</v>
      </c>
      <c r="Q521" s="17">
        <v>40</v>
      </c>
      <c r="R521" s="36">
        <f>IFERROR(Q521/$AC521,0)</f>
        <v>0.20942408376963351</v>
      </c>
      <c r="S521" s="17">
        <v>24</v>
      </c>
      <c r="T521" s="36">
        <f>IFERROR(S521/$AD521,0)</f>
        <v>0.16783216783216784</v>
      </c>
      <c r="U521" s="17">
        <v>8</v>
      </c>
      <c r="V521" s="36">
        <f>IFERROR(U521/$AC521,0)</f>
        <v>4.1884816753926704E-2</v>
      </c>
      <c r="W521" s="17">
        <v>7</v>
      </c>
      <c r="X521" s="36">
        <f>IFERROR(W521/$AD521,0)</f>
        <v>4.8951048951048952E-2</v>
      </c>
      <c r="Y521" s="17">
        <v>5</v>
      </c>
      <c r="Z521" s="36">
        <f>IFERROR(Y521/$AC521,0)</f>
        <v>2.6178010471204188E-2</v>
      </c>
      <c r="AA521" s="17">
        <v>5</v>
      </c>
      <c r="AB521" s="36">
        <f>IFERROR(AA521/$AD521,0)</f>
        <v>3.4965034965034968E-2</v>
      </c>
      <c r="AC521" s="17">
        <v>191</v>
      </c>
      <c r="AD521" s="17">
        <v>143</v>
      </c>
    </row>
    <row r="522" spans="1:30" ht="15.75" customHeight="1" x14ac:dyDescent="0.25">
      <c r="A522" s="37">
        <v>2021</v>
      </c>
      <c r="B522" s="35">
        <v>171820</v>
      </c>
      <c r="C522" s="34" t="s">
        <v>151</v>
      </c>
      <c r="D522" s="34" t="s">
        <v>108</v>
      </c>
      <c r="E522" s="17">
        <v>159</v>
      </c>
      <c r="F522" s="36">
        <f>IFERROR(E522/$AC522,0)</f>
        <v>2.4274809160305343E-2</v>
      </c>
      <c r="G522" s="17">
        <v>58</v>
      </c>
      <c r="H522" s="36">
        <f>IFERROR(G522/$AD522,0)</f>
        <v>3.825857519788918E-2</v>
      </c>
      <c r="I522" s="16">
        <v>2113</v>
      </c>
      <c r="J522" s="36">
        <f>IFERROR(I522/$AC522,0)</f>
        <v>0.32259541984732826</v>
      </c>
      <c r="K522" s="17">
        <v>478</v>
      </c>
      <c r="L522" s="36">
        <f>IFERROR(K522/$AD522,0)</f>
        <v>0.31530343007915568</v>
      </c>
      <c r="M522" s="16">
        <v>2264</v>
      </c>
      <c r="N522" s="36">
        <f>IFERROR(M522/$AC522,0)</f>
        <v>0.34564885496183206</v>
      </c>
      <c r="O522" s="17">
        <v>469</v>
      </c>
      <c r="P522" s="36">
        <f>IFERROR(O522/$AD522,0)</f>
        <v>0.30936675461741425</v>
      </c>
      <c r="Q522" s="16">
        <v>1300</v>
      </c>
      <c r="R522" s="36">
        <f>IFERROR(Q522/$AC522,0)</f>
        <v>0.19847328244274809</v>
      </c>
      <c r="S522" s="17">
        <v>320</v>
      </c>
      <c r="T522" s="36">
        <f>IFERROR(S522/$AD522,0)</f>
        <v>0.21108179419525067</v>
      </c>
      <c r="U522" s="17">
        <v>468</v>
      </c>
      <c r="V522" s="36">
        <f>IFERROR(U522/$AC522,0)</f>
        <v>7.1450381679389316E-2</v>
      </c>
      <c r="W522" s="17">
        <v>126</v>
      </c>
      <c r="X522" s="36">
        <f>IFERROR(W522/$AD522,0)</f>
        <v>8.3113456464379953E-2</v>
      </c>
      <c r="Y522" s="17">
        <v>246</v>
      </c>
      <c r="Z522" s="36">
        <f>IFERROR(Y522/$AC522,0)</f>
        <v>3.7557251908396948E-2</v>
      </c>
      <c r="AA522" s="17">
        <v>65</v>
      </c>
      <c r="AB522" s="36">
        <f>IFERROR(AA522/$AD522,0)</f>
        <v>4.2875989445910291E-2</v>
      </c>
      <c r="AC522" s="16">
        <v>6550</v>
      </c>
      <c r="AD522" s="16">
        <v>1516</v>
      </c>
    </row>
    <row r="523" spans="1:30" ht="15.75" customHeight="1" x14ac:dyDescent="0.25">
      <c r="A523" s="37">
        <v>2021</v>
      </c>
      <c r="B523" s="35">
        <v>171830</v>
      </c>
      <c r="C523" s="34" t="s">
        <v>145</v>
      </c>
      <c r="D523" s="34" t="s">
        <v>109</v>
      </c>
      <c r="E523" s="17">
        <v>24</v>
      </c>
      <c r="F523" s="36">
        <f>IFERROR(E523/$AC523,0)</f>
        <v>2.9739776951672861E-2</v>
      </c>
      <c r="G523" s="17">
        <v>13</v>
      </c>
      <c r="H523" s="36">
        <f>IFERROR(G523/$AD523,0)</f>
        <v>5.2631578947368418E-2</v>
      </c>
      <c r="I523" s="17">
        <v>257</v>
      </c>
      <c r="J523" s="36">
        <f>IFERROR(I523/$AC523,0)</f>
        <v>0.31846344485749689</v>
      </c>
      <c r="K523" s="17">
        <v>74</v>
      </c>
      <c r="L523" s="36">
        <f>IFERROR(K523/$AD523,0)</f>
        <v>0.29959514170040485</v>
      </c>
      <c r="M523" s="17">
        <v>304</v>
      </c>
      <c r="N523" s="36">
        <f>IFERROR(M523/$AC523,0)</f>
        <v>0.37670384138785623</v>
      </c>
      <c r="O523" s="17">
        <v>100</v>
      </c>
      <c r="P523" s="36">
        <f>IFERROR(O523/$AD523,0)</f>
        <v>0.40485829959514169</v>
      </c>
      <c r="Q523" s="17">
        <v>146</v>
      </c>
      <c r="R523" s="36">
        <f>IFERROR(Q523/$AC523,0)</f>
        <v>0.1809169764560099</v>
      </c>
      <c r="S523" s="17">
        <v>38</v>
      </c>
      <c r="T523" s="36">
        <f>IFERROR(S523/$AD523,0)</f>
        <v>0.15384615384615385</v>
      </c>
      <c r="U523" s="17">
        <v>55</v>
      </c>
      <c r="V523" s="36">
        <f>IFERROR(U523/$AC523,0)</f>
        <v>6.8153655514250316E-2</v>
      </c>
      <c r="W523" s="17">
        <v>17</v>
      </c>
      <c r="X523" s="36">
        <f>IFERROR(W523/$AD523,0)</f>
        <v>6.8825910931174086E-2</v>
      </c>
      <c r="Y523" s="17">
        <v>21</v>
      </c>
      <c r="Z523" s="36">
        <f>IFERROR(Y523/$AC523,0)</f>
        <v>2.6022304832713755E-2</v>
      </c>
      <c r="AA523" s="17">
        <v>5</v>
      </c>
      <c r="AB523" s="36">
        <f>IFERROR(AA523/$AD523,0)</f>
        <v>2.0242914979757085E-2</v>
      </c>
      <c r="AC523" s="17">
        <v>807</v>
      </c>
      <c r="AD523" s="17">
        <v>247</v>
      </c>
    </row>
    <row r="524" spans="1:30" ht="15.75" customHeight="1" x14ac:dyDescent="0.25">
      <c r="A524" s="37">
        <v>2021</v>
      </c>
      <c r="B524" s="35">
        <v>171840</v>
      </c>
      <c r="C524" s="34" t="s">
        <v>150</v>
      </c>
      <c r="D524" s="34" t="s">
        <v>110</v>
      </c>
      <c r="E524" s="17">
        <v>19</v>
      </c>
      <c r="F524" s="36">
        <f>IFERROR(E524/$AC524,0)</f>
        <v>2.7576197387518143E-2</v>
      </c>
      <c r="G524" s="17">
        <v>5</v>
      </c>
      <c r="H524" s="36">
        <f>IFERROR(G524/$AD524,0)</f>
        <v>2.6178010471204188E-2</v>
      </c>
      <c r="I524" s="17">
        <v>231</v>
      </c>
      <c r="J524" s="36">
        <f>IFERROR(I524/$AC524,0)</f>
        <v>0.33526850507982581</v>
      </c>
      <c r="K524" s="17">
        <v>72</v>
      </c>
      <c r="L524" s="36">
        <f>IFERROR(K524/$AD524,0)</f>
        <v>0.37696335078534032</v>
      </c>
      <c r="M524" s="17">
        <v>244</v>
      </c>
      <c r="N524" s="36">
        <f>IFERROR(M524/$AC524,0)</f>
        <v>0.35413642960812775</v>
      </c>
      <c r="O524" s="17">
        <v>61</v>
      </c>
      <c r="P524" s="36">
        <f>IFERROR(O524/$AD524,0)</f>
        <v>0.3193717277486911</v>
      </c>
      <c r="Q524" s="17">
        <v>118</v>
      </c>
      <c r="R524" s="36">
        <f>IFERROR(Q524/$AC524,0)</f>
        <v>0.17126269956458637</v>
      </c>
      <c r="S524" s="17">
        <v>31</v>
      </c>
      <c r="T524" s="36">
        <f>IFERROR(S524/$AD524,0)</f>
        <v>0.16230366492146597</v>
      </c>
      <c r="U524" s="17">
        <v>53</v>
      </c>
      <c r="V524" s="36">
        <f>IFERROR(U524/$AC524,0)</f>
        <v>7.6923076923076927E-2</v>
      </c>
      <c r="W524" s="17">
        <v>18</v>
      </c>
      <c r="X524" s="36">
        <f>IFERROR(W524/$AD524,0)</f>
        <v>9.4240837696335081E-2</v>
      </c>
      <c r="Y524" s="17">
        <v>24</v>
      </c>
      <c r="Z524" s="36">
        <f>IFERROR(Y524/$AC524,0)</f>
        <v>3.483309143686502E-2</v>
      </c>
      <c r="AA524" s="17">
        <v>4</v>
      </c>
      <c r="AB524" s="36">
        <f>IFERROR(AA524/$AD524,0)</f>
        <v>2.0942408376963352E-2</v>
      </c>
      <c r="AC524" s="17">
        <v>689</v>
      </c>
      <c r="AD524" s="17">
        <v>191</v>
      </c>
    </row>
    <row r="525" spans="1:30" ht="15.75" customHeight="1" x14ac:dyDescent="0.25">
      <c r="A525" s="37">
        <v>2021</v>
      </c>
      <c r="B525" s="35">
        <v>171845</v>
      </c>
      <c r="C525" s="34" t="s">
        <v>144</v>
      </c>
      <c r="D525" s="34" t="s">
        <v>111</v>
      </c>
      <c r="E525" s="17">
        <v>6</v>
      </c>
      <c r="F525" s="36">
        <f>IFERROR(E525/$AC525,0)</f>
        <v>2.2727272727272728E-2</v>
      </c>
      <c r="G525" s="17">
        <v>1</v>
      </c>
      <c r="H525" s="36">
        <f>IFERROR(G525/$AD525,0)</f>
        <v>2.7027027027027029E-2</v>
      </c>
      <c r="I525" s="17">
        <v>88</v>
      </c>
      <c r="J525" s="36">
        <f>IFERROR(I525/$AC525,0)</f>
        <v>0.33333333333333331</v>
      </c>
      <c r="K525" s="17">
        <v>12</v>
      </c>
      <c r="L525" s="36">
        <f>IFERROR(K525/$AD525,0)</f>
        <v>0.32432432432432434</v>
      </c>
      <c r="M525" s="17">
        <v>80</v>
      </c>
      <c r="N525" s="36">
        <f>IFERROR(M525/$AC525,0)</f>
        <v>0.30303030303030304</v>
      </c>
      <c r="O525" s="17">
        <v>9</v>
      </c>
      <c r="P525" s="36">
        <f>IFERROR(O525/$AD525,0)</f>
        <v>0.24324324324324326</v>
      </c>
      <c r="Q525" s="17">
        <v>60</v>
      </c>
      <c r="R525" s="36">
        <f>IFERROR(Q525/$AC525,0)</f>
        <v>0.22727272727272727</v>
      </c>
      <c r="S525" s="17">
        <v>10</v>
      </c>
      <c r="T525" s="36">
        <f>IFERROR(S525/$AD525,0)</f>
        <v>0.27027027027027029</v>
      </c>
      <c r="U525" s="17">
        <v>22</v>
      </c>
      <c r="V525" s="36">
        <f>IFERROR(U525/$AC525,0)</f>
        <v>8.3333333333333329E-2</v>
      </c>
      <c r="W525" s="17">
        <v>4</v>
      </c>
      <c r="X525" s="36">
        <f>IFERROR(W525/$AD525,0)</f>
        <v>0.10810810810810811</v>
      </c>
      <c r="Y525" s="17">
        <v>8</v>
      </c>
      <c r="Z525" s="36">
        <f>IFERROR(Y525/$AC525,0)</f>
        <v>3.0303030303030304E-2</v>
      </c>
      <c r="AA525" s="17">
        <v>1</v>
      </c>
      <c r="AB525" s="36">
        <f>IFERROR(AA525/$AD525,0)</f>
        <v>2.7027027027027029E-2</v>
      </c>
      <c r="AC525" s="17">
        <v>264</v>
      </c>
      <c r="AD525" s="17">
        <v>37</v>
      </c>
    </row>
    <row r="526" spans="1:30" ht="15.75" customHeight="1" x14ac:dyDescent="0.25">
      <c r="A526" s="37">
        <v>2021</v>
      </c>
      <c r="B526" s="35">
        <v>171850</v>
      </c>
      <c r="C526" s="34" t="s">
        <v>150</v>
      </c>
      <c r="D526" s="34" t="s">
        <v>112</v>
      </c>
      <c r="E526" s="17">
        <v>5</v>
      </c>
      <c r="F526" s="36">
        <f>IFERROR(E526/$AC526,0)</f>
        <v>2.8409090909090908E-2</v>
      </c>
      <c r="G526" s="17">
        <v>3</v>
      </c>
      <c r="H526" s="36">
        <f>IFERROR(G526/$AD526,0)</f>
        <v>4.6875E-2</v>
      </c>
      <c r="I526" s="17">
        <v>64</v>
      </c>
      <c r="J526" s="36">
        <f>IFERROR(I526/$AC526,0)</f>
        <v>0.36363636363636365</v>
      </c>
      <c r="K526" s="17">
        <v>29</v>
      </c>
      <c r="L526" s="36">
        <f>IFERROR(K526/$AD526,0)</f>
        <v>0.453125</v>
      </c>
      <c r="M526" s="17">
        <v>58</v>
      </c>
      <c r="N526" s="36">
        <f>IFERROR(M526/$AC526,0)</f>
        <v>0.32954545454545453</v>
      </c>
      <c r="O526" s="17">
        <v>21</v>
      </c>
      <c r="P526" s="36">
        <f>IFERROR(O526/$AD526,0)</f>
        <v>0.328125</v>
      </c>
      <c r="Q526" s="17">
        <v>33</v>
      </c>
      <c r="R526" s="36">
        <f>IFERROR(Q526/$AC526,0)</f>
        <v>0.1875</v>
      </c>
      <c r="S526" s="17">
        <v>7</v>
      </c>
      <c r="T526" s="36">
        <f>IFERROR(S526/$AD526,0)</f>
        <v>0.109375</v>
      </c>
      <c r="U526" s="17">
        <v>10</v>
      </c>
      <c r="V526" s="36">
        <f>IFERROR(U526/$AC526,0)</f>
        <v>5.6818181818181816E-2</v>
      </c>
      <c r="W526" s="17">
        <v>4</v>
      </c>
      <c r="X526" s="36">
        <f>IFERROR(W526/$AD526,0)</f>
        <v>6.25E-2</v>
      </c>
      <c r="Y526" s="17">
        <v>6</v>
      </c>
      <c r="Z526" s="36">
        <f>IFERROR(Y526/$AC526,0)</f>
        <v>3.4090909090909088E-2</v>
      </c>
      <c r="AA526" s="17">
        <v>0</v>
      </c>
      <c r="AB526" s="36">
        <f>IFERROR(AA526/$AD526,0)</f>
        <v>0</v>
      </c>
      <c r="AC526" s="17">
        <v>176</v>
      </c>
      <c r="AD526" s="17">
        <v>64</v>
      </c>
    </row>
    <row r="527" spans="1:30" ht="15.75" customHeight="1" x14ac:dyDescent="0.25">
      <c r="A527" s="37">
        <v>2021</v>
      </c>
      <c r="B527" s="35">
        <v>171855</v>
      </c>
      <c r="C527" s="34" t="s">
        <v>145</v>
      </c>
      <c r="D527" s="34" t="s">
        <v>113</v>
      </c>
      <c r="E527" s="17">
        <v>5</v>
      </c>
      <c r="F527" s="36">
        <f>IFERROR(E527/$AC527,0)</f>
        <v>1.7730496453900711E-2</v>
      </c>
      <c r="G527" s="17">
        <v>5</v>
      </c>
      <c r="H527" s="36">
        <f>IFERROR(G527/$AD527,0)</f>
        <v>3.3112582781456956E-2</v>
      </c>
      <c r="I527" s="17">
        <v>83</v>
      </c>
      <c r="J527" s="36">
        <f>IFERROR(I527/$AC527,0)</f>
        <v>0.29432624113475175</v>
      </c>
      <c r="K527" s="17">
        <v>48</v>
      </c>
      <c r="L527" s="36">
        <f>IFERROR(K527/$AD527,0)</f>
        <v>0.31788079470198677</v>
      </c>
      <c r="M527" s="17">
        <v>105</v>
      </c>
      <c r="N527" s="36">
        <f>IFERROR(M527/$AC527,0)</f>
        <v>0.37234042553191488</v>
      </c>
      <c r="O527" s="17">
        <v>53</v>
      </c>
      <c r="P527" s="36">
        <f>IFERROR(O527/$AD527,0)</f>
        <v>0.35099337748344372</v>
      </c>
      <c r="Q527" s="17">
        <v>66</v>
      </c>
      <c r="R527" s="36">
        <f>IFERROR(Q527/$AC527,0)</f>
        <v>0.23404255319148937</v>
      </c>
      <c r="S527" s="17">
        <v>31</v>
      </c>
      <c r="T527" s="36">
        <f>IFERROR(S527/$AD527,0)</f>
        <v>0.20529801324503311</v>
      </c>
      <c r="U527" s="17">
        <v>17</v>
      </c>
      <c r="V527" s="36">
        <f>IFERROR(U527/$AC527,0)</f>
        <v>6.0283687943262408E-2</v>
      </c>
      <c r="W527" s="17">
        <v>10</v>
      </c>
      <c r="X527" s="36">
        <f>IFERROR(W527/$AD527,0)</f>
        <v>6.6225165562913912E-2</v>
      </c>
      <c r="Y527" s="17">
        <v>6</v>
      </c>
      <c r="Z527" s="36">
        <f>IFERROR(Y527/$AC527,0)</f>
        <v>2.1276595744680851E-2</v>
      </c>
      <c r="AA527" s="17">
        <v>4</v>
      </c>
      <c r="AB527" s="36">
        <f>IFERROR(AA527/$AD527,0)</f>
        <v>2.6490066225165563E-2</v>
      </c>
      <c r="AC527" s="17">
        <v>282</v>
      </c>
      <c r="AD527" s="17">
        <v>151</v>
      </c>
    </row>
    <row r="528" spans="1:30" ht="15.75" customHeight="1" x14ac:dyDescent="0.25">
      <c r="A528" s="37">
        <v>2021</v>
      </c>
      <c r="B528" s="35">
        <v>171865</v>
      </c>
      <c r="C528" s="34" t="s">
        <v>147</v>
      </c>
      <c r="D528" s="34" t="s">
        <v>114</v>
      </c>
      <c r="E528" s="17">
        <v>3</v>
      </c>
      <c r="F528" s="36">
        <f>IFERROR(E528/$AC528,0)</f>
        <v>2.0270270270270271E-2</v>
      </c>
      <c r="G528" s="17">
        <v>1</v>
      </c>
      <c r="H528" s="36">
        <f>IFERROR(G528/$AD528,0)</f>
        <v>1.3698630136986301E-2</v>
      </c>
      <c r="I528" s="17">
        <v>60</v>
      </c>
      <c r="J528" s="36">
        <f>IFERROR(I528/$AC528,0)</f>
        <v>0.40540540540540543</v>
      </c>
      <c r="K528" s="17">
        <v>34</v>
      </c>
      <c r="L528" s="36">
        <f>IFERROR(K528/$AD528,0)</f>
        <v>0.46575342465753422</v>
      </c>
      <c r="M528" s="17">
        <v>54</v>
      </c>
      <c r="N528" s="36">
        <f>IFERROR(M528/$AC528,0)</f>
        <v>0.36486486486486486</v>
      </c>
      <c r="O528" s="17">
        <v>26</v>
      </c>
      <c r="P528" s="36">
        <f>IFERROR(O528/$AD528,0)</f>
        <v>0.35616438356164382</v>
      </c>
      <c r="Q528" s="17">
        <v>18</v>
      </c>
      <c r="R528" s="36">
        <f>IFERROR(Q528/$AC528,0)</f>
        <v>0.12162162162162163</v>
      </c>
      <c r="S528" s="17">
        <v>6</v>
      </c>
      <c r="T528" s="36">
        <f>IFERROR(S528/$AD528,0)</f>
        <v>8.2191780821917804E-2</v>
      </c>
      <c r="U528" s="17">
        <v>8</v>
      </c>
      <c r="V528" s="36">
        <f>IFERROR(U528/$AC528,0)</f>
        <v>5.4054054054054057E-2</v>
      </c>
      <c r="W528" s="17">
        <v>6</v>
      </c>
      <c r="X528" s="36">
        <f>IFERROR(W528/$AD528,0)</f>
        <v>8.2191780821917804E-2</v>
      </c>
      <c r="Y528" s="17">
        <v>5</v>
      </c>
      <c r="Z528" s="36">
        <f>IFERROR(Y528/$AC528,0)</f>
        <v>3.3783783783783786E-2</v>
      </c>
      <c r="AA528" s="17">
        <v>0</v>
      </c>
      <c r="AB528" s="36">
        <f>IFERROR(AA528/$AD528,0)</f>
        <v>0</v>
      </c>
      <c r="AC528" s="17">
        <v>148</v>
      </c>
      <c r="AD528" s="17">
        <v>73</v>
      </c>
    </row>
    <row r="529" spans="1:30" ht="15.75" customHeight="1" x14ac:dyDescent="0.25">
      <c r="A529" s="37">
        <v>2021</v>
      </c>
      <c r="B529" s="35">
        <v>171870</v>
      </c>
      <c r="C529" s="34" t="s">
        <v>148</v>
      </c>
      <c r="D529" s="34" t="s">
        <v>115</v>
      </c>
      <c r="E529" s="17">
        <v>7</v>
      </c>
      <c r="F529" s="36">
        <f>IFERROR(E529/$AC529,0)</f>
        <v>1.2727272727272728E-2</v>
      </c>
      <c r="G529" s="17">
        <v>2</v>
      </c>
      <c r="H529" s="36">
        <f>IFERROR(G529/$AD529,0)</f>
        <v>8.8495575221238937E-3</v>
      </c>
      <c r="I529" s="17">
        <v>161</v>
      </c>
      <c r="J529" s="36">
        <f>IFERROR(I529/$AC529,0)</f>
        <v>0.29272727272727272</v>
      </c>
      <c r="K529" s="17">
        <v>71</v>
      </c>
      <c r="L529" s="36">
        <f>IFERROR(K529/$AD529,0)</f>
        <v>0.31415929203539822</v>
      </c>
      <c r="M529" s="17">
        <v>213</v>
      </c>
      <c r="N529" s="36">
        <f>IFERROR(M529/$AC529,0)</f>
        <v>0.38727272727272727</v>
      </c>
      <c r="O529" s="17">
        <v>91</v>
      </c>
      <c r="P529" s="36">
        <f>IFERROR(O529/$AD529,0)</f>
        <v>0.40265486725663718</v>
      </c>
      <c r="Q529" s="17">
        <v>104</v>
      </c>
      <c r="R529" s="36">
        <f>IFERROR(Q529/$AC529,0)</f>
        <v>0.18909090909090909</v>
      </c>
      <c r="S529" s="17">
        <v>42</v>
      </c>
      <c r="T529" s="36">
        <f>IFERROR(S529/$AD529,0)</f>
        <v>0.18584070796460178</v>
      </c>
      <c r="U529" s="17">
        <v>44</v>
      </c>
      <c r="V529" s="36">
        <f>IFERROR(U529/$AC529,0)</f>
        <v>0.08</v>
      </c>
      <c r="W529" s="17">
        <v>11</v>
      </c>
      <c r="X529" s="36">
        <f>IFERROR(W529/$AD529,0)</f>
        <v>4.8672566371681415E-2</v>
      </c>
      <c r="Y529" s="17">
        <v>21</v>
      </c>
      <c r="Z529" s="36">
        <f>IFERROR(Y529/$AC529,0)</f>
        <v>3.8181818181818185E-2</v>
      </c>
      <c r="AA529" s="17">
        <v>9</v>
      </c>
      <c r="AB529" s="36">
        <f>IFERROR(AA529/$AD529,0)</f>
        <v>3.9823008849557522E-2</v>
      </c>
      <c r="AC529" s="17">
        <v>550</v>
      </c>
      <c r="AD529" s="17">
        <v>226</v>
      </c>
    </row>
    <row r="530" spans="1:30" ht="15.75" customHeight="1" x14ac:dyDescent="0.25">
      <c r="A530" s="37">
        <v>2021</v>
      </c>
      <c r="B530" s="35">
        <v>171875</v>
      </c>
      <c r="C530" s="34" t="s">
        <v>148</v>
      </c>
      <c r="D530" s="34" t="s">
        <v>116</v>
      </c>
      <c r="E530" s="17">
        <v>13</v>
      </c>
      <c r="F530" s="36">
        <f>IFERROR(E530/$AC530,0)</f>
        <v>3.9274924471299093E-2</v>
      </c>
      <c r="G530" s="17">
        <v>10</v>
      </c>
      <c r="H530" s="36">
        <f>IFERROR(G530/$AD530,0)</f>
        <v>5.2631578947368418E-2</v>
      </c>
      <c r="I530" s="17">
        <v>111</v>
      </c>
      <c r="J530" s="36">
        <f>IFERROR(I530/$AC530,0)</f>
        <v>0.33534743202416917</v>
      </c>
      <c r="K530" s="17">
        <v>61</v>
      </c>
      <c r="L530" s="36">
        <f>IFERROR(K530/$AD530,0)</f>
        <v>0.32105263157894737</v>
      </c>
      <c r="M530" s="17">
        <v>127</v>
      </c>
      <c r="N530" s="36">
        <f>IFERROR(M530/$AC530,0)</f>
        <v>0.38368580060422963</v>
      </c>
      <c r="O530" s="17">
        <v>68</v>
      </c>
      <c r="P530" s="36">
        <f>IFERROR(O530/$AD530,0)</f>
        <v>0.35789473684210527</v>
      </c>
      <c r="Q530" s="17">
        <v>54</v>
      </c>
      <c r="R530" s="36">
        <f>IFERROR(Q530/$AC530,0)</f>
        <v>0.16314199395770393</v>
      </c>
      <c r="S530" s="17">
        <v>34</v>
      </c>
      <c r="T530" s="36">
        <f>IFERROR(S530/$AD530,0)</f>
        <v>0.17894736842105263</v>
      </c>
      <c r="U530" s="17">
        <v>24</v>
      </c>
      <c r="V530" s="36">
        <f>IFERROR(U530/$AC530,0)</f>
        <v>7.2507552870090641E-2</v>
      </c>
      <c r="W530" s="17">
        <v>16</v>
      </c>
      <c r="X530" s="36">
        <f>IFERROR(W530/$AD530,0)</f>
        <v>8.4210526315789472E-2</v>
      </c>
      <c r="Y530" s="17">
        <v>2</v>
      </c>
      <c r="Z530" s="36">
        <f>IFERROR(Y530/$AC530,0)</f>
        <v>6.0422960725075529E-3</v>
      </c>
      <c r="AA530" s="17">
        <v>1</v>
      </c>
      <c r="AB530" s="36">
        <f>IFERROR(AA530/$AD530,0)</f>
        <v>5.263157894736842E-3</v>
      </c>
      <c r="AC530" s="17">
        <v>331</v>
      </c>
      <c r="AD530" s="17">
        <v>190</v>
      </c>
    </row>
    <row r="531" spans="1:30" ht="15.75" customHeight="1" x14ac:dyDescent="0.25">
      <c r="A531" s="37">
        <v>2021</v>
      </c>
      <c r="B531" s="35">
        <v>171880</v>
      </c>
      <c r="C531" s="34" t="s">
        <v>145</v>
      </c>
      <c r="D531" s="34" t="s">
        <v>117</v>
      </c>
      <c r="E531" s="17">
        <v>13</v>
      </c>
      <c r="F531" s="36">
        <f>IFERROR(E531/$AC531,0)</f>
        <v>3.4852546916890083E-2</v>
      </c>
      <c r="G531" s="17">
        <v>13</v>
      </c>
      <c r="H531" s="36">
        <f>IFERROR(G531/$AD531,0)</f>
        <v>7.18232044198895E-2</v>
      </c>
      <c r="I531" s="17">
        <v>115</v>
      </c>
      <c r="J531" s="36">
        <f>IFERROR(I531/$AC531,0)</f>
        <v>0.30831099195710454</v>
      </c>
      <c r="K531" s="17">
        <v>67</v>
      </c>
      <c r="L531" s="36">
        <f>IFERROR(K531/$AD531,0)</f>
        <v>0.37016574585635359</v>
      </c>
      <c r="M531" s="17">
        <v>137</v>
      </c>
      <c r="N531" s="36">
        <f>IFERROR(M531/$AC531,0)</f>
        <v>0.36729222520107241</v>
      </c>
      <c r="O531" s="17">
        <v>63</v>
      </c>
      <c r="P531" s="36">
        <f>IFERROR(O531/$AD531,0)</f>
        <v>0.34806629834254144</v>
      </c>
      <c r="Q531" s="17">
        <v>67</v>
      </c>
      <c r="R531" s="36">
        <f>IFERROR(Q531/$AC531,0)</f>
        <v>0.17962466487935658</v>
      </c>
      <c r="S531" s="17">
        <v>30</v>
      </c>
      <c r="T531" s="36">
        <f>IFERROR(S531/$AD531,0)</f>
        <v>0.16574585635359115</v>
      </c>
      <c r="U531" s="17">
        <v>25</v>
      </c>
      <c r="V531" s="36">
        <f>IFERROR(U531/$AC531,0)</f>
        <v>6.7024128686327081E-2</v>
      </c>
      <c r="W531" s="17">
        <v>4</v>
      </c>
      <c r="X531" s="36">
        <f>IFERROR(W531/$AD531,0)</f>
        <v>2.2099447513812154E-2</v>
      </c>
      <c r="Y531" s="17">
        <v>16</v>
      </c>
      <c r="Z531" s="36">
        <f>IFERROR(Y531/$AC531,0)</f>
        <v>4.2895442359249331E-2</v>
      </c>
      <c r="AA531" s="17">
        <v>4</v>
      </c>
      <c r="AB531" s="36">
        <f>IFERROR(AA531/$AD531,0)</f>
        <v>2.2099447513812154E-2</v>
      </c>
      <c r="AC531" s="17">
        <v>373</v>
      </c>
      <c r="AD531" s="17">
        <v>181</v>
      </c>
    </row>
    <row r="532" spans="1:30" ht="15.75" customHeight="1" x14ac:dyDescent="0.25">
      <c r="A532" s="37">
        <v>2021</v>
      </c>
      <c r="B532" s="35">
        <v>171884</v>
      </c>
      <c r="C532" s="34" t="s">
        <v>146</v>
      </c>
      <c r="D532" s="34" t="s">
        <v>118</v>
      </c>
      <c r="E532" s="17">
        <v>5</v>
      </c>
      <c r="F532" s="36">
        <f>IFERROR(E532/$AC532,0)</f>
        <v>2.403846153846154E-2</v>
      </c>
      <c r="G532" s="17">
        <v>0</v>
      </c>
      <c r="H532" s="36">
        <f>IFERROR(G532/$AD532,0)</f>
        <v>0</v>
      </c>
      <c r="I532" s="17">
        <v>51</v>
      </c>
      <c r="J532" s="36">
        <f>IFERROR(I532/$AC532,0)</f>
        <v>0.24519230769230768</v>
      </c>
      <c r="K532" s="17">
        <v>6</v>
      </c>
      <c r="L532" s="36">
        <f>IFERROR(K532/$AD532,0)</f>
        <v>0.14634146341463414</v>
      </c>
      <c r="M532" s="17">
        <v>67</v>
      </c>
      <c r="N532" s="36">
        <f>IFERROR(M532/$AC532,0)</f>
        <v>0.32211538461538464</v>
      </c>
      <c r="O532" s="17">
        <v>11</v>
      </c>
      <c r="P532" s="36">
        <f>IFERROR(O532/$AD532,0)</f>
        <v>0.26829268292682928</v>
      </c>
      <c r="Q532" s="17">
        <v>56</v>
      </c>
      <c r="R532" s="36">
        <f>IFERROR(Q532/$AC532,0)</f>
        <v>0.26923076923076922</v>
      </c>
      <c r="S532" s="17">
        <v>13</v>
      </c>
      <c r="T532" s="36">
        <f>IFERROR(S532/$AD532,0)</f>
        <v>0.31707317073170732</v>
      </c>
      <c r="U532" s="17">
        <v>19</v>
      </c>
      <c r="V532" s="36">
        <f>IFERROR(U532/$AC532,0)</f>
        <v>9.1346153846153841E-2</v>
      </c>
      <c r="W532" s="17">
        <v>8</v>
      </c>
      <c r="X532" s="36">
        <f>IFERROR(W532/$AD532,0)</f>
        <v>0.1951219512195122</v>
      </c>
      <c r="Y532" s="17">
        <v>10</v>
      </c>
      <c r="Z532" s="36">
        <f>IFERROR(Y532/$AC532,0)</f>
        <v>4.807692307692308E-2</v>
      </c>
      <c r="AA532" s="17">
        <v>3</v>
      </c>
      <c r="AB532" s="36">
        <f>IFERROR(AA532/$AD532,0)</f>
        <v>7.3170731707317069E-2</v>
      </c>
      <c r="AC532" s="17">
        <v>208</v>
      </c>
      <c r="AD532" s="17">
        <v>41</v>
      </c>
    </row>
    <row r="533" spans="1:30" ht="15.75" customHeight="1" x14ac:dyDescent="0.25">
      <c r="A533" s="37">
        <v>2021</v>
      </c>
      <c r="B533" s="35">
        <v>171886</v>
      </c>
      <c r="C533" s="34" t="s">
        <v>149</v>
      </c>
      <c r="D533" s="34" t="s">
        <v>119</v>
      </c>
      <c r="E533" s="17">
        <v>16</v>
      </c>
      <c r="F533" s="36">
        <f>IFERROR(E533/$AC533,0)</f>
        <v>1.6877637130801686E-2</v>
      </c>
      <c r="G533" s="17">
        <v>5</v>
      </c>
      <c r="H533" s="36">
        <f>IFERROR(G533/$AD533,0)</f>
        <v>2.7777777777777776E-2</v>
      </c>
      <c r="I533" s="17">
        <v>329</v>
      </c>
      <c r="J533" s="36">
        <f>IFERROR(I533/$AC533,0)</f>
        <v>0.34704641350210969</v>
      </c>
      <c r="K533" s="17">
        <v>79</v>
      </c>
      <c r="L533" s="36">
        <f>IFERROR(K533/$AD533,0)</f>
        <v>0.43888888888888888</v>
      </c>
      <c r="M533" s="17">
        <v>314</v>
      </c>
      <c r="N533" s="36">
        <f>IFERROR(M533/$AC533,0)</f>
        <v>0.33122362869198313</v>
      </c>
      <c r="O533" s="17">
        <v>47</v>
      </c>
      <c r="P533" s="36">
        <f>IFERROR(O533/$AD533,0)</f>
        <v>0.26111111111111113</v>
      </c>
      <c r="Q533" s="17">
        <v>189</v>
      </c>
      <c r="R533" s="36">
        <f>IFERROR(Q533/$AC533,0)</f>
        <v>0.19936708860759494</v>
      </c>
      <c r="S533" s="17">
        <v>29</v>
      </c>
      <c r="T533" s="36">
        <f>IFERROR(S533/$AD533,0)</f>
        <v>0.16111111111111112</v>
      </c>
      <c r="U533" s="17">
        <v>72</v>
      </c>
      <c r="V533" s="36">
        <f>IFERROR(U533/$AC533,0)</f>
        <v>7.5949367088607597E-2</v>
      </c>
      <c r="W533" s="17">
        <v>15</v>
      </c>
      <c r="X533" s="36">
        <f>IFERROR(W533/$AD533,0)</f>
        <v>8.3333333333333329E-2</v>
      </c>
      <c r="Y533" s="17">
        <v>28</v>
      </c>
      <c r="Z533" s="36">
        <f>IFERROR(Y533/$AC533,0)</f>
        <v>2.9535864978902954E-2</v>
      </c>
      <c r="AA533" s="17">
        <v>5</v>
      </c>
      <c r="AB533" s="36">
        <f>IFERROR(AA533/$AD533,0)</f>
        <v>2.7777777777777776E-2</v>
      </c>
      <c r="AC533" s="17">
        <v>948</v>
      </c>
      <c r="AD533" s="17">
        <v>180</v>
      </c>
    </row>
    <row r="534" spans="1:30" ht="15.75" customHeight="1" x14ac:dyDescent="0.25">
      <c r="A534" s="37">
        <v>2021</v>
      </c>
      <c r="B534" s="35">
        <v>171888</v>
      </c>
      <c r="C534" s="34" t="s">
        <v>150</v>
      </c>
      <c r="D534" s="34" t="s">
        <v>120</v>
      </c>
      <c r="E534" s="17">
        <v>2</v>
      </c>
      <c r="F534" s="36">
        <f>IFERROR(E534/$AC534,0)</f>
        <v>9.7560975609756097E-3</v>
      </c>
      <c r="G534" s="17">
        <v>2</v>
      </c>
      <c r="H534" s="36">
        <f>IFERROR(G534/$AD534,0)</f>
        <v>2.5000000000000001E-2</v>
      </c>
      <c r="I534" s="17">
        <v>143</v>
      </c>
      <c r="J534" s="36">
        <f>IFERROR(I534/$AC534,0)</f>
        <v>0.69756097560975605</v>
      </c>
      <c r="K534" s="17">
        <v>25</v>
      </c>
      <c r="L534" s="36">
        <f>IFERROR(K534/$AD534,0)</f>
        <v>0.3125</v>
      </c>
      <c r="M534" s="17">
        <v>32</v>
      </c>
      <c r="N534" s="36">
        <f>IFERROR(M534/$AC534,0)</f>
        <v>0.15609756097560976</v>
      </c>
      <c r="O534" s="17">
        <v>23</v>
      </c>
      <c r="P534" s="36">
        <f>IFERROR(O534/$AD534,0)</f>
        <v>0.28749999999999998</v>
      </c>
      <c r="Q534" s="17">
        <v>18</v>
      </c>
      <c r="R534" s="36">
        <f>IFERROR(Q534/$AC534,0)</f>
        <v>8.7804878048780483E-2</v>
      </c>
      <c r="S534" s="17">
        <v>19</v>
      </c>
      <c r="T534" s="36">
        <f>IFERROR(S534/$AD534,0)</f>
        <v>0.23749999999999999</v>
      </c>
      <c r="U534" s="17">
        <v>8</v>
      </c>
      <c r="V534" s="36">
        <f>IFERROR(U534/$AC534,0)</f>
        <v>3.9024390243902439E-2</v>
      </c>
      <c r="W534" s="17">
        <v>9</v>
      </c>
      <c r="X534" s="36">
        <f>IFERROR(W534/$AD534,0)</f>
        <v>0.1125</v>
      </c>
      <c r="Y534" s="17">
        <v>2</v>
      </c>
      <c r="Z534" s="36">
        <f>IFERROR(Y534/$AC534,0)</f>
        <v>9.7560975609756097E-3</v>
      </c>
      <c r="AA534" s="17">
        <v>2</v>
      </c>
      <c r="AB534" s="36">
        <f>IFERROR(AA534/$AD534,0)</f>
        <v>2.5000000000000001E-2</v>
      </c>
      <c r="AC534" s="17">
        <v>205</v>
      </c>
      <c r="AD534" s="17">
        <v>80</v>
      </c>
    </row>
    <row r="535" spans="1:30" ht="15.75" customHeight="1" x14ac:dyDescent="0.25">
      <c r="A535" s="37">
        <v>2021</v>
      </c>
      <c r="B535" s="35">
        <v>171889</v>
      </c>
      <c r="C535" s="34" t="s">
        <v>146</v>
      </c>
      <c r="D535" s="34" t="s">
        <v>121</v>
      </c>
      <c r="E535" s="17">
        <v>6</v>
      </c>
      <c r="F535" s="36">
        <f>IFERROR(E535/$AC535,0)</f>
        <v>1.2658227848101266E-2</v>
      </c>
      <c r="G535" s="17">
        <v>1</v>
      </c>
      <c r="H535" s="36">
        <f>IFERROR(G535/$AD535,0)</f>
        <v>2.0833333333333332E-2</v>
      </c>
      <c r="I535" s="17">
        <v>141</v>
      </c>
      <c r="J535" s="36">
        <f>IFERROR(I535/$AC535,0)</f>
        <v>0.29746835443037972</v>
      </c>
      <c r="K535" s="17">
        <v>16</v>
      </c>
      <c r="L535" s="36">
        <f>IFERROR(K535/$AD535,0)</f>
        <v>0.33333333333333331</v>
      </c>
      <c r="M535" s="17">
        <v>166</v>
      </c>
      <c r="N535" s="36">
        <f>IFERROR(M535/$AC535,0)</f>
        <v>0.35021097046413502</v>
      </c>
      <c r="O535" s="17">
        <v>11</v>
      </c>
      <c r="P535" s="36">
        <f>IFERROR(O535/$AD535,0)</f>
        <v>0.22916666666666666</v>
      </c>
      <c r="Q535" s="17">
        <v>104</v>
      </c>
      <c r="R535" s="36">
        <f>IFERROR(Q535/$AC535,0)</f>
        <v>0.21940928270042195</v>
      </c>
      <c r="S535" s="17">
        <v>12</v>
      </c>
      <c r="T535" s="36">
        <f>IFERROR(S535/$AD535,0)</f>
        <v>0.25</v>
      </c>
      <c r="U535" s="17">
        <v>34</v>
      </c>
      <c r="V535" s="36">
        <f>IFERROR(U535/$AC535,0)</f>
        <v>7.1729957805907171E-2</v>
      </c>
      <c r="W535" s="17">
        <v>3</v>
      </c>
      <c r="X535" s="36">
        <f>IFERROR(W535/$AD535,0)</f>
        <v>6.25E-2</v>
      </c>
      <c r="Y535" s="17">
        <v>23</v>
      </c>
      <c r="Z535" s="36">
        <f>IFERROR(Y535/$AC535,0)</f>
        <v>4.852320675105485E-2</v>
      </c>
      <c r="AA535" s="17">
        <v>5</v>
      </c>
      <c r="AB535" s="36">
        <f>IFERROR(AA535/$AD535,0)</f>
        <v>0.10416666666666667</v>
      </c>
      <c r="AC535" s="17">
        <v>474</v>
      </c>
      <c r="AD535" s="17">
        <v>48</v>
      </c>
    </row>
    <row r="536" spans="1:30" ht="15.75" customHeight="1" x14ac:dyDescent="0.25">
      <c r="A536" s="37">
        <v>2021</v>
      </c>
      <c r="B536" s="35">
        <v>171890</v>
      </c>
      <c r="C536" s="34" t="s">
        <v>151</v>
      </c>
      <c r="D536" s="34" t="s">
        <v>122</v>
      </c>
      <c r="E536" s="17">
        <v>18</v>
      </c>
      <c r="F536" s="36">
        <f>IFERROR(E536/$AC536,0)</f>
        <v>2.8892455858747994E-2</v>
      </c>
      <c r="G536" s="17">
        <v>2</v>
      </c>
      <c r="H536" s="36">
        <f>IFERROR(G536/$AD536,0)</f>
        <v>2.6315789473684209E-2</v>
      </c>
      <c r="I536" s="17">
        <v>219</v>
      </c>
      <c r="J536" s="36">
        <f>IFERROR(I536/$AC536,0)</f>
        <v>0.35152487961476725</v>
      </c>
      <c r="K536" s="17">
        <v>25</v>
      </c>
      <c r="L536" s="36">
        <f>IFERROR(K536/$AD536,0)</f>
        <v>0.32894736842105265</v>
      </c>
      <c r="M536" s="17">
        <v>220</v>
      </c>
      <c r="N536" s="36">
        <f>IFERROR(M536/$AC536,0)</f>
        <v>0.35313001605136435</v>
      </c>
      <c r="O536" s="17">
        <v>27</v>
      </c>
      <c r="P536" s="36">
        <f>IFERROR(O536/$AD536,0)</f>
        <v>0.35526315789473684</v>
      </c>
      <c r="Q536" s="17">
        <v>102</v>
      </c>
      <c r="R536" s="36">
        <f>IFERROR(Q536/$AC536,0)</f>
        <v>0.1637239165329053</v>
      </c>
      <c r="S536" s="17">
        <v>13</v>
      </c>
      <c r="T536" s="36">
        <f>IFERROR(S536/$AD536,0)</f>
        <v>0.17105263157894737</v>
      </c>
      <c r="U536" s="17">
        <v>45</v>
      </c>
      <c r="V536" s="36">
        <f>IFERROR(U536/$AC536,0)</f>
        <v>7.2231139646869988E-2</v>
      </c>
      <c r="W536" s="17">
        <v>7</v>
      </c>
      <c r="X536" s="36">
        <f>IFERROR(W536/$AD536,0)</f>
        <v>9.2105263157894732E-2</v>
      </c>
      <c r="Y536" s="17">
        <v>19</v>
      </c>
      <c r="Z536" s="36">
        <f>IFERROR(Y536/$AC536,0)</f>
        <v>3.0497592295345103E-2</v>
      </c>
      <c r="AA536" s="17">
        <v>2</v>
      </c>
      <c r="AB536" s="36">
        <f>IFERROR(AA536/$AD536,0)</f>
        <v>2.6315789473684209E-2</v>
      </c>
      <c r="AC536" s="17">
        <v>623</v>
      </c>
      <c r="AD536" s="17">
        <v>76</v>
      </c>
    </row>
    <row r="537" spans="1:30" ht="15.75" customHeight="1" x14ac:dyDescent="0.25">
      <c r="A537" s="37">
        <v>2021</v>
      </c>
      <c r="B537" s="35">
        <v>171900</v>
      </c>
      <c r="C537" s="34" t="s">
        <v>148</v>
      </c>
      <c r="D537" s="34" t="s">
        <v>123</v>
      </c>
      <c r="E537" s="17">
        <v>19</v>
      </c>
      <c r="F537" s="36">
        <f>IFERROR(E537/$AC537,0)</f>
        <v>2.2485207100591716E-2</v>
      </c>
      <c r="G537" s="17">
        <v>4</v>
      </c>
      <c r="H537" s="36">
        <f>IFERROR(G537/$AD537,0)</f>
        <v>3.4782608695652174E-2</v>
      </c>
      <c r="I537" s="17">
        <v>285</v>
      </c>
      <c r="J537" s="36">
        <f>IFERROR(I537/$AC537,0)</f>
        <v>0.33727810650887574</v>
      </c>
      <c r="K537" s="17">
        <v>34</v>
      </c>
      <c r="L537" s="36">
        <f>IFERROR(K537/$AD537,0)</f>
        <v>0.29565217391304349</v>
      </c>
      <c r="M537" s="17">
        <v>272</v>
      </c>
      <c r="N537" s="36">
        <f>IFERROR(M537/$AC537,0)</f>
        <v>0.32189349112426036</v>
      </c>
      <c r="O537" s="17">
        <v>42</v>
      </c>
      <c r="P537" s="36">
        <f>IFERROR(O537/$AD537,0)</f>
        <v>0.36521739130434783</v>
      </c>
      <c r="Q537" s="17">
        <v>176</v>
      </c>
      <c r="R537" s="36">
        <f>IFERROR(Q537/$AC537,0)</f>
        <v>0.20828402366863905</v>
      </c>
      <c r="S537" s="17">
        <v>21</v>
      </c>
      <c r="T537" s="36">
        <f>IFERROR(S537/$AD537,0)</f>
        <v>0.18260869565217391</v>
      </c>
      <c r="U537" s="17">
        <v>67</v>
      </c>
      <c r="V537" s="36">
        <f>IFERROR(U537/$AC537,0)</f>
        <v>7.9289940828402364E-2</v>
      </c>
      <c r="W537" s="17">
        <v>9</v>
      </c>
      <c r="X537" s="36">
        <f>IFERROR(W537/$AD537,0)</f>
        <v>7.8260869565217397E-2</v>
      </c>
      <c r="Y537" s="17">
        <v>26</v>
      </c>
      <c r="Z537" s="36">
        <f>IFERROR(Y537/$AC537,0)</f>
        <v>3.0769230769230771E-2</v>
      </c>
      <c r="AA537" s="17">
        <v>5</v>
      </c>
      <c r="AB537" s="36">
        <f>IFERROR(AA537/$AD537,0)</f>
        <v>4.3478260869565216E-2</v>
      </c>
      <c r="AC537" s="17">
        <v>845</v>
      </c>
      <c r="AD537" s="17">
        <v>115</v>
      </c>
    </row>
    <row r="538" spans="1:30" ht="15.75" customHeight="1" x14ac:dyDescent="0.25">
      <c r="A538" s="37">
        <v>2021</v>
      </c>
      <c r="B538" s="35">
        <v>172000</v>
      </c>
      <c r="C538" s="34" t="s">
        <v>145</v>
      </c>
      <c r="D538" s="34" t="s">
        <v>124</v>
      </c>
      <c r="E538" s="17">
        <v>14</v>
      </c>
      <c r="F538" s="36">
        <f>IFERROR(E538/$AC538,0)</f>
        <v>2.4734982332155476E-2</v>
      </c>
      <c r="G538" s="17">
        <v>3</v>
      </c>
      <c r="H538" s="36">
        <f>IFERROR(G538/$AD538,0)</f>
        <v>4.3478260869565216E-2</v>
      </c>
      <c r="I538" s="17">
        <v>174</v>
      </c>
      <c r="J538" s="36">
        <f>IFERROR(I538/$AC538,0)</f>
        <v>0.30742049469964666</v>
      </c>
      <c r="K538" s="17">
        <v>27</v>
      </c>
      <c r="L538" s="36">
        <f>IFERROR(K538/$AD538,0)</f>
        <v>0.39130434782608697</v>
      </c>
      <c r="M538" s="17">
        <v>210</v>
      </c>
      <c r="N538" s="36">
        <f>IFERROR(M538/$AC538,0)</f>
        <v>0.37102473498233218</v>
      </c>
      <c r="O538" s="17">
        <v>23</v>
      </c>
      <c r="P538" s="36">
        <f>IFERROR(O538/$AD538,0)</f>
        <v>0.33333333333333331</v>
      </c>
      <c r="Q538" s="17">
        <v>121</v>
      </c>
      <c r="R538" s="36">
        <f>IFERROR(Q538/$AC538,0)</f>
        <v>0.21378091872791519</v>
      </c>
      <c r="S538" s="17">
        <v>7</v>
      </c>
      <c r="T538" s="36">
        <f>IFERROR(S538/$AD538,0)</f>
        <v>0.10144927536231885</v>
      </c>
      <c r="U538" s="17">
        <v>30</v>
      </c>
      <c r="V538" s="36">
        <f>IFERROR(U538/$AC538,0)</f>
        <v>5.3003533568904596E-2</v>
      </c>
      <c r="W538" s="17">
        <v>5</v>
      </c>
      <c r="X538" s="36">
        <f>IFERROR(W538/$AD538,0)</f>
        <v>7.2463768115942032E-2</v>
      </c>
      <c r="Y538" s="17">
        <v>17</v>
      </c>
      <c r="Z538" s="36">
        <f>IFERROR(Y538/$AC538,0)</f>
        <v>3.0035335689045935E-2</v>
      </c>
      <c r="AA538" s="17">
        <v>4</v>
      </c>
      <c r="AB538" s="36">
        <f>IFERROR(AA538/$AD538,0)</f>
        <v>5.7971014492753624E-2</v>
      </c>
      <c r="AC538" s="17">
        <v>566</v>
      </c>
      <c r="AD538" s="17">
        <v>69</v>
      </c>
    </row>
    <row r="539" spans="1:30" ht="15.75" customHeight="1" x14ac:dyDescent="0.25">
      <c r="A539" s="37">
        <v>2021</v>
      </c>
      <c r="B539" s="35">
        <v>172010</v>
      </c>
      <c r="C539" s="34" t="s">
        <v>145</v>
      </c>
      <c r="D539" s="34" t="s">
        <v>125</v>
      </c>
      <c r="E539" s="17">
        <v>23</v>
      </c>
      <c r="F539" s="36">
        <f>IFERROR(E539/$AC539,0)</f>
        <v>2.2243713733075435E-2</v>
      </c>
      <c r="G539" s="17">
        <v>12</v>
      </c>
      <c r="H539" s="36">
        <f>IFERROR(G539/$AD539,0)</f>
        <v>2.4291497975708502E-2</v>
      </c>
      <c r="I539" s="17">
        <v>415</v>
      </c>
      <c r="J539" s="36">
        <f>IFERROR(I539/$AC539,0)</f>
        <v>0.40135396518375244</v>
      </c>
      <c r="K539" s="17">
        <v>187</v>
      </c>
      <c r="L539" s="36">
        <f>IFERROR(K539/$AD539,0)</f>
        <v>0.37854251012145751</v>
      </c>
      <c r="M539" s="17">
        <v>357</v>
      </c>
      <c r="N539" s="36">
        <f>IFERROR(M539/$AC539,0)</f>
        <v>0.34526112185686653</v>
      </c>
      <c r="O539" s="17">
        <v>175</v>
      </c>
      <c r="P539" s="36">
        <f>IFERROR(O539/$AD539,0)</f>
        <v>0.354251012145749</v>
      </c>
      <c r="Q539" s="17">
        <v>162</v>
      </c>
      <c r="R539" s="36">
        <f>IFERROR(Q539/$AC539,0)</f>
        <v>0.15667311411992263</v>
      </c>
      <c r="S539" s="17">
        <v>74</v>
      </c>
      <c r="T539" s="36">
        <f>IFERROR(S539/$AD539,0)</f>
        <v>0.14979757085020243</v>
      </c>
      <c r="U539" s="17">
        <v>56</v>
      </c>
      <c r="V539" s="36">
        <f>IFERROR(U539/$AC539,0)</f>
        <v>5.4158607350096713E-2</v>
      </c>
      <c r="W539" s="17">
        <v>32</v>
      </c>
      <c r="X539" s="36">
        <f>IFERROR(W539/$AD539,0)</f>
        <v>6.4777327935222673E-2</v>
      </c>
      <c r="Y539" s="17">
        <v>21</v>
      </c>
      <c r="Z539" s="36">
        <f>IFERROR(Y539/$AC539,0)</f>
        <v>2.0309477756286266E-2</v>
      </c>
      <c r="AA539" s="17">
        <v>14</v>
      </c>
      <c r="AB539" s="36">
        <f>IFERROR(AA539/$AD539,0)</f>
        <v>2.8340080971659919E-2</v>
      </c>
      <c r="AC539" s="16">
        <v>1034</v>
      </c>
      <c r="AD539" s="17">
        <v>494</v>
      </c>
    </row>
    <row r="540" spans="1:30" ht="15.75" customHeight="1" x14ac:dyDescent="0.25">
      <c r="A540" s="37">
        <v>2021</v>
      </c>
      <c r="B540" s="35">
        <v>172015</v>
      </c>
      <c r="C540" s="34" t="s">
        <v>148</v>
      </c>
      <c r="D540" s="34" t="s">
        <v>126</v>
      </c>
      <c r="E540" s="17">
        <v>12</v>
      </c>
      <c r="F540" s="36">
        <f>IFERROR(E540/$AC540,0)</f>
        <v>2.3529411764705882E-2</v>
      </c>
      <c r="G540" s="17">
        <v>3</v>
      </c>
      <c r="H540" s="36">
        <f>IFERROR(G540/$AD540,0)</f>
        <v>3.2258064516129031E-2</v>
      </c>
      <c r="I540" s="17">
        <v>189</v>
      </c>
      <c r="J540" s="36">
        <f>IFERROR(I540/$AC540,0)</f>
        <v>0.37058823529411766</v>
      </c>
      <c r="K540" s="17">
        <v>29</v>
      </c>
      <c r="L540" s="36">
        <f>IFERROR(K540/$AD540,0)</f>
        <v>0.31182795698924731</v>
      </c>
      <c r="M540" s="17">
        <v>192</v>
      </c>
      <c r="N540" s="36">
        <f>IFERROR(M540/$AC540,0)</f>
        <v>0.37647058823529411</v>
      </c>
      <c r="O540" s="17">
        <v>36</v>
      </c>
      <c r="P540" s="36">
        <f>IFERROR(O540/$AD540,0)</f>
        <v>0.38709677419354838</v>
      </c>
      <c r="Q540" s="17">
        <v>89</v>
      </c>
      <c r="R540" s="36">
        <f>IFERROR(Q540/$AC540,0)</f>
        <v>0.17450980392156862</v>
      </c>
      <c r="S540" s="17">
        <v>21</v>
      </c>
      <c r="T540" s="36">
        <f>IFERROR(S540/$AD540,0)</f>
        <v>0.22580645161290322</v>
      </c>
      <c r="U540" s="17">
        <v>22</v>
      </c>
      <c r="V540" s="36">
        <f>IFERROR(U540/$AC540,0)</f>
        <v>4.3137254901960784E-2</v>
      </c>
      <c r="W540" s="17">
        <v>3</v>
      </c>
      <c r="X540" s="36">
        <f>IFERROR(W540/$AD540,0)</f>
        <v>3.2258064516129031E-2</v>
      </c>
      <c r="Y540" s="17">
        <v>6</v>
      </c>
      <c r="Z540" s="36">
        <f>IFERROR(Y540/$AC540,0)</f>
        <v>1.1764705882352941E-2</v>
      </c>
      <c r="AA540" s="17">
        <v>1</v>
      </c>
      <c r="AB540" s="36">
        <f>IFERROR(AA540/$AD540,0)</f>
        <v>1.0752688172043012E-2</v>
      </c>
      <c r="AC540" s="17">
        <v>510</v>
      </c>
      <c r="AD540" s="17">
        <v>93</v>
      </c>
    </row>
    <row r="541" spans="1:30" ht="15.75" customHeight="1" x14ac:dyDescent="0.25">
      <c r="A541" s="37">
        <v>2021</v>
      </c>
      <c r="B541" s="35">
        <v>172020</v>
      </c>
      <c r="C541" s="34" t="s">
        <v>145</v>
      </c>
      <c r="D541" s="34" t="s">
        <v>127</v>
      </c>
      <c r="E541" s="17">
        <v>58</v>
      </c>
      <c r="F541" s="36">
        <f>IFERROR(E541/$AC541,0)</f>
        <v>2.3731587561374796E-2</v>
      </c>
      <c r="G541" s="17">
        <v>18</v>
      </c>
      <c r="H541" s="36">
        <f>IFERROR(G541/$AD541,0)</f>
        <v>3.7037037037037035E-2</v>
      </c>
      <c r="I541" s="17">
        <v>880</v>
      </c>
      <c r="J541" s="36">
        <f>IFERROR(I541/$AC541,0)</f>
        <v>0.36006546644844517</v>
      </c>
      <c r="K541" s="17">
        <v>179</v>
      </c>
      <c r="L541" s="36">
        <f>IFERROR(K541/$AD541,0)</f>
        <v>0.36831275720164608</v>
      </c>
      <c r="M541" s="17">
        <v>880</v>
      </c>
      <c r="N541" s="36">
        <f>IFERROR(M541/$AC541,0)</f>
        <v>0.36006546644844517</v>
      </c>
      <c r="O541" s="17">
        <v>172</v>
      </c>
      <c r="P541" s="36">
        <f>IFERROR(O541/$AD541,0)</f>
        <v>0.35390946502057613</v>
      </c>
      <c r="Q541" s="17">
        <v>437</v>
      </c>
      <c r="R541" s="36">
        <f>IFERROR(Q541/$AC541,0)</f>
        <v>0.17880523731587561</v>
      </c>
      <c r="S541" s="17">
        <v>93</v>
      </c>
      <c r="T541" s="36">
        <f>IFERROR(S541/$AD541,0)</f>
        <v>0.19135802469135801</v>
      </c>
      <c r="U541" s="17">
        <v>135</v>
      </c>
      <c r="V541" s="36">
        <f>IFERROR(U541/$AC541,0)</f>
        <v>5.523731587561375E-2</v>
      </c>
      <c r="W541" s="17">
        <v>16</v>
      </c>
      <c r="X541" s="36">
        <f>IFERROR(W541/$AD541,0)</f>
        <v>3.292181069958848E-2</v>
      </c>
      <c r="Y541" s="17">
        <v>54</v>
      </c>
      <c r="Z541" s="36">
        <f>IFERROR(Y541/$AC541,0)</f>
        <v>2.20949263502455E-2</v>
      </c>
      <c r="AA541" s="17">
        <v>8</v>
      </c>
      <c r="AB541" s="36">
        <f>IFERROR(AA541/$AD541,0)</f>
        <v>1.646090534979424E-2</v>
      </c>
      <c r="AC541" s="16">
        <v>2444</v>
      </c>
      <c r="AD541" s="17">
        <v>486</v>
      </c>
    </row>
    <row r="542" spans="1:30" ht="15.75" customHeight="1" x14ac:dyDescent="0.25">
      <c r="A542" s="37">
        <v>2021</v>
      </c>
      <c r="B542" s="35">
        <v>172025</v>
      </c>
      <c r="C542" s="34" t="s">
        <v>146</v>
      </c>
      <c r="D542" s="34" t="s">
        <v>128</v>
      </c>
      <c r="E542" s="17">
        <v>11</v>
      </c>
      <c r="F542" s="36">
        <f>IFERROR(E542/$AC542,0)</f>
        <v>1.9642857142857142E-2</v>
      </c>
      <c r="G542" s="17">
        <v>4</v>
      </c>
      <c r="H542" s="36">
        <f>IFERROR(G542/$AD542,0)</f>
        <v>2.9629629629629631E-2</v>
      </c>
      <c r="I542" s="17">
        <v>171</v>
      </c>
      <c r="J542" s="36">
        <f>IFERROR(I542/$AC542,0)</f>
        <v>0.30535714285714288</v>
      </c>
      <c r="K542" s="17">
        <v>43</v>
      </c>
      <c r="L542" s="36">
        <f>IFERROR(K542/$AD542,0)</f>
        <v>0.31851851851851853</v>
      </c>
      <c r="M542" s="17">
        <v>211</v>
      </c>
      <c r="N542" s="36">
        <f>IFERROR(M542/$AC542,0)</f>
        <v>0.37678571428571428</v>
      </c>
      <c r="O542" s="17">
        <v>49</v>
      </c>
      <c r="P542" s="36">
        <f>IFERROR(O542/$AD542,0)</f>
        <v>0.36296296296296299</v>
      </c>
      <c r="Q542" s="17">
        <v>91</v>
      </c>
      <c r="R542" s="36">
        <f>IFERROR(Q542/$AC542,0)</f>
        <v>0.16250000000000001</v>
      </c>
      <c r="S542" s="17">
        <v>21</v>
      </c>
      <c r="T542" s="36">
        <f>IFERROR(S542/$AD542,0)</f>
        <v>0.15555555555555556</v>
      </c>
      <c r="U542" s="17">
        <v>37</v>
      </c>
      <c r="V542" s="36">
        <f>IFERROR(U542/$AC542,0)</f>
        <v>6.6071428571428573E-2</v>
      </c>
      <c r="W542" s="17">
        <v>7</v>
      </c>
      <c r="X542" s="36">
        <f>IFERROR(W542/$AD542,0)</f>
        <v>5.185185185185185E-2</v>
      </c>
      <c r="Y542" s="17">
        <v>39</v>
      </c>
      <c r="Z542" s="36">
        <f>IFERROR(Y542/$AC542,0)</f>
        <v>6.9642857142857145E-2</v>
      </c>
      <c r="AA542" s="17">
        <v>11</v>
      </c>
      <c r="AB542" s="36">
        <f>IFERROR(AA542/$AD542,0)</f>
        <v>8.1481481481481488E-2</v>
      </c>
      <c r="AC542" s="17">
        <v>560</v>
      </c>
      <c r="AD542" s="17">
        <v>135</v>
      </c>
    </row>
    <row r="543" spans="1:30" ht="15.75" customHeight="1" x14ac:dyDescent="0.25">
      <c r="A543" s="37">
        <v>2021</v>
      </c>
      <c r="B543" s="35">
        <v>172030</v>
      </c>
      <c r="C543" s="34" t="s">
        <v>145</v>
      </c>
      <c r="D543" s="34" t="s">
        <v>129</v>
      </c>
      <c r="E543" s="17">
        <v>20</v>
      </c>
      <c r="F543" s="36">
        <f>IFERROR(E543/$AC543,0)</f>
        <v>3.1948881789137379E-2</v>
      </c>
      <c r="G543" s="17">
        <v>5</v>
      </c>
      <c r="H543" s="36">
        <f>IFERROR(G543/$AD543,0)</f>
        <v>2.4509803921568627E-2</v>
      </c>
      <c r="I543" s="17">
        <v>190</v>
      </c>
      <c r="J543" s="36">
        <f>IFERROR(I543/$AC543,0)</f>
        <v>0.30351437699680511</v>
      </c>
      <c r="K543" s="17">
        <v>75</v>
      </c>
      <c r="L543" s="36">
        <f>IFERROR(K543/$AD543,0)</f>
        <v>0.36764705882352944</v>
      </c>
      <c r="M543" s="17">
        <v>214</v>
      </c>
      <c r="N543" s="36">
        <f>IFERROR(M543/$AC543,0)</f>
        <v>0.34185303514376997</v>
      </c>
      <c r="O543" s="17">
        <v>65</v>
      </c>
      <c r="P543" s="36">
        <f>IFERROR(O543/$AD543,0)</f>
        <v>0.31862745098039214</v>
      </c>
      <c r="Q543" s="17">
        <v>124</v>
      </c>
      <c r="R543" s="36">
        <f>IFERROR(Q543/$AC543,0)</f>
        <v>0.19808306709265175</v>
      </c>
      <c r="S543" s="17">
        <v>41</v>
      </c>
      <c r="T543" s="36">
        <f>IFERROR(S543/$AD543,0)</f>
        <v>0.20098039215686275</v>
      </c>
      <c r="U543" s="17">
        <v>51</v>
      </c>
      <c r="V543" s="36">
        <f>IFERROR(U543/$AC543,0)</f>
        <v>8.1469648562300323E-2</v>
      </c>
      <c r="W543" s="17">
        <v>12</v>
      </c>
      <c r="X543" s="36">
        <f>IFERROR(W543/$AD543,0)</f>
        <v>5.8823529411764705E-2</v>
      </c>
      <c r="Y543" s="17">
        <v>27</v>
      </c>
      <c r="Z543" s="36">
        <f>IFERROR(Y543/$AC543,0)</f>
        <v>4.3130990415335461E-2</v>
      </c>
      <c r="AA543" s="17">
        <v>6</v>
      </c>
      <c r="AB543" s="36">
        <f>IFERROR(AA543/$AD543,0)</f>
        <v>2.9411764705882353E-2</v>
      </c>
      <c r="AC543" s="17">
        <v>626</v>
      </c>
      <c r="AD543" s="17">
        <v>204</v>
      </c>
    </row>
    <row r="544" spans="1:30" ht="15.75" customHeight="1" x14ac:dyDescent="0.25">
      <c r="A544" s="37">
        <v>2021</v>
      </c>
      <c r="B544" s="35">
        <v>172049</v>
      </c>
      <c r="C544" s="34" t="s">
        <v>146</v>
      </c>
      <c r="D544" s="34" t="s">
        <v>130</v>
      </c>
      <c r="E544" s="17">
        <v>18</v>
      </c>
      <c r="F544" s="36">
        <f>IFERROR(E544/$AC544,0)</f>
        <v>2.4423337856173677E-2</v>
      </c>
      <c r="G544" s="17">
        <v>11</v>
      </c>
      <c r="H544" s="36">
        <f>IFERROR(G544/$AD544,0)</f>
        <v>4.9327354260089683E-2</v>
      </c>
      <c r="I544" s="17">
        <v>229</v>
      </c>
      <c r="J544" s="36">
        <f>IFERROR(I544/$AC544,0)</f>
        <v>0.31071913161465398</v>
      </c>
      <c r="K544" s="17">
        <v>72</v>
      </c>
      <c r="L544" s="36">
        <f>IFERROR(K544/$AD544,0)</f>
        <v>0.32286995515695066</v>
      </c>
      <c r="M544" s="17">
        <v>253</v>
      </c>
      <c r="N544" s="36">
        <f>IFERROR(M544/$AC544,0)</f>
        <v>0.34328358208955223</v>
      </c>
      <c r="O544" s="17">
        <v>80</v>
      </c>
      <c r="P544" s="36">
        <f>IFERROR(O544/$AD544,0)</f>
        <v>0.35874439461883406</v>
      </c>
      <c r="Q544" s="17">
        <v>158</v>
      </c>
      <c r="R544" s="36">
        <f>IFERROR(Q544/$AC544,0)</f>
        <v>0.21438263229308005</v>
      </c>
      <c r="S544" s="17">
        <v>37</v>
      </c>
      <c r="T544" s="36">
        <f>IFERROR(S544/$AD544,0)</f>
        <v>0.16591928251121077</v>
      </c>
      <c r="U544" s="17">
        <v>59</v>
      </c>
      <c r="V544" s="36">
        <f>IFERROR(U544/$AC544,0)</f>
        <v>8.0054274084124827E-2</v>
      </c>
      <c r="W544" s="17">
        <v>17</v>
      </c>
      <c r="X544" s="36">
        <f>IFERROR(W544/$AD544,0)</f>
        <v>7.623318385650224E-2</v>
      </c>
      <c r="Y544" s="17">
        <v>20</v>
      </c>
      <c r="Z544" s="36">
        <f>IFERROR(Y544/$AC544,0)</f>
        <v>2.7137042062415198E-2</v>
      </c>
      <c r="AA544" s="17">
        <v>6</v>
      </c>
      <c r="AB544" s="36">
        <f>IFERROR(AA544/$AD544,0)</f>
        <v>2.6905829596412557E-2</v>
      </c>
      <c r="AC544" s="17">
        <v>737</v>
      </c>
      <c r="AD544" s="17">
        <v>223</v>
      </c>
    </row>
    <row r="545" spans="1:30" ht="15.75" customHeight="1" x14ac:dyDescent="0.25">
      <c r="A545" s="37">
        <v>2021</v>
      </c>
      <c r="B545" s="35">
        <v>172065</v>
      </c>
      <c r="C545" s="34" t="s">
        <v>151</v>
      </c>
      <c r="D545" s="34" t="s">
        <v>131</v>
      </c>
      <c r="E545" s="17">
        <v>15</v>
      </c>
      <c r="F545" s="36">
        <f>IFERROR(E545/$AC545,0)</f>
        <v>2.5773195876288658E-2</v>
      </c>
      <c r="G545" s="17">
        <v>7</v>
      </c>
      <c r="H545" s="36">
        <f>IFERROR(G545/$AD545,0)</f>
        <v>3.553299492385787E-2</v>
      </c>
      <c r="I545" s="17">
        <v>195</v>
      </c>
      <c r="J545" s="36">
        <f>IFERROR(I545/$AC545,0)</f>
        <v>0.33505154639175255</v>
      </c>
      <c r="K545" s="17">
        <v>69</v>
      </c>
      <c r="L545" s="36">
        <f>IFERROR(K545/$AD545,0)</f>
        <v>0.35025380710659898</v>
      </c>
      <c r="M545" s="17">
        <v>198</v>
      </c>
      <c r="N545" s="36">
        <f>IFERROR(M545/$AC545,0)</f>
        <v>0.34020618556701032</v>
      </c>
      <c r="O545" s="17">
        <v>67</v>
      </c>
      <c r="P545" s="36">
        <f>IFERROR(O545/$AD545,0)</f>
        <v>0.34010152284263961</v>
      </c>
      <c r="Q545" s="17">
        <v>110</v>
      </c>
      <c r="R545" s="36">
        <f>IFERROR(Q545/$AC545,0)</f>
        <v>0.18900343642611683</v>
      </c>
      <c r="S545" s="17">
        <v>38</v>
      </c>
      <c r="T545" s="36">
        <f>IFERROR(S545/$AD545,0)</f>
        <v>0.19289340101522842</v>
      </c>
      <c r="U545" s="17">
        <v>36</v>
      </c>
      <c r="V545" s="36">
        <f>IFERROR(U545/$AC545,0)</f>
        <v>6.1855670103092786E-2</v>
      </c>
      <c r="W545" s="17">
        <v>10</v>
      </c>
      <c r="X545" s="36">
        <f>IFERROR(W545/$AD545,0)</f>
        <v>5.0761421319796954E-2</v>
      </c>
      <c r="Y545" s="17">
        <v>28</v>
      </c>
      <c r="Z545" s="36">
        <f>IFERROR(Y545/$AC545,0)</f>
        <v>4.8109965635738834E-2</v>
      </c>
      <c r="AA545" s="17">
        <v>6</v>
      </c>
      <c r="AB545" s="36">
        <f>IFERROR(AA545/$AD545,0)</f>
        <v>3.0456852791878174E-2</v>
      </c>
      <c r="AC545" s="17">
        <v>582</v>
      </c>
      <c r="AD545" s="17">
        <v>197</v>
      </c>
    </row>
    <row r="546" spans="1:30" ht="15.75" customHeight="1" x14ac:dyDescent="0.25">
      <c r="A546" s="37">
        <v>2021</v>
      </c>
      <c r="B546" s="35">
        <v>172080</v>
      </c>
      <c r="C546" s="34" t="s">
        <v>145</v>
      </c>
      <c r="D546" s="34" t="s">
        <v>132</v>
      </c>
      <c r="E546" s="17">
        <v>69</v>
      </c>
      <c r="F546" s="36">
        <f>IFERROR(E546/$AC546,0)</f>
        <v>2.1316033364226137E-2</v>
      </c>
      <c r="G546" s="17">
        <v>12</v>
      </c>
      <c r="H546" s="36">
        <f>IFERROR(G546/$AD546,0)</f>
        <v>1.8867924528301886E-2</v>
      </c>
      <c r="I546" s="16">
        <v>1210</v>
      </c>
      <c r="J546" s="36">
        <f>IFERROR(I546/$AC546,0)</f>
        <v>0.37380290392338583</v>
      </c>
      <c r="K546" s="17">
        <v>281</v>
      </c>
      <c r="L546" s="36">
        <f>IFERROR(K546/$AD546,0)</f>
        <v>0.4418238993710692</v>
      </c>
      <c r="M546" s="16">
        <v>1242</v>
      </c>
      <c r="N546" s="36">
        <f>IFERROR(M546/$AC546,0)</f>
        <v>0.38368860055607046</v>
      </c>
      <c r="O546" s="17">
        <v>219</v>
      </c>
      <c r="P546" s="36">
        <f>IFERROR(O546/$AD546,0)</f>
        <v>0.34433962264150941</v>
      </c>
      <c r="Q546" s="17">
        <v>520</v>
      </c>
      <c r="R546" s="36">
        <f>IFERROR(Q546/$AC546,0)</f>
        <v>0.1606425702811245</v>
      </c>
      <c r="S546" s="17">
        <v>94</v>
      </c>
      <c r="T546" s="36">
        <f>IFERROR(S546/$AD546,0)</f>
        <v>0.14779874213836477</v>
      </c>
      <c r="U546" s="17">
        <v>139</v>
      </c>
      <c r="V546" s="36">
        <f>IFERROR(U546/$AC546,0)</f>
        <v>4.2940994748223667E-2</v>
      </c>
      <c r="W546" s="17">
        <v>21</v>
      </c>
      <c r="X546" s="36">
        <f>IFERROR(W546/$AD546,0)</f>
        <v>3.3018867924528301E-2</v>
      </c>
      <c r="Y546" s="17">
        <v>57</v>
      </c>
      <c r="Z546" s="36">
        <f>IFERROR(Y546/$AC546,0)</f>
        <v>1.7608897126969416E-2</v>
      </c>
      <c r="AA546" s="17">
        <v>9</v>
      </c>
      <c r="AB546" s="36">
        <f>IFERROR(AA546/$AD546,0)</f>
        <v>1.4150943396226415E-2</v>
      </c>
      <c r="AC546" s="16">
        <v>3237</v>
      </c>
      <c r="AD546" s="17">
        <v>636</v>
      </c>
    </row>
    <row r="547" spans="1:30" ht="15.75" customHeight="1" x14ac:dyDescent="0.25">
      <c r="A547" s="37">
        <v>2021</v>
      </c>
      <c r="B547" s="35">
        <v>172085</v>
      </c>
      <c r="C547" s="34" t="s">
        <v>146</v>
      </c>
      <c r="D547" s="34" t="s">
        <v>133</v>
      </c>
      <c r="E547" s="17">
        <v>7</v>
      </c>
      <c r="F547" s="36">
        <f>IFERROR(E547/$AC547,0)</f>
        <v>1.6431924882629109E-2</v>
      </c>
      <c r="G547" s="17">
        <v>3</v>
      </c>
      <c r="H547" s="36">
        <f>IFERROR(G547/$AD547,0)</f>
        <v>2.9702970297029702E-2</v>
      </c>
      <c r="I547" s="17">
        <v>134</v>
      </c>
      <c r="J547" s="36">
        <f>IFERROR(I547/$AC547,0)</f>
        <v>0.31455399061032863</v>
      </c>
      <c r="K547" s="17">
        <v>32</v>
      </c>
      <c r="L547" s="36">
        <f>IFERROR(K547/$AD547,0)</f>
        <v>0.31683168316831684</v>
      </c>
      <c r="M547" s="17">
        <v>159</v>
      </c>
      <c r="N547" s="36">
        <f>IFERROR(M547/$AC547,0)</f>
        <v>0.37323943661971831</v>
      </c>
      <c r="O547" s="17">
        <v>37</v>
      </c>
      <c r="P547" s="36">
        <f>IFERROR(O547/$AD547,0)</f>
        <v>0.36633663366336633</v>
      </c>
      <c r="Q547" s="17">
        <v>82</v>
      </c>
      <c r="R547" s="36">
        <f>IFERROR(Q547/$AC547,0)</f>
        <v>0.19248826291079812</v>
      </c>
      <c r="S547" s="17">
        <v>16</v>
      </c>
      <c r="T547" s="36">
        <f>IFERROR(S547/$AD547,0)</f>
        <v>0.15841584158415842</v>
      </c>
      <c r="U547" s="17">
        <v>20</v>
      </c>
      <c r="V547" s="36">
        <f>IFERROR(U547/$AC547,0)</f>
        <v>4.6948356807511735E-2</v>
      </c>
      <c r="W547" s="17">
        <v>6</v>
      </c>
      <c r="X547" s="36">
        <f>IFERROR(W547/$AD547,0)</f>
        <v>5.9405940594059403E-2</v>
      </c>
      <c r="Y547" s="17">
        <v>24</v>
      </c>
      <c r="Z547" s="36">
        <f>IFERROR(Y547/$AC547,0)</f>
        <v>5.6338028169014086E-2</v>
      </c>
      <c r="AA547" s="17">
        <v>7</v>
      </c>
      <c r="AB547" s="36">
        <f>IFERROR(AA547/$AD547,0)</f>
        <v>6.9306930693069313E-2</v>
      </c>
      <c r="AC547" s="17">
        <v>426</v>
      </c>
      <c r="AD547" s="17">
        <v>101</v>
      </c>
    </row>
    <row r="548" spans="1:30" ht="15.75" customHeight="1" x14ac:dyDescent="0.25">
      <c r="A548" s="37">
        <v>2021</v>
      </c>
      <c r="B548" s="35">
        <v>170825</v>
      </c>
      <c r="C548" s="34" t="s">
        <v>148</v>
      </c>
      <c r="D548" s="34" t="s">
        <v>134</v>
      </c>
      <c r="E548" s="17">
        <v>8</v>
      </c>
      <c r="F548" s="36">
        <f>IFERROR(E548/$AC548,0)</f>
        <v>3.7037037037037035E-2</v>
      </c>
      <c r="G548" s="17">
        <v>6</v>
      </c>
      <c r="H548" s="36">
        <f>IFERROR(G548/$AD548,0)</f>
        <v>4.3795620437956206E-2</v>
      </c>
      <c r="I548" s="17">
        <v>73</v>
      </c>
      <c r="J548" s="36">
        <f>IFERROR(I548/$AC548,0)</f>
        <v>0.33796296296296297</v>
      </c>
      <c r="K548" s="17">
        <v>54</v>
      </c>
      <c r="L548" s="36">
        <f>IFERROR(K548/$AD548,0)</f>
        <v>0.39416058394160586</v>
      </c>
      <c r="M548" s="17">
        <v>66</v>
      </c>
      <c r="N548" s="36">
        <f>IFERROR(M548/$AC548,0)</f>
        <v>0.30555555555555558</v>
      </c>
      <c r="O548" s="17">
        <v>45</v>
      </c>
      <c r="P548" s="36">
        <f>IFERROR(O548/$AD548,0)</f>
        <v>0.32846715328467152</v>
      </c>
      <c r="Q548" s="17">
        <v>35</v>
      </c>
      <c r="R548" s="36">
        <f>IFERROR(Q548/$AC548,0)</f>
        <v>0.16203703703703703</v>
      </c>
      <c r="S548" s="17">
        <v>14</v>
      </c>
      <c r="T548" s="36">
        <f>IFERROR(S548/$AD548,0)</f>
        <v>0.10218978102189781</v>
      </c>
      <c r="U548" s="17">
        <v>21</v>
      </c>
      <c r="V548" s="36">
        <f>IFERROR(U548/$AC548,0)</f>
        <v>9.7222222222222224E-2</v>
      </c>
      <c r="W548" s="17">
        <v>14</v>
      </c>
      <c r="X548" s="36">
        <f>IFERROR(W548/$AD548,0)</f>
        <v>0.10218978102189781</v>
      </c>
      <c r="Y548" s="17">
        <v>13</v>
      </c>
      <c r="Z548" s="36">
        <f>IFERROR(Y548/$AC548,0)</f>
        <v>6.0185185185185182E-2</v>
      </c>
      <c r="AA548" s="17">
        <v>4</v>
      </c>
      <c r="AB548" s="36">
        <f>IFERROR(AA548/$AD548,0)</f>
        <v>2.9197080291970802E-2</v>
      </c>
      <c r="AC548" s="17">
        <v>216</v>
      </c>
      <c r="AD548" s="17">
        <v>137</v>
      </c>
    </row>
    <row r="549" spans="1:30" ht="15.75" customHeight="1" x14ac:dyDescent="0.25">
      <c r="A549" s="37">
        <v>2021</v>
      </c>
      <c r="B549" s="35">
        <v>172090</v>
      </c>
      <c r="C549" s="34" t="s">
        <v>147</v>
      </c>
      <c r="D549" s="34" t="s">
        <v>135</v>
      </c>
      <c r="E549" s="17">
        <v>54</v>
      </c>
      <c r="F549" s="36">
        <f>IFERROR(E549/$AC549,0)</f>
        <v>2.3275862068965519E-2</v>
      </c>
      <c r="G549" s="17">
        <v>18</v>
      </c>
      <c r="H549" s="36">
        <f>IFERROR(G549/$AD549,0)</f>
        <v>3.2085561497326207E-2</v>
      </c>
      <c r="I549" s="17">
        <v>729</v>
      </c>
      <c r="J549" s="36">
        <f>IFERROR(I549/$AC549,0)</f>
        <v>0.31422413793103449</v>
      </c>
      <c r="K549" s="17">
        <v>191</v>
      </c>
      <c r="L549" s="36">
        <f>IFERROR(K549/$AD549,0)</f>
        <v>0.34046345811051693</v>
      </c>
      <c r="M549" s="17">
        <v>794</v>
      </c>
      <c r="N549" s="36">
        <f>IFERROR(M549/$AC549,0)</f>
        <v>0.34224137931034482</v>
      </c>
      <c r="O549" s="17">
        <v>176</v>
      </c>
      <c r="P549" s="36">
        <f>IFERROR(O549/$AD549,0)</f>
        <v>0.31372549019607843</v>
      </c>
      <c r="Q549" s="17">
        <v>455</v>
      </c>
      <c r="R549" s="36">
        <f>IFERROR(Q549/$AC549,0)</f>
        <v>0.1961206896551724</v>
      </c>
      <c r="S549" s="17">
        <v>110</v>
      </c>
      <c r="T549" s="36">
        <f>IFERROR(S549/$AD549,0)</f>
        <v>0.19607843137254902</v>
      </c>
      <c r="U549" s="17">
        <v>184</v>
      </c>
      <c r="V549" s="36">
        <f>IFERROR(U549/$AC549,0)</f>
        <v>7.9310344827586213E-2</v>
      </c>
      <c r="W549" s="17">
        <v>47</v>
      </c>
      <c r="X549" s="36">
        <f>IFERROR(W549/$AD549,0)</f>
        <v>8.3778966131907315E-2</v>
      </c>
      <c r="Y549" s="17">
        <v>104</v>
      </c>
      <c r="Z549" s="36">
        <f>IFERROR(Y549/$AC549,0)</f>
        <v>4.4827586206896551E-2</v>
      </c>
      <c r="AA549" s="17">
        <v>19</v>
      </c>
      <c r="AB549" s="36">
        <f>IFERROR(AA549/$AD549,0)</f>
        <v>3.3868092691622102E-2</v>
      </c>
      <c r="AC549" s="16">
        <v>2320</v>
      </c>
      <c r="AD549" s="17">
        <v>561</v>
      </c>
    </row>
    <row r="550" spans="1:30" ht="15.75" customHeight="1" x14ac:dyDescent="0.25">
      <c r="A550" s="37">
        <v>2021</v>
      </c>
      <c r="B550" s="35">
        <v>172093</v>
      </c>
      <c r="C550" s="34" t="s">
        <v>147</v>
      </c>
      <c r="D550" s="34" t="s">
        <v>136</v>
      </c>
      <c r="E550" s="17">
        <v>6</v>
      </c>
      <c r="F550" s="36">
        <f>IFERROR(E550/$AC550,0)</f>
        <v>3.1413612565445025E-2</v>
      </c>
      <c r="G550" s="17">
        <v>2</v>
      </c>
      <c r="H550" s="36">
        <f>IFERROR(G550/$AD550,0)</f>
        <v>2.3529411764705882E-2</v>
      </c>
      <c r="I550" s="17">
        <v>57</v>
      </c>
      <c r="J550" s="36">
        <f>IFERROR(I550/$AC550,0)</f>
        <v>0.29842931937172773</v>
      </c>
      <c r="K550" s="17">
        <v>26</v>
      </c>
      <c r="L550" s="36">
        <f>IFERROR(K550/$AD550,0)</f>
        <v>0.30588235294117649</v>
      </c>
      <c r="M550" s="17">
        <v>58</v>
      </c>
      <c r="N550" s="36">
        <f>IFERROR(M550/$AC550,0)</f>
        <v>0.30366492146596857</v>
      </c>
      <c r="O550" s="17">
        <v>29</v>
      </c>
      <c r="P550" s="36">
        <f>IFERROR(O550/$AD550,0)</f>
        <v>0.3411764705882353</v>
      </c>
      <c r="Q550" s="17">
        <v>42</v>
      </c>
      <c r="R550" s="36">
        <f>IFERROR(Q550/$AC550,0)</f>
        <v>0.21989528795811519</v>
      </c>
      <c r="S550" s="17">
        <v>14</v>
      </c>
      <c r="T550" s="36">
        <f>IFERROR(S550/$AD550,0)</f>
        <v>0.16470588235294117</v>
      </c>
      <c r="U550" s="17">
        <v>21</v>
      </c>
      <c r="V550" s="36">
        <f>IFERROR(U550/$AC550,0)</f>
        <v>0.1099476439790576</v>
      </c>
      <c r="W550" s="17">
        <v>10</v>
      </c>
      <c r="X550" s="36">
        <f>IFERROR(W550/$AD550,0)</f>
        <v>0.11764705882352941</v>
      </c>
      <c r="Y550" s="17">
        <v>7</v>
      </c>
      <c r="Z550" s="36">
        <f>IFERROR(Y550/$AC550,0)</f>
        <v>3.6649214659685861E-2</v>
      </c>
      <c r="AA550" s="17">
        <v>4</v>
      </c>
      <c r="AB550" s="36">
        <f>IFERROR(AA550/$AD550,0)</f>
        <v>4.7058823529411764E-2</v>
      </c>
      <c r="AC550" s="17">
        <v>191</v>
      </c>
      <c r="AD550" s="17">
        <v>85</v>
      </c>
    </row>
    <row r="551" spans="1:30" ht="15.75" customHeight="1" x14ac:dyDescent="0.25">
      <c r="A551" s="37">
        <v>2021</v>
      </c>
      <c r="B551" s="35">
        <v>172097</v>
      </c>
      <c r="C551" s="34" t="s">
        <v>146</v>
      </c>
      <c r="D551" s="34" t="s">
        <v>137</v>
      </c>
      <c r="E551" s="17">
        <v>3</v>
      </c>
      <c r="F551" s="36">
        <f>IFERROR(E551/$AC551,0)</f>
        <v>1.1583011583011582E-2</v>
      </c>
      <c r="G551" s="17">
        <v>3</v>
      </c>
      <c r="H551" s="36">
        <f>IFERROR(G551/$AD551,0)</f>
        <v>6.1224489795918366E-2</v>
      </c>
      <c r="I551" s="17">
        <v>66</v>
      </c>
      <c r="J551" s="36">
        <f>IFERROR(I551/$AC551,0)</f>
        <v>0.25482625482625482</v>
      </c>
      <c r="K551" s="17">
        <v>19</v>
      </c>
      <c r="L551" s="36">
        <f>IFERROR(K551/$AD551,0)</f>
        <v>0.38775510204081631</v>
      </c>
      <c r="M551" s="17">
        <v>80</v>
      </c>
      <c r="N551" s="36">
        <f>IFERROR(M551/$AC551,0)</f>
        <v>0.30888030888030887</v>
      </c>
      <c r="O551" s="17">
        <v>8</v>
      </c>
      <c r="P551" s="36">
        <f>IFERROR(O551/$AD551,0)</f>
        <v>0.16326530612244897</v>
      </c>
      <c r="Q551" s="17">
        <v>62</v>
      </c>
      <c r="R551" s="36">
        <f>IFERROR(Q551/$AC551,0)</f>
        <v>0.23938223938223938</v>
      </c>
      <c r="S551" s="17">
        <v>10</v>
      </c>
      <c r="T551" s="36">
        <f>IFERROR(S551/$AD551,0)</f>
        <v>0.20408163265306123</v>
      </c>
      <c r="U551" s="17">
        <v>31</v>
      </c>
      <c r="V551" s="36">
        <f>IFERROR(U551/$AC551,0)</f>
        <v>0.11969111969111969</v>
      </c>
      <c r="W551" s="17">
        <v>7</v>
      </c>
      <c r="X551" s="36">
        <f>IFERROR(W551/$AD551,0)</f>
        <v>0.14285714285714285</v>
      </c>
      <c r="Y551" s="17">
        <v>17</v>
      </c>
      <c r="Z551" s="36">
        <f>IFERROR(Y551/$AC551,0)</f>
        <v>6.5637065637065631E-2</v>
      </c>
      <c r="AA551" s="17">
        <v>2</v>
      </c>
      <c r="AB551" s="36">
        <f>IFERROR(AA551/$AD551,0)</f>
        <v>4.0816326530612242E-2</v>
      </c>
      <c r="AC551" s="17">
        <v>259</v>
      </c>
      <c r="AD551" s="17">
        <v>49</v>
      </c>
    </row>
    <row r="552" spans="1:30" ht="15.75" customHeight="1" x14ac:dyDescent="0.25">
      <c r="A552" s="37">
        <v>2021</v>
      </c>
      <c r="B552" s="35">
        <v>172110</v>
      </c>
      <c r="C552" s="34" t="s">
        <v>148</v>
      </c>
      <c r="D552" s="34" t="s">
        <v>138</v>
      </c>
      <c r="E552" s="17">
        <v>25</v>
      </c>
      <c r="F552" s="36">
        <f>IFERROR(E552/$AC552,0)</f>
        <v>2.4177949709864602E-2</v>
      </c>
      <c r="G552" s="17">
        <v>8</v>
      </c>
      <c r="H552" s="36">
        <f>IFERROR(G552/$AD552,0)</f>
        <v>2.15633423180593E-2</v>
      </c>
      <c r="I552" s="17">
        <v>307</v>
      </c>
      <c r="J552" s="36">
        <f>IFERROR(I552/$AC552,0)</f>
        <v>0.29690522243713735</v>
      </c>
      <c r="K552" s="17">
        <v>110</v>
      </c>
      <c r="L552" s="36">
        <f>IFERROR(K552/$AD552,0)</f>
        <v>0.29649595687331537</v>
      </c>
      <c r="M552" s="17">
        <v>370</v>
      </c>
      <c r="N552" s="36">
        <f>IFERROR(M552/$AC552,0)</f>
        <v>0.35783365570599612</v>
      </c>
      <c r="O552" s="17">
        <v>129</v>
      </c>
      <c r="P552" s="36">
        <f>IFERROR(O552/$AD552,0)</f>
        <v>0.34770889487870621</v>
      </c>
      <c r="Q552" s="17">
        <v>224</v>
      </c>
      <c r="R552" s="36">
        <f>IFERROR(Q552/$AC552,0)</f>
        <v>0.21663442940038685</v>
      </c>
      <c r="S552" s="17">
        <v>86</v>
      </c>
      <c r="T552" s="36">
        <f>IFERROR(S552/$AD552,0)</f>
        <v>0.23180592991913745</v>
      </c>
      <c r="U552" s="17">
        <v>84</v>
      </c>
      <c r="V552" s="36">
        <f>IFERROR(U552/$AC552,0)</f>
        <v>8.1237911025145063E-2</v>
      </c>
      <c r="W552" s="17">
        <v>30</v>
      </c>
      <c r="X552" s="36">
        <f>IFERROR(W552/$AD552,0)</f>
        <v>8.0862533692722366E-2</v>
      </c>
      <c r="Y552" s="17">
        <v>24</v>
      </c>
      <c r="Z552" s="36">
        <f>IFERROR(Y552/$AC552,0)</f>
        <v>2.321083172147002E-2</v>
      </c>
      <c r="AA552" s="17">
        <v>8</v>
      </c>
      <c r="AB552" s="36">
        <f>IFERROR(AA552/$AD552,0)</f>
        <v>2.15633423180593E-2</v>
      </c>
      <c r="AC552" s="16">
        <v>1034</v>
      </c>
      <c r="AD552" s="17">
        <v>371</v>
      </c>
    </row>
    <row r="553" spans="1:30" ht="15.75" customHeight="1" x14ac:dyDescent="0.25">
      <c r="A553" s="37">
        <v>2021</v>
      </c>
      <c r="B553" s="35">
        <v>172120</v>
      </c>
      <c r="C553" s="34" t="s">
        <v>145</v>
      </c>
      <c r="D553" s="34" t="s">
        <v>139</v>
      </c>
      <c r="E553" s="17">
        <v>97</v>
      </c>
      <c r="F553" s="36">
        <f>IFERROR(E553/$AC553,0)</f>
        <v>3.9608003266639442E-2</v>
      </c>
      <c r="G553" s="17">
        <v>52</v>
      </c>
      <c r="H553" s="36">
        <f>IFERROR(G553/$AD553,0)</f>
        <v>4.7186932849364795E-2</v>
      </c>
      <c r="I553" s="16">
        <v>1019</v>
      </c>
      <c r="J553" s="36">
        <f>IFERROR(I553/$AC553,0)</f>
        <v>0.41608819926500612</v>
      </c>
      <c r="K553" s="17">
        <v>539</v>
      </c>
      <c r="L553" s="36">
        <f>IFERROR(K553/$AD553,0)</f>
        <v>0.48911070780399274</v>
      </c>
      <c r="M553" s="17">
        <v>814</v>
      </c>
      <c r="N553" s="36">
        <f>IFERROR(M553/$AC553,0)</f>
        <v>0.3323805634953042</v>
      </c>
      <c r="O553" s="17">
        <v>336</v>
      </c>
      <c r="P553" s="36">
        <f>IFERROR(O553/$AD553,0)</f>
        <v>0.30490018148820325</v>
      </c>
      <c r="Q553" s="17">
        <v>352</v>
      </c>
      <c r="R553" s="36">
        <f>IFERROR(Q553/$AC553,0)</f>
        <v>0.14373213556553696</v>
      </c>
      <c r="S553" s="17">
        <v>112</v>
      </c>
      <c r="T553" s="36">
        <f>IFERROR(S553/$AD553,0)</f>
        <v>0.10163339382940109</v>
      </c>
      <c r="U553" s="17">
        <v>108</v>
      </c>
      <c r="V553" s="36">
        <f>IFERROR(U553/$AC553,0)</f>
        <v>4.4099632503062473E-2</v>
      </c>
      <c r="W553" s="17">
        <v>39</v>
      </c>
      <c r="X553" s="36">
        <f>IFERROR(W553/$AD553,0)</f>
        <v>3.5390199637023591E-2</v>
      </c>
      <c r="Y553" s="17">
        <v>59</v>
      </c>
      <c r="Z553" s="36">
        <f>IFERROR(Y553/$AC553,0)</f>
        <v>2.4091465904450795E-2</v>
      </c>
      <c r="AA553" s="17">
        <v>24</v>
      </c>
      <c r="AB553" s="36">
        <f>IFERROR(AA553/$AD553,0)</f>
        <v>2.1778584392014518E-2</v>
      </c>
      <c r="AC553" s="16">
        <v>2449</v>
      </c>
      <c r="AD553" s="16">
        <v>1102</v>
      </c>
    </row>
    <row r="554" spans="1:30" ht="15.75" customHeight="1" x14ac:dyDescent="0.25">
      <c r="A554" s="37">
        <v>2021</v>
      </c>
      <c r="B554" s="35">
        <v>172125</v>
      </c>
      <c r="C554" s="34" t="s">
        <v>150</v>
      </c>
      <c r="D554" s="34" t="s">
        <v>140</v>
      </c>
      <c r="E554" s="17">
        <v>3</v>
      </c>
      <c r="F554" s="36">
        <f>IFERROR(E554/$AC554,0)</f>
        <v>2.0134228187919462E-2</v>
      </c>
      <c r="G554" s="17">
        <v>2</v>
      </c>
      <c r="H554" s="36">
        <f>IFERROR(G554/$AD554,0)</f>
        <v>5.5555555555555552E-2</v>
      </c>
      <c r="I554" s="17">
        <v>54</v>
      </c>
      <c r="J554" s="36">
        <f>IFERROR(I554/$AC554,0)</f>
        <v>0.36241610738255031</v>
      </c>
      <c r="K554" s="17">
        <v>13</v>
      </c>
      <c r="L554" s="36">
        <f>IFERROR(K554/$AD554,0)</f>
        <v>0.3611111111111111</v>
      </c>
      <c r="M554" s="17">
        <v>46</v>
      </c>
      <c r="N554" s="36">
        <f>IFERROR(M554/$AC554,0)</f>
        <v>0.3087248322147651</v>
      </c>
      <c r="O554" s="17">
        <v>9</v>
      </c>
      <c r="P554" s="36">
        <f>IFERROR(O554/$AD554,0)</f>
        <v>0.25</v>
      </c>
      <c r="Q554" s="17">
        <v>33</v>
      </c>
      <c r="R554" s="36">
        <f>IFERROR(Q554/$AC554,0)</f>
        <v>0.22147651006711411</v>
      </c>
      <c r="S554" s="17">
        <v>7</v>
      </c>
      <c r="T554" s="36">
        <f>IFERROR(S554/$AD554,0)</f>
        <v>0.19444444444444445</v>
      </c>
      <c r="U554" s="17">
        <v>10</v>
      </c>
      <c r="V554" s="36">
        <f>IFERROR(U554/$AC554,0)</f>
        <v>6.7114093959731544E-2</v>
      </c>
      <c r="W554" s="17">
        <v>1</v>
      </c>
      <c r="X554" s="36">
        <f>IFERROR(W554/$AD554,0)</f>
        <v>2.7777777777777776E-2</v>
      </c>
      <c r="Y554" s="17">
        <v>3</v>
      </c>
      <c r="Z554" s="36">
        <f>IFERROR(Y554/$AC554,0)</f>
        <v>2.0134228187919462E-2</v>
      </c>
      <c r="AA554" s="17">
        <v>4</v>
      </c>
      <c r="AB554" s="36">
        <f>IFERROR(AA554/$AD554,0)</f>
        <v>0.1111111111111111</v>
      </c>
      <c r="AC554" s="17">
        <v>149</v>
      </c>
      <c r="AD554" s="17">
        <v>36</v>
      </c>
    </row>
    <row r="555" spans="1:30" ht="15.75" customHeight="1" x14ac:dyDescent="0.25">
      <c r="A555" s="37">
        <v>2021</v>
      </c>
      <c r="B555" s="35">
        <v>172130</v>
      </c>
      <c r="C555" s="34" t="s">
        <v>150</v>
      </c>
      <c r="D555" s="34" t="s">
        <v>141</v>
      </c>
      <c r="E555" s="17">
        <v>0</v>
      </c>
      <c r="F555" s="36">
        <f>IFERROR(E555/$AC555,0)</f>
        <v>0</v>
      </c>
      <c r="G555" s="17">
        <v>0</v>
      </c>
      <c r="H555" s="36">
        <f>IFERROR(G555/$AD555,0)</f>
        <v>0</v>
      </c>
      <c r="I555" s="17">
        <v>20</v>
      </c>
      <c r="J555" s="36">
        <f>IFERROR(I555/$AC555,0)</f>
        <v>0.31746031746031744</v>
      </c>
      <c r="K555" s="17">
        <v>2</v>
      </c>
      <c r="L555" s="36">
        <f>IFERROR(K555/$AD555,0)</f>
        <v>0.2</v>
      </c>
      <c r="M555" s="17">
        <v>25</v>
      </c>
      <c r="N555" s="36">
        <f>IFERROR(M555/$AC555,0)</f>
        <v>0.3968253968253968</v>
      </c>
      <c r="O555" s="17">
        <v>5</v>
      </c>
      <c r="P555" s="36">
        <f>IFERROR(O555/$AD555,0)</f>
        <v>0.5</v>
      </c>
      <c r="Q555" s="17">
        <v>13</v>
      </c>
      <c r="R555" s="36">
        <f>IFERROR(Q555/$AC555,0)</f>
        <v>0.20634920634920634</v>
      </c>
      <c r="S555" s="17">
        <v>2</v>
      </c>
      <c r="T555" s="36">
        <f>IFERROR(S555/$AD555,0)</f>
        <v>0.2</v>
      </c>
      <c r="U555" s="17">
        <v>4</v>
      </c>
      <c r="V555" s="36">
        <f>IFERROR(U555/$AC555,0)</f>
        <v>6.3492063492063489E-2</v>
      </c>
      <c r="W555" s="17">
        <v>1</v>
      </c>
      <c r="X555" s="36">
        <f>IFERROR(W555/$AD555,0)</f>
        <v>0.1</v>
      </c>
      <c r="Y555" s="17">
        <v>1</v>
      </c>
      <c r="Z555" s="36">
        <f>IFERROR(Y555/$AC555,0)</f>
        <v>1.5873015873015872E-2</v>
      </c>
      <c r="AA555" s="17">
        <v>0</v>
      </c>
      <c r="AB555" s="36">
        <f>IFERROR(AA555/$AD555,0)</f>
        <v>0</v>
      </c>
      <c r="AC555" s="17">
        <v>63</v>
      </c>
      <c r="AD555" s="17">
        <v>10</v>
      </c>
    </row>
    <row r="556" spans="1:30" ht="15.75" customHeight="1" x14ac:dyDescent="0.25">
      <c r="A556" s="37">
        <v>2021</v>
      </c>
      <c r="B556" s="35">
        <v>172208</v>
      </c>
      <c r="C556" s="34" t="s">
        <v>149</v>
      </c>
      <c r="D556" s="34" t="s">
        <v>142</v>
      </c>
      <c r="E556" s="17">
        <v>32</v>
      </c>
      <c r="F556" s="36">
        <f>IFERROR(E556/$AC556,0)</f>
        <v>2.4316109422492401E-2</v>
      </c>
      <c r="G556" s="17">
        <v>12</v>
      </c>
      <c r="H556" s="36">
        <f>IFERROR(G556/$AD556,0)</f>
        <v>3.3898305084745763E-2</v>
      </c>
      <c r="I556" s="17">
        <v>462</v>
      </c>
      <c r="J556" s="36">
        <f>IFERROR(I556/$AC556,0)</f>
        <v>0.35106382978723405</v>
      </c>
      <c r="K556" s="17">
        <v>135</v>
      </c>
      <c r="L556" s="36">
        <f>IFERROR(K556/$AD556,0)</f>
        <v>0.38135593220338981</v>
      </c>
      <c r="M556" s="17">
        <v>451</v>
      </c>
      <c r="N556" s="36">
        <f>IFERROR(M556/$AC556,0)</f>
        <v>0.34270516717325228</v>
      </c>
      <c r="O556" s="17">
        <v>116</v>
      </c>
      <c r="P556" s="36">
        <f>IFERROR(O556/$AD556,0)</f>
        <v>0.32768361581920902</v>
      </c>
      <c r="Q556" s="17">
        <v>248</v>
      </c>
      <c r="R556" s="36">
        <f>IFERROR(Q556/$AC556,0)</f>
        <v>0.18844984802431611</v>
      </c>
      <c r="S556" s="17">
        <v>59</v>
      </c>
      <c r="T556" s="36">
        <f>IFERROR(S556/$AD556,0)</f>
        <v>0.16666666666666666</v>
      </c>
      <c r="U556" s="17">
        <v>80</v>
      </c>
      <c r="V556" s="36">
        <f>IFERROR(U556/$AC556,0)</f>
        <v>6.0790273556231005E-2</v>
      </c>
      <c r="W556" s="17">
        <v>22</v>
      </c>
      <c r="X556" s="36">
        <f>IFERROR(W556/$AD556,0)</f>
        <v>6.2146892655367235E-2</v>
      </c>
      <c r="Y556" s="17">
        <v>43</v>
      </c>
      <c r="Z556" s="36">
        <f>IFERROR(Y556/$AC556,0)</f>
        <v>3.2674772036474162E-2</v>
      </c>
      <c r="AA556" s="17">
        <v>10</v>
      </c>
      <c r="AB556" s="36">
        <f>IFERROR(AA556/$AD556,0)</f>
        <v>2.8248587570621469E-2</v>
      </c>
      <c r="AC556" s="16">
        <v>1316</v>
      </c>
      <c r="AD556" s="17">
        <v>354</v>
      </c>
    </row>
    <row r="557" spans="1:30" ht="15.75" customHeight="1" x14ac:dyDescent="0.25">
      <c r="A557" s="37">
        <v>2021</v>
      </c>
      <c r="B557" s="35">
        <v>172210</v>
      </c>
      <c r="C557" s="34" t="s">
        <v>149</v>
      </c>
      <c r="D557" s="34" t="s">
        <v>143</v>
      </c>
      <c r="E557" s="17">
        <v>19</v>
      </c>
      <c r="F557" s="36">
        <f>IFERROR(E557/$AC557,0)</f>
        <v>2.0042194092827006E-2</v>
      </c>
      <c r="G557" s="17">
        <v>12</v>
      </c>
      <c r="H557" s="36">
        <f>IFERROR(G557/$AD557,0)</f>
        <v>2.5052192066805846E-2</v>
      </c>
      <c r="I557" s="17">
        <v>303</v>
      </c>
      <c r="J557" s="36">
        <f>IFERROR(I557/$AC557,0)</f>
        <v>0.31962025316455694</v>
      </c>
      <c r="K557" s="17">
        <v>153</v>
      </c>
      <c r="L557" s="36">
        <f>IFERROR(K557/$AD557,0)</f>
        <v>0.31941544885177453</v>
      </c>
      <c r="M557" s="17">
        <v>355</v>
      </c>
      <c r="N557" s="36">
        <f>IFERROR(M557/$AC557,0)</f>
        <v>0.37447257383966243</v>
      </c>
      <c r="O557" s="17">
        <v>169</v>
      </c>
      <c r="P557" s="36">
        <f>IFERROR(O557/$AD557,0)</f>
        <v>0.35281837160751567</v>
      </c>
      <c r="Q557" s="17">
        <v>180</v>
      </c>
      <c r="R557" s="36">
        <f>IFERROR(Q557/$AC557,0)</f>
        <v>0.189873417721519</v>
      </c>
      <c r="S557" s="17">
        <v>98</v>
      </c>
      <c r="T557" s="36">
        <f>IFERROR(S557/$AD557,0)</f>
        <v>0.20459290187891441</v>
      </c>
      <c r="U557" s="17">
        <v>54</v>
      </c>
      <c r="V557" s="36">
        <f>IFERROR(U557/$AC557,0)</f>
        <v>5.6962025316455694E-2</v>
      </c>
      <c r="W557" s="17">
        <v>26</v>
      </c>
      <c r="X557" s="36">
        <f>IFERROR(W557/$AD557,0)</f>
        <v>5.4279749478079335E-2</v>
      </c>
      <c r="Y557" s="17">
        <v>37</v>
      </c>
      <c r="Z557" s="36">
        <f>IFERROR(Y557/$AC557,0)</f>
        <v>3.9029535864978905E-2</v>
      </c>
      <c r="AA557" s="17">
        <v>21</v>
      </c>
      <c r="AB557" s="36">
        <f>IFERROR(AA557/$AD557,0)</f>
        <v>4.3841336116910233E-2</v>
      </c>
      <c r="AC557" s="17">
        <v>948</v>
      </c>
      <c r="AD557" s="17">
        <v>479</v>
      </c>
    </row>
    <row r="558" spans="1:30" ht="15.75" customHeight="1" x14ac:dyDescent="0.25">
      <c r="A558" s="37">
        <v>2020</v>
      </c>
      <c r="B558" s="35">
        <v>170025</v>
      </c>
      <c r="C558" s="34" t="s">
        <v>144</v>
      </c>
      <c r="D558" s="34" t="s">
        <v>5</v>
      </c>
      <c r="E558" s="17">
        <v>8</v>
      </c>
      <c r="F558" s="36">
        <f>IFERROR(E558/$AC558,0)</f>
        <v>1.8181818181818181E-2</v>
      </c>
      <c r="G558" s="17">
        <v>1</v>
      </c>
      <c r="H558" s="36">
        <f>IFERROR(G558/$AD558,0)</f>
        <v>1.6393442622950821E-2</v>
      </c>
      <c r="I558" s="17">
        <v>141</v>
      </c>
      <c r="J558" s="36">
        <f>IFERROR(I558/$AC558,0)</f>
        <v>0.32045454545454544</v>
      </c>
      <c r="K558" s="17">
        <v>19</v>
      </c>
      <c r="L558" s="36">
        <f>IFERROR(K558/$AD558,0)</f>
        <v>0.31147540983606559</v>
      </c>
      <c r="M558" s="17">
        <v>161</v>
      </c>
      <c r="N558" s="36">
        <f>IFERROR(M558/$AC558,0)</f>
        <v>0.36590909090909091</v>
      </c>
      <c r="O558" s="17">
        <v>23</v>
      </c>
      <c r="P558" s="36">
        <f>IFERROR(O558/$AD558,0)</f>
        <v>0.37704918032786883</v>
      </c>
      <c r="Q558" s="17">
        <v>86</v>
      </c>
      <c r="R558" s="36">
        <f>IFERROR(Q558/$AC558,0)</f>
        <v>0.19545454545454546</v>
      </c>
      <c r="S558" s="17">
        <v>10</v>
      </c>
      <c r="T558" s="36">
        <f>IFERROR(S558/$AD558,0)</f>
        <v>0.16393442622950818</v>
      </c>
      <c r="U558" s="17">
        <v>35</v>
      </c>
      <c r="V558" s="36">
        <f>IFERROR(U558/$AC558,0)</f>
        <v>7.9545454545454544E-2</v>
      </c>
      <c r="W558" s="17">
        <v>5</v>
      </c>
      <c r="X558" s="36">
        <f>IFERROR(W558/$AD558,0)</f>
        <v>8.1967213114754092E-2</v>
      </c>
      <c r="Y558" s="17">
        <v>9</v>
      </c>
      <c r="Z558" s="36">
        <f>IFERROR(Y558/$AC558,0)</f>
        <v>2.0454545454545454E-2</v>
      </c>
      <c r="AA558" s="17">
        <v>3</v>
      </c>
      <c r="AB558" s="36">
        <f>IFERROR(AA558/$AD558,0)</f>
        <v>4.9180327868852458E-2</v>
      </c>
      <c r="AC558" s="17">
        <v>440</v>
      </c>
      <c r="AD558" s="17">
        <v>61</v>
      </c>
    </row>
    <row r="559" spans="1:30" ht="15.75" customHeight="1" x14ac:dyDescent="0.25">
      <c r="A559" s="37">
        <v>2020</v>
      </c>
      <c r="B559" s="35">
        <v>170030</v>
      </c>
      <c r="C559" s="34" t="s">
        <v>145</v>
      </c>
      <c r="D559" s="34" t="s">
        <v>6</v>
      </c>
      <c r="E559" s="17">
        <v>2</v>
      </c>
      <c r="F559" s="36">
        <f>IFERROR(E559/$AC559,0)</f>
        <v>8.23045267489712E-3</v>
      </c>
      <c r="G559" s="17">
        <v>0</v>
      </c>
      <c r="H559" s="36">
        <f>IFERROR(G559/$AD559,0)</f>
        <v>0</v>
      </c>
      <c r="I559" s="17">
        <v>94</v>
      </c>
      <c r="J559" s="36">
        <f>IFERROR(I559/$AC559,0)</f>
        <v>0.38683127572016462</v>
      </c>
      <c r="K559" s="17">
        <v>12</v>
      </c>
      <c r="L559" s="36">
        <f>IFERROR(K559/$AD559,0)</f>
        <v>0.34285714285714286</v>
      </c>
      <c r="M559" s="17">
        <v>95</v>
      </c>
      <c r="N559" s="36">
        <f>IFERROR(M559/$AC559,0)</f>
        <v>0.39094650205761317</v>
      </c>
      <c r="O559" s="17">
        <v>12</v>
      </c>
      <c r="P559" s="36">
        <f>IFERROR(O559/$AD559,0)</f>
        <v>0.34285714285714286</v>
      </c>
      <c r="Q559" s="17">
        <v>34</v>
      </c>
      <c r="R559" s="36">
        <f>IFERROR(Q559/$AC559,0)</f>
        <v>0.13991769547325103</v>
      </c>
      <c r="S559" s="17">
        <v>6</v>
      </c>
      <c r="T559" s="36">
        <f>IFERROR(S559/$AD559,0)</f>
        <v>0.17142857142857143</v>
      </c>
      <c r="U559" s="17">
        <v>14</v>
      </c>
      <c r="V559" s="36">
        <f>IFERROR(U559/$AC559,0)</f>
        <v>5.7613168724279837E-2</v>
      </c>
      <c r="W559" s="17">
        <v>4</v>
      </c>
      <c r="X559" s="36">
        <f>IFERROR(W559/$AD559,0)</f>
        <v>0.11428571428571428</v>
      </c>
      <c r="Y559" s="17">
        <v>4</v>
      </c>
      <c r="Z559" s="36">
        <f>IFERROR(Y559/$AC559,0)</f>
        <v>1.646090534979424E-2</v>
      </c>
      <c r="AA559" s="17">
        <v>1</v>
      </c>
      <c r="AB559" s="36">
        <f>IFERROR(AA559/$AD559,0)</f>
        <v>2.8571428571428571E-2</v>
      </c>
      <c r="AC559" s="17">
        <v>243</v>
      </c>
      <c r="AD559" s="17">
        <v>35</v>
      </c>
    </row>
    <row r="560" spans="1:30" ht="15.75" customHeight="1" x14ac:dyDescent="0.25">
      <c r="A560" s="37">
        <v>2020</v>
      </c>
      <c r="B560" s="35">
        <v>170035</v>
      </c>
      <c r="C560" s="34" t="s">
        <v>146</v>
      </c>
      <c r="D560" s="34" t="s">
        <v>7</v>
      </c>
      <c r="E560" s="17">
        <v>10</v>
      </c>
      <c r="F560" s="36">
        <f>IFERROR(E560/$AC560,0)</f>
        <v>3.4602076124567477E-2</v>
      </c>
      <c r="G560" s="17">
        <v>3</v>
      </c>
      <c r="H560" s="36">
        <f>IFERROR(G560/$AD560,0)</f>
        <v>3.1578947368421054E-2</v>
      </c>
      <c r="I560" s="17">
        <v>83</v>
      </c>
      <c r="J560" s="36">
        <f>IFERROR(I560/$AC560,0)</f>
        <v>0.28719723183391005</v>
      </c>
      <c r="K560" s="17">
        <v>30</v>
      </c>
      <c r="L560" s="36">
        <f>IFERROR(K560/$AD560,0)</f>
        <v>0.31578947368421051</v>
      </c>
      <c r="M560" s="17">
        <v>104</v>
      </c>
      <c r="N560" s="36">
        <f>IFERROR(M560/$AC560,0)</f>
        <v>0.35986159169550175</v>
      </c>
      <c r="O560" s="17">
        <v>37</v>
      </c>
      <c r="P560" s="36">
        <f>IFERROR(O560/$AD560,0)</f>
        <v>0.38947368421052631</v>
      </c>
      <c r="Q560" s="17">
        <v>63</v>
      </c>
      <c r="R560" s="36">
        <f>IFERROR(Q560/$AC560,0)</f>
        <v>0.2179930795847751</v>
      </c>
      <c r="S560" s="17">
        <v>18</v>
      </c>
      <c r="T560" s="36">
        <f>IFERROR(S560/$AD560,0)</f>
        <v>0.18947368421052632</v>
      </c>
      <c r="U560" s="17">
        <v>23</v>
      </c>
      <c r="V560" s="36">
        <f>IFERROR(U560/$AC560,0)</f>
        <v>7.9584775086505188E-2</v>
      </c>
      <c r="W560" s="17">
        <v>5</v>
      </c>
      <c r="X560" s="36">
        <f>IFERROR(W560/$AD560,0)</f>
        <v>5.2631578947368418E-2</v>
      </c>
      <c r="Y560" s="17">
        <v>6</v>
      </c>
      <c r="Z560" s="36">
        <f>IFERROR(Y560/$AC560,0)</f>
        <v>2.0761245674740483E-2</v>
      </c>
      <c r="AA560" s="17">
        <v>2</v>
      </c>
      <c r="AB560" s="36">
        <f>IFERROR(AA560/$AD560,0)</f>
        <v>2.1052631578947368E-2</v>
      </c>
      <c r="AC560" s="17">
        <v>289</v>
      </c>
      <c r="AD560" s="17">
        <v>95</v>
      </c>
    </row>
    <row r="561" spans="1:30" ht="15.75" customHeight="1" x14ac:dyDescent="0.25">
      <c r="A561" s="37">
        <v>2020</v>
      </c>
      <c r="B561" s="35">
        <v>170040</v>
      </c>
      <c r="C561" s="34" t="s">
        <v>147</v>
      </c>
      <c r="D561" s="34" t="s">
        <v>8</v>
      </c>
      <c r="E561" s="17">
        <v>2</v>
      </c>
      <c r="F561" s="36">
        <f>IFERROR(E561/$AC561,0)</f>
        <v>1.282051282051282E-2</v>
      </c>
      <c r="G561" s="17">
        <v>0</v>
      </c>
      <c r="H561" s="36">
        <f>IFERROR(G561/$AD561,0)</f>
        <v>0</v>
      </c>
      <c r="I561" s="17">
        <v>57</v>
      </c>
      <c r="J561" s="36">
        <f>IFERROR(I561/$AC561,0)</f>
        <v>0.36538461538461536</v>
      </c>
      <c r="K561" s="17">
        <v>32</v>
      </c>
      <c r="L561" s="36">
        <f>IFERROR(K561/$AD561,0)</f>
        <v>0.3595505617977528</v>
      </c>
      <c r="M561" s="17">
        <v>54</v>
      </c>
      <c r="N561" s="36">
        <f>IFERROR(M561/$AC561,0)</f>
        <v>0.34615384615384615</v>
      </c>
      <c r="O561" s="17">
        <v>29</v>
      </c>
      <c r="P561" s="36">
        <f>IFERROR(O561/$AD561,0)</f>
        <v>0.3258426966292135</v>
      </c>
      <c r="Q561" s="17">
        <v>30</v>
      </c>
      <c r="R561" s="36">
        <f>IFERROR(Q561/$AC561,0)</f>
        <v>0.19230769230769232</v>
      </c>
      <c r="S561" s="17">
        <v>20</v>
      </c>
      <c r="T561" s="36">
        <f>IFERROR(S561/$AD561,0)</f>
        <v>0.2247191011235955</v>
      </c>
      <c r="U561" s="17">
        <v>8</v>
      </c>
      <c r="V561" s="36">
        <f>IFERROR(U561/$AC561,0)</f>
        <v>5.128205128205128E-2</v>
      </c>
      <c r="W561" s="17">
        <v>6</v>
      </c>
      <c r="X561" s="36">
        <f>IFERROR(W561/$AD561,0)</f>
        <v>6.741573033707865E-2</v>
      </c>
      <c r="Y561" s="17">
        <v>5</v>
      </c>
      <c r="Z561" s="36">
        <f>IFERROR(Y561/$AC561,0)</f>
        <v>3.2051282051282048E-2</v>
      </c>
      <c r="AA561" s="17">
        <v>2</v>
      </c>
      <c r="AB561" s="36">
        <f>IFERROR(AA561/$AD561,0)</f>
        <v>2.247191011235955E-2</v>
      </c>
      <c r="AC561" s="17">
        <v>156</v>
      </c>
      <c r="AD561" s="17">
        <v>89</v>
      </c>
    </row>
    <row r="562" spans="1:30" ht="15.75" customHeight="1" x14ac:dyDescent="0.25">
      <c r="A562" s="37">
        <v>2020</v>
      </c>
      <c r="B562" s="35">
        <v>170070</v>
      </c>
      <c r="C562" s="34" t="s">
        <v>146</v>
      </c>
      <c r="D562" s="34" t="s">
        <v>9</v>
      </c>
      <c r="E562" s="17">
        <v>5</v>
      </c>
      <c r="F562" s="36">
        <f>IFERROR(E562/$AC562,0)</f>
        <v>1.0570824524312896E-2</v>
      </c>
      <c r="G562" s="17">
        <v>1</v>
      </c>
      <c r="H562" s="36">
        <f>IFERROR(G562/$AD562,0)</f>
        <v>2.1276595744680851E-2</v>
      </c>
      <c r="I562" s="17">
        <v>143</v>
      </c>
      <c r="J562" s="36">
        <f>IFERROR(I562/$AC562,0)</f>
        <v>0.30232558139534882</v>
      </c>
      <c r="K562" s="17">
        <v>19</v>
      </c>
      <c r="L562" s="36">
        <f>IFERROR(K562/$AD562,0)</f>
        <v>0.40425531914893614</v>
      </c>
      <c r="M562" s="17">
        <v>172</v>
      </c>
      <c r="N562" s="36">
        <f>IFERROR(M562/$AC562,0)</f>
        <v>0.36363636363636365</v>
      </c>
      <c r="O562" s="17">
        <v>18</v>
      </c>
      <c r="P562" s="36">
        <f>IFERROR(O562/$AD562,0)</f>
        <v>0.38297872340425532</v>
      </c>
      <c r="Q562" s="17">
        <v>109</v>
      </c>
      <c r="R562" s="36">
        <f>IFERROR(Q562/$AC562,0)</f>
        <v>0.23044397463002114</v>
      </c>
      <c r="S562" s="17">
        <v>8</v>
      </c>
      <c r="T562" s="36">
        <f>IFERROR(S562/$AD562,0)</f>
        <v>0.1702127659574468</v>
      </c>
      <c r="U562" s="17">
        <v>32</v>
      </c>
      <c r="V562" s="36">
        <f>IFERROR(U562/$AC562,0)</f>
        <v>6.765327695560254E-2</v>
      </c>
      <c r="W562" s="17">
        <v>1</v>
      </c>
      <c r="X562" s="36">
        <f>IFERROR(W562/$AD562,0)</f>
        <v>2.1276595744680851E-2</v>
      </c>
      <c r="Y562" s="17">
        <v>12</v>
      </c>
      <c r="Z562" s="36">
        <f>IFERROR(Y562/$AC562,0)</f>
        <v>2.5369978858350951E-2</v>
      </c>
      <c r="AA562" s="17">
        <v>0</v>
      </c>
      <c r="AB562" s="36">
        <f>IFERROR(AA562/$AD562,0)</f>
        <v>0</v>
      </c>
      <c r="AC562" s="17">
        <v>473</v>
      </c>
      <c r="AD562" s="17">
        <v>47</v>
      </c>
    </row>
    <row r="563" spans="1:30" ht="15.75" customHeight="1" x14ac:dyDescent="0.25">
      <c r="A563" s="37">
        <v>2020</v>
      </c>
      <c r="B563" s="35">
        <v>170100</v>
      </c>
      <c r="C563" s="34" t="s">
        <v>145</v>
      </c>
      <c r="D563" s="34" t="s">
        <v>10</v>
      </c>
      <c r="E563" s="17">
        <v>23</v>
      </c>
      <c r="F563" s="36">
        <f>IFERROR(E563/$AC563,0)</f>
        <v>2.2286821705426358E-2</v>
      </c>
      <c r="G563" s="17">
        <v>2</v>
      </c>
      <c r="H563" s="36">
        <f>IFERROR(G563/$AD563,0)</f>
        <v>1.2903225806451613E-2</v>
      </c>
      <c r="I563" s="17">
        <v>309</v>
      </c>
      <c r="J563" s="36">
        <f>IFERROR(I563/$AC563,0)</f>
        <v>0.29941860465116277</v>
      </c>
      <c r="K563" s="17">
        <v>46</v>
      </c>
      <c r="L563" s="36">
        <f>IFERROR(K563/$AD563,0)</f>
        <v>0.29677419354838708</v>
      </c>
      <c r="M563" s="17">
        <v>358</v>
      </c>
      <c r="N563" s="36">
        <f>IFERROR(M563/$AC563,0)</f>
        <v>0.34689922480620156</v>
      </c>
      <c r="O563" s="17">
        <v>46</v>
      </c>
      <c r="P563" s="36">
        <f>IFERROR(O563/$AD563,0)</f>
        <v>0.29677419354838708</v>
      </c>
      <c r="Q563" s="17">
        <v>208</v>
      </c>
      <c r="R563" s="36">
        <f>IFERROR(Q563/$AC563,0)</f>
        <v>0.20155038759689922</v>
      </c>
      <c r="S563" s="17">
        <v>30</v>
      </c>
      <c r="T563" s="36">
        <f>IFERROR(S563/$AD563,0)</f>
        <v>0.19354838709677419</v>
      </c>
      <c r="U563" s="17">
        <v>96</v>
      </c>
      <c r="V563" s="36">
        <f>IFERROR(U563/$AC563,0)</f>
        <v>9.3023255813953487E-2</v>
      </c>
      <c r="W563" s="17">
        <v>24</v>
      </c>
      <c r="X563" s="36">
        <f>IFERROR(W563/$AD563,0)</f>
        <v>0.15483870967741936</v>
      </c>
      <c r="Y563" s="17">
        <v>38</v>
      </c>
      <c r="Z563" s="36">
        <f>IFERROR(Y563/$AC563,0)</f>
        <v>3.6821705426356592E-2</v>
      </c>
      <c r="AA563" s="17">
        <v>7</v>
      </c>
      <c r="AB563" s="36">
        <f>IFERROR(AA563/$AD563,0)</f>
        <v>4.5161290322580643E-2</v>
      </c>
      <c r="AC563" s="16">
        <v>1032</v>
      </c>
      <c r="AD563" s="17">
        <v>155</v>
      </c>
    </row>
    <row r="564" spans="1:30" ht="15.75" customHeight="1" x14ac:dyDescent="0.25">
      <c r="A564" s="37">
        <v>2020</v>
      </c>
      <c r="B564" s="35">
        <v>170105</v>
      </c>
      <c r="C564" s="34" t="s">
        <v>145</v>
      </c>
      <c r="D564" s="34" t="s">
        <v>11</v>
      </c>
      <c r="E564" s="17">
        <v>7</v>
      </c>
      <c r="F564" s="36">
        <f>IFERROR(E564/$AC564,0)</f>
        <v>1.4112903225806451E-2</v>
      </c>
      <c r="G564" s="17">
        <v>1</v>
      </c>
      <c r="H564" s="36">
        <f>IFERROR(G564/$AD564,0)</f>
        <v>8.1967213114754103E-3</v>
      </c>
      <c r="I564" s="17">
        <v>181</v>
      </c>
      <c r="J564" s="36">
        <f>IFERROR(I564/$AC564,0)</f>
        <v>0.36491935483870969</v>
      </c>
      <c r="K564" s="17">
        <v>52</v>
      </c>
      <c r="L564" s="36">
        <f>IFERROR(K564/$AD564,0)</f>
        <v>0.42622950819672129</v>
      </c>
      <c r="M564" s="17">
        <v>177</v>
      </c>
      <c r="N564" s="36">
        <f>IFERROR(M564/$AC564,0)</f>
        <v>0.35685483870967744</v>
      </c>
      <c r="O564" s="17">
        <v>42</v>
      </c>
      <c r="P564" s="36">
        <f>IFERROR(O564/$AD564,0)</f>
        <v>0.34426229508196721</v>
      </c>
      <c r="Q564" s="17">
        <v>88</v>
      </c>
      <c r="R564" s="36">
        <f>IFERROR(Q564/$AC564,0)</f>
        <v>0.17741935483870969</v>
      </c>
      <c r="S564" s="17">
        <v>17</v>
      </c>
      <c r="T564" s="36">
        <f>IFERROR(S564/$AD564,0)</f>
        <v>0.13934426229508196</v>
      </c>
      <c r="U564" s="17">
        <v>30</v>
      </c>
      <c r="V564" s="36">
        <f>IFERROR(U564/$AC564,0)</f>
        <v>6.0483870967741937E-2</v>
      </c>
      <c r="W564" s="17">
        <v>4</v>
      </c>
      <c r="X564" s="36">
        <f>IFERROR(W564/$AD564,0)</f>
        <v>3.2786885245901641E-2</v>
      </c>
      <c r="Y564" s="17">
        <v>13</v>
      </c>
      <c r="Z564" s="36">
        <f>IFERROR(Y564/$AC564,0)</f>
        <v>2.620967741935484E-2</v>
      </c>
      <c r="AA564" s="17">
        <v>6</v>
      </c>
      <c r="AB564" s="36">
        <f>IFERROR(AA564/$AD564,0)</f>
        <v>4.9180327868852458E-2</v>
      </c>
      <c r="AC564" s="17">
        <v>496</v>
      </c>
      <c r="AD564" s="17">
        <v>122</v>
      </c>
    </row>
    <row r="565" spans="1:30" ht="15.75" customHeight="1" x14ac:dyDescent="0.25">
      <c r="A565" s="37">
        <v>2020</v>
      </c>
      <c r="B565" s="35">
        <v>170110</v>
      </c>
      <c r="C565" s="34" t="s">
        <v>148</v>
      </c>
      <c r="D565" s="34" t="s">
        <v>12</v>
      </c>
      <c r="E565" s="17">
        <v>16</v>
      </c>
      <c r="F565" s="36">
        <f>IFERROR(E565/$AC565,0)</f>
        <v>1.5311004784688996E-2</v>
      </c>
      <c r="G565" s="17">
        <v>6</v>
      </c>
      <c r="H565" s="36">
        <f>IFERROR(G565/$AD565,0)</f>
        <v>3.1914893617021274E-2</v>
      </c>
      <c r="I565" s="17">
        <v>383</v>
      </c>
      <c r="J565" s="36">
        <f>IFERROR(I565/$AC565,0)</f>
        <v>0.36650717703349284</v>
      </c>
      <c r="K565" s="17">
        <v>66</v>
      </c>
      <c r="L565" s="36">
        <f>IFERROR(K565/$AD565,0)</f>
        <v>0.35106382978723405</v>
      </c>
      <c r="M565" s="17">
        <v>366</v>
      </c>
      <c r="N565" s="36">
        <f>IFERROR(M565/$AC565,0)</f>
        <v>0.35023923444976074</v>
      </c>
      <c r="O565" s="17">
        <v>61</v>
      </c>
      <c r="P565" s="36">
        <f>IFERROR(O565/$AD565,0)</f>
        <v>0.32446808510638298</v>
      </c>
      <c r="Q565" s="17">
        <v>161</v>
      </c>
      <c r="R565" s="36">
        <f>IFERROR(Q565/$AC565,0)</f>
        <v>0.15406698564593302</v>
      </c>
      <c r="S565" s="17">
        <v>30</v>
      </c>
      <c r="T565" s="36">
        <f>IFERROR(S565/$AD565,0)</f>
        <v>0.15957446808510639</v>
      </c>
      <c r="U565" s="17">
        <v>80</v>
      </c>
      <c r="V565" s="36">
        <f>IFERROR(U565/$AC565,0)</f>
        <v>7.6555023923444973E-2</v>
      </c>
      <c r="W565" s="17">
        <v>17</v>
      </c>
      <c r="X565" s="36">
        <f>IFERROR(W565/$AD565,0)</f>
        <v>9.0425531914893623E-2</v>
      </c>
      <c r="Y565" s="17">
        <v>39</v>
      </c>
      <c r="Z565" s="36">
        <f>IFERROR(Y565/$AC565,0)</f>
        <v>3.7320574162679428E-2</v>
      </c>
      <c r="AA565" s="17">
        <v>8</v>
      </c>
      <c r="AB565" s="36">
        <f>IFERROR(AA565/$AD565,0)</f>
        <v>4.2553191489361701E-2</v>
      </c>
      <c r="AC565" s="16">
        <v>1045</v>
      </c>
      <c r="AD565" s="17">
        <v>188</v>
      </c>
    </row>
    <row r="566" spans="1:30" ht="15.75" customHeight="1" x14ac:dyDescent="0.25">
      <c r="A566" s="37">
        <v>2020</v>
      </c>
      <c r="B566" s="35">
        <v>170130</v>
      </c>
      <c r="C566" s="34" t="s">
        <v>149</v>
      </c>
      <c r="D566" s="34" t="s">
        <v>13</v>
      </c>
      <c r="E566" s="17">
        <v>8</v>
      </c>
      <c r="F566" s="36">
        <f>IFERROR(E566/$AC566,0)</f>
        <v>1.1611030478955007E-2</v>
      </c>
      <c r="G566" s="17">
        <v>3</v>
      </c>
      <c r="H566" s="36">
        <f>IFERROR(G566/$AD566,0)</f>
        <v>1.7751479289940829E-2</v>
      </c>
      <c r="I566" s="17">
        <v>244</v>
      </c>
      <c r="J566" s="36">
        <f>IFERROR(I566/$AC566,0)</f>
        <v>0.35413642960812775</v>
      </c>
      <c r="K566" s="17">
        <v>77</v>
      </c>
      <c r="L566" s="36">
        <f>IFERROR(K566/$AD566,0)</f>
        <v>0.45562130177514792</v>
      </c>
      <c r="M566" s="17">
        <v>253</v>
      </c>
      <c r="N566" s="36">
        <f>IFERROR(M566/$AC566,0)</f>
        <v>0.3671988388969521</v>
      </c>
      <c r="O566" s="17">
        <v>57</v>
      </c>
      <c r="P566" s="36">
        <f>IFERROR(O566/$AD566,0)</f>
        <v>0.33727810650887574</v>
      </c>
      <c r="Q566" s="17">
        <v>112</v>
      </c>
      <c r="R566" s="36">
        <f>IFERROR(Q566/$AC566,0)</f>
        <v>0.1625544267053701</v>
      </c>
      <c r="S566" s="17">
        <v>18</v>
      </c>
      <c r="T566" s="36">
        <f>IFERROR(S566/$AD566,0)</f>
        <v>0.10650887573964497</v>
      </c>
      <c r="U566" s="17">
        <v>55</v>
      </c>
      <c r="V566" s="36">
        <f>IFERROR(U566/$AC566,0)</f>
        <v>7.982583454281568E-2</v>
      </c>
      <c r="W566" s="17">
        <v>9</v>
      </c>
      <c r="X566" s="36">
        <f>IFERROR(W566/$AD566,0)</f>
        <v>5.3254437869822487E-2</v>
      </c>
      <c r="Y566" s="17">
        <v>17</v>
      </c>
      <c r="Z566" s="36">
        <f>IFERROR(Y566/$AC566,0)</f>
        <v>2.4673439767779391E-2</v>
      </c>
      <c r="AA566" s="17">
        <v>5</v>
      </c>
      <c r="AB566" s="36">
        <f>IFERROR(AA566/$AD566,0)</f>
        <v>2.9585798816568046E-2</v>
      </c>
      <c r="AC566" s="17">
        <v>689</v>
      </c>
      <c r="AD566" s="17">
        <v>169</v>
      </c>
    </row>
    <row r="567" spans="1:30" ht="15.75" customHeight="1" x14ac:dyDescent="0.25">
      <c r="A567" s="37">
        <v>2020</v>
      </c>
      <c r="B567" s="35">
        <v>170190</v>
      </c>
      <c r="C567" s="34" t="s">
        <v>144</v>
      </c>
      <c r="D567" s="34" t="s">
        <v>14</v>
      </c>
      <c r="E567" s="17">
        <v>6</v>
      </c>
      <c r="F567" s="36">
        <f>IFERROR(E567/$AC567,0)</f>
        <v>1.4925373134328358E-2</v>
      </c>
      <c r="G567" s="17">
        <v>3</v>
      </c>
      <c r="H567" s="36">
        <f>IFERROR(G567/$AD567,0)</f>
        <v>1.3574660633484163E-2</v>
      </c>
      <c r="I567" s="17">
        <v>119</v>
      </c>
      <c r="J567" s="36">
        <f>IFERROR(I567/$AC567,0)</f>
        <v>0.29601990049751242</v>
      </c>
      <c r="K567" s="17">
        <v>70</v>
      </c>
      <c r="L567" s="36">
        <f>IFERROR(K567/$AD567,0)</f>
        <v>0.31674208144796379</v>
      </c>
      <c r="M567" s="17">
        <v>137</v>
      </c>
      <c r="N567" s="36">
        <f>IFERROR(M567/$AC567,0)</f>
        <v>0.34079601990049752</v>
      </c>
      <c r="O567" s="17">
        <v>68</v>
      </c>
      <c r="P567" s="36">
        <f>IFERROR(O567/$AD567,0)</f>
        <v>0.30769230769230771</v>
      </c>
      <c r="Q567" s="17">
        <v>88</v>
      </c>
      <c r="R567" s="36">
        <f>IFERROR(Q567/$AC567,0)</f>
        <v>0.21890547263681592</v>
      </c>
      <c r="S567" s="17">
        <v>49</v>
      </c>
      <c r="T567" s="36">
        <f>IFERROR(S567/$AD567,0)</f>
        <v>0.22171945701357465</v>
      </c>
      <c r="U567" s="17">
        <v>30</v>
      </c>
      <c r="V567" s="36">
        <f>IFERROR(U567/$AC567,0)</f>
        <v>7.4626865671641784E-2</v>
      </c>
      <c r="W567" s="17">
        <v>19</v>
      </c>
      <c r="X567" s="36">
        <f>IFERROR(W567/$AD567,0)</f>
        <v>8.5972850678733032E-2</v>
      </c>
      <c r="Y567" s="17">
        <v>22</v>
      </c>
      <c r="Z567" s="36">
        <f>IFERROR(Y567/$AC567,0)</f>
        <v>5.4726368159203981E-2</v>
      </c>
      <c r="AA567" s="17">
        <v>12</v>
      </c>
      <c r="AB567" s="36">
        <f>IFERROR(AA567/$AD567,0)</f>
        <v>5.4298642533936653E-2</v>
      </c>
      <c r="AC567" s="17">
        <v>402</v>
      </c>
      <c r="AD567" s="17">
        <v>221</v>
      </c>
    </row>
    <row r="568" spans="1:30" ht="15.75" customHeight="1" x14ac:dyDescent="0.25">
      <c r="A568" s="37">
        <v>2020</v>
      </c>
      <c r="B568" s="35">
        <v>170200</v>
      </c>
      <c r="C568" s="34" t="s">
        <v>146</v>
      </c>
      <c r="D568" s="34" t="s">
        <v>15</v>
      </c>
      <c r="E568" s="17">
        <v>21</v>
      </c>
      <c r="F568" s="36">
        <f>IFERROR(E568/$AC568,0)</f>
        <v>1.6042780748663103E-2</v>
      </c>
      <c r="G568" s="17">
        <v>2</v>
      </c>
      <c r="H568" s="36">
        <f>IFERROR(G568/$AD568,0)</f>
        <v>1.2500000000000001E-2</v>
      </c>
      <c r="I568" s="17">
        <v>406</v>
      </c>
      <c r="J568" s="36">
        <f>IFERROR(I568/$AC568,0)</f>
        <v>0.31016042780748665</v>
      </c>
      <c r="K568" s="17">
        <v>46</v>
      </c>
      <c r="L568" s="36">
        <f>IFERROR(K568/$AD568,0)</f>
        <v>0.28749999999999998</v>
      </c>
      <c r="M568" s="17">
        <v>438</v>
      </c>
      <c r="N568" s="36">
        <f>IFERROR(M568/$AC568,0)</f>
        <v>0.33460656990068754</v>
      </c>
      <c r="O568" s="17">
        <v>47</v>
      </c>
      <c r="P568" s="36">
        <f>IFERROR(O568/$AD568,0)</f>
        <v>0.29375000000000001</v>
      </c>
      <c r="Q568" s="17">
        <v>279</v>
      </c>
      <c r="R568" s="36">
        <f>IFERROR(Q568/$AC568,0)</f>
        <v>0.2131398013750955</v>
      </c>
      <c r="S568" s="17">
        <v>35</v>
      </c>
      <c r="T568" s="36">
        <f>IFERROR(S568/$AD568,0)</f>
        <v>0.21875</v>
      </c>
      <c r="U568" s="17">
        <v>106</v>
      </c>
      <c r="V568" s="36">
        <f>IFERROR(U568/$AC568,0)</f>
        <v>8.0977845683728039E-2</v>
      </c>
      <c r="W568" s="17">
        <v>21</v>
      </c>
      <c r="X568" s="36">
        <f>IFERROR(W568/$AD568,0)</f>
        <v>0.13125000000000001</v>
      </c>
      <c r="Y568" s="17">
        <v>59</v>
      </c>
      <c r="Z568" s="36">
        <f>IFERROR(Y568/$AC568,0)</f>
        <v>4.5072574484339191E-2</v>
      </c>
      <c r="AA568" s="17">
        <v>9</v>
      </c>
      <c r="AB568" s="36">
        <f>IFERROR(AA568/$AD568,0)</f>
        <v>5.6250000000000001E-2</v>
      </c>
      <c r="AC568" s="16">
        <v>1309</v>
      </c>
      <c r="AD568" s="17">
        <v>160</v>
      </c>
    </row>
    <row r="569" spans="1:30" ht="15.75" customHeight="1" x14ac:dyDescent="0.25">
      <c r="A569" s="37">
        <v>2020</v>
      </c>
      <c r="B569" s="35">
        <v>170210</v>
      </c>
      <c r="C569" s="34" t="s">
        <v>149</v>
      </c>
      <c r="D569" s="34" t="s">
        <v>16</v>
      </c>
      <c r="E569" s="17">
        <v>215</v>
      </c>
      <c r="F569" s="36">
        <f>IFERROR(E569/$AC569,0)</f>
        <v>2.4991282110891549E-2</v>
      </c>
      <c r="G569" s="17">
        <v>34</v>
      </c>
      <c r="H569" s="36">
        <f>IFERROR(G569/$AD569,0)</f>
        <v>2.533532041728763E-2</v>
      </c>
      <c r="I569" s="16">
        <v>2787</v>
      </c>
      <c r="J569" s="36">
        <f>IFERROR(I569/$AC569,0)</f>
        <v>0.3239567592700221</v>
      </c>
      <c r="K569" s="17">
        <v>443</v>
      </c>
      <c r="L569" s="36">
        <f>IFERROR(K569/$AD569,0)</f>
        <v>0.33010432190760058</v>
      </c>
      <c r="M569" s="16">
        <v>3152</v>
      </c>
      <c r="N569" s="36">
        <f>IFERROR(M569/$AC569,0)</f>
        <v>0.36638381959781474</v>
      </c>
      <c r="O569" s="17">
        <v>519</v>
      </c>
      <c r="P569" s="36">
        <f>IFERROR(O569/$AD569,0)</f>
        <v>0.38673621460506707</v>
      </c>
      <c r="Q569" s="16">
        <v>1661</v>
      </c>
      <c r="R569" s="36">
        <f>IFERROR(Q569/$AC569,0)</f>
        <v>0.19307218412181798</v>
      </c>
      <c r="S569" s="17">
        <v>229</v>
      </c>
      <c r="T569" s="36">
        <f>IFERROR(S569/$AD569,0)</f>
        <v>0.1706408345752608</v>
      </c>
      <c r="U569" s="17">
        <v>557</v>
      </c>
      <c r="V569" s="36">
        <f>IFERROR(U569/$AC569,0)</f>
        <v>6.4744856445426019E-2</v>
      </c>
      <c r="W569" s="17">
        <v>76</v>
      </c>
      <c r="X569" s="36">
        <f>IFERROR(W569/$AD569,0)</f>
        <v>5.663189269746647E-2</v>
      </c>
      <c r="Y569" s="17">
        <v>231</v>
      </c>
      <c r="Z569" s="36">
        <f>IFERROR(Y569/$AC569,0)</f>
        <v>2.6851098454027666E-2</v>
      </c>
      <c r="AA569" s="17">
        <v>41</v>
      </c>
      <c r="AB569" s="36">
        <f>IFERROR(AA569/$AD569,0)</f>
        <v>3.0551415797317436E-2</v>
      </c>
      <c r="AC569" s="16">
        <v>8603</v>
      </c>
      <c r="AD569" s="16">
        <v>1342</v>
      </c>
    </row>
    <row r="570" spans="1:30" ht="15.75" customHeight="1" x14ac:dyDescent="0.25">
      <c r="A570" s="37">
        <v>2020</v>
      </c>
      <c r="B570" s="35">
        <v>170215</v>
      </c>
      <c r="C570" s="34" t="s">
        <v>149</v>
      </c>
      <c r="D570" s="34" t="s">
        <v>17</v>
      </c>
      <c r="E570" s="17">
        <v>35</v>
      </c>
      <c r="F570" s="36">
        <f>IFERROR(E570/$AC570,0)</f>
        <v>2.6415094339622643E-2</v>
      </c>
      <c r="G570" s="17">
        <v>7</v>
      </c>
      <c r="H570" s="36">
        <f>IFERROR(G570/$AD570,0)</f>
        <v>3.4482758620689655E-2</v>
      </c>
      <c r="I570" s="17">
        <v>505</v>
      </c>
      <c r="J570" s="36">
        <f>IFERROR(I570/$AC570,0)</f>
        <v>0.38113207547169814</v>
      </c>
      <c r="K570" s="17">
        <v>81</v>
      </c>
      <c r="L570" s="36">
        <f>IFERROR(K570/$AD570,0)</f>
        <v>0.39901477832512317</v>
      </c>
      <c r="M570" s="17">
        <v>455</v>
      </c>
      <c r="N570" s="36">
        <f>IFERROR(M570/$AC570,0)</f>
        <v>0.34339622641509432</v>
      </c>
      <c r="O570" s="17">
        <v>48</v>
      </c>
      <c r="P570" s="36">
        <f>IFERROR(O570/$AD570,0)</f>
        <v>0.23645320197044334</v>
      </c>
      <c r="Q570" s="17">
        <v>223</v>
      </c>
      <c r="R570" s="36">
        <f>IFERROR(Q570/$AC570,0)</f>
        <v>0.16830188679245284</v>
      </c>
      <c r="S570" s="17">
        <v>47</v>
      </c>
      <c r="T570" s="36">
        <f>IFERROR(S570/$AD570,0)</f>
        <v>0.23152709359605911</v>
      </c>
      <c r="U570" s="17">
        <v>70</v>
      </c>
      <c r="V570" s="36">
        <f>IFERROR(U570/$AC570,0)</f>
        <v>5.2830188679245285E-2</v>
      </c>
      <c r="W570" s="17">
        <v>12</v>
      </c>
      <c r="X570" s="36">
        <f>IFERROR(W570/$AD570,0)</f>
        <v>5.9113300492610835E-2</v>
      </c>
      <c r="Y570" s="17">
        <v>37</v>
      </c>
      <c r="Z570" s="36">
        <f>IFERROR(Y570/$AC570,0)</f>
        <v>2.7924528301886794E-2</v>
      </c>
      <c r="AA570" s="17">
        <v>8</v>
      </c>
      <c r="AB570" s="36">
        <f>IFERROR(AA570/$AD570,0)</f>
        <v>3.9408866995073892E-2</v>
      </c>
      <c r="AC570" s="16">
        <v>1325</v>
      </c>
      <c r="AD570" s="17">
        <v>203</v>
      </c>
    </row>
    <row r="571" spans="1:30" ht="15.75" customHeight="1" x14ac:dyDescent="0.25">
      <c r="A571" s="37">
        <v>2020</v>
      </c>
      <c r="B571" s="35">
        <v>170220</v>
      </c>
      <c r="C571" s="34" t="s">
        <v>145</v>
      </c>
      <c r="D571" s="34" t="s">
        <v>18</v>
      </c>
      <c r="E571" s="17">
        <v>73</v>
      </c>
      <c r="F571" s="36">
        <f>IFERROR(E571/$AC571,0)</f>
        <v>2.322621699013681E-2</v>
      </c>
      <c r="G571" s="17">
        <v>19</v>
      </c>
      <c r="H571" s="36">
        <f>IFERROR(G571/$AD571,0)</f>
        <v>2.5132275132275131E-2</v>
      </c>
      <c r="I571" s="16">
        <v>1284</v>
      </c>
      <c r="J571" s="36">
        <f>IFERROR(I571/$AC571,0)</f>
        <v>0.40852688514158447</v>
      </c>
      <c r="K571" s="17">
        <v>317</v>
      </c>
      <c r="L571" s="36">
        <f>IFERROR(K571/$AD571,0)</f>
        <v>0.4193121693121693</v>
      </c>
      <c r="M571" s="16">
        <v>1093</v>
      </c>
      <c r="N571" s="36">
        <f>IFERROR(M571/$AC571,0)</f>
        <v>0.34775692013999365</v>
      </c>
      <c r="O571" s="17">
        <v>260</v>
      </c>
      <c r="P571" s="36">
        <f>IFERROR(O571/$AD571,0)</f>
        <v>0.3439153439153439</v>
      </c>
      <c r="Q571" s="17">
        <v>511</v>
      </c>
      <c r="R571" s="36">
        <f>IFERROR(Q571/$AC571,0)</f>
        <v>0.16258351893095768</v>
      </c>
      <c r="S571" s="17">
        <v>113</v>
      </c>
      <c r="T571" s="36">
        <f>IFERROR(S571/$AD571,0)</f>
        <v>0.14947089947089948</v>
      </c>
      <c r="U571" s="17">
        <v>143</v>
      </c>
      <c r="V571" s="36">
        <f>IFERROR(U571/$AC571,0)</f>
        <v>4.5497931912185811E-2</v>
      </c>
      <c r="W571" s="17">
        <v>37</v>
      </c>
      <c r="X571" s="36">
        <f>IFERROR(W571/$AD571,0)</f>
        <v>4.8941798941798939E-2</v>
      </c>
      <c r="Y571" s="17">
        <v>39</v>
      </c>
      <c r="Z571" s="36">
        <f>IFERROR(Y571/$AC571,0)</f>
        <v>1.2408526885141585E-2</v>
      </c>
      <c r="AA571" s="17">
        <v>10</v>
      </c>
      <c r="AB571" s="36">
        <f>IFERROR(AA571/$AD571,0)</f>
        <v>1.3227513227513227E-2</v>
      </c>
      <c r="AC571" s="16">
        <v>3143</v>
      </c>
      <c r="AD571" s="17">
        <v>756</v>
      </c>
    </row>
    <row r="572" spans="1:30" ht="15.75" customHeight="1" x14ac:dyDescent="0.25">
      <c r="A572" s="37">
        <v>2020</v>
      </c>
      <c r="B572" s="35">
        <v>170230</v>
      </c>
      <c r="C572" s="34" t="s">
        <v>150</v>
      </c>
      <c r="D572" s="34" t="s">
        <v>19</v>
      </c>
      <c r="E572" s="17">
        <v>17</v>
      </c>
      <c r="F572" s="36">
        <f>IFERROR(E572/$AC572,0)</f>
        <v>1.9318181818181818E-2</v>
      </c>
      <c r="G572" s="17">
        <v>0</v>
      </c>
      <c r="H572" s="36">
        <f>IFERROR(G572/$AD572,0)</f>
        <v>0</v>
      </c>
      <c r="I572" s="17">
        <v>282</v>
      </c>
      <c r="J572" s="36">
        <f>IFERROR(I572/$AC572,0)</f>
        <v>0.32045454545454544</v>
      </c>
      <c r="K572" s="17">
        <v>34</v>
      </c>
      <c r="L572" s="36">
        <f>IFERROR(K572/$AD572,0)</f>
        <v>0.38636363636363635</v>
      </c>
      <c r="M572" s="17">
        <v>325</v>
      </c>
      <c r="N572" s="36">
        <f>IFERROR(M572/$AC572,0)</f>
        <v>0.36931818181818182</v>
      </c>
      <c r="O572" s="17">
        <v>27</v>
      </c>
      <c r="P572" s="36">
        <f>IFERROR(O572/$AD572,0)</f>
        <v>0.30681818181818182</v>
      </c>
      <c r="Q572" s="17">
        <v>144</v>
      </c>
      <c r="R572" s="36">
        <f>IFERROR(Q572/$AC572,0)</f>
        <v>0.16363636363636364</v>
      </c>
      <c r="S572" s="17">
        <v>15</v>
      </c>
      <c r="T572" s="36">
        <f>IFERROR(S572/$AD572,0)</f>
        <v>0.17045454545454544</v>
      </c>
      <c r="U572" s="17">
        <v>78</v>
      </c>
      <c r="V572" s="36">
        <f>IFERROR(U572/$AC572,0)</f>
        <v>8.8636363636363638E-2</v>
      </c>
      <c r="W572" s="17">
        <v>5</v>
      </c>
      <c r="X572" s="36">
        <f>IFERROR(W572/$AD572,0)</f>
        <v>5.6818181818181816E-2</v>
      </c>
      <c r="Y572" s="17">
        <v>34</v>
      </c>
      <c r="Z572" s="36">
        <f>IFERROR(Y572/$AC572,0)</f>
        <v>3.8636363636363635E-2</v>
      </c>
      <c r="AA572" s="17">
        <v>7</v>
      </c>
      <c r="AB572" s="36">
        <f>IFERROR(AA572/$AD572,0)</f>
        <v>7.9545454545454544E-2</v>
      </c>
      <c r="AC572" s="17">
        <v>880</v>
      </c>
      <c r="AD572" s="17">
        <v>88</v>
      </c>
    </row>
    <row r="573" spans="1:30" ht="15.75" customHeight="1" x14ac:dyDescent="0.25">
      <c r="A573" s="37">
        <v>2020</v>
      </c>
      <c r="B573" s="35">
        <v>170240</v>
      </c>
      <c r="C573" s="34" t="s">
        <v>147</v>
      </c>
      <c r="D573" s="34" t="s">
        <v>20</v>
      </c>
      <c r="E573" s="17">
        <v>22</v>
      </c>
      <c r="F573" s="36">
        <f>IFERROR(E573/$AC573,0)</f>
        <v>2.247191011235955E-2</v>
      </c>
      <c r="G573" s="17">
        <v>12</v>
      </c>
      <c r="H573" s="36">
        <f>IFERROR(G573/$AD573,0)</f>
        <v>3.4188034188034191E-2</v>
      </c>
      <c r="I573" s="17">
        <v>413</v>
      </c>
      <c r="J573" s="36">
        <f>IFERROR(I573/$AC573,0)</f>
        <v>0.42185903983656792</v>
      </c>
      <c r="K573" s="17">
        <v>133</v>
      </c>
      <c r="L573" s="36">
        <f>IFERROR(K573/$AD573,0)</f>
        <v>0.37891737891737892</v>
      </c>
      <c r="M573" s="17">
        <v>312</v>
      </c>
      <c r="N573" s="36">
        <f>IFERROR(M573/$AC573,0)</f>
        <v>0.31869254341164455</v>
      </c>
      <c r="O573" s="17">
        <v>108</v>
      </c>
      <c r="P573" s="36">
        <f>IFERROR(O573/$AD573,0)</f>
        <v>0.30769230769230771</v>
      </c>
      <c r="Q573" s="17">
        <v>169</v>
      </c>
      <c r="R573" s="36">
        <f>IFERROR(Q573/$AC573,0)</f>
        <v>0.17262512768130744</v>
      </c>
      <c r="S573" s="17">
        <v>68</v>
      </c>
      <c r="T573" s="36">
        <f>IFERROR(S573/$AD573,0)</f>
        <v>0.19373219373219372</v>
      </c>
      <c r="U573" s="17">
        <v>48</v>
      </c>
      <c r="V573" s="36">
        <f>IFERROR(U573/$AC573,0)</f>
        <v>4.9029622063329927E-2</v>
      </c>
      <c r="W573" s="17">
        <v>25</v>
      </c>
      <c r="X573" s="36">
        <f>IFERROR(W573/$AD573,0)</f>
        <v>7.1225071225071226E-2</v>
      </c>
      <c r="Y573" s="17">
        <v>15</v>
      </c>
      <c r="Z573" s="36">
        <f>IFERROR(Y573/$AC573,0)</f>
        <v>1.5321756894790603E-2</v>
      </c>
      <c r="AA573" s="17">
        <v>5</v>
      </c>
      <c r="AB573" s="36">
        <f>IFERROR(AA573/$AD573,0)</f>
        <v>1.4245014245014245E-2</v>
      </c>
      <c r="AC573" s="17">
        <v>979</v>
      </c>
      <c r="AD573" s="17">
        <v>351</v>
      </c>
    </row>
    <row r="574" spans="1:30" ht="15.75" customHeight="1" x14ac:dyDescent="0.25">
      <c r="A574" s="37">
        <v>2020</v>
      </c>
      <c r="B574" s="35">
        <v>170255</v>
      </c>
      <c r="C574" s="34" t="s">
        <v>145</v>
      </c>
      <c r="D574" s="34" t="s">
        <v>21</v>
      </c>
      <c r="E574" s="17">
        <v>32</v>
      </c>
      <c r="F574" s="36">
        <f>IFERROR(E574/$AC574,0)</f>
        <v>2.4006001500375095E-2</v>
      </c>
      <c r="G574" s="17">
        <v>14</v>
      </c>
      <c r="H574" s="36">
        <f>IFERROR(G574/$AD574,0)</f>
        <v>4.8109965635738834E-2</v>
      </c>
      <c r="I574" s="17">
        <v>530</v>
      </c>
      <c r="J574" s="36">
        <f>IFERROR(I574/$AC574,0)</f>
        <v>0.39759939984996251</v>
      </c>
      <c r="K574" s="17">
        <v>119</v>
      </c>
      <c r="L574" s="36">
        <f>IFERROR(K574/$AD574,0)</f>
        <v>0.40893470790378006</v>
      </c>
      <c r="M574" s="17">
        <v>454</v>
      </c>
      <c r="N574" s="36">
        <f>IFERROR(M574/$AC574,0)</f>
        <v>0.34058514628657166</v>
      </c>
      <c r="O574" s="17">
        <v>87</v>
      </c>
      <c r="P574" s="36">
        <f>IFERROR(O574/$AD574,0)</f>
        <v>0.29896907216494845</v>
      </c>
      <c r="Q574" s="17">
        <v>224</v>
      </c>
      <c r="R574" s="36">
        <f>IFERROR(Q574/$AC574,0)</f>
        <v>0.16804201050262565</v>
      </c>
      <c r="S574" s="17">
        <v>50</v>
      </c>
      <c r="T574" s="36">
        <f>IFERROR(S574/$AD574,0)</f>
        <v>0.1718213058419244</v>
      </c>
      <c r="U574" s="17">
        <v>65</v>
      </c>
      <c r="V574" s="36">
        <f>IFERROR(U574/$AC574,0)</f>
        <v>4.8762190547636912E-2</v>
      </c>
      <c r="W574" s="17">
        <v>14</v>
      </c>
      <c r="X574" s="36">
        <f>IFERROR(W574/$AD574,0)</f>
        <v>4.8109965635738834E-2</v>
      </c>
      <c r="Y574" s="17">
        <v>28</v>
      </c>
      <c r="Z574" s="36">
        <f>IFERROR(Y574/$AC574,0)</f>
        <v>2.1005251312828207E-2</v>
      </c>
      <c r="AA574" s="17">
        <v>7</v>
      </c>
      <c r="AB574" s="36">
        <f>IFERROR(AA574/$AD574,0)</f>
        <v>2.4054982817869417E-2</v>
      </c>
      <c r="AC574" s="16">
        <v>1333</v>
      </c>
      <c r="AD574" s="17">
        <v>291</v>
      </c>
    </row>
    <row r="575" spans="1:30" ht="15.75" customHeight="1" x14ac:dyDescent="0.25">
      <c r="A575" s="37">
        <v>2020</v>
      </c>
      <c r="B575" s="35">
        <v>170270</v>
      </c>
      <c r="C575" s="34" t="s">
        <v>147</v>
      </c>
      <c r="D575" s="34" t="s">
        <v>22</v>
      </c>
      <c r="E575" s="17">
        <v>0</v>
      </c>
      <c r="F575" s="36">
        <f>IFERROR(E575/$AC575,0)</f>
        <v>0</v>
      </c>
      <c r="G575" s="17">
        <v>0</v>
      </c>
      <c r="H575" s="36">
        <f>IFERROR(G575/$AD575,0)</f>
        <v>0</v>
      </c>
      <c r="I575" s="17">
        <v>8</v>
      </c>
      <c r="J575" s="36">
        <f>IFERROR(I575/$AC575,0)</f>
        <v>0.22857142857142856</v>
      </c>
      <c r="K575" s="17">
        <v>1</v>
      </c>
      <c r="L575" s="36">
        <f>IFERROR(K575/$AD575,0)</f>
        <v>0.2</v>
      </c>
      <c r="M575" s="17">
        <v>12</v>
      </c>
      <c r="N575" s="36">
        <f>IFERROR(M575/$AC575,0)</f>
        <v>0.34285714285714286</v>
      </c>
      <c r="O575" s="17">
        <v>1</v>
      </c>
      <c r="P575" s="36">
        <f>IFERROR(O575/$AD575,0)</f>
        <v>0.2</v>
      </c>
      <c r="Q575" s="17">
        <v>5</v>
      </c>
      <c r="R575" s="36">
        <f>IFERROR(Q575/$AC575,0)</f>
        <v>0.14285714285714285</v>
      </c>
      <c r="S575" s="17">
        <v>2</v>
      </c>
      <c r="T575" s="36">
        <f>IFERROR(S575/$AD575,0)</f>
        <v>0.4</v>
      </c>
      <c r="U575" s="17">
        <v>7</v>
      </c>
      <c r="V575" s="36">
        <f>IFERROR(U575/$AC575,0)</f>
        <v>0.2</v>
      </c>
      <c r="W575" s="17">
        <v>1</v>
      </c>
      <c r="X575" s="36">
        <f>IFERROR(W575/$AD575,0)</f>
        <v>0.2</v>
      </c>
      <c r="Y575" s="17">
        <v>3</v>
      </c>
      <c r="Z575" s="36">
        <f>IFERROR(Y575/$AC575,0)</f>
        <v>8.5714285714285715E-2</v>
      </c>
      <c r="AA575" s="17">
        <v>0</v>
      </c>
      <c r="AB575" s="36">
        <f>IFERROR(AA575/$AD575,0)</f>
        <v>0</v>
      </c>
      <c r="AC575" s="17">
        <v>35</v>
      </c>
      <c r="AD575" s="17">
        <v>5</v>
      </c>
    </row>
    <row r="576" spans="1:30" ht="15.75" customHeight="1" x14ac:dyDescent="0.25">
      <c r="A576" s="37">
        <v>2020</v>
      </c>
      <c r="B576" s="35">
        <v>170290</v>
      </c>
      <c r="C576" s="34" t="s">
        <v>145</v>
      </c>
      <c r="D576" s="34" t="s">
        <v>23</v>
      </c>
      <c r="E576" s="17">
        <v>22</v>
      </c>
      <c r="F576" s="36">
        <f>IFERROR(E576/$AC576,0)</f>
        <v>3.7542662116040959E-2</v>
      </c>
      <c r="G576" s="17">
        <v>13</v>
      </c>
      <c r="H576" s="36">
        <f>IFERROR(G576/$AD576,0)</f>
        <v>4.4982698961937718E-2</v>
      </c>
      <c r="I576" s="17">
        <v>216</v>
      </c>
      <c r="J576" s="36">
        <f>IFERROR(I576/$AC576,0)</f>
        <v>0.36860068259385664</v>
      </c>
      <c r="K576" s="17">
        <v>105</v>
      </c>
      <c r="L576" s="36">
        <f>IFERROR(K576/$AD576,0)</f>
        <v>0.36332179930795849</v>
      </c>
      <c r="M576" s="17">
        <v>195</v>
      </c>
      <c r="N576" s="36">
        <f>IFERROR(M576/$AC576,0)</f>
        <v>0.33276450511945393</v>
      </c>
      <c r="O576" s="17">
        <v>93</v>
      </c>
      <c r="P576" s="36">
        <f>IFERROR(O576/$AD576,0)</f>
        <v>0.3217993079584775</v>
      </c>
      <c r="Q576" s="17">
        <v>101</v>
      </c>
      <c r="R576" s="36">
        <f>IFERROR(Q576/$AC576,0)</f>
        <v>0.17235494880546076</v>
      </c>
      <c r="S576" s="17">
        <v>53</v>
      </c>
      <c r="T576" s="36">
        <f>IFERROR(S576/$AD576,0)</f>
        <v>0.18339100346020762</v>
      </c>
      <c r="U576" s="17">
        <v>37</v>
      </c>
      <c r="V576" s="36">
        <f>IFERROR(U576/$AC576,0)</f>
        <v>6.313993174061433E-2</v>
      </c>
      <c r="W576" s="17">
        <v>19</v>
      </c>
      <c r="X576" s="36">
        <f>IFERROR(W576/$AD576,0)</f>
        <v>6.5743944636678195E-2</v>
      </c>
      <c r="Y576" s="17">
        <v>15</v>
      </c>
      <c r="Z576" s="36">
        <f>IFERROR(Y576/$AC576,0)</f>
        <v>2.5597269624573378E-2</v>
      </c>
      <c r="AA576" s="17">
        <v>6</v>
      </c>
      <c r="AB576" s="36">
        <f>IFERROR(AA576/$AD576,0)</f>
        <v>2.0761245674740483E-2</v>
      </c>
      <c r="AC576" s="17">
        <v>586</v>
      </c>
      <c r="AD576" s="17">
        <v>289</v>
      </c>
    </row>
    <row r="577" spans="1:30" ht="15.75" customHeight="1" x14ac:dyDescent="0.25">
      <c r="A577" s="37">
        <v>2020</v>
      </c>
      <c r="B577" s="35">
        <v>170300</v>
      </c>
      <c r="C577" s="34" t="s">
        <v>149</v>
      </c>
      <c r="D577" s="34" t="s">
        <v>24</v>
      </c>
      <c r="E577" s="17">
        <v>10</v>
      </c>
      <c r="F577" s="36">
        <f>IFERROR(E577/$AC577,0)</f>
        <v>1.1820330969267139E-2</v>
      </c>
      <c r="G577" s="17">
        <v>3</v>
      </c>
      <c r="H577" s="36">
        <f>IFERROR(G577/$AD577,0)</f>
        <v>1.048951048951049E-2</v>
      </c>
      <c r="I577" s="17">
        <v>345</v>
      </c>
      <c r="J577" s="36">
        <f>IFERROR(I577/$AC577,0)</f>
        <v>0.40780141843971629</v>
      </c>
      <c r="K577" s="17">
        <v>123</v>
      </c>
      <c r="L577" s="36">
        <f>IFERROR(K577/$AD577,0)</f>
        <v>0.43006993006993005</v>
      </c>
      <c r="M577" s="17">
        <v>293</v>
      </c>
      <c r="N577" s="36">
        <f>IFERROR(M577/$AC577,0)</f>
        <v>0.34633569739952719</v>
      </c>
      <c r="O577" s="17">
        <v>82</v>
      </c>
      <c r="P577" s="36">
        <f>IFERROR(O577/$AD577,0)</f>
        <v>0.28671328671328672</v>
      </c>
      <c r="Q577" s="17">
        <v>140</v>
      </c>
      <c r="R577" s="36">
        <f>IFERROR(Q577/$AC577,0)</f>
        <v>0.16548463356973994</v>
      </c>
      <c r="S577" s="17">
        <v>47</v>
      </c>
      <c r="T577" s="36">
        <f>IFERROR(S577/$AD577,0)</f>
        <v>0.16433566433566432</v>
      </c>
      <c r="U577" s="17">
        <v>41</v>
      </c>
      <c r="V577" s="36">
        <f>IFERROR(U577/$AC577,0)</f>
        <v>4.8463356973995272E-2</v>
      </c>
      <c r="W577" s="17">
        <v>22</v>
      </c>
      <c r="X577" s="36">
        <f>IFERROR(W577/$AD577,0)</f>
        <v>7.6923076923076927E-2</v>
      </c>
      <c r="Y577" s="17">
        <v>17</v>
      </c>
      <c r="Z577" s="36">
        <f>IFERROR(Y577/$AC577,0)</f>
        <v>2.0094562647754138E-2</v>
      </c>
      <c r="AA577" s="17">
        <v>9</v>
      </c>
      <c r="AB577" s="36">
        <f>IFERROR(AA577/$AD577,0)</f>
        <v>3.1468531468531472E-2</v>
      </c>
      <c r="AC577" s="17">
        <v>846</v>
      </c>
      <c r="AD577" s="17">
        <v>286</v>
      </c>
    </row>
    <row r="578" spans="1:30" ht="15.75" customHeight="1" x14ac:dyDescent="0.25">
      <c r="A578" s="37">
        <v>2020</v>
      </c>
      <c r="B578" s="35">
        <v>170305</v>
      </c>
      <c r="C578" s="34" t="s">
        <v>150</v>
      </c>
      <c r="D578" s="34" t="s">
        <v>25</v>
      </c>
      <c r="E578" s="17">
        <v>2</v>
      </c>
      <c r="F578" s="36">
        <f>IFERROR(E578/$AC578,0)</f>
        <v>1.4814814814814815E-2</v>
      </c>
      <c r="G578" s="17">
        <v>2</v>
      </c>
      <c r="H578" s="36">
        <f>IFERROR(G578/$AD578,0)</f>
        <v>2.4691358024691357E-2</v>
      </c>
      <c r="I578" s="17">
        <v>39</v>
      </c>
      <c r="J578" s="36">
        <f>IFERROR(I578/$AC578,0)</f>
        <v>0.28888888888888886</v>
      </c>
      <c r="K578" s="17">
        <v>30</v>
      </c>
      <c r="L578" s="36">
        <f>IFERROR(K578/$AD578,0)</f>
        <v>0.37037037037037035</v>
      </c>
      <c r="M578" s="17">
        <v>45</v>
      </c>
      <c r="N578" s="36">
        <f>IFERROR(M578/$AC578,0)</f>
        <v>0.33333333333333331</v>
      </c>
      <c r="O578" s="17">
        <v>28</v>
      </c>
      <c r="P578" s="36">
        <f>IFERROR(O578/$AD578,0)</f>
        <v>0.34567901234567899</v>
      </c>
      <c r="Q578" s="17">
        <v>28</v>
      </c>
      <c r="R578" s="36">
        <f>IFERROR(Q578/$AC578,0)</f>
        <v>0.2074074074074074</v>
      </c>
      <c r="S578" s="17">
        <v>16</v>
      </c>
      <c r="T578" s="36">
        <f>IFERROR(S578/$AD578,0)</f>
        <v>0.19753086419753085</v>
      </c>
      <c r="U578" s="17">
        <v>14</v>
      </c>
      <c r="V578" s="36">
        <f>IFERROR(U578/$AC578,0)</f>
        <v>0.1037037037037037</v>
      </c>
      <c r="W578" s="17">
        <v>4</v>
      </c>
      <c r="X578" s="36">
        <f>IFERROR(W578/$AD578,0)</f>
        <v>4.9382716049382713E-2</v>
      </c>
      <c r="Y578" s="17">
        <v>7</v>
      </c>
      <c r="Z578" s="36">
        <f>IFERROR(Y578/$AC578,0)</f>
        <v>5.185185185185185E-2</v>
      </c>
      <c r="AA578" s="17">
        <v>1</v>
      </c>
      <c r="AB578" s="36">
        <f>IFERROR(AA578/$AD578,0)</f>
        <v>1.2345679012345678E-2</v>
      </c>
      <c r="AC578" s="17">
        <v>135</v>
      </c>
      <c r="AD578" s="17">
        <v>81</v>
      </c>
    </row>
    <row r="579" spans="1:30" ht="15.75" customHeight="1" x14ac:dyDescent="0.25">
      <c r="A579" s="37">
        <v>2020</v>
      </c>
      <c r="B579" s="35">
        <v>170307</v>
      </c>
      <c r="C579" s="34" t="s">
        <v>149</v>
      </c>
      <c r="D579" s="34" t="s">
        <v>26</v>
      </c>
      <c r="E579" s="17">
        <v>6</v>
      </c>
      <c r="F579" s="36">
        <f>IFERROR(E579/$AC579,0)</f>
        <v>1.3761467889908258E-2</v>
      </c>
      <c r="G579" s="17">
        <v>3</v>
      </c>
      <c r="H579" s="36">
        <f>IFERROR(G579/$AD579,0)</f>
        <v>4.6875E-2</v>
      </c>
      <c r="I579" s="17">
        <v>158</v>
      </c>
      <c r="J579" s="36">
        <f>IFERROR(I579/$AC579,0)</f>
        <v>0.36238532110091742</v>
      </c>
      <c r="K579" s="17">
        <v>25</v>
      </c>
      <c r="L579" s="36">
        <f>IFERROR(K579/$AD579,0)</f>
        <v>0.390625</v>
      </c>
      <c r="M579" s="17">
        <v>140</v>
      </c>
      <c r="N579" s="36">
        <f>IFERROR(M579/$AC579,0)</f>
        <v>0.32110091743119268</v>
      </c>
      <c r="O579" s="17">
        <v>18</v>
      </c>
      <c r="P579" s="36">
        <f>IFERROR(O579/$AD579,0)</f>
        <v>0.28125</v>
      </c>
      <c r="Q579" s="17">
        <v>89</v>
      </c>
      <c r="R579" s="36">
        <f>IFERROR(Q579/$AC579,0)</f>
        <v>0.20412844036697247</v>
      </c>
      <c r="S579" s="17">
        <v>13</v>
      </c>
      <c r="T579" s="36">
        <f>IFERROR(S579/$AD579,0)</f>
        <v>0.203125</v>
      </c>
      <c r="U579" s="17">
        <v>29</v>
      </c>
      <c r="V579" s="36">
        <f>IFERROR(U579/$AC579,0)</f>
        <v>6.6513761467889912E-2</v>
      </c>
      <c r="W579" s="17">
        <v>4</v>
      </c>
      <c r="X579" s="36">
        <f>IFERROR(W579/$AD579,0)</f>
        <v>6.25E-2</v>
      </c>
      <c r="Y579" s="17">
        <v>14</v>
      </c>
      <c r="Z579" s="36">
        <f>IFERROR(Y579/$AC579,0)</f>
        <v>3.2110091743119268E-2</v>
      </c>
      <c r="AA579" s="17">
        <v>1</v>
      </c>
      <c r="AB579" s="36">
        <f>IFERROR(AA579/$AD579,0)</f>
        <v>1.5625E-2</v>
      </c>
      <c r="AC579" s="17">
        <v>436</v>
      </c>
      <c r="AD579" s="17">
        <v>64</v>
      </c>
    </row>
    <row r="580" spans="1:30" ht="15.75" customHeight="1" x14ac:dyDescent="0.25">
      <c r="A580" s="37">
        <v>2020</v>
      </c>
      <c r="B580" s="35">
        <v>170310</v>
      </c>
      <c r="C580" s="34" t="s">
        <v>144</v>
      </c>
      <c r="D580" s="34" t="s">
        <v>27</v>
      </c>
      <c r="E580" s="17">
        <v>8</v>
      </c>
      <c r="F580" s="36">
        <f>IFERROR(E580/$AC580,0)</f>
        <v>1.7130620985010708E-2</v>
      </c>
      <c r="G580" s="17">
        <v>1</v>
      </c>
      <c r="H580" s="36">
        <f>IFERROR(G580/$AD580,0)</f>
        <v>1.2345679012345678E-2</v>
      </c>
      <c r="I580" s="17">
        <v>167</v>
      </c>
      <c r="J580" s="36">
        <f>IFERROR(I580/$AC580,0)</f>
        <v>0.35760171306209848</v>
      </c>
      <c r="K580" s="17">
        <v>29</v>
      </c>
      <c r="L580" s="36">
        <f>IFERROR(K580/$AD580,0)</f>
        <v>0.35802469135802467</v>
      </c>
      <c r="M580" s="17">
        <v>177</v>
      </c>
      <c r="N580" s="36">
        <f>IFERROR(M580/$AC580,0)</f>
        <v>0.37901498929336186</v>
      </c>
      <c r="O580" s="17">
        <v>28</v>
      </c>
      <c r="P580" s="36">
        <f>IFERROR(O580/$AD580,0)</f>
        <v>0.34567901234567899</v>
      </c>
      <c r="Q580" s="17">
        <v>80</v>
      </c>
      <c r="R580" s="36">
        <f>IFERROR(Q580/$AC580,0)</f>
        <v>0.17130620985010706</v>
      </c>
      <c r="S580" s="17">
        <v>18</v>
      </c>
      <c r="T580" s="36">
        <f>IFERROR(S580/$AD580,0)</f>
        <v>0.22222222222222221</v>
      </c>
      <c r="U580" s="17">
        <v>26</v>
      </c>
      <c r="V580" s="36">
        <f>IFERROR(U580/$AC580,0)</f>
        <v>5.5674518201284794E-2</v>
      </c>
      <c r="W580" s="17">
        <v>5</v>
      </c>
      <c r="X580" s="36">
        <f>IFERROR(W580/$AD580,0)</f>
        <v>6.1728395061728392E-2</v>
      </c>
      <c r="Y580" s="17">
        <v>9</v>
      </c>
      <c r="Z580" s="36">
        <f>IFERROR(Y580/$AC580,0)</f>
        <v>1.9271948608137045E-2</v>
      </c>
      <c r="AA580" s="17">
        <v>0</v>
      </c>
      <c r="AB580" s="36">
        <f>IFERROR(AA580/$AD580,0)</f>
        <v>0</v>
      </c>
      <c r="AC580" s="17">
        <v>467</v>
      </c>
      <c r="AD580" s="17">
        <v>81</v>
      </c>
    </row>
    <row r="581" spans="1:30" ht="15.75" customHeight="1" x14ac:dyDescent="0.25">
      <c r="A581" s="37">
        <v>2020</v>
      </c>
      <c r="B581" s="35">
        <v>170320</v>
      </c>
      <c r="C581" s="34" t="s">
        <v>150</v>
      </c>
      <c r="D581" s="34" t="s">
        <v>28</v>
      </c>
      <c r="E581" s="17">
        <v>1</v>
      </c>
      <c r="F581" s="36">
        <f>IFERROR(E581/$AC581,0)</f>
        <v>6.993006993006993E-3</v>
      </c>
      <c r="G581" s="17">
        <v>1</v>
      </c>
      <c r="H581" s="36">
        <f>IFERROR(G581/$AD581,0)</f>
        <v>1.2658227848101266E-2</v>
      </c>
      <c r="I581" s="17">
        <v>47</v>
      </c>
      <c r="J581" s="36">
        <f>IFERROR(I581/$AC581,0)</f>
        <v>0.32867132867132864</v>
      </c>
      <c r="K581" s="17">
        <v>30</v>
      </c>
      <c r="L581" s="36">
        <f>IFERROR(K581/$AD581,0)</f>
        <v>0.379746835443038</v>
      </c>
      <c r="M581" s="17">
        <v>48</v>
      </c>
      <c r="N581" s="36">
        <f>IFERROR(M581/$AC581,0)</f>
        <v>0.33566433566433568</v>
      </c>
      <c r="O581" s="17">
        <v>26</v>
      </c>
      <c r="P581" s="36">
        <f>IFERROR(O581/$AD581,0)</f>
        <v>0.32911392405063289</v>
      </c>
      <c r="Q581" s="17">
        <v>30</v>
      </c>
      <c r="R581" s="36">
        <f>IFERROR(Q581/$AC581,0)</f>
        <v>0.20979020979020979</v>
      </c>
      <c r="S581" s="17">
        <v>13</v>
      </c>
      <c r="T581" s="36">
        <f>IFERROR(S581/$AD581,0)</f>
        <v>0.16455696202531644</v>
      </c>
      <c r="U581" s="17">
        <v>9</v>
      </c>
      <c r="V581" s="36">
        <f>IFERROR(U581/$AC581,0)</f>
        <v>6.2937062937062943E-2</v>
      </c>
      <c r="W581" s="17">
        <v>5</v>
      </c>
      <c r="X581" s="36">
        <f>IFERROR(W581/$AD581,0)</f>
        <v>6.3291139240506333E-2</v>
      </c>
      <c r="Y581" s="17">
        <v>8</v>
      </c>
      <c r="Z581" s="36">
        <f>IFERROR(Y581/$AC581,0)</f>
        <v>5.5944055944055944E-2</v>
      </c>
      <c r="AA581" s="17">
        <v>4</v>
      </c>
      <c r="AB581" s="36">
        <f>IFERROR(AA581/$AD581,0)</f>
        <v>5.0632911392405063E-2</v>
      </c>
      <c r="AC581" s="17">
        <v>143</v>
      </c>
      <c r="AD581" s="17">
        <v>79</v>
      </c>
    </row>
    <row r="582" spans="1:30" ht="15.75" customHeight="1" x14ac:dyDescent="0.25">
      <c r="A582" s="37">
        <v>2020</v>
      </c>
      <c r="B582" s="35">
        <v>170330</v>
      </c>
      <c r="C582" s="34" t="s">
        <v>150</v>
      </c>
      <c r="D582" s="34" t="s">
        <v>29</v>
      </c>
      <c r="E582" s="17">
        <v>0</v>
      </c>
      <c r="F582" s="36">
        <f>IFERROR(E582/$AC582,0)</f>
        <v>0</v>
      </c>
      <c r="G582" s="17">
        <v>0</v>
      </c>
      <c r="H582" s="36">
        <f>IFERROR(G582/$AD582,0)</f>
        <v>0</v>
      </c>
      <c r="I582" s="17">
        <v>11</v>
      </c>
      <c r="J582" s="36">
        <f>IFERROR(I582/$AC582,0)</f>
        <v>0.36666666666666664</v>
      </c>
      <c r="K582" s="17">
        <v>1</v>
      </c>
      <c r="L582" s="36">
        <f>IFERROR(K582/$AD582,0)</f>
        <v>1</v>
      </c>
      <c r="M582" s="17">
        <v>8</v>
      </c>
      <c r="N582" s="36">
        <f>IFERROR(M582/$AC582,0)</f>
        <v>0.26666666666666666</v>
      </c>
      <c r="O582" s="17">
        <v>0</v>
      </c>
      <c r="P582" s="36">
        <f>IFERROR(O582/$AD582,0)</f>
        <v>0</v>
      </c>
      <c r="Q582" s="17">
        <v>6</v>
      </c>
      <c r="R582" s="36">
        <f>IFERROR(Q582/$AC582,0)</f>
        <v>0.2</v>
      </c>
      <c r="S582" s="17">
        <v>0</v>
      </c>
      <c r="T582" s="36">
        <f>IFERROR(S582/$AD582,0)</f>
        <v>0</v>
      </c>
      <c r="U582" s="17">
        <v>3</v>
      </c>
      <c r="V582" s="36">
        <f>IFERROR(U582/$AC582,0)</f>
        <v>0.1</v>
      </c>
      <c r="W582" s="17">
        <v>0</v>
      </c>
      <c r="X582" s="36">
        <f>IFERROR(W582/$AD582,0)</f>
        <v>0</v>
      </c>
      <c r="Y582" s="17">
        <v>2</v>
      </c>
      <c r="Z582" s="36">
        <f>IFERROR(Y582/$AC582,0)</f>
        <v>6.6666666666666666E-2</v>
      </c>
      <c r="AA582" s="17">
        <v>0</v>
      </c>
      <c r="AB582" s="36">
        <f>IFERROR(AA582/$AD582,0)</f>
        <v>0</v>
      </c>
      <c r="AC582" s="17">
        <v>30</v>
      </c>
      <c r="AD582" s="17">
        <v>1</v>
      </c>
    </row>
    <row r="583" spans="1:30" ht="15.75" customHeight="1" x14ac:dyDescent="0.25">
      <c r="A583" s="37">
        <v>2020</v>
      </c>
      <c r="B583" s="35">
        <v>170360</v>
      </c>
      <c r="C583" s="34" t="s">
        <v>150</v>
      </c>
      <c r="D583" s="34" t="s">
        <v>30</v>
      </c>
      <c r="E583" s="17">
        <v>6</v>
      </c>
      <c r="F583" s="36">
        <f>IFERROR(E583/$AC583,0)</f>
        <v>1.7543859649122806E-2</v>
      </c>
      <c r="G583" s="17">
        <v>2</v>
      </c>
      <c r="H583" s="36">
        <f>IFERROR(G583/$AD583,0)</f>
        <v>1.6666666666666666E-2</v>
      </c>
      <c r="I583" s="17">
        <v>83</v>
      </c>
      <c r="J583" s="36">
        <f>IFERROR(I583/$AC583,0)</f>
        <v>0.24269005847953215</v>
      </c>
      <c r="K583" s="17">
        <v>33</v>
      </c>
      <c r="L583" s="36">
        <f>IFERROR(K583/$AD583,0)</f>
        <v>0.27500000000000002</v>
      </c>
      <c r="M583" s="17">
        <v>137</v>
      </c>
      <c r="N583" s="36">
        <f>IFERROR(M583/$AC583,0)</f>
        <v>0.40058479532163743</v>
      </c>
      <c r="O583" s="17">
        <v>46</v>
      </c>
      <c r="P583" s="36">
        <f>IFERROR(O583/$AD583,0)</f>
        <v>0.38333333333333336</v>
      </c>
      <c r="Q583" s="17">
        <v>74</v>
      </c>
      <c r="R583" s="36">
        <f>IFERROR(Q583/$AC583,0)</f>
        <v>0.21637426900584794</v>
      </c>
      <c r="S583" s="17">
        <v>24</v>
      </c>
      <c r="T583" s="36">
        <f>IFERROR(S583/$AD583,0)</f>
        <v>0.2</v>
      </c>
      <c r="U583" s="17">
        <v>28</v>
      </c>
      <c r="V583" s="36">
        <f>IFERROR(U583/$AC583,0)</f>
        <v>8.1871345029239762E-2</v>
      </c>
      <c r="W583" s="17">
        <v>12</v>
      </c>
      <c r="X583" s="36">
        <f>IFERROR(W583/$AD583,0)</f>
        <v>0.1</v>
      </c>
      <c r="Y583" s="17">
        <v>14</v>
      </c>
      <c r="Z583" s="36">
        <f>IFERROR(Y583/$AC583,0)</f>
        <v>4.0935672514619881E-2</v>
      </c>
      <c r="AA583" s="17">
        <v>3</v>
      </c>
      <c r="AB583" s="36">
        <f>IFERROR(AA583/$AD583,0)</f>
        <v>2.5000000000000001E-2</v>
      </c>
      <c r="AC583" s="17">
        <v>342</v>
      </c>
      <c r="AD583" s="17">
        <v>120</v>
      </c>
    </row>
    <row r="584" spans="1:30" ht="15.75" customHeight="1" x14ac:dyDescent="0.25">
      <c r="A584" s="37">
        <v>2020</v>
      </c>
      <c r="B584" s="35">
        <v>170370</v>
      </c>
      <c r="C584" s="34" t="s">
        <v>151</v>
      </c>
      <c r="D584" s="34" t="s">
        <v>31</v>
      </c>
      <c r="E584" s="17">
        <v>2</v>
      </c>
      <c r="F584" s="36">
        <f>IFERROR(E584/$AC584,0)</f>
        <v>1.7391304347826087E-2</v>
      </c>
      <c r="G584" s="17">
        <v>1</v>
      </c>
      <c r="H584" s="36">
        <f>IFERROR(G584/$AD584,0)</f>
        <v>1.2048192771084338E-2</v>
      </c>
      <c r="I584" s="17">
        <v>52</v>
      </c>
      <c r="J584" s="36">
        <f>IFERROR(I584/$AC584,0)</f>
        <v>0.45217391304347826</v>
      </c>
      <c r="K584" s="17">
        <v>41</v>
      </c>
      <c r="L584" s="36">
        <f>IFERROR(K584/$AD584,0)</f>
        <v>0.49397590361445781</v>
      </c>
      <c r="M584" s="17">
        <v>32</v>
      </c>
      <c r="N584" s="36">
        <f>IFERROR(M584/$AC584,0)</f>
        <v>0.27826086956521739</v>
      </c>
      <c r="O584" s="17">
        <v>24</v>
      </c>
      <c r="P584" s="36">
        <f>IFERROR(O584/$AD584,0)</f>
        <v>0.28915662650602408</v>
      </c>
      <c r="Q584" s="17">
        <v>16</v>
      </c>
      <c r="R584" s="36">
        <f>IFERROR(Q584/$AC584,0)</f>
        <v>0.1391304347826087</v>
      </c>
      <c r="S584" s="17">
        <v>10</v>
      </c>
      <c r="T584" s="36">
        <f>IFERROR(S584/$AD584,0)</f>
        <v>0.12048192771084337</v>
      </c>
      <c r="U584" s="17">
        <v>10</v>
      </c>
      <c r="V584" s="36">
        <f>IFERROR(U584/$AC584,0)</f>
        <v>8.6956521739130432E-2</v>
      </c>
      <c r="W584" s="17">
        <v>5</v>
      </c>
      <c r="X584" s="36">
        <f>IFERROR(W584/$AD584,0)</f>
        <v>6.0240963855421686E-2</v>
      </c>
      <c r="Y584" s="17">
        <v>3</v>
      </c>
      <c r="Z584" s="36">
        <f>IFERROR(Y584/$AC584,0)</f>
        <v>2.6086956521739129E-2</v>
      </c>
      <c r="AA584" s="17">
        <v>2</v>
      </c>
      <c r="AB584" s="36">
        <f>IFERROR(AA584/$AD584,0)</f>
        <v>2.4096385542168676E-2</v>
      </c>
      <c r="AC584" s="17">
        <v>115</v>
      </c>
      <c r="AD584" s="17">
        <v>83</v>
      </c>
    </row>
    <row r="585" spans="1:30" ht="15.75" customHeight="1" x14ac:dyDescent="0.25">
      <c r="A585" s="37">
        <v>2020</v>
      </c>
      <c r="B585" s="35">
        <v>170380</v>
      </c>
      <c r="C585" s="34" t="s">
        <v>145</v>
      </c>
      <c r="D585" s="34" t="s">
        <v>32</v>
      </c>
      <c r="E585" s="17">
        <v>42</v>
      </c>
      <c r="F585" s="36">
        <f>IFERROR(E585/$AC585,0)</f>
        <v>3.3680834001603849E-2</v>
      </c>
      <c r="G585" s="17">
        <v>15</v>
      </c>
      <c r="H585" s="36">
        <f>IFERROR(G585/$AD585,0)</f>
        <v>4.5592705167173252E-2</v>
      </c>
      <c r="I585" s="17">
        <v>464</v>
      </c>
      <c r="J585" s="36">
        <f>IFERROR(I585/$AC585,0)</f>
        <v>0.37209302325581395</v>
      </c>
      <c r="K585" s="17">
        <v>121</v>
      </c>
      <c r="L585" s="36">
        <f>IFERROR(K585/$AD585,0)</f>
        <v>0.36778115501519759</v>
      </c>
      <c r="M585" s="17">
        <v>450</v>
      </c>
      <c r="N585" s="36">
        <f>IFERROR(M585/$AC585,0)</f>
        <v>0.36086607858861269</v>
      </c>
      <c r="O585" s="17">
        <v>109</v>
      </c>
      <c r="P585" s="36">
        <f>IFERROR(O585/$AD585,0)</f>
        <v>0.33130699088145898</v>
      </c>
      <c r="Q585" s="17">
        <v>199</v>
      </c>
      <c r="R585" s="36">
        <f>IFERROR(Q585/$AC585,0)</f>
        <v>0.15958299919807539</v>
      </c>
      <c r="S585" s="17">
        <v>59</v>
      </c>
      <c r="T585" s="36">
        <f>IFERROR(S585/$AD585,0)</f>
        <v>0.17933130699088146</v>
      </c>
      <c r="U585" s="17">
        <v>69</v>
      </c>
      <c r="V585" s="36">
        <f>IFERROR(U585/$AC585,0)</f>
        <v>5.5332798716920609E-2</v>
      </c>
      <c r="W585" s="17">
        <v>20</v>
      </c>
      <c r="X585" s="36">
        <f>IFERROR(W585/$AD585,0)</f>
        <v>6.0790273556231005E-2</v>
      </c>
      <c r="Y585" s="17">
        <v>23</v>
      </c>
      <c r="Z585" s="36">
        <f>IFERROR(Y585/$AC585,0)</f>
        <v>1.8444266238973536E-2</v>
      </c>
      <c r="AA585" s="17">
        <v>5</v>
      </c>
      <c r="AB585" s="36">
        <f>IFERROR(AA585/$AD585,0)</f>
        <v>1.5197568389057751E-2</v>
      </c>
      <c r="AC585" s="16">
        <v>1247</v>
      </c>
      <c r="AD585" s="17">
        <v>329</v>
      </c>
    </row>
    <row r="586" spans="1:30" ht="15.75" customHeight="1" x14ac:dyDescent="0.25">
      <c r="A586" s="37">
        <v>2020</v>
      </c>
      <c r="B586" s="35">
        <v>170382</v>
      </c>
      <c r="C586" s="34" t="s">
        <v>145</v>
      </c>
      <c r="D586" s="34" t="s">
        <v>33</v>
      </c>
      <c r="E586" s="17">
        <v>5</v>
      </c>
      <c r="F586" s="36">
        <f>IFERROR(E586/$AC586,0)</f>
        <v>3.875968992248062E-2</v>
      </c>
      <c r="G586" s="17">
        <v>4</v>
      </c>
      <c r="H586" s="36">
        <f>IFERROR(G586/$AD586,0)</f>
        <v>3.7037037037037035E-2</v>
      </c>
      <c r="I586" s="17">
        <v>45</v>
      </c>
      <c r="J586" s="36">
        <f>IFERROR(I586/$AC586,0)</f>
        <v>0.34883720930232559</v>
      </c>
      <c r="K586" s="17">
        <v>41</v>
      </c>
      <c r="L586" s="36">
        <f>IFERROR(K586/$AD586,0)</f>
        <v>0.37962962962962965</v>
      </c>
      <c r="M586" s="17">
        <v>41</v>
      </c>
      <c r="N586" s="36">
        <f>IFERROR(M586/$AC586,0)</f>
        <v>0.31782945736434109</v>
      </c>
      <c r="O586" s="17">
        <v>33</v>
      </c>
      <c r="P586" s="36">
        <f>IFERROR(O586/$AD586,0)</f>
        <v>0.30555555555555558</v>
      </c>
      <c r="Q586" s="17">
        <v>27</v>
      </c>
      <c r="R586" s="36">
        <f>IFERROR(Q586/$AC586,0)</f>
        <v>0.20930232558139536</v>
      </c>
      <c r="S586" s="17">
        <v>23</v>
      </c>
      <c r="T586" s="36">
        <f>IFERROR(S586/$AD586,0)</f>
        <v>0.21296296296296297</v>
      </c>
      <c r="U586" s="17">
        <v>6</v>
      </c>
      <c r="V586" s="36">
        <f>IFERROR(U586/$AC586,0)</f>
        <v>4.6511627906976744E-2</v>
      </c>
      <c r="W586" s="17">
        <v>3</v>
      </c>
      <c r="X586" s="36">
        <f>IFERROR(W586/$AD586,0)</f>
        <v>2.7777777777777776E-2</v>
      </c>
      <c r="Y586" s="17">
        <v>5</v>
      </c>
      <c r="Z586" s="36">
        <f>IFERROR(Y586/$AC586,0)</f>
        <v>3.875968992248062E-2</v>
      </c>
      <c r="AA586" s="17">
        <v>4</v>
      </c>
      <c r="AB586" s="36">
        <f>IFERROR(AA586/$AD586,0)</f>
        <v>3.7037037037037035E-2</v>
      </c>
      <c r="AC586" s="17">
        <v>129</v>
      </c>
      <c r="AD586" s="17">
        <v>108</v>
      </c>
    </row>
    <row r="587" spans="1:30" ht="15.75" customHeight="1" x14ac:dyDescent="0.25">
      <c r="A587" s="37">
        <v>2020</v>
      </c>
      <c r="B587" s="35">
        <v>170384</v>
      </c>
      <c r="C587" s="34" t="s">
        <v>149</v>
      </c>
      <c r="D587" s="34" t="s">
        <v>34</v>
      </c>
      <c r="E587" s="17">
        <v>32</v>
      </c>
      <c r="F587" s="36">
        <f>IFERROR(E587/$AC587,0)</f>
        <v>2.9223744292237442E-2</v>
      </c>
      <c r="G587" s="17">
        <v>17</v>
      </c>
      <c r="H587" s="36">
        <f>IFERROR(G587/$AD587,0)</f>
        <v>3.7117903930131008E-2</v>
      </c>
      <c r="I587" s="17">
        <v>406</v>
      </c>
      <c r="J587" s="36">
        <f>IFERROR(I587/$AC587,0)</f>
        <v>0.37077625570776257</v>
      </c>
      <c r="K587" s="17">
        <v>190</v>
      </c>
      <c r="L587" s="36">
        <f>IFERROR(K587/$AD587,0)</f>
        <v>0.41484716157205243</v>
      </c>
      <c r="M587" s="17">
        <v>402</v>
      </c>
      <c r="N587" s="36">
        <f>IFERROR(M587/$AC587,0)</f>
        <v>0.36712328767123287</v>
      </c>
      <c r="O587" s="17">
        <v>157</v>
      </c>
      <c r="P587" s="36">
        <f>IFERROR(O587/$AD587,0)</f>
        <v>0.34279475982532753</v>
      </c>
      <c r="Q587" s="17">
        <v>170</v>
      </c>
      <c r="R587" s="36">
        <f>IFERROR(Q587/$AC587,0)</f>
        <v>0.15525114155251141</v>
      </c>
      <c r="S587" s="17">
        <v>65</v>
      </c>
      <c r="T587" s="36">
        <f>IFERROR(S587/$AD587,0)</f>
        <v>0.14192139737991266</v>
      </c>
      <c r="U587" s="17">
        <v>63</v>
      </c>
      <c r="V587" s="36">
        <f>IFERROR(U587/$AC587,0)</f>
        <v>5.7534246575342465E-2</v>
      </c>
      <c r="W587" s="17">
        <v>20</v>
      </c>
      <c r="X587" s="36">
        <f>IFERROR(W587/$AD587,0)</f>
        <v>4.3668122270742356E-2</v>
      </c>
      <c r="Y587" s="17">
        <v>22</v>
      </c>
      <c r="Z587" s="36">
        <f>IFERROR(Y587/$AC587,0)</f>
        <v>2.0091324200913242E-2</v>
      </c>
      <c r="AA587" s="17">
        <v>9</v>
      </c>
      <c r="AB587" s="36">
        <f>IFERROR(AA587/$AD587,0)</f>
        <v>1.9650655021834062E-2</v>
      </c>
      <c r="AC587" s="16">
        <v>1095</v>
      </c>
      <c r="AD587" s="17">
        <v>458</v>
      </c>
    </row>
    <row r="588" spans="1:30" ht="15.75" customHeight="1" x14ac:dyDescent="0.25">
      <c r="A588" s="37">
        <v>2020</v>
      </c>
      <c r="B588" s="35">
        <v>170386</v>
      </c>
      <c r="C588" s="34" t="s">
        <v>146</v>
      </c>
      <c r="D588" s="34" t="s">
        <v>35</v>
      </c>
      <c r="E588" s="17">
        <v>11</v>
      </c>
      <c r="F588" s="36">
        <f>IFERROR(E588/$AC588,0)</f>
        <v>2.8645833333333332E-2</v>
      </c>
      <c r="G588" s="17">
        <v>4</v>
      </c>
      <c r="H588" s="36">
        <f>IFERROR(G588/$AD588,0)</f>
        <v>6.3492063492063489E-2</v>
      </c>
      <c r="I588" s="17">
        <v>118</v>
      </c>
      <c r="J588" s="36">
        <f>IFERROR(I588/$AC588,0)</f>
        <v>0.30729166666666669</v>
      </c>
      <c r="K588" s="17">
        <v>22</v>
      </c>
      <c r="L588" s="36">
        <f>IFERROR(K588/$AD588,0)</f>
        <v>0.34920634920634919</v>
      </c>
      <c r="M588" s="17">
        <v>150</v>
      </c>
      <c r="N588" s="36">
        <f>IFERROR(M588/$AC588,0)</f>
        <v>0.390625</v>
      </c>
      <c r="O588" s="17">
        <v>20</v>
      </c>
      <c r="P588" s="36">
        <f>IFERROR(O588/$AD588,0)</f>
        <v>0.31746031746031744</v>
      </c>
      <c r="Q588" s="17">
        <v>71</v>
      </c>
      <c r="R588" s="36">
        <f>IFERROR(Q588/$AC588,0)</f>
        <v>0.18489583333333334</v>
      </c>
      <c r="S588" s="17">
        <v>14</v>
      </c>
      <c r="T588" s="36">
        <f>IFERROR(S588/$AD588,0)</f>
        <v>0.22222222222222221</v>
      </c>
      <c r="U588" s="17">
        <v>21</v>
      </c>
      <c r="V588" s="36">
        <f>IFERROR(U588/$AC588,0)</f>
        <v>5.46875E-2</v>
      </c>
      <c r="W588" s="17">
        <v>1</v>
      </c>
      <c r="X588" s="36">
        <f>IFERROR(W588/$AD588,0)</f>
        <v>1.5873015873015872E-2</v>
      </c>
      <c r="Y588" s="17">
        <v>13</v>
      </c>
      <c r="Z588" s="36">
        <f>IFERROR(Y588/$AC588,0)</f>
        <v>3.3854166666666664E-2</v>
      </c>
      <c r="AA588" s="17">
        <v>2</v>
      </c>
      <c r="AB588" s="36">
        <f>IFERROR(AA588/$AD588,0)</f>
        <v>3.1746031746031744E-2</v>
      </c>
      <c r="AC588" s="17">
        <v>384</v>
      </c>
      <c r="AD588" s="17">
        <v>63</v>
      </c>
    </row>
    <row r="589" spans="1:30" ht="15.75" customHeight="1" x14ac:dyDescent="0.25">
      <c r="A589" s="37">
        <v>2020</v>
      </c>
      <c r="B589" s="35">
        <v>170388</v>
      </c>
      <c r="C589" s="34" t="s">
        <v>149</v>
      </c>
      <c r="D589" s="34" t="s">
        <v>36</v>
      </c>
      <c r="E589" s="17">
        <v>0</v>
      </c>
      <c r="F589" s="36">
        <f>IFERROR(E589/$AC589,0)</f>
        <v>0</v>
      </c>
      <c r="G589" s="17">
        <v>0</v>
      </c>
      <c r="H589" s="36">
        <f>IFERROR(G589/$AD589,0)</f>
        <v>0</v>
      </c>
      <c r="I589" s="17">
        <v>6</v>
      </c>
      <c r="J589" s="36">
        <f>IFERROR(I589/$AC589,0)</f>
        <v>0.35294117647058826</v>
      </c>
      <c r="K589" s="17">
        <v>0</v>
      </c>
      <c r="L589" s="36">
        <f>IFERROR(K589/$AD589,0)</f>
        <v>0</v>
      </c>
      <c r="M589" s="17">
        <v>6</v>
      </c>
      <c r="N589" s="36">
        <f>IFERROR(M589/$AC589,0)</f>
        <v>0.35294117647058826</v>
      </c>
      <c r="O589" s="17">
        <v>0</v>
      </c>
      <c r="P589" s="36">
        <f>IFERROR(O589/$AD589,0)</f>
        <v>0</v>
      </c>
      <c r="Q589" s="17">
        <v>5</v>
      </c>
      <c r="R589" s="36">
        <f>IFERROR(Q589/$AC589,0)</f>
        <v>0.29411764705882354</v>
      </c>
      <c r="S589" s="17">
        <v>0</v>
      </c>
      <c r="T589" s="36">
        <f>IFERROR(S589/$AD589,0)</f>
        <v>0</v>
      </c>
      <c r="U589" s="17">
        <v>0</v>
      </c>
      <c r="V589" s="36">
        <f>IFERROR(U589/$AC589,0)</f>
        <v>0</v>
      </c>
      <c r="W589" s="17">
        <v>0</v>
      </c>
      <c r="X589" s="36">
        <f>IFERROR(W589/$AD589,0)</f>
        <v>0</v>
      </c>
      <c r="Y589" s="17">
        <v>0</v>
      </c>
      <c r="Z589" s="36">
        <f>IFERROR(Y589/$AC589,0)</f>
        <v>0</v>
      </c>
      <c r="AA589" s="17">
        <v>0</v>
      </c>
      <c r="AB589" s="36">
        <f>IFERROR(AA589/$AD589,0)</f>
        <v>0</v>
      </c>
      <c r="AC589" s="17">
        <v>17</v>
      </c>
      <c r="AD589" s="17">
        <v>0</v>
      </c>
    </row>
    <row r="590" spans="1:30" ht="15.75" customHeight="1" x14ac:dyDescent="0.25">
      <c r="A590" s="37">
        <v>2020</v>
      </c>
      <c r="B590" s="35">
        <v>170389</v>
      </c>
      <c r="C590" s="34" t="s">
        <v>145</v>
      </c>
      <c r="D590" s="34" t="s">
        <v>37</v>
      </c>
      <c r="E590" s="17">
        <v>5</v>
      </c>
      <c r="F590" s="36">
        <f>IFERROR(E590/$AC590,0)</f>
        <v>2.6041666666666668E-2</v>
      </c>
      <c r="G590" s="17">
        <v>2</v>
      </c>
      <c r="H590" s="36">
        <f>IFERROR(G590/$AD590,0)</f>
        <v>3.9215686274509803E-2</v>
      </c>
      <c r="I590" s="17">
        <v>70</v>
      </c>
      <c r="J590" s="36">
        <f>IFERROR(I590/$AC590,0)</f>
        <v>0.36458333333333331</v>
      </c>
      <c r="K590" s="17">
        <v>12</v>
      </c>
      <c r="L590" s="36">
        <f>IFERROR(K590/$AD590,0)</f>
        <v>0.23529411764705882</v>
      </c>
      <c r="M590" s="17">
        <v>70</v>
      </c>
      <c r="N590" s="36">
        <f>IFERROR(M590/$AC590,0)</f>
        <v>0.36458333333333331</v>
      </c>
      <c r="O590" s="17">
        <v>23</v>
      </c>
      <c r="P590" s="36">
        <f>IFERROR(O590/$AD590,0)</f>
        <v>0.45098039215686275</v>
      </c>
      <c r="Q590" s="17">
        <v>31</v>
      </c>
      <c r="R590" s="36">
        <f>IFERROR(Q590/$AC590,0)</f>
        <v>0.16145833333333334</v>
      </c>
      <c r="S590" s="17">
        <v>12</v>
      </c>
      <c r="T590" s="36">
        <f>IFERROR(S590/$AD590,0)</f>
        <v>0.23529411764705882</v>
      </c>
      <c r="U590" s="17">
        <v>12</v>
      </c>
      <c r="V590" s="36">
        <f>IFERROR(U590/$AC590,0)</f>
        <v>6.25E-2</v>
      </c>
      <c r="W590" s="17">
        <v>1</v>
      </c>
      <c r="X590" s="36">
        <f>IFERROR(W590/$AD590,0)</f>
        <v>1.9607843137254902E-2</v>
      </c>
      <c r="Y590" s="17">
        <v>4</v>
      </c>
      <c r="Z590" s="36">
        <f>IFERROR(Y590/$AC590,0)</f>
        <v>2.0833333333333332E-2</v>
      </c>
      <c r="AA590" s="17">
        <v>1</v>
      </c>
      <c r="AB590" s="36">
        <f>IFERROR(AA590/$AD590,0)</f>
        <v>1.9607843137254902E-2</v>
      </c>
      <c r="AC590" s="17">
        <v>192</v>
      </c>
      <c r="AD590" s="17">
        <v>51</v>
      </c>
    </row>
    <row r="591" spans="1:30" ht="15.75" customHeight="1" x14ac:dyDescent="0.25">
      <c r="A591" s="37">
        <v>2020</v>
      </c>
      <c r="B591" s="35">
        <v>170390</v>
      </c>
      <c r="C591" s="34" t="s">
        <v>144</v>
      </c>
      <c r="D591" s="34" t="s">
        <v>38</v>
      </c>
      <c r="E591" s="17">
        <v>4</v>
      </c>
      <c r="F591" s="36">
        <f>IFERROR(E591/$AC591,0)</f>
        <v>1.1299435028248588E-2</v>
      </c>
      <c r="G591" s="17">
        <v>1</v>
      </c>
      <c r="H591" s="36">
        <f>IFERROR(G591/$AD591,0)</f>
        <v>1.9607843137254902E-2</v>
      </c>
      <c r="I591" s="17">
        <v>117</v>
      </c>
      <c r="J591" s="36">
        <f>IFERROR(I591/$AC591,0)</f>
        <v>0.33050847457627119</v>
      </c>
      <c r="K591" s="17">
        <v>25</v>
      </c>
      <c r="L591" s="36">
        <f>IFERROR(K591/$AD591,0)</f>
        <v>0.49019607843137253</v>
      </c>
      <c r="M591" s="17">
        <v>127</v>
      </c>
      <c r="N591" s="36">
        <f>IFERROR(M591/$AC591,0)</f>
        <v>0.35875706214689268</v>
      </c>
      <c r="O591" s="17">
        <v>15</v>
      </c>
      <c r="P591" s="36">
        <f>IFERROR(O591/$AD591,0)</f>
        <v>0.29411764705882354</v>
      </c>
      <c r="Q591" s="17">
        <v>64</v>
      </c>
      <c r="R591" s="36">
        <f>IFERROR(Q591/$AC591,0)</f>
        <v>0.1807909604519774</v>
      </c>
      <c r="S591" s="17">
        <v>6</v>
      </c>
      <c r="T591" s="36">
        <f>IFERROR(S591/$AD591,0)</f>
        <v>0.11764705882352941</v>
      </c>
      <c r="U591" s="17">
        <v>32</v>
      </c>
      <c r="V591" s="36">
        <f>IFERROR(U591/$AC591,0)</f>
        <v>9.03954802259887E-2</v>
      </c>
      <c r="W591" s="17">
        <v>2</v>
      </c>
      <c r="X591" s="36">
        <f>IFERROR(W591/$AD591,0)</f>
        <v>3.9215686274509803E-2</v>
      </c>
      <c r="Y591" s="17">
        <v>10</v>
      </c>
      <c r="Z591" s="36">
        <f>IFERROR(Y591/$AC591,0)</f>
        <v>2.8248587570621469E-2</v>
      </c>
      <c r="AA591" s="17">
        <v>2</v>
      </c>
      <c r="AB591" s="36">
        <f>IFERROR(AA591/$AD591,0)</f>
        <v>3.9215686274509803E-2</v>
      </c>
      <c r="AC591" s="17">
        <v>354</v>
      </c>
      <c r="AD591" s="17">
        <v>51</v>
      </c>
    </row>
    <row r="592" spans="1:30" ht="15.75" customHeight="1" x14ac:dyDescent="0.25">
      <c r="A592" s="37">
        <v>2020</v>
      </c>
      <c r="B592" s="35">
        <v>170410</v>
      </c>
      <c r="C592" s="34" t="s">
        <v>150</v>
      </c>
      <c r="D592" s="34" t="s">
        <v>39</v>
      </c>
      <c r="E592" s="17">
        <v>0</v>
      </c>
      <c r="F592" s="36">
        <f>IFERROR(E592/$AC592,0)</f>
        <v>0</v>
      </c>
      <c r="G592" s="17">
        <v>0</v>
      </c>
      <c r="H592" s="36">
        <f>IFERROR(G592/$AD592,0)</f>
        <v>0</v>
      </c>
      <c r="I592" s="17">
        <v>48</v>
      </c>
      <c r="J592" s="36">
        <f>IFERROR(I592/$AC592,0)</f>
        <v>0.32653061224489793</v>
      </c>
      <c r="K592" s="17">
        <v>40</v>
      </c>
      <c r="L592" s="36">
        <f>IFERROR(K592/$AD592,0)</f>
        <v>0.33057851239669422</v>
      </c>
      <c r="M592" s="17">
        <v>51</v>
      </c>
      <c r="N592" s="36">
        <f>IFERROR(M592/$AC592,0)</f>
        <v>0.34693877551020408</v>
      </c>
      <c r="O592" s="17">
        <v>44</v>
      </c>
      <c r="P592" s="36">
        <f>IFERROR(O592/$AD592,0)</f>
        <v>0.36363636363636365</v>
      </c>
      <c r="Q592" s="17">
        <v>34</v>
      </c>
      <c r="R592" s="36">
        <f>IFERROR(Q592/$AC592,0)</f>
        <v>0.23129251700680273</v>
      </c>
      <c r="S592" s="17">
        <v>26</v>
      </c>
      <c r="T592" s="36">
        <f>IFERROR(S592/$AD592,0)</f>
        <v>0.21487603305785125</v>
      </c>
      <c r="U592" s="17">
        <v>10</v>
      </c>
      <c r="V592" s="36">
        <f>IFERROR(U592/$AC592,0)</f>
        <v>6.8027210884353748E-2</v>
      </c>
      <c r="W592" s="17">
        <v>8</v>
      </c>
      <c r="X592" s="36">
        <f>IFERROR(W592/$AD592,0)</f>
        <v>6.6115702479338845E-2</v>
      </c>
      <c r="Y592" s="17">
        <v>4</v>
      </c>
      <c r="Z592" s="36">
        <f>IFERROR(Y592/$AC592,0)</f>
        <v>2.7210884353741496E-2</v>
      </c>
      <c r="AA592" s="17">
        <v>3</v>
      </c>
      <c r="AB592" s="36">
        <f>IFERROR(AA592/$AD592,0)</f>
        <v>2.4793388429752067E-2</v>
      </c>
      <c r="AC592" s="17">
        <v>147</v>
      </c>
      <c r="AD592" s="17">
        <v>121</v>
      </c>
    </row>
    <row r="593" spans="1:30" ht="15.75" customHeight="1" x14ac:dyDescent="0.25">
      <c r="A593" s="37">
        <v>2020</v>
      </c>
      <c r="B593" s="35">
        <v>170510</v>
      </c>
      <c r="C593" s="34" t="s">
        <v>151</v>
      </c>
      <c r="D593" s="34" t="s">
        <v>40</v>
      </c>
      <c r="E593" s="17">
        <v>7</v>
      </c>
      <c r="F593" s="36">
        <f>IFERROR(E593/$AC593,0)</f>
        <v>1.3409961685823755E-2</v>
      </c>
      <c r="G593" s="17">
        <v>1</v>
      </c>
      <c r="H593" s="36">
        <f>IFERROR(G593/$AD593,0)</f>
        <v>1.1627906976744186E-2</v>
      </c>
      <c r="I593" s="17">
        <v>209</v>
      </c>
      <c r="J593" s="36">
        <f>IFERROR(I593/$AC593,0)</f>
        <v>0.4003831417624521</v>
      </c>
      <c r="K593" s="17">
        <v>29</v>
      </c>
      <c r="L593" s="36">
        <f>IFERROR(K593/$AD593,0)</f>
        <v>0.33720930232558138</v>
      </c>
      <c r="M593" s="17">
        <v>171</v>
      </c>
      <c r="N593" s="36">
        <f>IFERROR(M593/$AC593,0)</f>
        <v>0.32758620689655171</v>
      </c>
      <c r="O593" s="17">
        <v>26</v>
      </c>
      <c r="P593" s="36">
        <f>IFERROR(O593/$AD593,0)</f>
        <v>0.30232558139534882</v>
      </c>
      <c r="Q593" s="17">
        <v>90</v>
      </c>
      <c r="R593" s="36">
        <f>IFERROR(Q593/$AC593,0)</f>
        <v>0.17241379310344829</v>
      </c>
      <c r="S593" s="17">
        <v>16</v>
      </c>
      <c r="T593" s="36">
        <f>IFERROR(S593/$AD593,0)</f>
        <v>0.18604651162790697</v>
      </c>
      <c r="U593" s="17">
        <v>35</v>
      </c>
      <c r="V593" s="36">
        <f>IFERROR(U593/$AC593,0)</f>
        <v>6.7049808429118771E-2</v>
      </c>
      <c r="W593" s="17">
        <v>13</v>
      </c>
      <c r="X593" s="36">
        <f>IFERROR(W593/$AD593,0)</f>
        <v>0.15116279069767441</v>
      </c>
      <c r="Y593" s="17">
        <v>10</v>
      </c>
      <c r="Z593" s="36">
        <f>IFERROR(Y593/$AC593,0)</f>
        <v>1.9157088122605363E-2</v>
      </c>
      <c r="AA593" s="17">
        <v>1</v>
      </c>
      <c r="AB593" s="36">
        <f>IFERROR(AA593/$AD593,0)</f>
        <v>1.1627906976744186E-2</v>
      </c>
      <c r="AC593" s="17">
        <v>522</v>
      </c>
      <c r="AD593" s="17">
        <v>86</v>
      </c>
    </row>
    <row r="594" spans="1:30" ht="15.75" customHeight="1" x14ac:dyDescent="0.25">
      <c r="A594" s="37">
        <v>2020</v>
      </c>
      <c r="B594" s="35">
        <v>170460</v>
      </c>
      <c r="C594" s="34" t="s">
        <v>144</v>
      </c>
      <c r="D594" s="34" t="s">
        <v>41</v>
      </c>
      <c r="E594" s="17">
        <v>3</v>
      </c>
      <c r="F594" s="36">
        <f>IFERROR(E594/$AC594,0)</f>
        <v>2.2388059701492536E-2</v>
      </c>
      <c r="G594" s="17">
        <v>3</v>
      </c>
      <c r="H594" s="36">
        <f>IFERROR(G594/$AD594,0)</f>
        <v>2.8846153846153848E-2</v>
      </c>
      <c r="I594" s="17">
        <v>52</v>
      </c>
      <c r="J594" s="36">
        <f>IFERROR(I594/$AC594,0)</f>
        <v>0.38805970149253732</v>
      </c>
      <c r="K594" s="17">
        <v>39</v>
      </c>
      <c r="L594" s="36">
        <f>IFERROR(K594/$AD594,0)</f>
        <v>0.375</v>
      </c>
      <c r="M594" s="17">
        <v>36</v>
      </c>
      <c r="N594" s="36">
        <f>IFERROR(M594/$AC594,0)</f>
        <v>0.26865671641791045</v>
      </c>
      <c r="O594" s="17">
        <v>29</v>
      </c>
      <c r="P594" s="36">
        <f>IFERROR(O594/$AD594,0)</f>
        <v>0.27884615384615385</v>
      </c>
      <c r="Q594" s="17">
        <v>31</v>
      </c>
      <c r="R594" s="36">
        <f>IFERROR(Q594/$AC594,0)</f>
        <v>0.23134328358208955</v>
      </c>
      <c r="S594" s="17">
        <v>23</v>
      </c>
      <c r="T594" s="36">
        <f>IFERROR(S594/$AD594,0)</f>
        <v>0.22115384615384615</v>
      </c>
      <c r="U594" s="17">
        <v>8</v>
      </c>
      <c r="V594" s="36">
        <f>IFERROR(U594/$AC594,0)</f>
        <v>5.9701492537313432E-2</v>
      </c>
      <c r="W594" s="17">
        <v>7</v>
      </c>
      <c r="X594" s="36">
        <f>IFERROR(W594/$AD594,0)</f>
        <v>6.7307692307692304E-2</v>
      </c>
      <c r="Y594" s="17">
        <v>4</v>
      </c>
      <c r="Z594" s="36">
        <f>IFERROR(Y594/$AC594,0)</f>
        <v>2.9850746268656716E-2</v>
      </c>
      <c r="AA594" s="17">
        <v>3</v>
      </c>
      <c r="AB594" s="36">
        <f>IFERROR(AA594/$AD594,0)</f>
        <v>2.8846153846153848E-2</v>
      </c>
      <c r="AC594" s="17">
        <v>134</v>
      </c>
      <c r="AD594" s="17">
        <v>104</v>
      </c>
    </row>
    <row r="595" spans="1:30" ht="15.75" customHeight="1" x14ac:dyDescent="0.25">
      <c r="A595" s="37">
        <v>2020</v>
      </c>
      <c r="B595" s="35">
        <v>170550</v>
      </c>
      <c r="C595" s="34" t="s">
        <v>150</v>
      </c>
      <c r="D595" s="34" t="s">
        <v>42</v>
      </c>
      <c r="E595" s="17">
        <v>48</v>
      </c>
      <c r="F595" s="36">
        <f>IFERROR(E595/$AC595,0)</f>
        <v>2.5316455696202531E-2</v>
      </c>
      <c r="G595" s="17">
        <v>18</v>
      </c>
      <c r="H595" s="36">
        <f>IFERROR(G595/$AD595,0)</f>
        <v>2.9900332225913623E-2</v>
      </c>
      <c r="I595" s="17">
        <v>683</v>
      </c>
      <c r="J595" s="36">
        <f>IFERROR(I595/$AC595,0)</f>
        <v>0.36023206751054854</v>
      </c>
      <c r="K595" s="17">
        <v>216</v>
      </c>
      <c r="L595" s="36">
        <f>IFERROR(K595/$AD595,0)</f>
        <v>0.35880398671096347</v>
      </c>
      <c r="M595" s="17">
        <v>653</v>
      </c>
      <c r="N595" s="36">
        <f>IFERROR(M595/$AC595,0)</f>
        <v>0.34440928270042193</v>
      </c>
      <c r="O595" s="17">
        <v>202</v>
      </c>
      <c r="P595" s="36">
        <f>IFERROR(O595/$AD595,0)</f>
        <v>0.33554817275747506</v>
      </c>
      <c r="Q595" s="17">
        <v>328</v>
      </c>
      <c r="R595" s="36">
        <f>IFERROR(Q595/$AC595,0)</f>
        <v>0.1729957805907173</v>
      </c>
      <c r="S595" s="17">
        <v>111</v>
      </c>
      <c r="T595" s="36">
        <f>IFERROR(S595/$AD595,0)</f>
        <v>0.18438538205980065</v>
      </c>
      <c r="U595" s="17">
        <v>136</v>
      </c>
      <c r="V595" s="36">
        <f>IFERROR(U595/$AC595,0)</f>
        <v>7.1729957805907171E-2</v>
      </c>
      <c r="W595" s="17">
        <v>41</v>
      </c>
      <c r="X595" s="36">
        <f>IFERROR(W595/$AD595,0)</f>
        <v>6.8106312292358806E-2</v>
      </c>
      <c r="Y595" s="17">
        <v>48</v>
      </c>
      <c r="Z595" s="36">
        <f>IFERROR(Y595/$AC595,0)</f>
        <v>2.5316455696202531E-2</v>
      </c>
      <c r="AA595" s="17">
        <v>14</v>
      </c>
      <c r="AB595" s="36">
        <f>IFERROR(AA595/$AD595,0)</f>
        <v>2.3255813953488372E-2</v>
      </c>
      <c r="AC595" s="16">
        <v>1896</v>
      </c>
      <c r="AD595" s="17">
        <v>602</v>
      </c>
    </row>
    <row r="596" spans="1:30" ht="15.75" customHeight="1" x14ac:dyDescent="0.25">
      <c r="A596" s="37">
        <v>2020</v>
      </c>
      <c r="B596" s="35">
        <v>171670</v>
      </c>
      <c r="C596" s="34" t="s">
        <v>150</v>
      </c>
      <c r="D596" s="34" t="s">
        <v>43</v>
      </c>
      <c r="E596" s="17">
        <v>13</v>
      </c>
      <c r="F596" s="36">
        <f>IFERROR(E596/$AC596,0)</f>
        <v>2.5096525096525095E-2</v>
      </c>
      <c r="G596" s="17">
        <v>10</v>
      </c>
      <c r="H596" s="36">
        <f>IFERROR(G596/$AD596,0)</f>
        <v>3.3670033670033669E-2</v>
      </c>
      <c r="I596" s="17">
        <v>194</v>
      </c>
      <c r="J596" s="36">
        <f>IFERROR(I596/$AC596,0)</f>
        <v>0.37451737451737449</v>
      </c>
      <c r="K596" s="17">
        <v>117</v>
      </c>
      <c r="L596" s="36">
        <f>IFERROR(K596/$AD596,0)</f>
        <v>0.39393939393939392</v>
      </c>
      <c r="M596" s="17">
        <v>166</v>
      </c>
      <c r="N596" s="36">
        <f>IFERROR(M596/$AC596,0)</f>
        <v>0.32046332046332049</v>
      </c>
      <c r="O596" s="17">
        <v>89</v>
      </c>
      <c r="P596" s="36">
        <f>IFERROR(O596/$AD596,0)</f>
        <v>0.29966329966329969</v>
      </c>
      <c r="Q596" s="17">
        <v>84</v>
      </c>
      <c r="R596" s="36">
        <f>IFERROR(Q596/$AC596,0)</f>
        <v>0.16216216216216217</v>
      </c>
      <c r="S596" s="17">
        <v>48</v>
      </c>
      <c r="T596" s="36">
        <f>IFERROR(S596/$AD596,0)</f>
        <v>0.16161616161616163</v>
      </c>
      <c r="U596" s="17">
        <v>41</v>
      </c>
      <c r="V596" s="36">
        <f>IFERROR(U596/$AC596,0)</f>
        <v>7.9150579150579145E-2</v>
      </c>
      <c r="W596" s="17">
        <v>21</v>
      </c>
      <c r="X596" s="36">
        <f>IFERROR(W596/$AD596,0)</f>
        <v>7.0707070707070704E-2</v>
      </c>
      <c r="Y596" s="17">
        <v>20</v>
      </c>
      <c r="Z596" s="36">
        <f>IFERROR(Y596/$AC596,0)</f>
        <v>3.8610038610038609E-2</v>
      </c>
      <c r="AA596" s="17">
        <v>12</v>
      </c>
      <c r="AB596" s="36">
        <f>IFERROR(AA596/$AD596,0)</f>
        <v>4.0404040404040407E-2</v>
      </c>
      <c r="AC596" s="17">
        <v>518</v>
      </c>
      <c r="AD596" s="17">
        <v>297</v>
      </c>
    </row>
    <row r="597" spans="1:30" ht="15.75" customHeight="1" x14ac:dyDescent="0.25">
      <c r="A597" s="37">
        <v>2020</v>
      </c>
      <c r="B597" s="35">
        <v>170555</v>
      </c>
      <c r="C597" s="34" t="s">
        <v>147</v>
      </c>
      <c r="D597" s="34" t="s">
        <v>44</v>
      </c>
      <c r="E597" s="17">
        <v>10</v>
      </c>
      <c r="F597" s="36">
        <f>IFERROR(E597/$AC597,0)</f>
        <v>1.841620626151013E-2</v>
      </c>
      <c r="G597" s="17">
        <v>10</v>
      </c>
      <c r="H597" s="36">
        <f>IFERROR(G597/$AD597,0)</f>
        <v>3.787878787878788E-2</v>
      </c>
      <c r="I597" s="17">
        <v>237</v>
      </c>
      <c r="J597" s="36">
        <f>IFERROR(I597/$AC597,0)</f>
        <v>0.43646408839779005</v>
      </c>
      <c r="K597" s="17">
        <v>115</v>
      </c>
      <c r="L597" s="36">
        <f>IFERROR(K597/$AD597,0)</f>
        <v>0.43560606060606061</v>
      </c>
      <c r="M597" s="17">
        <v>173</v>
      </c>
      <c r="N597" s="36">
        <f>IFERROR(M597/$AC597,0)</f>
        <v>0.31860036832412525</v>
      </c>
      <c r="O597" s="17">
        <v>83</v>
      </c>
      <c r="P597" s="36">
        <f>IFERROR(O597/$AD597,0)</f>
        <v>0.31439393939393939</v>
      </c>
      <c r="Q597" s="17">
        <v>83</v>
      </c>
      <c r="R597" s="36">
        <f>IFERROR(Q597/$AC597,0)</f>
        <v>0.15285451197053407</v>
      </c>
      <c r="S597" s="17">
        <v>39</v>
      </c>
      <c r="T597" s="36">
        <f>IFERROR(S597/$AD597,0)</f>
        <v>0.14772727272727273</v>
      </c>
      <c r="U597" s="17">
        <v>29</v>
      </c>
      <c r="V597" s="36">
        <f>IFERROR(U597/$AC597,0)</f>
        <v>5.3406998158379376E-2</v>
      </c>
      <c r="W597" s="17">
        <v>13</v>
      </c>
      <c r="X597" s="36">
        <f>IFERROR(W597/$AD597,0)</f>
        <v>4.924242424242424E-2</v>
      </c>
      <c r="Y597" s="17">
        <v>11</v>
      </c>
      <c r="Z597" s="36">
        <f>IFERROR(Y597/$AC597,0)</f>
        <v>2.0257826887661142E-2</v>
      </c>
      <c r="AA597" s="17">
        <v>4</v>
      </c>
      <c r="AB597" s="36">
        <f>IFERROR(AA597/$AD597,0)</f>
        <v>1.5151515151515152E-2</v>
      </c>
      <c r="AC597" s="17">
        <v>543</v>
      </c>
      <c r="AD597" s="17">
        <v>264</v>
      </c>
    </row>
    <row r="598" spans="1:30" ht="15.75" customHeight="1" x14ac:dyDescent="0.25">
      <c r="A598" s="37">
        <v>2020</v>
      </c>
      <c r="B598" s="35">
        <v>170560</v>
      </c>
      <c r="C598" s="34" t="s">
        <v>147</v>
      </c>
      <c r="D598" s="34" t="s">
        <v>45</v>
      </c>
      <c r="E598" s="17">
        <v>9</v>
      </c>
      <c r="F598" s="36">
        <f>IFERROR(E598/$AC598,0)</f>
        <v>3.9473684210526314E-2</v>
      </c>
      <c r="G598" s="17">
        <v>0</v>
      </c>
      <c r="H598" s="36">
        <f>IFERROR(G598/$AD598,0)</f>
        <v>0</v>
      </c>
      <c r="I598" s="17">
        <v>67</v>
      </c>
      <c r="J598" s="36">
        <f>IFERROR(I598/$AC598,0)</f>
        <v>0.29385964912280704</v>
      </c>
      <c r="K598" s="17">
        <v>2</v>
      </c>
      <c r="L598" s="36">
        <f>IFERROR(K598/$AD598,0)</f>
        <v>0.2</v>
      </c>
      <c r="M598" s="17">
        <v>85</v>
      </c>
      <c r="N598" s="36">
        <f>IFERROR(M598/$AC598,0)</f>
        <v>0.37280701754385964</v>
      </c>
      <c r="O598" s="17">
        <v>4</v>
      </c>
      <c r="P598" s="36">
        <f>IFERROR(O598/$AD598,0)</f>
        <v>0.4</v>
      </c>
      <c r="Q598" s="17">
        <v>43</v>
      </c>
      <c r="R598" s="36">
        <f>IFERROR(Q598/$AC598,0)</f>
        <v>0.18859649122807018</v>
      </c>
      <c r="S598" s="17">
        <v>4</v>
      </c>
      <c r="T598" s="36">
        <f>IFERROR(S598/$AD598,0)</f>
        <v>0.4</v>
      </c>
      <c r="U598" s="17">
        <v>17</v>
      </c>
      <c r="V598" s="36">
        <f>IFERROR(U598/$AC598,0)</f>
        <v>7.4561403508771926E-2</v>
      </c>
      <c r="W598" s="17">
        <v>0</v>
      </c>
      <c r="X598" s="36">
        <f>IFERROR(W598/$AD598,0)</f>
        <v>0</v>
      </c>
      <c r="Y598" s="17">
        <v>7</v>
      </c>
      <c r="Z598" s="36">
        <f>IFERROR(Y598/$AC598,0)</f>
        <v>3.0701754385964911E-2</v>
      </c>
      <c r="AA598" s="17">
        <v>0</v>
      </c>
      <c r="AB598" s="36">
        <f>IFERROR(AA598/$AD598,0)</f>
        <v>0</v>
      </c>
      <c r="AC598" s="17">
        <v>228</v>
      </c>
      <c r="AD598" s="17">
        <v>10</v>
      </c>
    </row>
    <row r="599" spans="1:30" ht="15.75" customHeight="1" x14ac:dyDescent="0.25">
      <c r="A599" s="37">
        <v>2020</v>
      </c>
      <c r="B599" s="35">
        <v>170600</v>
      </c>
      <c r="C599" s="34" t="s">
        <v>150</v>
      </c>
      <c r="D599" s="34" t="s">
        <v>46</v>
      </c>
      <c r="E599" s="17">
        <v>2</v>
      </c>
      <c r="F599" s="36">
        <f>IFERROR(E599/$AC599,0)</f>
        <v>7.7821011673151752E-3</v>
      </c>
      <c r="G599" s="17">
        <v>1</v>
      </c>
      <c r="H599" s="36">
        <f>IFERROR(G599/$AD599,0)</f>
        <v>5.4054054054054057E-3</v>
      </c>
      <c r="I599" s="17">
        <v>100</v>
      </c>
      <c r="J599" s="36">
        <f>IFERROR(I599/$AC599,0)</f>
        <v>0.38910505836575876</v>
      </c>
      <c r="K599" s="17">
        <v>77</v>
      </c>
      <c r="L599" s="36">
        <f>IFERROR(K599/$AD599,0)</f>
        <v>0.41621621621621624</v>
      </c>
      <c r="M599" s="17">
        <v>84</v>
      </c>
      <c r="N599" s="36">
        <f>IFERROR(M599/$AC599,0)</f>
        <v>0.32684824902723736</v>
      </c>
      <c r="O599" s="17">
        <v>58</v>
      </c>
      <c r="P599" s="36">
        <f>IFERROR(O599/$AD599,0)</f>
        <v>0.31351351351351353</v>
      </c>
      <c r="Q599" s="17">
        <v>44</v>
      </c>
      <c r="R599" s="36">
        <f>IFERROR(Q599/$AC599,0)</f>
        <v>0.17120622568093385</v>
      </c>
      <c r="S599" s="17">
        <v>29</v>
      </c>
      <c r="T599" s="36">
        <f>IFERROR(S599/$AD599,0)</f>
        <v>0.15675675675675677</v>
      </c>
      <c r="U599" s="17">
        <v>23</v>
      </c>
      <c r="V599" s="36">
        <f>IFERROR(U599/$AC599,0)</f>
        <v>8.9494163424124515E-2</v>
      </c>
      <c r="W599" s="17">
        <v>17</v>
      </c>
      <c r="X599" s="36">
        <f>IFERROR(W599/$AD599,0)</f>
        <v>9.1891891891891897E-2</v>
      </c>
      <c r="Y599" s="17">
        <v>4</v>
      </c>
      <c r="Z599" s="36">
        <f>IFERROR(Y599/$AC599,0)</f>
        <v>1.556420233463035E-2</v>
      </c>
      <c r="AA599" s="17">
        <v>3</v>
      </c>
      <c r="AB599" s="36">
        <f>IFERROR(AA599/$AD599,0)</f>
        <v>1.6216216216216217E-2</v>
      </c>
      <c r="AC599" s="17">
        <v>257</v>
      </c>
      <c r="AD599" s="17">
        <v>185</v>
      </c>
    </row>
    <row r="600" spans="1:30" ht="15.75" customHeight="1" x14ac:dyDescent="0.25">
      <c r="A600" s="37">
        <v>2020</v>
      </c>
      <c r="B600" s="35">
        <v>170610</v>
      </c>
      <c r="C600" s="34" t="s">
        <v>144</v>
      </c>
      <c r="D600" s="34" t="s">
        <v>47</v>
      </c>
      <c r="E600" s="17">
        <v>9</v>
      </c>
      <c r="F600" s="36">
        <f>IFERROR(E600/$AC600,0)</f>
        <v>2.1176470588235293E-2</v>
      </c>
      <c r="G600" s="17">
        <v>4</v>
      </c>
      <c r="H600" s="36">
        <f>IFERROR(G600/$AD600,0)</f>
        <v>1.6326530612244899E-2</v>
      </c>
      <c r="I600" s="17">
        <v>161</v>
      </c>
      <c r="J600" s="36">
        <f>IFERROR(I600/$AC600,0)</f>
        <v>0.37882352941176473</v>
      </c>
      <c r="K600" s="17">
        <v>103</v>
      </c>
      <c r="L600" s="36">
        <f>IFERROR(K600/$AD600,0)</f>
        <v>0.42040816326530611</v>
      </c>
      <c r="M600" s="17">
        <v>163</v>
      </c>
      <c r="N600" s="36">
        <f>IFERROR(M600/$AC600,0)</f>
        <v>0.3835294117647059</v>
      </c>
      <c r="O600" s="17">
        <v>82</v>
      </c>
      <c r="P600" s="36">
        <f>IFERROR(O600/$AD600,0)</f>
        <v>0.33469387755102042</v>
      </c>
      <c r="Q600" s="17">
        <v>59</v>
      </c>
      <c r="R600" s="36">
        <f>IFERROR(Q600/$AC600,0)</f>
        <v>0.13882352941176471</v>
      </c>
      <c r="S600" s="17">
        <v>36</v>
      </c>
      <c r="T600" s="36">
        <f>IFERROR(S600/$AD600,0)</f>
        <v>0.14693877551020409</v>
      </c>
      <c r="U600" s="17">
        <v>26</v>
      </c>
      <c r="V600" s="36">
        <f>IFERROR(U600/$AC600,0)</f>
        <v>6.1176470588235297E-2</v>
      </c>
      <c r="W600" s="17">
        <v>17</v>
      </c>
      <c r="X600" s="36">
        <f>IFERROR(W600/$AD600,0)</f>
        <v>6.9387755102040816E-2</v>
      </c>
      <c r="Y600" s="17">
        <v>7</v>
      </c>
      <c r="Z600" s="36">
        <f>IFERROR(Y600/$AC600,0)</f>
        <v>1.6470588235294119E-2</v>
      </c>
      <c r="AA600" s="17">
        <v>3</v>
      </c>
      <c r="AB600" s="36">
        <f>IFERROR(AA600/$AD600,0)</f>
        <v>1.2244897959183673E-2</v>
      </c>
      <c r="AC600" s="17">
        <v>425</v>
      </c>
      <c r="AD600" s="17">
        <v>245</v>
      </c>
    </row>
    <row r="601" spans="1:30" ht="15.75" customHeight="1" x14ac:dyDescent="0.25">
      <c r="A601" s="37">
        <v>2020</v>
      </c>
      <c r="B601" s="35">
        <v>170625</v>
      </c>
      <c r="C601" s="34" t="s">
        <v>146</v>
      </c>
      <c r="D601" s="34" t="s">
        <v>48</v>
      </c>
      <c r="E601" s="17">
        <v>3</v>
      </c>
      <c r="F601" s="36">
        <f>IFERROR(E601/$AC601,0)</f>
        <v>9.202453987730062E-3</v>
      </c>
      <c r="G601" s="17">
        <v>0</v>
      </c>
      <c r="H601" s="36">
        <f>IFERROR(G601/$AD601,0)</f>
        <v>0</v>
      </c>
      <c r="I601" s="17">
        <v>85</v>
      </c>
      <c r="J601" s="36">
        <f>IFERROR(I601/$AC601,0)</f>
        <v>0.2607361963190184</v>
      </c>
      <c r="K601" s="17">
        <v>20</v>
      </c>
      <c r="L601" s="36">
        <f>IFERROR(K601/$AD601,0)</f>
        <v>0.32786885245901637</v>
      </c>
      <c r="M601" s="17">
        <v>122</v>
      </c>
      <c r="N601" s="36">
        <f>IFERROR(M601/$AC601,0)</f>
        <v>0.37423312883435583</v>
      </c>
      <c r="O601" s="17">
        <v>18</v>
      </c>
      <c r="P601" s="36">
        <f>IFERROR(O601/$AD601,0)</f>
        <v>0.29508196721311475</v>
      </c>
      <c r="Q601" s="17">
        <v>73</v>
      </c>
      <c r="R601" s="36">
        <f>IFERROR(Q601/$AC601,0)</f>
        <v>0.22392638036809817</v>
      </c>
      <c r="S601" s="17">
        <v>13</v>
      </c>
      <c r="T601" s="36">
        <f>IFERROR(S601/$AD601,0)</f>
        <v>0.21311475409836064</v>
      </c>
      <c r="U601" s="17">
        <v>26</v>
      </c>
      <c r="V601" s="36">
        <f>IFERROR(U601/$AC601,0)</f>
        <v>7.9754601226993863E-2</v>
      </c>
      <c r="W601" s="17">
        <v>5</v>
      </c>
      <c r="X601" s="36">
        <f>IFERROR(W601/$AD601,0)</f>
        <v>8.1967213114754092E-2</v>
      </c>
      <c r="Y601" s="17">
        <v>17</v>
      </c>
      <c r="Z601" s="36">
        <f>IFERROR(Y601/$AC601,0)</f>
        <v>5.2147239263803678E-2</v>
      </c>
      <c r="AA601" s="17">
        <v>5</v>
      </c>
      <c r="AB601" s="36">
        <f>IFERROR(AA601/$AD601,0)</f>
        <v>8.1967213114754092E-2</v>
      </c>
      <c r="AC601" s="17">
        <v>326</v>
      </c>
      <c r="AD601" s="17">
        <v>61</v>
      </c>
    </row>
    <row r="602" spans="1:30" ht="15.75" customHeight="1" x14ac:dyDescent="0.25">
      <c r="A602" s="37">
        <v>2020</v>
      </c>
      <c r="B602" s="35">
        <v>170650</v>
      </c>
      <c r="C602" s="34" t="s">
        <v>149</v>
      </c>
      <c r="D602" s="34" t="s">
        <v>49</v>
      </c>
      <c r="E602" s="17">
        <v>3</v>
      </c>
      <c r="F602" s="36">
        <f>IFERROR(E602/$AC602,0)</f>
        <v>3.9473684210526314E-2</v>
      </c>
      <c r="G602" s="17">
        <v>3</v>
      </c>
      <c r="H602" s="36">
        <f>IFERROR(G602/$AD602,0)</f>
        <v>6.8181818181818177E-2</v>
      </c>
      <c r="I602" s="17">
        <v>22</v>
      </c>
      <c r="J602" s="36">
        <f>IFERROR(I602/$AC602,0)</f>
        <v>0.28947368421052633</v>
      </c>
      <c r="K602" s="17">
        <v>14</v>
      </c>
      <c r="L602" s="36">
        <f>IFERROR(K602/$AD602,0)</f>
        <v>0.31818181818181818</v>
      </c>
      <c r="M602" s="17">
        <v>27</v>
      </c>
      <c r="N602" s="36">
        <f>IFERROR(M602/$AC602,0)</f>
        <v>0.35526315789473684</v>
      </c>
      <c r="O602" s="17">
        <v>17</v>
      </c>
      <c r="P602" s="36">
        <f>IFERROR(O602/$AD602,0)</f>
        <v>0.38636363636363635</v>
      </c>
      <c r="Q602" s="17">
        <v>14</v>
      </c>
      <c r="R602" s="36">
        <f>IFERROR(Q602/$AC602,0)</f>
        <v>0.18421052631578946</v>
      </c>
      <c r="S602" s="17">
        <v>6</v>
      </c>
      <c r="T602" s="36">
        <f>IFERROR(S602/$AD602,0)</f>
        <v>0.13636363636363635</v>
      </c>
      <c r="U602" s="17">
        <v>4</v>
      </c>
      <c r="V602" s="36">
        <f>IFERROR(U602/$AC602,0)</f>
        <v>5.2631578947368418E-2</v>
      </c>
      <c r="W602" s="17">
        <v>1</v>
      </c>
      <c r="X602" s="36">
        <f>IFERROR(W602/$AD602,0)</f>
        <v>2.2727272727272728E-2</v>
      </c>
      <c r="Y602" s="17">
        <v>6</v>
      </c>
      <c r="Z602" s="36">
        <f>IFERROR(Y602/$AC602,0)</f>
        <v>7.8947368421052627E-2</v>
      </c>
      <c r="AA602" s="17">
        <v>3</v>
      </c>
      <c r="AB602" s="36">
        <f>IFERROR(AA602/$AD602,0)</f>
        <v>6.8181818181818177E-2</v>
      </c>
      <c r="AC602" s="17">
        <v>76</v>
      </c>
      <c r="AD602" s="17">
        <v>44</v>
      </c>
    </row>
    <row r="603" spans="1:30" ht="15.75" customHeight="1" x14ac:dyDescent="0.25">
      <c r="A603" s="37">
        <v>2020</v>
      </c>
      <c r="B603" s="35">
        <v>170700</v>
      </c>
      <c r="C603" s="34" t="s">
        <v>147</v>
      </c>
      <c r="D603" s="34" t="s">
        <v>50</v>
      </c>
      <c r="E603" s="17">
        <v>40</v>
      </c>
      <c r="F603" s="36">
        <f>IFERROR(E603/$AC603,0)</f>
        <v>2.2209883398112161E-2</v>
      </c>
      <c r="G603" s="17">
        <v>15</v>
      </c>
      <c r="H603" s="36">
        <f>IFERROR(G603/$AD603,0)</f>
        <v>2.8462998102466792E-2</v>
      </c>
      <c r="I603" s="17">
        <v>616</v>
      </c>
      <c r="J603" s="36">
        <f>IFERROR(I603/$AC603,0)</f>
        <v>0.34203220433092724</v>
      </c>
      <c r="K603" s="17">
        <v>182</v>
      </c>
      <c r="L603" s="36">
        <f>IFERROR(K603/$AD603,0)</f>
        <v>0.34535104364326374</v>
      </c>
      <c r="M603" s="17">
        <v>645</v>
      </c>
      <c r="N603" s="36">
        <f>IFERROR(M603/$AC603,0)</f>
        <v>0.35813436979455859</v>
      </c>
      <c r="O603" s="17">
        <v>179</v>
      </c>
      <c r="P603" s="36">
        <f>IFERROR(O603/$AD603,0)</f>
        <v>0.3396584440227704</v>
      </c>
      <c r="Q603" s="17">
        <v>348</v>
      </c>
      <c r="R603" s="36">
        <f>IFERROR(Q603/$AC603,0)</f>
        <v>0.19322598556357579</v>
      </c>
      <c r="S603" s="17">
        <v>98</v>
      </c>
      <c r="T603" s="36">
        <f>IFERROR(S603/$AD603,0)</f>
        <v>0.1859582542694497</v>
      </c>
      <c r="U603" s="17">
        <v>104</v>
      </c>
      <c r="V603" s="36">
        <f>IFERROR(U603/$AC603,0)</f>
        <v>5.7745696835091613E-2</v>
      </c>
      <c r="W603" s="17">
        <v>37</v>
      </c>
      <c r="X603" s="36">
        <f>IFERROR(W603/$AD603,0)</f>
        <v>7.020872865275142E-2</v>
      </c>
      <c r="Y603" s="17">
        <v>48</v>
      </c>
      <c r="Z603" s="36">
        <f>IFERROR(Y603/$AC603,0)</f>
        <v>2.6651860077734593E-2</v>
      </c>
      <c r="AA603" s="17">
        <v>16</v>
      </c>
      <c r="AB603" s="36">
        <f>IFERROR(AA603/$AD603,0)</f>
        <v>3.0360531309297913E-2</v>
      </c>
      <c r="AC603" s="16">
        <v>1801</v>
      </c>
      <c r="AD603" s="17">
        <v>527</v>
      </c>
    </row>
    <row r="604" spans="1:30" ht="15.75" customHeight="1" x14ac:dyDescent="0.25">
      <c r="A604" s="37">
        <v>2020</v>
      </c>
      <c r="B604" s="35">
        <v>170710</v>
      </c>
      <c r="C604" s="34" t="s">
        <v>144</v>
      </c>
      <c r="D604" s="34" t="s">
        <v>51</v>
      </c>
      <c r="E604" s="17">
        <v>8</v>
      </c>
      <c r="F604" s="36">
        <f>IFERROR(E604/$AC604,0)</f>
        <v>1.9464720194647202E-2</v>
      </c>
      <c r="G604" s="17">
        <v>5</v>
      </c>
      <c r="H604" s="36">
        <f>IFERROR(G604/$AD604,0)</f>
        <v>3.2679738562091505E-2</v>
      </c>
      <c r="I604" s="17">
        <v>151</v>
      </c>
      <c r="J604" s="36">
        <f>IFERROR(I604/$AC604,0)</f>
        <v>0.36739659367396593</v>
      </c>
      <c r="K604" s="17">
        <v>60</v>
      </c>
      <c r="L604" s="36">
        <f>IFERROR(K604/$AD604,0)</f>
        <v>0.39215686274509803</v>
      </c>
      <c r="M604" s="17">
        <v>148</v>
      </c>
      <c r="N604" s="36">
        <f>IFERROR(M604/$AC604,0)</f>
        <v>0.36009732360097324</v>
      </c>
      <c r="O604" s="17">
        <v>57</v>
      </c>
      <c r="P604" s="36">
        <f>IFERROR(O604/$AD604,0)</f>
        <v>0.37254901960784315</v>
      </c>
      <c r="Q604" s="17">
        <v>65</v>
      </c>
      <c r="R604" s="36">
        <f>IFERROR(Q604/$AC604,0)</f>
        <v>0.15815085158150852</v>
      </c>
      <c r="S604" s="17">
        <v>20</v>
      </c>
      <c r="T604" s="36">
        <f>IFERROR(S604/$AD604,0)</f>
        <v>0.13071895424836602</v>
      </c>
      <c r="U604" s="17">
        <v>20</v>
      </c>
      <c r="V604" s="36">
        <f>IFERROR(U604/$AC604,0)</f>
        <v>4.8661800486618008E-2</v>
      </c>
      <c r="W604" s="17">
        <v>5</v>
      </c>
      <c r="X604" s="36">
        <f>IFERROR(W604/$AD604,0)</f>
        <v>3.2679738562091505E-2</v>
      </c>
      <c r="Y604" s="17">
        <v>19</v>
      </c>
      <c r="Z604" s="36">
        <f>IFERROR(Y604/$AC604,0)</f>
        <v>4.6228710462287104E-2</v>
      </c>
      <c r="AA604" s="17">
        <v>6</v>
      </c>
      <c r="AB604" s="36">
        <f>IFERROR(AA604/$AD604,0)</f>
        <v>3.9215686274509803E-2</v>
      </c>
      <c r="AC604" s="17">
        <v>411</v>
      </c>
      <c r="AD604" s="17">
        <v>153</v>
      </c>
    </row>
    <row r="605" spans="1:30" ht="15.75" customHeight="1" x14ac:dyDescent="0.25">
      <c r="A605" s="37">
        <v>2020</v>
      </c>
      <c r="B605" s="35">
        <v>170720</v>
      </c>
      <c r="C605" s="34" t="s">
        <v>144</v>
      </c>
      <c r="D605" s="34" t="s">
        <v>52</v>
      </c>
      <c r="E605" s="17">
        <v>11</v>
      </c>
      <c r="F605" s="36">
        <f>IFERROR(E605/$AC605,0)</f>
        <v>1.3715710723192019E-2</v>
      </c>
      <c r="G605" s="17">
        <v>8</v>
      </c>
      <c r="H605" s="36">
        <f>IFERROR(G605/$AD605,0)</f>
        <v>2.0997375328083989E-2</v>
      </c>
      <c r="I605" s="17">
        <v>264</v>
      </c>
      <c r="J605" s="36">
        <f>IFERROR(I605/$AC605,0)</f>
        <v>0.32917705735660846</v>
      </c>
      <c r="K605" s="17">
        <v>109</v>
      </c>
      <c r="L605" s="36">
        <f>IFERROR(K605/$AD605,0)</f>
        <v>0.28608923884514437</v>
      </c>
      <c r="M605" s="17">
        <v>355</v>
      </c>
      <c r="N605" s="36">
        <f>IFERROR(M605/$AC605,0)</f>
        <v>0.44264339152119703</v>
      </c>
      <c r="O605" s="17">
        <v>154</v>
      </c>
      <c r="P605" s="36">
        <f>IFERROR(O605/$AD605,0)</f>
        <v>0.40419947506561682</v>
      </c>
      <c r="Q605" s="17">
        <v>115</v>
      </c>
      <c r="R605" s="36">
        <f>IFERROR(Q605/$AC605,0)</f>
        <v>0.14339152119700749</v>
      </c>
      <c r="S605" s="17">
        <v>65</v>
      </c>
      <c r="T605" s="36">
        <f>IFERROR(S605/$AD605,0)</f>
        <v>0.17060367454068243</v>
      </c>
      <c r="U605" s="17">
        <v>42</v>
      </c>
      <c r="V605" s="36">
        <f>IFERROR(U605/$AC605,0)</f>
        <v>5.2369077306733167E-2</v>
      </c>
      <c r="W605" s="17">
        <v>35</v>
      </c>
      <c r="X605" s="36">
        <f>IFERROR(W605/$AD605,0)</f>
        <v>9.1863517060367453E-2</v>
      </c>
      <c r="Y605" s="17">
        <v>15</v>
      </c>
      <c r="Z605" s="36">
        <f>IFERROR(Y605/$AC605,0)</f>
        <v>1.8703241895261846E-2</v>
      </c>
      <c r="AA605" s="17">
        <v>10</v>
      </c>
      <c r="AB605" s="36">
        <f>IFERROR(AA605/$AD605,0)</f>
        <v>2.6246719160104987E-2</v>
      </c>
      <c r="AC605" s="17">
        <v>802</v>
      </c>
      <c r="AD605" s="17">
        <v>381</v>
      </c>
    </row>
    <row r="606" spans="1:30" ht="15.75" customHeight="1" x14ac:dyDescent="0.25">
      <c r="A606" s="37">
        <v>2020</v>
      </c>
      <c r="B606" s="35">
        <v>170730</v>
      </c>
      <c r="C606" s="34" t="s">
        <v>146</v>
      </c>
      <c r="D606" s="34" t="s">
        <v>53</v>
      </c>
      <c r="E606" s="17">
        <v>2</v>
      </c>
      <c r="F606" s="36">
        <f>IFERROR(E606/$AC606,0)</f>
        <v>2.1276595744680851E-2</v>
      </c>
      <c r="G606" s="17">
        <v>0</v>
      </c>
      <c r="H606" s="36">
        <f>IFERROR(G606/$AD606,0)</f>
        <v>0</v>
      </c>
      <c r="I606" s="17">
        <v>26</v>
      </c>
      <c r="J606" s="36">
        <f>IFERROR(I606/$AC606,0)</f>
        <v>0.27659574468085107</v>
      </c>
      <c r="K606" s="17">
        <v>5</v>
      </c>
      <c r="L606" s="36">
        <f>IFERROR(K606/$AD606,0)</f>
        <v>0.38461538461538464</v>
      </c>
      <c r="M606" s="17">
        <v>33</v>
      </c>
      <c r="N606" s="36">
        <f>IFERROR(M606/$AC606,0)</f>
        <v>0.35106382978723405</v>
      </c>
      <c r="O606" s="17">
        <v>5</v>
      </c>
      <c r="P606" s="36">
        <f>IFERROR(O606/$AD606,0)</f>
        <v>0.38461538461538464</v>
      </c>
      <c r="Q606" s="17">
        <v>18</v>
      </c>
      <c r="R606" s="36">
        <f>IFERROR(Q606/$AC606,0)</f>
        <v>0.19148936170212766</v>
      </c>
      <c r="S606" s="17">
        <v>1</v>
      </c>
      <c r="T606" s="36">
        <f>IFERROR(S606/$AD606,0)</f>
        <v>7.6923076923076927E-2</v>
      </c>
      <c r="U606" s="17">
        <v>10</v>
      </c>
      <c r="V606" s="36">
        <f>IFERROR(U606/$AC606,0)</f>
        <v>0.10638297872340426</v>
      </c>
      <c r="W606" s="17">
        <v>2</v>
      </c>
      <c r="X606" s="36">
        <f>IFERROR(W606/$AD606,0)</f>
        <v>0.15384615384615385</v>
      </c>
      <c r="Y606" s="17">
        <v>5</v>
      </c>
      <c r="Z606" s="36">
        <f>IFERROR(Y606/$AC606,0)</f>
        <v>5.3191489361702128E-2</v>
      </c>
      <c r="AA606" s="17">
        <v>0</v>
      </c>
      <c r="AB606" s="36">
        <f>IFERROR(AA606/$AD606,0)</f>
        <v>0</v>
      </c>
      <c r="AC606" s="17">
        <v>94</v>
      </c>
      <c r="AD606" s="17">
        <v>13</v>
      </c>
    </row>
    <row r="607" spans="1:30" ht="15.75" customHeight="1" x14ac:dyDescent="0.25">
      <c r="A607" s="37">
        <v>2020</v>
      </c>
      <c r="B607" s="35">
        <v>170740</v>
      </c>
      <c r="C607" s="34" t="s">
        <v>145</v>
      </c>
      <c r="D607" s="34" t="s">
        <v>54</v>
      </c>
      <c r="E607" s="17">
        <v>22</v>
      </c>
      <c r="F607" s="36">
        <f>IFERROR(E607/$AC607,0)</f>
        <v>1.936619718309859E-2</v>
      </c>
      <c r="G607" s="17">
        <v>10</v>
      </c>
      <c r="H607" s="36">
        <f>IFERROR(G607/$AD607,0)</f>
        <v>3.0674846625766871E-2</v>
      </c>
      <c r="I607" s="17">
        <v>355</v>
      </c>
      <c r="J607" s="36">
        <f>IFERROR(I607/$AC607,0)</f>
        <v>0.3125</v>
      </c>
      <c r="K607" s="17">
        <v>94</v>
      </c>
      <c r="L607" s="36">
        <f>IFERROR(K607/$AD607,0)</f>
        <v>0.28834355828220859</v>
      </c>
      <c r="M607" s="17">
        <v>431</v>
      </c>
      <c r="N607" s="36">
        <f>IFERROR(M607/$AC607,0)</f>
        <v>0.37940140845070425</v>
      </c>
      <c r="O607" s="17">
        <v>115</v>
      </c>
      <c r="P607" s="36">
        <f>IFERROR(O607/$AD607,0)</f>
        <v>0.35276073619631904</v>
      </c>
      <c r="Q607" s="17">
        <v>222</v>
      </c>
      <c r="R607" s="36">
        <f>IFERROR(Q607/$AC607,0)</f>
        <v>0.1954225352112676</v>
      </c>
      <c r="S607" s="17">
        <v>80</v>
      </c>
      <c r="T607" s="36">
        <f>IFERROR(S607/$AD607,0)</f>
        <v>0.24539877300613497</v>
      </c>
      <c r="U607" s="17">
        <v>75</v>
      </c>
      <c r="V607" s="36">
        <f>IFERROR(U607/$AC607,0)</f>
        <v>6.6021126760563376E-2</v>
      </c>
      <c r="W607" s="17">
        <v>18</v>
      </c>
      <c r="X607" s="36">
        <f>IFERROR(W607/$AD607,0)</f>
        <v>5.5214723926380369E-2</v>
      </c>
      <c r="Y607" s="17">
        <v>31</v>
      </c>
      <c r="Z607" s="36">
        <f>IFERROR(Y607/$AC607,0)</f>
        <v>2.7288732394366196E-2</v>
      </c>
      <c r="AA607" s="17">
        <v>9</v>
      </c>
      <c r="AB607" s="36">
        <f>IFERROR(AA607/$AD607,0)</f>
        <v>2.7607361963190184E-2</v>
      </c>
      <c r="AC607" s="16">
        <v>1136</v>
      </c>
      <c r="AD607" s="17">
        <v>326</v>
      </c>
    </row>
    <row r="608" spans="1:30" ht="15.75" customHeight="1" x14ac:dyDescent="0.25">
      <c r="A608" s="37">
        <v>2020</v>
      </c>
      <c r="B608" s="35">
        <v>170755</v>
      </c>
      <c r="C608" s="34" t="s">
        <v>151</v>
      </c>
      <c r="D608" s="34" t="s">
        <v>55</v>
      </c>
      <c r="E608" s="17">
        <v>4</v>
      </c>
      <c r="F608" s="36">
        <f>IFERROR(E608/$AC608,0)</f>
        <v>0.16</v>
      </c>
      <c r="G608" s="17">
        <v>4</v>
      </c>
      <c r="H608" s="36">
        <f>IFERROR(G608/$AD608,0)</f>
        <v>0.22222222222222221</v>
      </c>
      <c r="I608" s="17">
        <v>5</v>
      </c>
      <c r="J608" s="36">
        <f>IFERROR(I608/$AC608,0)</f>
        <v>0.2</v>
      </c>
      <c r="K608" s="17">
        <v>4</v>
      </c>
      <c r="L608" s="36">
        <f>IFERROR(K608/$AD608,0)</f>
        <v>0.22222222222222221</v>
      </c>
      <c r="M608" s="17">
        <v>6</v>
      </c>
      <c r="N608" s="36">
        <f>IFERROR(M608/$AC608,0)</f>
        <v>0.24</v>
      </c>
      <c r="O608" s="17">
        <v>6</v>
      </c>
      <c r="P608" s="36">
        <f>IFERROR(O608/$AD608,0)</f>
        <v>0.33333333333333331</v>
      </c>
      <c r="Q608" s="17">
        <v>6</v>
      </c>
      <c r="R608" s="36">
        <f>IFERROR(Q608/$AC608,0)</f>
        <v>0.24</v>
      </c>
      <c r="S608" s="17">
        <v>3</v>
      </c>
      <c r="T608" s="36">
        <f>IFERROR(S608/$AD608,0)</f>
        <v>0.16666666666666666</v>
      </c>
      <c r="U608" s="17">
        <v>0</v>
      </c>
      <c r="V608" s="36">
        <f>IFERROR(U608/$AC608,0)</f>
        <v>0</v>
      </c>
      <c r="W608" s="17">
        <v>0</v>
      </c>
      <c r="X608" s="36">
        <f>IFERROR(W608/$AD608,0)</f>
        <v>0</v>
      </c>
      <c r="Y608" s="17">
        <v>4</v>
      </c>
      <c r="Z608" s="36">
        <f>IFERROR(Y608/$AC608,0)</f>
        <v>0.16</v>
      </c>
      <c r="AA608" s="17">
        <v>1</v>
      </c>
      <c r="AB608" s="36">
        <f>IFERROR(AA608/$AD608,0)</f>
        <v>5.5555555555555552E-2</v>
      </c>
      <c r="AC608" s="17">
        <v>25</v>
      </c>
      <c r="AD608" s="17">
        <v>18</v>
      </c>
    </row>
    <row r="609" spans="1:30" ht="15.75" customHeight="1" x14ac:dyDescent="0.25">
      <c r="A609" s="37">
        <v>2020</v>
      </c>
      <c r="B609" s="35">
        <v>170765</v>
      </c>
      <c r="C609" s="34" t="s">
        <v>146</v>
      </c>
      <c r="D609" s="34" t="s">
        <v>56</v>
      </c>
      <c r="E609" s="17">
        <v>12</v>
      </c>
      <c r="F609" s="36">
        <f>IFERROR(E609/$AC609,0)</f>
        <v>4.3795620437956206E-2</v>
      </c>
      <c r="G609" s="17">
        <v>11</v>
      </c>
      <c r="H609" s="36">
        <f>IFERROR(G609/$AD609,0)</f>
        <v>4.3824701195219126E-2</v>
      </c>
      <c r="I609" s="17">
        <v>81</v>
      </c>
      <c r="J609" s="36">
        <f>IFERROR(I609/$AC609,0)</f>
        <v>0.29562043795620441</v>
      </c>
      <c r="K609" s="17">
        <v>75</v>
      </c>
      <c r="L609" s="36">
        <f>IFERROR(K609/$AD609,0)</f>
        <v>0.29880478087649404</v>
      </c>
      <c r="M609" s="17">
        <v>96</v>
      </c>
      <c r="N609" s="36">
        <f>IFERROR(M609/$AC609,0)</f>
        <v>0.35036496350364965</v>
      </c>
      <c r="O609" s="17">
        <v>86</v>
      </c>
      <c r="P609" s="36">
        <f>IFERROR(O609/$AD609,0)</f>
        <v>0.34262948207171312</v>
      </c>
      <c r="Q609" s="17">
        <v>50</v>
      </c>
      <c r="R609" s="36">
        <f>IFERROR(Q609/$AC609,0)</f>
        <v>0.18248175182481752</v>
      </c>
      <c r="S609" s="17">
        <v>49</v>
      </c>
      <c r="T609" s="36">
        <f>IFERROR(S609/$AD609,0)</f>
        <v>0.19521912350597609</v>
      </c>
      <c r="U609" s="17">
        <v>17</v>
      </c>
      <c r="V609" s="36">
        <f>IFERROR(U609/$AC609,0)</f>
        <v>6.2043795620437957E-2</v>
      </c>
      <c r="W609" s="17">
        <v>14</v>
      </c>
      <c r="X609" s="36">
        <f>IFERROR(W609/$AD609,0)</f>
        <v>5.5776892430278883E-2</v>
      </c>
      <c r="Y609" s="17">
        <v>18</v>
      </c>
      <c r="Z609" s="36">
        <f>IFERROR(Y609/$AC609,0)</f>
        <v>6.569343065693431E-2</v>
      </c>
      <c r="AA609" s="17">
        <v>16</v>
      </c>
      <c r="AB609" s="36">
        <f>IFERROR(AA609/$AD609,0)</f>
        <v>6.3745019920318724E-2</v>
      </c>
      <c r="AC609" s="17">
        <v>274</v>
      </c>
      <c r="AD609" s="17">
        <v>251</v>
      </c>
    </row>
    <row r="610" spans="1:30" ht="15.75" customHeight="1" x14ac:dyDescent="0.25">
      <c r="A610" s="37">
        <v>2020</v>
      </c>
      <c r="B610" s="35">
        <v>170770</v>
      </c>
      <c r="C610" s="34" t="s">
        <v>149</v>
      </c>
      <c r="D610" s="34" t="s">
        <v>57</v>
      </c>
      <c r="E610" s="17">
        <v>12</v>
      </c>
      <c r="F610" s="36">
        <f>IFERROR(E610/$AC610,0)</f>
        <v>1.6689847009735744E-2</v>
      </c>
      <c r="G610" s="17">
        <v>1</v>
      </c>
      <c r="H610" s="36">
        <f>IFERROR(G610/$AD610,0)</f>
        <v>4.7846889952153108E-3</v>
      </c>
      <c r="I610" s="17">
        <v>225</v>
      </c>
      <c r="J610" s="36">
        <f>IFERROR(I610/$AC610,0)</f>
        <v>0.31293463143254518</v>
      </c>
      <c r="K610" s="17">
        <v>70</v>
      </c>
      <c r="L610" s="36">
        <f>IFERROR(K610/$AD610,0)</f>
        <v>0.3349282296650718</v>
      </c>
      <c r="M610" s="17">
        <v>269</v>
      </c>
      <c r="N610" s="36">
        <f>IFERROR(M610/$AC610,0)</f>
        <v>0.37413073713490957</v>
      </c>
      <c r="O610" s="17">
        <v>74</v>
      </c>
      <c r="P610" s="36">
        <f>IFERROR(O610/$AD610,0)</f>
        <v>0.35406698564593303</v>
      </c>
      <c r="Q610" s="17">
        <v>143</v>
      </c>
      <c r="R610" s="36">
        <f>IFERROR(Q610/$AC610,0)</f>
        <v>0.19888734353268428</v>
      </c>
      <c r="S610" s="17">
        <v>51</v>
      </c>
      <c r="T610" s="36">
        <f>IFERROR(S610/$AD610,0)</f>
        <v>0.24401913875598086</v>
      </c>
      <c r="U610" s="17">
        <v>52</v>
      </c>
      <c r="V610" s="36">
        <f>IFERROR(U610/$AC610,0)</f>
        <v>7.2322670375521564E-2</v>
      </c>
      <c r="W610" s="17">
        <v>10</v>
      </c>
      <c r="X610" s="36">
        <f>IFERROR(W610/$AD610,0)</f>
        <v>4.784688995215311E-2</v>
      </c>
      <c r="Y610" s="17">
        <v>18</v>
      </c>
      <c r="Z610" s="36">
        <f>IFERROR(Y610/$AC610,0)</f>
        <v>2.5034770514603615E-2</v>
      </c>
      <c r="AA610" s="17">
        <v>3</v>
      </c>
      <c r="AB610" s="36">
        <f>IFERROR(AA610/$AD610,0)</f>
        <v>1.4354066985645933E-2</v>
      </c>
      <c r="AC610" s="17">
        <v>719</v>
      </c>
      <c r="AD610" s="17">
        <v>209</v>
      </c>
    </row>
    <row r="611" spans="1:30" ht="15.75" customHeight="1" x14ac:dyDescent="0.25">
      <c r="A611" s="37">
        <v>2020</v>
      </c>
      <c r="B611" s="35">
        <v>170820</v>
      </c>
      <c r="C611" s="34" t="s">
        <v>146</v>
      </c>
      <c r="D611" s="34" t="s">
        <v>58</v>
      </c>
      <c r="E611" s="17">
        <v>16</v>
      </c>
      <c r="F611" s="36">
        <f>IFERROR(E611/$AC611,0)</f>
        <v>3.3542976939203356E-2</v>
      </c>
      <c r="G611" s="17">
        <v>5</v>
      </c>
      <c r="H611" s="36">
        <f>IFERROR(G611/$AD611,0)</f>
        <v>8.1967213114754092E-2</v>
      </c>
      <c r="I611" s="17">
        <v>141</v>
      </c>
      <c r="J611" s="36">
        <f>IFERROR(I611/$AC611,0)</f>
        <v>0.29559748427672955</v>
      </c>
      <c r="K611" s="17">
        <v>12</v>
      </c>
      <c r="L611" s="36">
        <f>IFERROR(K611/$AD611,0)</f>
        <v>0.19672131147540983</v>
      </c>
      <c r="M611" s="17">
        <v>156</v>
      </c>
      <c r="N611" s="36">
        <f>IFERROR(M611/$AC611,0)</f>
        <v>0.32704402515723269</v>
      </c>
      <c r="O611" s="17">
        <v>21</v>
      </c>
      <c r="P611" s="36">
        <f>IFERROR(O611/$AD611,0)</f>
        <v>0.34426229508196721</v>
      </c>
      <c r="Q611" s="17">
        <v>107</v>
      </c>
      <c r="R611" s="36">
        <f>IFERROR(Q611/$AC611,0)</f>
        <v>0.22431865828092243</v>
      </c>
      <c r="S611" s="17">
        <v>13</v>
      </c>
      <c r="T611" s="36">
        <f>IFERROR(S611/$AD611,0)</f>
        <v>0.21311475409836064</v>
      </c>
      <c r="U611" s="17">
        <v>37</v>
      </c>
      <c r="V611" s="36">
        <f>IFERROR(U611/$AC611,0)</f>
        <v>7.7568134171907763E-2</v>
      </c>
      <c r="W611" s="17">
        <v>6</v>
      </c>
      <c r="X611" s="36">
        <f>IFERROR(W611/$AD611,0)</f>
        <v>9.8360655737704916E-2</v>
      </c>
      <c r="Y611" s="17">
        <v>20</v>
      </c>
      <c r="Z611" s="36">
        <f>IFERROR(Y611/$AC611,0)</f>
        <v>4.1928721174004195E-2</v>
      </c>
      <c r="AA611" s="17">
        <v>4</v>
      </c>
      <c r="AB611" s="36">
        <f>IFERROR(AA611/$AD611,0)</f>
        <v>6.5573770491803282E-2</v>
      </c>
      <c r="AC611" s="17">
        <v>477</v>
      </c>
      <c r="AD611" s="17">
        <v>61</v>
      </c>
    </row>
    <row r="612" spans="1:30" ht="15.75" customHeight="1" x14ac:dyDescent="0.25">
      <c r="A612" s="37">
        <v>2020</v>
      </c>
      <c r="B612" s="35">
        <v>170830</v>
      </c>
      <c r="C612" s="34" t="s">
        <v>150</v>
      </c>
      <c r="D612" s="34" t="s">
        <v>59</v>
      </c>
      <c r="E612" s="17">
        <v>10</v>
      </c>
      <c r="F612" s="36">
        <f>IFERROR(E612/$AC612,0)</f>
        <v>2.3696682464454975E-2</v>
      </c>
      <c r="G612" s="17">
        <v>3</v>
      </c>
      <c r="H612" s="36">
        <f>IFERROR(G612/$AD612,0)</f>
        <v>3.3333333333333333E-2</v>
      </c>
      <c r="I612" s="17">
        <v>131</v>
      </c>
      <c r="J612" s="36">
        <f>IFERROR(I612/$AC612,0)</f>
        <v>0.31042654028436018</v>
      </c>
      <c r="K612" s="17">
        <v>32</v>
      </c>
      <c r="L612" s="36">
        <f>IFERROR(K612/$AD612,0)</f>
        <v>0.35555555555555557</v>
      </c>
      <c r="M612" s="17">
        <v>148</v>
      </c>
      <c r="N612" s="36">
        <f>IFERROR(M612/$AC612,0)</f>
        <v>0.35071090047393366</v>
      </c>
      <c r="O612" s="17">
        <v>32</v>
      </c>
      <c r="P612" s="36">
        <f>IFERROR(O612/$AD612,0)</f>
        <v>0.35555555555555557</v>
      </c>
      <c r="Q612" s="17">
        <v>97</v>
      </c>
      <c r="R612" s="36">
        <f>IFERROR(Q612/$AC612,0)</f>
        <v>0.22985781990521326</v>
      </c>
      <c r="S612" s="17">
        <v>19</v>
      </c>
      <c r="T612" s="36">
        <f>IFERROR(S612/$AD612,0)</f>
        <v>0.21111111111111111</v>
      </c>
      <c r="U612" s="17">
        <v>26</v>
      </c>
      <c r="V612" s="36">
        <f>IFERROR(U612/$AC612,0)</f>
        <v>6.1611374407582936E-2</v>
      </c>
      <c r="W612" s="17">
        <v>3</v>
      </c>
      <c r="X612" s="36">
        <f>IFERROR(W612/$AD612,0)</f>
        <v>3.3333333333333333E-2</v>
      </c>
      <c r="Y612" s="17">
        <v>10</v>
      </c>
      <c r="Z612" s="36">
        <f>IFERROR(Y612/$AC612,0)</f>
        <v>2.3696682464454975E-2</v>
      </c>
      <c r="AA612" s="17">
        <v>1</v>
      </c>
      <c r="AB612" s="36">
        <f>IFERROR(AA612/$AD612,0)</f>
        <v>1.1111111111111112E-2</v>
      </c>
      <c r="AC612" s="17">
        <v>422</v>
      </c>
      <c r="AD612" s="17">
        <v>90</v>
      </c>
    </row>
    <row r="613" spans="1:30" ht="15.75" customHeight="1" x14ac:dyDescent="0.25">
      <c r="A613" s="37">
        <v>2020</v>
      </c>
      <c r="B613" s="35">
        <v>170900</v>
      </c>
      <c r="C613" s="34" t="s">
        <v>149</v>
      </c>
      <c r="D613" s="34" t="s">
        <v>60</v>
      </c>
      <c r="E613" s="17">
        <v>10</v>
      </c>
      <c r="F613" s="36">
        <f>IFERROR(E613/$AC613,0)</f>
        <v>1.7301038062283738E-2</v>
      </c>
      <c r="G613" s="17">
        <v>2</v>
      </c>
      <c r="H613" s="36">
        <f>IFERROR(G613/$AD613,0)</f>
        <v>1.5748031496062992E-2</v>
      </c>
      <c r="I613" s="17">
        <v>199</v>
      </c>
      <c r="J613" s="36">
        <f>IFERROR(I613/$AC613,0)</f>
        <v>0.34429065743944637</v>
      </c>
      <c r="K613" s="17">
        <v>43</v>
      </c>
      <c r="L613" s="36">
        <f>IFERROR(K613/$AD613,0)</f>
        <v>0.33858267716535434</v>
      </c>
      <c r="M613" s="17">
        <v>214</v>
      </c>
      <c r="N613" s="36">
        <f>IFERROR(M613/$AC613,0)</f>
        <v>0.37024221453287198</v>
      </c>
      <c r="O613" s="17">
        <v>50</v>
      </c>
      <c r="P613" s="36">
        <f>IFERROR(O613/$AD613,0)</f>
        <v>0.39370078740157483</v>
      </c>
      <c r="Q613" s="17">
        <v>104</v>
      </c>
      <c r="R613" s="36">
        <f>IFERROR(Q613/$AC613,0)</f>
        <v>0.17993079584775087</v>
      </c>
      <c r="S613" s="17">
        <v>19</v>
      </c>
      <c r="T613" s="36">
        <f>IFERROR(S613/$AD613,0)</f>
        <v>0.14960629921259844</v>
      </c>
      <c r="U613" s="17">
        <v>33</v>
      </c>
      <c r="V613" s="36">
        <f>IFERROR(U613/$AC613,0)</f>
        <v>5.7093425605536333E-2</v>
      </c>
      <c r="W613" s="17">
        <v>5</v>
      </c>
      <c r="X613" s="36">
        <f>IFERROR(W613/$AD613,0)</f>
        <v>3.937007874015748E-2</v>
      </c>
      <c r="Y613" s="17">
        <v>18</v>
      </c>
      <c r="Z613" s="36">
        <f>IFERROR(Y613/$AC613,0)</f>
        <v>3.1141868512110725E-2</v>
      </c>
      <c r="AA613" s="17">
        <v>8</v>
      </c>
      <c r="AB613" s="36">
        <f>IFERROR(AA613/$AD613,0)</f>
        <v>6.2992125984251968E-2</v>
      </c>
      <c r="AC613" s="17">
        <v>578</v>
      </c>
      <c r="AD613" s="17">
        <v>127</v>
      </c>
    </row>
    <row r="614" spans="1:30" ht="15.75" customHeight="1" x14ac:dyDescent="0.25">
      <c r="A614" s="37">
        <v>2020</v>
      </c>
      <c r="B614" s="35">
        <v>170930</v>
      </c>
      <c r="C614" s="34" t="s">
        <v>150</v>
      </c>
      <c r="D614" s="34" t="s">
        <v>61</v>
      </c>
      <c r="E614" s="17">
        <v>26</v>
      </c>
      <c r="F614" s="36">
        <f>IFERROR(E614/$AC614,0)</f>
        <v>2.8199566160520606E-2</v>
      </c>
      <c r="G614" s="17">
        <v>3</v>
      </c>
      <c r="H614" s="36">
        <f>IFERROR(G614/$AD614,0)</f>
        <v>4.4776119402985072E-2</v>
      </c>
      <c r="I614" s="17">
        <v>291</v>
      </c>
      <c r="J614" s="36">
        <f>IFERROR(I614/$AC614,0)</f>
        <v>0.31561822125813449</v>
      </c>
      <c r="K614" s="17">
        <v>23</v>
      </c>
      <c r="L614" s="36">
        <f>IFERROR(K614/$AD614,0)</f>
        <v>0.34328358208955223</v>
      </c>
      <c r="M614" s="17">
        <v>315</v>
      </c>
      <c r="N614" s="36">
        <f>IFERROR(M614/$AC614,0)</f>
        <v>0.34164859002169196</v>
      </c>
      <c r="O614" s="17">
        <v>21</v>
      </c>
      <c r="P614" s="36">
        <f>IFERROR(O614/$AD614,0)</f>
        <v>0.31343283582089554</v>
      </c>
      <c r="Q614" s="17">
        <v>198</v>
      </c>
      <c r="R614" s="36">
        <f>IFERROR(Q614/$AC614,0)</f>
        <v>0.21475054229934923</v>
      </c>
      <c r="S614" s="17">
        <v>13</v>
      </c>
      <c r="T614" s="36">
        <f>IFERROR(S614/$AD614,0)</f>
        <v>0.19402985074626866</v>
      </c>
      <c r="U614" s="17">
        <v>57</v>
      </c>
      <c r="V614" s="36">
        <f>IFERROR(U614/$AC614,0)</f>
        <v>6.1822125813449022E-2</v>
      </c>
      <c r="W614" s="17">
        <v>5</v>
      </c>
      <c r="X614" s="36">
        <f>IFERROR(W614/$AD614,0)</f>
        <v>7.4626865671641784E-2</v>
      </c>
      <c r="Y614" s="17">
        <v>35</v>
      </c>
      <c r="Z614" s="36">
        <f>IFERROR(Y614/$AC614,0)</f>
        <v>3.7960954446854663E-2</v>
      </c>
      <c r="AA614" s="17">
        <v>2</v>
      </c>
      <c r="AB614" s="36">
        <f>IFERROR(AA614/$AD614,0)</f>
        <v>2.9850746268656716E-2</v>
      </c>
      <c r="AC614" s="17">
        <v>922</v>
      </c>
      <c r="AD614" s="17">
        <v>67</v>
      </c>
    </row>
    <row r="615" spans="1:30" ht="15.75" customHeight="1" x14ac:dyDescent="0.25">
      <c r="A615" s="37">
        <v>2020</v>
      </c>
      <c r="B615" s="35">
        <v>170950</v>
      </c>
      <c r="C615" s="34" t="s">
        <v>146</v>
      </c>
      <c r="D615" s="34" t="s">
        <v>62</v>
      </c>
      <c r="E615" s="17">
        <v>76</v>
      </c>
      <c r="F615" s="36">
        <f>IFERROR(E615/$AC615,0)</f>
        <v>2.7486437613019891E-2</v>
      </c>
      <c r="G615" s="17">
        <v>48</v>
      </c>
      <c r="H615" s="36">
        <f>IFERROR(G615/$AD615,0)</f>
        <v>3.0788967286722257E-2</v>
      </c>
      <c r="I615" s="17">
        <v>960</v>
      </c>
      <c r="J615" s="36">
        <f>IFERROR(I615/$AC615,0)</f>
        <v>0.34719710669077758</v>
      </c>
      <c r="K615" s="17">
        <v>574</v>
      </c>
      <c r="L615" s="36">
        <f>IFERROR(K615/$AD615,0)</f>
        <v>0.36818473380372035</v>
      </c>
      <c r="M615" s="17">
        <v>915</v>
      </c>
      <c r="N615" s="36">
        <f>IFERROR(M615/$AC615,0)</f>
        <v>0.3309222423146474</v>
      </c>
      <c r="O615" s="17">
        <v>513</v>
      </c>
      <c r="P615" s="36">
        <f>IFERROR(O615/$AD615,0)</f>
        <v>0.32905708787684412</v>
      </c>
      <c r="Q615" s="17">
        <v>513</v>
      </c>
      <c r="R615" s="36">
        <f>IFERROR(Q615/$AC615,0)</f>
        <v>0.18553345388788428</v>
      </c>
      <c r="S615" s="17">
        <v>269</v>
      </c>
      <c r="T615" s="36">
        <f>IFERROR(S615/$AD615,0)</f>
        <v>0.17254650416933931</v>
      </c>
      <c r="U615" s="17">
        <v>210</v>
      </c>
      <c r="V615" s="36">
        <f>IFERROR(U615/$AC615,0)</f>
        <v>7.5949367088607597E-2</v>
      </c>
      <c r="W615" s="17">
        <v>112</v>
      </c>
      <c r="X615" s="36">
        <f>IFERROR(W615/$AD615,0)</f>
        <v>7.1840923669018605E-2</v>
      </c>
      <c r="Y615" s="17">
        <v>91</v>
      </c>
      <c r="Z615" s="36">
        <f>IFERROR(Y615/$AC615,0)</f>
        <v>3.2911392405063293E-2</v>
      </c>
      <c r="AA615" s="17">
        <v>43</v>
      </c>
      <c r="AB615" s="36">
        <f>IFERROR(AA615/$AD615,0)</f>
        <v>2.7581783194355357E-2</v>
      </c>
      <c r="AC615" s="16">
        <v>2765</v>
      </c>
      <c r="AD615" s="16">
        <v>1559</v>
      </c>
    </row>
    <row r="616" spans="1:30" ht="15.75" customHeight="1" x14ac:dyDescent="0.25">
      <c r="A616" s="37">
        <v>2020</v>
      </c>
      <c r="B616" s="35">
        <v>170980</v>
      </c>
      <c r="C616" s="34" t="s">
        <v>151</v>
      </c>
      <c r="D616" s="34" t="s">
        <v>63</v>
      </c>
      <c r="E616" s="17">
        <v>4</v>
      </c>
      <c r="F616" s="36">
        <f>IFERROR(E616/$AC616,0)</f>
        <v>1.3888888888888888E-2</v>
      </c>
      <c r="G616" s="17">
        <v>3</v>
      </c>
      <c r="H616" s="36">
        <f>IFERROR(G616/$AD616,0)</f>
        <v>1.8404907975460124E-2</v>
      </c>
      <c r="I616" s="17">
        <v>58</v>
      </c>
      <c r="J616" s="36">
        <f>IFERROR(I616/$AC616,0)</f>
        <v>0.2013888888888889</v>
      </c>
      <c r="K616" s="17">
        <v>41</v>
      </c>
      <c r="L616" s="36">
        <f>IFERROR(K616/$AD616,0)</f>
        <v>0.25153374233128833</v>
      </c>
      <c r="M616" s="17">
        <v>110</v>
      </c>
      <c r="N616" s="36">
        <f>IFERROR(M616/$AC616,0)</f>
        <v>0.38194444444444442</v>
      </c>
      <c r="O616" s="17">
        <v>66</v>
      </c>
      <c r="P616" s="36">
        <f>IFERROR(O616/$AD616,0)</f>
        <v>0.40490797546012269</v>
      </c>
      <c r="Q616" s="17">
        <v>76</v>
      </c>
      <c r="R616" s="36">
        <f>IFERROR(Q616/$AC616,0)</f>
        <v>0.2638888888888889</v>
      </c>
      <c r="S616" s="17">
        <v>35</v>
      </c>
      <c r="T616" s="36">
        <f>IFERROR(S616/$AD616,0)</f>
        <v>0.21472392638036811</v>
      </c>
      <c r="U616" s="17">
        <v>29</v>
      </c>
      <c r="V616" s="36">
        <f>IFERROR(U616/$AC616,0)</f>
        <v>0.10069444444444445</v>
      </c>
      <c r="W616" s="17">
        <v>12</v>
      </c>
      <c r="X616" s="36">
        <f>IFERROR(W616/$AD616,0)</f>
        <v>7.3619631901840496E-2</v>
      </c>
      <c r="Y616" s="17">
        <v>11</v>
      </c>
      <c r="Z616" s="36">
        <f>IFERROR(Y616/$AC616,0)</f>
        <v>3.8194444444444448E-2</v>
      </c>
      <c r="AA616" s="17">
        <v>6</v>
      </c>
      <c r="AB616" s="36">
        <f>IFERROR(AA616/$AD616,0)</f>
        <v>3.6809815950920248E-2</v>
      </c>
      <c r="AC616" s="17">
        <v>288</v>
      </c>
      <c r="AD616" s="17">
        <v>163</v>
      </c>
    </row>
    <row r="617" spans="1:30" ht="15.75" customHeight="1" x14ac:dyDescent="0.25">
      <c r="A617" s="37">
        <v>2020</v>
      </c>
      <c r="B617" s="35">
        <v>171050</v>
      </c>
      <c r="C617" s="34" t="s">
        <v>150</v>
      </c>
      <c r="D617" s="34" t="s">
        <v>64</v>
      </c>
      <c r="E617" s="17">
        <v>12</v>
      </c>
      <c r="F617" s="36">
        <f>IFERROR(E617/$AC617,0)</f>
        <v>2.591792656587473E-2</v>
      </c>
      <c r="G617" s="17">
        <v>10</v>
      </c>
      <c r="H617" s="36">
        <f>IFERROR(G617/$AD617,0)</f>
        <v>3.8910505836575876E-2</v>
      </c>
      <c r="I617" s="17">
        <v>167</v>
      </c>
      <c r="J617" s="36">
        <f>IFERROR(I617/$AC617,0)</f>
        <v>0.36069114470842334</v>
      </c>
      <c r="K617" s="17">
        <v>96</v>
      </c>
      <c r="L617" s="36">
        <f>IFERROR(K617/$AD617,0)</f>
        <v>0.37354085603112841</v>
      </c>
      <c r="M617" s="17">
        <v>156</v>
      </c>
      <c r="N617" s="36">
        <f>IFERROR(M617/$AC617,0)</f>
        <v>0.33693304535637147</v>
      </c>
      <c r="O617" s="17">
        <v>82</v>
      </c>
      <c r="P617" s="36">
        <f>IFERROR(O617/$AD617,0)</f>
        <v>0.31906614785992216</v>
      </c>
      <c r="Q617" s="17">
        <v>94</v>
      </c>
      <c r="R617" s="36">
        <f>IFERROR(Q617/$AC617,0)</f>
        <v>0.20302375809935205</v>
      </c>
      <c r="S617" s="17">
        <v>49</v>
      </c>
      <c r="T617" s="36">
        <f>IFERROR(S617/$AD617,0)</f>
        <v>0.19066147859922178</v>
      </c>
      <c r="U617" s="17">
        <v>24</v>
      </c>
      <c r="V617" s="36">
        <f>IFERROR(U617/$AC617,0)</f>
        <v>5.183585313174946E-2</v>
      </c>
      <c r="W617" s="17">
        <v>13</v>
      </c>
      <c r="X617" s="36">
        <f>IFERROR(W617/$AD617,0)</f>
        <v>5.0583657587548639E-2</v>
      </c>
      <c r="Y617" s="17">
        <v>10</v>
      </c>
      <c r="Z617" s="36">
        <f>IFERROR(Y617/$AC617,0)</f>
        <v>2.159827213822894E-2</v>
      </c>
      <c r="AA617" s="17">
        <v>7</v>
      </c>
      <c r="AB617" s="36">
        <f>IFERROR(AA617/$AD617,0)</f>
        <v>2.7237354085603113E-2</v>
      </c>
      <c r="AC617" s="17">
        <v>463</v>
      </c>
      <c r="AD617" s="17">
        <v>257</v>
      </c>
    </row>
    <row r="618" spans="1:30" ht="15.75" customHeight="1" x14ac:dyDescent="0.25">
      <c r="A618" s="37">
        <v>2020</v>
      </c>
      <c r="B618" s="35">
        <v>171070</v>
      </c>
      <c r="C618" s="34" t="s">
        <v>145</v>
      </c>
      <c r="D618" s="34" t="s">
        <v>65</v>
      </c>
      <c r="E618" s="17">
        <v>15</v>
      </c>
      <c r="F618" s="36">
        <f>IFERROR(E618/$AC618,0)</f>
        <v>2.358490566037736E-2</v>
      </c>
      <c r="G618" s="17">
        <v>5</v>
      </c>
      <c r="H618" s="36">
        <f>IFERROR(G618/$AD618,0)</f>
        <v>2.5510204081632654E-2</v>
      </c>
      <c r="I618" s="17">
        <v>213</v>
      </c>
      <c r="J618" s="36">
        <f>IFERROR(I618/$AC618,0)</f>
        <v>0.33490566037735847</v>
      </c>
      <c r="K618" s="17">
        <v>60</v>
      </c>
      <c r="L618" s="36">
        <f>IFERROR(K618/$AD618,0)</f>
        <v>0.30612244897959184</v>
      </c>
      <c r="M618" s="17">
        <v>239</v>
      </c>
      <c r="N618" s="36">
        <f>IFERROR(M618/$AC618,0)</f>
        <v>0.37578616352201261</v>
      </c>
      <c r="O618" s="17">
        <v>72</v>
      </c>
      <c r="P618" s="36">
        <f>IFERROR(O618/$AD618,0)</f>
        <v>0.36734693877551022</v>
      </c>
      <c r="Q618" s="17">
        <v>104</v>
      </c>
      <c r="R618" s="36">
        <f>IFERROR(Q618/$AC618,0)</f>
        <v>0.16352201257861634</v>
      </c>
      <c r="S618" s="17">
        <v>34</v>
      </c>
      <c r="T618" s="36">
        <f>IFERROR(S618/$AD618,0)</f>
        <v>0.17346938775510204</v>
      </c>
      <c r="U618" s="17">
        <v>53</v>
      </c>
      <c r="V618" s="36">
        <f>IFERROR(U618/$AC618,0)</f>
        <v>8.3333333333333329E-2</v>
      </c>
      <c r="W618" s="17">
        <v>20</v>
      </c>
      <c r="X618" s="36">
        <f>IFERROR(W618/$AD618,0)</f>
        <v>0.10204081632653061</v>
      </c>
      <c r="Y618" s="17">
        <v>12</v>
      </c>
      <c r="Z618" s="36">
        <f>IFERROR(Y618/$AC618,0)</f>
        <v>1.8867924528301886E-2</v>
      </c>
      <c r="AA618" s="17">
        <v>5</v>
      </c>
      <c r="AB618" s="36">
        <f>IFERROR(AA618/$AD618,0)</f>
        <v>2.5510204081632654E-2</v>
      </c>
      <c r="AC618" s="17">
        <v>636</v>
      </c>
      <c r="AD618" s="17">
        <v>196</v>
      </c>
    </row>
    <row r="619" spans="1:30" ht="15.75" customHeight="1" x14ac:dyDescent="0.25">
      <c r="A619" s="37">
        <v>2020</v>
      </c>
      <c r="B619" s="35">
        <v>171090</v>
      </c>
      <c r="C619" s="34" t="s">
        <v>150</v>
      </c>
      <c r="D619" s="34" t="s">
        <v>66</v>
      </c>
      <c r="E619" s="17">
        <v>0</v>
      </c>
      <c r="F619" s="36">
        <f>IFERROR(E619/$AC619,0)</f>
        <v>0</v>
      </c>
      <c r="G619" s="17">
        <v>0</v>
      </c>
      <c r="H619" s="36">
        <f>IFERROR(G619/$AD619,0)</f>
        <v>0</v>
      </c>
      <c r="I619" s="17">
        <v>18</v>
      </c>
      <c r="J619" s="36">
        <f>IFERROR(I619/$AC619,0)</f>
        <v>0.36</v>
      </c>
      <c r="K619" s="17">
        <v>5</v>
      </c>
      <c r="L619" s="36">
        <f>IFERROR(K619/$AD619,0)</f>
        <v>0.45454545454545453</v>
      </c>
      <c r="M619" s="17">
        <v>15</v>
      </c>
      <c r="N619" s="36">
        <f>IFERROR(M619/$AC619,0)</f>
        <v>0.3</v>
      </c>
      <c r="O619" s="17">
        <v>4</v>
      </c>
      <c r="P619" s="36">
        <f>IFERROR(O619/$AD619,0)</f>
        <v>0.36363636363636365</v>
      </c>
      <c r="Q619" s="17">
        <v>13</v>
      </c>
      <c r="R619" s="36">
        <f>IFERROR(Q619/$AC619,0)</f>
        <v>0.26</v>
      </c>
      <c r="S619" s="17">
        <v>0</v>
      </c>
      <c r="T619" s="36">
        <f>IFERROR(S619/$AD619,0)</f>
        <v>0</v>
      </c>
      <c r="U619" s="17">
        <v>4</v>
      </c>
      <c r="V619" s="36">
        <f>IFERROR(U619/$AC619,0)</f>
        <v>0.08</v>
      </c>
      <c r="W619" s="17">
        <v>2</v>
      </c>
      <c r="X619" s="36">
        <f>IFERROR(W619/$AD619,0)</f>
        <v>0.18181818181818182</v>
      </c>
      <c r="Y619" s="17">
        <v>0</v>
      </c>
      <c r="Z619" s="36">
        <f>IFERROR(Y619/$AC619,0)</f>
        <v>0</v>
      </c>
      <c r="AA619" s="17">
        <v>0</v>
      </c>
      <c r="AB619" s="36">
        <f>IFERROR(AA619/$AD619,0)</f>
        <v>0</v>
      </c>
      <c r="AC619" s="17">
        <v>50</v>
      </c>
      <c r="AD619" s="17">
        <v>11</v>
      </c>
    </row>
    <row r="620" spans="1:30" ht="15.75" customHeight="1" x14ac:dyDescent="0.25">
      <c r="A620" s="37">
        <v>2020</v>
      </c>
      <c r="B620" s="35">
        <v>171110</v>
      </c>
      <c r="C620" s="34" t="s">
        <v>150</v>
      </c>
      <c r="D620" s="34" t="s">
        <v>67</v>
      </c>
      <c r="E620" s="17">
        <v>3</v>
      </c>
      <c r="F620" s="36">
        <f>IFERROR(E620/$AC620,0)</f>
        <v>2.1126760563380281E-2</v>
      </c>
      <c r="G620" s="17">
        <v>3</v>
      </c>
      <c r="H620" s="36">
        <f>IFERROR(G620/$AD620,0)</f>
        <v>5.3571428571428568E-2</v>
      </c>
      <c r="I620" s="17">
        <v>36</v>
      </c>
      <c r="J620" s="36">
        <f>IFERROR(I620/$AC620,0)</f>
        <v>0.25352112676056338</v>
      </c>
      <c r="K620" s="17">
        <v>15</v>
      </c>
      <c r="L620" s="36">
        <f>IFERROR(K620/$AD620,0)</f>
        <v>0.26785714285714285</v>
      </c>
      <c r="M620" s="17">
        <v>56</v>
      </c>
      <c r="N620" s="36">
        <f>IFERROR(M620/$AC620,0)</f>
        <v>0.39436619718309857</v>
      </c>
      <c r="O620" s="17">
        <v>22</v>
      </c>
      <c r="P620" s="36">
        <f>IFERROR(O620/$AD620,0)</f>
        <v>0.39285714285714285</v>
      </c>
      <c r="Q620" s="17">
        <v>33</v>
      </c>
      <c r="R620" s="36">
        <f>IFERROR(Q620/$AC620,0)</f>
        <v>0.23239436619718309</v>
      </c>
      <c r="S620" s="17">
        <v>9</v>
      </c>
      <c r="T620" s="36">
        <f>IFERROR(S620/$AD620,0)</f>
        <v>0.16071428571428573</v>
      </c>
      <c r="U620" s="17">
        <v>8</v>
      </c>
      <c r="V620" s="36">
        <f>IFERROR(U620/$AC620,0)</f>
        <v>5.6338028169014086E-2</v>
      </c>
      <c r="W620" s="17">
        <v>4</v>
      </c>
      <c r="X620" s="36">
        <f>IFERROR(W620/$AD620,0)</f>
        <v>7.1428571428571425E-2</v>
      </c>
      <c r="Y620" s="17">
        <v>6</v>
      </c>
      <c r="Z620" s="36">
        <f>IFERROR(Y620/$AC620,0)</f>
        <v>4.2253521126760563E-2</v>
      </c>
      <c r="AA620" s="17">
        <v>3</v>
      </c>
      <c r="AB620" s="36">
        <f>IFERROR(AA620/$AD620,0)</f>
        <v>5.3571428571428568E-2</v>
      </c>
      <c r="AC620" s="17">
        <v>142</v>
      </c>
      <c r="AD620" s="17">
        <v>56</v>
      </c>
    </row>
    <row r="621" spans="1:30" ht="15.75" customHeight="1" x14ac:dyDescent="0.25">
      <c r="A621" s="37">
        <v>2020</v>
      </c>
      <c r="B621" s="35">
        <v>171150</v>
      </c>
      <c r="C621" s="34" t="s">
        <v>146</v>
      </c>
      <c r="D621" s="34" t="s">
        <v>68</v>
      </c>
      <c r="E621" s="17">
        <v>8</v>
      </c>
      <c r="F621" s="36">
        <f>IFERROR(E621/$AC621,0)</f>
        <v>1.9512195121951219E-2</v>
      </c>
      <c r="G621" s="17">
        <v>6</v>
      </c>
      <c r="H621" s="36">
        <f>IFERROR(G621/$AD621,0)</f>
        <v>3.3333333333333333E-2</v>
      </c>
      <c r="I621" s="17">
        <v>165</v>
      </c>
      <c r="J621" s="36">
        <f>IFERROR(I621/$AC621,0)</f>
        <v>0.40243902439024393</v>
      </c>
      <c r="K621" s="17">
        <v>84</v>
      </c>
      <c r="L621" s="36">
        <f>IFERROR(K621/$AD621,0)</f>
        <v>0.46666666666666667</v>
      </c>
      <c r="M621" s="17">
        <v>133</v>
      </c>
      <c r="N621" s="36">
        <f>IFERROR(M621/$AC621,0)</f>
        <v>0.32439024390243903</v>
      </c>
      <c r="O621" s="17">
        <v>51</v>
      </c>
      <c r="P621" s="36">
        <f>IFERROR(O621/$AD621,0)</f>
        <v>0.28333333333333333</v>
      </c>
      <c r="Q621" s="17">
        <v>74</v>
      </c>
      <c r="R621" s="36">
        <f>IFERROR(Q621/$AC621,0)</f>
        <v>0.18048780487804877</v>
      </c>
      <c r="S621" s="17">
        <v>24</v>
      </c>
      <c r="T621" s="36">
        <f>IFERROR(S621/$AD621,0)</f>
        <v>0.13333333333333333</v>
      </c>
      <c r="U621" s="17">
        <v>22</v>
      </c>
      <c r="V621" s="36">
        <f>IFERROR(U621/$AC621,0)</f>
        <v>5.3658536585365853E-2</v>
      </c>
      <c r="W621" s="17">
        <v>11</v>
      </c>
      <c r="X621" s="36">
        <f>IFERROR(W621/$AD621,0)</f>
        <v>6.1111111111111109E-2</v>
      </c>
      <c r="Y621" s="17">
        <v>8</v>
      </c>
      <c r="Z621" s="36">
        <f>IFERROR(Y621/$AC621,0)</f>
        <v>1.9512195121951219E-2</v>
      </c>
      <c r="AA621" s="17">
        <v>4</v>
      </c>
      <c r="AB621" s="36">
        <f>IFERROR(AA621/$AD621,0)</f>
        <v>2.2222222222222223E-2</v>
      </c>
      <c r="AC621" s="17">
        <v>410</v>
      </c>
      <c r="AD621" s="17">
        <v>180</v>
      </c>
    </row>
    <row r="622" spans="1:30" ht="15.75" customHeight="1" x14ac:dyDescent="0.25">
      <c r="A622" s="37">
        <v>2020</v>
      </c>
      <c r="B622" s="35">
        <v>171180</v>
      </c>
      <c r="C622" s="34" t="s">
        <v>150</v>
      </c>
      <c r="D622" s="34" t="s">
        <v>69</v>
      </c>
      <c r="E622" s="17">
        <v>8</v>
      </c>
      <c r="F622" s="36">
        <f>IFERROR(E622/$AC622,0)</f>
        <v>5.5944055944055944E-2</v>
      </c>
      <c r="G622" s="17">
        <v>7</v>
      </c>
      <c r="H622" s="36">
        <f>IFERROR(G622/$AD622,0)</f>
        <v>6.6037735849056603E-2</v>
      </c>
      <c r="I622" s="17">
        <v>53</v>
      </c>
      <c r="J622" s="36">
        <f>IFERROR(I622/$AC622,0)</f>
        <v>0.37062937062937062</v>
      </c>
      <c r="K622" s="17">
        <v>38</v>
      </c>
      <c r="L622" s="36">
        <f>IFERROR(K622/$AD622,0)</f>
        <v>0.35849056603773582</v>
      </c>
      <c r="M622" s="17">
        <v>35</v>
      </c>
      <c r="N622" s="36">
        <f>IFERROR(M622/$AC622,0)</f>
        <v>0.24475524475524477</v>
      </c>
      <c r="O622" s="17">
        <v>25</v>
      </c>
      <c r="P622" s="36">
        <f>IFERROR(O622/$AD622,0)</f>
        <v>0.23584905660377359</v>
      </c>
      <c r="Q622" s="17">
        <v>35</v>
      </c>
      <c r="R622" s="36">
        <f>IFERROR(Q622/$AC622,0)</f>
        <v>0.24475524475524477</v>
      </c>
      <c r="S622" s="17">
        <v>25</v>
      </c>
      <c r="T622" s="36">
        <f>IFERROR(S622/$AD622,0)</f>
        <v>0.23584905660377359</v>
      </c>
      <c r="U622" s="17">
        <v>11</v>
      </c>
      <c r="V622" s="36">
        <f>IFERROR(U622/$AC622,0)</f>
        <v>7.6923076923076927E-2</v>
      </c>
      <c r="W622" s="17">
        <v>10</v>
      </c>
      <c r="X622" s="36">
        <f>IFERROR(W622/$AD622,0)</f>
        <v>9.4339622641509441E-2</v>
      </c>
      <c r="Y622" s="17">
        <v>1</v>
      </c>
      <c r="Z622" s="36">
        <f>IFERROR(Y622/$AC622,0)</f>
        <v>6.993006993006993E-3</v>
      </c>
      <c r="AA622" s="17">
        <v>1</v>
      </c>
      <c r="AB622" s="36">
        <f>IFERROR(AA622/$AD622,0)</f>
        <v>9.433962264150943E-3</v>
      </c>
      <c r="AC622" s="17">
        <v>143</v>
      </c>
      <c r="AD622" s="17">
        <v>106</v>
      </c>
    </row>
    <row r="623" spans="1:30" ht="15.75" customHeight="1" x14ac:dyDescent="0.25">
      <c r="A623" s="37">
        <v>2020</v>
      </c>
      <c r="B623" s="35">
        <v>171190</v>
      </c>
      <c r="C623" s="34" t="s">
        <v>144</v>
      </c>
      <c r="D623" s="34" t="s">
        <v>70</v>
      </c>
      <c r="E623" s="17">
        <v>9</v>
      </c>
      <c r="F623" s="36">
        <f>IFERROR(E623/$AC623,0)</f>
        <v>2.7607361963190184E-2</v>
      </c>
      <c r="G623" s="17">
        <v>7</v>
      </c>
      <c r="H623" s="36">
        <f>IFERROR(G623/$AD623,0)</f>
        <v>4.5454545454545456E-2</v>
      </c>
      <c r="I623" s="17">
        <v>109</v>
      </c>
      <c r="J623" s="36">
        <f>IFERROR(I623/$AC623,0)</f>
        <v>0.33435582822085891</v>
      </c>
      <c r="K623" s="17">
        <v>66</v>
      </c>
      <c r="L623" s="36">
        <f>IFERROR(K623/$AD623,0)</f>
        <v>0.42857142857142855</v>
      </c>
      <c r="M623" s="17">
        <v>102</v>
      </c>
      <c r="N623" s="36">
        <f>IFERROR(M623/$AC623,0)</f>
        <v>0.31288343558282211</v>
      </c>
      <c r="O623" s="17">
        <v>46</v>
      </c>
      <c r="P623" s="36">
        <f>IFERROR(O623/$AD623,0)</f>
        <v>0.29870129870129869</v>
      </c>
      <c r="Q623" s="17">
        <v>65</v>
      </c>
      <c r="R623" s="36">
        <f>IFERROR(Q623/$AC623,0)</f>
        <v>0.19938650306748465</v>
      </c>
      <c r="S623" s="17">
        <v>19</v>
      </c>
      <c r="T623" s="36">
        <f>IFERROR(S623/$AD623,0)</f>
        <v>0.12337662337662338</v>
      </c>
      <c r="U623" s="17">
        <v>36</v>
      </c>
      <c r="V623" s="36">
        <f>IFERROR(U623/$AC623,0)</f>
        <v>0.11042944785276074</v>
      </c>
      <c r="W623" s="17">
        <v>15</v>
      </c>
      <c r="X623" s="36">
        <f>IFERROR(W623/$AD623,0)</f>
        <v>9.7402597402597407E-2</v>
      </c>
      <c r="Y623" s="17">
        <v>5</v>
      </c>
      <c r="Z623" s="36">
        <f>IFERROR(Y623/$AC623,0)</f>
        <v>1.5337423312883436E-2</v>
      </c>
      <c r="AA623" s="17">
        <v>1</v>
      </c>
      <c r="AB623" s="36">
        <f>IFERROR(AA623/$AD623,0)</f>
        <v>6.4935064935064939E-3</v>
      </c>
      <c r="AC623" s="17">
        <v>326</v>
      </c>
      <c r="AD623" s="17">
        <v>154</v>
      </c>
    </row>
    <row r="624" spans="1:30" ht="15.75" customHeight="1" x14ac:dyDescent="0.25">
      <c r="A624" s="37">
        <v>2020</v>
      </c>
      <c r="B624" s="35">
        <v>171195</v>
      </c>
      <c r="C624" s="34" t="s">
        <v>148</v>
      </c>
      <c r="D624" s="34" t="s">
        <v>71</v>
      </c>
      <c r="E624" s="17">
        <v>9</v>
      </c>
      <c r="F624" s="36">
        <f>IFERROR(E624/$AC624,0)</f>
        <v>1.8442622950819672E-2</v>
      </c>
      <c r="G624" s="17">
        <v>7</v>
      </c>
      <c r="H624" s="36">
        <f>IFERROR(G624/$AD624,0)</f>
        <v>2.6315789473684209E-2</v>
      </c>
      <c r="I624" s="17">
        <v>183</v>
      </c>
      <c r="J624" s="36">
        <f>IFERROR(I624/$AC624,0)</f>
        <v>0.375</v>
      </c>
      <c r="K624" s="17">
        <v>101</v>
      </c>
      <c r="L624" s="36">
        <f>IFERROR(K624/$AD624,0)</f>
        <v>0.37969924812030076</v>
      </c>
      <c r="M624" s="17">
        <v>179</v>
      </c>
      <c r="N624" s="36">
        <f>IFERROR(M624/$AC624,0)</f>
        <v>0.36680327868852458</v>
      </c>
      <c r="O624" s="17">
        <v>103</v>
      </c>
      <c r="P624" s="36">
        <f>IFERROR(O624/$AD624,0)</f>
        <v>0.38721804511278196</v>
      </c>
      <c r="Q624" s="17">
        <v>70</v>
      </c>
      <c r="R624" s="36">
        <f>IFERROR(Q624/$AC624,0)</f>
        <v>0.14344262295081966</v>
      </c>
      <c r="S624" s="17">
        <v>35</v>
      </c>
      <c r="T624" s="36">
        <f>IFERROR(S624/$AD624,0)</f>
        <v>0.13157894736842105</v>
      </c>
      <c r="U624" s="17">
        <v>34</v>
      </c>
      <c r="V624" s="36">
        <f>IFERROR(U624/$AC624,0)</f>
        <v>6.9672131147540978E-2</v>
      </c>
      <c r="W624" s="17">
        <v>14</v>
      </c>
      <c r="X624" s="36">
        <f>IFERROR(W624/$AD624,0)</f>
        <v>5.2631578947368418E-2</v>
      </c>
      <c r="Y624" s="17">
        <v>13</v>
      </c>
      <c r="Z624" s="36">
        <f>IFERROR(Y624/$AC624,0)</f>
        <v>2.663934426229508E-2</v>
      </c>
      <c r="AA624" s="17">
        <v>6</v>
      </c>
      <c r="AB624" s="36">
        <f>IFERROR(AA624/$AD624,0)</f>
        <v>2.2556390977443608E-2</v>
      </c>
      <c r="AC624" s="17">
        <v>488</v>
      </c>
      <c r="AD624" s="17">
        <v>266</v>
      </c>
    </row>
    <row r="625" spans="1:30" ht="15.75" customHeight="1" x14ac:dyDescent="0.25">
      <c r="A625" s="37">
        <v>2020</v>
      </c>
      <c r="B625" s="35">
        <v>171200</v>
      </c>
      <c r="C625" s="34" t="s">
        <v>148</v>
      </c>
      <c r="D625" s="34" t="s">
        <v>72</v>
      </c>
      <c r="E625" s="17">
        <v>1</v>
      </c>
      <c r="F625" s="36">
        <f>IFERROR(E625/$AC625,0)</f>
        <v>9.5238095238095247E-3</v>
      </c>
      <c r="G625" s="17">
        <v>0</v>
      </c>
      <c r="H625" s="36">
        <f>IFERROR(G625/$AD625,0)</f>
        <v>0</v>
      </c>
      <c r="I625" s="17">
        <v>24</v>
      </c>
      <c r="J625" s="36">
        <f>IFERROR(I625/$AC625,0)</f>
        <v>0.22857142857142856</v>
      </c>
      <c r="K625" s="17">
        <v>4</v>
      </c>
      <c r="L625" s="36">
        <f>IFERROR(K625/$AD625,0)</f>
        <v>0.19047619047619047</v>
      </c>
      <c r="M625" s="17">
        <v>38</v>
      </c>
      <c r="N625" s="36">
        <f>IFERROR(M625/$AC625,0)</f>
        <v>0.3619047619047619</v>
      </c>
      <c r="O625" s="17">
        <v>9</v>
      </c>
      <c r="P625" s="36">
        <f>IFERROR(O625/$AD625,0)</f>
        <v>0.42857142857142855</v>
      </c>
      <c r="Q625" s="17">
        <v>25</v>
      </c>
      <c r="R625" s="36">
        <f>IFERROR(Q625/$AC625,0)</f>
        <v>0.23809523809523808</v>
      </c>
      <c r="S625" s="17">
        <v>3</v>
      </c>
      <c r="T625" s="36">
        <f>IFERROR(S625/$AD625,0)</f>
        <v>0.14285714285714285</v>
      </c>
      <c r="U625" s="17">
        <v>13</v>
      </c>
      <c r="V625" s="36">
        <f>IFERROR(U625/$AC625,0)</f>
        <v>0.12380952380952381</v>
      </c>
      <c r="W625" s="17">
        <v>4</v>
      </c>
      <c r="X625" s="36">
        <f>IFERROR(W625/$AD625,0)</f>
        <v>0.19047619047619047</v>
      </c>
      <c r="Y625" s="17">
        <v>4</v>
      </c>
      <c r="Z625" s="36">
        <f>IFERROR(Y625/$AC625,0)</f>
        <v>3.8095238095238099E-2</v>
      </c>
      <c r="AA625" s="17">
        <v>1</v>
      </c>
      <c r="AB625" s="36">
        <f>IFERROR(AA625/$AD625,0)</f>
        <v>4.7619047619047616E-2</v>
      </c>
      <c r="AC625" s="17">
        <v>105</v>
      </c>
      <c r="AD625" s="17">
        <v>21</v>
      </c>
    </row>
    <row r="626" spans="1:30" ht="15.75" customHeight="1" x14ac:dyDescent="0.25">
      <c r="A626" s="37">
        <v>2020</v>
      </c>
      <c r="B626" s="35">
        <v>171215</v>
      </c>
      <c r="C626" s="34" t="s">
        <v>147</v>
      </c>
      <c r="D626" s="34" t="s">
        <v>73</v>
      </c>
      <c r="E626" s="17">
        <v>6</v>
      </c>
      <c r="F626" s="36">
        <f>IFERROR(E626/$AC626,0)</f>
        <v>1.680672268907563E-2</v>
      </c>
      <c r="G626" s="17">
        <v>2</v>
      </c>
      <c r="H626" s="36">
        <f>IFERROR(G626/$AD626,0)</f>
        <v>2.5000000000000001E-2</v>
      </c>
      <c r="I626" s="17">
        <v>111</v>
      </c>
      <c r="J626" s="36">
        <f>IFERROR(I626/$AC626,0)</f>
        <v>0.31092436974789917</v>
      </c>
      <c r="K626" s="17">
        <v>32</v>
      </c>
      <c r="L626" s="36">
        <f>IFERROR(K626/$AD626,0)</f>
        <v>0.4</v>
      </c>
      <c r="M626" s="17">
        <v>142</v>
      </c>
      <c r="N626" s="36">
        <f>IFERROR(M626/$AC626,0)</f>
        <v>0.39775910364145656</v>
      </c>
      <c r="O626" s="17">
        <v>28</v>
      </c>
      <c r="P626" s="36">
        <f>IFERROR(O626/$AD626,0)</f>
        <v>0.35</v>
      </c>
      <c r="Q626" s="17">
        <v>76</v>
      </c>
      <c r="R626" s="36">
        <f>IFERROR(Q626/$AC626,0)</f>
        <v>0.21288515406162464</v>
      </c>
      <c r="S626" s="17">
        <v>14</v>
      </c>
      <c r="T626" s="36">
        <f>IFERROR(S626/$AD626,0)</f>
        <v>0.17499999999999999</v>
      </c>
      <c r="U626" s="17">
        <v>16</v>
      </c>
      <c r="V626" s="36">
        <f>IFERROR(U626/$AC626,0)</f>
        <v>4.4817927170868348E-2</v>
      </c>
      <c r="W626" s="17">
        <v>3</v>
      </c>
      <c r="X626" s="36">
        <f>IFERROR(W626/$AD626,0)</f>
        <v>3.7499999999999999E-2</v>
      </c>
      <c r="Y626" s="17">
        <v>6</v>
      </c>
      <c r="Z626" s="36">
        <f>IFERROR(Y626/$AC626,0)</f>
        <v>1.680672268907563E-2</v>
      </c>
      <c r="AA626" s="17">
        <v>1</v>
      </c>
      <c r="AB626" s="36">
        <f>IFERROR(AA626/$AD626,0)</f>
        <v>1.2500000000000001E-2</v>
      </c>
      <c r="AC626" s="17">
        <v>357</v>
      </c>
      <c r="AD626" s="17">
        <v>80</v>
      </c>
    </row>
    <row r="627" spans="1:30" ht="15.75" customHeight="1" x14ac:dyDescent="0.25">
      <c r="A627" s="37">
        <v>2020</v>
      </c>
      <c r="B627" s="35">
        <v>171240</v>
      </c>
      <c r="C627" s="34" t="s">
        <v>148</v>
      </c>
      <c r="D627" s="34" t="s">
        <v>74</v>
      </c>
      <c r="E627" s="17">
        <v>0</v>
      </c>
      <c r="F627" s="36">
        <f>IFERROR(E627/$AC627,0)</f>
        <v>0</v>
      </c>
      <c r="G627" s="17">
        <v>0</v>
      </c>
      <c r="H627" s="36">
        <f>IFERROR(G627/$AD627,0)</f>
        <v>0</v>
      </c>
      <c r="I627" s="17">
        <v>6</v>
      </c>
      <c r="J627" s="36">
        <f>IFERROR(I627/$AC627,0)</f>
        <v>0.3</v>
      </c>
      <c r="K627" s="17">
        <v>2</v>
      </c>
      <c r="L627" s="36">
        <f>IFERROR(K627/$AD627,0)</f>
        <v>0.5</v>
      </c>
      <c r="M627" s="17">
        <v>13</v>
      </c>
      <c r="N627" s="36">
        <f>IFERROR(M627/$AC627,0)</f>
        <v>0.65</v>
      </c>
      <c r="O627" s="17">
        <v>2</v>
      </c>
      <c r="P627" s="36">
        <f>IFERROR(O627/$AD627,0)</f>
        <v>0.5</v>
      </c>
      <c r="Q627" s="17">
        <v>0</v>
      </c>
      <c r="R627" s="36">
        <f>IFERROR(Q627/$AC627,0)</f>
        <v>0</v>
      </c>
      <c r="S627" s="17">
        <v>0</v>
      </c>
      <c r="T627" s="36">
        <f>IFERROR(S627/$AD627,0)</f>
        <v>0</v>
      </c>
      <c r="U627" s="17">
        <v>1</v>
      </c>
      <c r="V627" s="36">
        <f>IFERROR(U627/$AC627,0)</f>
        <v>0.05</v>
      </c>
      <c r="W627" s="17">
        <v>0</v>
      </c>
      <c r="X627" s="36">
        <f>IFERROR(W627/$AD627,0)</f>
        <v>0</v>
      </c>
      <c r="Y627" s="17">
        <v>0</v>
      </c>
      <c r="Z627" s="36">
        <f>IFERROR(Y627/$AC627,0)</f>
        <v>0</v>
      </c>
      <c r="AA627" s="17">
        <v>0</v>
      </c>
      <c r="AB627" s="36">
        <f>IFERROR(AA627/$AD627,0)</f>
        <v>0</v>
      </c>
      <c r="AC627" s="17">
        <v>20</v>
      </c>
      <c r="AD627" s="17">
        <v>4</v>
      </c>
    </row>
    <row r="628" spans="1:30" ht="15.75" customHeight="1" x14ac:dyDescent="0.25">
      <c r="A628" s="37">
        <v>2020</v>
      </c>
      <c r="B628" s="35">
        <v>171245</v>
      </c>
      <c r="C628" s="34" t="s">
        <v>145</v>
      </c>
      <c r="D628" s="34" t="s">
        <v>75</v>
      </c>
      <c r="E628" s="17">
        <v>1</v>
      </c>
      <c r="F628" s="36">
        <f>IFERROR(E628/$AC628,0)</f>
        <v>5.3475935828877002E-3</v>
      </c>
      <c r="G628" s="17">
        <v>1</v>
      </c>
      <c r="H628" s="36">
        <f>IFERROR(G628/$AD628,0)</f>
        <v>2.4390243902439025E-2</v>
      </c>
      <c r="I628" s="17">
        <v>72</v>
      </c>
      <c r="J628" s="36">
        <f>IFERROR(I628/$AC628,0)</f>
        <v>0.38502673796791442</v>
      </c>
      <c r="K628" s="17">
        <v>19</v>
      </c>
      <c r="L628" s="36">
        <f>IFERROR(K628/$AD628,0)</f>
        <v>0.46341463414634149</v>
      </c>
      <c r="M628" s="17">
        <v>62</v>
      </c>
      <c r="N628" s="36">
        <f>IFERROR(M628/$AC628,0)</f>
        <v>0.33155080213903743</v>
      </c>
      <c r="O628" s="17">
        <v>10</v>
      </c>
      <c r="P628" s="36">
        <f>IFERROR(O628/$AD628,0)</f>
        <v>0.24390243902439024</v>
      </c>
      <c r="Q628" s="17">
        <v>31</v>
      </c>
      <c r="R628" s="36">
        <f>IFERROR(Q628/$AC628,0)</f>
        <v>0.16577540106951871</v>
      </c>
      <c r="S628" s="17">
        <v>7</v>
      </c>
      <c r="T628" s="36">
        <f>IFERROR(S628/$AD628,0)</f>
        <v>0.17073170731707318</v>
      </c>
      <c r="U628" s="17">
        <v>14</v>
      </c>
      <c r="V628" s="36">
        <f>IFERROR(U628/$AC628,0)</f>
        <v>7.4866310160427801E-2</v>
      </c>
      <c r="W628" s="17">
        <v>2</v>
      </c>
      <c r="X628" s="36">
        <f>IFERROR(W628/$AD628,0)</f>
        <v>4.878048780487805E-2</v>
      </c>
      <c r="Y628" s="17">
        <v>7</v>
      </c>
      <c r="Z628" s="36">
        <f>IFERROR(Y628/$AC628,0)</f>
        <v>3.7433155080213901E-2</v>
      </c>
      <c r="AA628" s="17">
        <v>2</v>
      </c>
      <c r="AB628" s="36">
        <f>IFERROR(AA628/$AD628,0)</f>
        <v>4.878048780487805E-2</v>
      </c>
      <c r="AC628" s="17">
        <v>187</v>
      </c>
      <c r="AD628" s="17">
        <v>41</v>
      </c>
    </row>
    <row r="629" spans="1:30" ht="15.75" customHeight="1" x14ac:dyDescent="0.25">
      <c r="A629" s="37">
        <v>2020</v>
      </c>
      <c r="B629" s="35">
        <v>171250</v>
      </c>
      <c r="C629" s="34" t="s">
        <v>144</v>
      </c>
      <c r="D629" s="34" t="s">
        <v>76</v>
      </c>
      <c r="E629" s="17">
        <v>3</v>
      </c>
      <c r="F629" s="36">
        <f>IFERROR(E629/$AC629,0)</f>
        <v>1.4999999999999999E-2</v>
      </c>
      <c r="G629" s="17">
        <v>1</v>
      </c>
      <c r="H629" s="36">
        <f>IFERROR(G629/$AD629,0)</f>
        <v>1.8518518518518517E-2</v>
      </c>
      <c r="I629" s="17">
        <v>76</v>
      </c>
      <c r="J629" s="36">
        <f>IFERROR(I629/$AC629,0)</f>
        <v>0.38</v>
      </c>
      <c r="K629" s="17">
        <v>26</v>
      </c>
      <c r="L629" s="36">
        <f>IFERROR(K629/$AD629,0)</f>
        <v>0.48148148148148145</v>
      </c>
      <c r="M629" s="17">
        <v>62</v>
      </c>
      <c r="N629" s="36">
        <f>IFERROR(M629/$AC629,0)</f>
        <v>0.31</v>
      </c>
      <c r="O629" s="17">
        <v>14</v>
      </c>
      <c r="P629" s="36">
        <f>IFERROR(O629/$AD629,0)</f>
        <v>0.25925925925925924</v>
      </c>
      <c r="Q629" s="17">
        <v>28</v>
      </c>
      <c r="R629" s="36">
        <f>IFERROR(Q629/$AC629,0)</f>
        <v>0.14000000000000001</v>
      </c>
      <c r="S629" s="17">
        <v>4</v>
      </c>
      <c r="T629" s="36">
        <f>IFERROR(S629/$AD629,0)</f>
        <v>7.407407407407407E-2</v>
      </c>
      <c r="U629" s="17">
        <v>20</v>
      </c>
      <c r="V629" s="36">
        <f>IFERROR(U629/$AC629,0)</f>
        <v>0.1</v>
      </c>
      <c r="W629" s="17">
        <v>8</v>
      </c>
      <c r="X629" s="36">
        <f>IFERROR(W629/$AD629,0)</f>
        <v>0.14814814814814814</v>
      </c>
      <c r="Y629" s="17">
        <v>11</v>
      </c>
      <c r="Z629" s="36">
        <f>IFERROR(Y629/$AC629,0)</f>
        <v>5.5E-2</v>
      </c>
      <c r="AA629" s="17">
        <v>1</v>
      </c>
      <c r="AB629" s="36">
        <f>IFERROR(AA629/$AD629,0)</f>
        <v>1.8518518518518517E-2</v>
      </c>
      <c r="AC629" s="17">
        <v>200</v>
      </c>
      <c r="AD629" s="17">
        <v>54</v>
      </c>
    </row>
    <row r="630" spans="1:30" ht="15.75" customHeight="1" x14ac:dyDescent="0.25">
      <c r="A630" s="37">
        <v>2020</v>
      </c>
      <c r="B630" s="35">
        <v>171270</v>
      </c>
      <c r="C630" s="34" t="s">
        <v>151</v>
      </c>
      <c r="D630" s="34" t="s">
        <v>77</v>
      </c>
      <c r="E630" s="17">
        <v>12</v>
      </c>
      <c r="F630" s="36">
        <f>IFERROR(E630/$AC630,0)</f>
        <v>8.4507042253521125E-2</v>
      </c>
      <c r="G630" s="17">
        <v>12</v>
      </c>
      <c r="H630" s="36">
        <f>IFERROR(G630/$AD630,0)</f>
        <v>9.8360655737704916E-2</v>
      </c>
      <c r="I630" s="17">
        <v>47</v>
      </c>
      <c r="J630" s="36">
        <f>IFERROR(I630/$AC630,0)</f>
        <v>0.33098591549295775</v>
      </c>
      <c r="K630" s="17">
        <v>43</v>
      </c>
      <c r="L630" s="36">
        <f>IFERROR(K630/$AD630,0)</f>
        <v>0.35245901639344263</v>
      </c>
      <c r="M630" s="17">
        <v>50</v>
      </c>
      <c r="N630" s="36">
        <f>IFERROR(M630/$AC630,0)</f>
        <v>0.352112676056338</v>
      </c>
      <c r="O630" s="17">
        <v>39</v>
      </c>
      <c r="P630" s="36">
        <f>IFERROR(O630/$AD630,0)</f>
        <v>0.31967213114754101</v>
      </c>
      <c r="Q630" s="17">
        <v>25</v>
      </c>
      <c r="R630" s="36">
        <f>IFERROR(Q630/$AC630,0)</f>
        <v>0.176056338028169</v>
      </c>
      <c r="S630" s="17">
        <v>21</v>
      </c>
      <c r="T630" s="36">
        <f>IFERROR(S630/$AD630,0)</f>
        <v>0.1721311475409836</v>
      </c>
      <c r="U630" s="17">
        <v>6</v>
      </c>
      <c r="V630" s="36">
        <f>IFERROR(U630/$AC630,0)</f>
        <v>4.2253521126760563E-2</v>
      </c>
      <c r="W630" s="17">
        <v>5</v>
      </c>
      <c r="X630" s="36">
        <f>IFERROR(W630/$AD630,0)</f>
        <v>4.0983606557377046E-2</v>
      </c>
      <c r="Y630" s="17">
        <v>2</v>
      </c>
      <c r="Z630" s="36">
        <f>IFERROR(Y630/$AC630,0)</f>
        <v>1.4084507042253521E-2</v>
      </c>
      <c r="AA630" s="17">
        <v>2</v>
      </c>
      <c r="AB630" s="36">
        <f>IFERROR(AA630/$AD630,0)</f>
        <v>1.6393442622950821E-2</v>
      </c>
      <c r="AC630" s="17">
        <v>142</v>
      </c>
      <c r="AD630" s="17">
        <v>122</v>
      </c>
    </row>
    <row r="631" spans="1:30" ht="15.75" customHeight="1" x14ac:dyDescent="0.25">
      <c r="A631" s="37">
        <v>2020</v>
      </c>
      <c r="B631" s="35">
        <v>171280</v>
      </c>
      <c r="C631" s="34" t="s">
        <v>145</v>
      </c>
      <c r="D631" s="34" t="s">
        <v>78</v>
      </c>
      <c r="E631" s="17">
        <v>8</v>
      </c>
      <c r="F631" s="36">
        <f>IFERROR(E631/$AC631,0)</f>
        <v>1.7505470459518599E-2</v>
      </c>
      <c r="G631" s="17">
        <v>1</v>
      </c>
      <c r="H631" s="36">
        <f>IFERROR(G631/$AD631,0)</f>
        <v>0.02</v>
      </c>
      <c r="I631" s="17">
        <v>168</v>
      </c>
      <c r="J631" s="36">
        <f>IFERROR(I631/$AC631,0)</f>
        <v>0.36761487964989059</v>
      </c>
      <c r="K631" s="17">
        <v>21</v>
      </c>
      <c r="L631" s="36">
        <f>IFERROR(K631/$AD631,0)</f>
        <v>0.42</v>
      </c>
      <c r="M631" s="17">
        <v>150</v>
      </c>
      <c r="N631" s="36">
        <f>IFERROR(M631/$AC631,0)</f>
        <v>0.32822757111597373</v>
      </c>
      <c r="O631" s="17">
        <v>15</v>
      </c>
      <c r="P631" s="36">
        <f>IFERROR(O631/$AD631,0)</f>
        <v>0.3</v>
      </c>
      <c r="Q631" s="17">
        <v>92</v>
      </c>
      <c r="R631" s="36">
        <f>IFERROR(Q631/$AC631,0)</f>
        <v>0.20131291028446391</v>
      </c>
      <c r="S631" s="17">
        <v>8</v>
      </c>
      <c r="T631" s="36">
        <f>IFERROR(S631/$AD631,0)</f>
        <v>0.16</v>
      </c>
      <c r="U631" s="17">
        <v>27</v>
      </c>
      <c r="V631" s="36">
        <f>IFERROR(U631/$AC631,0)</f>
        <v>5.9080962800875277E-2</v>
      </c>
      <c r="W631" s="17">
        <v>2</v>
      </c>
      <c r="X631" s="36">
        <f>IFERROR(W631/$AD631,0)</f>
        <v>0.04</v>
      </c>
      <c r="Y631" s="17">
        <v>12</v>
      </c>
      <c r="Z631" s="36">
        <f>IFERROR(Y631/$AC631,0)</f>
        <v>2.6258205689277898E-2</v>
      </c>
      <c r="AA631" s="17">
        <v>3</v>
      </c>
      <c r="AB631" s="36">
        <f>IFERROR(AA631/$AD631,0)</f>
        <v>0.06</v>
      </c>
      <c r="AC631" s="17">
        <v>457</v>
      </c>
      <c r="AD631" s="17">
        <v>50</v>
      </c>
    </row>
    <row r="632" spans="1:30" ht="15.75" customHeight="1" x14ac:dyDescent="0.25">
      <c r="A632" s="37">
        <v>2020</v>
      </c>
      <c r="B632" s="35">
        <v>171320</v>
      </c>
      <c r="C632" s="34" t="s">
        <v>148</v>
      </c>
      <c r="D632" s="34" t="s">
        <v>79</v>
      </c>
      <c r="E632" s="17">
        <v>57</v>
      </c>
      <c r="F632" s="36">
        <f>IFERROR(E632/$AC632,0)</f>
        <v>1.7969735182849937E-2</v>
      </c>
      <c r="G632" s="17">
        <v>21</v>
      </c>
      <c r="H632" s="36">
        <f>IFERROR(G632/$AD632,0)</f>
        <v>3.7769784172661872E-2</v>
      </c>
      <c r="I632" s="16">
        <v>1228</v>
      </c>
      <c r="J632" s="36">
        <f>IFERROR(I632/$AC632,0)</f>
        <v>0.38713745271122318</v>
      </c>
      <c r="K632" s="17">
        <v>216</v>
      </c>
      <c r="L632" s="36">
        <f>IFERROR(K632/$AD632,0)</f>
        <v>0.38848920863309355</v>
      </c>
      <c r="M632" s="16">
        <v>1133</v>
      </c>
      <c r="N632" s="36">
        <f>IFERROR(M632/$AC632,0)</f>
        <v>0.35718789407314</v>
      </c>
      <c r="O632" s="17">
        <v>178</v>
      </c>
      <c r="P632" s="36">
        <f>IFERROR(O632/$AD632,0)</f>
        <v>0.32014388489208634</v>
      </c>
      <c r="Q632" s="17">
        <v>526</v>
      </c>
      <c r="R632" s="36">
        <f>IFERROR(Q632/$AC632,0)</f>
        <v>0.16582597730138715</v>
      </c>
      <c r="S632" s="17">
        <v>86</v>
      </c>
      <c r="T632" s="36">
        <f>IFERROR(S632/$AD632,0)</f>
        <v>0.15467625899280577</v>
      </c>
      <c r="U632" s="17">
        <v>155</v>
      </c>
      <c r="V632" s="36">
        <f>IFERROR(U632/$AC632,0)</f>
        <v>4.8865069356872633E-2</v>
      </c>
      <c r="W632" s="17">
        <v>32</v>
      </c>
      <c r="X632" s="36">
        <f>IFERROR(W632/$AD632,0)</f>
        <v>5.7553956834532377E-2</v>
      </c>
      <c r="Y632" s="17">
        <v>73</v>
      </c>
      <c r="Z632" s="36">
        <f>IFERROR(Y632/$AC632,0)</f>
        <v>2.3013871374527112E-2</v>
      </c>
      <c r="AA632" s="17">
        <v>23</v>
      </c>
      <c r="AB632" s="36">
        <f>IFERROR(AA632/$AD632,0)</f>
        <v>4.1366906474820143E-2</v>
      </c>
      <c r="AC632" s="16">
        <v>3172</v>
      </c>
      <c r="AD632" s="17">
        <v>556</v>
      </c>
    </row>
    <row r="633" spans="1:30" ht="15.75" customHeight="1" x14ac:dyDescent="0.25">
      <c r="A633" s="37">
        <v>2020</v>
      </c>
      <c r="B633" s="35">
        <v>171330</v>
      </c>
      <c r="C633" s="34" t="s">
        <v>148</v>
      </c>
      <c r="D633" s="34" t="s">
        <v>80</v>
      </c>
      <c r="E633" s="17">
        <v>11</v>
      </c>
      <c r="F633" s="36">
        <f>IFERROR(E633/$AC633,0)</f>
        <v>1.8487394957983194E-2</v>
      </c>
      <c r="G633" s="17">
        <v>8</v>
      </c>
      <c r="H633" s="36">
        <f>IFERROR(G633/$AD633,0)</f>
        <v>4.4198895027624308E-2</v>
      </c>
      <c r="I633" s="17">
        <v>209</v>
      </c>
      <c r="J633" s="36">
        <f>IFERROR(I633/$AC633,0)</f>
        <v>0.35126050420168065</v>
      </c>
      <c r="K633" s="17">
        <v>70</v>
      </c>
      <c r="L633" s="36">
        <f>IFERROR(K633/$AD633,0)</f>
        <v>0.38674033149171272</v>
      </c>
      <c r="M633" s="17">
        <v>202</v>
      </c>
      <c r="N633" s="36">
        <f>IFERROR(M633/$AC633,0)</f>
        <v>0.33949579831932775</v>
      </c>
      <c r="O633" s="17">
        <v>50</v>
      </c>
      <c r="P633" s="36">
        <f>IFERROR(O633/$AD633,0)</f>
        <v>0.27624309392265195</v>
      </c>
      <c r="Q633" s="17">
        <v>114</v>
      </c>
      <c r="R633" s="36">
        <f>IFERROR(Q633/$AC633,0)</f>
        <v>0.1915966386554622</v>
      </c>
      <c r="S633" s="17">
        <v>37</v>
      </c>
      <c r="T633" s="36">
        <f>IFERROR(S633/$AD633,0)</f>
        <v>0.20441988950276244</v>
      </c>
      <c r="U633" s="17">
        <v>42</v>
      </c>
      <c r="V633" s="36">
        <f>IFERROR(U633/$AC633,0)</f>
        <v>7.0588235294117646E-2</v>
      </c>
      <c r="W633" s="17">
        <v>13</v>
      </c>
      <c r="X633" s="36">
        <f>IFERROR(W633/$AD633,0)</f>
        <v>7.18232044198895E-2</v>
      </c>
      <c r="Y633" s="17">
        <v>17</v>
      </c>
      <c r="Z633" s="36">
        <f>IFERROR(Y633/$AC633,0)</f>
        <v>2.8571428571428571E-2</v>
      </c>
      <c r="AA633" s="17">
        <v>3</v>
      </c>
      <c r="AB633" s="36">
        <f>IFERROR(AA633/$AD633,0)</f>
        <v>1.6574585635359115E-2</v>
      </c>
      <c r="AC633" s="17">
        <v>595</v>
      </c>
      <c r="AD633" s="17">
        <v>181</v>
      </c>
    </row>
    <row r="634" spans="1:30" ht="15.75" customHeight="1" x14ac:dyDescent="0.25">
      <c r="A634" s="37">
        <v>2020</v>
      </c>
      <c r="B634" s="35">
        <v>171360</v>
      </c>
      <c r="C634" s="34" t="s">
        <v>151</v>
      </c>
      <c r="D634" s="34" t="s">
        <v>81</v>
      </c>
      <c r="E634" s="17">
        <v>1</v>
      </c>
      <c r="F634" s="36">
        <f>IFERROR(E634/$AC634,0)</f>
        <v>5.6497175141242938E-3</v>
      </c>
      <c r="G634" s="17">
        <v>0</v>
      </c>
      <c r="H634" s="36">
        <f>IFERROR(G634/$AD634,0)</f>
        <v>0</v>
      </c>
      <c r="I634" s="17">
        <v>54</v>
      </c>
      <c r="J634" s="36">
        <f>IFERROR(I634/$AC634,0)</f>
        <v>0.30508474576271188</v>
      </c>
      <c r="K634" s="17">
        <v>16</v>
      </c>
      <c r="L634" s="36">
        <f>IFERROR(K634/$AD634,0)</f>
        <v>0.34042553191489361</v>
      </c>
      <c r="M634" s="17">
        <v>67</v>
      </c>
      <c r="N634" s="36">
        <f>IFERROR(M634/$AC634,0)</f>
        <v>0.37853107344632769</v>
      </c>
      <c r="O634" s="17">
        <v>12</v>
      </c>
      <c r="P634" s="36">
        <f>IFERROR(O634/$AD634,0)</f>
        <v>0.25531914893617019</v>
      </c>
      <c r="Q634" s="17">
        <v>37</v>
      </c>
      <c r="R634" s="36">
        <f>IFERROR(Q634/$AC634,0)</f>
        <v>0.20903954802259886</v>
      </c>
      <c r="S634" s="17">
        <v>11</v>
      </c>
      <c r="T634" s="36">
        <f>IFERROR(S634/$AD634,0)</f>
        <v>0.23404255319148937</v>
      </c>
      <c r="U634" s="17">
        <v>12</v>
      </c>
      <c r="V634" s="36">
        <f>IFERROR(U634/$AC634,0)</f>
        <v>6.7796610169491525E-2</v>
      </c>
      <c r="W634" s="17">
        <v>5</v>
      </c>
      <c r="X634" s="36">
        <f>IFERROR(W634/$AD634,0)</f>
        <v>0.10638297872340426</v>
      </c>
      <c r="Y634" s="17">
        <v>6</v>
      </c>
      <c r="Z634" s="36">
        <f>IFERROR(Y634/$AC634,0)</f>
        <v>3.3898305084745763E-2</v>
      </c>
      <c r="AA634" s="17">
        <v>3</v>
      </c>
      <c r="AB634" s="36">
        <f>IFERROR(AA634/$AD634,0)</f>
        <v>6.3829787234042548E-2</v>
      </c>
      <c r="AC634" s="17">
        <v>177</v>
      </c>
      <c r="AD634" s="17">
        <v>47</v>
      </c>
    </row>
    <row r="635" spans="1:30" ht="15.75" customHeight="1" x14ac:dyDescent="0.25">
      <c r="A635" s="37">
        <v>2020</v>
      </c>
      <c r="B635" s="35">
        <v>171370</v>
      </c>
      <c r="C635" s="34" t="s">
        <v>144</v>
      </c>
      <c r="D635" s="34" t="s">
        <v>82</v>
      </c>
      <c r="E635" s="17">
        <v>9</v>
      </c>
      <c r="F635" s="36">
        <f>IFERROR(E635/$AC635,0)</f>
        <v>2.1028037383177569E-2</v>
      </c>
      <c r="G635" s="17">
        <v>3</v>
      </c>
      <c r="H635" s="36">
        <f>IFERROR(G635/$AD635,0)</f>
        <v>1.8072289156626505E-2</v>
      </c>
      <c r="I635" s="17">
        <v>132</v>
      </c>
      <c r="J635" s="36">
        <f>IFERROR(I635/$AC635,0)</f>
        <v>0.30841121495327101</v>
      </c>
      <c r="K635" s="17">
        <v>51</v>
      </c>
      <c r="L635" s="36">
        <f>IFERROR(K635/$AD635,0)</f>
        <v>0.30722891566265059</v>
      </c>
      <c r="M635" s="17">
        <v>159</v>
      </c>
      <c r="N635" s="36">
        <f>IFERROR(M635/$AC635,0)</f>
        <v>0.37149532710280375</v>
      </c>
      <c r="O635" s="17">
        <v>59</v>
      </c>
      <c r="P635" s="36">
        <f>IFERROR(O635/$AD635,0)</f>
        <v>0.35542168674698793</v>
      </c>
      <c r="Q635" s="17">
        <v>84</v>
      </c>
      <c r="R635" s="36">
        <f>IFERROR(Q635/$AC635,0)</f>
        <v>0.19626168224299065</v>
      </c>
      <c r="S635" s="17">
        <v>34</v>
      </c>
      <c r="T635" s="36">
        <f>IFERROR(S635/$AD635,0)</f>
        <v>0.20481927710843373</v>
      </c>
      <c r="U635" s="17">
        <v>31</v>
      </c>
      <c r="V635" s="36">
        <f>IFERROR(U635/$AC635,0)</f>
        <v>7.2429906542056069E-2</v>
      </c>
      <c r="W635" s="17">
        <v>13</v>
      </c>
      <c r="X635" s="36">
        <f>IFERROR(W635/$AD635,0)</f>
        <v>7.8313253012048195E-2</v>
      </c>
      <c r="Y635" s="17">
        <v>13</v>
      </c>
      <c r="Z635" s="36">
        <f>IFERROR(Y635/$AC635,0)</f>
        <v>3.0373831775700934E-2</v>
      </c>
      <c r="AA635" s="17">
        <v>6</v>
      </c>
      <c r="AB635" s="36">
        <f>IFERROR(AA635/$AD635,0)</f>
        <v>3.614457831325301E-2</v>
      </c>
      <c r="AC635" s="17">
        <v>428</v>
      </c>
      <c r="AD635" s="17">
        <v>166</v>
      </c>
    </row>
    <row r="636" spans="1:30" ht="15.75" customHeight="1" x14ac:dyDescent="0.25">
      <c r="A636" s="37">
        <v>2020</v>
      </c>
      <c r="B636" s="35">
        <v>171395</v>
      </c>
      <c r="C636" s="34" t="s">
        <v>149</v>
      </c>
      <c r="D636" s="34" t="s">
        <v>83</v>
      </c>
      <c r="E636" s="17">
        <v>8</v>
      </c>
      <c r="F636" s="36">
        <f>IFERROR(E636/$AC636,0)</f>
        <v>2.185792349726776E-2</v>
      </c>
      <c r="G636" s="17">
        <v>7</v>
      </c>
      <c r="H636" s="36">
        <f>IFERROR(G636/$AD636,0)</f>
        <v>4.3478260869565216E-2</v>
      </c>
      <c r="I636" s="17">
        <v>151</v>
      </c>
      <c r="J636" s="36">
        <f>IFERROR(I636/$AC636,0)</f>
        <v>0.41256830601092898</v>
      </c>
      <c r="K636" s="17">
        <v>58</v>
      </c>
      <c r="L636" s="36">
        <f>IFERROR(K636/$AD636,0)</f>
        <v>0.36024844720496896</v>
      </c>
      <c r="M636" s="17">
        <v>127</v>
      </c>
      <c r="N636" s="36">
        <f>IFERROR(M636/$AC636,0)</f>
        <v>0.34699453551912568</v>
      </c>
      <c r="O636" s="17">
        <v>64</v>
      </c>
      <c r="P636" s="36">
        <f>IFERROR(O636/$AD636,0)</f>
        <v>0.39751552795031053</v>
      </c>
      <c r="Q636" s="17">
        <v>53</v>
      </c>
      <c r="R636" s="36">
        <f>IFERROR(Q636/$AC636,0)</f>
        <v>0.1448087431693989</v>
      </c>
      <c r="S636" s="17">
        <v>22</v>
      </c>
      <c r="T636" s="36">
        <f>IFERROR(S636/$AD636,0)</f>
        <v>0.13664596273291926</v>
      </c>
      <c r="U636" s="17">
        <v>16</v>
      </c>
      <c r="V636" s="36">
        <f>IFERROR(U636/$AC636,0)</f>
        <v>4.3715846994535519E-2</v>
      </c>
      <c r="W636" s="17">
        <v>7</v>
      </c>
      <c r="X636" s="36">
        <f>IFERROR(W636/$AD636,0)</f>
        <v>4.3478260869565216E-2</v>
      </c>
      <c r="Y636" s="17">
        <v>11</v>
      </c>
      <c r="Z636" s="36">
        <f>IFERROR(Y636/$AC636,0)</f>
        <v>3.0054644808743168E-2</v>
      </c>
      <c r="AA636" s="17">
        <v>3</v>
      </c>
      <c r="AB636" s="36">
        <f>IFERROR(AA636/$AD636,0)</f>
        <v>1.8633540372670808E-2</v>
      </c>
      <c r="AC636" s="17">
        <v>366</v>
      </c>
      <c r="AD636" s="17">
        <v>161</v>
      </c>
    </row>
    <row r="637" spans="1:30" ht="15.75" customHeight="1" x14ac:dyDescent="0.25">
      <c r="A637" s="37">
        <v>2020</v>
      </c>
      <c r="B637" s="35">
        <v>171420</v>
      </c>
      <c r="C637" s="34" t="s">
        <v>151</v>
      </c>
      <c r="D637" s="34" t="s">
        <v>84</v>
      </c>
      <c r="E637" s="17">
        <v>20</v>
      </c>
      <c r="F637" s="36">
        <f>IFERROR(E637/$AC637,0)</f>
        <v>1.675041876046901E-2</v>
      </c>
      <c r="G637" s="17">
        <v>2</v>
      </c>
      <c r="H637" s="36">
        <f>IFERROR(G637/$AD637,0)</f>
        <v>1.1049723756906077E-2</v>
      </c>
      <c r="I637" s="17">
        <v>381</v>
      </c>
      <c r="J637" s="36">
        <f>IFERROR(I637/$AC637,0)</f>
        <v>0.31909547738693467</v>
      </c>
      <c r="K637" s="17">
        <v>43</v>
      </c>
      <c r="L637" s="36">
        <f>IFERROR(K637/$AD637,0)</f>
        <v>0.23756906077348067</v>
      </c>
      <c r="M637" s="17">
        <v>447</v>
      </c>
      <c r="N637" s="36">
        <f>IFERROR(M637/$AC637,0)</f>
        <v>0.37437185929648242</v>
      </c>
      <c r="O637" s="17">
        <v>74</v>
      </c>
      <c r="P637" s="36">
        <f>IFERROR(O637/$AD637,0)</f>
        <v>0.40883977900552487</v>
      </c>
      <c r="Q637" s="17">
        <v>222</v>
      </c>
      <c r="R637" s="36">
        <f>IFERROR(Q637/$AC637,0)</f>
        <v>0.18592964824120603</v>
      </c>
      <c r="S637" s="17">
        <v>31</v>
      </c>
      <c r="T637" s="36">
        <f>IFERROR(S637/$AD637,0)</f>
        <v>0.17127071823204421</v>
      </c>
      <c r="U637" s="17">
        <v>88</v>
      </c>
      <c r="V637" s="36">
        <f>IFERROR(U637/$AC637,0)</f>
        <v>7.3701842546063656E-2</v>
      </c>
      <c r="W637" s="17">
        <v>23</v>
      </c>
      <c r="X637" s="36">
        <f>IFERROR(W637/$AD637,0)</f>
        <v>0.1270718232044199</v>
      </c>
      <c r="Y637" s="17">
        <v>36</v>
      </c>
      <c r="Z637" s="36">
        <f>IFERROR(Y637/$AC637,0)</f>
        <v>3.015075376884422E-2</v>
      </c>
      <c r="AA637" s="17">
        <v>8</v>
      </c>
      <c r="AB637" s="36">
        <f>IFERROR(AA637/$AD637,0)</f>
        <v>4.4198895027624308E-2</v>
      </c>
      <c r="AC637" s="16">
        <v>1194</v>
      </c>
      <c r="AD637" s="17">
        <v>181</v>
      </c>
    </row>
    <row r="638" spans="1:30" ht="15.75" customHeight="1" x14ac:dyDescent="0.25">
      <c r="A638" s="37">
        <v>2020</v>
      </c>
      <c r="B638" s="35">
        <v>171430</v>
      </c>
      <c r="C638" s="34" t="s">
        <v>145</v>
      </c>
      <c r="D638" s="34" t="s">
        <v>85</v>
      </c>
      <c r="E638" s="17">
        <v>4</v>
      </c>
      <c r="F638" s="36">
        <f>IFERROR(E638/$AC638,0)</f>
        <v>1.8433179723502304E-2</v>
      </c>
      <c r="G638" s="17">
        <v>3</v>
      </c>
      <c r="H638" s="36">
        <f>IFERROR(G638/$AD638,0)</f>
        <v>2.0270270270270271E-2</v>
      </c>
      <c r="I638" s="17">
        <v>91</v>
      </c>
      <c r="J638" s="36">
        <f>IFERROR(I638/$AC638,0)</f>
        <v>0.41935483870967744</v>
      </c>
      <c r="K638" s="17">
        <v>63</v>
      </c>
      <c r="L638" s="36">
        <f>IFERROR(K638/$AD638,0)</f>
        <v>0.42567567567567566</v>
      </c>
      <c r="M638" s="17">
        <v>64</v>
      </c>
      <c r="N638" s="36">
        <f>IFERROR(M638/$AC638,0)</f>
        <v>0.29493087557603687</v>
      </c>
      <c r="O638" s="17">
        <v>44</v>
      </c>
      <c r="P638" s="36">
        <f>IFERROR(O638/$AD638,0)</f>
        <v>0.29729729729729731</v>
      </c>
      <c r="Q638" s="17">
        <v>39</v>
      </c>
      <c r="R638" s="36">
        <f>IFERROR(Q638/$AC638,0)</f>
        <v>0.17972350230414746</v>
      </c>
      <c r="S638" s="17">
        <v>27</v>
      </c>
      <c r="T638" s="36">
        <f>IFERROR(S638/$AD638,0)</f>
        <v>0.18243243243243243</v>
      </c>
      <c r="U638" s="17">
        <v>14</v>
      </c>
      <c r="V638" s="36">
        <f>IFERROR(U638/$AC638,0)</f>
        <v>6.4516129032258063E-2</v>
      </c>
      <c r="W638" s="17">
        <v>7</v>
      </c>
      <c r="X638" s="36">
        <f>IFERROR(W638/$AD638,0)</f>
        <v>4.72972972972973E-2</v>
      </c>
      <c r="Y638" s="17">
        <v>5</v>
      </c>
      <c r="Z638" s="36">
        <f>IFERROR(Y638/$AC638,0)</f>
        <v>2.3041474654377881E-2</v>
      </c>
      <c r="AA638" s="17">
        <v>4</v>
      </c>
      <c r="AB638" s="36">
        <f>IFERROR(AA638/$AD638,0)</f>
        <v>2.7027027027027029E-2</v>
      </c>
      <c r="AC638" s="17">
        <v>217</v>
      </c>
      <c r="AD638" s="17">
        <v>148</v>
      </c>
    </row>
    <row r="639" spans="1:30" ht="15.75" customHeight="1" x14ac:dyDescent="0.25">
      <c r="A639" s="37">
        <v>2020</v>
      </c>
      <c r="B639" s="35">
        <v>171488</v>
      </c>
      <c r="C639" s="34" t="s">
        <v>149</v>
      </c>
      <c r="D639" s="34" t="s">
        <v>86</v>
      </c>
      <c r="E639" s="17">
        <v>8</v>
      </c>
      <c r="F639" s="36">
        <f>IFERROR(E639/$AC639,0)</f>
        <v>2.3668639053254437E-2</v>
      </c>
      <c r="G639" s="17">
        <v>7</v>
      </c>
      <c r="H639" s="36">
        <f>IFERROR(G639/$AD639,0)</f>
        <v>3.111111111111111E-2</v>
      </c>
      <c r="I639" s="17">
        <v>124</v>
      </c>
      <c r="J639" s="36">
        <f>IFERROR(I639/$AC639,0)</f>
        <v>0.36686390532544377</v>
      </c>
      <c r="K639" s="17">
        <v>82</v>
      </c>
      <c r="L639" s="36">
        <f>IFERROR(K639/$AD639,0)</f>
        <v>0.36444444444444446</v>
      </c>
      <c r="M639" s="17">
        <v>119</v>
      </c>
      <c r="N639" s="36">
        <f>IFERROR(M639/$AC639,0)</f>
        <v>0.35207100591715978</v>
      </c>
      <c r="O639" s="17">
        <v>84</v>
      </c>
      <c r="P639" s="36">
        <f>IFERROR(O639/$AD639,0)</f>
        <v>0.37333333333333335</v>
      </c>
      <c r="Q639" s="17">
        <v>62</v>
      </c>
      <c r="R639" s="36">
        <f>IFERROR(Q639/$AC639,0)</f>
        <v>0.18343195266272189</v>
      </c>
      <c r="S639" s="17">
        <v>38</v>
      </c>
      <c r="T639" s="36">
        <f>IFERROR(S639/$AD639,0)</f>
        <v>0.16888888888888889</v>
      </c>
      <c r="U639" s="17">
        <v>18</v>
      </c>
      <c r="V639" s="36">
        <f>IFERROR(U639/$AC639,0)</f>
        <v>5.3254437869822487E-2</v>
      </c>
      <c r="W639" s="17">
        <v>11</v>
      </c>
      <c r="X639" s="36">
        <f>IFERROR(W639/$AD639,0)</f>
        <v>4.8888888888888891E-2</v>
      </c>
      <c r="Y639" s="17">
        <v>7</v>
      </c>
      <c r="Z639" s="36">
        <f>IFERROR(Y639/$AC639,0)</f>
        <v>2.0710059171597635E-2</v>
      </c>
      <c r="AA639" s="17">
        <v>3</v>
      </c>
      <c r="AB639" s="36">
        <f>IFERROR(AA639/$AD639,0)</f>
        <v>1.3333333333333334E-2</v>
      </c>
      <c r="AC639" s="17">
        <v>338</v>
      </c>
      <c r="AD639" s="17">
        <v>225</v>
      </c>
    </row>
    <row r="640" spans="1:30" ht="15.75" customHeight="1" x14ac:dyDescent="0.25">
      <c r="A640" s="37">
        <v>2020</v>
      </c>
      <c r="B640" s="35">
        <v>171500</v>
      </c>
      <c r="C640" s="34" t="s">
        <v>144</v>
      </c>
      <c r="D640" s="34" t="s">
        <v>87</v>
      </c>
      <c r="E640" s="17">
        <v>4</v>
      </c>
      <c r="F640" s="36">
        <f>IFERROR(E640/$AC640,0)</f>
        <v>1.2461059190031152E-2</v>
      </c>
      <c r="G640" s="17">
        <v>2</v>
      </c>
      <c r="H640" s="36">
        <f>IFERROR(G640/$AD640,0)</f>
        <v>1.2121212121212121E-2</v>
      </c>
      <c r="I640" s="17">
        <v>117</v>
      </c>
      <c r="J640" s="36">
        <f>IFERROR(I640/$AC640,0)</f>
        <v>0.3644859813084112</v>
      </c>
      <c r="K640" s="17">
        <v>63</v>
      </c>
      <c r="L640" s="36">
        <f>IFERROR(K640/$AD640,0)</f>
        <v>0.38181818181818183</v>
      </c>
      <c r="M640" s="17">
        <v>104</v>
      </c>
      <c r="N640" s="36">
        <f>IFERROR(M640/$AC640,0)</f>
        <v>0.32398753894080995</v>
      </c>
      <c r="O640" s="17">
        <v>59</v>
      </c>
      <c r="P640" s="36">
        <f>IFERROR(O640/$AD640,0)</f>
        <v>0.3575757575757576</v>
      </c>
      <c r="Q640" s="17">
        <v>68</v>
      </c>
      <c r="R640" s="36">
        <f>IFERROR(Q640/$AC640,0)</f>
        <v>0.21183800623052959</v>
      </c>
      <c r="S640" s="17">
        <v>31</v>
      </c>
      <c r="T640" s="36">
        <f>IFERROR(S640/$AD640,0)</f>
        <v>0.18787878787878787</v>
      </c>
      <c r="U640" s="17">
        <v>17</v>
      </c>
      <c r="V640" s="36">
        <f>IFERROR(U640/$AC640,0)</f>
        <v>5.2959501557632398E-2</v>
      </c>
      <c r="W640" s="17">
        <v>8</v>
      </c>
      <c r="X640" s="36">
        <f>IFERROR(W640/$AD640,0)</f>
        <v>4.8484848484848485E-2</v>
      </c>
      <c r="Y640" s="17">
        <v>11</v>
      </c>
      <c r="Z640" s="36">
        <f>IFERROR(Y640/$AC640,0)</f>
        <v>3.4267912772585667E-2</v>
      </c>
      <c r="AA640" s="17">
        <v>2</v>
      </c>
      <c r="AB640" s="36">
        <f>IFERROR(AA640/$AD640,0)</f>
        <v>1.2121212121212121E-2</v>
      </c>
      <c r="AC640" s="17">
        <v>321</v>
      </c>
      <c r="AD640" s="17">
        <v>165</v>
      </c>
    </row>
    <row r="641" spans="1:30" ht="15.75" customHeight="1" x14ac:dyDescent="0.25">
      <c r="A641" s="37">
        <v>2020</v>
      </c>
      <c r="B641" s="35">
        <v>171510</v>
      </c>
      <c r="C641" s="34" t="s">
        <v>148</v>
      </c>
      <c r="D641" s="34" t="s">
        <v>88</v>
      </c>
      <c r="E641" s="17">
        <v>8</v>
      </c>
      <c r="F641" s="36">
        <f>IFERROR(E641/$AC641,0)</f>
        <v>4.519774011299435E-2</v>
      </c>
      <c r="G641" s="17">
        <v>6</v>
      </c>
      <c r="H641" s="36">
        <f>IFERROR(G641/$AD641,0)</f>
        <v>0.15384615384615385</v>
      </c>
      <c r="I641" s="17">
        <v>68</v>
      </c>
      <c r="J641" s="36">
        <f>IFERROR(I641/$AC641,0)</f>
        <v>0.38418079096045199</v>
      </c>
      <c r="K641" s="17">
        <v>15</v>
      </c>
      <c r="L641" s="36">
        <f>IFERROR(K641/$AD641,0)</f>
        <v>0.38461538461538464</v>
      </c>
      <c r="M641" s="17">
        <v>69</v>
      </c>
      <c r="N641" s="36">
        <f>IFERROR(M641/$AC641,0)</f>
        <v>0.38983050847457629</v>
      </c>
      <c r="O641" s="17">
        <v>12</v>
      </c>
      <c r="P641" s="36">
        <f>IFERROR(O641/$AD641,0)</f>
        <v>0.30769230769230771</v>
      </c>
      <c r="Q641" s="17">
        <v>21</v>
      </c>
      <c r="R641" s="36">
        <f>IFERROR(Q641/$AC641,0)</f>
        <v>0.11864406779661017</v>
      </c>
      <c r="S641" s="17">
        <v>3</v>
      </c>
      <c r="T641" s="36">
        <f>IFERROR(S641/$AD641,0)</f>
        <v>7.6923076923076927E-2</v>
      </c>
      <c r="U641" s="17">
        <v>8</v>
      </c>
      <c r="V641" s="36">
        <f>IFERROR(U641/$AC641,0)</f>
        <v>4.519774011299435E-2</v>
      </c>
      <c r="W641" s="17">
        <v>2</v>
      </c>
      <c r="X641" s="36">
        <f>IFERROR(W641/$AD641,0)</f>
        <v>5.128205128205128E-2</v>
      </c>
      <c r="Y641" s="17">
        <v>3</v>
      </c>
      <c r="Z641" s="36">
        <f>IFERROR(Y641/$AC641,0)</f>
        <v>1.6949152542372881E-2</v>
      </c>
      <c r="AA641" s="17">
        <v>1</v>
      </c>
      <c r="AB641" s="36">
        <f>IFERROR(AA641/$AD641,0)</f>
        <v>2.564102564102564E-2</v>
      </c>
      <c r="AC641" s="17">
        <v>177</v>
      </c>
      <c r="AD641" s="17">
        <v>39</v>
      </c>
    </row>
    <row r="642" spans="1:30" ht="15.75" customHeight="1" x14ac:dyDescent="0.25">
      <c r="A642" s="37">
        <v>2020</v>
      </c>
      <c r="B642" s="35">
        <v>171515</v>
      </c>
      <c r="C642" s="34" t="s">
        <v>147</v>
      </c>
      <c r="D642" s="34" t="s">
        <v>89</v>
      </c>
      <c r="E642" s="17">
        <v>9</v>
      </c>
      <c r="F642" s="36">
        <f>IFERROR(E642/$AC642,0)</f>
        <v>1.6981132075471698E-2</v>
      </c>
      <c r="G642" s="17">
        <v>2</v>
      </c>
      <c r="H642" s="36">
        <f>IFERROR(G642/$AD642,0)</f>
        <v>2.8571428571428571E-2</v>
      </c>
      <c r="I642" s="17">
        <v>192</v>
      </c>
      <c r="J642" s="36">
        <f>IFERROR(I642/$AC642,0)</f>
        <v>0.3622641509433962</v>
      </c>
      <c r="K642" s="17">
        <v>26</v>
      </c>
      <c r="L642" s="36">
        <f>IFERROR(K642/$AD642,0)</f>
        <v>0.37142857142857144</v>
      </c>
      <c r="M642" s="17">
        <v>190</v>
      </c>
      <c r="N642" s="36">
        <f>IFERROR(M642/$AC642,0)</f>
        <v>0.35849056603773582</v>
      </c>
      <c r="O642" s="17">
        <v>24</v>
      </c>
      <c r="P642" s="36">
        <f>IFERROR(O642/$AD642,0)</f>
        <v>0.34285714285714286</v>
      </c>
      <c r="Q642" s="17">
        <v>91</v>
      </c>
      <c r="R642" s="36">
        <f>IFERROR(Q642/$AC642,0)</f>
        <v>0.17169811320754716</v>
      </c>
      <c r="S642" s="17">
        <v>9</v>
      </c>
      <c r="T642" s="36">
        <f>IFERROR(S642/$AD642,0)</f>
        <v>0.12857142857142856</v>
      </c>
      <c r="U642" s="17">
        <v>35</v>
      </c>
      <c r="V642" s="36">
        <f>IFERROR(U642/$AC642,0)</f>
        <v>6.6037735849056603E-2</v>
      </c>
      <c r="W642" s="17">
        <v>7</v>
      </c>
      <c r="X642" s="36">
        <f>IFERROR(W642/$AD642,0)</f>
        <v>0.1</v>
      </c>
      <c r="Y642" s="17">
        <v>13</v>
      </c>
      <c r="Z642" s="36">
        <f>IFERROR(Y642/$AC642,0)</f>
        <v>2.4528301886792454E-2</v>
      </c>
      <c r="AA642" s="17">
        <v>2</v>
      </c>
      <c r="AB642" s="36">
        <f>IFERROR(AA642/$AD642,0)</f>
        <v>2.8571428571428571E-2</v>
      </c>
      <c r="AC642" s="17">
        <v>530</v>
      </c>
      <c r="AD642" s="17">
        <v>70</v>
      </c>
    </row>
    <row r="643" spans="1:30" ht="15.75" customHeight="1" x14ac:dyDescent="0.25">
      <c r="A643" s="37">
        <v>2020</v>
      </c>
      <c r="B643" s="35">
        <v>171525</v>
      </c>
      <c r="C643" s="34" t="s">
        <v>147</v>
      </c>
      <c r="D643" s="34" t="s">
        <v>90</v>
      </c>
      <c r="E643" s="17">
        <v>0</v>
      </c>
      <c r="F643" s="36">
        <f>IFERROR(E643/$AC643,0)</f>
        <v>0</v>
      </c>
      <c r="G643" s="17">
        <v>0</v>
      </c>
      <c r="H643" s="36">
        <f>IFERROR(G643/$AD643,0)</f>
        <v>0</v>
      </c>
      <c r="I643" s="17">
        <v>21</v>
      </c>
      <c r="J643" s="36">
        <f>IFERROR(I643/$AC643,0)</f>
        <v>0.4375</v>
      </c>
      <c r="K643" s="17">
        <v>13</v>
      </c>
      <c r="L643" s="36">
        <f>IFERROR(K643/$AD643,0)</f>
        <v>0.40625</v>
      </c>
      <c r="M643" s="17">
        <v>17</v>
      </c>
      <c r="N643" s="36">
        <f>IFERROR(M643/$AC643,0)</f>
        <v>0.35416666666666669</v>
      </c>
      <c r="O643" s="17">
        <v>11</v>
      </c>
      <c r="P643" s="36">
        <f>IFERROR(O643/$AD643,0)</f>
        <v>0.34375</v>
      </c>
      <c r="Q643" s="17">
        <v>5</v>
      </c>
      <c r="R643" s="36">
        <f>IFERROR(Q643/$AC643,0)</f>
        <v>0.10416666666666667</v>
      </c>
      <c r="S643" s="17">
        <v>3</v>
      </c>
      <c r="T643" s="36">
        <f>IFERROR(S643/$AD643,0)</f>
        <v>9.375E-2</v>
      </c>
      <c r="U643" s="17">
        <v>2</v>
      </c>
      <c r="V643" s="36">
        <f>IFERROR(U643/$AC643,0)</f>
        <v>4.1666666666666664E-2</v>
      </c>
      <c r="W643" s="17">
        <v>2</v>
      </c>
      <c r="X643" s="36">
        <f>IFERROR(W643/$AD643,0)</f>
        <v>6.25E-2</v>
      </c>
      <c r="Y643" s="17">
        <v>3</v>
      </c>
      <c r="Z643" s="36">
        <f>IFERROR(Y643/$AC643,0)</f>
        <v>6.25E-2</v>
      </c>
      <c r="AA643" s="17">
        <v>3</v>
      </c>
      <c r="AB643" s="36">
        <f>IFERROR(AA643/$AD643,0)</f>
        <v>9.375E-2</v>
      </c>
      <c r="AC643" s="17">
        <v>48</v>
      </c>
      <c r="AD643" s="17">
        <v>32</v>
      </c>
    </row>
    <row r="644" spans="1:30" ht="15.75" customHeight="1" x14ac:dyDescent="0.25">
      <c r="A644" s="37">
        <v>2020</v>
      </c>
      <c r="B644" s="35">
        <v>171550</v>
      </c>
      <c r="C644" s="34" t="s">
        <v>151</v>
      </c>
      <c r="D644" s="34" t="s">
        <v>91</v>
      </c>
      <c r="E644" s="17">
        <v>4</v>
      </c>
      <c r="F644" s="36">
        <f>IFERROR(E644/$AC644,0)</f>
        <v>5.2631578947368418E-2</v>
      </c>
      <c r="G644" s="17">
        <v>4</v>
      </c>
      <c r="H644" s="36">
        <f>IFERROR(G644/$AD644,0)</f>
        <v>5.7971014492753624E-2</v>
      </c>
      <c r="I644" s="17">
        <v>22</v>
      </c>
      <c r="J644" s="36">
        <f>IFERROR(I644/$AC644,0)</f>
        <v>0.28947368421052633</v>
      </c>
      <c r="K644" s="17">
        <v>21</v>
      </c>
      <c r="L644" s="36">
        <f>IFERROR(K644/$AD644,0)</f>
        <v>0.30434782608695654</v>
      </c>
      <c r="M644" s="17">
        <v>29</v>
      </c>
      <c r="N644" s="36">
        <f>IFERROR(M644/$AC644,0)</f>
        <v>0.38157894736842107</v>
      </c>
      <c r="O644" s="17">
        <v>25</v>
      </c>
      <c r="P644" s="36">
        <f>IFERROR(O644/$AD644,0)</f>
        <v>0.36231884057971014</v>
      </c>
      <c r="Q644" s="17">
        <v>10</v>
      </c>
      <c r="R644" s="36">
        <f>IFERROR(Q644/$AC644,0)</f>
        <v>0.13157894736842105</v>
      </c>
      <c r="S644" s="17">
        <v>9</v>
      </c>
      <c r="T644" s="36">
        <f>IFERROR(S644/$AD644,0)</f>
        <v>0.13043478260869565</v>
      </c>
      <c r="U644" s="17">
        <v>5</v>
      </c>
      <c r="V644" s="36">
        <f>IFERROR(U644/$AC644,0)</f>
        <v>6.5789473684210523E-2</v>
      </c>
      <c r="W644" s="17">
        <v>4</v>
      </c>
      <c r="X644" s="36">
        <f>IFERROR(W644/$AD644,0)</f>
        <v>5.7971014492753624E-2</v>
      </c>
      <c r="Y644" s="17">
        <v>6</v>
      </c>
      <c r="Z644" s="36">
        <f>IFERROR(Y644/$AC644,0)</f>
        <v>7.8947368421052627E-2</v>
      </c>
      <c r="AA644" s="17">
        <v>6</v>
      </c>
      <c r="AB644" s="36">
        <f>IFERROR(AA644/$AD644,0)</f>
        <v>8.6956521739130432E-2</v>
      </c>
      <c r="AC644" s="17">
        <v>76</v>
      </c>
      <c r="AD644" s="17">
        <v>69</v>
      </c>
    </row>
    <row r="645" spans="1:30" ht="15.75" customHeight="1" x14ac:dyDescent="0.25">
      <c r="A645" s="37">
        <v>2020</v>
      </c>
      <c r="B645" s="35">
        <v>172100</v>
      </c>
      <c r="C645" s="34" t="s">
        <v>148</v>
      </c>
      <c r="D645" s="34" t="s">
        <v>92</v>
      </c>
      <c r="E645" s="17">
        <v>352</v>
      </c>
      <c r="F645" s="36">
        <f>IFERROR(E645/$AC645,0)</f>
        <v>2.310014437590235E-2</v>
      </c>
      <c r="G645" s="17">
        <v>143</v>
      </c>
      <c r="H645" s="36">
        <f>IFERROR(G645/$AD645,0)</f>
        <v>3.669489350782653E-2</v>
      </c>
      <c r="I645" s="16">
        <v>5143</v>
      </c>
      <c r="J645" s="36">
        <f>IFERROR(I645/$AC645,0)</f>
        <v>0.33751148444677781</v>
      </c>
      <c r="K645" s="16">
        <v>1462</v>
      </c>
      <c r="L645" s="36">
        <f>IFERROR(K645/$AD645,0)</f>
        <v>0.37516037977931743</v>
      </c>
      <c r="M645" s="16">
        <v>5196</v>
      </c>
      <c r="N645" s="36">
        <f>IFERROR(M645/$AC645,0)</f>
        <v>0.34098963118519493</v>
      </c>
      <c r="O645" s="16">
        <v>1270</v>
      </c>
      <c r="P645" s="36">
        <f>IFERROR(O645/$AD645,0)</f>
        <v>0.32589171157300489</v>
      </c>
      <c r="Q645" s="16">
        <v>2971</v>
      </c>
      <c r="R645" s="36">
        <f>IFERROR(Q645/$AC645,0)</f>
        <v>0.1949730935818349</v>
      </c>
      <c r="S645" s="17">
        <v>671</v>
      </c>
      <c r="T645" s="36">
        <f>IFERROR(S645/$AD645,0)</f>
        <v>0.17218373107518603</v>
      </c>
      <c r="U645" s="16">
        <v>1108</v>
      </c>
      <c r="V645" s="36">
        <f>IFERROR(U645/$AC645,0)</f>
        <v>7.2712954455965345E-2</v>
      </c>
      <c r="W645" s="17">
        <v>252</v>
      </c>
      <c r="X645" s="36">
        <f>IFERROR(W645/$AD645,0)</f>
        <v>6.4665127020785224E-2</v>
      </c>
      <c r="Y645" s="17">
        <v>468</v>
      </c>
      <c r="Z645" s="36">
        <f>IFERROR(Y645/$AC645,0)</f>
        <v>3.0712691954324713E-2</v>
      </c>
      <c r="AA645" s="17">
        <v>99</v>
      </c>
      <c r="AB645" s="36">
        <f>IFERROR(AA645/$AD645,0)</f>
        <v>2.5404157043879907E-2</v>
      </c>
      <c r="AC645" s="16">
        <v>15238</v>
      </c>
      <c r="AD645" s="16">
        <v>3897</v>
      </c>
    </row>
    <row r="646" spans="1:30" ht="15.75" customHeight="1" x14ac:dyDescent="0.25">
      <c r="A646" s="37">
        <v>2020</v>
      </c>
      <c r="B646" s="35">
        <v>171570</v>
      </c>
      <c r="C646" s="34" t="s">
        <v>150</v>
      </c>
      <c r="D646" s="34" t="s">
        <v>93</v>
      </c>
      <c r="E646" s="17">
        <v>13</v>
      </c>
      <c r="F646" s="36">
        <f>IFERROR(E646/$AC646,0)</f>
        <v>3.9393939393939391E-2</v>
      </c>
      <c r="G646" s="17">
        <v>7</v>
      </c>
      <c r="H646" s="36">
        <f>IFERROR(G646/$AD646,0)</f>
        <v>3.9325842696629212E-2</v>
      </c>
      <c r="I646" s="17">
        <v>131</v>
      </c>
      <c r="J646" s="36">
        <f>IFERROR(I646/$AC646,0)</f>
        <v>0.39696969696969697</v>
      </c>
      <c r="K646" s="17">
        <v>66</v>
      </c>
      <c r="L646" s="36">
        <f>IFERROR(K646/$AD646,0)</f>
        <v>0.3707865168539326</v>
      </c>
      <c r="M646" s="17">
        <v>109</v>
      </c>
      <c r="N646" s="36">
        <f>IFERROR(M646/$AC646,0)</f>
        <v>0.33030303030303032</v>
      </c>
      <c r="O646" s="17">
        <v>62</v>
      </c>
      <c r="P646" s="36">
        <f>IFERROR(O646/$AD646,0)</f>
        <v>0.34831460674157305</v>
      </c>
      <c r="Q646" s="17">
        <v>49</v>
      </c>
      <c r="R646" s="36">
        <f>IFERROR(Q646/$AC646,0)</f>
        <v>0.1484848484848485</v>
      </c>
      <c r="S646" s="17">
        <v>27</v>
      </c>
      <c r="T646" s="36">
        <f>IFERROR(S646/$AD646,0)</f>
        <v>0.15168539325842698</v>
      </c>
      <c r="U646" s="17">
        <v>23</v>
      </c>
      <c r="V646" s="36">
        <f>IFERROR(U646/$AC646,0)</f>
        <v>6.9696969696969702E-2</v>
      </c>
      <c r="W646" s="17">
        <v>12</v>
      </c>
      <c r="X646" s="36">
        <f>IFERROR(W646/$AD646,0)</f>
        <v>6.741573033707865E-2</v>
      </c>
      <c r="Y646" s="17">
        <v>5</v>
      </c>
      <c r="Z646" s="36">
        <f>IFERROR(Y646/$AC646,0)</f>
        <v>1.5151515151515152E-2</v>
      </c>
      <c r="AA646" s="17">
        <v>4</v>
      </c>
      <c r="AB646" s="36">
        <f>IFERROR(AA646/$AD646,0)</f>
        <v>2.247191011235955E-2</v>
      </c>
      <c r="AC646" s="17">
        <v>330</v>
      </c>
      <c r="AD646" s="17">
        <v>178</v>
      </c>
    </row>
    <row r="647" spans="1:30" ht="15.75" customHeight="1" x14ac:dyDescent="0.25">
      <c r="A647" s="37">
        <v>2020</v>
      </c>
      <c r="B647" s="35">
        <v>171380</v>
      </c>
      <c r="C647" s="34" t="s">
        <v>145</v>
      </c>
      <c r="D647" s="34" t="s">
        <v>94</v>
      </c>
      <c r="E647" s="17">
        <v>3</v>
      </c>
      <c r="F647" s="36">
        <f>IFERROR(E647/$AC647,0)</f>
        <v>1.1811023622047244E-2</v>
      </c>
      <c r="G647" s="17">
        <v>4</v>
      </c>
      <c r="H647" s="36">
        <f>IFERROR(G647/$AD647,0)</f>
        <v>1.8779342723004695E-2</v>
      </c>
      <c r="I647" s="17">
        <v>87</v>
      </c>
      <c r="J647" s="36">
        <f>IFERROR(I647/$AC647,0)</f>
        <v>0.34251968503937008</v>
      </c>
      <c r="K647" s="17">
        <v>74</v>
      </c>
      <c r="L647" s="36">
        <f>IFERROR(K647/$AD647,0)</f>
        <v>0.34741784037558687</v>
      </c>
      <c r="M647" s="17">
        <v>84</v>
      </c>
      <c r="N647" s="36">
        <f>IFERROR(M647/$AC647,0)</f>
        <v>0.33070866141732286</v>
      </c>
      <c r="O647" s="17">
        <v>74</v>
      </c>
      <c r="P647" s="36">
        <f>IFERROR(O647/$AD647,0)</f>
        <v>0.34741784037558687</v>
      </c>
      <c r="Q647" s="17">
        <v>58</v>
      </c>
      <c r="R647" s="36">
        <f>IFERROR(Q647/$AC647,0)</f>
        <v>0.2283464566929134</v>
      </c>
      <c r="S647" s="17">
        <v>46</v>
      </c>
      <c r="T647" s="36">
        <f>IFERROR(S647/$AD647,0)</f>
        <v>0.215962441314554</v>
      </c>
      <c r="U647" s="17">
        <v>15</v>
      </c>
      <c r="V647" s="36">
        <f>IFERROR(U647/$AC647,0)</f>
        <v>5.905511811023622E-2</v>
      </c>
      <c r="W647" s="17">
        <v>11</v>
      </c>
      <c r="X647" s="36">
        <f>IFERROR(W647/$AD647,0)</f>
        <v>5.1643192488262914E-2</v>
      </c>
      <c r="Y647" s="17">
        <v>7</v>
      </c>
      <c r="Z647" s="36">
        <f>IFERROR(Y647/$AC647,0)</f>
        <v>2.7559055118110236E-2</v>
      </c>
      <c r="AA647" s="17">
        <v>4</v>
      </c>
      <c r="AB647" s="36">
        <f>IFERROR(AA647/$AD647,0)</f>
        <v>1.8779342723004695E-2</v>
      </c>
      <c r="AC647" s="17">
        <v>254</v>
      </c>
      <c r="AD647" s="17">
        <v>213</v>
      </c>
    </row>
    <row r="648" spans="1:30" ht="15.75" customHeight="1" x14ac:dyDescent="0.25">
      <c r="A648" s="37">
        <v>2020</v>
      </c>
      <c r="B648" s="35">
        <v>171575</v>
      </c>
      <c r="C648" s="34" t="s">
        <v>146</v>
      </c>
      <c r="D648" s="34" t="s">
        <v>95</v>
      </c>
      <c r="E648" s="17">
        <v>7</v>
      </c>
      <c r="F648" s="36">
        <f>IFERROR(E648/$AC648,0)</f>
        <v>1.4112903225806451E-2</v>
      </c>
      <c r="G648" s="17">
        <v>4</v>
      </c>
      <c r="H648" s="36">
        <f>IFERROR(G648/$AD648,0)</f>
        <v>2.0512820512820513E-2</v>
      </c>
      <c r="I648" s="17">
        <v>160</v>
      </c>
      <c r="J648" s="36">
        <f>IFERROR(I648/$AC648,0)</f>
        <v>0.32258064516129031</v>
      </c>
      <c r="K648" s="17">
        <v>74</v>
      </c>
      <c r="L648" s="36">
        <f>IFERROR(K648/$AD648,0)</f>
        <v>0.37948717948717947</v>
      </c>
      <c r="M648" s="17">
        <v>168</v>
      </c>
      <c r="N648" s="36">
        <f>IFERROR(M648/$AC648,0)</f>
        <v>0.33870967741935482</v>
      </c>
      <c r="O648" s="17">
        <v>63</v>
      </c>
      <c r="P648" s="36">
        <f>IFERROR(O648/$AD648,0)</f>
        <v>0.32307692307692309</v>
      </c>
      <c r="Q648" s="17">
        <v>106</v>
      </c>
      <c r="R648" s="36">
        <f>IFERROR(Q648/$AC648,0)</f>
        <v>0.21370967741935484</v>
      </c>
      <c r="S648" s="17">
        <v>37</v>
      </c>
      <c r="T648" s="36">
        <f>IFERROR(S648/$AD648,0)</f>
        <v>0.18974358974358974</v>
      </c>
      <c r="U648" s="17">
        <v>41</v>
      </c>
      <c r="V648" s="36">
        <f>IFERROR(U648/$AC648,0)</f>
        <v>8.2661290322580641E-2</v>
      </c>
      <c r="W648" s="17">
        <v>14</v>
      </c>
      <c r="X648" s="36">
        <f>IFERROR(W648/$AD648,0)</f>
        <v>7.179487179487179E-2</v>
      </c>
      <c r="Y648" s="17">
        <v>14</v>
      </c>
      <c r="Z648" s="36">
        <f>IFERROR(Y648/$AC648,0)</f>
        <v>2.8225806451612902E-2</v>
      </c>
      <c r="AA648" s="17">
        <v>3</v>
      </c>
      <c r="AB648" s="36">
        <f>IFERROR(AA648/$AD648,0)</f>
        <v>1.5384615384615385E-2</v>
      </c>
      <c r="AC648" s="17">
        <v>496</v>
      </c>
      <c r="AD648" s="17">
        <v>195</v>
      </c>
    </row>
    <row r="649" spans="1:30" ht="15.75" customHeight="1" x14ac:dyDescent="0.25">
      <c r="A649" s="37">
        <v>2020</v>
      </c>
      <c r="B649" s="35">
        <v>171610</v>
      </c>
      <c r="C649" s="34" t="s">
        <v>144</v>
      </c>
      <c r="D649" s="34" t="s">
        <v>96</v>
      </c>
      <c r="E649" s="17">
        <v>26</v>
      </c>
      <c r="F649" s="36">
        <f>IFERROR(E649/$AC649,0)</f>
        <v>1.8611309949892626E-2</v>
      </c>
      <c r="G649" s="17">
        <v>6</v>
      </c>
      <c r="H649" s="36">
        <f>IFERROR(G649/$AD649,0)</f>
        <v>1.948051948051948E-2</v>
      </c>
      <c r="I649" s="17">
        <v>468</v>
      </c>
      <c r="J649" s="36">
        <f>IFERROR(I649/$AC649,0)</f>
        <v>0.33500357909806727</v>
      </c>
      <c r="K649" s="17">
        <v>124</v>
      </c>
      <c r="L649" s="36">
        <f>IFERROR(K649/$AD649,0)</f>
        <v>0.40259740259740262</v>
      </c>
      <c r="M649" s="17">
        <v>488</v>
      </c>
      <c r="N649" s="36">
        <f>IFERROR(M649/$AC649,0)</f>
        <v>0.34931997136721549</v>
      </c>
      <c r="O649" s="17">
        <v>93</v>
      </c>
      <c r="P649" s="36">
        <f>IFERROR(O649/$AD649,0)</f>
        <v>0.30194805194805197</v>
      </c>
      <c r="Q649" s="17">
        <v>272</v>
      </c>
      <c r="R649" s="36">
        <f>IFERROR(Q649/$AC649,0)</f>
        <v>0.19470293486041518</v>
      </c>
      <c r="S649" s="17">
        <v>46</v>
      </c>
      <c r="T649" s="36">
        <f>IFERROR(S649/$AD649,0)</f>
        <v>0.14935064935064934</v>
      </c>
      <c r="U649" s="17">
        <v>102</v>
      </c>
      <c r="V649" s="36">
        <f>IFERROR(U649/$AC649,0)</f>
        <v>7.3013600572655685E-2</v>
      </c>
      <c r="W649" s="17">
        <v>25</v>
      </c>
      <c r="X649" s="36">
        <f>IFERROR(W649/$AD649,0)</f>
        <v>8.1168831168831168E-2</v>
      </c>
      <c r="Y649" s="17">
        <v>41</v>
      </c>
      <c r="Z649" s="36">
        <f>IFERROR(Y649/$AC649,0)</f>
        <v>2.9348604151753759E-2</v>
      </c>
      <c r="AA649" s="17">
        <v>14</v>
      </c>
      <c r="AB649" s="36">
        <f>IFERROR(AA649/$AD649,0)</f>
        <v>4.5454545454545456E-2</v>
      </c>
      <c r="AC649" s="16">
        <v>1397</v>
      </c>
      <c r="AD649" s="17">
        <v>308</v>
      </c>
    </row>
    <row r="650" spans="1:30" ht="15.75" customHeight="1" x14ac:dyDescent="0.25">
      <c r="A650" s="37">
        <v>2020</v>
      </c>
      <c r="B650" s="35">
        <v>171620</v>
      </c>
      <c r="C650" s="34" t="s">
        <v>147</v>
      </c>
      <c r="D650" s="34" t="s">
        <v>97</v>
      </c>
      <c r="E650" s="17">
        <v>34</v>
      </c>
      <c r="F650" s="36">
        <f>IFERROR(E650/$AC650,0)</f>
        <v>2.6813880126182965E-2</v>
      </c>
      <c r="G650" s="17">
        <v>22</v>
      </c>
      <c r="H650" s="36">
        <f>IFERROR(G650/$AD650,0)</f>
        <v>3.7735849056603772E-2</v>
      </c>
      <c r="I650" s="17">
        <v>517</v>
      </c>
      <c r="J650" s="36">
        <f>IFERROR(I650/$AC650,0)</f>
        <v>0.4077287066246057</v>
      </c>
      <c r="K650" s="17">
        <v>220</v>
      </c>
      <c r="L650" s="36">
        <f>IFERROR(K650/$AD650,0)</f>
        <v>0.37735849056603776</v>
      </c>
      <c r="M650" s="17">
        <v>422</v>
      </c>
      <c r="N650" s="36">
        <f>IFERROR(M650/$AC650,0)</f>
        <v>0.33280757097791797</v>
      </c>
      <c r="O650" s="17">
        <v>200</v>
      </c>
      <c r="P650" s="36">
        <f>IFERROR(O650/$AD650,0)</f>
        <v>0.34305317324185247</v>
      </c>
      <c r="Q650" s="17">
        <v>203</v>
      </c>
      <c r="R650" s="36">
        <f>IFERROR(Q650/$AC650,0)</f>
        <v>0.16009463722397477</v>
      </c>
      <c r="S650" s="17">
        <v>89</v>
      </c>
      <c r="T650" s="36">
        <f>IFERROR(S650/$AD650,0)</f>
        <v>0.15265866209262435</v>
      </c>
      <c r="U650" s="17">
        <v>68</v>
      </c>
      <c r="V650" s="36">
        <f>IFERROR(U650/$AC650,0)</f>
        <v>5.362776025236593E-2</v>
      </c>
      <c r="W650" s="17">
        <v>38</v>
      </c>
      <c r="X650" s="36">
        <f>IFERROR(W650/$AD650,0)</f>
        <v>6.5180102915951971E-2</v>
      </c>
      <c r="Y650" s="17">
        <v>24</v>
      </c>
      <c r="Z650" s="36">
        <f>IFERROR(Y650/$AC650,0)</f>
        <v>1.8927444794952682E-2</v>
      </c>
      <c r="AA650" s="17">
        <v>14</v>
      </c>
      <c r="AB650" s="36">
        <f>IFERROR(AA650/$AD650,0)</f>
        <v>2.4013722126929673E-2</v>
      </c>
      <c r="AC650" s="16">
        <v>1268</v>
      </c>
      <c r="AD650" s="17">
        <v>583</v>
      </c>
    </row>
    <row r="651" spans="1:30" ht="15.75" customHeight="1" x14ac:dyDescent="0.25">
      <c r="A651" s="37">
        <v>2020</v>
      </c>
      <c r="B651" s="35">
        <v>171630</v>
      </c>
      <c r="C651" s="34" t="s">
        <v>149</v>
      </c>
      <c r="D651" s="34" t="s">
        <v>98</v>
      </c>
      <c r="E651" s="17">
        <v>5</v>
      </c>
      <c r="F651" s="36">
        <f>IFERROR(E651/$AC651,0)</f>
        <v>1.858736059479554E-2</v>
      </c>
      <c r="G651" s="17">
        <v>3</v>
      </c>
      <c r="H651" s="36">
        <f>IFERROR(G651/$AD651,0)</f>
        <v>1.6853932584269662E-2</v>
      </c>
      <c r="I651" s="17">
        <v>106</v>
      </c>
      <c r="J651" s="36">
        <f>IFERROR(I651/$AC651,0)</f>
        <v>0.39405204460966542</v>
      </c>
      <c r="K651" s="17">
        <v>72</v>
      </c>
      <c r="L651" s="36">
        <f>IFERROR(K651/$AD651,0)</f>
        <v>0.4044943820224719</v>
      </c>
      <c r="M651" s="17">
        <v>92</v>
      </c>
      <c r="N651" s="36">
        <f>IFERROR(M651/$AC651,0)</f>
        <v>0.34200743494423791</v>
      </c>
      <c r="O651" s="17">
        <v>65</v>
      </c>
      <c r="P651" s="36">
        <f>IFERROR(O651/$AD651,0)</f>
        <v>0.3651685393258427</v>
      </c>
      <c r="Q651" s="17">
        <v>49</v>
      </c>
      <c r="R651" s="36">
        <f>IFERROR(Q651/$AC651,0)</f>
        <v>0.18215613382899629</v>
      </c>
      <c r="S651" s="17">
        <v>29</v>
      </c>
      <c r="T651" s="36">
        <f>IFERROR(S651/$AD651,0)</f>
        <v>0.16292134831460675</v>
      </c>
      <c r="U651" s="17">
        <v>15</v>
      </c>
      <c r="V651" s="36">
        <f>IFERROR(U651/$AC651,0)</f>
        <v>5.5762081784386616E-2</v>
      </c>
      <c r="W651" s="17">
        <v>8</v>
      </c>
      <c r="X651" s="36">
        <f>IFERROR(W651/$AD651,0)</f>
        <v>4.49438202247191E-2</v>
      </c>
      <c r="Y651" s="17">
        <v>2</v>
      </c>
      <c r="Z651" s="36">
        <f>IFERROR(Y651/$AC651,0)</f>
        <v>7.4349442379182153E-3</v>
      </c>
      <c r="AA651" s="17">
        <v>1</v>
      </c>
      <c r="AB651" s="36">
        <f>IFERROR(AA651/$AD651,0)</f>
        <v>5.6179775280898875E-3</v>
      </c>
      <c r="AC651" s="17">
        <v>269</v>
      </c>
      <c r="AD651" s="17">
        <v>178</v>
      </c>
    </row>
    <row r="652" spans="1:30" ht="15.75" customHeight="1" x14ac:dyDescent="0.25">
      <c r="A652" s="37">
        <v>2020</v>
      </c>
      <c r="B652" s="35">
        <v>171650</v>
      </c>
      <c r="C652" s="34" t="s">
        <v>150</v>
      </c>
      <c r="D652" s="34" t="s">
        <v>99</v>
      </c>
      <c r="E652" s="17">
        <v>18</v>
      </c>
      <c r="F652" s="36">
        <f>IFERROR(E652/$AC652,0)</f>
        <v>2.6392961876832845E-2</v>
      </c>
      <c r="G652" s="17">
        <v>8</v>
      </c>
      <c r="H652" s="36">
        <f>IFERROR(G652/$AD652,0)</f>
        <v>2.9850746268656716E-2</v>
      </c>
      <c r="I652" s="17">
        <v>242</v>
      </c>
      <c r="J652" s="36">
        <f>IFERROR(I652/$AC652,0)</f>
        <v>0.35483870967741937</v>
      </c>
      <c r="K652" s="17">
        <v>106</v>
      </c>
      <c r="L652" s="36">
        <f>IFERROR(K652/$AD652,0)</f>
        <v>0.39552238805970147</v>
      </c>
      <c r="M652" s="17">
        <v>244</v>
      </c>
      <c r="N652" s="36">
        <f>IFERROR(M652/$AC652,0)</f>
        <v>0.35777126099706746</v>
      </c>
      <c r="O652" s="17">
        <v>82</v>
      </c>
      <c r="P652" s="36">
        <f>IFERROR(O652/$AD652,0)</f>
        <v>0.30597014925373134</v>
      </c>
      <c r="Q652" s="17">
        <v>108</v>
      </c>
      <c r="R652" s="36">
        <f>IFERROR(Q652/$AC652,0)</f>
        <v>0.15835777126099707</v>
      </c>
      <c r="S652" s="17">
        <v>46</v>
      </c>
      <c r="T652" s="36">
        <f>IFERROR(S652/$AD652,0)</f>
        <v>0.17164179104477612</v>
      </c>
      <c r="U652" s="17">
        <v>51</v>
      </c>
      <c r="V652" s="36">
        <f>IFERROR(U652/$AC652,0)</f>
        <v>7.4780058651026396E-2</v>
      </c>
      <c r="W652" s="17">
        <v>18</v>
      </c>
      <c r="X652" s="36">
        <f>IFERROR(W652/$AD652,0)</f>
        <v>6.7164179104477612E-2</v>
      </c>
      <c r="Y652" s="17">
        <v>19</v>
      </c>
      <c r="Z652" s="36">
        <f>IFERROR(Y652/$AC652,0)</f>
        <v>2.7859237536656891E-2</v>
      </c>
      <c r="AA652" s="17">
        <v>8</v>
      </c>
      <c r="AB652" s="36">
        <f>IFERROR(AA652/$AD652,0)</f>
        <v>2.9850746268656716E-2</v>
      </c>
      <c r="AC652" s="17">
        <v>682</v>
      </c>
      <c r="AD652" s="17">
        <v>268</v>
      </c>
    </row>
    <row r="653" spans="1:30" ht="15.75" customHeight="1" x14ac:dyDescent="0.25">
      <c r="A653" s="37">
        <v>2020</v>
      </c>
      <c r="B653" s="35">
        <v>171660</v>
      </c>
      <c r="C653" s="34" t="s">
        <v>146</v>
      </c>
      <c r="D653" s="34" t="s">
        <v>100</v>
      </c>
      <c r="E653" s="17">
        <v>50</v>
      </c>
      <c r="F653" s="36">
        <f>IFERROR(E653/$AC653,0)</f>
        <v>2.5380710659898477E-2</v>
      </c>
      <c r="G653" s="17">
        <v>8</v>
      </c>
      <c r="H653" s="36">
        <f>IFERROR(G653/$AD653,0)</f>
        <v>2.3668639053254437E-2</v>
      </c>
      <c r="I653" s="17">
        <v>634</v>
      </c>
      <c r="J653" s="36">
        <f>IFERROR(I653/$AC653,0)</f>
        <v>0.32182741116751268</v>
      </c>
      <c r="K653" s="17">
        <v>113</v>
      </c>
      <c r="L653" s="36">
        <f>IFERROR(K653/$AD653,0)</f>
        <v>0.33431952662721892</v>
      </c>
      <c r="M653" s="17">
        <v>664</v>
      </c>
      <c r="N653" s="36">
        <f>IFERROR(M653/$AC653,0)</f>
        <v>0.33705583756345175</v>
      </c>
      <c r="O653" s="17">
        <v>104</v>
      </c>
      <c r="P653" s="36">
        <f>IFERROR(O653/$AD653,0)</f>
        <v>0.30769230769230771</v>
      </c>
      <c r="Q653" s="17">
        <v>395</v>
      </c>
      <c r="R653" s="36">
        <f>IFERROR(Q653/$AC653,0)</f>
        <v>0.20050761421319796</v>
      </c>
      <c r="S653" s="17">
        <v>68</v>
      </c>
      <c r="T653" s="36">
        <f>IFERROR(S653/$AD653,0)</f>
        <v>0.20118343195266272</v>
      </c>
      <c r="U653" s="17">
        <v>152</v>
      </c>
      <c r="V653" s="36">
        <f>IFERROR(U653/$AC653,0)</f>
        <v>7.7157360406091377E-2</v>
      </c>
      <c r="W653" s="17">
        <v>31</v>
      </c>
      <c r="X653" s="36">
        <f>IFERROR(W653/$AD653,0)</f>
        <v>9.1715976331360943E-2</v>
      </c>
      <c r="Y653" s="17">
        <v>75</v>
      </c>
      <c r="Z653" s="36">
        <f>IFERROR(Y653/$AC653,0)</f>
        <v>3.8071065989847719E-2</v>
      </c>
      <c r="AA653" s="17">
        <v>14</v>
      </c>
      <c r="AB653" s="36">
        <f>IFERROR(AA653/$AD653,0)</f>
        <v>4.142011834319527E-2</v>
      </c>
      <c r="AC653" s="16">
        <v>1970</v>
      </c>
      <c r="AD653" s="17">
        <v>338</v>
      </c>
    </row>
    <row r="654" spans="1:30" ht="15.75" customHeight="1" x14ac:dyDescent="0.25">
      <c r="A654" s="37">
        <v>2020</v>
      </c>
      <c r="B654" s="35">
        <v>171665</v>
      </c>
      <c r="C654" s="34" t="s">
        <v>150</v>
      </c>
      <c r="D654" s="34" t="s">
        <v>101</v>
      </c>
      <c r="E654" s="17">
        <v>10</v>
      </c>
      <c r="F654" s="36">
        <f>IFERROR(E654/$AC654,0)</f>
        <v>3.0581039755351681E-2</v>
      </c>
      <c r="G654" s="17">
        <v>9</v>
      </c>
      <c r="H654" s="36">
        <f>IFERROR(G654/$AD654,0)</f>
        <v>4.4117647058823532E-2</v>
      </c>
      <c r="I654" s="17">
        <v>102</v>
      </c>
      <c r="J654" s="36">
        <f>IFERROR(I654/$AC654,0)</f>
        <v>0.31192660550458717</v>
      </c>
      <c r="K654" s="17">
        <v>79</v>
      </c>
      <c r="L654" s="36">
        <f>IFERROR(K654/$AD654,0)</f>
        <v>0.38725490196078433</v>
      </c>
      <c r="M654" s="17">
        <v>123</v>
      </c>
      <c r="N654" s="36">
        <f>IFERROR(M654/$AC654,0)</f>
        <v>0.37614678899082571</v>
      </c>
      <c r="O654" s="17">
        <v>70</v>
      </c>
      <c r="P654" s="36">
        <f>IFERROR(O654/$AD654,0)</f>
        <v>0.34313725490196079</v>
      </c>
      <c r="Q654" s="17">
        <v>54</v>
      </c>
      <c r="R654" s="36">
        <f>IFERROR(Q654/$AC654,0)</f>
        <v>0.16513761467889909</v>
      </c>
      <c r="S654" s="17">
        <v>24</v>
      </c>
      <c r="T654" s="36">
        <f>IFERROR(S654/$AD654,0)</f>
        <v>0.11764705882352941</v>
      </c>
      <c r="U654" s="17">
        <v>26</v>
      </c>
      <c r="V654" s="36">
        <f>IFERROR(U654/$AC654,0)</f>
        <v>7.9510703363914373E-2</v>
      </c>
      <c r="W654" s="17">
        <v>12</v>
      </c>
      <c r="X654" s="36">
        <f>IFERROR(W654/$AD654,0)</f>
        <v>5.8823529411764705E-2</v>
      </c>
      <c r="Y654" s="17">
        <v>12</v>
      </c>
      <c r="Z654" s="36">
        <f>IFERROR(Y654/$AC654,0)</f>
        <v>3.669724770642202E-2</v>
      </c>
      <c r="AA654" s="17">
        <v>10</v>
      </c>
      <c r="AB654" s="36">
        <f>IFERROR(AA654/$AD654,0)</f>
        <v>4.9019607843137254E-2</v>
      </c>
      <c r="AC654" s="17">
        <v>327</v>
      </c>
      <c r="AD654" s="17">
        <v>204</v>
      </c>
    </row>
    <row r="655" spans="1:30" ht="15.75" customHeight="1" x14ac:dyDescent="0.25">
      <c r="A655" s="37">
        <v>2020</v>
      </c>
      <c r="B655" s="35">
        <v>171700</v>
      </c>
      <c r="C655" s="34" t="s">
        <v>151</v>
      </c>
      <c r="D655" s="34" t="s">
        <v>102</v>
      </c>
      <c r="E655" s="17">
        <v>0</v>
      </c>
      <c r="F655" s="36">
        <f>IFERROR(E655/$AC655,0)</f>
        <v>0</v>
      </c>
      <c r="G655" s="17">
        <v>0</v>
      </c>
      <c r="H655" s="36">
        <f>IFERROR(G655/$AD655,0)</f>
        <v>0</v>
      </c>
      <c r="I655" s="17">
        <v>1</v>
      </c>
      <c r="J655" s="36">
        <f>IFERROR(I655/$AC655,0)</f>
        <v>7.1428571428571425E-2</v>
      </c>
      <c r="K655" s="17">
        <v>1</v>
      </c>
      <c r="L655" s="36">
        <f>IFERROR(K655/$AD655,0)</f>
        <v>0.25</v>
      </c>
      <c r="M655" s="17">
        <v>9</v>
      </c>
      <c r="N655" s="36">
        <f>IFERROR(M655/$AC655,0)</f>
        <v>0.6428571428571429</v>
      </c>
      <c r="O655" s="17">
        <v>2</v>
      </c>
      <c r="P655" s="36">
        <f>IFERROR(O655/$AD655,0)</f>
        <v>0.5</v>
      </c>
      <c r="Q655" s="17">
        <v>3</v>
      </c>
      <c r="R655" s="36">
        <f>IFERROR(Q655/$AC655,0)</f>
        <v>0.21428571428571427</v>
      </c>
      <c r="S655" s="17">
        <v>1</v>
      </c>
      <c r="T655" s="36">
        <f>IFERROR(S655/$AD655,0)</f>
        <v>0.25</v>
      </c>
      <c r="U655" s="17">
        <v>0</v>
      </c>
      <c r="V655" s="36">
        <f>IFERROR(U655/$AC655,0)</f>
        <v>0</v>
      </c>
      <c r="W655" s="17">
        <v>0</v>
      </c>
      <c r="X655" s="36">
        <f>IFERROR(W655/$AD655,0)</f>
        <v>0</v>
      </c>
      <c r="Y655" s="17">
        <v>1</v>
      </c>
      <c r="Z655" s="36">
        <f>IFERROR(Y655/$AC655,0)</f>
        <v>7.1428571428571425E-2</v>
      </c>
      <c r="AA655" s="17">
        <v>0</v>
      </c>
      <c r="AB655" s="36">
        <f>IFERROR(AA655/$AD655,0)</f>
        <v>0</v>
      </c>
      <c r="AC655" s="17">
        <v>14</v>
      </c>
      <c r="AD655" s="17">
        <v>4</v>
      </c>
    </row>
    <row r="656" spans="1:30" ht="15.75" customHeight="1" x14ac:dyDescent="0.25">
      <c r="A656" s="37">
        <v>2020</v>
      </c>
      <c r="B656" s="35">
        <v>171720</v>
      </c>
      <c r="C656" s="34" t="s">
        <v>149</v>
      </c>
      <c r="D656" s="34" t="s">
        <v>103</v>
      </c>
      <c r="E656" s="17">
        <v>8</v>
      </c>
      <c r="F656" s="36">
        <f>IFERROR(E656/$AC656,0)</f>
        <v>3.5714285714285712E-2</v>
      </c>
      <c r="G656" s="17">
        <v>7</v>
      </c>
      <c r="H656" s="36">
        <f>IFERROR(G656/$AD656,0)</f>
        <v>4.046242774566474E-2</v>
      </c>
      <c r="I656" s="17">
        <v>101</v>
      </c>
      <c r="J656" s="36">
        <f>IFERROR(I656/$AC656,0)</f>
        <v>0.45089285714285715</v>
      </c>
      <c r="K656" s="17">
        <v>86</v>
      </c>
      <c r="L656" s="36">
        <f>IFERROR(K656/$AD656,0)</f>
        <v>0.49710982658959535</v>
      </c>
      <c r="M656" s="17">
        <v>69</v>
      </c>
      <c r="N656" s="36">
        <f>IFERROR(M656/$AC656,0)</f>
        <v>0.3080357142857143</v>
      </c>
      <c r="O656" s="17">
        <v>48</v>
      </c>
      <c r="P656" s="36">
        <f>IFERROR(O656/$AD656,0)</f>
        <v>0.2774566473988439</v>
      </c>
      <c r="Q656" s="17">
        <v>31</v>
      </c>
      <c r="R656" s="36">
        <f>IFERROR(Q656/$AC656,0)</f>
        <v>0.13839285714285715</v>
      </c>
      <c r="S656" s="17">
        <v>22</v>
      </c>
      <c r="T656" s="36">
        <f>IFERROR(S656/$AD656,0)</f>
        <v>0.12716763005780346</v>
      </c>
      <c r="U656" s="17">
        <v>11</v>
      </c>
      <c r="V656" s="36">
        <f>IFERROR(U656/$AC656,0)</f>
        <v>4.9107142857142856E-2</v>
      </c>
      <c r="W656" s="17">
        <v>8</v>
      </c>
      <c r="X656" s="36">
        <f>IFERROR(W656/$AD656,0)</f>
        <v>4.6242774566473986E-2</v>
      </c>
      <c r="Y656" s="17">
        <v>4</v>
      </c>
      <c r="Z656" s="36">
        <f>IFERROR(Y656/$AC656,0)</f>
        <v>1.7857142857142856E-2</v>
      </c>
      <c r="AA656" s="17">
        <v>2</v>
      </c>
      <c r="AB656" s="36">
        <f>IFERROR(AA656/$AD656,0)</f>
        <v>1.1560693641618497E-2</v>
      </c>
      <c r="AC656" s="17">
        <v>224</v>
      </c>
      <c r="AD656" s="17">
        <v>173</v>
      </c>
    </row>
    <row r="657" spans="1:30" ht="15.75" customHeight="1" x14ac:dyDescent="0.25">
      <c r="A657" s="37">
        <v>2020</v>
      </c>
      <c r="B657" s="35">
        <v>171750</v>
      </c>
      <c r="C657" s="34" t="s">
        <v>144</v>
      </c>
      <c r="D657" s="34" t="s">
        <v>104</v>
      </c>
      <c r="E657" s="17">
        <v>8</v>
      </c>
      <c r="F657" s="36">
        <f>IFERROR(E657/$AC657,0)</f>
        <v>1.0178117048346057E-2</v>
      </c>
      <c r="G657" s="17">
        <v>0</v>
      </c>
      <c r="H657" s="36">
        <f>IFERROR(G657/$AD657,0)</f>
        <v>0</v>
      </c>
      <c r="I657" s="17">
        <v>250</v>
      </c>
      <c r="J657" s="36">
        <f>IFERROR(I657/$AC657,0)</f>
        <v>0.31806615776081426</v>
      </c>
      <c r="K657" s="17">
        <v>18</v>
      </c>
      <c r="L657" s="36">
        <f>IFERROR(K657/$AD657,0)</f>
        <v>0.31034482758620691</v>
      </c>
      <c r="M657" s="17">
        <v>283</v>
      </c>
      <c r="N657" s="36">
        <f>IFERROR(M657/$AC657,0)</f>
        <v>0.36005089058524176</v>
      </c>
      <c r="O657" s="17">
        <v>20</v>
      </c>
      <c r="P657" s="36">
        <f>IFERROR(O657/$AD657,0)</f>
        <v>0.34482758620689657</v>
      </c>
      <c r="Q657" s="17">
        <v>169</v>
      </c>
      <c r="R657" s="36">
        <f>IFERROR(Q657/$AC657,0)</f>
        <v>0.21501272264631044</v>
      </c>
      <c r="S657" s="17">
        <v>13</v>
      </c>
      <c r="T657" s="36">
        <f>IFERROR(S657/$AD657,0)</f>
        <v>0.22413793103448276</v>
      </c>
      <c r="U657" s="17">
        <v>50</v>
      </c>
      <c r="V657" s="36">
        <f>IFERROR(U657/$AC657,0)</f>
        <v>6.3613231552162849E-2</v>
      </c>
      <c r="W657" s="17">
        <v>5</v>
      </c>
      <c r="X657" s="36">
        <f>IFERROR(W657/$AD657,0)</f>
        <v>8.6206896551724144E-2</v>
      </c>
      <c r="Y657" s="17">
        <v>26</v>
      </c>
      <c r="Z657" s="36">
        <f>IFERROR(Y657/$AC657,0)</f>
        <v>3.3078880407124679E-2</v>
      </c>
      <c r="AA657" s="17">
        <v>2</v>
      </c>
      <c r="AB657" s="36">
        <f>IFERROR(AA657/$AD657,0)</f>
        <v>3.4482758620689655E-2</v>
      </c>
      <c r="AC657" s="17">
        <v>786</v>
      </c>
      <c r="AD657" s="17">
        <v>58</v>
      </c>
    </row>
    <row r="658" spans="1:30" ht="15.75" customHeight="1" x14ac:dyDescent="0.25">
      <c r="A658" s="37">
        <v>2020</v>
      </c>
      <c r="B658" s="35">
        <v>171780</v>
      </c>
      <c r="C658" s="34" t="s">
        <v>147</v>
      </c>
      <c r="D658" s="34" t="s">
        <v>105</v>
      </c>
      <c r="E658" s="17">
        <v>7</v>
      </c>
      <c r="F658" s="36">
        <f>IFERROR(E658/$AC658,0)</f>
        <v>2.8112449799196786E-2</v>
      </c>
      <c r="G658" s="17">
        <v>5</v>
      </c>
      <c r="H658" s="36">
        <f>IFERROR(G658/$AD658,0)</f>
        <v>5.434782608695652E-2</v>
      </c>
      <c r="I658" s="17">
        <v>89</v>
      </c>
      <c r="J658" s="36">
        <f>IFERROR(I658/$AC658,0)</f>
        <v>0.35742971887550201</v>
      </c>
      <c r="K658" s="17">
        <v>30</v>
      </c>
      <c r="L658" s="36">
        <f>IFERROR(K658/$AD658,0)</f>
        <v>0.32608695652173914</v>
      </c>
      <c r="M658" s="17">
        <v>77</v>
      </c>
      <c r="N658" s="36">
        <f>IFERROR(M658/$AC658,0)</f>
        <v>0.30923694779116467</v>
      </c>
      <c r="O658" s="17">
        <v>34</v>
      </c>
      <c r="P658" s="36">
        <f>IFERROR(O658/$AD658,0)</f>
        <v>0.36956521739130432</v>
      </c>
      <c r="Q658" s="17">
        <v>50</v>
      </c>
      <c r="R658" s="36">
        <f>IFERROR(Q658/$AC658,0)</f>
        <v>0.20080321285140562</v>
      </c>
      <c r="S658" s="17">
        <v>14</v>
      </c>
      <c r="T658" s="36">
        <f>IFERROR(S658/$AD658,0)</f>
        <v>0.15217391304347827</v>
      </c>
      <c r="U658" s="17">
        <v>20</v>
      </c>
      <c r="V658" s="36">
        <f>IFERROR(U658/$AC658,0)</f>
        <v>8.0321285140562249E-2</v>
      </c>
      <c r="W658" s="17">
        <v>8</v>
      </c>
      <c r="X658" s="36">
        <f>IFERROR(W658/$AD658,0)</f>
        <v>8.6956521739130432E-2</v>
      </c>
      <c r="Y658" s="17">
        <v>6</v>
      </c>
      <c r="Z658" s="36">
        <f>IFERROR(Y658/$AC658,0)</f>
        <v>2.4096385542168676E-2</v>
      </c>
      <c r="AA658" s="17">
        <v>1</v>
      </c>
      <c r="AB658" s="36">
        <f>IFERROR(AA658/$AD658,0)</f>
        <v>1.0869565217391304E-2</v>
      </c>
      <c r="AC658" s="17">
        <v>249</v>
      </c>
      <c r="AD658" s="17">
        <v>92</v>
      </c>
    </row>
    <row r="659" spans="1:30" ht="15.75" customHeight="1" x14ac:dyDescent="0.25">
      <c r="A659" s="37">
        <v>2020</v>
      </c>
      <c r="B659" s="35">
        <v>171790</v>
      </c>
      <c r="C659" s="34" t="s">
        <v>151</v>
      </c>
      <c r="D659" s="34" t="s">
        <v>106</v>
      </c>
      <c r="E659" s="17">
        <v>9</v>
      </c>
      <c r="F659" s="36">
        <f>IFERROR(E659/$AC659,0)</f>
        <v>3.6585365853658534E-2</v>
      </c>
      <c r="G659" s="17">
        <v>8</v>
      </c>
      <c r="H659" s="36">
        <f>IFERROR(G659/$AD659,0)</f>
        <v>4.3478260869565216E-2</v>
      </c>
      <c r="I659" s="17">
        <v>76</v>
      </c>
      <c r="J659" s="36">
        <f>IFERROR(I659/$AC659,0)</f>
        <v>0.30894308943089432</v>
      </c>
      <c r="K659" s="17">
        <v>57</v>
      </c>
      <c r="L659" s="36">
        <f>IFERROR(K659/$AD659,0)</f>
        <v>0.30978260869565216</v>
      </c>
      <c r="M659" s="17">
        <v>81</v>
      </c>
      <c r="N659" s="36">
        <f>IFERROR(M659/$AC659,0)</f>
        <v>0.32926829268292684</v>
      </c>
      <c r="O659" s="17">
        <v>61</v>
      </c>
      <c r="P659" s="36">
        <f>IFERROR(O659/$AD659,0)</f>
        <v>0.33152173913043476</v>
      </c>
      <c r="Q659" s="17">
        <v>56</v>
      </c>
      <c r="R659" s="36">
        <f>IFERROR(Q659/$AC659,0)</f>
        <v>0.22764227642276422</v>
      </c>
      <c r="S659" s="17">
        <v>41</v>
      </c>
      <c r="T659" s="36">
        <f>IFERROR(S659/$AD659,0)</f>
        <v>0.22282608695652173</v>
      </c>
      <c r="U659" s="17">
        <v>14</v>
      </c>
      <c r="V659" s="36">
        <f>IFERROR(U659/$AC659,0)</f>
        <v>5.6910569105691054E-2</v>
      </c>
      <c r="W659" s="17">
        <v>10</v>
      </c>
      <c r="X659" s="36">
        <f>IFERROR(W659/$AD659,0)</f>
        <v>5.434782608695652E-2</v>
      </c>
      <c r="Y659" s="17">
        <v>10</v>
      </c>
      <c r="Z659" s="36">
        <f>IFERROR(Y659/$AC659,0)</f>
        <v>4.065040650406504E-2</v>
      </c>
      <c r="AA659" s="17">
        <v>7</v>
      </c>
      <c r="AB659" s="36">
        <f>IFERROR(AA659/$AD659,0)</f>
        <v>3.8043478260869568E-2</v>
      </c>
      <c r="AC659" s="17">
        <v>246</v>
      </c>
      <c r="AD659" s="17">
        <v>184</v>
      </c>
    </row>
    <row r="660" spans="1:30" ht="15.75" customHeight="1" x14ac:dyDescent="0.25">
      <c r="A660" s="37">
        <v>2020</v>
      </c>
      <c r="B660" s="35">
        <v>171800</v>
      </c>
      <c r="C660" s="34" t="s">
        <v>147</v>
      </c>
      <c r="D660" s="34" t="s">
        <v>107</v>
      </c>
      <c r="E660" s="17">
        <v>7</v>
      </c>
      <c r="F660" s="36">
        <f>IFERROR(E660/$AC660,0)</f>
        <v>2.8340080971659919E-2</v>
      </c>
      <c r="G660" s="17">
        <v>0</v>
      </c>
      <c r="H660" s="36">
        <f>IFERROR(G660/$AD660,0)</f>
        <v>0</v>
      </c>
      <c r="I660" s="17">
        <v>71</v>
      </c>
      <c r="J660" s="36">
        <f>IFERROR(I660/$AC660,0)</f>
        <v>0.2874493927125506</v>
      </c>
      <c r="K660" s="17">
        <v>1</v>
      </c>
      <c r="L660" s="36">
        <f>IFERROR(K660/$AD660,0)</f>
        <v>0.25</v>
      </c>
      <c r="M660" s="17">
        <v>91</v>
      </c>
      <c r="N660" s="36">
        <f>IFERROR(M660/$AC660,0)</f>
        <v>0.36842105263157893</v>
      </c>
      <c r="O660" s="17">
        <v>2</v>
      </c>
      <c r="P660" s="36">
        <f>IFERROR(O660/$AD660,0)</f>
        <v>0.5</v>
      </c>
      <c r="Q660" s="17">
        <v>50</v>
      </c>
      <c r="R660" s="36">
        <f>IFERROR(Q660/$AC660,0)</f>
        <v>0.20242914979757085</v>
      </c>
      <c r="S660" s="17">
        <v>0</v>
      </c>
      <c r="T660" s="36">
        <f>IFERROR(S660/$AD660,0)</f>
        <v>0</v>
      </c>
      <c r="U660" s="17">
        <v>18</v>
      </c>
      <c r="V660" s="36">
        <f>IFERROR(U660/$AC660,0)</f>
        <v>7.28744939271255E-2</v>
      </c>
      <c r="W660" s="17">
        <v>0</v>
      </c>
      <c r="X660" s="36">
        <f>IFERROR(W660/$AD660,0)</f>
        <v>0</v>
      </c>
      <c r="Y660" s="17">
        <v>10</v>
      </c>
      <c r="Z660" s="36">
        <f>IFERROR(Y660/$AC660,0)</f>
        <v>4.048582995951417E-2</v>
      </c>
      <c r="AA660" s="17">
        <v>1</v>
      </c>
      <c r="AB660" s="36">
        <f>IFERROR(AA660/$AD660,0)</f>
        <v>0.25</v>
      </c>
      <c r="AC660" s="17">
        <v>247</v>
      </c>
      <c r="AD660" s="17">
        <v>4</v>
      </c>
    </row>
    <row r="661" spans="1:30" ht="15.75" customHeight="1" x14ac:dyDescent="0.25">
      <c r="A661" s="37">
        <v>2020</v>
      </c>
      <c r="B661" s="35">
        <v>171820</v>
      </c>
      <c r="C661" s="34" t="s">
        <v>151</v>
      </c>
      <c r="D661" s="34" t="s">
        <v>108</v>
      </c>
      <c r="E661" s="17">
        <v>56</v>
      </c>
      <c r="F661" s="36">
        <f>IFERROR(E661/$AC661,0)</f>
        <v>1.9649122807017545E-2</v>
      </c>
      <c r="G661" s="17">
        <v>9</v>
      </c>
      <c r="H661" s="36">
        <f>IFERROR(G661/$AD661,0)</f>
        <v>2.34375E-2</v>
      </c>
      <c r="I661" s="17">
        <v>836</v>
      </c>
      <c r="J661" s="36">
        <f>IFERROR(I661/$AC661,0)</f>
        <v>0.29333333333333333</v>
      </c>
      <c r="K661" s="17">
        <v>114</v>
      </c>
      <c r="L661" s="36">
        <f>IFERROR(K661/$AD661,0)</f>
        <v>0.296875</v>
      </c>
      <c r="M661" s="16">
        <v>1040</v>
      </c>
      <c r="N661" s="36">
        <f>IFERROR(M661/$AC661,0)</f>
        <v>0.36491228070175441</v>
      </c>
      <c r="O661" s="17">
        <v>121</v>
      </c>
      <c r="P661" s="36">
        <f>IFERROR(O661/$AD661,0)</f>
        <v>0.31510416666666669</v>
      </c>
      <c r="Q661" s="17">
        <v>597</v>
      </c>
      <c r="R661" s="36">
        <f>IFERROR(Q661/$AC661,0)</f>
        <v>0.20947368421052631</v>
      </c>
      <c r="S661" s="17">
        <v>89</v>
      </c>
      <c r="T661" s="36">
        <f>IFERROR(S661/$AD661,0)</f>
        <v>0.23177083333333334</v>
      </c>
      <c r="U661" s="17">
        <v>230</v>
      </c>
      <c r="V661" s="36">
        <f>IFERROR(U661/$AC661,0)</f>
        <v>8.0701754385964913E-2</v>
      </c>
      <c r="W661" s="17">
        <v>34</v>
      </c>
      <c r="X661" s="36">
        <f>IFERROR(W661/$AD661,0)</f>
        <v>8.8541666666666671E-2</v>
      </c>
      <c r="Y661" s="17">
        <v>91</v>
      </c>
      <c r="Z661" s="36">
        <f>IFERROR(Y661/$AC661,0)</f>
        <v>3.1929824561403509E-2</v>
      </c>
      <c r="AA661" s="17">
        <v>17</v>
      </c>
      <c r="AB661" s="36">
        <f>IFERROR(AA661/$AD661,0)</f>
        <v>4.4270833333333336E-2</v>
      </c>
      <c r="AC661" s="16">
        <v>2850</v>
      </c>
      <c r="AD661" s="17">
        <v>384</v>
      </c>
    </row>
    <row r="662" spans="1:30" ht="15.75" customHeight="1" x14ac:dyDescent="0.25">
      <c r="A662" s="37">
        <v>2020</v>
      </c>
      <c r="B662" s="35">
        <v>171830</v>
      </c>
      <c r="C662" s="34" t="s">
        <v>145</v>
      </c>
      <c r="D662" s="34" t="s">
        <v>109</v>
      </c>
      <c r="E662" s="17">
        <v>15</v>
      </c>
      <c r="F662" s="36">
        <f>IFERROR(E662/$AC662,0)</f>
        <v>3.2051282051282048E-2</v>
      </c>
      <c r="G662" s="17">
        <v>5</v>
      </c>
      <c r="H662" s="36">
        <f>IFERROR(G662/$AD662,0)</f>
        <v>6.3291139240506333E-2</v>
      </c>
      <c r="I662" s="17">
        <v>139</v>
      </c>
      <c r="J662" s="36">
        <f>IFERROR(I662/$AC662,0)</f>
        <v>0.29700854700854701</v>
      </c>
      <c r="K662" s="17">
        <v>29</v>
      </c>
      <c r="L662" s="36">
        <f>IFERROR(K662/$AD662,0)</f>
        <v>0.36708860759493672</v>
      </c>
      <c r="M662" s="17">
        <v>173</v>
      </c>
      <c r="N662" s="36">
        <f>IFERROR(M662/$AC662,0)</f>
        <v>0.36965811965811968</v>
      </c>
      <c r="O662" s="17">
        <v>28</v>
      </c>
      <c r="P662" s="36">
        <f>IFERROR(O662/$AD662,0)</f>
        <v>0.35443037974683544</v>
      </c>
      <c r="Q662" s="17">
        <v>91</v>
      </c>
      <c r="R662" s="36">
        <f>IFERROR(Q662/$AC662,0)</f>
        <v>0.19444444444444445</v>
      </c>
      <c r="S662" s="17">
        <v>10</v>
      </c>
      <c r="T662" s="36">
        <f>IFERROR(S662/$AD662,0)</f>
        <v>0.12658227848101267</v>
      </c>
      <c r="U662" s="17">
        <v>39</v>
      </c>
      <c r="V662" s="36">
        <f>IFERROR(U662/$AC662,0)</f>
        <v>8.3333333333333329E-2</v>
      </c>
      <c r="W662" s="17">
        <v>5</v>
      </c>
      <c r="X662" s="36">
        <f>IFERROR(W662/$AD662,0)</f>
        <v>6.3291139240506333E-2</v>
      </c>
      <c r="Y662" s="17">
        <v>11</v>
      </c>
      <c r="Z662" s="36">
        <f>IFERROR(Y662/$AC662,0)</f>
        <v>2.3504273504273504E-2</v>
      </c>
      <c r="AA662" s="17">
        <v>2</v>
      </c>
      <c r="AB662" s="36">
        <f>IFERROR(AA662/$AD662,0)</f>
        <v>2.5316455696202531E-2</v>
      </c>
      <c r="AC662" s="17">
        <v>468</v>
      </c>
      <c r="AD662" s="17">
        <v>79</v>
      </c>
    </row>
    <row r="663" spans="1:30" ht="15.75" customHeight="1" x14ac:dyDescent="0.25">
      <c r="A663" s="37">
        <v>2020</v>
      </c>
      <c r="B663" s="35">
        <v>171840</v>
      </c>
      <c r="C663" s="34" t="s">
        <v>150</v>
      </c>
      <c r="D663" s="34" t="s">
        <v>110</v>
      </c>
      <c r="E663" s="17">
        <v>0</v>
      </c>
      <c r="F663" s="36">
        <f>IFERROR(E663/$AC663,0)</f>
        <v>0</v>
      </c>
      <c r="G663" s="17">
        <v>0</v>
      </c>
      <c r="H663" s="36">
        <f>IFERROR(G663/$AD663,0)</f>
        <v>0</v>
      </c>
      <c r="I663" s="17">
        <v>145</v>
      </c>
      <c r="J663" s="36">
        <f>IFERROR(I663/$AC663,0)</f>
        <v>0.35980148883374691</v>
      </c>
      <c r="K663" s="17">
        <v>17</v>
      </c>
      <c r="L663" s="36">
        <f>IFERROR(K663/$AD663,0)</f>
        <v>0.36956521739130432</v>
      </c>
      <c r="M663" s="17">
        <v>144</v>
      </c>
      <c r="N663" s="36">
        <f>IFERROR(M663/$AC663,0)</f>
        <v>0.35732009925558311</v>
      </c>
      <c r="O663" s="17">
        <v>15</v>
      </c>
      <c r="P663" s="36">
        <f>IFERROR(O663/$AD663,0)</f>
        <v>0.32608695652173914</v>
      </c>
      <c r="Q663" s="17">
        <v>69</v>
      </c>
      <c r="R663" s="36">
        <f>IFERROR(Q663/$AC663,0)</f>
        <v>0.17121588089330025</v>
      </c>
      <c r="S663" s="17">
        <v>6</v>
      </c>
      <c r="T663" s="36">
        <f>IFERROR(S663/$AD663,0)</f>
        <v>0.13043478260869565</v>
      </c>
      <c r="U663" s="17">
        <v>31</v>
      </c>
      <c r="V663" s="36">
        <f>IFERROR(U663/$AC663,0)</f>
        <v>7.6923076923076927E-2</v>
      </c>
      <c r="W663" s="17">
        <v>5</v>
      </c>
      <c r="X663" s="36">
        <f>IFERROR(W663/$AD663,0)</f>
        <v>0.10869565217391304</v>
      </c>
      <c r="Y663" s="17">
        <v>14</v>
      </c>
      <c r="Z663" s="36">
        <f>IFERROR(Y663/$AC663,0)</f>
        <v>3.4739454094292806E-2</v>
      </c>
      <c r="AA663" s="17">
        <v>3</v>
      </c>
      <c r="AB663" s="36">
        <f>IFERROR(AA663/$AD663,0)</f>
        <v>6.5217391304347824E-2</v>
      </c>
      <c r="AC663" s="17">
        <v>403</v>
      </c>
      <c r="AD663" s="17">
        <v>46</v>
      </c>
    </row>
    <row r="664" spans="1:30" ht="15.75" customHeight="1" x14ac:dyDescent="0.25">
      <c r="A664" s="37">
        <v>2020</v>
      </c>
      <c r="B664" s="35">
        <v>171845</v>
      </c>
      <c r="C664" s="34" t="s">
        <v>144</v>
      </c>
      <c r="D664" s="34" t="s">
        <v>111</v>
      </c>
      <c r="E664" s="17">
        <v>3</v>
      </c>
      <c r="F664" s="36">
        <f>IFERROR(E664/$AC664,0)</f>
        <v>1.4925373134328358E-2</v>
      </c>
      <c r="G664" s="17">
        <v>2</v>
      </c>
      <c r="H664" s="36">
        <f>IFERROR(G664/$AD664,0)</f>
        <v>2.6315789473684209E-2</v>
      </c>
      <c r="I664" s="17">
        <v>74</v>
      </c>
      <c r="J664" s="36">
        <f>IFERROR(I664/$AC664,0)</f>
        <v>0.36815920398009949</v>
      </c>
      <c r="K664" s="17">
        <v>32</v>
      </c>
      <c r="L664" s="36">
        <f>IFERROR(K664/$AD664,0)</f>
        <v>0.42105263157894735</v>
      </c>
      <c r="M664" s="17">
        <v>64</v>
      </c>
      <c r="N664" s="36">
        <f>IFERROR(M664/$AC664,0)</f>
        <v>0.31840796019900497</v>
      </c>
      <c r="O664" s="17">
        <v>22</v>
      </c>
      <c r="P664" s="36">
        <f>IFERROR(O664/$AD664,0)</f>
        <v>0.28947368421052633</v>
      </c>
      <c r="Q664" s="17">
        <v>38</v>
      </c>
      <c r="R664" s="36">
        <f>IFERROR(Q664/$AC664,0)</f>
        <v>0.1890547263681592</v>
      </c>
      <c r="S664" s="17">
        <v>11</v>
      </c>
      <c r="T664" s="36">
        <f>IFERROR(S664/$AD664,0)</f>
        <v>0.14473684210526316</v>
      </c>
      <c r="U664" s="17">
        <v>18</v>
      </c>
      <c r="V664" s="36">
        <f>IFERROR(U664/$AC664,0)</f>
        <v>8.9552238805970144E-2</v>
      </c>
      <c r="W664" s="17">
        <v>6</v>
      </c>
      <c r="X664" s="36">
        <f>IFERROR(W664/$AD664,0)</f>
        <v>7.8947368421052627E-2</v>
      </c>
      <c r="Y664" s="17">
        <v>4</v>
      </c>
      <c r="Z664" s="36">
        <f>IFERROR(Y664/$AC664,0)</f>
        <v>1.9900497512437811E-2</v>
      </c>
      <c r="AA664" s="17">
        <v>3</v>
      </c>
      <c r="AB664" s="36">
        <f>IFERROR(AA664/$AD664,0)</f>
        <v>3.9473684210526314E-2</v>
      </c>
      <c r="AC664" s="17">
        <v>201</v>
      </c>
      <c r="AD664" s="17">
        <v>76</v>
      </c>
    </row>
    <row r="665" spans="1:30" ht="15.75" customHeight="1" x14ac:dyDescent="0.25">
      <c r="A665" s="37">
        <v>2020</v>
      </c>
      <c r="B665" s="35">
        <v>171850</v>
      </c>
      <c r="C665" s="34" t="s">
        <v>150</v>
      </c>
      <c r="D665" s="34" t="s">
        <v>112</v>
      </c>
      <c r="E665" s="17">
        <v>4</v>
      </c>
      <c r="F665" s="36">
        <f>IFERROR(E665/$AC665,0)</f>
        <v>2.3121387283236993E-2</v>
      </c>
      <c r="G665" s="17">
        <v>6</v>
      </c>
      <c r="H665" s="36">
        <f>IFERROR(G665/$AD665,0)</f>
        <v>6.8181818181818177E-2</v>
      </c>
      <c r="I665" s="17">
        <v>75</v>
      </c>
      <c r="J665" s="36">
        <f>IFERROR(I665/$AC665,0)</f>
        <v>0.43352601156069365</v>
      </c>
      <c r="K665" s="17">
        <v>42</v>
      </c>
      <c r="L665" s="36">
        <f>IFERROR(K665/$AD665,0)</f>
        <v>0.47727272727272729</v>
      </c>
      <c r="M665" s="17">
        <v>51</v>
      </c>
      <c r="N665" s="36">
        <f>IFERROR(M665/$AC665,0)</f>
        <v>0.2947976878612717</v>
      </c>
      <c r="O665" s="17">
        <v>22</v>
      </c>
      <c r="P665" s="36">
        <f>IFERROR(O665/$AD665,0)</f>
        <v>0.25</v>
      </c>
      <c r="Q665" s="17">
        <v>29</v>
      </c>
      <c r="R665" s="36">
        <f>IFERROR(Q665/$AC665,0)</f>
        <v>0.16763005780346821</v>
      </c>
      <c r="S665" s="17">
        <v>11</v>
      </c>
      <c r="T665" s="36">
        <f>IFERROR(S665/$AD665,0)</f>
        <v>0.125</v>
      </c>
      <c r="U665" s="17">
        <v>8</v>
      </c>
      <c r="V665" s="36">
        <f>IFERROR(U665/$AC665,0)</f>
        <v>4.6242774566473986E-2</v>
      </c>
      <c r="W665" s="17">
        <v>4</v>
      </c>
      <c r="X665" s="36">
        <f>IFERROR(W665/$AD665,0)</f>
        <v>4.5454545454545456E-2</v>
      </c>
      <c r="Y665" s="17">
        <v>6</v>
      </c>
      <c r="Z665" s="36">
        <f>IFERROR(Y665/$AC665,0)</f>
        <v>3.4682080924855488E-2</v>
      </c>
      <c r="AA665" s="17">
        <v>3</v>
      </c>
      <c r="AB665" s="36">
        <f>IFERROR(AA665/$AD665,0)</f>
        <v>3.4090909090909088E-2</v>
      </c>
      <c r="AC665" s="17">
        <v>173</v>
      </c>
      <c r="AD665" s="17">
        <v>88</v>
      </c>
    </row>
    <row r="666" spans="1:30" ht="15.75" customHeight="1" x14ac:dyDescent="0.25">
      <c r="A666" s="37">
        <v>2020</v>
      </c>
      <c r="B666" s="35">
        <v>171855</v>
      </c>
      <c r="C666" s="34" t="s">
        <v>145</v>
      </c>
      <c r="D666" s="34" t="s">
        <v>113</v>
      </c>
      <c r="E666" s="17">
        <v>0</v>
      </c>
      <c r="F666" s="36">
        <f>IFERROR(E666/$AC666,0)</f>
        <v>0</v>
      </c>
      <c r="G666" s="17">
        <v>0</v>
      </c>
      <c r="H666" s="36">
        <f>IFERROR(G666/$AD666,0)</f>
        <v>0</v>
      </c>
      <c r="I666" s="17">
        <v>5</v>
      </c>
      <c r="J666" s="36">
        <f>IFERROR(I666/$AC666,0)</f>
        <v>0.41666666666666669</v>
      </c>
      <c r="K666" s="17">
        <v>2</v>
      </c>
      <c r="L666" s="36">
        <f>IFERROR(K666/$AD666,0)</f>
        <v>0.33333333333333331</v>
      </c>
      <c r="M666" s="17">
        <v>2</v>
      </c>
      <c r="N666" s="36">
        <f>IFERROR(M666/$AC666,0)</f>
        <v>0.16666666666666666</v>
      </c>
      <c r="O666" s="17">
        <v>1</v>
      </c>
      <c r="P666" s="36">
        <f>IFERROR(O666/$AD666,0)</f>
        <v>0.16666666666666666</v>
      </c>
      <c r="Q666" s="17">
        <v>4</v>
      </c>
      <c r="R666" s="36">
        <f>IFERROR(Q666/$AC666,0)</f>
        <v>0.33333333333333331</v>
      </c>
      <c r="S666" s="17">
        <v>3</v>
      </c>
      <c r="T666" s="36">
        <f>IFERROR(S666/$AD666,0)</f>
        <v>0.5</v>
      </c>
      <c r="U666" s="17">
        <v>0</v>
      </c>
      <c r="V666" s="36">
        <f>IFERROR(U666/$AC666,0)</f>
        <v>0</v>
      </c>
      <c r="W666" s="17">
        <v>0</v>
      </c>
      <c r="X666" s="36">
        <f>IFERROR(W666/$AD666,0)</f>
        <v>0</v>
      </c>
      <c r="Y666" s="17">
        <v>1</v>
      </c>
      <c r="Z666" s="36">
        <f>IFERROR(Y666/$AC666,0)</f>
        <v>8.3333333333333329E-2</v>
      </c>
      <c r="AA666" s="17">
        <v>0</v>
      </c>
      <c r="AB666" s="36">
        <f>IFERROR(AA666/$AD666,0)</f>
        <v>0</v>
      </c>
      <c r="AC666" s="17">
        <v>12</v>
      </c>
      <c r="AD666" s="17">
        <v>6</v>
      </c>
    </row>
    <row r="667" spans="1:30" ht="15.75" customHeight="1" x14ac:dyDescent="0.25">
      <c r="A667" s="37">
        <v>2020</v>
      </c>
      <c r="B667" s="35">
        <v>171865</v>
      </c>
      <c r="C667" s="34" t="s">
        <v>147</v>
      </c>
      <c r="D667" s="34" t="s">
        <v>114</v>
      </c>
      <c r="E667" s="17">
        <v>5</v>
      </c>
      <c r="F667" s="36">
        <f>IFERROR(E667/$AC667,0)</f>
        <v>4.8543689320388349E-2</v>
      </c>
      <c r="G667" s="17">
        <v>5</v>
      </c>
      <c r="H667" s="36">
        <f>IFERROR(G667/$AD667,0)</f>
        <v>6.25E-2</v>
      </c>
      <c r="I667" s="17">
        <v>46</v>
      </c>
      <c r="J667" s="36">
        <f>IFERROR(I667/$AC667,0)</f>
        <v>0.44660194174757284</v>
      </c>
      <c r="K667" s="17">
        <v>35</v>
      </c>
      <c r="L667" s="36">
        <f>IFERROR(K667/$AD667,0)</f>
        <v>0.4375</v>
      </c>
      <c r="M667" s="17">
        <v>32</v>
      </c>
      <c r="N667" s="36">
        <f>IFERROR(M667/$AC667,0)</f>
        <v>0.31067961165048541</v>
      </c>
      <c r="O667" s="17">
        <v>23</v>
      </c>
      <c r="P667" s="36">
        <f>IFERROR(O667/$AD667,0)</f>
        <v>0.28749999999999998</v>
      </c>
      <c r="Q667" s="17">
        <v>15</v>
      </c>
      <c r="R667" s="36">
        <f>IFERROR(Q667/$AC667,0)</f>
        <v>0.14563106796116504</v>
      </c>
      <c r="S667" s="17">
        <v>12</v>
      </c>
      <c r="T667" s="36">
        <f>IFERROR(S667/$AD667,0)</f>
        <v>0.15</v>
      </c>
      <c r="U667" s="17">
        <v>3</v>
      </c>
      <c r="V667" s="36">
        <f>IFERROR(U667/$AC667,0)</f>
        <v>2.9126213592233011E-2</v>
      </c>
      <c r="W667" s="17">
        <v>3</v>
      </c>
      <c r="X667" s="36">
        <f>IFERROR(W667/$AD667,0)</f>
        <v>3.7499999999999999E-2</v>
      </c>
      <c r="Y667" s="17">
        <v>2</v>
      </c>
      <c r="Z667" s="36">
        <f>IFERROR(Y667/$AC667,0)</f>
        <v>1.9417475728155338E-2</v>
      </c>
      <c r="AA667" s="17">
        <v>2</v>
      </c>
      <c r="AB667" s="36">
        <f>IFERROR(AA667/$AD667,0)</f>
        <v>2.5000000000000001E-2</v>
      </c>
      <c r="AC667" s="17">
        <v>103</v>
      </c>
      <c r="AD667" s="17">
        <v>80</v>
      </c>
    </row>
    <row r="668" spans="1:30" ht="15.75" customHeight="1" x14ac:dyDescent="0.25">
      <c r="A668" s="37">
        <v>2020</v>
      </c>
      <c r="B668" s="35">
        <v>171870</v>
      </c>
      <c r="C668" s="34" t="s">
        <v>148</v>
      </c>
      <c r="D668" s="34" t="s">
        <v>115</v>
      </c>
      <c r="E668" s="17">
        <v>8</v>
      </c>
      <c r="F668" s="36">
        <f>IFERROR(E668/$AC668,0)</f>
        <v>1.680672268907563E-2</v>
      </c>
      <c r="G668" s="17">
        <v>4</v>
      </c>
      <c r="H668" s="36">
        <f>IFERROR(G668/$AD668,0)</f>
        <v>1.4388489208633094E-2</v>
      </c>
      <c r="I668" s="17">
        <v>144</v>
      </c>
      <c r="J668" s="36">
        <f>IFERROR(I668/$AC668,0)</f>
        <v>0.30252100840336132</v>
      </c>
      <c r="K668" s="17">
        <v>86</v>
      </c>
      <c r="L668" s="36">
        <f>IFERROR(K668/$AD668,0)</f>
        <v>0.30935251798561153</v>
      </c>
      <c r="M668" s="17">
        <v>176</v>
      </c>
      <c r="N668" s="36">
        <f>IFERROR(M668/$AC668,0)</f>
        <v>0.36974789915966388</v>
      </c>
      <c r="O668" s="17">
        <v>103</v>
      </c>
      <c r="P668" s="36">
        <f>IFERROR(O668/$AD668,0)</f>
        <v>0.37050359712230213</v>
      </c>
      <c r="Q668" s="17">
        <v>99</v>
      </c>
      <c r="R668" s="36">
        <f>IFERROR(Q668/$AC668,0)</f>
        <v>0.20798319327731093</v>
      </c>
      <c r="S668" s="17">
        <v>58</v>
      </c>
      <c r="T668" s="36">
        <f>IFERROR(S668/$AD668,0)</f>
        <v>0.20863309352517986</v>
      </c>
      <c r="U668" s="17">
        <v>30</v>
      </c>
      <c r="V668" s="36">
        <f>IFERROR(U668/$AC668,0)</f>
        <v>6.3025210084033612E-2</v>
      </c>
      <c r="W668" s="17">
        <v>16</v>
      </c>
      <c r="X668" s="36">
        <f>IFERROR(W668/$AD668,0)</f>
        <v>5.7553956834532377E-2</v>
      </c>
      <c r="Y668" s="17">
        <v>19</v>
      </c>
      <c r="Z668" s="36">
        <f>IFERROR(Y668/$AC668,0)</f>
        <v>3.9915966386554619E-2</v>
      </c>
      <c r="AA668" s="17">
        <v>11</v>
      </c>
      <c r="AB668" s="36">
        <f>IFERROR(AA668/$AD668,0)</f>
        <v>3.9568345323741004E-2</v>
      </c>
      <c r="AC668" s="17">
        <v>476</v>
      </c>
      <c r="AD668" s="17">
        <v>278</v>
      </c>
    </row>
    <row r="669" spans="1:30" ht="15.75" customHeight="1" x14ac:dyDescent="0.25">
      <c r="A669" s="37">
        <v>2020</v>
      </c>
      <c r="B669" s="35">
        <v>171875</v>
      </c>
      <c r="C669" s="34" t="s">
        <v>148</v>
      </c>
      <c r="D669" s="34" t="s">
        <v>116</v>
      </c>
      <c r="E669" s="17">
        <v>8</v>
      </c>
      <c r="F669" s="36">
        <f>IFERROR(E669/$AC669,0)</f>
        <v>4.3010752688172046E-2</v>
      </c>
      <c r="G669" s="17">
        <v>2</v>
      </c>
      <c r="H669" s="36">
        <f>IFERROR(G669/$AD669,0)</f>
        <v>2.6666666666666668E-2</v>
      </c>
      <c r="I669" s="17">
        <v>62</v>
      </c>
      <c r="J669" s="36">
        <f>IFERROR(I669/$AC669,0)</f>
        <v>0.33333333333333331</v>
      </c>
      <c r="K669" s="17">
        <v>27</v>
      </c>
      <c r="L669" s="36">
        <f>IFERROR(K669/$AD669,0)</f>
        <v>0.36</v>
      </c>
      <c r="M669" s="17">
        <v>65</v>
      </c>
      <c r="N669" s="36">
        <f>IFERROR(M669/$AC669,0)</f>
        <v>0.34946236559139787</v>
      </c>
      <c r="O669" s="17">
        <v>24</v>
      </c>
      <c r="P669" s="36">
        <f>IFERROR(O669/$AD669,0)</f>
        <v>0.32</v>
      </c>
      <c r="Q669" s="17">
        <v>29</v>
      </c>
      <c r="R669" s="36">
        <f>IFERROR(Q669/$AC669,0)</f>
        <v>0.15591397849462366</v>
      </c>
      <c r="S669" s="17">
        <v>15</v>
      </c>
      <c r="T669" s="36">
        <f>IFERROR(S669/$AD669,0)</f>
        <v>0.2</v>
      </c>
      <c r="U669" s="17">
        <v>19</v>
      </c>
      <c r="V669" s="36">
        <f>IFERROR(U669/$AC669,0)</f>
        <v>0.10215053763440861</v>
      </c>
      <c r="W669" s="17">
        <v>6</v>
      </c>
      <c r="X669" s="36">
        <f>IFERROR(W669/$AD669,0)</f>
        <v>0.08</v>
      </c>
      <c r="Y669" s="17">
        <v>3</v>
      </c>
      <c r="Z669" s="36">
        <f>IFERROR(Y669/$AC669,0)</f>
        <v>1.6129032258064516E-2</v>
      </c>
      <c r="AA669" s="17">
        <v>1</v>
      </c>
      <c r="AB669" s="36">
        <f>IFERROR(AA669/$AD669,0)</f>
        <v>1.3333333333333334E-2</v>
      </c>
      <c r="AC669" s="17">
        <v>186</v>
      </c>
      <c r="AD669" s="17">
        <v>75</v>
      </c>
    </row>
    <row r="670" spans="1:30" ht="15.75" customHeight="1" x14ac:dyDescent="0.25">
      <c r="A670" s="37">
        <v>2020</v>
      </c>
      <c r="B670" s="35">
        <v>171880</v>
      </c>
      <c r="C670" s="34" t="s">
        <v>145</v>
      </c>
      <c r="D670" s="34" t="s">
        <v>117</v>
      </c>
      <c r="E670" s="17">
        <v>18</v>
      </c>
      <c r="F670" s="36">
        <f>IFERROR(E670/$AC670,0)</f>
        <v>3.7267080745341616E-2</v>
      </c>
      <c r="G670" s="17">
        <v>15</v>
      </c>
      <c r="H670" s="36">
        <f>IFERROR(G670/$AD670,0)</f>
        <v>4.8543689320388349E-2</v>
      </c>
      <c r="I670" s="17">
        <v>235</v>
      </c>
      <c r="J670" s="36">
        <f>IFERROR(I670/$AC670,0)</f>
        <v>0.48654244306418221</v>
      </c>
      <c r="K670" s="17">
        <v>163</v>
      </c>
      <c r="L670" s="36">
        <f>IFERROR(K670/$AD670,0)</f>
        <v>0.52750809061488668</v>
      </c>
      <c r="M670" s="17">
        <v>159</v>
      </c>
      <c r="N670" s="36">
        <f>IFERROR(M670/$AC670,0)</f>
        <v>0.32919254658385094</v>
      </c>
      <c r="O670" s="17">
        <v>89</v>
      </c>
      <c r="P670" s="36">
        <f>IFERROR(O670/$AD670,0)</f>
        <v>0.28802588996763756</v>
      </c>
      <c r="Q670" s="17">
        <v>48</v>
      </c>
      <c r="R670" s="36">
        <f>IFERROR(Q670/$AC670,0)</f>
        <v>9.9378881987577633E-2</v>
      </c>
      <c r="S670" s="17">
        <v>25</v>
      </c>
      <c r="T670" s="36">
        <f>IFERROR(S670/$AD670,0)</f>
        <v>8.0906148867313912E-2</v>
      </c>
      <c r="U670" s="17">
        <v>16</v>
      </c>
      <c r="V670" s="36">
        <f>IFERROR(U670/$AC670,0)</f>
        <v>3.3126293995859216E-2</v>
      </c>
      <c r="W670" s="17">
        <v>12</v>
      </c>
      <c r="X670" s="36">
        <f>IFERROR(W670/$AD670,0)</f>
        <v>3.8834951456310676E-2</v>
      </c>
      <c r="Y670" s="17">
        <v>7</v>
      </c>
      <c r="Z670" s="36">
        <f>IFERROR(Y670/$AC670,0)</f>
        <v>1.4492753623188406E-2</v>
      </c>
      <c r="AA670" s="17">
        <v>5</v>
      </c>
      <c r="AB670" s="36">
        <f>IFERROR(AA670/$AD670,0)</f>
        <v>1.6181229773462782E-2</v>
      </c>
      <c r="AC670" s="17">
        <v>483</v>
      </c>
      <c r="AD670" s="17">
        <v>309</v>
      </c>
    </row>
    <row r="671" spans="1:30" ht="15.75" customHeight="1" x14ac:dyDescent="0.25">
      <c r="A671" s="37">
        <v>2020</v>
      </c>
      <c r="B671" s="35">
        <v>171884</v>
      </c>
      <c r="C671" s="34" t="s">
        <v>146</v>
      </c>
      <c r="D671" s="34" t="s">
        <v>118</v>
      </c>
      <c r="E671" s="17">
        <v>2</v>
      </c>
      <c r="F671" s="36">
        <f>IFERROR(E671/$AC671,0)</f>
        <v>1.1904761904761904E-2</v>
      </c>
      <c r="G671" s="17">
        <v>2</v>
      </c>
      <c r="H671" s="36">
        <f>IFERROR(G671/$AD671,0)</f>
        <v>6.0606060606060608E-2</v>
      </c>
      <c r="I671" s="17">
        <v>51</v>
      </c>
      <c r="J671" s="36">
        <f>IFERROR(I671/$AC671,0)</f>
        <v>0.30357142857142855</v>
      </c>
      <c r="K671" s="17">
        <v>8</v>
      </c>
      <c r="L671" s="36">
        <f>IFERROR(K671/$AD671,0)</f>
        <v>0.24242424242424243</v>
      </c>
      <c r="M671" s="17">
        <v>63</v>
      </c>
      <c r="N671" s="36">
        <f>IFERROR(M671/$AC671,0)</f>
        <v>0.375</v>
      </c>
      <c r="O671" s="17">
        <v>12</v>
      </c>
      <c r="P671" s="36">
        <f>IFERROR(O671/$AD671,0)</f>
        <v>0.36363636363636365</v>
      </c>
      <c r="Q671" s="17">
        <v>32</v>
      </c>
      <c r="R671" s="36">
        <f>IFERROR(Q671/$AC671,0)</f>
        <v>0.19047619047619047</v>
      </c>
      <c r="S671" s="17">
        <v>8</v>
      </c>
      <c r="T671" s="36">
        <f>IFERROR(S671/$AD671,0)</f>
        <v>0.24242424242424243</v>
      </c>
      <c r="U671" s="17">
        <v>14</v>
      </c>
      <c r="V671" s="36">
        <f>IFERROR(U671/$AC671,0)</f>
        <v>8.3333333333333329E-2</v>
      </c>
      <c r="W671" s="17">
        <v>2</v>
      </c>
      <c r="X671" s="36">
        <f>IFERROR(W671/$AD671,0)</f>
        <v>6.0606060606060608E-2</v>
      </c>
      <c r="Y671" s="17">
        <v>6</v>
      </c>
      <c r="Z671" s="36">
        <f>IFERROR(Y671/$AC671,0)</f>
        <v>3.5714285714285712E-2</v>
      </c>
      <c r="AA671" s="17">
        <v>1</v>
      </c>
      <c r="AB671" s="36">
        <f>IFERROR(AA671/$AD671,0)</f>
        <v>3.0303030303030304E-2</v>
      </c>
      <c r="AC671" s="17">
        <v>168</v>
      </c>
      <c r="AD671" s="17">
        <v>33</v>
      </c>
    </row>
    <row r="672" spans="1:30" ht="15.75" customHeight="1" x14ac:dyDescent="0.25">
      <c r="A672" s="37">
        <v>2020</v>
      </c>
      <c r="B672" s="35">
        <v>171886</v>
      </c>
      <c r="C672" s="34" t="s">
        <v>149</v>
      </c>
      <c r="D672" s="34" t="s">
        <v>119</v>
      </c>
      <c r="E672" s="17">
        <v>15</v>
      </c>
      <c r="F672" s="36">
        <f>IFERROR(E672/$AC672,0)</f>
        <v>1.5120967741935484E-2</v>
      </c>
      <c r="G672" s="17">
        <v>3</v>
      </c>
      <c r="H672" s="36">
        <f>IFERROR(G672/$AD672,0)</f>
        <v>2.7522935779816515E-2</v>
      </c>
      <c r="I672" s="17">
        <v>326</v>
      </c>
      <c r="J672" s="36">
        <f>IFERROR(I672/$AC672,0)</f>
        <v>0.3286290322580645</v>
      </c>
      <c r="K672" s="17">
        <v>34</v>
      </c>
      <c r="L672" s="36">
        <f>IFERROR(K672/$AD672,0)</f>
        <v>0.31192660550458717</v>
      </c>
      <c r="M672" s="17">
        <v>342</v>
      </c>
      <c r="N672" s="36">
        <f>IFERROR(M672/$AC672,0)</f>
        <v>0.34475806451612906</v>
      </c>
      <c r="O672" s="17">
        <v>33</v>
      </c>
      <c r="P672" s="36">
        <f>IFERROR(O672/$AD672,0)</f>
        <v>0.30275229357798167</v>
      </c>
      <c r="Q672" s="17">
        <v>196</v>
      </c>
      <c r="R672" s="36">
        <f>IFERROR(Q672/$AC672,0)</f>
        <v>0.19758064516129031</v>
      </c>
      <c r="S672" s="17">
        <v>29</v>
      </c>
      <c r="T672" s="36">
        <f>IFERROR(S672/$AD672,0)</f>
        <v>0.26605504587155965</v>
      </c>
      <c r="U672" s="17">
        <v>81</v>
      </c>
      <c r="V672" s="36">
        <f>IFERROR(U672/$AC672,0)</f>
        <v>8.165322580645161E-2</v>
      </c>
      <c r="W672" s="17">
        <v>4</v>
      </c>
      <c r="X672" s="36">
        <f>IFERROR(W672/$AD672,0)</f>
        <v>3.669724770642202E-2</v>
      </c>
      <c r="Y672" s="17">
        <v>32</v>
      </c>
      <c r="Z672" s="36">
        <f>IFERROR(Y672/$AC672,0)</f>
        <v>3.2258064516129031E-2</v>
      </c>
      <c r="AA672" s="17">
        <v>6</v>
      </c>
      <c r="AB672" s="36">
        <f>IFERROR(AA672/$AD672,0)</f>
        <v>5.5045871559633031E-2</v>
      </c>
      <c r="AC672" s="17">
        <v>992</v>
      </c>
      <c r="AD672" s="17">
        <v>109</v>
      </c>
    </row>
    <row r="673" spans="1:30" ht="15.75" customHeight="1" x14ac:dyDescent="0.25">
      <c r="A673" s="37">
        <v>2020</v>
      </c>
      <c r="B673" s="35">
        <v>171888</v>
      </c>
      <c r="C673" s="34" t="s">
        <v>150</v>
      </c>
      <c r="D673" s="34" t="s">
        <v>120</v>
      </c>
      <c r="E673" s="17">
        <v>0</v>
      </c>
      <c r="F673" s="36">
        <f>IFERROR(E673/$AC673,0)</f>
        <v>0</v>
      </c>
      <c r="G673" s="17">
        <v>0</v>
      </c>
      <c r="H673" s="36">
        <f>IFERROR(G673/$AD673,0)</f>
        <v>0</v>
      </c>
      <c r="I673" s="17">
        <v>12</v>
      </c>
      <c r="J673" s="36">
        <f>IFERROR(I673/$AC673,0)</f>
        <v>0.66666666666666663</v>
      </c>
      <c r="K673" s="17">
        <v>1</v>
      </c>
      <c r="L673" s="36">
        <f>IFERROR(K673/$AD673,0)</f>
        <v>1</v>
      </c>
      <c r="M673" s="17">
        <v>2</v>
      </c>
      <c r="N673" s="36">
        <f>IFERROR(M673/$AC673,0)</f>
        <v>0.1111111111111111</v>
      </c>
      <c r="O673" s="17">
        <v>0</v>
      </c>
      <c r="P673" s="36">
        <f>IFERROR(O673/$AD673,0)</f>
        <v>0</v>
      </c>
      <c r="Q673" s="17">
        <v>3</v>
      </c>
      <c r="R673" s="36">
        <f>IFERROR(Q673/$AC673,0)</f>
        <v>0.16666666666666666</v>
      </c>
      <c r="S673" s="17">
        <v>0</v>
      </c>
      <c r="T673" s="36">
        <f>IFERROR(S673/$AD673,0)</f>
        <v>0</v>
      </c>
      <c r="U673" s="17">
        <v>1</v>
      </c>
      <c r="V673" s="36">
        <f>IFERROR(U673/$AC673,0)</f>
        <v>5.5555555555555552E-2</v>
      </c>
      <c r="W673" s="17">
        <v>0</v>
      </c>
      <c r="X673" s="36">
        <f>IFERROR(W673/$AD673,0)</f>
        <v>0</v>
      </c>
      <c r="Y673" s="17">
        <v>0</v>
      </c>
      <c r="Z673" s="36">
        <f>IFERROR(Y673/$AC673,0)</f>
        <v>0</v>
      </c>
      <c r="AA673" s="17">
        <v>0</v>
      </c>
      <c r="AB673" s="36">
        <f>IFERROR(AA673/$AD673,0)</f>
        <v>0</v>
      </c>
      <c r="AC673" s="17">
        <v>18</v>
      </c>
      <c r="AD673" s="17">
        <v>1</v>
      </c>
    </row>
    <row r="674" spans="1:30" ht="15.75" customHeight="1" x14ac:dyDescent="0.25">
      <c r="A674" s="37">
        <v>2020</v>
      </c>
      <c r="B674" s="35">
        <v>171889</v>
      </c>
      <c r="C674" s="34" t="s">
        <v>146</v>
      </c>
      <c r="D674" s="34" t="s">
        <v>121</v>
      </c>
      <c r="E674" s="17">
        <v>13</v>
      </c>
      <c r="F674" s="36">
        <f>IFERROR(E674/$AC674,0)</f>
        <v>2.4714828897338403E-2</v>
      </c>
      <c r="G674" s="17">
        <v>1</v>
      </c>
      <c r="H674" s="36">
        <f>IFERROR(G674/$AD674,0)</f>
        <v>2.2222222222222223E-2</v>
      </c>
      <c r="I674" s="17">
        <v>157</v>
      </c>
      <c r="J674" s="36">
        <f>IFERROR(I674/$AC674,0)</f>
        <v>0.29847908745247148</v>
      </c>
      <c r="K674" s="17">
        <v>17</v>
      </c>
      <c r="L674" s="36">
        <f>IFERROR(K674/$AD674,0)</f>
        <v>0.37777777777777777</v>
      </c>
      <c r="M674" s="17">
        <v>192</v>
      </c>
      <c r="N674" s="36">
        <f>IFERROR(M674/$AC674,0)</f>
        <v>0.36501901140684412</v>
      </c>
      <c r="O674" s="17">
        <v>12</v>
      </c>
      <c r="P674" s="36">
        <f>IFERROR(O674/$AD674,0)</f>
        <v>0.26666666666666666</v>
      </c>
      <c r="Q674" s="17">
        <v>106</v>
      </c>
      <c r="R674" s="36">
        <f>IFERROR(Q674/$AC674,0)</f>
        <v>0.20152091254752852</v>
      </c>
      <c r="S674" s="17">
        <v>6</v>
      </c>
      <c r="T674" s="36">
        <f>IFERROR(S674/$AD674,0)</f>
        <v>0.13333333333333333</v>
      </c>
      <c r="U674" s="17">
        <v>42</v>
      </c>
      <c r="V674" s="36">
        <f>IFERROR(U674/$AC674,0)</f>
        <v>7.9847908745247151E-2</v>
      </c>
      <c r="W674" s="17">
        <v>6</v>
      </c>
      <c r="X674" s="36">
        <f>IFERROR(W674/$AD674,0)</f>
        <v>0.13333333333333333</v>
      </c>
      <c r="Y674" s="17">
        <v>16</v>
      </c>
      <c r="Z674" s="36">
        <f>IFERROR(Y674/$AC674,0)</f>
        <v>3.0418250950570342E-2</v>
      </c>
      <c r="AA674" s="17">
        <v>3</v>
      </c>
      <c r="AB674" s="36">
        <f>IFERROR(AA674/$AD674,0)</f>
        <v>6.6666666666666666E-2</v>
      </c>
      <c r="AC674" s="17">
        <v>526</v>
      </c>
      <c r="AD674" s="17">
        <v>45</v>
      </c>
    </row>
    <row r="675" spans="1:30" ht="15.75" customHeight="1" x14ac:dyDescent="0.25">
      <c r="A675" s="37">
        <v>2020</v>
      </c>
      <c r="B675" s="35">
        <v>171890</v>
      </c>
      <c r="C675" s="34" t="s">
        <v>151</v>
      </c>
      <c r="D675" s="34" t="s">
        <v>122</v>
      </c>
      <c r="E675" s="17">
        <v>1</v>
      </c>
      <c r="F675" s="36">
        <f>IFERROR(E675/$AC675,0)</f>
        <v>1.8181818181818181E-2</v>
      </c>
      <c r="G675" s="17">
        <v>0</v>
      </c>
      <c r="H675" s="36">
        <f>IFERROR(G675/$AD675,0)</f>
        <v>0</v>
      </c>
      <c r="I675" s="17">
        <v>17</v>
      </c>
      <c r="J675" s="36">
        <f>IFERROR(I675/$AC675,0)</f>
        <v>0.30909090909090908</v>
      </c>
      <c r="K675" s="17">
        <v>1</v>
      </c>
      <c r="L675" s="36">
        <f>IFERROR(K675/$AD675,0)</f>
        <v>7.1428571428571425E-2</v>
      </c>
      <c r="M675" s="17">
        <v>23</v>
      </c>
      <c r="N675" s="36">
        <f>IFERROR(M675/$AC675,0)</f>
        <v>0.41818181818181815</v>
      </c>
      <c r="O675" s="17">
        <v>10</v>
      </c>
      <c r="P675" s="36">
        <f>IFERROR(O675/$AD675,0)</f>
        <v>0.7142857142857143</v>
      </c>
      <c r="Q675" s="17">
        <v>11</v>
      </c>
      <c r="R675" s="36">
        <f>IFERROR(Q675/$AC675,0)</f>
        <v>0.2</v>
      </c>
      <c r="S675" s="17">
        <v>2</v>
      </c>
      <c r="T675" s="36">
        <f>IFERROR(S675/$AD675,0)</f>
        <v>0.14285714285714285</v>
      </c>
      <c r="U675" s="17">
        <v>3</v>
      </c>
      <c r="V675" s="36">
        <f>IFERROR(U675/$AC675,0)</f>
        <v>5.4545454545454543E-2</v>
      </c>
      <c r="W675" s="17">
        <v>1</v>
      </c>
      <c r="X675" s="36">
        <f>IFERROR(W675/$AD675,0)</f>
        <v>7.1428571428571425E-2</v>
      </c>
      <c r="Y675" s="17">
        <v>0</v>
      </c>
      <c r="Z675" s="36">
        <f>IFERROR(Y675/$AC675,0)</f>
        <v>0</v>
      </c>
      <c r="AA675" s="17">
        <v>0</v>
      </c>
      <c r="AB675" s="36">
        <f>IFERROR(AA675/$AD675,0)</f>
        <v>0</v>
      </c>
      <c r="AC675" s="17">
        <v>55</v>
      </c>
      <c r="AD675" s="17">
        <v>14</v>
      </c>
    </row>
    <row r="676" spans="1:30" ht="15.75" customHeight="1" x14ac:dyDescent="0.25">
      <c r="A676" s="37">
        <v>2020</v>
      </c>
      <c r="B676" s="35">
        <v>171900</v>
      </c>
      <c r="C676" s="34" t="s">
        <v>148</v>
      </c>
      <c r="D676" s="34" t="s">
        <v>123</v>
      </c>
      <c r="E676" s="17">
        <v>7</v>
      </c>
      <c r="F676" s="36">
        <f>IFERROR(E676/$AC676,0)</f>
        <v>3.553299492385787E-2</v>
      </c>
      <c r="G676" s="17">
        <v>5</v>
      </c>
      <c r="H676" s="36">
        <f>IFERROR(G676/$AD676,0)</f>
        <v>4.5871559633027525E-2</v>
      </c>
      <c r="I676" s="17">
        <v>75</v>
      </c>
      <c r="J676" s="36">
        <f>IFERROR(I676/$AC676,0)</f>
        <v>0.38071065989847713</v>
      </c>
      <c r="K676" s="17">
        <v>48</v>
      </c>
      <c r="L676" s="36">
        <f>IFERROR(K676/$AD676,0)</f>
        <v>0.44036697247706424</v>
      </c>
      <c r="M676" s="17">
        <v>66</v>
      </c>
      <c r="N676" s="36">
        <f>IFERROR(M676/$AC676,0)</f>
        <v>0.3350253807106599</v>
      </c>
      <c r="O676" s="17">
        <v>29</v>
      </c>
      <c r="P676" s="36">
        <f>IFERROR(O676/$AD676,0)</f>
        <v>0.26605504587155965</v>
      </c>
      <c r="Q676" s="17">
        <v>32</v>
      </c>
      <c r="R676" s="36">
        <f>IFERROR(Q676/$AC676,0)</f>
        <v>0.16243654822335024</v>
      </c>
      <c r="S676" s="17">
        <v>18</v>
      </c>
      <c r="T676" s="36">
        <f>IFERROR(S676/$AD676,0)</f>
        <v>0.16513761467889909</v>
      </c>
      <c r="U676" s="17">
        <v>12</v>
      </c>
      <c r="V676" s="36">
        <f>IFERROR(U676/$AC676,0)</f>
        <v>6.0913705583756347E-2</v>
      </c>
      <c r="W676" s="17">
        <v>7</v>
      </c>
      <c r="X676" s="36">
        <f>IFERROR(W676/$AD676,0)</f>
        <v>6.4220183486238536E-2</v>
      </c>
      <c r="Y676" s="17">
        <v>5</v>
      </c>
      <c r="Z676" s="36">
        <f>IFERROR(Y676/$AC676,0)</f>
        <v>2.5380710659898477E-2</v>
      </c>
      <c r="AA676" s="17">
        <v>2</v>
      </c>
      <c r="AB676" s="36">
        <f>IFERROR(AA676/$AD676,0)</f>
        <v>1.834862385321101E-2</v>
      </c>
      <c r="AC676" s="17">
        <v>197</v>
      </c>
      <c r="AD676" s="17">
        <v>109</v>
      </c>
    </row>
    <row r="677" spans="1:30" ht="15.75" customHeight="1" x14ac:dyDescent="0.25">
      <c r="A677" s="37">
        <v>2020</v>
      </c>
      <c r="B677" s="35">
        <v>172000</v>
      </c>
      <c r="C677" s="34" t="s">
        <v>145</v>
      </c>
      <c r="D677" s="34" t="s">
        <v>124</v>
      </c>
      <c r="E677" s="17">
        <v>2</v>
      </c>
      <c r="F677" s="36">
        <f>IFERROR(E677/$AC677,0)</f>
        <v>3.8461538461538464E-2</v>
      </c>
      <c r="G677" s="17">
        <v>0</v>
      </c>
      <c r="H677" s="36">
        <f>IFERROR(G677/$AD677,0)</f>
        <v>0</v>
      </c>
      <c r="I677" s="17">
        <v>17</v>
      </c>
      <c r="J677" s="36">
        <f>IFERROR(I677/$AC677,0)</f>
        <v>0.32692307692307693</v>
      </c>
      <c r="K677" s="17">
        <v>0</v>
      </c>
      <c r="L677" s="36">
        <f>IFERROR(K677/$AD677,0)</f>
        <v>0</v>
      </c>
      <c r="M677" s="17">
        <v>17</v>
      </c>
      <c r="N677" s="36">
        <f>IFERROR(M677/$AC677,0)</f>
        <v>0.32692307692307693</v>
      </c>
      <c r="O677" s="17">
        <v>2</v>
      </c>
      <c r="P677" s="36">
        <f>IFERROR(O677/$AD677,0)</f>
        <v>0.5</v>
      </c>
      <c r="Q677" s="17">
        <v>10</v>
      </c>
      <c r="R677" s="36">
        <f>IFERROR(Q677/$AC677,0)</f>
        <v>0.19230769230769232</v>
      </c>
      <c r="S677" s="17">
        <v>2</v>
      </c>
      <c r="T677" s="36">
        <f>IFERROR(S677/$AD677,0)</f>
        <v>0.5</v>
      </c>
      <c r="U677" s="17">
        <v>4</v>
      </c>
      <c r="V677" s="36">
        <f>IFERROR(U677/$AC677,0)</f>
        <v>7.6923076923076927E-2</v>
      </c>
      <c r="W677" s="17">
        <v>0</v>
      </c>
      <c r="X677" s="36">
        <f>IFERROR(W677/$AD677,0)</f>
        <v>0</v>
      </c>
      <c r="Y677" s="17">
        <v>2</v>
      </c>
      <c r="Z677" s="36">
        <f>IFERROR(Y677/$AC677,0)</f>
        <v>3.8461538461538464E-2</v>
      </c>
      <c r="AA677" s="17">
        <v>0</v>
      </c>
      <c r="AB677" s="36">
        <f>IFERROR(AA677/$AD677,0)</f>
        <v>0</v>
      </c>
      <c r="AC677" s="17">
        <v>52</v>
      </c>
      <c r="AD677" s="17">
        <v>4</v>
      </c>
    </row>
    <row r="678" spans="1:30" ht="15.75" customHeight="1" x14ac:dyDescent="0.25">
      <c r="A678" s="37">
        <v>2020</v>
      </c>
      <c r="B678" s="35">
        <v>172010</v>
      </c>
      <c r="C678" s="34" t="s">
        <v>145</v>
      </c>
      <c r="D678" s="34" t="s">
        <v>125</v>
      </c>
      <c r="E678" s="17">
        <v>8</v>
      </c>
      <c r="F678" s="36">
        <f>IFERROR(E678/$AC678,0)</f>
        <v>2.0151133501259445E-2</v>
      </c>
      <c r="G678" s="17">
        <v>1</v>
      </c>
      <c r="H678" s="36">
        <f>IFERROR(G678/$AD678,0)</f>
        <v>1.9230769230769232E-2</v>
      </c>
      <c r="I678" s="17">
        <v>149</v>
      </c>
      <c r="J678" s="36">
        <f>IFERROR(I678/$AC678,0)</f>
        <v>0.37531486146095716</v>
      </c>
      <c r="K678" s="17">
        <v>13</v>
      </c>
      <c r="L678" s="36">
        <f>IFERROR(K678/$AD678,0)</f>
        <v>0.25</v>
      </c>
      <c r="M678" s="17">
        <v>126</v>
      </c>
      <c r="N678" s="36">
        <f>IFERROR(M678/$AC678,0)</f>
        <v>0.31738035264483627</v>
      </c>
      <c r="O678" s="17">
        <v>21</v>
      </c>
      <c r="P678" s="36">
        <f>IFERROR(O678/$AD678,0)</f>
        <v>0.40384615384615385</v>
      </c>
      <c r="Q678" s="17">
        <v>82</v>
      </c>
      <c r="R678" s="36">
        <f>IFERROR(Q678/$AC678,0)</f>
        <v>0.20654911838790932</v>
      </c>
      <c r="S678" s="17">
        <v>14</v>
      </c>
      <c r="T678" s="36">
        <f>IFERROR(S678/$AD678,0)</f>
        <v>0.26923076923076922</v>
      </c>
      <c r="U678" s="17">
        <v>25</v>
      </c>
      <c r="V678" s="36">
        <f>IFERROR(U678/$AC678,0)</f>
        <v>6.2972292191435769E-2</v>
      </c>
      <c r="W678" s="17">
        <v>2</v>
      </c>
      <c r="X678" s="36">
        <f>IFERROR(W678/$AD678,0)</f>
        <v>3.8461538461538464E-2</v>
      </c>
      <c r="Y678" s="17">
        <v>7</v>
      </c>
      <c r="Z678" s="36">
        <f>IFERROR(Y678/$AC678,0)</f>
        <v>1.7632241813602016E-2</v>
      </c>
      <c r="AA678" s="17">
        <v>1</v>
      </c>
      <c r="AB678" s="36">
        <f>IFERROR(AA678/$AD678,0)</f>
        <v>1.9230769230769232E-2</v>
      </c>
      <c r="AC678" s="17">
        <v>397</v>
      </c>
      <c r="AD678" s="17">
        <v>52</v>
      </c>
    </row>
    <row r="679" spans="1:30" ht="15.75" customHeight="1" x14ac:dyDescent="0.25">
      <c r="A679" s="37">
        <v>2020</v>
      </c>
      <c r="B679" s="35">
        <v>172015</v>
      </c>
      <c r="C679" s="34" t="s">
        <v>148</v>
      </c>
      <c r="D679" s="34" t="s">
        <v>126</v>
      </c>
      <c r="E679" s="17">
        <v>10</v>
      </c>
      <c r="F679" s="36">
        <f>IFERROR(E679/$AC679,0)</f>
        <v>2.4096385542168676E-2</v>
      </c>
      <c r="G679" s="17">
        <v>6</v>
      </c>
      <c r="H679" s="36">
        <f>IFERROR(G679/$AD679,0)</f>
        <v>4.5801526717557252E-2</v>
      </c>
      <c r="I679" s="17">
        <v>144</v>
      </c>
      <c r="J679" s="36">
        <f>IFERROR(I679/$AC679,0)</f>
        <v>0.34698795180722891</v>
      </c>
      <c r="K679" s="17">
        <v>42</v>
      </c>
      <c r="L679" s="36">
        <f>IFERROR(K679/$AD679,0)</f>
        <v>0.32061068702290074</v>
      </c>
      <c r="M679" s="17">
        <v>170</v>
      </c>
      <c r="N679" s="36">
        <f>IFERROR(M679/$AC679,0)</f>
        <v>0.40963855421686746</v>
      </c>
      <c r="O679" s="17">
        <v>45</v>
      </c>
      <c r="P679" s="36">
        <f>IFERROR(O679/$AD679,0)</f>
        <v>0.34351145038167941</v>
      </c>
      <c r="Q679" s="17">
        <v>74</v>
      </c>
      <c r="R679" s="36">
        <f>IFERROR(Q679/$AC679,0)</f>
        <v>0.1783132530120482</v>
      </c>
      <c r="S679" s="17">
        <v>33</v>
      </c>
      <c r="T679" s="36">
        <f>IFERROR(S679/$AD679,0)</f>
        <v>0.25190839694656486</v>
      </c>
      <c r="U679" s="17">
        <v>14</v>
      </c>
      <c r="V679" s="36">
        <f>IFERROR(U679/$AC679,0)</f>
        <v>3.3734939759036145E-2</v>
      </c>
      <c r="W679" s="17">
        <v>4</v>
      </c>
      <c r="X679" s="36">
        <f>IFERROR(W679/$AD679,0)</f>
        <v>3.0534351145038167E-2</v>
      </c>
      <c r="Y679" s="17">
        <v>3</v>
      </c>
      <c r="Z679" s="36">
        <f>IFERROR(Y679/$AC679,0)</f>
        <v>7.2289156626506026E-3</v>
      </c>
      <c r="AA679" s="17">
        <v>1</v>
      </c>
      <c r="AB679" s="36">
        <f>IFERROR(AA679/$AD679,0)</f>
        <v>7.6335877862595417E-3</v>
      </c>
      <c r="AC679" s="17">
        <v>415</v>
      </c>
      <c r="AD679" s="17">
        <v>131</v>
      </c>
    </row>
    <row r="680" spans="1:30" ht="15.75" customHeight="1" x14ac:dyDescent="0.25">
      <c r="A680" s="37">
        <v>2020</v>
      </c>
      <c r="B680" s="35">
        <v>172020</v>
      </c>
      <c r="C680" s="34" t="s">
        <v>145</v>
      </c>
      <c r="D680" s="34" t="s">
        <v>127</v>
      </c>
      <c r="E680" s="17">
        <v>38</v>
      </c>
      <c r="F680" s="36">
        <f>IFERROR(E680/$AC680,0)</f>
        <v>2.2686567164179106E-2</v>
      </c>
      <c r="G680" s="17">
        <v>13</v>
      </c>
      <c r="H680" s="36">
        <f>IFERROR(G680/$AD680,0)</f>
        <v>3.6619718309859155E-2</v>
      </c>
      <c r="I680" s="17">
        <v>608</v>
      </c>
      <c r="J680" s="36">
        <f>IFERROR(I680/$AC680,0)</f>
        <v>0.36298507462686569</v>
      </c>
      <c r="K680" s="17">
        <v>129</v>
      </c>
      <c r="L680" s="36">
        <f>IFERROR(K680/$AD680,0)</f>
        <v>0.36338028169014086</v>
      </c>
      <c r="M680" s="17">
        <v>576</v>
      </c>
      <c r="N680" s="36">
        <f>IFERROR(M680/$AC680,0)</f>
        <v>0.34388059701492535</v>
      </c>
      <c r="O680" s="17">
        <v>134</v>
      </c>
      <c r="P680" s="36">
        <f>IFERROR(O680/$AD680,0)</f>
        <v>0.37746478873239436</v>
      </c>
      <c r="Q680" s="17">
        <v>323</v>
      </c>
      <c r="R680" s="36">
        <f>IFERROR(Q680/$AC680,0)</f>
        <v>0.1928358208955224</v>
      </c>
      <c r="S680" s="17">
        <v>58</v>
      </c>
      <c r="T680" s="36">
        <f>IFERROR(S680/$AD680,0)</f>
        <v>0.16338028169014085</v>
      </c>
      <c r="U680" s="17">
        <v>93</v>
      </c>
      <c r="V680" s="36">
        <f>IFERROR(U680/$AC680,0)</f>
        <v>5.5522388059701493E-2</v>
      </c>
      <c r="W680" s="17">
        <v>17</v>
      </c>
      <c r="X680" s="36">
        <f>IFERROR(W680/$AD680,0)</f>
        <v>4.788732394366197E-2</v>
      </c>
      <c r="Y680" s="17">
        <v>37</v>
      </c>
      <c r="Z680" s="36">
        <f>IFERROR(Y680/$AC680,0)</f>
        <v>2.208955223880597E-2</v>
      </c>
      <c r="AA680" s="17">
        <v>4</v>
      </c>
      <c r="AB680" s="36">
        <f>IFERROR(AA680/$AD680,0)</f>
        <v>1.1267605633802818E-2</v>
      </c>
      <c r="AC680" s="16">
        <v>1675</v>
      </c>
      <c r="AD680" s="17">
        <v>355</v>
      </c>
    </row>
    <row r="681" spans="1:30" ht="15.75" customHeight="1" x14ac:dyDescent="0.25">
      <c r="A681" s="37">
        <v>2020</v>
      </c>
      <c r="B681" s="35">
        <v>172025</v>
      </c>
      <c r="C681" s="34" t="s">
        <v>146</v>
      </c>
      <c r="D681" s="34" t="s">
        <v>128</v>
      </c>
      <c r="E681" s="17">
        <v>2</v>
      </c>
      <c r="F681" s="36">
        <f>IFERROR(E681/$AC681,0)</f>
        <v>1.2903225806451613E-2</v>
      </c>
      <c r="G681" s="17">
        <v>0</v>
      </c>
      <c r="H681" s="36">
        <f>IFERROR(G681/$AD681,0)</f>
        <v>0</v>
      </c>
      <c r="I681" s="17">
        <v>45</v>
      </c>
      <c r="J681" s="36">
        <f>IFERROR(I681/$AC681,0)</f>
        <v>0.29032258064516131</v>
      </c>
      <c r="K681" s="17">
        <v>6</v>
      </c>
      <c r="L681" s="36">
        <f>IFERROR(K681/$AD681,0)</f>
        <v>0.23076923076923078</v>
      </c>
      <c r="M681" s="17">
        <v>61</v>
      </c>
      <c r="N681" s="36">
        <f>IFERROR(M681/$AC681,0)</f>
        <v>0.3935483870967742</v>
      </c>
      <c r="O681" s="17">
        <v>10</v>
      </c>
      <c r="P681" s="36">
        <f>IFERROR(O681/$AD681,0)</f>
        <v>0.38461538461538464</v>
      </c>
      <c r="Q681" s="17">
        <v>29</v>
      </c>
      <c r="R681" s="36">
        <f>IFERROR(Q681/$AC681,0)</f>
        <v>0.18709677419354839</v>
      </c>
      <c r="S681" s="17">
        <v>5</v>
      </c>
      <c r="T681" s="36">
        <f>IFERROR(S681/$AD681,0)</f>
        <v>0.19230769230769232</v>
      </c>
      <c r="U681" s="17">
        <v>8</v>
      </c>
      <c r="V681" s="36">
        <f>IFERROR(U681/$AC681,0)</f>
        <v>5.1612903225806452E-2</v>
      </c>
      <c r="W681" s="17">
        <v>3</v>
      </c>
      <c r="X681" s="36">
        <f>IFERROR(W681/$AD681,0)</f>
        <v>0.11538461538461539</v>
      </c>
      <c r="Y681" s="17">
        <v>10</v>
      </c>
      <c r="Z681" s="36">
        <f>IFERROR(Y681/$AC681,0)</f>
        <v>6.4516129032258063E-2</v>
      </c>
      <c r="AA681" s="17">
        <v>2</v>
      </c>
      <c r="AB681" s="36">
        <f>IFERROR(AA681/$AD681,0)</f>
        <v>7.6923076923076927E-2</v>
      </c>
      <c r="AC681" s="17">
        <v>155</v>
      </c>
      <c r="AD681" s="17">
        <v>26</v>
      </c>
    </row>
    <row r="682" spans="1:30" ht="15.75" customHeight="1" x14ac:dyDescent="0.25">
      <c r="A682" s="37">
        <v>2020</v>
      </c>
      <c r="B682" s="35">
        <v>172030</v>
      </c>
      <c r="C682" s="34" t="s">
        <v>145</v>
      </c>
      <c r="D682" s="34" t="s">
        <v>129</v>
      </c>
      <c r="E682" s="17">
        <v>15</v>
      </c>
      <c r="F682" s="36">
        <f>IFERROR(E682/$AC682,0)</f>
        <v>2.7422303473491772E-2</v>
      </c>
      <c r="G682" s="17">
        <v>8</v>
      </c>
      <c r="H682" s="36">
        <f>IFERROR(G682/$AD682,0)</f>
        <v>3.4632034632034632E-2</v>
      </c>
      <c r="I682" s="17">
        <v>189</v>
      </c>
      <c r="J682" s="36">
        <f>IFERROR(I682/$AC682,0)</f>
        <v>0.34552102376599636</v>
      </c>
      <c r="K682" s="17">
        <v>89</v>
      </c>
      <c r="L682" s="36">
        <f>IFERROR(K682/$AD682,0)</f>
        <v>0.38528138528138528</v>
      </c>
      <c r="M682" s="17">
        <v>186</v>
      </c>
      <c r="N682" s="36">
        <f>IFERROR(M682/$AC682,0)</f>
        <v>0.34003656307129798</v>
      </c>
      <c r="O682" s="17">
        <v>70</v>
      </c>
      <c r="P682" s="36">
        <f>IFERROR(O682/$AD682,0)</f>
        <v>0.30303030303030304</v>
      </c>
      <c r="Q682" s="17">
        <v>101</v>
      </c>
      <c r="R682" s="36">
        <f>IFERROR(Q682/$AC682,0)</f>
        <v>0.18464351005484461</v>
      </c>
      <c r="S682" s="17">
        <v>45</v>
      </c>
      <c r="T682" s="36">
        <f>IFERROR(S682/$AD682,0)</f>
        <v>0.19480519480519481</v>
      </c>
      <c r="U682" s="17">
        <v>34</v>
      </c>
      <c r="V682" s="36">
        <f>IFERROR(U682/$AC682,0)</f>
        <v>6.2157221206581355E-2</v>
      </c>
      <c r="W682" s="17">
        <v>9</v>
      </c>
      <c r="X682" s="36">
        <f>IFERROR(W682/$AD682,0)</f>
        <v>3.896103896103896E-2</v>
      </c>
      <c r="Y682" s="17">
        <v>22</v>
      </c>
      <c r="Z682" s="36">
        <f>IFERROR(Y682/$AC682,0)</f>
        <v>4.0219378427787937E-2</v>
      </c>
      <c r="AA682" s="17">
        <v>10</v>
      </c>
      <c r="AB682" s="36">
        <f>IFERROR(AA682/$AD682,0)</f>
        <v>4.3290043290043288E-2</v>
      </c>
      <c r="AC682" s="17">
        <v>547</v>
      </c>
      <c r="AD682" s="17">
        <v>231</v>
      </c>
    </row>
    <row r="683" spans="1:30" ht="15.75" customHeight="1" x14ac:dyDescent="0.25">
      <c r="A683" s="37">
        <v>2020</v>
      </c>
      <c r="B683" s="35">
        <v>172049</v>
      </c>
      <c r="C683" s="34" t="s">
        <v>146</v>
      </c>
      <c r="D683" s="34" t="s">
        <v>130</v>
      </c>
      <c r="E683" s="17">
        <v>27</v>
      </c>
      <c r="F683" s="36">
        <f>IFERROR(E683/$AC683,0)</f>
        <v>2.6865671641791045E-2</v>
      </c>
      <c r="G683" s="17">
        <v>9</v>
      </c>
      <c r="H683" s="36">
        <f>IFERROR(G683/$AD683,0)</f>
        <v>4.5454545454545456E-2</v>
      </c>
      <c r="I683" s="17">
        <v>309</v>
      </c>
      <c r="J683" s="36">
        <f>IFERROR(I683/$AC683,0)</f>
        <v>0.30746268656716419</v>
      </c>
      <c r="K683" s="17">
        <v>78</v>
      </c>
      <c r="L683" s="36">
        <f>IFERROR(K683/$AD683,0)</f>
        <v>0.39393939393939392</v>
      </c>
      <c r="M683" s="17">
        <v>349</v>
      </c>
      <c r="N683" s="36">
        <f>IFERROR(M683/$AC683,0)</f>
        <v>0.3472636815920398</v>
      </c>
      <c r="O683" s="17">
        <v>66</v>
      </c>
      <c r="P683" s="36">
        <f>IFERROR(O683/$AD683,0)</f>
        <v>0.33333333333333331</v>
      </c>
      <c r="Q683" s="17">
        <v>216</v>
      </c>
      <c r="R683" s="36">
        <f>IFERROR(Q683/$AC683,0)</f>
        <v>0.21492537313432836</v>
      </c>
      <c r="S683" s="17">
        <v>29</v>
      </c>
      <c r="T683" s="36">
        <f>IFERROR(S683/$AD683,0)</f>
        <v>0.14646464646464646</v>
      </c>
      <c r="U683" s="17">
        <v>77</v>
      </c>
      <c r="V683" s="36">
        <f>IFERROR(U683/$AC683,0)</f>
        <v>7.6616915422885568E-2</v>
      </c>
      <c r="W683" s="17">
        <v>11</v>
      </c>
      <c r="X683" s="36">
        <f>IFERROR(W683/$AD683,0)</f>
        <v>5.5555555555555552E-2</v>
      </c>
      <c r="Y683" s="17">
        <v>27</v>
      </c>
      <c r="Z683" s="36">
        <f>IFERROR(Y683/$AC683,0)</f>
        <v>2.6865671641791045E-2</v>
      </c>
      <c r="AA683" s="17">
        <v>5</v>
      </c>
      <c r="AB683" s="36">
        <f>IFERROR(AA683/$AD683,0)</f>
        <v>2.5252525252525252E-2</v>
      </c>
      <c r="AC683" s="16">
        <v>1005</v>
      </c>
      <c r="AD683" s="17">
        <v>198</v>
      </c>
    </row>
    <row r="684" spans="1:30" ht="15.75" customHeight="1" x14ac:dyDescent="0.25">
      <c r="A684" s="37">
        <v>2020</v>
      </c>
      <c r="B684" s="35">
        <v>172065</v>
      </c>
      <c r="C684" s="34" t="s">
        <v>151</v>
      </c>
      <c r="D684" s="34" t="s">
        <v>131</v>
      </c>
      <c r="E684" s="17">
        <v>29</v>
      </c>
      <c r="F684" s="36">
        <f>IFERROR(E684/$AC684,0)</f>
        <v>2.8798411122144985E-2</v>
      </c>
      <c r="G684" s="17">
        <v>15</v>
      </c>
      <c r="H684" s="36">
        <f>IFERROR(G684/$AD684,0)</f>
        <v>4.5592705167173252E-2</v>
      </c>
      <c r="I684" s="17">
        <v>355</v>
      </c>
      <c r="J684" s="36">
        <f>IFERROR(I684/$AC684,0)</f>
        <v>0.35253227408143001</v>
      </c>
      <c r="K684" s="17">
        <v>130</v>
      </c>
      <c r="L684" s="36">
        <f>IFERROR(K684/$AD684,0)</f>
        <v>0.39513677811550152</v>
      </c>
      <c r="M684" s="17">
        <v>353</v>
      </c>
      <c r="N684" s="36">
        <f>IFERROR(M684/$AC684,0)</f>
        <v>0.35054617676266137</v>
      </c>
      <c r="O684" s="17">
        <v>107</v>
      </c>
      <c r="P684" s="36">
        <f>IFERROR(O684/$AD684,0)</f>
        <v>0.32522796352583588</v>
      </c>
      <c r="Q684" s="17">
        <v>161</v>
      </c>
      <c r="R684" s="36">
        <f>IFERROR(Q684/$AC684,0)</f>
        <v>0.15988083416087387</v>
      </c>
      <c r="S684" s="17">
        <v>39</v>
      </c>
      <c r="T684" s="36">
        <f>IFERROR(S684/$AD684,0)</f>
        <v>0.11854103343465046</v>
      </c>
      <c r="U684" s="17">
        <v>70</v>
      </c>
      <c r="V684" s="36">
        <f>IFERROR(U684/$AC684,0)</f>
        <v>6.9513406156901686E-2</v>
      </c>
      <c r="W684" s="17">
        <v>24</v>
      </c>
      <c r="X684" s="36">
        <f>IFERROR(W684/$AD684,0)</f>
        <v>7.29483282674772E-2</v>
      </c>
      <c r="Y684" s="17">
        <v>39</v>
      </c>
      <c r="Z684" s="36">
        <f>IFERROR(Y684/$AC684,0)</f>
        <v>3.8728897715988087E-2</v>
      </c>
      <c r="AA684" s="17">
        <v>14</v>
      </c>
      <c r="AB684" s="36">
        <f>IFERROR(AA684/$AD684,0)</f>
        <v>4.2553191489361701E-2</v>
      </c>
      <c r="AC684" s="16">
        <v>1007</v>
      </c>
      <c r="AD684" s="17">
        <v>329</v>
      </c>
    </row>
    <row r="685" spans="1:30" ht="15.75" customHeight="1" x14ac:dyDescent="0.25">
      <c r="A685" s="37">
        <v>2020</v>
      </c>
      <c r="B685" s="35">
        <v>172080</v>
      </c>
      <c r="C685" s="34" t="s">
        <v>145</v>
      </c>
      <c r="D685" s="34" t="s">
        <v>132</v>
      </c>
      <c r="E685" s="17">
        <v>40</v>
      </c>
      <c r="F685" s="36">
        <f>IFERROR(E685/$AC685,0)</f>
        <v>1.4625228519195612E-2</v>
      </c>
      <c r="G685" s="17">
        <v>2</v>
      </c>
      <c r="H685" s="36">
        <f>IFERROR(G685/$AD685,0)</f>
        <v>6.3897763578274758E-3</v>
      </c>
      <c r="I685" s="17">
        <v>991</v>
      </c>
      <c r="J685" s="36">
        <f>IFERROR(I685/$AC685,0)</f>
        <v>0.36234003656307129</v>
      </c>
      <c r="K685" s="17">
        <v>110</v>
      </c>
      <c r="L685" s="36">
        <f>IFERROR(K685/$AD685,0)</f>
        <v>0.3514376996805112</v>
      </c>
      <c r="M685" s="16">
        <v>1024</v>
      </c>
      <c r="N685" s="36">
        <f>IFERROR(M685/$AC685,0)</f>
        <v>0.3744058500914077</v>
      </c>
      <c r="O685" s="17">
        <v>109</v>
      </c>
      <c r="P685" s="36">
        <f>IFERROR(O685/$AD685,0)</f>
        <v>0.34824281150159747</v>
      </c>
      <c r="Q685" s="17">
        <v>489</v>
      </c>
      <c r="R685" s="36">
        <f>IFERROR(Q685/$AC685,0)</f>
        <v>0.17879341864716636</v>
      </c>
      <c r="S685" s="17">
        <v>65</v>
      </c>
      <c r="T685" s="36">
        <f>IFERROR(S685/$AD685,0)</f>
        <v>0.20766773162939298</v>
      </c>
      <c r="U685" s="17">
        <v>142</v>
      </c>
      <c r="V685" s="36">
        <f>IFERROR(U685/$AC685,0)</f>
        <v>5.1919561243144424E-2</v>
      </c>
      <c r="W685" s="17">
        <v>20</v>
      </c>
      <c r="X685" s="36">
        <f>IFERROR(W685/$AD685,0)</f>
        <v>6.3897763578274758E-2</v>
      </c>
      <c r="Y685" s="17">
        <v>49</v>
      </c>
      <c r="Z685" s="36">
        <f>IFERROR(Y685/$AC685,0)</f>
        <v>1.7915904936014627E-2</v>
      </c>
      <c r="AA685" s="17">
        <v>7</v>
      </c>
      <c r="AB685" s="36">
        <f>IFERROR(AA685/$AD685,0)</f>
        <v>2.2364217252396165E-2</v>
      </c>
      <c r="AC685" s="16">
        <v>2735</v>
      </c>
      <c r="AD685" s="17">
        <v>313</v>
      </c>
    </row>
    <row r="686" spans="1:30" ht="15.75" customHeight="1" x14ac:dyDescent="0.25">
      <c r="A686" s="37">
        <v>2020</v>
      </c>
      <c r="B686" s="35">
        <v>172085</v>
      </c>
      <c r="C686" s="34" t="s">
        <v>146</v>
      </c>
      <c r="D686" s="34" t="s">
        <v>133</v>
      </c>
      <c r="E686" s="17">
        <v>8</v>
      </c>
      <c r="F686" s="36">
        <f>IFERROR(E686/$AC686,0)</f>
        <v>1.9230769230769232E-2</v>
      </c>
      <c r="G686" s="17">
        <v>0</v>
      </c>
      <c r="H686" s="36">
        <f>IFERROR(G686/$AD686,0)</f>
        <v>0</v>
      </c>
      <c r="I686" s="17">
        <v>151</v>
      </c>
      <c r="J686" s="36">
        <f>IFERROR(I686/$AC686,0)</f>
        <v>0.36298076923076922</v>
      </c>
      <c r="K686" s="17">
        <v>24</v>
      </c>
      <c r="L686" s="36">
        <f>IFERROR(K686/$AD686,0)</f>
        <v>0.33333333333333331</v>
      </c>
      <c r="M686" s="17">
        <v>137</v>
      </c>
      <c r="N686" s="36">
        <f>IFERROR(M686/$AC686,0)</f>
        <v>0.32932692307692307</v>
      </c>
      <c r="O686" s="17">
        <v>29</v>
      </c>
      <c r="P686" s="36">
        <f>IFERROR(O686/$AD686,0)</f>
        <v>0.40277777777777779</v>
      </c>
      <c r="Q686" s="17">
        <v>72</v>
      </c>
      <c r="R686" s="36">
        <f>IFERROR(Q686/$AC686,0)</f>
        <v>0.17307692307692307</v>
      </c>
      <c r="S686" s="17">
        <v>11</v>
      </c>
      <c r="T686" s="36">
        <f>IFERROR(S686/$AD686,0)</f>
        <v>0.15277777777777779</v>
      </c>
      <c r="U686" s="17">
        <v>32</v>
      </c>
      <c r="V686" s="36">
        <f>IFERROR(U686/$AC686,0)</f>
        <v>7.6923076923076927E-2</v>
      </c>
      <c r="W686" s="17">
        <v>5</v>
      </c>
      <c r="X686" s="36">
        <f>IFERROR(W686/$AD686,0)</f>
        <v>6.9444444444444448E-2</v>
      </c>
      <c r="Y686" s="17">
        <v>16</v>
      </c>
      <c r="Z686" s="36">
        <f>IFERROR(Y686/$AC686,0)</f>
        <v>3.8461538461538464E-2</v>
      </c>
      <c r="AA686" s="17">
        <v>3</v>
      </c>
      <c r="AB686" s="36">
        <f>IFERROR(AA686/$AD686,0)</f>
        <v>4.1666666666666664E-2</v>
      </c>
      <c r="AC686" s="17">
        <v>416</v>
      </c>
      <c r="AD686" s="17">
        <v>72</v>
      </c>
    </row>
    <row r="687" spans="1:30" ht="15.75" customHeight="1" x14ac:dyDescent="0.25">
      <c r="A687" s="37">
        <v>2020</v>
      </c>
      <c r="B687" s="35">
        <v>170825</v>
      </c>
      <c r="C687" s="34" t="s">
        <v>148</v>
      </c>
      <c r="D687" s="34" t="s">
        <v>134</v>
      </c>
      <c r="E687" s="17">
        <v>6</v>
      </c>
      <c r="F687" s="36">
        <f>IFERROR(E687/$AC687,0)</f>
        <v>2.5000000000000001E-2</v>
      </c>
      <c r="G687" s="17">
        <v>2</v>
      </c>
      <c r="H687" s="36">
        <f>IFERROR(G687/$AD687,0)</f>
        <v>1.7391304347826087E-2</v>
      </c>
      <c r="I687" s="17">
        <v>99</v>
      </c>
      <c r="J687" s="36">
        <f>IFERROR(I687/$AC687,0)</f>
        <v>0.41249999999999998</v>
      </c>
      <c r="K687" s="17">
        <v>52</v>
      </c>
      <c r="L687" s="36">
        <f>IFERROR(K687/$AD687,0)</f>
        <v>0.45217391304347826</v>
      </c>
      <c r="M687" s="17">
        <v>77</v>
      </c>
      <c r="N687" s="36">
        <f>IFERROR(M687/$AC687,0)</f>
        <v>0.32083333333333336</v>
      </c>
      <c r="O687" s="17">
        <v>37</v>
      </c>
      <c r="P687" s="36">
        <f>IFERROR(O687/$AD687,0)</f>
        <v>0.32173913043478258</v>
      </c>
      <c r="Q687" s="17">
        <v>40</v>
      </c>
      <c r="R687" s="36">
        <f>IFERROR(Q687/$AC687,0)</f>
        <v>0.16666666666666666</v>
      </c>
      <c r="S687" s="17">
        <v>16</v>
      </c>
      <c r="T687" s="36">
        <f>IFERROR(S687/$AD687,0)</f>
        <v>0.1391304347826087</v>
      </c>
      <c r="U687" s="17">
        <v>8</v>
      </c>
      <c r="V687" s="36">
        <f>IFERROR(U687/$AC687,0)</f>
        <v>3.3333333333333333E-2</v>
      </c>
      <c r="W687" s="17">
        <v>5</v>
      </c>
      <c r="X687" s="36">
        <f>IFERROR(W687/$AD687,0)</f>
        <v>4.3478260869565216E-2</v>
      </c>
      <c r="Y687" s="17">
        <v>10</v>
      </c>
      <c r="Z687" s="36">
        <f>IFERROR(Y687/$AC687,0)</f>
        <v>4.1666666666666664E-2</v>
      </c>
      <c r="AA687" s="17">
        <v>3</v>
      </c>
      <c r="AB687" s="36">
        <f>IFERROR(AA687/$AD687,0)</f>
        <v>2.6086956521739129E-2</v>
      </c>
      <c r="AC687" s="17">
        <v>240</v>
      </c>
      <c r="AD687" s="17">
        <v>115</v>
      </c>
    </row>
    <row r="688" spans="1:30" ht="15.75" customHeight="1" x14ac:dyDescent="0.25">
      <c r="A688" s="37">
        <v>2020</v>
      </c>
      <c r="B688" s="35">
        <v>172090</v>
      </c>
      <c r="C688" s="34" t="s">
        <v>147</v>
      </c>
      <c r="D688" s="34" t="s">
        <v>135</v>
      </c>
      <c r="E688" s="17">
        <v>4</v>
      </c>
      <c r="F688" s="36">
        <f>IFERROR(E688/$AC688,0)</f>
        <v>2.1052631578947368E-2</v>
      </c>
      <c r="G688" s="17">
        <v>4</v>
      </c>
      <c r="H688" s="36">
        <f>IFERROR(G688/$AD688,0)</f>
        <v>7.8431372549019607E-2</v>
      </c>
      <c r="I688" s="17">
        <v>66</v>
      </c>
      <c r="J688" s="36">
        <f>IFERROR(I688/$AC688,0)</f>
        <v>0.3473684210526316</v>
      </c>
      <c r="K688" s="17">
        <v>19</v>
      </c>
      <c r="L688" s="36">
        <f>IFERROR(K688/$AD688,0)</f>
        <v>0.37254901960784315</v>
      </c>
      <c r="M688" s="17">
        <v>66</v>
      </c>
      <c r="N688" s="36">
        <f>IFERROR(M688/$AC688,0)</f>
        <v>0.3473684210526316</v>
      </c>
      <c r="O688" s="17">
        <v>16</v>
      </c>
      <c r="P688" s="36">
        <f>IFERROR(O688/$AD688,0)</f>
        <v>0.31372549019607843</v>
      </c>
      <c r="Q688" s="17">
        <v>39</v>
      </c>
      <c r="R688" s="36">
        <f>IFERROR(Q688/$AC688,0)</f>
        <v>0.20526315789473684</v>
      </c>
      <c r="S688" s="17">
        <v>7</v>
      </c>
      <c r="T688" s="36">
        <f>IFERROR(S688/$AD688,0)</f>
        <v>0.13725490196078433</v>
      </c>
      <c r="U688" s="17">
        <v>8</v>
      </c>
      <c r="V688" s="36">
        <f>IFERROR(U688/$AC688,0)</f>
        <v>4.2105263157894736E-2</v>
      </c>
      <c r="W688" s="17">
        <v>2</v>
      </c>
      <c r="X688" s="36">
        <f>IFERROR(W688/$AD688,0)</f>
        <v>3.9215686274509803E-2</v>
      </c>
      <c r="Y688" s="17">
        <v>7</v>
      </c>
      <c r="Z688" s="36">
        <f>IFERROR(Y688/$AC688,0)</f>
        <v>3.6842105263157891E-2</v>
      </c>
      <c r="AA688" s="17">
        <v>3</v>
      </c>
      <c r="AB688" s="36">
        <f>IFERROR(AA688/$AD688,0)</f>
        <v>5.8823529411764705E-2</v>
      </c>
      <c r="AC688" s="17">
        <v>190</v>
      </c>
      <c r="AD688" s="17">
        <v>51</v>
      </c>
    </row>
    <row r="689" spans="1:30" ht="15.75" customHeight="1" x14ac:dyDescent="0.25">
      <c r="A689" s="37">
        <v>2020</v>
      </c>
      <c r="B689" s="35">
        <v>172093</v>
      </c>
      <c r="C689" s="34" t="s">
        <v>147</v>
      </c>
      <c r="D689" s="34" t="s">
        <v>136</v>
      </c>
      <c r="E689" s="17">
        <v>3</v>
      </c>
      <c r="F689" s="36">
        <f>IFERROR(E689/$AC689,0)</f>
        <v>1.6666666666666666E-2</v>
      </c>
      <c r="G689" s="17">
        <v>1</v>
      </c>
      <c r="H689" s="36">
        <f>IFERROR(G689/$AD689,0)</f>
        <v>7.9365079365079361E-3</v>
      </c>
      <c r="I689" s="17">
        <v>49</v>
      </c>
      <c r="J689" s="36">
        <f>IFERROR(I689/$AC689,0)</f>
        <v>0.2722222222222222</v>
      </c>
      <c r="K689" s="17">
        <v>37</v>
      </c>
      <c r="L689" s="36">
        <f>IFERROR(K689/$AD689,0)</f>
        <v>0.29365079365079366</v>
      </c>
      <c r="M689" s="17">
        <v>60</v>
      </c>
      <c r="N689" s="36">
        <f>IFERROR(M689/$AC689,0)</f>
        <v>0.33333333333333331</v>
      </c>
      <c r="O689" s="17">
        <v>45</v>
      </c>
      <c r="P689" s="36">
        <f>IFERROR(O689/$AD689,0)</f>
        <v>0.35714285714285715</v>
      </c>
      <c r="Q689" s="17">
        <v>43</v>
      </c>
      <c r="R689" s="36">
        <f>IFERROR(Q689/$AC689,0)</f>
        <v>0.2388888888888889</v>
      </c>
      <c r="S689" s="17">
        <v>28</v>
      </c>
      <c r="T689" s="36">
        <f>IFERROR(S689/$AD689,0)</f>
        <v>0.22222222222222221</v>
      </c>
      <c r="U689" s="17">
        <v>16</v>
      </c>
      <c r="V689" s="36">
        <f>IFERROR(U689/$AC689,0)</f>
        <v>8.8888888888888892E-2</v>
      </c>
      <c r="W689" s="17">
        <v>8</v>
      </c>
      <c r="X689" s="36">
        <f>IFERROR(W689/$AD689,0)</f>
        <v>6.3492063492063489E-2</v>
      </c>
      <c r="Y689" s="17">
        <v>9</v>
      </c>
      <c r="Z689" s="36">
        <f>IFERROR(Y689/$AC689,0)</f>
        <v>0.05</v>
      </c>
      <c r="AA689" s="17">
        <v>7</v>
      </c>
      <c r="AB689" s="36">
        <f>IFERROR(AA689/$AD689,0)</f>
        <v>5.5555555555555552E-2</v>
      </c>
      <c r="AC689" s="17">
        <v>180</v>
      </c>
      <c r="AD689" s="17">
        <v>126</v>
      </c>
    </row>
    <row r="690" spans="1:30" ht="15.75" customHeight="1" x14ac:dyDescent="0.25">
      <c r="A690" s="37">
        <v>2020</v>
      </c>
      <c r="B690" s="35">
        <v>172097</v>
      </c>
      <c r="C690" s="34" t="s">
        <v>146</v>
      </c>
      <c r="D690" s="34" t="s">
        <v>137</v>
      </c>
      <c r="E690" s="17">
        <v>1</v>
      </c>
      <c r="F690" s="36">
        <f>IFERROR(E690/$AC690,0)</f>
        <v>5.1020408163265302E-3</v>
      </c>
      <c r="G690" s="17">
        <v>0</v>
      </c>
      <c r="H690" s="36">
        <f>IFERROR(G690/$AD690,0)</f>
        <v>0</v>
      </c>
      <c r="I690" s="17">
        <v>47</v>
      </c>
      <c r="J690" s="36">
        <f>IFERROR(I690/$AC690,0)</f>
        <v>0.23979591836734693</v>
      </c>
      <c r="K690" s="17">
        <v>11</v>
      </c>
      <c r="L690" s="36">
        <f>IFERROR(K690/$AD690,0)</f>
        <v>0.42307692307692307</v>
      </c>
      <c r="M690" s="17">
        <v>70</v>
      </c>
      <c r="N690" s="36">
        <f>IFERROR(M690/$AC690,0)</f>
        <v>0.35714285714285715</v>
      </c>
      <c r="O690" s="17">
        <v>5</v>
      </c>
      <c r="P690" s="36">
        <f>IFERROR(O690/$AD690,0)</f>
        <v>0.19230769230769232</v>
      </c>
      <c r="Q690" s="17">
        <v>45</v>
      </c>
      <c r="R690" s="36">
        <f>IFERROR(Q690/$AC690,0)</f>
        <v>0.22959183673469388</v>
      </c>
      <c r="S690" s="17">
        <v>4</v>
      </c>
      <c r="T690" s="36">
        <f>IFERROR(S690/$AD690,0)</f>
        <v>0.15384615384615385</v>
      </c>
      <c r="U690" s="17">
        <v>26</v>
      </c>
      <c r="V690" s="36">
        <f>IFERROR(U690/$AC690,0)</f>
        <v>0.1326530612244898</v>
      </c>
      <c r="W690" s="17">
        <v>5</v>
      </c>
      <c r="X690" s="36">
        <f>IFERROR(W690/$AD690,0)</f>
        <v>0.19230769230769232</v>
      </c>
      <c r="Y690" s="17">
        <v>7</v>
      </c>
      <c r="Z690" s="36">
        <f>IFERROR(Y690/$AC690,0)</f>
        <v>3.5714285714285712E-2</v>
      </c>
      <c r="AA690" s="17">
        <v>1</v>
      </c>
      <c r="AB690" s="36">
        <f>IFERROR(AA690/$AD690,0)</f>
        <v>3.8461538461538464E-2</v>
      </c>
      <c r="AC690" s="17">
        <v>196</v>
      </c>
      <c r="AD690" s="17">
        <v>26</v>
      </c>
    </row>
    <row r="691" spans="1:30" ht="15.75" customHeight="1" x14ac:dyDescent="0.25">
      <c r="A691" s="37">
        <v>2020</v>
      </c>
      <c r="B691" s="35">
        <v>172110</v>
      </c>
      <c r="C691" s="34" t="s">
        <v>148</v>
      </c>
      <c r="D691" s="34" t="s">
        <v>138</v>
      </c>
      <c r="E691" s="17">
        <v>21</v>
      </c>
      <c r="F691" s="36">
        <f>IFERROR(E691/$AC691,0)</f>
        <v>2.5893958076448828E-2</v>
      </c>
      <c r="G691" s="17">
        <v>2</v>
      </c>
      <c r="H691" s="36">
        <f>IFERROR(G691/$AD691,0)</f>
        <v>5.128205128205128E-2</v>
      </c>
      <c r="I691" s="17">
        <v>255</v>
      </c>
      <c r="J691" s="36">
        <f>IFERROR(I691/$AC691,0)</f>
        <v>0.31442663378545005</v>
      </c>
      <c r="K691" s="17">
        <v>12</v>
      </c>
      <c r="L691" s="36">
        <f>IFERROR(K691/$AD691,0)</f>
        <v>0.30769230769230771</v>
      </c>
      <c r="M691" s="17">
        <v>278</v>
      </c>
      <c r="N691" s="36">
        <f>IFERROR(M691/$AC691,0)</f>
        <v>0.34278668310727495</v>
      </c>
      <c r="O691" s="17">
        <v>9</v>
      </c>
      <c r="P691" s="36">
        <f>IFERROR(O691/$AD691,0)</f>
        <v>0.23076923076923078</v>
      </c>
      <c r="Q691" s="17">
        <v>175</v>
      </c>
      <c r="R691" s="36">
        <f>IFERROR(Q691/$AC691,0)</f>
        <v>0.21578298397040691</v>
      </c>
      <c r="S691" s="17">
        <v>12</v>
      </c>
      <c r="T691" s="36">
        <f>IFERROR(S691/$AD691,0)</f>
        <v>0.30769230769230771</v>
      </c>
      <c r="U691" s="17">
        <v>63</v>
      </c>
      <c r="V691" s="36">
        <f>IFERROR(U691/$AC691,0)</f>
        <v>7.7681874229346484E-2</v>
      </c>
      <c r="W691" s="17">
        <v>3</v>
      </c>
      <c r="X691" s="36">
        <f>IFERROR(W691/$AD691,0)</f>
        <v>7.6923076923076927E-2</v>
      </c>
      <c r="Y691" s="17">
        <v>19</v>
      </c>
      <c r="Z691" s="36">
        <f>IFERROR(Y691/$AC691,0)</f>
        <v>2.3427866831072751E-2</v>
      </c>
      <c r="AA691" s="17">
        <v>1</v>
      </c>
      <c r="AB691" s="36">
        <f>IFERROR(AA691/$AD691,0)</f>
        <v>2.564102564102564E-2</v>
      </c>
      <c r="AC691" s="17">
        <v>811</v>
      </c>
      <c r="AD691" s="17">
        <v>39</v>
      </c>
    </row>
    <row r="692" spans="1:30" ht="15.75" customHeight="1" x14ac:dyDescent="0.25">
      <c r="A692" s="37">
        <v>2020</v>
      </c>
      <c r="B692" s="35">
        <v>172120</v>
      </c>
      <c r="C692" s="34" t="s">
        <v>145</v>
      </c>
      <c r="D692" s="34" t="s">
        <v>139</v>
      </c>
      <c r="E692" s="17">
        <v>21</v>
      </c>
      <c r="F692" s="36">
        <f>IFERROR(E692/$AC692,0)</f>
        <v>2.0019065776930411E-2</v>
      </c>
      <c r="G692" s="17">
        <v>2</v>
      </c>
      <c r="H692" s="36">
        <f>IFERROR(G692/$AD692,0)</f>
        <v>1.5267175572519083E-2</v>
      </c>
      <c r="I692" s="17">
        <v>353</v>
      </c>
      <c r="J692" s="36">
        <f>IFERROR(I692/$AC692,0)</f>
        <v>0.33651096282173498</v>
      </c>
      <c r="K692" s="17">
        <v>47</v>
      </c>
      <c r="L692" s="36">
        <f>IFERROR(K692/$AD692,0)</f>
        <v>0.35877862595419846</v>
      </c>
      <c r="M692" s="17">
        <v>395</v>
      </c>
      <c r="N692" s="36">
        <f>IFERROR(M692/$AC692,0)</f>
        <v>0.37654909437559581</v>
      </c>
      <c r="O692" s="17">
        <v>47</v>
      </c>
      <c r="P692" s="36">
        <f>IFERROR(O692/$AD692,0)</f>
        <v>0.35877862595419846</v>
      </c>
      <c r="Q692" s="17">
        <v>198</v>
      </c>
      <c r="R692" s="36">
        <f>IFERROR(Q692/$AC692,0)</f>
        <v>0.18875119161105816</v>
      </c>
      <c r="S692" s="17">
        <v>18</v>
      </c>
      <c r="T692" s="36">
        <f>IFERROR(S692/$AD692,0)</f>
        <v>0.13740458015267176</v>
      </c>
      <c r="U692" s="17">
        <v>61</v>
      </c>
      <c r="V692" s="36">
        <f>IFERROR(U692/$AC692,0)</f>
        <v>5.8150619637750235E-2</v>
      </c>
      <c r="W692" s="17">
        <v>15</v>
      </c>
      <c r="X692" s="36">
        <f>IFERROR(W692/$AD692,0)</f>
        <v>0.11450381679389313</v>
      </c>
      <c r="Y692" s="17">
        <v>21</v>
      </c>
      <c r="Z692" s="36">
        <f>IFERROR(Y692/$AC692,0)</f>
        <v>2.0019065776930411E-2</v>
      </c>
      <c r="AA692" s="17">
        <v>2</v>
      </c>
      <c r="AB692" s="36">
        <f>IFERROR(AA692/$AD692,0)</f>
        <v>1.5267175572519083E-2</v>
      </c>
      <c r="AC692" s="16">
        <v>1049</v>
      </c>
      <c r="AD692" s="17">
        <v>131</v>
      </c>
    </row>
    <row r="693" spans="1:30" ht="15.75" customHeight="1" x14ac:dyDescent="0.25">
      <c r="A693" s="37">
        <v>2020</v>
      </c>
      <c r="B693" s="35">
        <v>172125</v>
      </c>
      <c r="C693" s="34" t="s">
        <v>150</v>
      </c>
      <c r="D693" s="34" t="s">
        <v>140</v>
      </c>
      <c r="E693" s="17">
        <v>8</v>
      </c>
      <c r="F693" s="36">
        <f>IFERROR(E693/$AC693,0)</f>
        <v>1.8390804597701149E-2</v>
      </c>
      <c r="G693" s="17">
        <v>1</v>
      </c>
      <c r="H693" s="36">
        <f>IFERROR(G693/$AD693,0)</f>
        <v>2.3255813953488372E-2</v>
      </c>
      <c r="I693" s="17">
        <v>172</v>
      </c>
      <c r="J693" s="36">
        <f>IFERROR(I693/$AC693,0)</f>
        <v>0.39540229885057471</v>
      </c>
      <c r="K693" s="17">
        <v>17</v>
      </c>
      <c r="L693" s="36">
        <f>IFERROR(K693/$AD693,0)</f>
        <v>0.39534883720930231</v>
      </c>
      <c r="M693" s="17">
        <v>148</v>
      </c>
      <c r="N693" s="36">
        <f>IFERROR(M693/$AC693,0)</f>
        <v>0.34022988505747126</v>
      </c>
      <c r="O693" s="17">
        <v>11</v>
      </c>
      <c r="P693" s="36">
        <f>IFERROR(O693/$AD693,0)</f>
        <v>0.2558139534883721</v>
      </c>
      <c r="Q693" s="17">
        <v>72</v>
      </c>
      <c r="R693" s="36">
        <f>IFERROR(Q693/$AC693,0)</f>
        <v>0.16551724137931034</v>
      </c>
      <c r="S693" s="17">
        <v>5</v>
      </c>
      <c r="T693" s="36">
        <f>IFERROR(S693/$AD693,0)</f>
        <v>0.11627906976744186</v>
      </c>
      <c r="U693" s="17">
        <v>24</v>
      </c>
      <c r="V693" s="36">
        <f>IFERROR(U693/$AC693,0)</f>
        <v>5.5172413793103448E-2</v>
      </c>
      <c r="W693" s="17">
        <v>5</v>
      </c>
      <c r="X693" s="36">
        <f>IFERROR(W693/$AD693,0)</f>
        <v>0.11627906976744186</v>
      </c>
      <c r="Y693" s="17">
        <v>11</v>
      </c>
      <c r="Z693" s="36">
        <f>IFERROR(Y693/$AC693,0)</f>
        <v>2.528735632183908E-2</v>
      </c>
      <c r="AA693" s="17">
        <v>4</v>
      </c>
      <c r="AB693" s="36">
        <f>IFERROR(AA693/$AD693,0)</f>
        <v>9.3023255813953487E-2</v>
      </c>
      <c r="AC693" s="17">
        <v>435</v>
      </c>
      <c r="AD693" s="17">
        <v>43</v>
      </c>
    </row>
    <row r="694" spans="1:30" ht="15.75" customHeight="1" x14ac:dyDescent="0.25">
      <c r="A694" s="37">
        <v>2020</v>
      </c>
      <c r="B694" s="35">
        <v>172130</v>
      </c>
      <c r="C694" s="34" t="s">
        <v>150</v>
      </c>
      <c r="D694" s="34" t="s">
        <v>141</v>
      </c>
      <c r="E694" s="17">
        <v>0</v>
      </c>
      <c r="F694" s="36">
        <f>IFERROR(E694/$AC694,0)</f>
        <v>0</v>
      </c>
      <c r="G694" s="17">
        <v>0</v>
      </c>
      <c r="H694" s="36">
        <f>IFERROR(G694/$AD694,0)</f>
        <v>0</v>
      </c>
      <c r="I694" s="17">
        <v>8</v>
      </c>
      <c r="J694" s="36">
        <f>IFERROR(I694/$AC694,0)</f>
        <v>0.2857142857142857</v>
      </c>
      <c r="K694" s="17">
        <v>6</v>
      </c>
      <c r="L694" s="36">
        <f>IFERROR(K694/$AD694,0)</f>
        <v>0.31578947368421051</v>
      </c>
      <c r="M694" s="17">
        <v>6</v>
      </c>
      <c r="N694" s="36">
        <f>IFERROR(M694/$AC694,0)</f>
        <v>0.21428571428571427</v>
      </c>
      <c r="O694" s="17">
        <v>4</v>
      </c>
      <c r="P694" s="36">
        <f>IFERROR(O694/$AD694,0)</f>
        <v>0.21052631578947367</v>
      </c>
      <c r="Q694" s="17">
        <v>5</v>
      </c>
      <c r="R694" s="36">
        <f>IFERROR(Q694/$AC694,0)</f>
        <v>0.17857142857142858</v>
      </c>
      <c r="S694" s="17">
        <v>2</v>
      </c>
      <c r="T694" s="36">
        <f>IFERROR(S694/$AD694,0)</f>
        <v>0.10526315789473684</v>
      </c>
      <c r="U694" s="17">
        <v>5</v>
      </c>
      <c r="V694" s="36">
        <f>IFERROR(U694/$AC694,0)</f>
        <v>0.17857142857142858</v>
      </c>
      <c r="W694" s="17">
        <v>4</v>
      </c>
      <c r="X694" s="36">
        <f>IFERROR(W694/$AD694,0)</f>
        <v>0.21052631578947367</v>
      </c>
      <c r="Y694" s="17">
        <v>4</v>
      </c>
      <c r="Z694" s="36">
        <f>IFERROR(Y694/$AC694,0)</f>
        <v>0.14285714285714285</v>
      </c>
      <c r="AA694" s="17">
        <v>3</v>
      </c>
      <c r="AB694" s="36">
        <f>IFERROR(AA694/$AD694,0)</f>
        <v>0.15789473684210525</v>
      </c>
      <c r="AC694" s="17">
        <v>28</v>
      </c>
      <c r="AD694" s="17">
        <v>19</v>
      </c>
    </row>
    <row r="695" spans="1:30" ht="15.75" customHeight="1" x14ac:dyDescent="0.25">
      <c r="A695" s="37">
        <v>2020</v>
      </c>
      <c r="B695" s="35">
        <v>172208</v>
      </c>
      <c r="C695" s="34" t="s">
        <v>149</v>
      </c>
      <c r="D695" s="34" t="s">
        <v>142</v>
      </c>
      <c r="E695" s="17">
        <v>12</v>
      </c>
      <c r="F695" s="36">
        <f>IFERROR(E695/$AC695,0)</f>
        <v>2.0905923344947737E-2</v>
      </c>
      <c r="G695" s="17">
        <v>3</v>
      </c>
      <c r="H695" s="36">
        <f>IFERROR(G695/$AD695,0)</f>
        <v>1.9230769230769232E-2</v>
      </c>
      <c r="I695" s="17">
        <v>193</v>
      </c>
      <c r="J695" s="36">
        <f>IFERROR(I695/$AC695,0)</f>
        <v>0.33623693379790942</v>
      </c>
      <c r="K695" s="17">
        <v>51</v>
      </c>
      <c r="L695" s="36">
        <f>IFERROR(K695/$AD695,0)</f>
        <v>0.32692307692307693</v>
      </c>
      <c r="M695" s="17">
        <v>208</v>
      </c>
      <c r="N695" s="36">
        <f>IFERROR(M695/$AC695,0)</f>
        <v>0.3623693379790941</v>
      </c>
      <c r="O695" s="17">
        <v>59</v>
      </c>
      <c r="P695" s="36">
        <f>IFERROR(O695/$AD695,0)</f>
        <v>0.37820512820512819</v>
      </c>
      <c r="Q695" s="17">
        <v>113</v>
      </c>
      <c r="R695" s="36">
        <f>IFERROR(Q695/$AC695,0)</f>
        <v>0.19686411149825783</v>
      </c>
      <c r="S695" s="17">
        <v>28</v>
      </c>
      <c r="T695" s="36">
        <f>IFERROR(S695/$AD695,0)</f>
        <v>0.17948717948717949</v>
      </c>
      <c r="U695" s="17">
        <v>28</v>
      </c>
      <c r="V695" s="36">
        <f>IFERROR(U695/$AC695,0)</f>
        <v>4.878048780487805E-2</v>
      </c>
      <c r="W695" s="17">
        <v>8</v>
      </c>
      <c r="X695" s="36">
        <f>IFERROR(W695/$AD695,0)</f>
        <v>5.128205128205128E-2</v>
      </c>
      <c r="Y695" s="17">
        <v>20</v>
      </c>
      <c r="Z695" s="36">
        <f>IFERROR(Y695/$AC695,0)</f>
        <v>3.484320557491289E-2</v>
      </c>
      <c r="AA695" s="17">
        <v>7</v>
      </c>
      <c r="AB695" s="36">
        <f>IFERROR(AA695/$AD695,0)</f>
        <v>4.4871794871794872E-2</v>
      </c>
      <c r="AC695" s="17">
        <v>574</v>
      </c>
      <c r="AD695" s="17">
        <v>156</v>
      </c>
    </row>
    <row r="696" spans="1:30" ht="15.75" customHeight="1" x14ac:dyDescent="0.25">
      <c r="A696" s="37">
        <v>2020</v>
      </c>
      <c r="B696" s="35">
        <v>172210</v>
      </c>
      <c r="C696" s="34" t="s">
        <v>149</v>
      </c>
      <c r="D696" s="34" t="s">
        <v>143</v>
      </c>
      <c r="E696" s="17">
        <v>14</v>
      </c>
      <c r="F696" s="36">
        <f>IFERROR(E696/$AC696,0)</f>
        <v>2.0618556701030927E-2</v>
      </c>
      <c r="G696" s="17">
        <v>12</v>
      </c>
      <c r="H696" s="36">
        <f>IFERROR(G696/$AD696,0)</f>
        <v>2.2263450834879406E-2</v>
      </c>
      <c r="I696" s="17">
        <v>221</v>
      </c>
      <c r="J696" s="36">
        <f>IFERROR(I696/$AC696,0)</f>
        <v>0.32547864506627394</v>
      </c>
      <c r="K696" s="17">
        <v>190</v>
      </c>
      <c r="L696" s="36">
        <f>IFERROR(K696/$AD696,0)</f>
        <v>0.35250463821892392</v>
      </c>
      <c r="M696" s="17">
        <v>230</v>
      </c>
      <c r="N696" s="36">
        <f>IFERROR(M696/$AC696,0)</f>
        <v>0.33873343151693669</v>
      </c>
      <c r="O696" s="17">
        <v>188</v>
      </c>
      <c r="P696" s="36">
        <f>IFERROR(O696/$AD696,0)</f>
        <v>0.34879406307977734</v>
      </c>
      <c r="Q696" s="17">
        <v>140</v>
      </c>
      <c r="R696" s="36">
        <f>IFERROR(Q696/$AC696,0)</f>
        <v>0.20618556701030927</v>
      </c>
      <c r="S696" s="17">
        <v>97</v>
      </c>
      <c r="T696" s="36">
        <f>IFERROR(S696/$AD696,0)</f>
        <v>0.17996289424860853</v>
      </c>
      <c r="U696" s="17">
        <v>41</v>
      </c>
      <c r="V696" s="36">
        <f>IFERROR(U696/$AC696,0)</f>
        <v>6.0382916053019146E-2</v>
      </c>
      <c r="W696" s="17">
        <v>33</v>
      </c>
      <c r="X696" s="36">
        <f>IFERROR(W696/$AD696,0)</f>
        <v>6.1224489795918366E-2</v>
      </c>
      <c r="Y696" s="17">
        <v>33</v>
      </c>
      <c r="Z696" s="36">
        <f>IFERROR(Y696/$AC696,0)</f>
        <v>4.8600883652430045E-2</v>
      </c>
      <c r="AA696" s="17">
        <v>19</v>
      </c>
      <c r="AB696" s="36">
        <f>IFERROR(AA696/$AD696,0)</f>
        <v>3.525046382189239E-2</v>
      </c>
      <c r="AC696" s="17">
        <v>679</v>
      </c>
      <c r="AD696" s="17">
        <v>539</v>
      </c>
    </row>
    <row r="697" spans="1:30" ht="15.75" customHeight="1" x14ac:dyDescent="0.25">
      <c r="A697" s="37">
        <v>2019</v>
      </c>
      <c r="B697" s="35">
        <v>170025</v>
      </c>
      <c r="C697" s="34" t="s">
        <v>144</v>
      </c>
      <c r="D697" s="34" t="s">
        <v>5</v>
      </c>
      <c r="E697" s="17">
        <v>12</v>
      </c>
      <c r="F697" s="36">
        <f>IFERROR(E697/$AC697,0)</f>
        <v>3.4482758620689655E-2</v>
      </c>
      <c r="G697" s="17">
        <v>10</v>
      </c>
      <c r="H697" s="36">
        <f>IFERROR(G697/$AD697,0)</f>
        <v>6.8027210884353748E-2</v>
      </c>
      <c r="I697" s="17">
        <v>120</v>
      </c>
      <c r="J697" s="36">
        <f>IFERROR(I697/$AC697,0)</f>
        <v>0.34482758620689657</v>
      </c>
      <c r="K697" s="17">
        <v>51</v>
      </c>
      <c r="L697" s="36">
        <f>IFERROR(K697/$AD697,0)</f>
        <v>0.34693877551020408</v>
      </c>
      <c r="M697" s="17">
        <v>121</v>
      </c>
      <c r="N697" s="36">
        <f>IFERROR(M697/$AC697,0)</f>
        <v>0.34770114942528735</v>
      </c>
      <c r="O697" s="17">
        <v>49</v>
      </c>
      <c r="P697" s="36">
        <f>IFERROR(O697/$AD697,0)</f>
        <v>0.33333333333333331</v>
      </c>
      <c r="Q697" s="17">
        <v>63</v>
      </c>
      <c r="R697" s="36">
        <f>IFERROR(Q697/$AC697,0)</f>
        <v>0.18103448275862069</v>
      </c>
      <c r="S697" s="17">
        <v>28</v>
      </c>
      <c r="T697" s="36">
        <f>IFERROR(S697/$AD697,0)</f>
        <v>0.19047619047619047</v>
      </c>
      <c r="U697" s="17">
        <v>27</v>
      </c>
      <c r="V697" s="36">
        <f>IFERROR(U697/$AC697,0)</f>
        <v>7.7586206896551727E-2</v>
      </c>
      <c r="W697" s="17">
        <v>6</v>
      </c>
      <c r="X697" s="36">
        <f>IFERROR(W697/$AD697,0)</f>
        <v>4.0816326530612242E-2</v>
      </c>
      <c r="Y697" s="17">
        <v>5</v>
      </c>
      <c r="Z697" s="36">
        <f>IFERROR(Y697/$AC697,0)</f>
        <v>1.4367816091954023E-2</v>
      </c>
      <c r="AA697" s="17">
        <v>3</v>
      </c>
      <c r="AB697" s="36">
        <f>IFERROR(AA697/$AD697,0)</f>
        <v>2.0408163265306121E-2</v>
      </c>
      <c r="AC697" s="17">
        <v>348</v>
      </c>
      <c r="AD697" s="17">
        <v>147</v>
      </c>
    </row>
    <row r="698" spans="1:30" ht="15.75" customHeight="1" x14ac:dyDescent="0.25">
      <c r="A698" s="37">
        <v>2019</v>
      </c>
      <c r="B698" s="35">
        <v>170030</v>
      </c>
      <c r="C698" s="34" t="s">
        <v>145</v>
      </c>
      <c r="D698" s="34" t="s">
        <v>6</v>
      </c>
      <c r="E698" s="17">
        <v>28</v>
      </c>
      <c r="F698" s="36">
        <f>IFERROR(E698/$AC698,0)</f>
        <v>2.634054562558796E-2</v>
      </c>
      <c r="G698" s="17">
        <v>6</v>
      </c>
      <c r="H698" s="36">
        <f>IFERROR(G698/$AD698,0)</f>
        <v>2.0408163265306121E-2</v>
      </c>
      <c r="I698" s="17">
        <v>401</v>
      </c>
      <c r="J698" s="36">
        <f>IFERROR(I698/$AC698,0)</f>
        <v>0.37723424270931327</v>
      </c>
      <c r="K698" s="17">
        <v>128</v>
      </c>
      <c r="L698" s="36">
        <f>IFERROR(K698/$AD698,0)</f>
        <v>0.43537414965986393</v>
      </c>
      <c r="M698" s="17">
        <v>360</v>
      </c>
      <c r="N698" s="36">
        <f>IFERROR(M698/$AC698,0)</f>
        <v>0.33866415804327377</v>
      </c>
      <c r="O698" s="17">
        <v>94</v>
      </c>
      <c r="P698" s="36">
        <f>IFERROR(O698/$AD698,0)</f>
        <v>0.31972789115646261</v>
      </c>
      <c r="Q698" s="17">
        <v>201</v>
      </c>
      <c r="R698" s="36">
        <f>IFERROR(Q698/$AC698,0)</f>
        <v>0.18908748824082786</v>
      </c>
      <c r="S698" s="17">
        <v>47</v>
      </c>
      <c r="T698" s="36">
        <f>IFERROR(S698/$AD698,0)</f>
        <v>0.1598639455782313</v>
      </c>
      <c r="U698" s="17">
        <v>52</v>
      </c>
      <c r="V698" s="36">
        <f>IFERROR(U698/$AC698,0)</f>
        <v>4.8918156161806212E-2</v>
      </c>
      <c r="W698" s="17">
        <v>12</v>
      </c>
      <c r="X698" s="36">
        <f>IFERROR(W698/$AD698,0)</f>
        <v>4.0816326530612242E-2</v>
      </c>
      <c r="Y698" s="17">
        <v>21</v>
      </c>
      <c r="Z698" s="36">
        <f>IFERROR(Y698/$AC698,0)</f>
        <v>1.9755409219190969E-2</v>
      </c>
      <c r="AA698" s="17">
        <v>7</v>
      </c>
      <c r="AB698" s="36">
        <f>IFERROR(AA698/$AD698,0)</f>
        <v>2.3809523809523808E-2</v>
      </c>
      <c r="AC698" s="16">
        <v>1063</v>
      </c>
      <c r="AD698" s="17">
        <v>294</v>
      </c>
    </row>
    <row r="699" spans="1:30" ht="15.75" customHeight="1" x14ac:dyDescent="0.25">
      <c r="A699" s="37">
        <v>2019</v>
      </c>
      <c r="B699" s="35">
        <v>170035</v>
      </c>
      <c r="C699" s="34" t="s">
        <v>146</v>
      </c>
      <c r="D699" s="34" t="s">
        <v>7</v>
      </c>
      <c r="E699" s="17">
        <v>20</v>
      </c>
      <c r="F699" s="36">
        <f>IFERROR(E699/$AC699,0)</f>
        <v>2.306805074971165E-2</v>
      </c>
      <c r="G699" s="17">
        <v>9</v>
      </c>
      <c r="H699" s="36">
        <f>IFERROR(G699/$AD699,0)</f>
        <v>3.0821917808219176E-2</v>
      </c>
      <c r="I699" s="17">
        <v>295</v>
      </c>
      <c r="J699" s="36">
        <f>IFERROR(I699/$AC699,0)</f>
        <v>0.3402537485582468</v>
      </c>
      <c r="K699" s="17">
        <v>105</v>
      </c>
      <c r="L699" s="36">
        <f>IFERROR(K699/$AD699,0)</f>
        <v>0.3595890410958904</v>
      </c>
      <c r="M699" s="17">
        <v>295</v>
      </c>
      <c r="N699" s="36">
        <f>IFERROR(M699/$AC699,0)</f>
        <v>0.3402537485582468</v>
      </c>
      <c r="O699" s="17">
        <v>90</v>
      </c>
      <c r="P699" s="36">
        <f>IFERROR(O699/$AD699,0)</f>
        <v>0.30821917808219179</v>
      </c>
      <c r="Q699" s="17">
        <v>165</v>
      </c>
      <c r="R699" s="36">
        <f>IFERROR(Q699/$AC699,0)</f>
        <v>0.19031141868512111</v>
      </c>
      <c r="S699" s="17">
        <v>55</v>
      </c>
      <c r="T699" s="36">
        <f>IFERROR(S699/$AD699,0)</f>
        <v>0.18835616438356165</v>
      </c>
      <c r="U699" s="17">
        <v>65</v>
      </c>
      <c r="V699" s="36">
        <f>IFERROR(U699/$AC699,0)</f>
        <v>7.4971164936562862E-2</v>
      </c>
      <c r="W699" s="17">
        <v>21</v>
      </c>
      <c r="X699" s="36">
        <f>IFERROR(W699/$AD699,0)</f>
        <v>7.1917808219178078E-2</v>
      </c>
      <c r="Y699" s="17">
        <v>27</v>
      </c>
      <c r="Z699" s="36">
        <f>IFERROR(Y699/$AC699,0)</f>
        <v>3.1141868512110725E-2</v>
      </c>
      <c r="AA699" s="17">
        <v>12</v>
      </c>
      <c r="AB699" s="36">
        <f>IFERROR(AA699/$AD699,0)</f>
        <v>4.1095890410958902E-2</v>
      </c>
      <c r="AC699" s="17">
        <v>867</v>
      </c>
      <c r="AD699" s="17">
        <v>292</v>
      </c>
    </row>
    <row r="700" spans="1:30" ht="15.75" customHeight="1" x14ac:dyDescent="0.25">
      <c r="A700" s="37">
        <v>2019</v>
      </c>
      <c r="B700" s="35">
        <v>170040</v>
      </c>
      <c r="C700" s="34" t="s">
        <v>147</v>
      </c>
      <c r="D700" s="34" t="s">
        <v>8</v>
      </c>
      <c r="E700" s="17">
        <v>27</v>
      </c>
      <c r="F700" s="36">
        <f>IFERROR(E700/$AC700,0)</f>
        <v>3.237410071942446E-2</v>
      </c>
      <c r="G700" s="17">
        <v>15</v>
      </c>
      <c r="H700" s="36">
        <f>IFERROR(G700/$AD700,0)</f>
        <v>3.937007874015748E-2</v>
      </c>
      <c r="I700" s="17">
        <v>322</v>
      </c>
      <c r="J700" s="36">
        <f>IFERROR(I700/$AC700,0)</f>
        <v>0.38609112709832133</v>
      </c>
      <c r="K700" s="17">
        <v>153</v>
      </c>
      <c r="L700" s="36">
        <f>IFERROR(K700/$AD700,0)</f>
        <v>0.40157480314960631</v>
      </c>
      <c r="M700" s="17">
        <v>278</v>
      </c>
      <c r="N700" s="36">
        <f>IFERROR(M700/$AC700,0)</f>
        <v>0.33333333333333331</v>
      </c>
      <c r="O700" s="17">
        <v>118</v>
      </c>
      <c r="P700" s="36">
        <f>IFERROR(O700/$AD700,0)</f>
        <v>0.30971128608923887</v>
      </c>
      <c r="Q700" s="17">
        <v>145</v>
      </c>
      <c r="R700" s="36">
        <f>IFERROR(Q700/$AC700,0)</f>
        <v>0.17386091127098321</v>
      </c>
      <c r="S700" s="17">
        <v>63</v>
      </c>
      <c r="T700" s="36">
        <f>IFERROR(S700/$AD700,0)</f>
        <v>0.16535433070866143</v>
      </c>
      <c r="U700" s="17">
        <v>44</v>
      </c>
      <c r="V700" s="36">
        <f>IFERROR(U700/$AC700,0)</f>
        <v>5.2757793764988008E-2</v>
      </c>
      <c r="W700" s="17">
        <v>18</v>
      </c>
      <c r="X700" s="36">
        <f>IFERROR(W700/$AD700,0)</f>
        <v>4.7244094488188976E-2</v>
      </c>
      <c r="Y700" s="17">
        <v>18</v>
      </c>
      <c r="Z700" s="36">
        <f>IFERROR(Y700/$AC700,0)</f>
        <v>2.1582733812949641E-2</v>
      </c>
      <c r="AA700" s="17">
        <v>14</v>
      </c>
      <c r="AB700" s="36">
        <f>IFERROR(AA700/$AD700,0)</f>
        <v>3.6745406824146981E-2</v>
      </c>
      <c r="AC700" s="17">
        <v>834</v>
      </c>
      <c r="AD700" s="17">
        <v>381</v>
      </c>
    </row>
    <row r="701" spans="1:30" ht="15.75" customHeight="1" x14ac:dyDescent="0.25">
      <c r="A701" s="37">
        <v>2019</v>
      </c>
      <c r="B701" s="35">
        <v>170070</v>
      </c>
      <c r="C701" s="34" t="s">
        <v>146</v>
      </c>
      <c r="D701" s="34" t="s">
        <v>9</v>
      </c>
      <c r="E701" s="17">
        <v>25</v>
      </c>
      <c r="F701" s="36">
        <f>IFERROR(E701/$AC701,0)</f>
        <v>2.7964205816554809E-2</v>
      </c>
      <c r="G701" s="17">
        <v>7</v>
      </c>
      <c r="H701" s="36">
        <f>IFERROR(G701/$AD701,0)</f>
        <v>5.9829059829059832E-2</v>
      </c>
      <c r="I701" s="17">
        <v>283</v>
      </c>
      <c r="J701" s="36">
        <f>IFERROR(I701/$AC701,0)</f>
        <v>0.31655480984340045</v>
      </c>
      <c r="K701" s="17">
        <v>42</v>
      </c>
      <c r="L701" s="36">
        <f>IFERROR(K701/$AD701,0)</f>
        <v>0.35897435897435898</v>
      </c>
      <c r="M701" s="17">
        <v>319</v>
      </c>
      <c r="N701" s="36">
        <f>IFERROR(M701/$AC701,0)</f>
        <v>0.35682326621923938</v>
      </c>
      <c r="O701" s="17">
        <v>31</v>
      </c>
      <c r="P701" s="36">
        <f>IFERROR(O701/$AD701,0)</f>
        <v>0.26495726495726496</v>
      </c>
      <c r="Q701" s="17">
        <v>192</v>
      </c>
      <c r="R701" s="36">
        <f>IFERROR(Q701/$AC701,0)</f>
        <v>0.21476510067114093</v>
      </c>
      <c r="S701" s="17">
        <v>25</v>
      </c>
      <c r="T701" s="36">
        <f>IFERROR(S701/$AD701,0)</f>
        <v>0.21367521367521367</v>
      </c>
      <c r="U701" s="17">
        <v>54</v>
      </c>
      <c r="V701" s="36">
        <f>IFERROR(U701/$AC701,0)</f>
        <v>6.0402684563758392E-2</v>
      </c>
      <c r="W701" s="17">
        <v>8</v>
      </c>
      <c r="X701" s="36">
        <f>IFERROR(W701/$AD701,0)</f>
        <v>6.8376068376068383E-2</v>
      </c>
      <c r="Y701" s="17">
        <v>21</v>
      </c>
      <c r="Z701" s="36">
        <f>IFERROR(Y701/$AC701,0)</f>
        <v>2.3489932885906041E-2</v>
      </c>
      <c r="AA701" s="17">
        <v>4</v>
      </c>
      <c r="AB701" s="36">
        <f>IFERROR(AA701/$AD701,0)</f>
        <v>3.4188034188034191E-2</v>
      </c>
      <c r="AC701" s="17">
        <v>894</v>
      </c>
      <c r="AD701" s="17">
        <v>117</v>
      </c>
    </row>
    <row r="702" spans="1:30" ht="15.75" customHeight="1" x14ac:dyDescent="0.25">
      <c r="A702" s="37">
        <v>2019</v>
      </c>
      <c r="B702" s="35">
        <v>170100</v>
      </c>
      <c r="C702" s="34" t="s">
        <v>145</v>
      </c>
      <c r="D702" s="34" t="s">
        <v>10</v>
      </c>
      <c r="E702" s="17">
        <v>64</v>
      </c>
      <c r="F702" s="36">
        <f>IFERROR(E702/$AC702,0)</f>
        <v>2.9892573563755253E-2</v>
      </c>
      <c r="G702" s="17">
        <v>30</v>
      </c>
      <c r="H702" s="36">
        <f>IFERROR(G702/$AD702,0)</f>
        <v>4.0376850605652756E-2</v>
      </c>
      <c r="I702" s="17">
        <v>759</v>
      </c>
      <c r="J702" s="36">
        <f>IFERROR(I702/$AC702,0)</f>
        <v>0.35450723960765995</v>
      </c>
      <c r="K702" s="17">
        <v>318</v>
      </c>
      <c r="L702" s="36">
        <f>IFERROR(K702/$AD702,0)</f>
        <v>0.42799461641991926</v>
      </c>
      <c r="M702" s="17">
        <v>751</v>
      </c>
      <c r="N702" s="36">
        <f>IFERROR(M702/$AC702,0)</f>
        <v>0.35077066791219058</v>
      </c>
      <c r="O702" s="17">
        <v>229</v>
      </c>
      <c r="P702" s="36">
        <f>IFERROR(O702/$AD702,0)</f>
        <v>0.3082099596231494</v>
      </c>
      <c r="Q702" s="17">
        <v>369</v>
      </c>
      <c r="R702" s="36">
        <f>IFERROR(Q702/$AC702,0)</f>
        <v>0.17234936945352639</v>
      </c>
      <c r="S702" s="17">
        <v>103</v>
      </c>
      <c r="T702" s="36">
        <f>IFERROR(S702/$AD702,0)</f>
        <v>0.1386271870794078</v>
      </c>
      <c r="U702" s="17">
        <v>136</v>
      </c>
      <c r="V702" s="36">
        <f>IFERROR(U702/$AC702,0)</f>
        <v>6.3521718822979911E-2</v>
      </c>
      <c r="W702" s="17">
        <v>40</v>
      </c>
      <c r="X702" s="36">
        <f>IFERROR(W702/$AD702,0)</f>
        <v>5.3835800807537013E-2</v>
      </c>
      <c r="Y702" s="17">
        <v>62</v>
      </c>
      <c r="Z702" s="36">
        <f>IFERROR(Y702/$AC702,0)</f>
        <v>2.8958430639887903E-2</v>
      </c>
      <c r="AA702" s="17">
        <v>23</v>
      </c>
      <c r="AB702" s="36">
        <f>IFERROR(AA702/$AD702,0)</f>
        <v>3.095558546433378E-2</v>
      </c>
      <c r="AC702" s="16">
        <v>2141</v>
      </c>
      <c r="AD702" s="17">
        <v>743</v>
      </c>
    </row>
    <row r="703" spans="1:30" ht="15.75" customHeight="1" x14ac:dyDescent="0.25">
      <c r="A703" s="37">
        <v>2019</v>
      </c>
      <c r="B703" s="35">
        <v>170105</v>
      </c>
      <c r="C703" s="34" t="s">
        <v>145</v>
      </c>
      <c r="D703" s="34" t="s">
        <v>11</v>
      </c>
      <c r="E703" s="17">
        <v>8</v>
      </c>
      <c r="F703" s="36">
        <f>IFERROR(E703/$AC703,0)</f>
        <v>1.7777777777777778E-2</v>
      </c>
      <c r="G703" s="17">
        <v>3</v>
      </c>
      <c r="H703" s="36">
        <f>IFERROR(G703/$AD703,0)</f>
        <v>1.8404907975460124E-2</v>
      </c>
      <c r="I703" s="17">
        <v>184</v>
      </c>
      <c r="J703" s="36">
        <f>IFERROR(I703/$AC703,0)</f>
        <v>0.40888888888888891</v>
      </c>
      <c r="K703" s="17">
        <v>78</v>
      </c>
      <c r="L703" s="36">
        <f>IFERROR(K703/$AD703,0)</f>
        <v>0.4785276073619632</v>
      </c>
      <c r="M703" s="17">
        <v>162</v>
      </c>
      <c r="N703" s="36">
        <f>IFERROR(M703/$AC703,0)</f>
        <v>0.36</v>
      </c>
      <c r="O703" s="17">
        <v>50</v>
      </c>
      <c r="P703" s="36">
        <f>IFERROR(O703/$AD703,0)</f>
        <v>0.30674846625766872</v>
      </c>
      <c r="Q703" s="17">
        <v>66</v>
      </c>
      <c r="R703" s="36">
        <f>IFERROR(Q703/$AC703,0)</f>
        <v>0.14666666666666667</v>
      </c>
      <c r="S703" s="17">
        <v>24</v>
      </c>
      <c r="T703" s="36">
        <f>IFERROR(S703/$AD703,0)</f>
        <v>0.14723926380368099</v>
      </c>
      <c r="U703" s="17">
        <v>22</v>
      </c>
      <c r="V703" s="36">
        <f>IFERROR(U703/$AC703,0)</f>
        <v>4.8888888888888891E-2</v>
      </c>
      <c r="W703" s="17">
        <v>6</v>
      </c>
      <c r="X703" s="36">
        <f>IFERROR(W703/$AD703,0)</f>
        <v>3.6809815950920248E-2</v>
      </c>
      <c r="Y703" s="17">
        <v>8</v>
      </c>
      <c r="Z703" s="36">
        <f>IFERROR(Y703/$AC703,0)</f>
        <v>1.7777777777777778E-2</v>
      </c>
      <c r="AA703" s="17">
        <v>2</v>
      </c>
      <c r="AB703" s="36">
        <f>IFERROR(AA703/$AD703,0)</f>
        <v>1.2269938650306749E-2</v>
      </c>
      <c r="AC703" s="17">
        <v>450</v>
      </c>
      <c r="AD703" s="17">
        <v>163</v>
      </c>
    </row>
    <row r="704" spans="1:30" ht="15.75" customHeight="1" x14ac:dyDescent="0.25">
      <c r="A704" s="37">
        <v>2019</v>
      </c>
      <c r="B704" s="35">
        <v>170110</v>
      </c>
      <c r="C704" s="34" t="s">
        <v>148</v>
      </c>
      <c r="D704" s="34" t="s">
        <v>12</v>
      </c>
      <c r="E704" s="17">
        <v>32</v>
      </c>
      <c r="F704" s="36">
        <f>IFERROR(E704/$AC704,0)</f>
        <v>2.030456852791878E-2</v>
      </c>
      <c r="G704" s="17">
        <v>2</v>
      </c>
      <c r="H704" s="36">
        <f>IFERROR(G704/$AD704,0)</f>
        <v>7.0921985815602835E-3</v>
      </c>
      <c r="I704" s="17">
        <v>631</v>
      </c>
      <c r="J704" s="36">
        <f>IFERROR(I704/$AC704,0)</f>
        <v>0.4003807106598985</v>
      </c>
      <c r="K704" s="17">
        <v>101</v>
      </c>
      <c r="L704" s="36">
        <f>IFERROR(K704/$AD704,0)</f>
        <v>0.35815602836879434</v>
      </c>
      <c r="M704" s="17">
        <v>539</v>
      </c>
      <c r="N704" s="36">
        <f>IFERROR(M704/$AC704,0)</f>
        <v>0.34200507614213199</v>
      </c>
      <c r="O704" s="17">
        <v>101</v>
      </c>
      <c r="P704" s="36">
        <f>IFERROR(O704/$AD704,0)</f>
        <v>0.35815602836879434</v>
      </c>
      <c r="Q704" s="17">
        <v>247</v>
      </c>
      <c r="R704" s="36">
        <f>IFERROR(Q704/$AC704,0)</f>
        <v>0.15672588832487311</v>
      </c>
      <c r="S704" s="17">
        <v>51</v>
      </c>
      <c r="T704" s="36">
        <f>IFERROR(S704/$AD704,0)</f>
        <v>0.18085106382978725</v>
      </c>
      <c r="U704" s="17">
        <v>88</v>
      </c>
      <c r="V704" s="36">
        <f>IFERROR(U704/$AC704,0)</f>
        <v>5.5837563451776651E-2</v>
      </c>
      <c r="W704" s="17">
        <v>18</v>
      </c>
      <c r="X704" s="36">
        <f>IFERROR(W704/$AD704,0)</f>
        <v>6.3829787234042548E-2</v>
      </c>
      <c r="Y704" s="17">
        <v>39</v>
      </c>
      <c r="Z704" s="36">
        <f>IFERROR(Y704/$AC704,0)</f>
        <v>2.4746192893401017E-2</v>
      </c>
      <c r="AA704" s="17">
        <v>9</v>
      </c>
      <c r="AB704" s="36">
        <f>IFERROR(AA704/$AD704,0)</f>
        <v>3.1914893617021274E-2</v>
      </c>
      <c r="AC704" s="16">
        <v>1576</v>
      </c>
      <c r="AD704" s="17">
        <v>282</v>
      </c>
    </row>
    <row r="705" spans="1:30" ht="15.75" customHeight="1" x14ac:dyDescent="0.25">
      <c r="A705" s="37">
        <v>2019</v>
      </c>
      <c r="B705" s="35">
        <v>170130</v>
      </c>
      <c r="C705" s="34" t="s">
        <v>149</v>
      </c>
      <c r="D705" s="34" t="s">
        <v>13</v>
      </c>
      <c r="E705" s="17">
        <v>36</v>
      </c>
      <c r="F705" s="36">
        <f>IFERROR(E705/$AC705,0)</f>
        <v>3.163444639718805E-2</v>
      </c>
      <c r="G705" s="17">
        <v>14</v>
      </c>
      <c r="H705" s="36">
        <f>IFERROR(G705/$AD705,0)</f>
        <v>4.6666666666666669E-2</v>
      </c>
      <c r="I705" s="17">
        <v>400</v>
      </c>
      <c r="J705" s="36">
        <f>IFERROR(I705/$AC705,0)</f>
        <v>0.35149384885764501</v>
      </c>
      <c r="K705" s="17">
        <v>119</v>
      </c>
      <c r="L705" s="36">
        <f>IFERROR(K705/$AD705,0)</f>
        <v>0.39666666666666667</v>
      </c>
      <c r="M705" s="17">
        <v>411</v>
      </c>
      <c r="N705" s="36">
        <f>IFERROR(M705/$AC705,0)</f>
        <v>0.36115992970123023</v>
      </c>
      <c r="O705" s="17">
        <v>103</v>
      </c>
      <c r="P705" s="36">
        <f>IFERROR(O705/$AD705,0)</f>
        <v>0.34333333333333332</v>
      </c>
      <c r="Q705" s="17">
        <v>196</v>
      </c>
      <c r="R705" s="36">
        <f>IFERROR(Q705/$AC705,0)</f>
        <v>0.17223198594024605</v>
      </c>
      <c r="S705" s="17">
        <v>42</v>
      </c>
      <c r="T705" s="36">
        <f>IFERROR(S705/$AD705,0)</f>
        <v>0.14000000000000001</v>
      </c>
      <c r="U705" s="17">
        <v>64</v>
      </c>
      <c r="V705" s="36">
        <f>IFERROR(U705/$AC705,0)</f>
        <v>5.6239015817223195E-2</v>
      </c>
      <c r="W705" s="17">
        <v>14</v>
      </c>
      <c r="X705" s="36">
        <f>IFERROR(W705/$AD705,0)</f>
        <v>4.6666666666666669E-2</v>
      </c>
      <c r="Y705" s="17">
        <v>31</v>
      </c>
      <c r="Z705" s="36">
        <f>IFERROR(Y705/$AC705,0)</f>
        <v>2.7240773286467488E-2</v>
      </c>
      <c r="AA705" s="17">
        <v>8</v>
      </c>
      <c r="AB705" s="36">
        <f>IFERROR(AA705/$AD705,0)</f>
        <v>2.6666666666666668E-2</v>
      </c>
      <c r="AC705" s="16">
        <v>1138</v>
      </c>
      <c r="AD705" s="17">
        <v>300</v>
      </c>
    </row>
    <row r="706" spans="1:30" ht="15.75" customHeight="1" x14ac:dyDescent="0.25">
      <c r="A706" s="37">
        <v>2019</v>
      </c>
      <c r="B706" s="35">
        <v>170190</v>
      </c>
      <c r="C706" s="34" t="s">
        <v>144</v>
      </c>
      <c r="D706" s="34" t="s">
        <v>14</v>
      </c>
      <c r="E706" s="17">
        <v>31</v>
      </c>
      <c r="F706" s="36">
        <f>IFERROR(E706/$AC706,0)</f>
        <v>2.743362831858407E-2</v>
      </c>
      <c r="G706" s="17">
        <v>13</v>
      </c>
      <c r="H706" s="36">
        <f>IFERROR(G706/$AD706,0)</f>
        <v>3.9156626506024098E-2</v>
      </c>
      <c r="I706" s="17">
        <v>357</v>
      </c>
      <c r="J706" s="36">
        <f>IFERROR(I706/$AC706,0)</f>
        <v>0.31592920353982301</v>
      </c>
      <c r="K706" s="17">
        <v>116</v>
      </c>
      <c r="L706" s="36">
        <f>IFERROR(K706/$AD706,0)</f>
        <v>0.3493975903614458</v>
      </c>
      <c r="M706" s="17">
        <v>400</v>
      </c>
      <c r="N706" s="36">
        <f>IFERROR(M706/$AC706,0)</f>
        <v>0.35398230088495575</v>
      </c>
      <c r="O706" s="17">
        <v>98</v>
      </c>
      <c r="P706" s="36">
        <f>IFERROR(O706/$AD706,0)</f>
        <v>0.29518072289156627</v>
      </c>
      <c r="Q706" s="17">
        <v>224</v>
      </c>
      <c r="R706" s="36">
        <f>IFERROR(Q706/$AC706,0)</f>
        <v>0.19823008849557522</v>
      </c>
      <c r="S706" s="17">
        <v>64</v>
      </c>
      <c r="T706" s="36">
        <f>IFERROR(S706/$AD706,0)</f>
        <v>0.19277108433734941</v>
      </c>
      <c r="U706" s="17">
        <v>73</v>
      </c>
      <c r="V706" s="36">
        <f>IFERROR(U706/$AC706,0)</f>
        <v>6.4601769911504431E-2</v>
      </c>
      <c r="W706" s="17">
        <v>22</v>
      </c>
      <c r="X706" s="36">
        <f>IFERROR(W706/$AD706,0)</f>
        <v>6.6265060240963861E-2</v>
      </c>
      <c r="Y706" s="17">
        <v>45</v>
      </c>
      <c r="Z706" s="36">
        <f>IFERROR(Y706/$AC706,0)</f>
        <v>3.9823008849557522E-2</v>
      </c>
      <c r="AA706" s="17">
        <v>19</v>
      </c>
      <c r="AB706" s="36">
        <f>IFERROR(AA706/$AD706,0)</f>
        <v>5.7228915662650599E-2</v>
      </c>
      <c r="AC706" s="16">
        <v>1130</v>
      </c>
      <c r="AD706" s="17">
        <v>332</v>
      </c>
    </row>
    <row r="707" spans="1:30" ht="15.75" customHeight="1" x14ac:dyDescent="0.25">
      <c r="A707" s="37">
        <v>2019</v>
      </c>
      <c r="B707" s="35">
        <v>170200</v>
      </c>
      <c r="C707" s="34" t="s">
        <v>146</v>
      </c>
      <c r="D707" s="34" t="s">
        <v>15</v>
      </c>
      <c r="E707" s="17">
        <v>30</v>
      </c>
      <c r="F707" s="36">
        <f>IFERROR(E707/$AC707,0)</f>
        <v>2.1201413427561839E-2</v>
      </c>
      <c r="G707" s="17">
        <v>12</v>
      </c>
      <c r="H707" s="36">
        <f>IFERROR(G707/$AD707,0)</f>
        <v>5.3097345132743362E-2</v>
      </c>
      <c r="I707" s="17">
        <v>517</v>
      </c>
      <c r="J707" s="36">
        <f>IFERROR(I707/$AC707,0)</f>
        <v>0.36537102473498234</v>
      </c>
      <c r="K707" s="17">
        <v>82</v>
      </c>
      <c r="L707" s="36">
        <f>IFERROR(K707/$AD707,0)</f>
        <v>0.36283185840707965</v>
      </c>
      <c r="M707" s="17">
        <v>446</v>
      </c>
      <c r="N707" s="36">
        <f>IFERROR(M707/$AC707,0)</f>
        <v>0.31519434628975262</v>
      </c>
      <c r="O707" s="17">
        <v>66</v>
      </c>
      <c r="P707" s="36">
        <f>IFERROR(O707/$AD707,0)</f>
        <v>0.29203539823008851</v>
      </c>
      <c r="Q707" s="17">
        <v>273</v>
      </c>
      <c r="R707" s="36">
        <f>IFERROR(Q707/$AC707,0)</f>
        <v>0.19293286219081271</v>
      </c>
      <c r="S707" s="17">
        <v>43</v>
      </c>
      <c r="T707" s="36">
        <f>IFERROR(S707/$AD707,0)</f>
        <v>0.19026548672566371</v>
      </c>
      <c r="U707" s="17">
        <v>96</v>
      </c>
      <c r="V707" s="36">
        <f>IFERROR(U707/$AC707,0)</f>
        <v>6.7844522968197873E-2</v>
      </c>
      <c r="W707" s="17">
        <v>13</v>
      </c>
      <c r="X707" s="36">
        <f>IFERROR(W707/$AD707,0)</f>
        <v>5.7522123893805309E-2</v>
      </c>
      <c r="Y707" s="17">
        <v>53</v>
      </c>
      <c r="Z707" s="36">
        <f>IFERROR(Y707/$AC707,0)</f>
        <v>3.7455830388692581E-2</v>
      </c>
      <c r="AA707" s="17">
        <v>10</v>
      </c>
      <c r="AB707" s="36">
        <f>IFERROR(AA707/$AD707,0)</f>
        <v>4.4247787610619468E-2</v>
      </c>
      <c r="AC707" s="16">
        <v>1415</v>
      </c>
      <c r="AD707" s="17">
        <v>226</v>
      </c>
    </row>
    <row r="708" spans="1:30" ht="15.75" customHeight="1" x14ac:dyDescent="0.25">
      <c r="A708" s="37">
        <v>2019</v>
      </c>
      <c r="B708" s="35">
        <v>170210</v>
      </c>
      <c r="C708" s="34" t="s">
        <v>149</v>
      </c>
      <c r="D708" s="34" t="s">
        <v>16</v>
      </c>
      <c r="E708" s="17">
        <v>366</v>
      </c>
      <c r="F708" s="36">
        <f>IFERROR(E708/$AC708,0)</f>
        <v>2.7041004802364241E-2</v>
      </c>
      <c r="G708" s="17">
        <v>93</v>
      </c>
      <c r="H708" s="36">
        <f>IFERROR(G708/$AD708,0)</f>
        <v>2.0108108108108109E-2</v>
      </c>
      <c r="I708" s="16">
        <v>4608</v>
      </c>
      <c r="J708" s="36">
        <f>IFERROR(I708/$AC708,0)</f>
        <v>0.34045068341337276</v>
      </c>
      <c r="K708" s="16">
        <v>1565</v>
      </c>
      <c r="L708" s="36">
        <f>IFERROR(K708/$AD708,0)</f>
        <v>0.33837837837837836</v>
      </c>
      <c r="M708" s="16">
        <v>5154</v>
      </c>
      <c r="N708" s="36">
        <f>IFERROR(M708/$AC708,0)</f>
        <v>0.38079054303657184</v>
      </c>
      <c r="O708" s="16">
        <v>2033</v>
      </c>
      <c r="P708" s="36">
        <f>IFERROR(O708/$AD708,0)</f>
        <v>0.43956756756756754</v>
      </c>
      <c r="Q708" s="16">
        <v>2400</v>
      </c>
      <c r="R708" s="36">
        <f>IFERROR(Q708/$AC708,0)</f>
        <v>0.17731806427779831</v>
      </c>
      <c r="S708" s="17">
        <v>754</v>
      </c>
      <c r="T708" s="36">
        <f>IFERROR(S708/$AD708,0)</f>
        <v>0.16302702702702704</v>
      </c>
      <c r="U708" s="17">
        <v>711</v>
      </c>
      <c r="V708" s="36">
        <f>IFERROR(U708/$AC708,0)</f>
        <v>5.2530476542297748E-2</v>
      </c>
      <c r="W708" s="17">
        <v>114</v>
      </c>
      <c r="X708" s="36">
        <f>IFERROR(W708/$AD708,0)</f>
        <v>2.4648648648648647E-2</v>
      </c>
      <c r="Y708" s="17">
        <v>296</v>
      </c>
      <c r="Z708" s="36">
        <f>IFERROR(Y708/$AC708,0)</f>
        <v>2.1869227927595124E-2</v>
      </c>
      <c r="AA708" s="17">
        <v>66</v>
      </c>
      <c r="AB708" s="36">
        <f>IFERROR(AA708/$AD708,0)</f>
        <v>1.427027027027027E-2</v>
      </c>
      <c r="AC708" s="16">
        <v>13535</v>
      </c>
      <c r="AD708" s="16">
        <v>4625</v>
      </c>
    </row>
    <row r="709" spans="1:30" ht="15.75" customHeight="1" x14ac:dyDescent="0.25">
      <c r="A709" s="37">
        <v>2019</v>
      </c>
      <c r="B709" s="35">
        <v>170215</v>
      </c>
      <c r="C709" s="34" t="s">
        <v>149</v>
      </c>
      <c r="D709" s="34" t="s">
        <v>17</v>
      </c>
      <c r="E709" s="17">
        <v>46</v>
      </c>
      <c r="F709" s="36">
        <f>IFERROR(E709/$AC709,0)</f>
        <v>3.8525963149078725E-2</v>
      </c>
      <c r="G709" s="17">
        <v>17</v>
      </c>
      <c r="H709" s="36">
        <f>IFERROR(G709/$AD709,0)</f>
        <v>5.5921052631578948E-2</v>
      </c>
      <c r="I709" s="17">
        <v>420</v>
      </c>
      <c r="J709" s="36">
        <f>IFERROR(I709/$AC709,0)</f>
        <v>0.35175879396984927</v>
      </c>
      <c r="K709" s="17">
        <v>112</v>
      </c>
      <c r="L709" s="36">
        <f>IFERROR(K709/$AD709,0)</f>
        <v>0.36842105263157893</v>
      </c>
      <c r="M709" s="17">
        <v>407</v>
      </c>
      <c r="N709" s="36">
        <f>IFERROR(M709/$AC709,0)</f>
        <v>0.3408710217755444</v>
      </c>
      <c r="O709" s="17">
        <v>90</v>
      </c>
      <c r="P709" s="36">
        <f>IFERROR(O709/$AD709,0)</f>
        <v>0.29605263157894735</v>
      </c>
      <c r="Q709" s="17">
        <v>216</v>
      </c>
      <c r="R709" s="36">
        <f>IFERROR(Q709/$AC709,0)</f>
        <v>0.18090452261306533</v>
      </c>
      <c r="S709" s="17">
        <v>54</v>
      </c>
      <c r="T709" s="36">
        <f>IFERROR(S709/$AD709,0)</f>
        <v>0.17763157894736842</v>
      </c>
      <c r="U709" s="17">
        <v>76</v>
      </c>
      <c r="V709" s="36">
        <f>IFERROR(U709/$AC709,0)</f>
        <v>6.3651591289782247E-2</v>
      </c>
      <c r="W709" s="17">
        <v>23</v>
      </c>
      <c r="X709" s="36">
        <f>IFERROR(W709/$AD709,0)</f>
        <v>7.5657894736842105E-2</v>
      </c>
      <c r="Y709" s="17">
        <v>29</v>
      </c>
      <c r="Z709" s="36">
        <f>IFERROR(Y709/$AC709,0)</f>
        <v>2.4288107202680067E-2</v>
      </c>
      <c r="AA709" s="17">
        <v>8</v>
      </c>
      <c r="AB709" s="36">
        <f>IFERROR(AA709/$AD709,0)</f>
        <v>2.6315789473684209E-2</v>
      </c>
      <c r="AC709" s="16">
        <v>1194</v>
      </c>
      <c r="AD709" s="17">
        <v>304</v>
      </c>
    </row>
    <row r="710" spans="1:30" ht="15.75" customHeight="1" x14ac:dyDescent="0.25">
      <c r="A710" s="37">
        <v>2019</v>
      </c>
      <c r="B710" s="35">
        <v>170220</v>
      </c>
      <c r="C710" s="34" t="s">
        <v>145</v>
      </c>
      <c r="D710" s="34" t="s">
        <v>18</v>
      </c>
      <c r="E710" s="17">
        <v>178</v>
      </c>
      <c r="F710" s="36">
        <f>IFERROR(E710/$AC710,0)</f>
        <v>3.7293107060548919E-2</v>
      </c>
      <c r="G710" s="17">
        <v>80</v>
      </c>
      <c r="H710" s="36">
        <f>IFERROR(G710/$AD710,0)</f>
        <v>4.5454545454545456E-2</v>
      </c>
      <c r="I710" s="16">
        <v>2021</v>
      </c>
      <c r="J710" s="36">
        <f>IFERROR(I710/$AC710,0)</f>
        <v>0.42342342342342343</v>
      </c>
      <c r="K710" s="17">
        <v>761</v>
      </c>
      <c r="L710" s="36">
        <f>IFERROR(K710/$AD710,0)</f>
        <v>0.43238636363636362</v>
      </c>
      <c r="M710" s="16">
        <v>1638</v>
      </c>
      <c r="N710" s="36">
        <f>IFERROR(M710/$AC710,0)</f>
        <v>0.34318038969201758</v>
      </c>
      <c r="O710" s="17">
        <v>570</v>
      </c>
      <c r="P710" s="36">
        <f>IFERROR(O710/$AD710,0)</f>
        <v>0.32386363636363635</v>
      </c>
      <c r="Q710" s="17">
        <v>653</v>
      </c>
      <c r="R710" s="36">
        <f>IFERROR(Q710/$AC710,0)</f>
        <v>0.13681122983448565</v>
      </c>
      <c r="S710" s="17">
        <v>236</v>
      </c>
      <c r="T710" s="36">
        <f>IFERROR(S710/$AD710,0)</f>
        <v>0.13409090909090909</v>
      </c>
      <c r="U710" s="17">
        <v>218</v>
      </c>
      <c r="V710" s="36">
        <f>IFERROR(U710/$AC710,0)</f>
        <v>4.5673580557301488E-2</v>
      </c>
      <c r="W710" s="17">
        <v>82</v>
      </c>
      <c r="X710" s="36">
        <f>IFERROR(W710/$AD710,0)</f>
        <v>4.6590909090909093E-2</v>
      </c>
      <c r="Y710" s="17">
        <v>65</v>
      </c>
      <c r="Z710" s="36">
        <f>IFERROR(Y710/$AC710,0)</f>
        <v>1.3618269432222921E-2</v>
      </c>
      <c r="AA710" s="17">
        <v>31</v>
      </c>
      <c r="AB710" s="36">
        <f>IFERROR(AA710/$AD710,0)</f>
        <v>1.7613636363636363E-2</v>
      </c>
      <c r="AC710" s="16">
        <v>4773</v>
      </c>
      <c r="AD710" s="16">
        <v>1760</v>
      </c>
    </row>
    <row r="711" spans="1:30" ht="15.75" customHeight="1" x14ac:dyDescent="0.25">
      <c r="A711" s="37">
        <v>2019</v>
      </c>
      <c r="B711" s="35">
        <v>170230</v>
      </c>
      <c r="C711" s="34" t="s">
        <v>150</v>
      </c>
      <c r="D711" s="34" t="s">
        <v>19</v>
      </c>
      <c r="E711" s="17">
        <v>17</v>
      </c>
      <c r="F711" s="36">
        <f>IFERROR(E711/$AC711,0)</f>
        <v>2.3943661971830985E-2</v>
      </c>
      <c r="G711" s="17">
        <v>4</v>
      </c>
      <c r="H711" s="36">
        <f>IFERROR(G711/$AD711,0)</f>
        <v>1.9230769230769232E-2</v>
      </c>
      <c r="I711" s="17">
        <v>247</v>
      </c>
      <c r="J711" s="36">
        <f>IFERROR(I711/$AC711,0)</f>
        <v>0.34788732394366195</v>
      </c>
      <c r="K711" s="17">
        <v>78</v>
      </c>
      <c r="L711" s="36">
        <f>IFERROR(K711/$AD711,0)</f>
        <v>0.375</v>
      </c>
      <c r="M711" s="17">
        <v>249</v>
      </c>
      <c r="N711" s="36">
        <f>IFERROR(M711/$AC711,0)</f>
        <v>0.35070422535211265</v>
      </c>
      <c r="O711" s="17">
        <v>72</v>
      </c>
      <c r="P711" s="36">
        <f>IFERROR(O711/$AD711,0)</f>
        <v>0.34615384615384615</v>
      </c>
      <c r="Q711" s="17">
        <v>111</v>
      </c>
      <c r="R711" s="36">
        <f>IFERROR(Q711/$AC711,0)</f>
        <v>0.1563380281690141</v>
      </c>
      <c r="S711" s="17">
        <v>27</v>
      </c>
      <c r="T711" s="36">
        <f>IFERROR(S711/$AD711,0)</f>
        <v>0.12980769230769232</v>
      </c>
      <c r="U711" s="17">
        <v>64</v>
      </c>
      <c r="V711" s="36">
        <f>IFERROR(U711/$AC711,0)</f>
        <v>9.014084507042254E-2</v>
      </c>
      <c r="W711" s="17">
        <v>20</v>
      </c>
      <c r="X711" s="36">
        <f>IFERROR(W711/$AD711,0)</f>
        <v>9.6153846153846159E-2</v>
      </c>
      <c r="Y711" s="17">
        <v>22</v>
      </c>
      <c r="Z711" s="36">
        <f>IFERROR(Y711/$AC711,0)</f>
        <v>3.0985915492957747E-2</v>
      </c>
      <c r="AA711" s="17">
        <v>7</v>
      </c>
      <c r="AB711" s="36">
        <f>IFERROR(AA711/$AD711,0)</f>
        <v>3.3653846153846152E-2</v>
      </c>
      <c r="AC711" s="17">
        <v>710</v>
      </c>
      <c r="AD711" s="17">
        <v>208</v>
      </c>
    </row>
    <row r="712" spans="1:30" ht="15.75" customHeight="1" x14ac:dyDescent="0.25">
      <c r="A712" s="37">
        <v>2019</v>
      </c>
      <c r="B712" s="35">
        <v>170240</v>
      </c>
      <c r="C712" s="34" t="s">
        <v>147</v>
      </c>
      <c r="D712" s="34" t="s">
        <v>20</v>
      </c>
      <c r="E712" s="17">
        <v>53</v>
      </c>
      <c r="F712" s="36">
        <f>IFERROR(E712/$AC712,0)</f>
        <v>3.5883547731888961E-2</v>
      </c>
      <c r="G712" s="17">
        <v>38</v>
      </c>
      <c r="H712" s="36">
        <f>IFERROR(G712/$AD712,0)</f>
        <v>4.4186046511627906E-2</v>
      </c>
      <c r="I712" s="17">
        <v>562</v>
      </c>
      <c r="J712" s="36">
        <f>IFERROR(I712/$AC712,0)</f>
        <v>0.38050101557210564</v>
      </c>
      <c r="K712" s="17">
        <v>345</v>
      </c>
      <c r="L712" s="36">
        <f>IFERROR(K712/$AD712,0)</f>
        <v>0.40116279069767441</v>
      </c>
      <c r="M712" s="17">
        <v>528</v>
      </c>
      <c r="N712" s="36">
        <f>IFERROR(M712/$AC712,0)</f>
        <v>0.35748138117806366</v>
      </c>
      <c r="O712" s="17">
        <v>307</v>
      </c>
      <c r="P712" s="36">
        <f>IFERROR(O712/$AD712,0)</f>
        <v>0.35697674418604652</v>
      </c>
      <c r="Q712" s="17">
        <v>256</v>
      </c>
      <c r="R712" s="36">
        <f>IFERROR(Q712/$AC712,0)</f>
        <v>0.17332430602572782</v>
      </c>
      <c r="S712" s="17">
        <v>127</v>
      </c>
      <c r="T712" s="36">
        <f>IFERROR(S712/$AD712,0)</f>
        <v>0.14767441860465116</v>
      </c>
      <c r="U712" s="17">
        <v>53</v>
      </c>
      <c r="V712" s="36">
        <f>IFERROR(U712/$AC712,0)</f>
        <v>3.5883547731888961E-2</v>
      </c>
      <c r="W712" s="17">
        <v>30</v>
      </c>
      <c r="X712" s="36">
        <f>IFERROR(W712/$AD712,0)</f>
        <v>3.4883720930232558E-2</v>
      </c>
      <c r="Y712" s="17">
        <v>25</v>
      </c>
      <c r="Z712" s="36">
        <f>IFERROR(Y712/$AC712,0)</f>
        <v>1.6926201760324982E-2</v>
      </c>
      <c r="AA712" s="17">
        <v>13</v>
      </c>
      <c r="AB712" s="36">
        <f>IFERROR(AA712/$AD712,0)</f>
        <v>1.5116279069767442E-2</v>
      </c>
      <c r="AC712" s="16">
        <v>1477</v>
      </c>
      <c r="AD712" s="17">
        <v>860</v>
      </c>
    </row>
    <row r="713" spans="1:30" ht="15.75" customHeight="1" x14ac:dyDescent="0.25">
      <c r="A713" s="37">
        <v>2019</v>
      </c>
      <c r="B713" s="35">
        <v>170255</v>
      </c>
      <c r="C713" s="34" t="s">
        <v>145</v>
      </c>
      <c r="D713" s="34" t="s">
        <v>21</v>
      </c>
      <c r="E713" s="17">
        <v>95</v>
      </c>
      <c r="F713" s="36">
        <f>IFERROR(E713/$AC713,0)</f>
        <v>3.2657270539704367E-2</v>
      </c>
      <c r="G713" s="17">
        <v>38</v>
      </c>
      <c r="H713" s="36">
        <f>IFERROR(G713/$AD713,0)</f>
        <v>5.6971514242878558E-2</v>
      </c>
      <c r="I713" s="16">
        <v>1103</v>
      </c>
      <c r="J713" s="36">
        <f>IFERROR(I713/$AC713,0)</f>
        <v>0.37916809900309384</v>
      </c>
      <c r="K713" s="17">
        <v>264</v>
      </c>
      <c r="L713" s="36">
        <f>IFERROR(K713/$AD713,0)</f>
        <v>0.39580209895052476</v>
      </c>
      <c r="M713" s="16">
        <v>1027</v>
      </c>
      <c r="N713" s="36">
        <f>IFERROR(M713/$AC713,0)</f>
        <v>0.35304228257133036</v>
      </c>
      <c r="O713" s="17">
        <v>208</v>
      </c>
      <c r="P713" s="36">
        <f>IFERROR(O713/$AD713,0)</f>
        <v>0.31184407796101948</v>
      </c>
      <c r="Q713" s="17">
        <v>460</v>
      </c>
      <c r="R713" s="36">
        <f>IFERROR(Q713/$AC713,0)</f>
        <v>0.15812994156067378</v>
      </c>
      <c r="S713" s="17">
        <v>97</v>
      </c>
      <c r="T713" s="36">
        <f>IFERROR(S713/$AD713,0)</f>
        <v>0.14542728635682159</v>
      </c>
      <c r="U713" s="17">
        <v>162</v>
      </c>
      <c r="V713" s="36">
        <f>IFERROR(U713/$AC713,0)</f>
        <v>5.5689240288759025E-2</v>
      </c>
      <c r="W713" s="17">
        <v>43</v>
      </c>
      <c r="X713" s="36">
        <f>IFERROR(W713/$AD713,0)</f>
        <v>6.4467766116941536E-2</v>
      </c>
      <c r="Y713" s="17">
        <v>62</v>
      </c>
      <c r="Z713" s="36">
        <f>IFERROR(Y713/$AC713,0)</f>
        <v>2.1313166036438638E-2</v>
      </c>
      <c r="AA713" s="17">
        <v>17</v>
      </c>
      <c r="AB713" s="36">
        <f>IFERROR(AA713/$AD713,0)</f>
        <v>2.5487256371814093E-2</v>
      </c>
      <c r="AC713" s="16">
        <v>2909</v>
      </c>
      <c r="AD713" s="17">
        <v>667</v>
      </c>
    </row>
    <row r="714" spans="1:30" ht="15.75" customHeight="1" x14ac:dyDescent="0.25">
      <c r="A714" s="37">
        <v>2019</v>
      </c>
      <c r="B714" s="35">
        <v>170270</v>
      </c>
      <c r="C714" s="34" t="s">
        <v>147</v>
      </c>
      <c r="D714" s="34" t="s">
        <v>22</v>
      </c>
      <c r="E714" s="17">
        <v>20</v>
      </c>
      <c r="F714" s="36">
        <f>IFERROR(E714/$AC714,0)</f>
        <v>3.2000000000000001E-2</v>
      </c>
      <c r="G714" s="17">
        <v>12</v>
      </c>
      <c r="H714" s="36">
        <f>IFERROR(G714/$AD714,0)</f>
        <v>4.49438202247191E-2</v>
      </c>
      <c r="I714" s="17">
        <v>264</v>
      </c>
      <c r="J714" s="36">
        <f>IFERROR(I714/$AC714,0)</f>
        <v>0.4224</v>
      </c>
      <c r="K714" s="17">
        <v>113</v>
      </c>
      <c r="L714" s="36">
        <f>IFERROR(K714/$AD714,0)</f>
        <v>0.42322097378277151</v>
      </c>
      <c r="M714" s="17">
        <v>217</v>
      </c>
      <c r="N714" s="36">
        <f>IFERROR(M714/$AC714,0)</f>
        <v>0.34720000000000001</v>
      </c>
      <c r="O714" s="17">
        <v>84</v>
      </c>
      <c r="P714" s="36">
        <f>IFERROR(O714/$AD714,0)</f>
        <v>0.3146067415730337</v>
      </c>
      <c r="Q714" s="17">
        <v>80</v>
      </c>
      <c r="R714" s="36">
        <f>IFERROR(Q714/$AC714,0)</f>
        <v>0.128</v>
      </c>
      <c r="S714" s="17">
        <v>35</v>
      </c>
      <c r="T714" s="36">
        <f>IFERROR(S714/$AD714,0)</f>
        <v>0.13108614232209737</v>
      </c>
      <c r="U714" s="17">
        <v>32</v>
      </c>
      <c r="V714" s="36">
        <f>IFERROR(U714/$AC714,0)</f>
        <v>5.1200000000000002E-2</v>
      </c>
      <c r="W714" s="17">
        <v>18</v>
      </c>
      <c r="X714" s="36">
        <f>IFERROR(W714/$AD714,0)</f>
        <v>6.741573033707865E-2</v>
      </c>
      <c r="Y714" s="17">
        <v>12</v>
      </c>
      <c r="Z714" s="36">
        <f>IFERROR(Y714/$AC714,0)</f>
        <v>1.9199999999999998E-2</v>
      </c>
      <c r="AA714" s="17">
        <v>5</v>
      </c>
      <c r="AB714" s="36">
        <f>IFERROR(AA714/$AD714,0)</f>
        <v>1.8726591760299626E-2</v>
      </c>
      <c r="AC714" s="17">
        <v>625</v>
      </c>
      <c r="AD714" s="17">
        <v>267</v>
      </c>
    </row>
    <row r="715" spans="1:30" ht="15.75" customHeight="1" x14ac:dyDescent="0.25">
      <c r="A715" s="37">
        <v>2019</v>
      </c>
      <c r="B715" s="35">
        <v>170290</v>
      </c>
      <c r="C715" s="34" t="s">
        <v>145</v>
      </c>
      <c r="D715" s="34" t="s">
        <v>23</v>
      </c>
      <c r="E715" s="17">
        <v>41</v>
      </c>
      <c r="F715" s="36">
        <f>IFERROR(E715/$AC715,0)</f>
        <v>3.3091202582728005E-2</v>
      </c>
      <c r="G715" s="17">
        <v>38</v>
      </c>
      <c r="H715" s="36">
        <f>IFERROR(G715/$AD715,0)</f>
        <v>4.2841037204058623E-2</v>
      </c>
      <c r="I715" s="17">
        <v>510</v>
      </c>
      <c r="J715" s="36">
        <f>IFERROR(I715/$AC715,0)</f>
        <v>0.41162227602905571</v>
      </c>
      <c r="K715" s="17">
        <v>375</v>
      </c>
      <c r="L715" s="36">
        <f>IFERROR(K715/$AD715,0)</f>
        <v>0.42277339346110487</v>
      </c>
      <c r="M715" s="17">
        <v>424</v>
      </c>
      <c r="N715" s="36">
        <f>IFERROR(M715/$AC715,0)</f>
        <v>0.34221146085552867</v>
      </c>
      <c r="O715" s="17">
        <v>295</v>
      </c>
      <c r="P715" s="36">
        <f>IFERROR(O715/$AD715,0)</f>
        <v>0.33258173618940245</v>
      </c>
      <c r="Q715" s="17">
        <v>179</v>
      </c>
      <c r="R715" s="36">
        <f>IFERROR(Q715/$AC715,0)</f>
        <v>0.14447134786117838</v>
      </c>
      <c r="S715" s="17">
        <v>119</v>
      </c>
      <c r="T715" s="36">
        <f>IFERROR(S715/$AD715,0)</f>
        <v>0.13416009019165728</v>
      </c>
      <c r="U715" s="17">
        <v>58</v>
      </c>
      <c r="V715" s="36">
        <f>IFERROR(U715/$AC715,0)</f>
        <v>4.6811945117029866E-2</v>
      </c>
      <c r="W715" s="17">
        <v>38</v>
      </c>
      <c r="X715" s="36">
        <f>IFERROR(W715/$AD715,0)</f>
        <v>4.2841037204058623E-2</v>
      </c>
      <c r="Y715" s="17">
        <v>27</v>
      </c>
      <c r="Z715" s="36">
        <f>IFERROR(Y715/$AC715,0)</f>
        <v>2.1791767554479417E-2</v>
      </c>
      <c r="AA715" s="17">
        <v>22</v>
      </c>
      <c r="AB715" s="36">
        <f>IFERROR(AA715/$AD715,0)</f>
        <v>2.480270574971815E-2</v>
      </c>
      <c r="AC715" s="16">
        <v>1239</v>
      </c>
      <c r="AD715" s="17">
        <v>887</v>
      </c>
    </row>
    <row r="716" spans="1:30" ht="15.75" customHeight="1" x14ac:dyDescent="0.25">
      <c r="A716" s="37">
        <v>2019</v>
      </c>
      <c r="B716" s="35">
        <v>170300</v>
      </c>
      <c r="C716" s="34" t="s">
        <v>149</v>
      </c>
      <c r="D716" s="34" t="s">
        <v>24</v>
      </c>
      <c r="E716" s="17">
        <v>20</v>
      </c>
      <c r="F716" s="36">
        <f>IFERROR(E716/$AC716,0)</f>
        <v>1.9782393669634024E-2</v>
      </c>
      <c r="G716" s="17">
        <v>13</v>
      </c>
      <c r="H716" s="36">
        <f>IFERROR(G716/$AD716,0)</f>
        <v>2.7542372881355932E-2</v>
      </c>
      <c r="I716" s="17">
        <v>411</v>
      </c>
      <c r="J716" s="36">
        <f>IFERROR(I716/$AC716,0)</f>
        <v>0.40652818991097922</v>
      </c>
      <c r="K716" s="17">
        <v>205</v>
      </c>
      <c r="L716" s="36">
        <f>IFERROR(K716/$AD716,0)</f>
        <v>0.43432203389830509</v>
      </c>
      <c r="M716" s="17">
        <v>331</v>
      </c>
      <c r="N716" s="36">
        <f>IFERROR(M716/$AC716,0)</f>
        <v>0.32739861523244312</v>
      </c>
      <c r="O716" s="17">
        <v>140</v>
      </c>
      <c r="P716" s="36">
        <f>IFERROR(O716/$AD716,0)</f>
        <v>0.29661016949152541</v>
      </c>
      <c r="Q716" s="17">
        <v>170</v>
      </c>
      <c r="R716" s="36">
        <f>IFERROR(Q716/$AC716,0)</f>
        <v>0.16815034619188921</v>
      </c>
      <c r="S716" s="17">
        <v>69</v>
      </c>
      <c r="T716" s="36">
        <f>IFERROR(S716/$AD716,0)</f>
        <v>0.1461864406779661</v>
      </c>
      <c r="U716" s="17">
        <v>61</v>
      </c>
      <c r="V716" s="36">
        <f>IFERROR(U716/$AC716,0)</f>
        <v>6.0336300692383778E-2</v>
      </c>
      <c r="W716" s="17">
        <v>34</v>
      </c>
      <c r="X716" s="36">
        <f>IFERROR(W716/$AD716,0)</f>
        <v>7.2033898305084748E-2</v>
      </c>
      <c r="Y716" s="17">
        <v>18</v>
      </c>
      <c r="Z716" s="36">
        <f>IFERROR(Y716/$AC716,0)</f>
        <v>1.7804154302670624E-2</v>
      </c>
      <c r="AA716" s="17">
        <v>11</v>
      </c>
      <c r="AB716" s="36">
        <f>IFERROR(AA716/$AD716,0)</f>
        <v>2.3305084745762712E-2</v>
      </c>
      <c r="AC716" s="16">
        <v>1011</v>
      </c>
      <c r="AD716" s="17">
        <v>472</v>
      </c>
    </row>
    <row r="717" spans="1:30" ht="15.75" customHeight="1" x14ac:dyDescent="0.25">
      <c r="A717" s="37">
        <v>2019</v>
      </c>
      <c r="B717" s="35">
        <v>170305</v>
      </c>
      <c r="C717" s="34" t="s">
        <v>150</v>
      </c>
      <c r="D717" s="34" t="s">
        <v>25</v>
      </c>
      <c r="E717" s="17">
        <v>13</v>
      </c>
      <c r="F717" s="36">
        <f>IFERROR(E717/$AC717,0)</f>
        <v>2.4436090225563908E-2</v>
      </c>
      <c r="G717" s="17">
        <v>4</v>
      </c>
      <c r="H717" s="36">
        <f>IFERROR(G717/$AD717,0)</f>
        <v>3.5714285714285712E-2</v>
      </c>
      <c r="I717" s="17">
        <v>168</v>
      </c>
      <c r="J717" s="36">
        <f>IFERROR(I717/$AC717,0)</f>
        <v>0.31578947368421051</v>
      </c>
      <c r="K717" s="17">
        <v>34</v>
      </c>
      <c r="L717" s="36">
        <f>IFERROR(K717/$AD717,0)</f>
        <v>0.30357142857142855</v>
      </c>
      <c r="M717" s="17">
        <v>192</v>
      </c>
      <c r="N717" s="36">
        <f>IFERROR(M717/$AC717,0)</f>
        <v>0.36090225563909772</v>
      </c>
      <c r="O717" s="17">
        <v>47</v>
      </c>
      <c r="P717" s="36">
        <f>IFERROR(O717/$AD717,0)</f>
        <v>0.41964285714285715</v>
      </c>
      <c r="Q717" s="17">
        <v>110</v>
      </c>
      <c r="R717" s="36">
        <f>IFERROR(Q717/$AC717,0)</f>
        <v>0.20676691729323307</v>
      </c>
      <c r="S717" s="17">
        <v>18</v>
      </c>
      <c r="T717" s="36">
        <f>IFERROR(S717/$AD717,0)</f>
        <v>0.16071428571428573</v>
      </c>
      <c r="U717" s="17">
        <v>36</v>
      </c>
      <c r="V717" s="36">
        <f>IFERROR(U717/$AC717,0)</f>
        <v>6.7669172932330823E-2</v>
      </c>
      <c r="W717" s="17">
        <v>6</v>
      </c>
      <c r="X717" s="36">
        <f>IFERROR(W717/$AD717,0)</f>
        <v>5.3571428571428568E-2</v>
      </c>
      <c r="Y717" s="17">
        <v>13</v>
      </c>
      <c r="Z717" s="36">
        <f>IFERROR(Y717/$AC717,0)</f>
        <v>2.4436090225563908E-2</v>
      </c>
      <c r="AA717" s="17">
        <v>3</v>
      </c>
      <c r="AB717" s="36">
        <f>IFERROR(AA717/$AD717,0)</f>
        <v>2.6785714285714284E-2</v>
      </c>
      <c r="AC717" s="17">
        <v>532</v>
      </c>
      <c r="AD717" s="17">
        <v>112</v>
      </c>
    </row>
    <row r="718" spans="1:30" ht="15.75" customHeight="1" x14ac:dyDescent="0.25">
      <c r="A718" s="37">
        <v>2019</v>
      </c>
      <c r="B718" s="35">
        <v>170307</v>
      </c>
      <c r="C718" s="34" t="s">
        <v>149</v>
      </c>
      <c r="D718" s="34" t="s">
        <v>26</v>
      </c>
      <c r="E718" s="17">
        <v>22</v>
      </c>
      <c r="F718" s="36">
        <f>IFERROR(E718/$AC718,0)</f>
        <v>3.3282904689863842E-2</v>
      </c>
      <c r="G718" s="17">
        <v>17</v>
      </c>
      <c r="H718" s="36">
        <f>IFERROR(G718/$AD718,0)</f>
        <v>5.4662379421221867E-2</v>
      </c>
      <c r="I718" s="17">
        <v>247</v>
      </c>
      <c r="J718" s="36">
        <f>IFERROR(I718/$AC718,0)</f>
        <v>0.37367624810892586</v>
      </c>
      <c r="K718" s="17">
        <v>111</v>
      </c>
      <c r="L718" s="36">
        <f>IFERROR(K718/$AD718,0)</f>
        <v>0.35691318327974275</v>
      </c>
      <c r="M718" s="17">
        <v>208</v>
      </c>
      <c r="N718" s="36">
        <f>IFERROR(M718/$AC718,0)</f>
        <v>0.31467473524962181</v>
      </c>
      <c r="O718" s="17">
        <v>94</v>
      </c>
      <c r="P718" s="36">
        <f>IFERROR(O718/$AD718,0)</f>
        <v>0.30225080385852088</v>
      </c>
      <c r="Q718" s="17">
        <v>128</v>
      </c>
      <c r="R718" s="36">
        <f>IFERROR(Q718/$AC718,0)</f>
        <v>0.19364599092284418</v>
      </c>
      <c r="S718" s="17">
        <v>63</v>
      </c>
      <c r="T718" s="36">
        <f>IFERROR(S718/$AD718,0)</f>
        <v>0.20257234726688103</v>
      </c>
      <c r="U718" s="17">
        <v>40</v>
      </c>
      <c r="V718" s="36">
        <f>IFERROR(U718/$AC718,0)</f>
        <v>6.0514372163388806E-2</v>
      </c>
      <c r="W718" s="17">
        <v>18</v>
      </c>
      <c r="X718" s="36">
        <f>IFERROR(W718/$AD718,0)</f>
        <v>5.7877813504823149E-2</v>
      </c>
      <c r="Y718" s="17">
        <v>16</v>
      </c>
      <c r="Z718" s="36">
        <f>IFERROR(Y718/$AC718,0)</f>
        <v>2.4205748865355523E-2</v>
      </c>
      <c r="AA718" s="17">
        <v>8</v>
      </c>
      <c r="AB718" s="36">
        <f>IFERROR(AA718/$AD718,0)</f>
        <v>2.5723472668810289E-2</v>
      </c>
      <c r="AC718" s="17">
        <v>661</v>
      </c>
      <c r="AD718" s="17">
        <v>311</v>
      </c>
    </row>
    <row r="719" spans="1:30" ht="15.75" customHeight="1" x14ac:dyDescent="0.25">
      <c r="A719" s="37">
        <v>2019</v>
      </c>
      <c r="B719" s="35">
        <v>170310</v>
      </c>
      <c r="C719" s="34" t="s">
        <v>144</v>
      </c>
      <c r="D719" s="34" t="s">
        <v>27</v>
      </c>
      <c r="E719" s="17">
        <v>6</v>
      </c>
      <c r="F719" s="36">
        <f>IFERROR(E719/$AC719,0)</f>
        <v>1.11731843575419E-2</v>
      </c>
      <c r="G719" s="17">
        <v>1</v>
      </c>
      <c r="H719" s="36">
        <f>IFERROR(G719/$AD719,0)</f>
        <v>1.6949152542372881E-2</v>
      </c>
      <c r="I719" s="17">
        <v>246</v>
      </c>
      <c r="J719" s="36">
        <f>IFERROR(I719/$AC719,0)</f>
        <v>0.45810055865921789</v>
      </c>
      <c r="K719" s="17">
        <v>27</v>
      </c>
      <c r="L719" s="36">
        <f>IFERROR(K719/$AD719,0)</f>
        <v>0.4576271186440678</v>
      </c>
      <c r="M719" s="17">
        <v>197</v>
      </c>
      <c r="N719" s="36">
        <f>IFERROR(M719/$AC719,0)</f>
        <v>0.36685288640595903</v>
      </c>
      <c r="O719" s="17">
        <v>19</v>
      </c>
      <c r="P719" s="36">
        <f>IFERROR(O719/$AD719,0)</f>
        <v>0.32203389830508472</v>
      </c>
      <c r="Q719" s="17">
        <v>59</v>
      </c>
      <c r="R719" s="36">
        <f>IFERROR(Q719/$AC719,0)</f>
        <v>0.10986964618249534</v>
      </c>
      <c r="S719" s="17">
        <v>9</v>
      </c>
      <c r="T719" s="36">
        <f>IFERROR(S719/$AD719,0)</f>
        <v>0.15254237288135594</v>
      </c>
      <c r="U719" s="17">
        <v>24</v>
      </c>
      <c r="V719" s="36">
        <f>IFERROR(U719/$AC719,0)</f>
        <v>4.4692737430167599E-2</v>
      </c>
      <c r="W719" s="17">
        <v>3</v>
      </c>
      <c r="X719" s="36">
        <f>IFERROR(W719/$AD719,0)</f>
        <v>5.0847457627118647E-2</v>
      </c>
      <c r="Y719" s="17">
        <v>5</v>
      </c>
      <c r="Z719" s="36">
        <f>IFERROR(Y719/$AC719,0)</f>
        <v>9.3109869646182501E-3</v>
      </c>
      <c r="AA719" s="17">
        <v>0</v>
      </c>
      <c r="AB719" s="36">
        <f>IFERROR(AA719/$AD719,0)</f>
        <v>0</v>
      </c>
      <c r="AC719" s="17">
        <v>537</v>
      </c>
      <c r="AD719" s="17">
        <v>59</v>
      </c>
    </row>
    <row r="720" spans="1:30" ht="15.75" customHeight="1" x14ac:dyDescent="0.25">
      <c r="A720" s="37">
        <v>2019</v>
      </c>
      <c r="B720" s="35">
        <v>170320</v>
      </c>
      <c r="C720" s="34" t="s">
        <v>150</v>
      </c>
      <c r="D720" s="34" t="s">
        <v>28</v>
      </c>
      <c r="E720" s="17">
        <v>25</v>
      </c>
      <c r="F720" s="36">
        <f>IFERROR(E720/$AC720,0)</f>
        <v>2.7932960893854747E-2</v>
      </c>
      <c r="G720" s="17">
        <v>9</v>
      </c>
      <c r="H720" s="36">
        <f>IFERROR(G720/$AD720,0)</f>
        <v>3.7344398340248962E-2</v>
      </c>
      <c r="I720" s="17">
        <v>316</v>
      </c>
      <c r="J720" s="36">
        <f>IFERROR(I720/$AC720,0)</f>
        <v>0.35307262569832404</v>
      </c>
      <c r="K720" s="17">
        <v>97</v>
      </c>
      <c r="L720" s="36">
        <f>IFERROR(K720/$AD720,0)</f>
        <v>0.40248962655601661</v>
      </c>
      <c r="M720" s="17">
        <v>287</v>
      </c>
      <c r="N720" s="36">
        <f>IFERROR(M720/$AC720,0)</f>
        <v>0.32067039106145251</v>
      </c>
      <c r="O720" s="17">
        <v>71</v>
      </c>
      <c r="P720" s="36">
        <f>IFERROR(O720/$AD720,0)</f>
        <v>0.29460580912863071</v>
      </c>
      <c r="Q720" s="17">
        <v>164</v>
      </c>
      <c r="R720" s="36">
        <f>IFERROR(Q720/$AC720,0)</f>
        <v>0.18324022346368715</v>
      </c>
      <c r="S720" s="17">
        <v>35</v>
      </c>
      <c r="T720" s="36">
        <f>IFERROR(S720/$AD720,0)</f>
        <v>0.14522821576763487</v>
      </c>
      <c r="U720" s="17">
        <v>67</v>
      </c>
      <c r="V720" s="36">
        <f>IFERROR(U720/$AC720,0)</f>
        <v>7.4860335195530731E-2</v>
      </c>
      <c r="W720" s="17">
        <v>17</v>
      </c>
      <c r="X720" s="36">
        <f>IFERROR(W720/$AD720,0)</f>
        <v>7.0539419087136929E-2</v>
      </c>
      <c r="Y720" s="17">
        <v>36</v>
      </c>
      <c r="Z720" s="36">
        <f>IFERROR(Y720/$AC720,0)</f>
        <v>4.0223463687150837E-2</v>
      </c>
      <c r="AA720" s="17">
        <v>12</v>
      </c>
      <c r="AB720" s="36">
        <f>IFERROR(AA720/$AD720,0)</f>
        <v>4.9792531120331947E-2</v>
      </c>
      <c r="AC720" s="17">
        <v>895</v>
      </c>
      <c r="AD720" s="17">
        <v>241</v>
      </c>
    </row>
    <row r="721" spans="1:30" ht="15.75" customHeight="1" x14ac:dyDescent="0.25">
      <c r="A721" s="37">
        <v>2019</v>
      </c>
      <c r="B721" s="35">
        <v>170330</v>
      </c>
      <c r="C721" s="34" t="s">
        <v>150</v>
      </c>
      <c r="D721" s="34" t="s">
        <v>29</v>
      </c>
      <c r="E721" s="17">
        <v>24</v>
      </c>
      <c r="F721" s="36">
        <f>IFERROR(E721/$AC721,0)</f>
        <v>4.0816326530612242E-2</v>
      </c>
      <c r="G721" s="17">
        <v>7</v>
      </c>
      <c r="H721" s="36">
        <f>IFERROR(G721/$AD721,0)</f>
        <v>3.6842105263157891E-2</v>
      </c>
      <c r="I721" s="17">
        <v>217</v>
      </c>
      <c r="J721" s="36">
        <f>IFERROR(I721/$AC721,0)</f>
        <v>0.36904761904761907</v>
      </c>
      <c r="K721" s="17">
        <v>80</v>
      </c>
      <c r="L721" s="36">
        <f>IFERROR(K721/$AD721,0)</f>
        <v>0.42105263157894735</v>
      </c>
      <c r="M721" s="17">
        <v>175</v>
      </c>
      <c r="N721" s="36">
        <f>IFERROR(M721/$AC721,0)</f>
        <v>0.29761904761904762</v>
      </c>
      <c r="O721" s="17">
        <v>47</v>
      </c>
      <c r="P721" s="36">
        <f>IFERROR(O721/$AD721,0)</f>
        <v>0.24736842105263157</v>
      </c>
      <c r="Q721" s="17">
        <v>111</v>
      </c>
      <c r="R721" s="36">
        <f>IFERROR(Q721/$AC721,0)</f>
        <v>0.18877551020408162</v>
      </c>
      <c r="S721" s="17">
        <v>34</v>
      </c>
      <c r="T721" s="36">
        <f>IFERROR(S721/$AD721,0)</f>
        <v>0.17894736842105263</v>
      </c>
      <c r="U721" s="17">
        <v>45</v>
      </c>
      <c r="V721" s="36">
        <f>IFERROR(U721/$AC721,0)</f>
        <v>7.6530612244897961E-2</v>
      </c>
      <c r="W721" s="17">
        <v>16</v>
      </c>
      <c r="X721" s="36">
        <f>IFERROR(W721/$AD721,0)</f>
        <v>8.4210526315789472E-2</v>
      </c>
      <c r="Y721" s="17">
        <v>16</v>
      </c>
      <c r="Z721" s="36">
        <f>IFERROR(Y721/$AC721,0)</f>
        <v>2.7210884353741496E-2</v>
      </c>
      <c r="AA721" s="17">
        <v>6</v>
      </c>
      <c r="AB721" s="36">
        <f>IFERROR(AA721/$AD721,0)</f>
        <v>3.1578947368421054E-2</v>
      </c>
      <c r="AC721" s="17">
        <v>588</v>
      </c>
      <c r="AD721" s="17">
        <v>190</v>
      </c>
    </row>
    <row r="722" spans="1:30" ht="15.75" customHeight="1" x14ac:dyDescent="0.25">
      <c r="A722" s="37">
        <v>2019</v>
      </c>
      <c r="B722" s="35">
        <v>170360</v>
      </c>
      <c r="C722" s="34" t="s">
        <v>150</v>
      </c>
      <c r="D722" s="34" t="s">
        <v>30</v>
      </c>
      <c r="E722" s="17">
        <v>6</v>
      </c>
      <c r="F722" s="36">
        <f>IFERROR(E722/$AC722,0)</f>
        <v>1.6042780748663103E-2</v>
      </c>
      <c r="G722" s="17">
        <v>2</v>
      </c>
      <c r="H722" s="36">
        <f>IFERROR(G722/$AD722,0)</f>
        <v>1.680672268907563E-2</v>
      </c>
      <c r="I722" s="17">
        <v>112</v>
      </c>
      <c r="J722" s="36">
        <f>IFERROR(I722/$AC722,0)</f>
        <v>0.29946524064171121</v>
      </c>
      <c r="K722" s="17">
        <v>33</v>
      </c>
      <c r="L722" s="36">
        <f>IFERROR(K722/$AD722,0)</f>
        <v>0.27731092436974791</v>
      </c>
      <c r="M722" s="17">
        <v>143</v>
      </c>
      <c r="N722" s="36">
        <f>IFERROR(M722/$AC722,0)</f>
        <v>0.38235294117647056</v>
      </c>
      <c r="O722" s="17">
        <v>48</v>
      </c>
      <c r="P722" s="36">
        <f>IFERROR(O722/$AD722,0)</f>
        <v>0.40336134453781514</v>
      </c>
      <c r="Q722" s="17">
        <v>71</v>
      </c>
      <c r="R722" s="36">
        <f>IFERROR(Q722/$AC722,0)</f>
        <v>0.18983957219251338</v>
      </c>
      <c r="S722" s="17">
        <v>27</v>
      </c>
      <c r="T722" s="36">
        <f>IFERROR(S722/$AD722,0)</f>
        <v>0.22689075630252101</v>
      </c>
      <c r="U722" s="17">
        <v>28</v>
      </c>
      <c r="V722" s="36">
        <f>IFERROR(U722/$AC722,0)</f>
        <v>7.4866310160427801E-2</v>
      </c>
      <c r="W722" s="17">
        <v>6</v>
      </c>
      <c r="X722" s="36">
        <f>IFERROR(W722/$AD722,0)</f>
        <v>5.0420168067226892E-2</v>
      </c>
      <c r="Y722" s="17">
        <v>14</v>
      </c>
      <c r="Z722" s="36">
        <f>IFERROR(Y722/$AC722,0)</f>
        <v>3.7433155080213901E-2</v>
      </c>
      <c r="AA722" s="17">
        <v>3</v>
      </c>
      <c r="AB722" s="36">
        <f>IFERROR(AA722/$AD722,0)</f>
        <v>2.5210084033613446E-2</v>
      </c>
      <c r="AC722" s="17">
        <v>374</v>
      </c>
      <c r="AD722" s="17">
        <v>119</v>
      </c>
    </row>
    <row r="723" spans="1:30" ht="15.75" customHeight="1" x14ac:dyDescent="0.25">
      <c r="A723" s="37">
        <v>2019</v>
      </c>
      <c r="B723" s="35">
        <v>170370</v>
      </c>
      <c r="C723" s="34" t="s">
        <v>151</v>
      </c>
      <c r="D723" s="34" t="s">
        <v>31</v>
      </c>
      <c r="E723" s="17">
        <v>15</v>
      </c>
      <c r="F723" s="36">
        <f>IFERROR(E723/$AC723,0)</f>
        <v>1.9710906701708279E-2</v>
      </c>
      <c r="G723" s="17">
        <v>7</v>
      </c>
      <c r="H723" s="36">
        <f>IFERROR(G723/$AD723,0)</f>
        <v>2.7027027027027029E-2</v>
      </c>
      <c r="I723" s="17">
        <v>252</v>
      </c>
      <c r="J723" s="36">
        <f>IFERROR(I723/$AC723,0)</f>
        <v>0.3311432325886991</v>
      </c>
      <c r="K723" s="17">
        <v>87</v>
      </c>
      <c r="L723" s="36">
        <f>IFERROR(K723/$AD723,0)</f>
        <v>0.3359073359073359</v>
      </c>
      <c r="M723" s="17">
        <v>274</v>
      </c>
      <c r="N723" s="36">
        <f>IFERROR(M723/$AC723,0)</f>
        <v>0.3600525624178712</v>
      </c>
      <c r="O723" s="17">
        <v>100</v>
      </c>
      <c r="P723" s="36">
        <f>IFERROR(O723/$AD723,0)</f>
        <v>0.38610038610038611</v>
      </c>
      <c r="Q723" s="17">
        <v>150</v>
      </c>
      <c r="R723" s="36">
        <f>IFERROR(Q723/$AC723,0)</f>
        <v>0.19710906701708278</v>
      </c>
      <c r="S723" s="17">
        <v>47</v>
      </c>
      <c r="T723" s="36">
        <f>IFERROR(S723/$AD723,0)</f>
        <v>0.18146718146718147</v>
      </c>
      <c r="U723" s="17">
        <v>47</v>
      </c>
      <c r="V723" s="36">
        <f>IFERROR(U723/$AC723,0)</f>
        <v>6.1760840998685937E-2</v>
      </c>
      <c r="W723" s="17">
        <v>9</v>
      </c>
      <c r="X723" s="36">
        <f>IFERROR(W723/$AD723,0)</f>
        <v>3.4749034749034749E-2</v>
      </c>
      <c r="Y723" s="17">
        <v>23</v>
      </c>
      <c r="Z723" s="36">
        <f>IFERROR(Y723/$AC723,0)</f>
        <v>3.0223390275952694E-2</v>
      </c>
      <c r="AA723" s="17">
        <v>9</v>
      </c>
      <c r="AB723" s="36">
        <f>IFERROR(AA723/$AD723,0)</f>
        <v>3.4749034749034749E-2</v>
      </c>
      <c r="AC723" s="17">
        <v>761</v>
      </c>
      <c r="AD723" s="17">
        <v>259</v>
      </c>
    </row>
    <row r="724" spans="1:30" ht="15.75" customHeight="1" x14ac:dyDescent="0.25">
      <c r="A724" s="37">
        <v>2019</v>
      </c>
      <c r="B724" s="35">
        <v>170380</v>
      </c>
      <c r="C724" s="34" t="s">
        <v>145</v>
      </c>
      <c r="D724" s="34" t="s">
        <v>32</v>
      </c>
      <c r="E724" s="17">
        <v>37</v>
      </c>
      <c r="F724" s="36">
        <f>IFERROR(E724/$AC724,0)</f>
        <v>3.3333333333333333E-2</v>
      </c>
      <c r="G724" s="17">
        <v>12</v>
      </c>
      <c r="H724" s="36">
        <f>IFERROR(G724/$AD724,0)</f>
        <v>4.2253521126760563E-2</v>
      </c>
      <c r="I724" s="17">
        <v>409</v>
      </c>
      <c r="J724" s="36">
        <f>IFERROR(I724/$AC724,0)</f>
        <v>0.36846846846846848</v>
      </c>
      <c r="K724" s="17">
        <v>99</v>
      </c>
      <c r="L724" s="36">
        <f>IFERROR(K724/$AD724,0)</f>
        <v>0.34859154929577463</v>
      </c>
      <c r="M724" s="17">
        <v>404</v>
      </c>
      <c r="N724" s="36">
        <f>IFERROR(M724/$AC724,0)</f>
        <v>0.36396396396396397</v>
      </c>
      <c r="O724" s="17">
        <v>101</v>
      </c>
      <c r="P724" s="36">
        <f>IFERROR(O724/$AD724,0)</f>
        <v>0.35563380281690143</v>
      </c>
      <c r="Q724" s="17">
        <v>187</v>
      </c>
      <c r="R724" s="36">
        <f>IFERROR(Q724/$AC724,0)</f>
        <v>0.16846846846846847</v>
      </c>
      <c r="S724" s="17">
        <v>56</v>
      </c>
      <c r="T724" s="36">
        <f>IFERROR(S724/$AD724,0)</f>
        <v>0.19718309859154928</v>
      </c>
      <c r="U724" s="17">
        <v>60</v>
      </c>
      <c r="V724" s="36">
        <f>IFERROR(U724/$AC724,0)</f>
        <v>5.4054054054054057E-2</v>
      </c>
      <c r="W724" s="17">
        <v>15</v>
      </c>
      <c r="X724" s="36">
        <f>IFERROR(W724/$AD724,0)</f>
        <v>5.2816901408450703E-2</v>
      </c>
      <c r="Y724" s="17">
        <v>13</v>
      </c>
      <c r="Z724" s="36">
        <f>IFERROR(Y724/$AC724,0)</f>
        <v>1.1711711711711712E-2</v>
      </c>
      <c r="AA724" s="17">
        <v>1</v>
      </c>
      <c r="AB724" s="36">
        <f>IFERROR(AA724/$AD724,0)</f>
        <v>3.5211267605633804E-3</v>
      </c>
      <c r="AC724" s="16">
        <v>1110</v>
      </c>
      <c r="AD724" s="17">
        <v>284</v>
      </c>
    </row>
    <row r="725" spans="1:30" ht="15.75" customHeight="1" x14ac:dyDescent="0.25">
      <c r="A725" s="37">
        <v>2019</v>
      </c>
      <c r="B725" s="35">
        <v>170382</v>
      </c>
      <c r="C725" s="34" t="s">
        <v>145</v>
      </c>
      <c r="D725" s="34" t="s">
        <v>33</v>
      </c>
      <c r="E725" s="17">
        <v>13</v>
      </c>
      <c r="F725" s="36">
        <f>IFERROR(E725/$AC725,0)</f>
        <v>2.6156941649899398E-2</v>
      </c>
      <c r="G725" s="17">
        <v>9</v>
      </c>
      <c r="H725" s="36">
        <f>IFERROR(G725/$AD725,0)</f>
        <v>3.8297872340425532E-2</v>
      </c>
      <c r="I725" s="17">
        <v>194</v>
      </c>
      <c r="J725" s="36">
        <f>IFERROR(I725/$AC725,0)</f>
        <v>0.3903420523138833</v>
      </c>
      <c r="K725" s="17">
        <v>101</v>
      </c>
      <c r="L725" s="36">
        <f>IFERROR(K725/$AD725,0)</f>
        <v>0.4297872340425532</v>
      </c>
      <c r="M725" s="17">
        <v>156</v>
      </c>
      <c r="N725" s="36">
        <f>IFERROR(M725/$AC725,0)</f>
        <v>0.31388329979879276</v>
      </c>
      <c r="O725" s="17">
        <v>65</v>
      </c>
      <c r="P725" s="36">
        <f>IFERROR(O725/$AD725,0)</f>
        <v>0.27659574468085107</v>
      </c>
      <c r="Q725" s="17">
        <v>93</v>
      </c>
      <c r="R725" s="36">
        <f>IFERROR(Q725/$AC725,0)</f>
        <v>0.18712273641851107</v>
      </c>
      <c r="S725" s="17">
        <v>41</v>
      </c>
      <c r="T725" s="36">
        <f>IFERROR(S725/$AD725,0)</f>
        <v>0.17446808510638298</v>
      </c>
      <c r="U725" s="17">
        <v>25</v>
      </c>
      <c r="V725" s="36">
        <f>IFERROR(U725/$AC725,0)</f>
        <v>5.030181086519115E-2</v>
      </c>
      <c r="W725" s="17">
        <v>11</v>
      </c>
      <c r="X725" s="36">
        <f>IFERROR(W725/$AD725,0)</f>
        <v>4.6808510638297871E-2</v>
      </c>
      <c r="Y725" s="17">
        <v>16</v>
      </c>
      <c r="Z725" s="36">
        <f>IFERROR(Y725/$AC725,0)</f>
        <v>3.2193158953722337E-2</v>
      </c>
      <c r="AA725" s="17">
        <v>8</v>
      </c>
      <c r="AB725" s="36">
        <f>IFERROR(AA725/$AD725,0)</f>
        <v>3.4042553191489362E-2</v>
      </c>
      <c r="AC725" s="17">
        <v>497</v>
      </c>
      <c r="AD725" s="17">
        <v>235</v>
      </c>
    </row>
    <row r="726" spans="1:30" ht="15.75" customHeight="1" x14ac:dyDescent="0.25">
      <c r="A726" s="37">
        <v>2019</v>
      </c>
      <c r="B726" s="35">
        <v>170384</v>
      </c>
      <c r="C726" s="34" t="s">
        <v>149</v>
      </c>
      <c r="D726" s="34" t="s">
        <v>34</v>
      </c>
      <c r="E726" s="17">
        <v>46</v>
      </c>
      <c r="F726" s="36">
        <f>IFERROR(E726/$AC726,0)</f>
        <v>3.1442241968557758E-2</v>
      </c>
      <c r="G726" s="17">
        <v>24</v>
      </c>
      <c r="H726" s="36">
        <f>IFERROR(G726/$AD726,0)</f>
        <v>4.7337278106508875E-2</v>
      </c>
      <c r="I726" s="17">
        <v>585</v>
      </c>
      <c r="J726" s="36">
        <f>IFERROR(I726/$AC726,0)</f>
        <v>0.3998632946001367</v>
      </c>
      <c r="K726" s="17">
        <v>225</v>
      </c>
      <c r="L726" s="36">
        <f>IFERROR(K726/$AD726,0)</f>
        <v>0.4437869822485207</v>
      </c>
      <c r="M726" s="17">
        <v>502</v>
      </c>
      <c r="N726" s="36">
        <f>IFERROR(M726/$AC726,0)</f>
        <v>0.34313055365686945</v>
      </c>
      <c r="O726" s="17">
        <v>161</v>
      </c>
      <c r="P726" s="36">
        <f>IFERROR(O726/$AD726,0)</f>
        <v>0.31755424063116372</v>
      </c>
      <c r="Q726" s="17">
        <v>244</v>
      </c>
      <c r="R726" s="36">
        <f>IFERROR(Q726/$AC726,0)</f>
        <v>0.16678058783321942</v>
      </c>
      <c r="S726" s="17">
        <v>70</v>
      </c>
      <c r="T726" s="36">
        <f>IFERROR(S726/$AD726,0)</f>
        <v>0.13806706114398423</v>
      </c>
      <c r="U726" s="17">
        <v>65</v>
      </c>
      <c r="V726" s="36">
        <f>IFERROR(U726/$AC726,0)</f>
        <v>4.4429254955570742E-2</v>
      </c>
      <c r="W726" s="17">
        <v>21</v>
      </c>
      <c r="X726" s="36">
        <f>IFERROR(W726/$AD726,0)</f>
        <v>4.142011834319527E-2</v>
      </c>
      <c r="Y726" s="17">
        <v>21</v>
      </c>
      <c r="Z726" s="36">
        <f>IFERROR(Y726/$AC726,0)</f>
        <v>1.4354066985645933E-2</v>
      </c>
      <c r="AA726" s="17">
        <v>6</v>
      </c>
      <c r="AB726" s="36">
        <f>IFERROR(AA726/$AD726,0)</f>
        <v>1.1834319526627219E-2</v>
      </c>
      <c r="AC726" s="16">
        <v>1463</v>
      </c>
      <c r="AD726" s="17">
        <v>507</v>
      </c>
    </row>
    <row r="727" spans="1:30" ht="15.75" customHeight="1" x14ac:dyDescent="0.25">
      <c r="A727" s="37">
        <v>2019</v>
      </c>
      <c r="B727" s="35">
        <v>170386</v>
      </c>
      <c r="C727" s="34" t="s">
        <v>146</v>
      </c>
      <c r="D727" s="34" t="s">
        <v>35</v>
      </c>
      <c r="E727" s="17">
        <v>18</v>
      </c>
      <c r="F727" s="36">
        <f>IFERROR(E727/$AC727,0)</f>
        <v>2.269861286254729E-2</v>
      </c>
      <c r="G727" s="17">
        <v>7</v>
      </c>
      <c r="H727" s="36">
        <f>IFERROR(G727/$AD727,0)</f>
        <v>5.1094890510948905E-2</v>
      </c>
      <c r="I727" s="17">
        <v>254</v>
      </c>
      <c r="J727" s="36">
        <f>IFERROR(I727/$AC727,0)</f>
        <v>0.32030264817150061</v>
      </c>
      <c r="K727" s="17">
        <v>54</v>
      </c>
      <c r="L727" s="36">
        <f>IFERROR(K727/$AD727,0)</f>
        <v>0.39416058394160586</v>
      </c>
      <c r="M727" s="17">
        <v>271</v>
      </c>
      <c r="N727" s="36">
        <f>IFERROR(M727/$AC727,0)</f>
        <v>0.3417402269861286</v>
      </c>
      <c r="O727" s="17">
        <v>38</v>
      </c>
      <c r="P727" s="36">
        <f>IFERROR(O727/$AD727,0)</f>
        <v>0.27737226277372262</v>
      </c>
      <c r="Q727" s="17">
        <v>168</v>
      </c>
      <c r="R727" s="36">
        <f>IFERROR(Q727/$AC727,0)</f>
        <v>0.21185372005044137</v>
      </c>
      <c r="S727" s="17">
        <v>23</v>
      </c>
      <c r="T727" s="36">
        <f>IFERROR(S727/$AD727,0)</f>
        <v>0.16788321167883211</v>
      </c>
      <c r="U727" s="17">
        <v>59</v>
      </c>
      <c r="V727" s="36">
        <f>IFERROR(U727/$AC727,0)</f>
        <v>7.4401008827238338E-2</v>
      </c>
      <c r="W727" s="17">
        <v>11</v>
      </c>
      <c r="X727" s="36">
        <f>IFERROR(W727/$AD727,0)</f>
        <v>8.0291970802919707E-2</v>
      </c>
      <c r="Y727" s="17">
        <v>23</v>
      </c>
      <c r="Z727" s="36">
        <f>IFERROR(Y727/$AC727,0)</f>
        <v>2.9003783102143757E-2</v>
      </c>
      <c r="AA727" s="17">
        <v>4</v>
      </c>
      <c r="AB727" s="36">
        <f>IFERROR(AA727/$AD727,0)</f>
        <v>2.9197080291970802E-2</v>
      </c>
      <c r="AC727" s="17">
        <v>793</v>
      </c>
      <c r="AD727" s="17">
        <v>137</v>
      </c>
    </row>
    <row r="728" spans="1:30" ht="15.75" customHeight="1" x14ac:dyDescent="0.25">
      <c r="A728" s="37">
        <v>2019</v>
      </c>
      <c r="B728" s="35">
        <v>170388</v>
      </c>
      <c r="C728" s="34" t="s">
        <v>149</v>
      </c>
      <c r="D728" s="34" t="s">
        <v>36</v>
      </c>
      <c r="E728" s="17">
        <v>13</v>
      </c>
      <c r="F728" s="36">
        <f>IFERROR(E728/$AC728,0)</f>
        <v>2.4482109227871938E-2</v>
      </c>
      <c r="G728" s="17">
        <v>2</v>
      </c>
      <c r="H728" s="36">
        <f>IFERROR(G728/$AD728,0)</f>
        <v>4.1666666666666664E-2</v>
      </c>
      <c r="I728" s="17">
        <v>194</v>
      </c>
      <c r="J728" s="36">
        <f>IFERROR(I728/$AC728,0)</f>
        <v>0.36534839924670431</v>
      </c>
      <c r="K728" s="17">
        <v>20</v>
      </c>
      <c r="L728" s="36">
        <f>IFERROR(K728/$AD728,0)</f>
        <v>0.41666666666666669</v>
      </c>
      <c r="M728" s="17">
        <v>185</v>
      </c>
      <c r="N728" s="36">
        <f>IFERROR(M728/$AC728,0)</f>
        <v>0.34839924670433148</v>
      </c>
      <c r="O728" s="17">
        <v>13</v>
      </c>
      <c r="P728" s="36">
        <f>IFERROR(O728/$AD728,0)</f>
        <v>0.27083333333333331</v>
      </c>
      <c r="Q728" s="17">
        <v>96</v>
      </c>
      <c r="R728" s="36">
        <f>IFERROR(Q728/$AC728,0)</f>
        <v>0.1807909604519774</v>
      </c>
      <c r="S728" s="17">
        <v>7</v>
      </c>
      <c r="T728" s="36">
        <f>IFERROR(S728/$AD728,0)</f>
        <v>0.14583333333333334</v>
      </c>
      <c r="U728" s="17">
        <v>30</v>
      </c>
      <c r="V728" s="36">
        <f>IFERROR(U728/$AC728,0)</f>
        <v>5.6497175141242938E-2</v>
      </c>
      <c r="W728" s="17">
        <v>6</v>
      </c>
      <c r="X728" s="36">
        <f>IFERROR(W728/$AD728,0)</f>
        <v>0.125</v>
      </c>
      <c r="Y728" s="17">
        <v>13</v>
      </c>
      <c r="Z728" s="36">
        <f>IFERROR(Y728/$AC728,0)</f>
        <v>2.4482109227871938E-2</v>
      </c>
      <c r="AA728" s="17">
        <v>0</v>
      </c>
      <c r="AB728" s="36">
        <f>IFERROR(AA728/$AD728,0)</f>
        <v>0</v>
      </c>
      <c r="AC728" s="17">
        <v>531</v>
      </c>
      <c r="AD728" s="17">
        <v>48</v>
      </c>
    </row>
    <row r="729" spans="1:30" ht="15.75" customHeight="1" x14ac:dyDescent="0.25">
      <c r="A729" s="37">
        <v>2019</v>
      </c>
      <c r="B729" s="35">
        <v>170389</v>
      </c>
      <c r="C729" s="34" t="s">
        <v>145</v>
      </c>
      <c r="D729" s="34" t="s">
        <v>37</v>
      </c>
      <c r="E729" s="17">
        <v>15</v>
      </c>
      <c r="F729" s="36">
        <f>IFERROR(E729/$AC729,0)</f>
        <v>1.607717041800643E-2</v>
      </c>
      <c r="G729" s="17">
        <v>3</v>
      </c>
      <c r="H729" s="36">
        <f>IFERROR(G729/$AD729,0)</f>
        <v>1.7241379310344827E-2</v>
      </c>
      <c r="I729" s="17">
        <v>341</v>
      </c>
      <c r="J729" s="36">
        <f>IFERROR(I729/$AC729,0)</f>
        <v>0.36548767416934619</v>
      </c>
      <c r="K729" s="17">
        <v>59</v>
      </c>
      <c r="L729" s="36">
        <f>IFERROR(K729/$AD729,0)</f>
        <v>0.33908045977011492</v>
      </c>
      <c r="M729" s="17">
        <v>339</v>
      </c>
      <c r="N729" s="36">
        <f>IFERROR(M729/$AC729,0)</f>
        <v>0.36334405144694532</v>
      </c>
      <c r="O729" s="17">
        <v>78</v>
      </c>
      <c r="P729" s="36">
        <f>IFERROR(O729/$AD729,0)</f>
        <v>0.44827586206896552</v>
      </c>
      <c r="Q729" s="17">
        <v>161</v>
      </c>
      <c r="R729" s="36">
        <f>IFERROR(Q729/$AC729,0)</f>
        <v>0.17256162915326903</v>
      </c>
      <c r="S729" s="17">
        <v>24</v>
      </c>
      <c r="T729" s="36">
        <f>IFERROR(S729/$AD729,0)</f>
        <v>0.13793103448275862</v>
      </c>
      <c r="U729" s="17">
        <v>54</v>
      </c>
      <c r="V729" s="36">
        <f>IFERROR(U729/$AC729,0)</f>
        <v>5.7877813504823149E-2</v>
      </c>
      <c r="W729" s="17">
        <v>6</v>
      </c>
      <c r="X729" s="36">
        <f>IFERROR(W729/$AD729,0)</f>
        <v>3.4482758620689655E-2</v>
      </c>
      <c r="Y729" s="17">
        <v>23</v>
      </c>
      <c r="Z729" s="36">
        <f>IFERROR(Y729/$AC729,0)</f>
        <v>2.465166130760986E-2</v>
      </c>
      <c r="AA729" s="17">
        <v>4</v>
      </c>
      <c r="AB729" s="36">
        <f>IFERROR(AA729/$AD729,0)</f>
        <v>2.2988505747126436E-2</v>
      </c>
      <c r="AC729" s="17">
        <v>933</v>
      </c>
      <c r="AD729" s="17">
        <v>174</v>
      </c>
    </row>
    <row r="730" spans="1:30" ht="15.75" customHeight="1" x14ac:dyDescent="0.25">
      <c r="A730" s="37">
        <v>2019</v>
      </c>
      <c r="B730" s="35">
        <v>170390</v>
      </c>
      <c r="C730" s="34" t="s">
        <v>144</v>
      </c>
      <c r="D730" s="34" t="s">
        <v>38</v>
      </c>
      <c r="E730" s="17">
        <v>16</v>
      </c>
      <c r="F730" s="36">
        <f>IFERROR(E730/$AC730,0)</f>
        <v>1.7738359201773836E-2</v>
      </c>
      <c r="G730" s="17">
        <v>8</v>
      </c>
      <c r="H730" s="36">
        <f>IFERROR(G730/$AD730,0)</f>
        <v>1.8018018018018018E-2</v>
      </c>
      <c r="I730" s="17">
        <v>336</v>
      </c>
      <c r="J730" s="36">
        <f>IFERROR(I730/$AC730,0)</f>
        <v>0.37250554323725055</v>
      </c>
      <c r="K730" s="17">
        <v>180</v>
      </c>
      <c r="L730" s="36">
        <f>IFERROR(K730/$AD730,0)</f>
        <v>0.40540540540540543</v>
      </c>
      <c r="M730" s="17">
        <v>291</v>
      </c>
      <c r="N730" s="36">
        <f>IFERROR(M730/$AC730,0)</f>
        <v>0.32261640798226165</v>
      </c>
      <c r="O730" s="17">
        <v>139</v>
      </c>
      <c r="P730" s="36">
        <f>IFERROR(O730/$AD730,0)</f>
        <v>0.31306306306306309</v>
      </c>
      <c r="Q730" s="17">
        <v>165</v>
      </c>
      <c r="R730" s="36">
        <f>IFERROR(Q730/$AC730,0)</f>
        <v>0.18292682926829268</v>
      </c>
      <c r="S730" s="17">
        <v>68</v>
      </c>
      <c r="T730" s="36">
        <f>IFERROR(S730/$AD730,0)</f>
        <v>0.15315315315315314</v>
      </c>
      <c r="U730" s="17">
        <v>67</v>
      </c>
      <c r="V730" s="36">
        <f>IFERROR(U730/$AC730,0)</f>
        <v>7.4279379157427938E-2</v>
      </c>
      <c r="W730" s="17">
        <v>33</v>
      </c>
      <c r="X730" s="36">
        <f>IFERROR(W730/$AD730,0)</f>
        <v>7.4324324324324328E-2</v>
      </c>
      <c r="Y730" s="17">
        <v>27</v>
      </c>
      <c r="Z730" s="36">
        <f>IFERROR(Y730/$AC730,0)</f>
        <v>2.9933481152993349E-2</v>
      </c>
      <c r="AA730" s="17">
        <v>16</v>
      </c>
      <c r="AB730" s="36">
        <f>IFERROR(AA730/$AD730,0)</f>
        <v>3.6036036036036036E-2</v>
      </c>
      <c r="AC730" s="17">
        <v>902</v>
      </c>
      <c r="AD730" s="17">
        <v>444</v>
      </c>
    </row>
    <row r="731" spans="1:30" ht="15.75" customHeight="1" x14ac:dyDescent="0.25">
      <c r="A731" s="37">
        <v>2019</v>
      </c>
      <c r="B731" s="35">
        <v>170410</v>
      </c>
      <c r="C731" s="34" t="s">
        <v>150</v>
      </c>
      <c r="D731" s="34" t="s">
        <v>39</v>
      </c>
      <c r="E731" s="17">
        <v>11</v>
      </c>
      <c r="F731" s="36">
        <f>IFERROR(E731/$AC731,0)</f>
        <v>2.6190476190476191E-2</v>
      </c>
      <c r="G731" s="17">
        <v>4</v>
      </c>
      <c r="H731" s="36">
        <f>IFERROR(G731/$AD731,0)</f>
        <v>2.9411764705882353E-2</v>
      </c>
      <c r="I731" s="17">
        <v>165</v>
      </c>
      <c r="J731" s="36">
        <f>IFERROR(I731/$AC731,0)</f>
        <v>0.39285714285714285</v>
      </c>
      <c r="K731" s="17">
        <v>53</v>
      </c>
      <c r="L731" s="36">
        <f>IFERROR(K731/$AD731,0)</f>
        <v>0.38970588235294118</v>
      </c>
      <c r="M731" s="17">
        <v>151</v>
      </c>
      <c r="N731" s="36">
        <f>IFERROR(M731/$AC731,0)</f>
        <v>0.35952380952380952</v>
      </c>
      <c r="O731" s="17">
        <v>47</v>
      </c>
      <c r="P731" s="36">
        <f>IFERROR(O731/$AD731,0)</f>
        <v>0.34558823529411764</v>
      </c>
      <c r="Q731" s="17">
        <v>64</v>
      </c>
      <c r="R731" s="36">
        <f>IFERROR(Q731/$AC731,0)</f>
        <v>0.15238095238095239</v>
      </c>
      <c r="S731" s="17">
        <v>20</v>
      </c>
      <c r="T731" s="36">
        <f>IFERROR(S731/$AD731,0)</f>
        <v>0.14705882352941177</v>
      </c>
      <c r="U731" s="17">
        <v>15</v>
      </c>
      <c r="V731" s="36">
        <f>IFERROR(U731/$AC731,0)</f>
        <v>3.5714285714285712E-2</v>
      </c>
      <c r="W731" s="17">
        <v>7</v>
      </c>
      <c r="X731" s="36">
        <f>IFERROR(W731/$AD731,0)</f>
        <v>5.1470588235294115E-2</v>
      </c>
      <c r="Y731" s="17">
        <v>14</v>
      </c>
      <c r="Z731" s="36">
        <f>IFERROR(Y731/$AC731,0)</f>
        <v>3.3333333333333333E-2</v>
      </c>
      <c r="AA731" s="17">
        <v>5</v>
      </c>
      <c r="AB731" s="36">
        <f>IFERROR(AA731/$AD731,0)</f>
        <v>3.6764705882352942E-2</v>
      </c>
      <c r="AC731" s="17">
        <v>420</v>
      </c>
      <c r="AD731" s="17">
        <v>136</v>
      </c>
    </row>
    <row r="732" spans="1:30" ht="15.75" customHeight="1" x14ac:dyDescent="0.25">
      <c r="A732" s="37">
        <v>2019</v>
      </c>
      <c r="B732" s="35">
        <v>170510</v>
      </c>
      <c r="C732" s="34" t="s">
        <v>151</v>
      </c>
      <c r="D732" s="34" t="s">
        <v>40</v>
      </c>
      <c r="E732" s="17">
        <v>18</v>
      </c>
      <c r="F732" s="36">
        <f>IFERROR(E732/$AC732,0)</f>
        <v>2.4861878453038673E-2</v>
      </c>
      <c r="G732" s="17">
        <v>8</v>
      </c>
      <c r="H732" s="36">
        <f>IFERROR(G732/$AD732,0)</f>
        <v>2.7210884353741496E-2</v>
      </c>
      <c r="I732" s="17">
        <v>290</v>
      </c>
      <c r="J732" s="36">
        <f>IFERROR(I732/$AC732,0)</f>
        <v>0.40055248618784528</v>
      </c>
      <c r="K732" s="17">
        <v>112</v>
      </c>
      <c r="L732" s="36">
        <f>IFERROR(K732/$AD732,0)</f>
        <v>0.38095238095238093</v>
      </c>
      <c r="M732" s="17">
        <v>233</v>
      </c>
      <c r="N732" s="36">
        <f>IFERROR(M732/$AC732,0)</f>
        <v>0.32182320441988949</v>
      </c>
      <c r="O732" s="17">
        <v>99</v>
      </c>
      <c r="P732" s="36">
        <f>IFERROR(O732/$AD732,0)</f>
        <v>0.33673469387755101</v>
      </c>
      <c r="Q732" s="17">
        <v>109</v>
      </c>
      <c r="R732" s="36">
        <f>IFERROR(Q732/$AC732,0)</f>
        <v>0.15055248618784531</v>
      </c>
      <c r="S732" s="17">
        <v>46</v>
      </c>
      <c r="T732" s="36">
        <f>IFERROR(S732/$AD732,0)</f>
        <v>0.15646258503401361</v>
      </c>
      <c r="U732" s="17">
        <v>54</v>
      </c>
      <c r="V732" s="36">
        <f>IFERROR(U732/$AC732,0)</f>
        <v>7.4585635359116026E-2</v>
      </c>
      <c r="W732" s="17">
        <v>20</v>
      </c>
      <c r="X732" s="36">
        <f>IFERROR(W732/$AD732,0)</f>
        <v>6.8027210884353748E-2</v>
      </c>
      <c r="Y732" s="17">
        <v>20</v>
      </c>
      <c r="Z732" s="36">
        <f>IFERROR(Y732/$AC732,0)</f>
        <v>2.7624309392265192E-2</v>
      </c>
      <c r="AA732" s="17">
        <v>9</v>
      </c>
      <c r="AB732" s="36">
        <f>IFERROR(AA732/$AD732,0)</f>
        <v>3.0612244897959183E-2</v>
      </c>
      <c r="AC732" s="17">
        <v>724</v>
      </c>
      <c r="AD732" s="17">
        <v>294</v>
      </c>
    </row>
    <row r="733" spans="1:30" ht="15.75" customHeight="1" x14ac:dyDescent="0.25">
      <c r="A733" s="37">
        <v>2019</v>
      </c>
      <c r="B733" s="35">
        <v>170460</v>
      </c>
      <c r="C733" s="34" t="s">
        <v>144</v>
      </c>
      <c r="D733" s="34" t="s">
        <v>41</v>
      </c>
      <c r="E733" s="17">
        <v>13</v>
      </c>
      <c r="F733" s="36">
        <f>IFERROR(E733/$AC733,0)</f>
        <v>3.0373831775700934E-2</v>
      </c>
      <c r="G733" s="17">
        <v>4</v>
      </c>
      <c r="H733" s="36">
        <f>IFERROR(G733/$AD733,0)</f>
        <v>3.3898305084745763E-2</v>
      </c>
      <c r="I733" s="17">
        <v>153</v>
      </c>
      <c r="J733" s="36">
        <f>IFERROR(I733/$AC733,0)</f>
        <v>0.3574766355140187</v>
      </c>
      <c r="K733" s="17">
        <v>50</v>
      </c>
      <c r="L733" s="36">
        <f>IFERROR(K733/$AD733,0)</f>
        <v>0.42372881355932202</v>
      </c>
      <c r="M733" s="17">
        <v>147</v>
      </c>
      <c r="N733" s="36">
        <f>IFERROR(M733/$AC733,0)</f>
        <v>0.34345794392523366</v>
      </c>
      <c r="O733" s="17">
        <v>39</v>
      </c>
      <c r="P733" s="36">
        <f>IFERROR(O733/$AD733,0)</f>
        <v>0.33050847457627119</v>
      </c>
      <c r="Q733" s="17">
        <v>82</v>
      </c>
      <c r="R733" s="36">
        <f>IFERROR(Q733/$AC733,0)</f>
        <v>0.19158878504672897</v>
      </c>
      <c r="S733" s="17">
        <v>15</v>
      </c>
      <c r="T733" s="36">
        <f>IFERROR(S733/$AD733,0)</f>
        <v>0.1271186440677966</v>
      </c>
      <c r="U733" s="17">
        <v>20</v>
      </c>
      <c r="V733" s="36">
        <f>IFERROR(U733/$AC733,0)</f>
        <v>4.6728971962616821E-2</v>
      </c>
      <c r="W733" s="17">
        <v>4</v>
      </c>
      <c r="X733" s="36">
        <f>IFERROR(W733/$AD733,0)</f>
        <v>3.3898305084745763E-2</v>
      </c>
      <c r="Y733" s="17">
        <v>13</v>
      </c>
      <c r="Z733" s="36">
        <f>IFERROR(Y733/$AC733,0)</f>
        <v>3.0373831775700934E-2</v>
      </c>
      <c r="AA733" s="17">
        <v>6</v>
      </c>
      <c r="AB733" s="36">
        <f>IFERROR(AA733/$AD733,0)</f>
        <v>5.0847457627118647E-2</v>
      </c>
      <c r="AC733" s="17">
        <v>428</v>
      </c>
      <c r="AD733" s="17">
        <v>118</v>
      </c>
    </row>
    <row r="734" spans="1:30" ht="15.75" customHeight="1" x14ac:dyDescent="0.25">
      <c r="A734" s="37">
        <v>2019</v>
      </c>
      <c r="B734" s="35">
        <v>170550</v>
      </c>
      <c r="C734" s="34" t="s">
        <v>150</v>
      </c>
      <c r="D734" s="34" t="s">
        <v>42</v>
      </c>
      <c r="E734" s="17">
        <v>113</v>
      </c>
      <c r="F734" s="36">
        <f>IFERROR(E734/$AC734,0)</f>
        <v>3.1138054560484983E-2</v>
      </c>
      <c r="G734" s="17">
        <v>41</v>
      </c>
      <c r="H734" s="36">
        <f>IFERROR(G734/$AD734,0)</f>
        <v>3.5436473638720829E-2</v>
      </c>
      <c r="I734" s="16">
        <v>1355</v>
      </c>
      <c r="J734" s="36">
        <f>IFERROR(I734/$AC734,0)</f>
        <v>0.37338109672085973</v>
      </c>
      <c r="K734" s="17">
        <v>461</v>
      </c>
      <c r="L734" s="36">
        <f>IFERROR(K734/$AD734,0)</f>
        <v>0.39844425237683667</v>
      </c>
      <c r="M734" s="16">
        <v>1173</v>
      </c>
      <c r="N734" s="36">
        <f>IFERROR(M734/$AC734,0)</f>
        <v>0.32322953981813174</v>
      </c>
      <c r="O734" s="17">
        <v>370</v>
      </c>
      <c r="P734" s="36">
        <f>IFERROR(O734/$AD734,0)</f>
        <v>0.31979256698357822</v>
      </c>
      <c r="Q734" s="17">
        <v>626</v>
      </c>
      <c r="R734" s="36">
        <f>IFERROR(Q734/$AC734,0)</f>
        <v>0.17249931110498759</v>
      </c>
      <c r="S734" s="17">
        <v>170</v>
      </c>
      <c r="T734" s="36">
        <f>IFERROR(S734/$AD734,0)</f>
        <v>0.14693171996542784</v>
      </c>
      <c r="U734" s="17">
        <v>266</v>
      </c>
      <c r="V734" s="36">
        <f>IFERROR(U734/$AC734,0)</f>
        <v>7.3298429319371722E-2</v>
      </c>
      <c r="W734" s="17">
        <v>85</v>
      </c>
      <c r="X734" s="36">
        <f>IFERROR(W734/$AD734,0)</f>
        <v>7.3465859982713919E-2</v>
      </c>
      <c r="Y734" s="17">
        <v>96</v>
      </c>
      <c r="Z734" s="36">
        <f>IFERROR(Y734/$AC734,0)</f>
        <v>2.6453568476164233E-2</v>
      </c>
      <c r="AA734" s="17">
        <v>30</v>
      </c>
      <c r="AB734" s="36">
        <f>IFERROR(AA734/$AD734,0)</f>
        <v>2.5929127052722559E-2</v>
      </c>
      <c r="AC734" s="16">
        <v>3629</v>
      </c>
      <c r="AD734" s="16">
        <v>1157</v>
      </c>
    </row>
    <row r="735" spans="1:30" ht="15.75" customHeight="1" x14ac:dyDescent="0.25">
      <c r="A735" s="37">
        <v>2019</v>
      </c>
      <c r="B735" s="35">
        <v>171670</v>
      </c>
      <c r="C735" s="34" t="s">
        <v>150</v>
      </c>
      <c r="D735" s="34" t="s">
        <v>43</v>
      </c>
      <c r="E735" s="17">
        <v>44</v>
      </c>
      <c r="F735" s="36">
        <f>IFERROR(E735/$AC735,0)</f>
        <v>3.3690658499234305E-2</v>
      </c>
      <c r="G735" s="17">
        <v>18</v>
      </c>
      <c r="H735" s="36">
        <f>IFERROR(G735/$AD735,0)</f>
        <v>3.9911308203991129E-2</v>
      </c>
      <c r="I735" s="17">
        <v>510</v>
      </c>
      <c r="J735" s="36">
        <f>IFERROR(I735/$AC735,0)</f>
        <v>0.39050535987748852</v>
      </c>
      <c r="K735" s="17">
        <v>187</v>
      </c>
      <c r="L735" s="36">
        <f>IFERROR(K735/$AD735,0)</f>
        <v>0.41463414634146339</v>
      </c>
      <c r="M735" s="17">
        <v>400</v>
      </c>
      <c r="N735" s="36">
        <f>IFERROR(M735/$AC735,0)</f>
        <v>0.30627871362940273</v>
      </c>
      <c r="O735" s="17">
        <v>132</v>
      </c>
      <c r="P735" s="36">
        <f>IFERROR(O735/$AD735,0)</f>
        <v>0.29268292682926828</v>
      </c>
      <c r="Q735" s="17">
        <v>239</v>
      </c>
      <c r="R735" s="36">
        <f>IFERROR(Q735/$AC735,0)</f>
        <v>0.18300153139356815</v>
      </c>
      <c r="S735" s="17">
        <v>77</v>
      </c>
      <c r="T735" s="36">
        <f>IFERROR(S735/$AD735,0)</f>
        <v>0.17073170731707318</v>
      </c>
      <c r="U735" s="17">
        <v>67</v>
      </c>
      <c r="V735" s="36">
        <f>IFERROR(U735/$AC735,0)</f>
        <v>5.1301684532924961E-2</v>
      </c>
      <c r="W735" s="17">
        <v>22</v>
      </c>
      <c r="X735" s="36">
        <f>IFERROR(W735/$AD735,0)</f>
        <v>4.878048780487805E-2</v>
      </c>
      <c r="Y735" s="17">
        <v>46</v>
      </c>
      <c r="Z735" s="36">
        <f>IFERROR(Y735/$AC735,0)</f>
        <v>3.5222052067381319E-2</v>
      </c>
      <c r="AA735" s="17">
        <v>15</v>
      </c>
      <c r="AB735" s="36">
        <f>IFERROR(AA735/$AD735,0)</f>
        <v>3.325942350332594E-2</v>
      </c>
      <c r="AC735" s="16">
        <v>1306</v>
      </c>
      <c r="AD735" s="17">
        <v>451</v>
      </c>
    </row>
    <row r="736" spans="1:30" ht="15.75" customHeight="1" x14ac:dyDescent="0.25">
      <c r="A736" s="37">
        <v>2019</v>
      </c>
      <c r="B736" s="35">
        <v>170555</v>
      </c>
      <c r="C736" s="34" t="s">
        <v>147</v>
      </c>
      <c r="D736" s="34" t="s">
        <v>44</v>
      </c>
      <c r="E736" s="17">
        <v>26</v>
      </c>
      <c r="F736" s="36">
        <f>IFERROR(E736/$AC736,0)</f>
        <v>3.0373831775700934E-2</v>
      </c>
      <c r="G736" s="17">
        <v>14</v>
      </c>
      <c r="H736" s="36">
        <f>IFERROR(G736/$AD736,0)</f>
        <v>6.1674008810572688E-2</v>
      </c>
      <c r="I736" s="17">
        <v>328</v>
      </c>
      <c r="J736" s="36">
        <f>IFERROR(I736/$AC736,0)</f>
        <v>0.38317757009345793</v>
      </c>
      <c r="K736" s="17">
        <v>92</v>
      </c>
      <c r="L736" s="36">
        <f>IFERROR(K736/$AD736,0)</f>
        <v>0.40528634361233479</v>
      </c>
      <c r="M736" s="17">
        <v>288</v>
      </c>
      <c r="N736" s="36">
        <f>IFERROR(M736/$AC736,0)</f>
        <v>0.3364485981308411</v>
      </c>
      <c r="O736" s="17">
        <v>74</v>
      </c>
      <c r="P736" s="36">
        <f>IFERROR(O736/$AD736,0)</f>
        <v>0.32599118942731276</v>
      </c>
      <c r="Q736" s="17">
        <v>145</v>
      </c>
      <c r="R736" s="36">
        <f>IFERROR(Q736/$AC736,0)</f>
        <v>0.16939252336448599</v>
      </c>
      <c r="S736" s="17">
        <v>35</v>
      </c>
      <c r="T736" s="36">
        <f>IFERROR(S736/$AD736,0)</f>
        <v>0.15418502202643172</v>
      </c>
      <c r="U736" s="17">
        <v>51</v>
      </c>
      <c r="V736" s="36">
        <f>IFERROR(U736/$AC736,0)</f>
        <v>5.9579439252336448E-2</v>
      </c>
      <c r="W736" s="17">
        <v>10</v>
      </c>
      <c r="X736" s="36">
        <f>IFERROR(W736/$AD736,0)</f>
        <v>4.405286343612335E-2</v>
      </c>
      <c r="Y736" s="17">
        <v>18</v>
      </c>
      <c r="Z736" s="36">
        <f>IFERROR(Y736/$AC736,0)</f>
        <v>2.1028037383177569E-2</v>
      </c>
      <c r="AA736" s="17">
        <v>2</v>
      </c>
      <c r="AB736" s="36">
        <f>IFERROR(AA736/$AD736,0)</f>
        <v>8.8105726872246704E-3</v>
      </c>
      <c r="AC736" s="17">
        <v>856</v>
      </c>
      <c r="AD736" s="17">
        <v>227</v>
      </c>
    </row>
    <row r="737" spans="1:30" ht="15.75" customHeight="1" x14ac:dyDescent="0.25">
      <c r="A737" s="37">
        <v>2019</v>
      </c>
      <c r="B737" s="35">
        <v>170560</v>
      </c>
      <c r="C737" s="34" t="s">
        <v>147</v>
      </c>
      <c r="D737" s="34" t="s">
        <v>45</v>
      </c>
      <c r="E737" s="17">
        <v>28</v>
      </c>
      <c r="F737" s="36">
        <f>IFERROR(E737/$AC737,0)</f>
        <v>2.3352793994995829E-2</v>
      </c>
      <c r="G737" s="17">
        <v>10</v>
      </c>
      <c r="H737" s="36">
        <f>IFERROR(G737/$AD737,0)</f>
        <v>2.717391304347826E-2</v>
      </c>
      <c r="I737" s="17">
        <v>501</v>
      </c>
      <c r="J737" s="36">
        <f>IFERROR(I737/$AC737,0)</f>
        <v>0.41784820683903251</v>
      </c>
      <c r="K737" s="17">
        <v>165</v>
      </c>
      <c r="L737" s="36">
        <f>IFERROR(K737/$AD737,0)</f>
        <v>0.4483695652173913</v>
      </c>
      <c r="M737" s="17">
        <v>405</v>
      </c>
      <c r="N737" s="36">
        <f>IFERROR(M737/$AC737,0)</f>
        <v>0.33778148457047541</v>
      </c>
      <c r="O737" s="17">
        <v>110</v>
      </c>
      <c r="P737" s="36">
        <f>IFERROR(O737/$AD737,0)</f>
        <v>0.29891304347826086</v>
      </c>
      <c r="Q737" s="17">
        <v>188</v>
      </c>
      <c r="R737" s="36">
        <f>IFERROR(Q737/$AC737,0)</f>
        <v>0.15679733110925773</v>
      </c>
      <c r="S737" s="17">
        <v>55</v>
      </c>
      <c r="T737" s="36">
        <f>IFERROR(S737/$AD737,0)</f>
        <v>0.14945652173913043</v>
      </c>
      <c r="U737" s="17">
        <v>48</v>
      </c>
      <c r="V737" s="36">
        <f>IFERROR(U737/$AC737,0)</f>
        <v>4.0033361134278564E-2</v>
      </c>
      <c r="W737" s="17">
        <v>13</v>
      </c>
      <c r="X737" s="36">
        <f>IFERROR(W737/$AD737,0)</f>
        <v>3.5326086956521736E-2</v>
      </c>
      <c r="Y737" s="17">
        <v>29</v>
      </c>
      <c r="Z737" s="36">
        <f>IFERROR(Y737/$AC737,0)</f>
        <v>2.4186822351959968E-2</v>
      </c>
      <c r="AA737" s="17">
        <v>15</v>
      </c>
      <c r="AB737" s="36">
        <f>IFERROR(AA737/$AD737,0)</f>
        <v>4.0760869565217392E-2</v>
      </c>
      <c r="AC737" s="16">
        <v>1199</v>
      </c>
      <c r="AD737" s="17">
        <v>368</v>
      </c>
    </row>
    <row r="738" spans="1:30" ht="15.75" customHeight="1" x14ac:dyDescent="0.25">
      <c r="A738" s="37">
        <v>2019</v>
      </c>
      <c r="B738" s="35">
        <v>170600</v>
      </c>
      <c r="C738" s="34" t="s">
        <v>150</v>
      </c>
      <c r="D738" s="34" t="s">
        <v>46</v>
      </c>
      <c r="E738" s="17">
        <v>14</v>
      </c>
      <c r="F738" s="36">
        <f>IFERROR(E738/$AC738,0)</f>
        <v>2.7131782945736434E-2</v>
      </c>
      <c r="G738" s="17">
        <v>6</v>
      </c>
      <c r="H738" s="36">
        <f>IFERROR(G738/$AD738,0)</f>
        <v>2.4291497975708502E-2</v>
      </c>
      <c r="I738" s="17">
        <v>199</v>
      </c>
      <c r="J738" s="36">
        <f>IFERROR(I738/$AC738,0)</f>
        <v>0.38565891472868219</v>
      </c>
      <c r="K738" s="17">
        <v>104</v>
      </c>
      <c r="L738" s="36">
        <f>IFERROR(K738/$AD738,0)</f>
        <v>0.42105263157894735</v>
      </c>
      <c r="M738" s="17">
        <v>167</v>
      </c>
      <c r="N738" s="36">
        <f>IFERROR(M738/$AC738,0)</f>
        <v>0.3236434108527132</v>
      </c>
      <c r="O738" s="17">
        <v>77</v>
      </c>
      <c r="P738" s="36">
        <f>IFERROR(O738/$AD738,0)</f>
        <v>0.31174089068825911</v>
      </c>
      <c r="Q738" s="17">
        <v>89</v>
      </c>
      <c r="R738" s="36">
        <f>IFERROR(Q738/$AC738,0)</f>
        <v>0.17248062015503876</v>
      </c>
      <c r="S738" s="17">
        <v>35</v>
      </c>
      <c r="T738" s="36">
        <f>IFERROR(S738/$AD738,0)</f>
        <v>0.1417004048582996</v>
      </c>
      <c r="U738" s="17">
        <v>33</v>
      </c>
      <c r="V738" s="36">
        <f>IFERROR(U738/$AC738,0)</f>
        <v>6.3953488372093026E-2</v>
      </c>
      <c r="W738" s="17">
        <v>18</v>
      </c>
      <c r="X738" s="36">
        <f>IFERROR(W738/$AD738,0)</f>
        <v>7.28744939271255E-2</v>
      </c>
      <c r="Y738" s="17">
        <v>14</v>
      </c>
      <c r="Z738" s="36">
        <f>IFERROR(Y738/$AC738,0)</f>
        <v>2.7131782945736434E-2</v>
      </c>
      <c r="AA738" s="17">
        <v>7</v>
      </c>
      <c r="AB738" s="36">
        <f>IFERROR(AA738/$AD738,0)</f>
        <v>2.8340080971659919E-2</v>
      </c>
      <c r="AC738" s="17">
        <v>516</v>
      </c>
      <c r="AD738" s="17">
        <v>247</v>
      </c>
    </row>
    <row r="739" spans="1:30" ht="15.75" customHeight="1" x14ac:dyDescent="0.25">
      <c r="A739" s="37">
        <v>2019</v>
      </c>
      <c r="B739" s="35">
        <v>170610</v>
      </c>
      <c r="C739" s="34" t="s">
        <v>144</v>
      </c>
      <c r="D739" s="34" t="s">
        <v>47</v>
      </c>
      <c r="E739" s="17">
        <v>10</v>
      </c>
      <c r="F739" s="36">
        <f>IFERROR(E739/$AC739,0)</f>
        <v>1.5948963317384369E-2</v>
      </c>
      <c r="G739" s="17">
        <v>7</v>
      </c>
      <c r="H739" s="36">
        <f>IFERROR(G739/$AD739,0)</f>
        <v>2.3026315789473683E-2</v>
      </c>
      <c r="I739" s="17">
        <v>243</v>
      </c>
      <c r="J739" s="36">
        <f>IFERROR(I739/$AC739,0)</f>
        <v>0.38755980861244022</v>
      </c>
      <c r="K739" s="17">
        <v>137</v>
      </c>
      <c r="L739" s="36">
        <f>IFERROR(K739/$AD739,0)</f>
        <v>0.45065789473684209</v>
      </c>
      <c r="M739" s="17">
        <v>210</v>
      </c>
      <c r="N739" s="36">
        <f>IFERROR(M739/$AC739,0)</f>
        <v>0.3349282296650718</v>
      </c>
      <c r="O739" s="17">
        <v>94</v>
      </c>
      <c r="P739" s="36">
        <f>IFERROR(O739/$AD739,0)</f>
        <v>0.30921052631578949</v>
      </c>
      <c r="Q739" s="17">
        <v>102</v>
      </c>
      <c r="R739" s="36">
        <f>IFERROR(Q739/$AC739,0)</f>
        <v>0.16267942583732056</v>
      </c>
      <c r="S739" s="17">
        <v>47</v>
      </c>
      <c r="T739" s="36">
        <f>IFERROR(S739/$AD739,0)</f>
        <v>0.15460526315789475</v>
      </c>
      <c r="U739" s="17">
        <v>47</v>
      </c>
      <c r="V739" s="36">
        <f>IFERROR(U739/$AC739,0)</f>
        <v>7.4960127591706532E-2</v>
      </c>
      <c r="W739" s="17">
        <v>15</v>
      </c>
      <c r="X739" s="36">
        <f>IFERROR(W739/$AD739,0)</f>
        <v>4.9342105263157895E-2</v>
      </c>
      <c r="Y739" s="17">
        <v>15</v>
      </c>
      <c r="Z739" s="36">
        <f>IFERROR(Y739/$AC739,0)</f>
        <v>2.3923444976076555E-2</v>
      </c>
      <c r="AA739" s="17">
        <v>4</v>
      </c>
      <c r="AB739" s="36">
        <f>IFERROR(AA739/$AD739,0)</f>
        <v>1.3157894736842105E-2</v>
      </c>
      <c r="AC739" s="17">
        <v>627</v>
      </c>
      <c r="AD739" s="17">
        <v>304</v>
      </c>
    </row>
    <row r="740" spans="1:30" ht="15.75" customHeight="1" x14ac:dyDescent="0.25">
      <c r="A740" s="37">
        <v>2019</v>
      </c>
      <c r="B740" s="35">
        <v>170625</v>
      </c>
      <c r="C740" s="34" t="s">
        <v>146</v>
      </c>
      <c r="D740" s="34" t="s">
        <v>48</v>
      </c>
      <c r="E740" s="17">
        <v>7</v>
      </c>
      <c r="F740" s="36">
        <f>IFERROR(E740/$AC740,0)</f>
        <v>2.3489932885906041E-2</v>
      </c>
      <c r="G740" s="17">
        <v>3</v>
      </c>
      <c r="H740" s="36">
        <f>IFERROR(G740/$AD740,0)</f>
        <v>5.7692307692307696E-2</v>
      </c>
      <c r="I740" s="17">
        <v>87</v>
      </c>
      <c r="J740" s="36">
        <f>IFERROR(I740/$AC740,0)</f>
        <v>0.29194630872483224</v>
      </c>
      <c r="K740" s="17">
        <v>16</v>
      </c>
      <c r="L740" s="36">
        <f>IFERROR(K740/$AD740,0)</f>
        <v>0.30769230769230771</v>
      </c>
      <c r="M740" s="17">
        <v>101</v>
      </c>
      <c r="N740" s="36">
        <f>IFERROR(M740/$AC740,0)</f>
        <v>0.33892617449664431</v>
      </c>
      <c r="O740" s="17">
        <v>15</v>
      </c>
      <c r="P740" s="36">
        <f>IFERROR(O740/$AD740,0)</f>
        <v>0.28846153846153844</v>
      </c>
      <c r="Q740" s="17">
        <v>62</v>
      </c>
      <c r="R740" s="36">
        <f>IFERROR(Q740/$AC740,0)</f>
        <v>0.20805369127516779</v>
      </c>
      <c r="S740" s="17">
        <v>6</v>
      </c>
      <c r="T740" s="36">
        <f>IFERROR(S740/$AD740,0)</f>
        <v>0.11538461538461539</v>
      </c>
      <c r="U740" s="17">
        <v>28</v>
      </c>
      <c r="V740" s="36">
        <f>IFERROR(U740/$AC740,0)</f>
        <v>9.3959731543624164E-2</v>
      </c>
      <c r="W740" s="17">
        <v>7</v>
      </c>
      <c r="X740" s="36">
        <f>IFERROR(W740/$AD740,0)</f>
        <v>0.13461538461538461</v>
      </c>
      <c r="Y740" s="17">
        <v>13</v>
      </c>
      <c r="Z740" s="36">
        <f>IFERROR(Y740/$AC740,0)</f>
        <v>4.3624161073825503E-2</v>
      </c>
      <c r="AA740" s="17">
        <v>5</v>
      </c>
      <c r="AB740" s="36">
        <f>IFERROR(AA740/$AD740,0)</f>
        <v>9.6153846153846159E-2</v>
      </c>
      <c r="AC740" s="17">
        <v>298</v>
      </c>
      <c r="AD740" s="17">
        <v>52</v>
      </c>
    </row>
    <row r="741" spans="1:30" ht="15.75" customHeight="1" x14ac:dyDescent="0.25">
      <c r="A741" s="37">
        <v>2019</v>
      </c>
      <c r="B741" s="35">
        <v>170650</v>
      </c>
      <c r="C741" s="34" t="s">
        <v>149</v>
      </c>
      <c r="D741" s="34" t="s">
        <v>49</v>
      </c>
      <c r="E741" s="17">
        <v>16</v>
      </c>
      <c r="F741" s="36">
        <f>IFERROR(E741/$AC741,0)</f>
        <v>3.9024390243902439E-2</v>
      </c>
      <c r="G741" s="17">
        <v>16</v>
      </c>
      <c r="H741" s="36">
        <f>IFERROR(G741/$AD741,0)</f>
        <v>4.8632218844984802E-2</v>
      </c>
      <c r="I741" s="17">
        <v>146</v>
      </c>
      <c r="J741" s="36">
        <f>IFERROR(I741/$AC741,0)</f>
        <v>0.35609756097560974</v>
      </c>
      <c r="K741" s="17">
        <v>126</v>
      </c>
      <c r="L741" s="36">
        <f>IFERROR(K741/$AD741,0)</f>
        <v>0.38297872340425532</v>
      </c>
      <c r="M741" s="17">
        <v>128</v>
      </c>
      <c r="N741" s="36">
        <f>IFERROR(M741/$AC741,0)</f>
        <v>0.31219512195121951</v>
      </c>
      <c r="O741" s="17">
        <v>95</v>
      </c>
      <c r="P741" s="36">
        <f>IFERROR(O741/$AD741,0)</f>
        <v>0.28875379939209728</v>
      </c>
      <c r="Q741" s="17">
        <v>72</v>
      </c>
      <c r="R741" s="36">
        <f>IFERROR(Q741/$AC741,0)</f>
        <v>0.17560975609756097</v>
      </c>
      <c r="S741" s="17">
        <v>56</v>
      </c>
      <c r="T741" s="36">
        <f>IFERROR(S741/$AD741,0)</f>
        <v>0.1702127659574468</v>
      </c>
      <c r="U741" s="17">
        <v>37</v>
      </c>
      <c r="V741" s="36">
        <f>IFERROR(U741/$AC741,0)</f>
        <v>9.0243902439024387E-2</v>
      </c>
      <c r="W741" s="17">
        <v>26</v>
      </c>
      <c r="X741" s="36">
        <f>IFERROR(W741/$AD741,0)</f>
        <v>7.9027355623100301E-2</v>
      </c>
      <c r="Y741" s="17">
        <v>11</v>
      </c>
      <c r="Z741" s="36">
        <f>IFERROR(Y741/$AC741,0)</f>
        <v>2.6829268292682926E-2</v>
      </c>
      <c r="AA741" s="17">
        <v>10</v>
      </c>
      <c r="AB741" s="36">
        <f>IFERROR(AA741/$AD741,0)</f>
        <v>3.0395136778115502E-2</v>
      </c>
      <c r="AC741" s="17">
        <v>410</v>
      </c>
      <c r="AD741" s="17">
        <v>329</v>
      </c>
    </row>
    <row r="742" spans="1:30" ht="15.75" customHeight="1" x14ac:dyDescent="0.25">
      <c r="A742" s="37">
        <v>2019</v>
      </c>
      <c r="B742" s="35">
        <v>170700</v>
      </c>
      <c r="C742" s="34" t="s">
        <v>147</v>
      </c>
      <c r="D742" s="34" t="s">
        <v>50</v>
      </c>
      <c r="E742" s="17">
        <v>90</v>
      </c>
      <c r="F742" s="36">
        <f>IFERROR(E742/$AC742,0)</f>
        <v>3.3395176252319109E-2</v>
      </c>
      <c r="G742" s="17">
        <v>42</v>
      </c>
      <c r="H742" s="36">
        <f>IFERROR(G742/$AD742,0)</f>
        <v>4.1791044776119404E-2</v>
      </c>
      <c r="I742" s="17">
        <v>951</v>
      </c>
      <c r="J742" s="36">
        <f>IFERROR(I742/$AC742,0)</f>
        <v>0.35287569573283861</v>
      </c>
      <c r="K742" s="17">
        <v>384</v>
      </c>
      <c r="L742" s="36">
        <f>IFERROR(K742/$AD742,0)</f>
        <v>0.38208955223880597</v>
      </c>
      <c r="M742" s="17">
        <v>944</v>
      </c>
      <c r="N742" s="36">
        <f>IFERROR(M742/$AC742,0)</f>
        <v>0.35027829313543601</v>
      </c>
      <c r="O742" s="17">
        <v>327</v>
      </c>
      <c r="P742" s="36">
        <f>IFERROR(O742/$AD742,0)</f>
        <v>0.32537313432835818</v>
      </c>
      <c r="Q742" s="17">
        <v>487</v>
      </c>
      <c r="R742" s="36">
        <f>IFERROR(Q742/$AC742,0)</f>
        <v>0.18070500927643784</v>
      </c>
      <c r="S742" s="17">
        <v>167</v>
      </c>
      <c r="T742" s="36">
        <f>IFERROR(S742/$AD742,0)</f>
        <v>0.16616915422885573</v>
      </c>
      <c r="U742" s="17">
        <v>161</v>
      </c>
      <c r="V742" s="36">
        <f>IFERROR(U742/$AC742,0)</f>
        <v>5.9740259740259739E-2</v>
      </c>
      <c r="W742" s="17">
        <v>56</v>
      </c>
      <c r="X742" s="36">
        <f>IFERROR(W742/$AD742,0)</f>
        <v>5.5721393034825872E-2</v>
      </c>
      <c r="Y742" s="17">
        <v>62</v>
      </c>
      <c r="Z742" s="36">
        <f>IFERROR(Y742/$AC742,0)</f>
        <v>2.3005565862708719E-2</v>
      </c>
      <c r="AA742" s="17">
        <v>29</v>
      </c>
      <c r="AB742" s="36">
        <f>IFERROR(AA742/$AD742,0)</f>
        <v>2.8855721393034824E-2</v>
      </c>
      <c r="AC742" s="16">
        <v>2695</v>
      </c>
      <c r="AD742" s="16">
        <v>1005</v>
      </c>
    </row>
    <row r="743" spans="1:30" ht="15.75" customHeight="1" x14ac:dyDescent="0.25">
      <c r="A743" s="37">
        <v>2019</v>
      </c>
      <c r="B743" s="35">
        <v>170710</v>
      </c>
      <c r="C743" s="34" t="s">
        <v>144</v>
      </c>
      <c r="D743" s="34" t="s">
        <v>51</v>
      </c>
      <c r="E743" s="17">
        <v>17</v>
      </c>
      <c r="F743" s="36">
        <f>IFERROR(E743/$AC743,0)</f>
        <v>1.7543859649122806E-2</v>
      </c>
      <c r="G743" s="17">
        <v>1</v>
      </c>
      <c r="H743" s="36">
        <f>IFERROR(G743/$AD743,0)</f>
        <v>8.5470085470085479E-3</v>
      </c>
      <c r="I743" s="17">
        <v>360</v>
      </c>
      <c r="J743" s="36">
        <f>IFERROR(I743/$AC743,0)</f>
        <v>0.37151702786377711</v>
      </c>
      <c r="K743" s="17">
        <v>49</v>
      </c>
      <c r="L743" s="36">
        <f>IFERROR(K743/$AD743,0)</f>
        <v>0.41880341880341881</v>
      </c>
      <c r="M743" s="17">
        <v>353</v>
      </c>
      <c r="N743" s="36">
        <f>IFERROR(M743/$AC743,0)</f>
        <v>0.36429308565531476</v>
      </c>
      <c r="O743" s="17">
        <v>36</v>
      </c>
      <c r="P743" s="36">
        <f>IFERROR(O743/$AD743,0)</f>
        <v>0.30769230769230771</v>
      </c>
      <c r="Q743" s="17">
        <v>146</v>
      </c>
      <c r="R743" s="36">
        <f>IFERROR(Q743/$AC743,0)</f>
        <v>0.15067079463364294</v>
      </c>
      <c r="S743" s="17">
        <v>18</v>
      </c>
      <c r="T743" s="36">
        <f>IFERROR(S743/$AD743,0)</f>
        <v>0.15384615384615385</v>
      </c>
      <c r="U743" s="17">
        <v>68</v>
      </c>
      <c r="V743" s="36">
        <f>IFERROR(U743/$AC743,0)</f>
        <v>7.0175438596491224E-2</v>
      </c>
      <c r="W743" s="17">
        <v>7</v>
      </c>
      <c r="X743" s="36">
        <f>IFERROR(W743/$AD743,0)</f>
        <v>5.9829059829059832E-2</v>
      </c>
      <c r="Y743" s="17">
        <v>25</v>
      </c>
      <c r="Z743" s="36">
        <f>IFERROR(Y743/$AC743,0)</f>
        <v>2.5799793601651185E-2</v>
      </c>
      <c r="AA743" s="17">
        <v>6</v>
      </c>
      <c r="AB743" s="36">
        <f>IFERROR(AA743/$AD743,0)</f>
        <v>5.128205128205128E-2</v>
      </c>
      <c r="AC743" s="17">
        <v>969</v>
      </c>
      <c r="AD743" s="17">
        <v>117</v>
      </c>
    </row>
    <row r="744" spans="1:30" ht="15.75" customHeight="1" x14ac:dyDescent="0.25">
      <c r="A744" s="37">
        <v>2019</v>
      </c>
      <c r="B744" s="35">
        <v>170720</v>
      </c>
      <c r="C744" s="34" t="s">
        <v>144</v>
      </c>
      <c r="D744" s="34" t="s">
        <v>52</v>
      </c>
      <c r="E744" s="17">
        <v>17</v>
      </c>
      <c r="F744" s="36">
        <f>IFERROR(E744/$AC744,0)</f>
        <v>1.7471736896197326E-2</v>
      </c>
      <c r="G744" s="17">
        <v>8</v>
      </c>
      <c r="H744" s="36">
        <f>IFERROR(G744/$AD744,0)</f>
        <v>2.0408163265306121E-2</v>
      </c>
      <c r="I744" s="17">
        <v>385</v>
      </c>
      <c r="J744" s="36">
        <f>IFERROR(I744/$AC744,0)</f>
        <v>0.39568345323741005</v>
      </c>
      <c r="K744" s="17">
        <v>136</v>
      </c>
      <c r="L744" s="36">
        <f>IFERROR(K744/$AD744,0)</f>
        <v>0.34693877551020408</v>
      </c>
      <c r="M744" s="17">
        <v>348</v>
      </c>
      <c r="N744" s="36">
        <f>IFERROR(M744/$AC744,0)</f>
        <v>0.35765673175745116</v>
      </c>
      <c r="O744" s="17">
        <v>136</v>
      </c>
      <c r="P744" s="36">
        <f>IFERROR(O744/$AD744,0)</f>
        <v>0.34693877551020408</v>
      </c>
      <c r="Q744" s="17">
        <v>150</v>
      </c>
      <c r="R744" s="36">
        <f>IFERROR(Q744/$AC744,0)</f>
        <v>0.15416238437821173</v>
      </c>
      <c r="S744" s="17">
        <v>64</v>
      </c>
      <c r="T744" s="36">
        <f>IFERROR(S744/$AD744,0)</f>
        <v>0.16326530612244897</v>
      </c>
      <c r="U744" s="17">
        <v>56</v>
      </c>
      <c r="V744" s="36">
        <f>IFERROR(U744/$AC744,0)</f>
        <v>5.7553956834532377E-2</v>
      </c>
      <c r="W744" s="17">
        <v>38</v>
      </c>
      <c r="X744" s="36">
        <f>IFERROR(W744/$AD744,0)</f>
        <v>9.6938775510204078E-2</v>
      </c>
      <c r="Y744" s="17">
        <v>17</v>
      </c>
      <c r="Z744" s="36">
        <f>IFERROR(Y744/$AC744,0)</f>
        <v>1.7471736896197326E-2</v>
      </c>
      <c r="AA744" s="17">
        <v>10</v>
      </c>
      <c r="AB744" s="36">
        <f>IFERROR(AA744/$AD744,0)</f>
        <v>2.5510204081632654E-2</v>
      </c>
      <c r="AC744" s="17">
        <v>973</v>
      </c>
      <c r="AD744" s="17">
        <v>392</v>
      </c>
    </row>
    <row r="745" spans="1:30" ht="15.75" customHeight="1" x14ac:dyDescent="0.25">
      <c r="A745" s="37">
        <v>2019</v>
      </c>
      <c r="B745" s="35">
        <v>170730</v>
      </c>
      <c r="C745" s="34" t="s">
        <v>146</v>
      </c>
      <c r="D745" s="34" t="s">
        <v>53</v>
      </c>
      <c r="E745" s="17">
        <v>15</v>
      </c>
      <c r="F745" s="36">
        <f>IFERROR(E745/$AC745,0)</f>
        <v>1.9108280254777069E-2</v>
      </c>
      <c r="G745" s="17">
        <v>6</v>
      </c>
      <c r="H745" s="36">
        <f>IFERROR(G745/$AD745,0)</f>
        <v>3.3519553072625698E-2</v>
      </c>
      <c r="I745" s="17">
        <v>248</v>
      </c>
      <c r="J745" s="36">
        <f>IFERROR(I745/$AC745,0)</f>
        <v>0.31592356687898088</v>
      </c>
      <c r="K745" s="17">
        <v>77</v>
      </c>
      <c r="L745" s="36">
        <f>IFERROR(K745/$AD745,0)</f>
        <v>0.43016759776536312</v>
      </c>
      <c r="M745" s="17">
        <v>284</v>
      </c>
      <c r="N745" s="36">
        <f>IFERROR(M745/$AC745,0)</f>
        <v>0.36178343949044584</v>
      </c>
      <c r="O745" s="17">
        <v>48</v>
      </c>
      <c r="P745" s="36">
        <f>IFERROR(O745/$AD745,0)</f>
        <v>0.26815642458100558</v>
      </c>
      <c r="Q745" s="17">
        <v>162</v>
      </c>
      <c r="R745" s="36">
        <f>IFERROR(Q745/$AC745,0)</f>
        <v>0.20636942675159237</v>
      </c>
      <c r="S745" s="17">
        <v>29</v>
      </c>
      <c r="T745" s="36">
        <f>IFERROR(S745/$AD745,0)</f>
        <v>0.16201117318435754</v>
      </c>
      <c r="U745" s="17">
        <v>52</v>
      </c>
      <c r="V745" s="36">
        <f>IFERROR(U745/$AC745,0)</f>
        <v>6.6242038216560509E-2</v>
      </c>
      <c r="W745" s="17">
        <v>13</v>
      </c>
      <c r="X745" s="36">
        <f>IFERROR(W745/$AD745,0)</f>
        <v>7.2625698324022353E-2</v>
      </c>
      <c r="Y745" s="17">
        <v>24</v>
      </c>
      <c r="Z745" s="36">
        <f>IFERROR(Y745/$AC745,0)</f>
        <v>3.0573248407643312E-2</v>
      </c>
      <c r="AA745" s="17">
        <v>6</v>
      </c>
      <c r="AB745" s="36">
        <f>IFERROR(AA745/$AD745,0)</f>
        <v>3.3519553072625698E-2</v>
      </c>
      <c r="AC745" s="17">
        <v>785</v>
      </c>
      <c r="AD745" s="17">
        <v>179</v>
      </c>
    </row>
    <row r="746" spans="1:30" ht="15.75" customHeight="1" x14ac:dyDescent="0.25">
      <c r="A746" s="37">
        <v>2019</v>
      </c>
      <c r="B746" s="35">
        <v>170740</v>
      </c>
      <c r="C746" s="34" t="s">
        <v>145</v>
      </c>
      <c r="D746" s="34" t="s">
        <v>54</v>
      </c>
      <c r="E746" s="17">
        <v>61</v>
      </c>
      <c r="F746" s="36">
        <f>IFERROR(E746/$AC746,0)</f>
        <v>4.4952100221075902E-2</v>
      </c>
      <c r="G746" s="17">
        <v>57</v>
      </c>
      <c r="H746" s="36">
        <f>IFERROR(G746/$AD746,0)</f>
        <v>4.8801369863013699E-2</v>
      </c>
      <c r="I746" s="17">
        <v>454</v>
      </c>
      <c r="J746" s="36">
        <f>IFERROR(I746/$AC746,0)</f>
        <v>0.33456153279292555</v>
      </c>
      <c r="K746" s="17">
        <v>400</v>
      </c>
      <c r="L746" s="36">
        <f>IFERROR(K746/$AD746,0)</f>
        <v>0.34246575342465752</v>
      </c>
      <c r="M746" s="17">
        <v>505</v>
      </c>
      <c r="N746" s="36">
        <f>IFERROR(M746/$AC746,0)</f>
        <v>0.37214443625644805</v>
      </c>
      <c r="O746" s="17">
        <v>417</v>
      </c>
      <c r="P746" s="36">
        <f>IFERROR(O746/$AD746,0)</f>
        <v>0.35702054794520549</v>
      </c>
      <c r="Q746" s="17">
        <v>229</v>
      </c>
      <c r="R746" s="36">
        <f>IFERROR(Q746/$AC746,0)</f>
        <v>0.16875460574797346</v>
      </c>
      <c r="S746" s="17">
        <v>197</v>
      </c>
      <c r="T746" s="36">
        <f>IFERROR(S746/$AD746,0)</f>
        <v>0.16866438356164384</v>
      </c>
      <c r="U746" s="17">
        <v>78</v>
      </c>
      <c r="V746" s="36">
        <f>IFERROR(U746/$AC746,0)</f>
        <v>5.7479734708916728E-2</v>
      </c>
      <c r="W746" s="17">
        <v>68</v>
      </c>
      <c r="X746" s="36">
        <f>IFERROR(W746/$AD746,0)</f>
        <v>5.8219178082191778E-2</v>
      </c>
      <c r="Y746" s="17">
        <v>30</v>
      </c>
      <c r="Z746" s="36">
        <f>IFERROR(Y746/$AC746,0)</f>
        <v>2.210759027266028E-2</v>
      </c>
      <c r="AA746" s="17">
        <v>29</v>
      </c>
      <c r="AB746" s="36">
        <f>IFERROR(AA746/$AD746,0)</f>
        <v>2.482876712328767E-2</v>
      </c>
      <c r="AC746" s="16">
        <v>1357</v>
      </c>
      <c r="AD746" s="16">
        <v>1168</v>
      </c>
    </row>
    <row r="747" spans="1:30" ht="15.75" customHeight="1" x14ac:dyDescent="0.25">
      <c r="A747" s="37">
        <v>2019</v>
      </c>
      <c r="B747" s="35">
        <v>170755</v>
      </c>
      <c r="C747" s="34" t="s">
        <v>151</v>
      </c>
      <c r="D747" s="34" t="s">
        <v>55</v>
      </c>
      <c r="E747" s="17">
        <v>3</v>
      </c>
      <c r="F747" s="36">
        <f>IFERROR(E747/$AC747,0)</f>
        <v>1.2711864406779662E-2</v>
      </c>
      <c r="G747" s="17">
        <v>1</v>
      </c>
      <c r="H747" s="36">
        <f>IFERROR(G747/$AD747,0)</f>
        <v>1.3698630136986301E-2</v>
      </c>
      <c r="I747" s="17">
        <v>75</v>
      </c>
      <c r="J747" s="36">
        <f>IFERROR(I747/$AC747,0)</f>
        <v>0.31779661016949151</v>
      </c>
      <c r="K747" s="17">
        <v>27</v>
      </c>
      <c r="L747" s="36">
        <f>IFERROR(K747/$AD747,0)</f>
        <v>0.36986301369863012</v>
      </c>
      <c r="M747" s="17">
        <v>85</v>
      </c>
      <c r="N747" s="36">
        <f>IFERROR(M747/$AC747,0)</f>
        <v>0.36016949152542371</v>
      </c>
      <c r="O747" s="17">
        <v>26</v>
      </c>
      <c r="P747" s="36">
        <f>IFERROR(O747/$AD747,0)</f>
        <v>0.35616438356164382</v>
      </c>
      <c r="Q747" s="17">
        <v>40</v>
      </c>
      <c r="R747" s="36">
        <f>IFERROR(Q747/$AC747,0)</f>
        <v>0.16949152542372881</v>
      </c>
      <c r="S747" s="17">
        <v>11</v>
      </c>
      <c r="T747" s="36">
        <f>IFERROR(S747/$AD747,0)</f>
        <v>0.15068493150684931</v>
      </c>
      <c r="U747" s="17">
        <v>27</v>
      </c>
      <c r="V747" s="36">
        <f>IFERROR(U747/$AC747,0)</f>
        <v>0.11440677966101695</v>
      </c>
      <c r="W747" s="17">
        <v>8</v>
      </c>
      <c r="X747" s="36">
        <f>IFERROR(W747/$AD747,0)</f>
        <v>0.1095890410958904</v>
      </c>
      <c r="Y747" s="17">
        <v>6</v>
      </c>
      <c r="Z747" s="36">
        <f>IFERROR(Y747/$AC747,0)</f>
        <v>2.5423728813559324E-2</v>
      </c>
      <c r="AA747" s="17">
        <v>0</v>
      </c>
      <c r="AB747" s="36">
        <f>IFERROR(AA747/$AD747,0)</f>
        <v>0</v>
      </c>
      <c r="AC747" s="17">
        <v>236</v>
      </c>
      <c r="AD747" s="17">
        <v>73</v>
      </c>
    </row>
    <row r="748" spans="1:30" ht="15.75" customHeight="1" x14ac:dyDescent="0.25">
      <c r="A748" s="37">
        <v>2019</v>
      </c>
      <c r="B748" s="35">
        <v>170765</v>
      </c>
      <c r="C748" s="34" t="s">
        <v>146</v>
      </c>
      <c r="D748" s="34" t="s">
        <v>56</v>
      </c>
      <c r="E748" s="17">
        <v>14</v>
      </c>
      <c r="F748" s="36">
        <f>IFERROR(E748/$AC748,0)</f>
        <v>3.0837004405286344E-2</v>
      </c>
      <c r="G748" s="17">
        <v>12</v>
      </c>
      <c r="H748" s="36">
        <f>IFERROR(G748/$AD748,0)</f>
        <v>3.6036036036036036E-2</v>
      </c>
      <c r="I748" s="17">
        <v>159</v>
      </c>
      <c r="J748" s="36">
        <f>IFERROR(I748/$AC748,0)</f>
        <v>0.35022026431718062</v>
      </c>
      <c r="K748" s="17">
        <v>122</v>
      </c>
      <c r="L748" s="36">
        <f>IFERROR(K748/$AD748,0)</f>
        <v>0.36636636636636638</v>
      </c>
      <c r="M748" s="17">
        <v>132</v>
      </c>
      <c r="N748" s="36">
        <f>IFERROR(M748/$AC748,0)</f>
        <v>0.29074889867841408</v>
      </c>
      <c r="O748" s="17">
        <v>91</v>
      </c>
      <c r="P748" s="36">
        <f>IFERROR(O748/$AD748,0)</f>
        <v>0.27327327327327328</v>
      </c>
      <c r="Q748" s="17">
        <v>96</v>
      </c>
      <c r="R748" s="36">
        <f>IFERROR(Q748/$AC748,0)</f>
        <v>0.21145374449339208</v>
      </c>
      <c r="S748" s="17">
        <v>64</v>
      </c>
      <c r="T748" s="36">
        <f>IFERROR(S748/$AD748,0)</f>
        <v>0.19219219219219219</v>
      </c>
      <c r="U748" s="17">
        <v>35</v>
      </c>
      <c r="V748" s="36">
        <f>IFERROR(U748/$AC748,0)</f>
        <v>7.7092511013215861E-2</v>
      </c>
      <c r="W748" s="17">
        <v>28</v>
      </c>
      <c r="X748" s="36">
        <f>IFERROR(W748/$AD748,0)</f>
        <v>8.408408408408409E-2</v>
      </c>
      <c r="Y748" s="17">
        <v>18</v>
      </c>
      <c r="Z748" s="36">
        <f>IFERROR(Y748/$AC748,0)</f>
        <v>3.9647577092511016E-2</v>
      </c>
      <c r="AA748" s="17">
        <v>16</v>
      </c>
      <c r="AB748" s="36">
        <f>IFERROR(AA748/$AD748,0)</f>
        <v>4.8048048048048048E-2</v>
      </c>
      <c r="AC748" s="17">
        <v>454</v>
      </c>
      <c r="AD748" s="17">
        <v>333</v>
      </c>
    </row>
    <row r="749" spans="1:30" ht="15.75" customHeight="1" x14ac:dyDescent="0.25">
      <c r="A749" s="37">
        <v>2019</v>
      </c>
      <c r="B749" s="35">
        <v>170770</v>
      </c>
      <c r="C749" s="34" t="s">
        <v>149</v>
      </c>
      <c r="D749" s="34" t="s">
        <v>57</v>
      </c>
      <c r="E749" s="17">
        <v>40</v>
      </c>
      <c r="F749" s="36">
        <f>IFERROR(E749/$AC749,0)</f>
        <v>2.717391304347826E-2</v>
      </c>
      <c r="G749" s="17">
        <v>25</v>
      </c>
      <c r="H749" s="36">
        <f>IFERROR(G749/$AD749,0)</f>
        <v>3.551136363636364E-2</v>
      </c>
      <c r="I749" s="17">
        <v>481</v>
      </c>
      <c r="J749" s="36">
        <f>IFERROR(I749/$AC749,0)</f>
        <v>0.32676630434782611</v>
      </c>
      <c r="K749" s="17">
        <v>240</v>
      </c>
      <c r="L749" s="36">
        <f>IFERROR(K749/$AD749,0)</f>
        <v>0.34090909090909088</v>
      </c>
      <c r="M749" s="17">
        <v>510</v>
      </c>
      <c r="N749" s="36">
        <f>IFERROR(M749/$AC749,0)</f>
        <v>0.34646739130434784</v>
      </c>
      <c r="O749" s="17">
        <v>220</v>
      </c>
      <c r="P749" s="36">
        <f>IFERROR(O749/$AD749,0)</f>
        <v>0.3125</v>
      </c>
      <c r="Q749" s="17">
        <v>277</v>
      </c>
      <c r="R749" s="36">
        <f>IFERROR(Q749/$AC749,0)</f>
        <v>0.18817934782608695</v>
      </c>
      <c r="S749" s="17">
        <v>142</v>
      </c>
      <c r="T749" s="36">
        <f>IFERROR(S749/$AD749,0)</f>
        <v>0.20170454545454544</v>
      </c>
      <c r="U749" s="17">
        <v>112</v>
      </c>
      <c r="V749" s="36">
        <f>IFERROR(U749/$AC749,0)</f>
        <v>7.6086956521739135E-2</v>
      </c>
      <c r="W749" s="17">
        <v>53</v>
      </c>
      <c r="X749" s="36">
        <f>IFERROR(W749/$AD749,0)</f>
        <v>7.5284090909090912E-2</v>
      </c>
      <c r="Y749" s="17">
        <v>52</v>
      </c>
      <c r="Z749" s="36">
        <f>IFERROR(Y749/$AC749,0)</f>
        <v>3.5326086956521736E-2</v>
      </c>
      <c r="AA749" s="17">
        <v>24</v>
      </c>
      <c r="AB749" s="36">
        <f>IFERROR(AA749/$AD749,0)</f>
        <v>3.4090909090909088E-2</v>
      </c>
      <c r="AC749" s="16">
        <v>1472</v>
      </c>
      <c r="AD749" s="17">
        <v>704</v>
      </c>
    </row>
    <row r="750" spans="1:30" ht="15.75" customHeight="1" x14ac:dyDescent="0.25">
      <c r="A750" s="37">
        <v>2019</v>
      </c>
      <c r="B750" s="35">
        <v>170820</v>
      </c>
      <c r="C750" s="34" t="s">
        <v>146</v>
      </c>
      <c r="D750" s="34" t="s">
        <v>58</v>
      </c>
      <c r="E750" s="17">
        <v>37</v>
      </c>
      <c r="F750" s="36">
        <f>IFERROR(E750/$AC750,0)</f>
        <v>2.9838709677419355E-2</v>
      </c>
      <c r="G750" s="17">
        <v>32</v>
      </c>
      <c r="H750" s="36">
        <f>IFERROR(G750/$AD750,0)</f>
        <v>3.5674470457079152E-2</v>
      </c>
      <c r="I750" s="17">
        <v>427</v>
      </c>
      <c r="J750" s="36">
        <f>IFERROR(I750/$AC750,0)</f>
        <v>0.34435483870967742</v>
      </c>
      <c r="K750" s="17">
        <v>325</v>
      </c>
      <c r="L750" s="36">
        <f>IFERROR(K750/$AD750,0)</f>
        <v>0.36231884057971014</v>
      </c>
      <c r="M750" s="17">
        <v>416</v>
      </c>
      <c r="N750" s="36">
        <f>IFERROR(M750/$AC750,0)</f>
        <v>0.33548387096774196</v>
      </c>
      <c r="O750" s="17">
        <v>294</v>
      </c>
      <c r="P750" s="36">
        <f>IFERROR(O750/$AD750,0)</f>
        <v>0.32775919732441472</v>
      </c>
      <c r="Q750" s="17">
        <v>241</v>
      </c>
      <c r="R750" s="36">
        <f>IFERROR(Q750/$AC750,0)</f>
        <v>0.19435483870967743</v>
      </c>
      <c r="S750" s="17">
        <v>162</v>
      </c>
      <c r="T750" s="36">
        <f>IFERROR(S750/$AD750,0)</f>
        <v>0.1806020066889632</v>
      </c>
      <c r="U750" s="17">
        <v>84</v>
      </c>
      <c r="V750" s="36">
        <f>IFERROR(U750/$AC750,0)</f>
        <v>6.7741935483870974E-2</v>
      </c>
      <c r="W750" s="17">
        <v>61</v>
      </c>
      <c r="X750" s="36">
        <f>IFERROR(W750/$AD750,0)</f>
        <v>6.8004459308807136E-2</v>
      </c>
      <c r="Y750" s="17">
        <v>35</v>
      </c>
      <c r="Z750" s="36">
        <f>IFERROR(Y750/$AC750,0)</f>
        <v>2.8225806451612902E-2</v>
      </c>
      <c r="AA750" s="17">
        <v>23</v>
      </c>
      <c r="AB750" s="36">
        <f>IFERROR(AA750/$AD750,0)</f>
        <v>2.564102564102564E-2</v>
      </c>
      <c r="AC750" s="16">
        <v>1240</v>
      </c>
      <c r="AD750" s="17">
        <v>897</v>
      </c>
    </row>
    <row r="751" spans="1:30" ht="15.75" customHeight="1" x14ac:dyDescent="0.25">
      <c r="A751" s="37">
        <v>2019</v>
      </c>
      <c r="B751" s="35">
        <v>170830</v>
      </c>
      <c r="C751" s="34" t="s">
        <v>150</v>
      </c>
      <c r="D751" s="34" t="s">
        <v>59</v>
      </c>
      <c r="E751" s="17">
        <v>13</v>
      </c>
      <c r="F751" s="36">
        <f>IFERROR(E751/$AC751,0)</f>
        <v>2.3853211009174313E-2</v>
      </c>
      <c r="G751" s="17">
        <v>4</v>
      </c>
      <c r="H751" s="36">
        <f>IFERROR(G751/$AD751,0)</f>
        <v>1.9900497512437811E-2</v>
      </c>
      <c r="I751" s="17">
        <v>195</v>
      </c>
      <c r="J751" s="36">
        <f>IFERROR(I751/$AC751,0)</f>
        <v>0.3577981651376147</v>
      </c>
      <c r="K751" s="17">
        <v>79</v>
      </c>
      <c r="L751" s="36">
        <f>IFERROR(K751/$AD751,0)</f>
        <v>0.39303482587064675</v>
      </c>
      <c r="M751" s="17">
        <v>192</v>
      </c>
      <c r="N751" s="36">
        <f>IFERROR(M751/$AC751,0)</f>
        <v>0.3522935779816514</v>
      </c>
      <c r="O751" s="17">
        <v>73</v>
      </c>
      <c r="P751" s="36">
        <f>IFERROR(O751/$AD751,0)</f>
        <v>0.36318407960199006</v>
      </c>
      <c r="Q751" s="17">
        <v>90</v>
      </c>
      <c r="R751" s="36">
        <f>IFERROR(Q751/$AC751,0)</f>
        <v>0.16513761467889909</v>
      </c>
      <c r="S751" s="17">
        <v>29</v>
      </c>
      <c r="T751" s="36">
        <f>IFERROR(S751/$AD751,0)</f>
        <v>0.14427860696517414</v>
      </c>
      <c r="U751" s="17">
        <v>40</v>
      </c>
      <c r="V751" s="36">
        <f>IFERROR(U751/$AC751,0)</f>
        <v>7.3394495412844041E-2</v>
      </c>
      <c r="W751" s="17">
        <v>14</v>
      </c>
      <c r="X751" s="36">
        <f>IFERROR(W751/$AD751,0)</f>
        <v>6.965174129353234E-2</v>
      </c>
      <c r="Y751" s="17">
        <v>15</v>
      </c>
      <c r="Z751" s="36">
        <f>IFERROR(Y751/$AC751,0)</f>
        <v>2.7522935779816515E-2</v>
      </c>
      <c r="AA751" s="17">
        <v>2</v>
      </c>
      <c r="AB751" s="36">
        <f>IFERROR(AA751/$AD751,0)</f>
        <v>9.9502487562189053E-3</v>
      </c>
      <c r="AC751" s="17">
        <v>545</v>
      </c>
      <c r="AD751" s="17">
        <v>201</v>
      </c>
    </row>
    <row r="752" spans="1:30" ht="15.75" customHeight="1" x14ac:dyDescent="0.25">
      <c r="A752" s="37">
        <v>2019</v>
      </c>
      <c r="B752" s="35">
        <v>170900</v>
      </c>
      <c r="C752" s="34" t="s">
        <v>149</v>
      </c>
      <c r="D752" s="34" t="s">
        <v>60</v>
      </c>
      <c r="E752" s="17">
        <v>35</v>
      </c>
      <c r="F752" s="36">
        <f>IFERROR(E752/$AC752,0)</f>
        <v>2.7494108405341711E-2</v>
      </c>
      <c r="G752" s="17">
        <v>25</v>
      </c>
      <c r="H752" s="36">
        <f>IFERROR(G752/$AD752,0)</f>
        <v>3.0599755201958383E-2</v>
      </c>
      <c r="I752" s="17">
        <v>535</v>
      </c>
      <c r="J752" s="36">
        <f>IFERROR(I752/$AC752,0)</f>
        <v>0.42026708562450904</v>
      </c>
      <c r="K752" s="17">
        <v>363</v>
      </c>
      <c r="L752" s="36">
        <f>IFERROR(K752/$AD752,0)</f>
        <v>0.44430844553243576</v>
      </c>
      <c r="M752" s="17">
        <v>430</v>
      </c>
      <c r="N752" s="36">
        <f>IFERROR(M752/$AC752,0)</f>
        <v>0.33778476040848388</v>
      </c>
      <c r="O752" s="17">
        <v>258</v>
      </c>
      <c r="P752" s="36">
        <f>IFERROR(O752/$AD752,0)</f>
        <v>0.31578947368421051</v>
      </c>
      <c r="Q752" s="17">
        <v>190</v>
      </c>
      <c r="R752" s="36">
        <f>IFERROR(Q752/$AC752,0)</f>
        <v>0.14925373134328357</v>
      </c>
      <c r="S752" s="17">
        <v>120</v>
      </c>
      <c r="T752" s="36">
        <f>IFERROR(S752/$AD752,0)</f>
        <v>0.14687882496940025</v>
      </c>
      <c r="U752" s="17">
        <v>62</v>
      </c>
      <c r="V752" s="36">
        <f>IFERROR(U752/$AC752,0)</f>
        <v>4.8703849175176749E-2</v>
      </c>
      <c r="W752" s="17">
        <v>39</v>
      </c>
      <c r="X752" s="36">
        <f>IFERROR(W752/$AD752,0)</f>
        <v>4.7735618115055077E-2</v>
      </c>
      <c r="Y752" s="17">
        <v>21</v>
      </c>
      <c r="Z752" s="36">
        <f>IFERROR(Y752/$AC752,0)</f>
        <v>1.6496465043205028E-2</v>
      </c>
      <c r="AA752" s="17">
        <v>12</v>
      </c>
      <c r="AB752" s="36">
        <f>IFERROR(AA752/$AD752,0)</f>
        <v>1.4687882496940025E-2</v>
      </c>
      <c r="AC752" s="16">
        <v>1273</v>
      </c>
      <c r="AD752" s="17">
        <v>817</v>
      </c>
    </row>
    <row r="753" spans="1:30" ht="15.75" customHeight="1" x14ac:dyDescent="0.25">
      <c r="A753" s="37">
        <v>2019</v>
      </c>
      <c r="B753" s="35">
        <v>170930</v>
      </c>
      <c r="C753" s="34" t="s">
        <v>150</v>
      </c>
      <c r="D753" s="34" t="s">
        <v>61</v>
      </c>
      <c r="E753" s="17">
        <v>71</v>
      </c>
      <c r="F753" s="36">
        <f>IFERROR(E753/$AC753,0)</f>
        <v>2.0863943579194827E-2</v>
      </c>
      <c r="G753" s="17">
        <v>15</v>
      </c>
      <c r="H753" s="36">
        <f>IFERROR(G753/$AD753,0)</f>
        <v>2.3219814241486069E-2</v>
      </c>
      <c r="I753" s="16">
        <v>1143</v>
      </c>
      <c r="J753" s="36">
        <f>IFERROR(I753/$AC753,0)</f>
        <v>0.33588010578900968</v>
      </c>
      <c r="K753" s="17">
        <v>228</v>
      </c>
      <c r="L753" s="36">
        <f>IFERROR(K753/$AD753,0)</f>
        <v>0.35294117647058826</v>
      </c>
      <c r="M753" s="16">
        <v>1272</v>
      </c>
      <c r="N753" s="36">
        <f>IFERROR(M753/$AC753,0)</f>
        <v>0.37378783426388479</v>
      </c>
      <c r="O753" s="17">
        <v>221</v>
      </c>
      <c r="P753" s="36">
        <f>IFERROR(O753/$AD753,0)</f>
        <v>0.34210526315789475</v>
      </c>
      <c r="Q753" s="17">
        <v>615</v>
      </c>
      <c r="R753" s="36">
        <f>IFERROR(Q753/$AC753,0)</f>
        <v>0.18072289156626506</v>
      </c>
      <c r="S753" s="17">
        <v>117</v>
      </c>
      <c r="T753" s="36">
        <f>IFERROR(S753/$AD753,0)</f>
        <v>0.18111455108359134</v>
      </c>
      <c r="U753" s="17">
        <v>227</v>
      </c>
      <c r="V753" s="36">
        <f>IFERROR(U753/$AC753,0)</f>
        <v>6.6705847781369385E-2</v>
      </c>
      <c r="W753" s="17">
        <v>43</v>
      </c>
      <c r="X753" s="36">
        <f>IFERROR(W753/$AD753,0)</f>
        <v>6.6563467492260067E-2</v>
      </c>
      <c r="Y753" s="17">
        <v>75</v>
      </c>
      <c r="Z753" s="36">
        <f>IFERROR(Y753/$AC753,0)</f>
        <v>2.2039377020276227E-2</v>
      </c>
      <c r="AA753" s="17">
        <v>22</v>
      </c>
      <c r="AB753" s="36">
        <f>IFERROR(AA753/$AD753,0)</f>
        <v>3.4055727554179564E-2</v>
      </c>
      <c r="AC753" s="16">
        <v>3403</v>
      </c>
      <c r="AD753" s="17">
        <v>646</v>
      </c>
    </row>
    <row r="754" spans="1:30" ht="15.75" customHeight="1" x14ac:dyDescent="0.25">
      <c r="A754" s="37">
        <v>2019</v>
      </c>
      <c r="B754" s="35">
        <v>170950</v>
      </c>
      <c r="C754" s="34" t="s">
        <v>146</v>
      </c>
      <c r="D754" s="34" t="s">
        <v>62</v>
      </c>
      <c r="E754" s="17">
        <v>81</v>
      </c>
      <c r="F754" s="36">
        <f>IFERROR(E754/$AC754,0)</f>
        <v>2.1394611727416798E-2</v>
      </c>
      <c r="G754" s="17">
        <v>65</v>
      </c>
      <c r="H754" s="36">
        <f>IFERROR(G754/$AD754,0)</f>
        <v>2.2444751381215471E-2</v>
      </c>
      <c r="I754" s="16">
        <v>1819</v>
      </c>
      <c r="J754" s="36">
        <f>IFERROR(I754/$AC754,0)</f>
        <v>0.48045430533544636</v>
      </c>
      <c r="K754" s="16">
        <v>1495</v>
      </c>
      <c r="L754" s="36">
        <f>IFERROR(K754/$AD754,0)</f>
        <v>0.51622928176795579</v>
      </c>
      <c r="M754" s="16">
        <v>1239</v>
      </c>
      <c r="N754" s="36">
        <f>IFERROR(M754/$AC754,0)</f>
        <v>0.32725832012678291</v>
      </c>
      <c r="O754" s="17">
        <v>942</v>
      </c>
      <c r="P754" s="36">
        <f>IFERROR(O754/$AD754,0)</f>
        <v>0.32527624309392267</v>
      </c>
      <c r="Q754" s="17">
        <v>422</v>
      </c>
      <c r="R754" s="36">
        <f>IFERROR(Q754/$AC754,0)</f>
        <v>0.11146328578975172</v>
      </c>
      <c r="S754" s="17">
        <v>255</v>
      </c>
      <c r="T754" s="36">
        <f>IFERROR(S754/$AD754,0)</f>
        <v>8.8052486187845308E-2</v>
      </c>
      <c r="U754" s="17">
        <v>157</v>
      </c>
      <c r="V754" s="36">
        <f>IFERROR(U754/$AC754,0)</f>
        <v>4.1468568409931329E-2</v>
      </c>
      <c r="W754" s="17">
        <v>95</v>
      </c>
      <c r="X754" s="36">
        <f>IFERROR(W754/$AD754,0)</f>
        <v>3.2803867403314917E-2</v>
      </c>
      <c r="Y754" s="17">
        <v>68</v>
      </c>
      <c r="Z754" s="36">
        <f>IFERROR(Y754/$AC754,0)</f>
        <v>1.7960908610670893E-2</v>
      </c>
      <c r="AA754" s="17">
        <v>44</v>
      </c>
      <c r="AB754" s="36">
        <f>IFERROR(AA754/$AD754,0)</f>
        <v>1.5193370165745856E-2</v>
      </c>
      <c r="AC754" s="16">
        <v>3786</v>
      </c>
      <c r="AD754" s="16">
        <v>2896</v>
      </c>
    </row>
    <row r="755" spans="1:30" ht="15.75" customHeight="1" x14ac:dyDescent="0.25">
      <c r="A755" s="37">
        <v>2019</v>
      </c>
      <c r="B755" s="35">
        <v>170980</v>
      </c>
      <c r="C755" s="34" t="s">
        <v>151</v>
      </c>
      <c r="D755" s="34" t="s">
        <v>63</v>
      </c>
      <c r="E755" s="17">
        <v>5</v>
      </c>
      <c r="F755" s="36">
        <f>IFERROR(E755/$AC755,0)</f>
        <v>1.2077294685990338E-2</v>
      </c>
      <c r="G755" s="17">
        <v>1</v>
      </c>
      <c r="H755" s="36">
        <f>IFERROR(G755/$AD755,0)</f>
        <v>6.6666666666666671E-3</v>
      </c>
      <c r="I755" s="17">
        <v>114</v>
      </c>
      <c r="J755" s="36">
        <f>IFERROR(I755/$AC755,0)</f>
        <v>0.27536231884057971</v>
      </c>
      <c r="K755" s="17">
        <v>45</v>
      </c>
      <c r="L755" s="36">
        <f>IFERROR(K755/$AD755,0)</f>
        <v>0.3</v>
      </c>
      <c r="M755" s="17">
        <v>149</v>
      </c>
      <c r="N755" s="36">
        <f>IFERROR(M755/$AC755,0)</f>
        <v>0.35990338164251207</v>
      </c>
      <c r="O755" s="17">
        <v>51</v>
      </c>
      <c r="P755" s="36">
        <f>IFERROR(O755/$AD755,0)</f>
        <v>0.34</v>
      </c>
      <c r="Q755" s="17">
        <v>106</v>
      </c>
      <c r="R755" s="36">
        <f>IFERROR(Q755/$AC755,0)</f>
        <v>0.2560386473429952</v>
      </c>
      <c r="S755" s="17">
        <v>44</v>
      </c>
      <c r="T755" s="36">
        <f>IFERROR(S755/$AD755,0)</f>
        <v>0.29333333333333333</v>
      </c>
      <c r="U755" s="17">
        <v>28</v>
      </c>
      <c r="V755" s="36">
        <f>IFERROR(U755/$AC755,0)</f>
        <v>6.7632850241545889E-2</v>
      </c>
      <c r="W755" s="17">
        <v>6</v>
      </c>
      <c r="X755" s="36">
        <f>IFERROR(W755/$AD755,0)</f>
        <v>0.04</v>
      </c>
      <c r="Y755" s="17">
        <v>12</v>
      </c>
      <c r="Z755" s="36">
        <f>IFERROR(Y755/$AC755,0)</f>
        <v>2.8985507246376812E-2</v>
      </c>
      <c r="AA755" s="17">
        <v>3</v>
      </c>
      <c r="AB755" s="36">
        <f>IFERROR(AA755/$AD755,0)</f>
        <v>0.02</v>
      </c>
      <c r="AC755" s="17">
        <v>414</v>
      </c>
      <c r="AD755" s="17">
        <v>150</v>
      </c>
    </row>
    <row r="756" spans="1:30" ht="15.75" customHeight="1" x14ac:dyDescent="0.25">
      <c r="A756" s="37">
        <v>2019</v>
      </c>
      <c r="B756" s="35">
        <v>171050</v>
      </c>
      <c r="C756" s="34" t="s">
        <v>150</v>
      </c>
      <c r="D756" s="34" t="s">
        <v>64</v>
      </c>
      <c r="E756" s="17">
        <v>20</v>
      </c>
      <c r="F756" s="36">
        <f>IFERROR(E756/$AC756,0)</f>
        <v>1.9305019305019305E-2</v>
      </c>
      <c r="G756" s="17">
        <v>14</v>
      </c>
      <c r="H756" s="36">
        <f>IFERROR(G756/$AD756,0)</f>
        <v>2.6070763500931099E-2</v>
      </c>
      <c r="I756" s="17">
        <v>406</v>
      </c>
      <c r="J756" s="36">
        <f>IFERROR(I756/$AC756,0)</f>
        <v>0.39189189189189189</v>
      </c>
      <c r="K756" s="17">
        <v>238</v>
      </c>
      <c r="L756" s="36">
        <f>IFERROR(K756/$AD756,0)</f>
        <v>0.44320297951582865</v>
      </c>
      <c r="M756" s="17">
        <v>351</v>
      </c>
      <c r="N756" s="36">
        <f>IFERROR(M756/$AC756,0)</f>
        <v>0.33880308880308879</v>
      </c>
      <c r="O756" s="17">
        <v>170</v>
      </c>
      <c r="P756" s="36">
        <f>IFERROR(O756/$AD756,0)</f>
        <v>0.31657355679702048</v>
      </c>
      <c r="Q756" s="17">
        <v>176</v>
      </c>
      <c r="R756" s="36">
        <f>IFERROR(Q756/$AC756,0)</f>
        <v>0.16988416988416988</v>
      </c>
      <c r="S756" s="17">
        <v>82</v>
      </c>
      <c r="T756" s="36">
        <f>IFERROR(S756/$AD756,0)</f>
        <v>0.1527001862197393</v>
      </c>
      <c r="U756" s="17">
        <v>53</v>
      </c>
      <c r="V756" s="36">
        <f>IFERROR(U756/$AC756,0)</f>
        <v>5.115830115830116E-2</v>
      </c>
      <c r="W756" s="17">
        <v>21</v>
      </c>
      <c r="X756" s="36">
        <f>IFERROR(W756/$AD756,0)</f>
        <v>3.9106145251396648E-2</v>
      </c>
      <c r="Y756" s="17">
        <v>30</v>
      </c>
      <c r="Z756" s="36">
        <f>IFERROR(Y756/$AC756,0)</f>
        <v>2.8957528957528959E-2</v>
      </c>
      <c r="AA756" s="17">
        <v>12</v>
      </c>
      <c r="AB756" s="36">
        <f>IFERROR(AA756/$AD756,0)</f>
        <v>2.23463687150838E-2</v>
      </c>
      <c r="AC756" s="16">
        <v>1036</v>
      </c>
      <c r="AD756" s="17">
        <v>537</v>
      </c>
    </row>
    <row r="757" spans="1:30" ht="15.75" customHeight="1" x14ac:dyDescent="0.25">
      <c r="A757" s="37">
        <v>2019</v>
      </c>
      <c r="B757" s="35">
        <v>171070</v>
      </c>
      <c r="C757" s="34" t="s">
        <v>145</v>
      </c>
      <c r="D757" s="34" t="s">
        <v>65</v>
      </c>
      <c r="E757" s="17">
        <v>16</v>
      </c>
      <c r="F757" s="36">
        <f>IFERROR(E757/$AC757,0)</f>
        <v>1.9184652278177457E-2</v>
      </c>
      <c r="G757" s="17">
        <v>10</v>
      </c>
      <c r="H757" s="36">
        <f>IFERROR(G757/$AD757,0)</f>
        <v>2.1739130434782608E-2</v>
      </c>
      <c r="I757" s="17">
        <v>309</v>
      </c>
      <c r="J757" s="36">
        <f>IFERROR(I757/$AC757,0)</f>
        <v>0.37050359712230213</v>
      </c>
      <c r="K757" s="17">
        <v>179</v>
      </c>
      <c r="L757" s="36">
        <f>IFERROR(K757/$AD757,0)</f>
        <v>0.38913043478260867</v>
      </c>
      <c r="M757" s="17">
        <v>293</v>
      </c>
      <c r="N757" s="36">
        <f>IFERROR(M757/$AC757,0)</f>
        <v>0.35131894484412468</v>
      </c>
      <c r="O757" s="17">
        <v>152</v>
      </c>
      <c r="P757" s="36">
        <f>IFERROR(O757/$AD757,0)</f>
        <v>0.33043478260869563</v>
      </c>
      <c r="Q757" s="17">
        <v>148</v>
      </c>
      <c r="R757" s="36">
        <f>IFERROR(Q757/$AC757,0)</f>
        <v>0.17745803357314149</v>
      </c>
      <c r="S757" s="17">
        <v>77</v>
      </c>
      <c r="T757" s="36">
        <f>IFERROR(S757/$AD757,0)</f>
        <v>0.16739130434782609</v>
      </c>
      <c r="U757" s="17">
        <v>48</v>
      </c>
      <c r="V757" s="36">
        <f>IFERROR(U757/$AC757,0)</f>
        <v>5.7553956834532377E-2</v>
      </c>
      <c r="W757" s="17">
        <v>31</v>
      </c>
      <c r="X757" s="36">
        <f>IFERROR(W757/$AD757,0)</f>
        <v>6.7391304347826086E-2</v>
      </c>
      <c r="Y757" s="17">
        <v>20</v>
      </c>
      <c r="Z757" s="36">
        <f>IFERROR(Y757/$AC757,0)</f>
        <v>2.3980815347721823E-2</v>
      </c>
      <c r="AA757" s="17">
        <v>11</v>
      </c>
      <c r="AB757" s="36">
        <f>IFERROR(AA757/$AD757,0)</f>
        <v>2.391304347826087E-2</v>
      </c>
      <c r="AC757" s="17">
        <v>834</v>
      </c>
      <c r="AD757" s="17">
        <v>460</v>
      </c>
    </row>
    <row r="758" spans="1:30" ht="15.75" customHeight="1" x14ac:dyDescent="0.25">
      <c r="A758" s="37">
        <v>2019</v>
      </c>
      <c r="B758" s="35">
        <v>171090</v>
      </c>
      <c r="C758" s="34" t="s">
        <v>150</v>
      </c>
      <c r="D758" s="34" t="s">
        <v>66</v>
      </c>
      <c r="E758" s="17">
        <v>32</v>
      </c>
      <c r="F758" s="36">
        <f>IFERROR(E758/$AC758,0)</f>
        <v>3.4115138592750532E-2</v>
      </c>
      <c r="G758" s="17">
        <v>8</v>
      </c>
      <c r="H758" s="36">
        <f>IFERROR(G758/$AD758,0)</f>
        <v>4.2780748663101602E-2</v>
      </c>
      <c r="I758" s="17">
        <v>354</v>
      </c>
      <c r="J758" s="36">
        <f>IFERROR(I758/$AC758,0)</f>
        <v>0.37739872068230279</v>
      </c>
      <c r="K758" s="17">
        <v>73</v>
      </c>
      <c r="L758" s="36">
        <f>IFERROR(K758/$AD758,0)</f>
        <v>0.39037433155080214</v>
      </c>
      <c r="M758" s="17">
        <v>321</v>
      </c>
      <c r="N758" s="36">
        <f>IFERROR(M758/$AC758,0)</f>
        <v>0.34221748400852881</v>
      </c>
      <c r="O758" s="17">
        <v>62</v>
      </c>
      <c r="P758" s="36">
        <f>IFERROR(O758/$AD758,0)</f>
        <v>0.33155080213903743</v>
      </c>
      <c r="Q758" s="17">
        <v>147</v>
      </c>
      <c r="R758" s="36">
        <f>IFERROR(Q758/$AC758,0)</f>
        <v>0.15671641791044777</v>
      </c>
      <c r="S758" s="17">
        <v>20</v>
      </c>
      <c r="T758" s="36">
        <f>IFERROR(S758/$AD758,0)</f>
        <v>0.10695187165775401</v>
      </c>
      <c r="U758" s="17">
        <v>53</v>
      </c>
      <c r="V758" s="36">
        <f>IFERROR(U758/$AC758,0)</f>
        <v>5.6503198294243072E-2</v>
      </c>
      <c r="W758" s="17">
        <v>17</v>
      </c>
      <c r="X758" s="36">
        <f>IFERROR(W758/$AD758,0)</f>
        <v>9.0909090909090912E-2</v>
      </c>
      <c r="Y758" s="17">
        <v>31</v>
      </c>
      <c r="Z758" s="36">
        <f>IFERROR(Y758/$AC758,0)</f>
        <v>3.3049040511727079E-2</v>
      </c>
      <c r="AA758" s="17">
        <v>7</v>
      </c>
      <c r="AB758" s="36">
        <f>IFERROR(AA758/$AD758,0)</f>
        <v>3.7433155080213901E-2</v>
      </c>
      <c r="AC758" s="17">
        <v>938</v>
      </c>
      <c r="AD758" s="17">
        <v>187</v>
      </c>
    </row>
    <row r="759" spans="1:30" ht="15.75" customHeight="1" x14ac:dyDescent="0.25">
      <c r="A759" s="37">
        <v>2019</v>
      </c>
      <c r="B759" s="35">
        <v>171110</v>
      </c>
      <c r="C759" s="34" t="s">
        <v>150</v>
      </c>
      <c r="D759" s="34" t="s">
        <v>67</v>
      </c>
      <c r="E759" s="17">
        <v>6</v>
      </c>
      <c r="F759" s="36">
        <f>IFERROR(E759/$AC759,0)</f>
        <v>1.2875536480686695E-2</v>
      </c>
      <c r="G759" s="17">
        <v>1</v>
      </c>
      <c r="H759" s="36">
        <f>IFERROR(G759/$AD759,0)</f>
        <v>8.6956521739130436E-3</v>
      </c>
      <c r="I759" s="17">
        <v>158</v>
      </c>
      <c r="J759" s="36">
        <f>IFERROR(I759/$AC759,0)</f>
        <v>0.33905579399141633</v>
      </c>
      <c r="K759" s="17">
        <v>39</v>
      </c>
      <c r="L759" s="36">
        <f>IFERROR(K759/$AD759,0)</f>
        <v>0.33913043478260868</v>
      </c>
      <c r="M759" s="17">
        <v>175</v>
      </c>
      <c r="N759" s="36">
        <f>IFERROR(M759/$AC759,0)</f>
        <v>0.37553648068669526</v>
      </c>
      <c r="O759" s="17">
        <v>45</v>
      </c>
      <c r="P759" s="36">
        <f>IFERROR(O759/$AD759,0)</f>
        <v>0.39130434782608697</v>
      </c>
      <c r="Q759" s="17">
        <v>78</v>
      </c>
      <c r="R759" s="36">
        <f>IFERROR(Q759/$AC759,0)</f>
        <v>0.16738197424892703</v>
      </c>
      <c r="S759" s="17">
        <v>19</v>
      </c>
      <c r="T759" s="36">
        <f>IFERROR(S759/$AD759,0)</f>
        <v>0.16521739130434782</v>
      </c>
      <c r="U759" s="17">
        <v>32</v>
      </c>
      <c r="V759" s="36">
        <f>IFERROR(U759/$AC759,0)</f>
        <v>6.8669527896995708E-2</v>
      </c>
      <c r="W759" s="17">
        <v>7</v>
      </c>
      <c r="X759" s="36">
        <f>IFERROR(W759/$AD759,0)</f>
        <v>6.0869565217391307E-2</v>
      </c>
      <c r="Y759" s="17">
        <v>17</v>
      </c>
      <c r="Z759" s="36">
        <f>IFERROR(Y759/$AC759,0)</f>
        <v>3.6480686695278972E-2</v>
      </c>
      <c r="AA759" s="17">
        <v>4</v>
      </c>
      <c r="AB759" s="36">
        <f>IFERROR(AA759/$AD759,0)</f>
        <v>3.4782608695652174E-2</v>
      </c>
      <c r="AC759" s="17">
        <v>466</v>
      </c>
      <c r="AD759" s="17">
        <v>115</v>
      </c>
    </row>
    <row r="760" spans="1:30" ht="15.75" customHeight="1" x14ac:dyDescent="0.25">
      <c r="A760" s="37">
        <v>2019</v>
      </c>
      <c r="B760" s="35">
        <v>171150</v>
      </c>
      <c r="C760" s="34" t="s">
        <v>146</v>
      </c>
      <c r="D760" s="34" t="s">
        <v>68</v>
      </c>
      <c r="E760" s="17">
        <v>22</v>
      </c>
      <c r="F760" s="36">
        <f>IFERROR(E760/$AC760,0)</f>
        <v>3.0303030303030304E-2</v>
      </c>
      <c r="G760" s="17">
        <v>15</v>
      </c>
      <c r="H760" s="36">
        <f>IFERROR(G760/$AD760,0)</f>
        <v>5.5762081784386616E-2</v>
      </c>
      <c r="I760" s="17">
        <v>280</v>
      </c>
      <c r="J760" s="36">
        <f>IFERROR(I760/$AC760,0)</f>
        <v>0.38567493112947659</v>
      </c>
      <c r="K760" s="17">
        <v>97</v>
      </c>
      <c r="L760" s="36">
        <f>IFERROR(K760/$AD760,0)</f>
        <v>0.36059479553903345</v>
      </c>
      <c r="M760" s="17">
        <v>246</v>
      </c>
      <c r="N760" s="36">
        <f>IFERROR(M760/$AC760,0)</f>
        <v>0.33884297520661155</v>
      </c>
      <c r="O760" s="17">
        <v>86</v>
      </c>
      <c r="P760" s="36">
        <f>IFERROR(O760/$AD760,0)</f>
        <v>0.31970260223048325</v>
      </c>
      <c r="Q760" s="17">
        <v>125</v>
      </c>
      <c r="R760" s="36">
        <f>IFERROR(Q760/$AC760,0)</f>
        <v>0.17217630853994489</v>
      </c>
      <c r="S760" s="17">
        <v>45</v>
      </c>
      <c r="T760" s="36">
        <f>IFERROR(S760/$AD760,0)</f>
        <v>0.16728624535315986</v>
      </c>
      <c r="U760" s="17">
        <v>40</v>
      </c>
      <c r="V760" s="36">
        <f>IFERROR(U760/$AC760,0)</f>
        <v>5.5096418732782371E-2</v>
      </c>
      <c r="W760" s="17">
        <v>19</v>
      </c>
      <c r="X760" s="36">
        <f>IFERROR(W760/$AD760,0)</f>
        <v>7.0631970260223054E-2</v>
      </c>
      <c r="Y760" s="17">
        <v>13</v>
      </c>
      <c r="Z760" s="36">
        <f>IFERROR(Y760/$AC760,0)</f>
        <v>1.790633608815427E-2</v>
      </c>
      <c r="AA760" s="17">
        <v>7</v>
      </c>
      <c r="AB760" s="36">
        <f>IFERROR(AA760/$AD760,0)</f>
        <v>2.6022304832713755E-2</v>
      </c>
      <c r="AC760" s="17">
        <v>726</v>
      </c>
      <c r="AD760" s="17">
        <v>269</v>
      </c>
    </row>
    <row r="761" spans="1:30" ht="15.75" customHeight="1" x14ac:dyDescent="0.25">
      <c r="A761" s="37">
        <v>2019</v>
      </c>
      <c r="B761" s="35">
        <v>171180</v>
      </c>
      <c r="C761" s="34" t="s">
        <v>150</v>
      </c>
      <c r="D761" s="34" t="s">
        <v>69</v>
      </c>
      <c r="E761" s="17">
        <v>14</v>
      </c>
      <c r="F761" s="36">
        <f>IFERROR(E761/$AC761,0)</f>
        <v>2.8747433264887063E-2</v>
      </c>
      <c r="G761" s="17">
        <v>3</v>
      </c>
      <c r="H761" s="36">
        <f>IFERROR(G761/$AD761,0)</f>
        <v>2.4E-2</v>
      </c>
      <c r="I761" s="17">
        <v>169</v>
      </c>
      <c r="J761" s="36">
        <f>IFERROR(I761/$AC761,0)</f>
        <v>0.34702258726899382</v>
      </c>
      <c r="K761" s="17">
        <v>48</v>
      </c>
      <c r="L761" s="36">
        <f>IFERROR(K761/$AD761,0)</f>
        <v>0.38400000000000001</v>
      </c>
      <c r="M761" s="17">
        <v>173</v>
      </c>
      <c r="N761" s="36">
        <f>IFERROR(M761/$AC761,0)</f>
        <v>0.35523613963039014</v>
      </c>
      <c r="O761" s="17">
        <v>47</v>
      </c>
      <c r="P761" s="36">
        <f>IFERROR(O761/$AD761,0)</f>
        <v>0.376</v>
      </c>
      <c r="Q761" s="17">
        <v>92</v>
      </c>
      <c r="R761" s="36">
        <f>IFERROR(Q761/$AC761,0)</f>
        <v>0.18891170431211499</v>
      </c>
      <c r="S761" s="17">
        <v>19</v>
      </c>
      <c r="T761" s="36">
        <f>IFERROR(S761/$AD761,0)</f>
        <v>0.152</v>
      </c>
      <c r="U761" s="17">
        <v>26</v>
      </c>
      <c r="V761" s="36">
        <f>IFERROR(U761/$AC761,0)</f>
        <v>5.3388090349075976E-2</v>
      </c>
      <c r="W761" s="17">
        <v>8</v>
      </c>
      <c r="X761" s="36">
        <f>IFERROR(W761/$AD761,0)</f>
        <v>6.4000000000000001E-2</v>
      </c>
      <c r="Y761" s="17">
        <v>13</v>
      </c>
      <c r="Z761" s="36">
        <f>IFERROR(Y761/$AC761,0)</f>
        <v>2.6694045174537988E-2</v>
      </c>
      <c r="AA761" s="17">
        <v>0</v>
      </c>
      <c r="AB761" s="36">
        <f>IFERROR(AA761/$AD761,0)</f>
        <v>0</v>
      </c>
      <c r="AC761" s="17">
        <v>487</v>
      </c>
      <c r="AD761" s="17">
        <v>125</v>
      </c>
    </row>
    <row r="762" spans="1:30" ht="15.75" customHeight="1" x14ac:dyDescent="0.25">
      <c r="A762" s="37">
        <v>2019</v>
      </c>
      <c r="B762" s="35">
        <v>171190</v>
      </c>
      <c r="C762" s="34" t="s">
        <v>144</v>
      </c>
      <c r="D762" s="34" t="s">
        <v>70</v>
      </c>
      <c r="E762" s="17">
        <v>30</v>
      </c>
      <c r="F762" s="36">
        <f>IFERROR(E762/$AC762,0)</f>
        <v>3.7313432835820892E-2</v>
      </c>
      <c r="G762" s="17">
        <v>23</v>
      </c>
      <c r="H762" s="36">
        <f>IFERROR(G762/$AD762,0)</f>
        <v>3.6334913112164295E-2</v>
      </c>
      <c r="I762" s="17">
        <v>317</v>
      </c>
      <c r="J762" s="36">
        <f>IFERROR(I762/$AC762,0)</f>
        <v>0.39427860696517414</v>
      </c>
      <c r="K762" s="17">
        <v>280</v>
      </c>
      <c r="L762" s="36">
        <f>IFERROR(K762/$AD762,0)</f>
        <v>0.44233807266982622</v>
      </c>
      <c r="M762" s="17">
        <v>266</v>
      </c>
      <c r="N762" s="36">
        <f>IFERROR(M762/$AC762,0)</f>
        <v>0.3308457711442786</v>
      </c>
      <c r="O762" s="17">
        <v>200</v>
      </c>
      <c r="P762" s="36">
        <f>IFERROR(O762/$AD762,0)</f>
        <v>0.31595576619273302</v>
      </c>
      <c r="Q762" s="17">
        <v>121</v>
      </c>
      <c r="R762" s="36">
        <f>IFERROR(Q762/$AC762,0)</f>
        <v>0.15049751243781095</v>
      </c>
      <c r="S762" s="17">
        <v>84</v>
      </c>
      <c r="T762" s="36">
        <f>IFERROR(S762/$AD762,0)</f>
        <v>0.13270142180094788</v>
      </c>
      <c r="U762" s="17">
        <v>49</v>
      </c>
      <c r="V762" s="36">
        <f>IFERROR(U762/$AC762,0)</f>
        <v>6.0945273631840796E-2</v>
      </c>
      <c r="W762" s="17">
        <v>33</v>
      </c>
      <c r="X762" s="36">
        <f>IFERROR(W762/$AD762,0)</f>
        <v>5.2132701421800945E-2</v>
      </c>
      <c r="Y762" s="17">
        <v>21</v>
      </c>
      <c r="Z762" s="36">
        <f>IFERROR(Y762/$AC762,0)</f>
        <v>2.6119402985074626E-2</v>
      </c>
      <c r="AA762" s="17">
        <v>13</v>
      </c>
      <c r="AB762" s="36">
        <f>IFERROR(AA762/$AD762,0)</f>
        <v>2.0537124802527645E-2</v>
      </c>
      <c r="AC762" s="17">
        <v>804</v>
      </c>
      <c r="AD762" s="17">
        <v>633</v>
      </c>
    </row>
    <row r="763" spans="1:30" ht="15.75" customHeight="1" x14ac:dyDescent="0.25">
      <c r="A763" s="37">
        <v>2019</v>
      </c>
      <c r="B763" s="35">
        <v>171195</v>
      </c>
      <c r="C763" s="34" t="s">
        <v>148</v>
      </c>
      <c r="D763" s="34" t="s">
        <v>71</v>
      </c>
      <c r="E763" s="17">
        <v>21</v>
      </c>
      <c r="F763" s="36">
        <f>IFERROR(E763/$AC763,0)</f>
        <v>2.3076923076923078E-2</v>
      </c>
      <c r="G763" s="17">
        <v>9</v>
      </c>
      <c r="H763" s="36">
        <f>IFERROR(G763/$AD763,0)</f>
        <v>3.3333333333333333E-2</v>
      </c>
      <c r="I763" s="17">
        <v>379</v>
      </c>
      <c r="J763" s="36">
        <f>IFERROR(I763/$AC763,0)</f>
        <v>0.4164835164835165</v>
      </c>
      <c r="K763" s="17">
        <v>121</v>
      </c>
      <c r="L763" s="36">
        <f>IFERROR(K763/$AD763,0)</f>
        <v>0.44814814814814813</v>
      </c>
      <c r="M763" s="17">
        <v>318</v>
      </c>
      <c r="N763" s="36">
        <f>IFERROR(M763/$AC763,0)</f>
        <v>0.34945054945054943</v>
      </c>
      <c r="O763" s="17">
        <v>94</v>
      </c>
      <c r="P763" s="36">
        <f>IFERROR(O763/$AD763,0)</f>
        <v>0.34814814814814815</v>
      </c>
      <c r="Q763" s="17">
        <v>130</v>
      </c>
      <c r="R763" s="36">
        <f>IFERROR(Q763/$AC763,0)</f>
        <v>0.14285714285714285</v>
      </c>
      <c r="S763" s="17">
        <v>34</v>
      </c>
      <c r="T763" s="36">
        <f>IFERROR(S763/$AD763,0)</f>
        <v>0.12592592592592591</v>
      </c>
      <c r="U763" s="17">
        <v>43</v>
      </c>
      <c r="V763" s="36">
        <f>IFERROR(U763/$AC763,0)</f>
        <v>4.7252747252747251E-2</v>
      </c>
      <c r="W763" s="17">
        <v>9</v>
      </c>
      <c r="X763" s="36">
        <f>IFERROR(W763/$AD763,0)</f>
        <v>3.3333333333333333E-2</v>
      </c>
      <c r="Y763" s="17">
        <v>19</v>
      </c>
      <c r="Z763" s="36">
        <f>IFERROR(Y763/$AC763,0)</f>
        <v>2.0879120879120878E-2</v>
      </c>
      <c r="AA763" s="17">
        <v>3</v>
      </c>
      <c r="AB763" s="36">
        <f>IFERROR(AA763/$AD763,0)</f>
        <v>1.1111111111111112E-2</v>
      </c>
      <c r="AC763" s="17">
        <v>910</v>
      </c>
      <c r="AD763" s="17">
        <v>270</v>
      </c>
    </row>
    <row r="764" spans="1:30" ht="15.75" customHeight="1" x14ac:dyDescent="0.25">
      <c r="A764" s="37">
        <v>2019</v>
      </c>
      <c r="B764" s="35">
        <v>171200</v>
      </c>
      <c r="C764" s="34" t="s">
        <v>148</v>
      </c>
      <c r="D764" s="34" t="s">
        <v>72</v>
      </c>
      <c r="E764" s="17">
        <v>3</v>
      </c>
      <c r="F764" s="36">
        <f>IFERROR(E764/$AC764,0)</f>
        <v>2.7777777777777776E-2</v>
      </c>
      <c r="G764" s="17">
        <v>2</v>
      </c>
      <c r="H764" s="36">
        <f>IFERROR(G764/$AD764,0)</f>
        <v>2.6666666666666668E-2</v>
      </c>
      <c r="I764" s="17">
        <v>31</v>
      </c>
      <c r="J764" s="36">
        <f>IFERROR(I764/$AC764,0)</f>
        <v>0.28703703703703703</v>
      </c>
      <c r="K764" s="17">
        <v>25</v>
      </c>
      <c r="L764" s="36">
        <f>IFERROR(K764/$AD764,0)</f>
        <v>0.33333333333333331</v>
      </c>
      <c r="M764" s="17">
        <v>38</v>
      </c>
      <c r="N764" s="36">
        <f>IFERROR(M764/$AC764,0)</f>
        <v>0.35185185185185186</v>
      </c>
      <c r="O764" s="17">
        <v>27</v>
      </c>
      <c r="P764" s="36">
        <f>IFERROR(O764/$AD764,0)</f>
        <v>0.36</v>
      </c>
      <c r="Q764" s="17">
        <v>20</v>
      </c>
      <c r="R764" s="36">
        <f>IFERROR(Q764/$AC764,0)</f>
        <v>0.18518518518518517</v>
      </c>
      <c r="S764" s="17">
        <v>10</v>
      </c>
      <c r="T764" s="36">
        <f>IFERROR(S764/$AD764,0)</f>
        <v>0.13333333333333333</v>
      </c>
      <c r="U764" s="17">
        <v>12</v>
      </c>
      <c r="V764" s="36">
        <f>IFERROR(U764/$AC764,0)</f>
        <v>0.1111111111111111</v>
      </c>
      <c r="W764" s="17">
        <v>9</v>
      </c>
      <c r="X764" s="36">
        <f>IFERROR(W764/$AD764,0)</f>
        <v>0.12</v>
      </c>
      <c r="Y764" s="17">
        <v>4</v>
      </c>
      <c r="Z764" s="36">
        <f>IFERROR(Y764/$AC764,0)</f>
        <v>3.7037037037037035E-2</v>
      </c>
      <c r="AA764" s="17">
        <v>2</v>
      </c>
      <c r="AB764" s="36">
        <f>IFERROR(AA764/$AD764,0)</f>
        <v>2.6666666666666668E-2</v>
      </c>
      <c r="AC764" s="17">
        <v>108</v>
      </c>
      <c r="AD764" s="17">
        <v>75</v>
      </c>
    </row>
    <row r="765" spans="1:30" ht="15.75" customHeight="1" x14ac:dyDescent="0.25">
      <c r="A765" s="37">
        <v>2019</v>
      </c>
      <c r="B765" s="35">
        <v>171215</v>
      </c>
      <c r="C765" s="34" t="s">
        <v>147</v>
      </c>
      <c r="D765" s="34" t="s">
        <v>73</v>
      </c>
      <c r="E765" s="17">
        <v>10</v>
      </c>
      <c r="F765" s="36">
        <f>IFERROR(E765/$AC765,0)</f>
        <v>2.3980815347721823E-2</v>
      </c>
      <c r="G765" s="17">
        <v>5</v>
      </c>
      <c r="H765" s="36">
        <f>IFERROR(G765/$AD765,0)</f>
        <v>5.3763440860215055E-2</v>
      </c>
      <c r="I765" s="17">
        <v>150</v>
      </c>
      <c r="J765" s="36">
        <f>IFERROR(I765/$AC765,0)</f>
        <v>0.35971223021582732</v>
      </c>
      <c r="K765" s="17">
        <v>44</v>
      </c>
      <c r="L765" s="36">
        <f>IFERROR(K765/$AD765,0)</f>
        <v>0.4731182795698925</v>
      </c>
      <c r="M765" s="17">
        <v>163</v>
      </c>
      <c r="N765" s="36">
        <f>IFERROR(M765/$AC765,0)</f>
        <v>0.39088729016786572</v>
      </c>
      <c r="O765" s="17">
        <v>26</v>
      </c>
      <c r="P765" s="36">
        <f>IFERROR(O765/$AD765,0)</f>
        <v>0.27956989247311825</v>
      </c>
      <c r="Q765" s="17">
        <v>69</v>
      </c>
      <c r="R765" s="36">
        <f>IFERROR(Q765/$AC765,0)</f>
        <v>0.16546762589928057</v>
      </c>
      <c r="S765" s="17">
        <v>11</v>
      </c>
      <c r="T765" s="36">
        <f>IFERROR(S765/$AD765,0)</f>
        <v>0.11827956989247312</v>
      </c>
      <c r="U765" s="17">
        <v>18</v>
      </c>
      <c r="V765" s="36">
        <f>IFERROR(U765/$AC765,0)</f>
        <v>4.3165467625899283E-2</v>
      </c>
      <c r="W765" s="17">
        <v>4</v>
      </c>
      <c r="X765" s="36">
        <f>IFERROR(W765/$AD765,0)</f>
        <v>4.3010752688172046E-2</v>
      </c>
      <c r="Y765" s="17">
        <v>7</v>
      </c>
      <c r="Z765" s="36">
        <f>IFERROR(Y765/$AC765,0)</f>
        <v>1.6786570743405275E-2</v>
      </c>
      <c r="AA765" s="17">
        <v>3</v>
      </c>
      <c r="AB765" s="36">
        <f>IFERROR(AA765/$AD765,0)</f>
        <v>3.2258064516129031E-2</v>
      </c>
      <c r="AC765" s="17">
        <v>417</v>
      </c>
      <c r="AD765" s="17">
        <v>93</v>
      </c>
    </row>
    <row r="766" spans="1:30" ht="15.75" customHeight="1" x14ac:dyDescent="0.25">
      <c r="A766" s="37">
        <v>2019</v>
      </c>
      <c r="B766" s="35">
        <v>171240</v>
      </c>
      <c r="C766" s="34" t="s">
        <v>148</v>
      </c>
      <c r="D766" s="34" t="s">
        <v>74</v>
      </c>
      <c r="E766" s="17">
        <v>9</v>
      </c>
      <c r="F766" s="36">
        <f>IFERROR(E766/$AC766,0)</f>
        <v>2.1791767554479417E-2</v>
      </c>
      <c r="G766" s="17">
        <v>2</v>
      </c>
      <c r="H766" s="36">
        <f>IFERROR(G766/$AD766,0)</f>
        <v>1.3605442176870748E-2</v>
      </c>
      <c r="I766" s="17">
        <v>173</v>
      </c>
      <c r="J766" s="36">
        <f>IFERROR(I766/$AC766,0)</f>
        <v>0.41888619854721548</v>
      </c>
      <c r="K766" s="17">
        <v>62</v>
      </c>
      <c r="L766" s="36">
        <f>IFERROR(K766/$AD766,0)</f>
        <v>0.42176870748299322</v>
      </c>
      <c r="M766" s="17">
        <v>164</v>
      </c>
      <c r="N766" s="36">
        <f>IFERROR(M766/$AC766,0)</f>
        <v>0.39709443099273606</v>
      </c>
      <c r="O766" s="17">
        <v>60</v>
      </c>
      <c r="P766" s="36">
        <f>IFERROR(O766/$AD766,0)</f>
        <v>0.40816326530612246</v>
      </c>
      <c r="Q766" s="17">
        <v>47</v>
      </c>
      <c r="R766" s="36">
        <f>IFERROR(Q766/$AC766,0)</f>
        <v>0.11380145278450363</v>
      </c>
      <c r="S766" s="17">
        <v>15</v>
      </c>
      <c r="T766" s="36">
        <f>IFERROR(S766/$AD766,0)</f>
        <v>0.10204081632653061</v>
      </c>
      <c r="U766" s="17">
        <v>15</v>
      </c>
      <c r="V766" s="36">
        <f>IFERROR(U766/$AC766,0)</f>
        <v>3.6319612590799029E-2</v>
      </c>
      <c r="W766" s="17">
        <v>5</v>
      </c>
      <c r="X766" s="36">
        <f>IFERROR(W766/$AD766,0)</f>
        <v>3.4013605442176874E-2</v>
      </c>
      <c r="Y766" s="17">
        <v>5</v>
      </c>
      <c r="Z766" s="36">
        <f>IFERROR(Y766/$AC766,0)</f>
        <v>1.2106537530266344E-2</v>
      </c>
      <c r="AA766" s="17">
        <v>3</v>
      </c>
      <c r="AB766" s="36">
        <f>IFERROR(AA766/$AD766,0)</f>
        <v>2.0408163265306121E-2</v>
      </c>
      <c r="AC766" s="17">
        <v>413</v>
      </c>
      <c r="AD766" s="17">
        <v>147</v>
      </c>
    </row>
    <row r="767" spans="1:30" ht="15.75" customHeight="1" x14ac:dyDescent="0.25">
      <c r="A767" s="37">
        <v>2019</v>
      </c>
      <c r="B767" s="35">
        <v>171245</v>
      </c>
      <c r="C767" s="34" t="s">
        <v>145</v>
      </c>
      <c r="D767" s="34" t="s">
        <v>75</v>
      </c>
      <c r="E767" s="17">
        <v>10</v>
      </c>
      <c r="F767" s="36">
        <f>IFERROR(E767/$AC767,0)</f>
        <v>2.0876826722338204E-2</v>
      </c>
      <c r="G767" s="17">
        <v>5</v>
      </c>
      <c r="H767" s="36">
        <f>IFERROR(G767/$AD767,0)</f>
        <v>3.6231884057971016E-2</v>
      </c>
      <c r="I767" s="17">
        <v>182</v>
      </c>
      <c r="J767" s="36">
        <f>IFERROR(I767/$AC767,0)</f>
        <v>0.37995824634655534</v>
      </c>
      <c r="K767" s="17">
        <v>54</v>
      </c>
      <c r="L767" s="36">
        <f>IFERROR(K767/$AD767,0)</f>
        <v>0.39130434782608697</v>
      </c>
      <c r="M767" s="17">
        <v>177</v>
      </c>
      <c r="N767" s="36">
        <f>IFERROR(M767/$AC767,0)</f>
        <v>0.36951983298538621</v>
      </c>
      <c r="O767" s="17">
        <v>49</v>
      </c>
      <c r="P767" s="36">
        <f>IFERROR(O767/$AD767,0)</f>
        <v>0.35507246376811596</v>
      </c>
      <c r="Q767" s="17">
        <v>74</v>
      </c>
      <c r="R767" s="36">
        <f>IFERROR(Q767/$AC767,0)</f>
        <v>0.1544885177453027</v>
      </c>
      <c r="S767" s="17">
        <v>23</v>
      </c>
      <c r="T767" s="36">
        <f>IFERROR(S767/$AD767,0)</f>
        <v>0.16666666666666666</v>
      </c>
      <c r="U767" s="17">
        <v>28</v>
      </c>
      <c r="V767" s="36">
        <f>IFERROR(U767/$AC767,0)</f>
        <v>5.845511482254697E-2</v>
      </c>
      <c r="W767" s="17">
        <v>6</v>
      </c>
      <c r="X767" s="36">
        <f>IFERROR(W767/$AD767,0)</f>
        <v>4.3478260869565216E-2</v>
      </c>
      <c r="Y767" s="17">
        <v>8</v>
      </c>
      <c r="Z767" s="36">
        <f>IFERROR(Y767/$AC767,0)</f>
        <v>1.6701461377870562E-2</v>
      </c>
      <c r="AA767" s="17">
        <v>1</v>
      </c>
      <c r="AB767" s="36">
        <f>IFERROR(AA767/$AD767,0)</f>
        <v>7.246376811594203E-3</v>
      </c>
      <c r="AC767" s="17">
        <v>479</v>
      </c>
      <c r="AD767" s="17">
        <v>138</v>
      </c>
    </row>
    <row r="768" spans="1:30" ht="15.75" customHeight="1" x14ac:dyDescent="0.25">
      <c r="A768" s="37">
        <v>2019</v>
      </c>
      <c r="B768" s="35">
        <v>171250</v>
      </c>
      <c r="C768" s="34" t="s">
        <v>144</v>
      </c>
      <c r="D768" s="34" t="s">
        <v>76</v>
      </c>
      <c r="E768" s="17">
        <v>16</v>
      </c>
      <c r="F768" s="36">
        <f>IFERROR(E768/$AC768,0)</f>
        <v>1.8161180476730987E-2</v>
      </c>
      <c r="G768" s="17">
        <v>4</v>
      </c>
      <c r="H768" s="36">
        <f>IFERROR(G768/$AD768,0)</f>
        <v>2.0202020202020204E-2</v>
      </c>
      <c r="I768" s="17">
        <v>307</v>
      </c>
      <c r="J768" s="36">
        <f>IFERROR(I768/$AC768,0)</f>
        <v>0.34846765039727584</v>
      </c>
      <c r="K768" s="17">
        <v>78</v>
      </c>
      <c r="L768" s="36">
        <f>IFERROR(K768/$AD768,0)</f>
        <v>0.39393939393939392</v>
      </c>
      <c r="M768" s="17">
        <v>297</v>
      </c>
      <c r="N768" s="36">
        <f>IFERROR(M768/$AC768,0)</f>
        <v>0.33711691259931897</v>
      </c>
      <c r="O768" s="17">
        <v>60</v>
      </c>
      <c r="P768" s="36">
        <f>IFERROR(O768/$AD768,0)</f>
        <v>0.30303030303030304</v>
      </c>
      <c r="Q768" s="17">
        <v>171</v>
      </c>
      <c r="R768" s="36">
        <f>IFERROR(Q768/$AC768,0)</f>
        <v>0.19409761634506242</v>
      </c>
      <c r="S768" s="17">
        <v>32</v>
      </c>
      <c r="T768" s="36">
        <f>IFERROR(S768/$AD768,0)</f>
        <v>0.16161616161616163</v>
      </c>
      <c r="U768" s="17">
        <v>58</v>
      </c>
      <c r="V768" s="36">
        <f>IFERROR(U768/$AC768,0)</f>
        <v>6.5834279228149828E-2</v>
      </c>
      <c r="W768" s="17">
        <v>16</v>
      </c>
      <c r="X768" s="36">
        <f>IFERROR(W768/$AD768,0)</f>
        <v>8.0808080808080815E-2</v>
      </c>
      <c r="Y768" s="17">
        <v>32</v>
      </c>
      <c r="Z768" s="36">
        <f>IFERROR(Y768/$AC768,0)</f>
        <v>3.6322360953461974E-2</v>
      </c>
      <c r="AA768" s="17">
        <v>8</v>
      </c>
      <c r="AB768" s="36">
        <f>IFERROR(AA768/$AD768,0)</f>
        <v>4.0404040404040407E-2</v>
      </c>
      <c r="AC768" s="17">
        <v>881</v>
      </c>
      <c r="AD768" s="17">
        <v>198</v>
      </c>
    </row>
    <row r="769" spans="1:30" ht="15.75" customHeight="1" x14ac:dyDescent="0.25">
      <c r="A769" s="37">
        <v>2019</v>
      </c>
      <c r="B769" s="35">
        <v>171270</v>
      </c>
      <c r="C769" s="34" t="s">
        <v>151</v>
      </c>
      <c r="D769" s="34" t="s">
        <v>77</v>
      </c>
      <c r="E769" s="17">
        <v>14</v>
      </c>
      <c r="F769" s="36">
        <f>IFERROR(E769/$AC769,0)</f>
        <v>2.6315789473684209E-2</v>
      </c>
      <c r="G769" s="17">
        <v>4</v>
      </c>
      <c r="H769" s="36">
        <f>IFERROR(G769/$AD769,0)</f>
        <v>3.3898305084745763E-2</v>
      </c>
      <c r="I769" s="17">
        <v>211</v>
      </c>
      <c r="J769" s="36">
        <f>IFERROR(I769/$AC769,0)</f>
        <v>0.39661654135338348</v>
      </c>
      <c r="K769" s="17">
        <v>39</v>
      </c>
      <c r="L769" s="36">
        <f>IFERROR(K769/$AD769,0)</f>
        <v>0.33050847457627119</v>
      </c>
      <c r="M769" s="17">
        <v>196</v>
      </c>
      <c r="N769" s="36">
        <f>IFERROR(M769/$AC769,0)</f>
        <v>0.36842105263157893</v>
      </c>
      <c r="O769" s="17">
        <v>47</v>
      </c>
      <c r="P769" s="36">
        <f>IFERROR(O769/$AD769,0)</f>
        <v>0.39830508474576271</v>
      </c>
      <c r="Q769" s="17">
        <v>83</v>
      </c>
      <c r="R769" s="36">
        <f>IFERROR(Q769/$AC769,0)</f>
        <v>0.15601503759398497</v>
      </c>
      <c r="S769" s="17">
        <v>22</v>
      </c>
      <c r="T769" s="36">
        <f>IFERROR(S769/$AD769,0)</f>
        <v>0.1864406779661017</v>
      </c>
      <c r="U769" s="17">
        <v>23</v>
      </c>
      <c r="V769" s="36">
        <f>IFERROR(U769/$AC769,0)</f>
        <v>4.3233082706766915E-2</v>
      </c>
      <c r="W769" s="17">
        <v>4</v>
      </c>
      <c r="X769" s="36">
        <f>IFERROR(W769/$AD769,0)</f>
        <v>3.3898305084745763E-2</v>
      </c>
      <c r="Y769" s="17">
        <v>5</v>
      </c>
      <c r="Z769" s="36">
        <f>IFERROR(Y769/$AC769,0)</f>
        <v>9.3984962406015032E-3</v>
      </c>
      <c r="AA769" s="17">
        <v>2</v>
      </c>
      <c r="AB769" s="36">
        <f>IFERROR(AA769/$AD769,0)</f>
        <v>1.6949152542372881E-2</v>
      </c>
      <c r="AC769" s="17">
        <v>532</v>
      </c>
      <c r="AD769" s="17">
        <v>118</v>
      </c>
    </row>
    <row r="770" spans="1:30" ht="15.75" customHeight="1" x14ac:dyDescent="0.25">
      <c r="A770" s="37">
        <v>2019</v>
      </c>
      <c r="B770" s="35">
        <v>171280</v>
      </c>
      <c r="C770" s="34" t="s">
        <v>145</v>
      </c>
      <c r="D770" s="34" t="s">
        <v>78</v>
      </c>
      <c r="E770" s="17">
        <v>25</v>
      </c>
      <c r="F770" s="36">
        <f>IFERROR(E770/$AC770,0)</f>
        <v>2.9585798816568046E-2</v>
      </c>
      <c r="G770" s="17">
        <v>12</v>
      </c>
      <c r="H770" s="36">
        <f>IFERROR(G770/$AD770,0)</f>
        <v>4.7808764940239043E-2</v>
      </c>
      <c r="I770" s="17">
        <v>301</v>
      </c>
      <c r="J770" s="36">
        <f>IFERROR(I770/$AC770,0)</f>
        <v>0.35621301775147929</v>
      </c>
      <c r="K770" s="17">
        <v>88</v>
      </c>
      <c r="L770" s="36">
        <f>IFERROR(K770/$AD770,0)</f>
        <v>0.35059760956175301</v>
      </c>
      <c r="M770" s="17">
        <v>292</v>
      </c>
      <c r="N770" s="36">
        <f>IFERROR(M770/$AC770,0)</f>
        <v>0.3455621301775148</v>
      </c>
      <c r="O770" s="17">
        <v>74</v>
      </c>
      <c r="P770" s="36">
        <f>IFERROR(O770/$AD770,0)</f>
        <v>0.29482071713147412</v>
      </c>
      <c r="Q770" s="17">
        <v>148</v>
      </c>
      <c r="R770" s="36">
        <f>IFERROR(Q770/$AC770,0)</f>
        <v>0.17514792899408285</v>
      </c>
      <c r="S770" s="17">
        <v>50</v>
      </c>
      <c r="T770" s="36">
        <f>IFERROR(S770/$AD770,0)</f>
        <v>0.19920318725099601</v>
      </c>
      <c r="U770" s="17">
        <v>57</v>
      </c>
      <c r="V770" s="36">
        <f>IFERROR(U770/$AC770,0)</f>
        <v>6.7455621301775154E-2</v>
      </c>
      <c r="W770" s="17">
        <v>18</v>
      </c>
      <c r="X770" s="36">
        <f>IFERROR(W770/$AD770,0)</f>
        <v>7.1713147410358571E-2</v>
      </c>
      <c r="Y770" s="17">
        <v>22</v>
      </c>
      <c r="Z770" s="36">
        <f>IFERROR(Y770/$AC770,0)</f>
        <v>2.6035502958579881E-2</v>
      </c>
      <c r="AA770" s="17">
        <v>9</v>
      </c>
      <c r="AB770" s="36">
        <f>IFERROR(AA770/$AD770,0)</f>
        <v>3.5856573705179286E-2</v>
      </c>
      <c r="AC770" s="17">
        <v>845</v>
      </c>
      <c r="AD770" s="17">
        <v>251</v>
      </c>
    </row>
    <row r="771" spans="1:30" ht="15.75" customHeight="1" x14ac:dyDescent="0.25">
      <c r="A771" s="37">
        <v>2019</v>
      </c>
      <c r="B771" s="35">
        <v>171320</v>
      </c>
      <c r="C771" s="34" t="s">
        <v>148</v>
      </c>
      <c r="D771" s="34" t="s">
        <v>79</v>
      </c>
      <c r="E771" s="17">
        <v>78</v>
      </c>
      <c r="F771" s="36">
        <f>IFERROR(E771/$AC771,0)</f>
        <v>1.8754508295263286E-2</v>
      </c>
      <c r="G771" s="17">
        <v>22</v>
      </c>
      <c r="H771" s="36">
        <f>IFERROR(G771/$AD771,0)</f>
        <v>2.8497409326424871E-2</v>
      </c>
      <c r="I771" s="16">
        <v>1628</v>
      </c>
      <c r="J771" s="36">
        <f>IFERROR(I771/$AC771,0)</f>
        <v>0.39144025006011063</v>
      </c>
      <c r="K771" s="17">
        <v>281</v>
      </c>
      <c r="L771" s="36">
        <f>IFERROR(K771/$AD771,0)</f>
        <v>0.3639896373056995</v>
      </c>
      <c r="M771" s="16">
        <v>1522</v>
      </c>
      <c r="N771" s="36">
        <f>IFERROR(M771/$AC771,0)</f>
        <v>0.3659533541716759</v>
      </c>
      <c r="O771" s="17">
        <v>294</v>
      </c>
      <c r="P771" s="36">
        <f>IFERROR(O771/$AD771,0)</f>
        <v>0.38082901554404147</v>
      </c>
      <c r="Q771" s="17">
        <v>635</v>
      </c>
      <c r="R771" s="36">
        <f>IFERROR(Q771/$AC771,0)</f>
        <v>0.15268093291656648</v>
      </c>
      <c r="S771" s="17">
        <v>113</v>
      </c>
      <c r="T771" s="36">
        <f>IFERROR(S771/$AD771,0)</f>
        <v>0.14637305699481865</v>
      </c>
      <c r="U771" s="17">
        <v>197</v>
      </c>
      <c r="V771" s="36">
        <f>IFERROR(U771/$AC771,0)</f>
        <v>4.7367155566241888E-2</v>
      </c>
      <c r="W771" s="17">
        <v>41</v>
      </c>
      <c r="X771" s="36">
        <f>IFERROR(W771/$AD771,0)</f>
        <v>5.3108808290155442E-2</v>
      </c>
      <c r="Y771" s="17">
        <v>99</v>
      </c>
      <c r="Z771" s="36">
        <f>IFERROR(Y771/$AC771,0)</f>
        <v>2.3803798990141862E-2</v>
      </c>
      <c r="AA771" s="17">
        <v>21</v>
      </c>
      <c r="AB771" s="36">
        <f>IFERROR(AA771/$AD771,0)</f>
        <v>2.7202072538860103E-2</v>
      </c>
      <c r="AC771" s="16">
        <v>4159</v>
      </c>
      <c r="AD771" s="17">
        <v>772</v>
      </c>
    </row>
    <row r="772" spans="1:30" ht="15.75" customHeight="1" x14ac:dyDescent="0.25">
      <c r="A772" s="37">
        <v>2019</v>
      </c>
      <c r="B772" s="35">
        <v>171330</v>
      </c>
      <c r="C772" s="34" t="s">
        <v>148</v>
      </c>
      <c r="D772" s="34" t="s">
        <v>80</v>
      </c>
      <c r="E772" s="17">
        <v>30</v>
      </c>
      <c r="F772" s="36">
        <f>IFERROR(E772/$AC772,0)</f>
        <v>3.0333670374115267E-2</v>
      </c>
      <c r="G772" s="17">
        <v>22</v>
      </c>
      <c r="H772" s="36">
        <f>IFERROR(G772/$AD772,0)</f>
        <v>4.3392504930966469E-2</v>
      </c>
      <c r="I772" s="17">
        <v>345</v>
      </c>
      <c r="J772" s="36">
        <f>IFERROR(I772/$AC772,0)</f>
        <v>0.34883720930232559</v>
      </c>
      <c r="K772" s="17">
        <v>195</v>
      </c>
      <c r="L772" s="36">
        <f>IFERROR(K772/$AD772,0)</f>
        <v>0.38461538461538464</v>
      </c>
      <c r="M772" s="17">
        <v>325</v>
      </c>
      <c r="N772" s="36">
        <f>IFERROR(M772/$AC772,0)</f>
        <v>0.32861476238624876</v>
      </c>
      <c r="O772" s="17">
        <v>148</v>
      </c>
      <c r="P772" s="36">
        <f>IFERROR(O772/$AD772,0)</f>
        <v>0.29191321499013806</v>
      </c>
      <c r="Q772" s="17">
        <v>184</v>
      </c>
      <c r="R772" s="36">
        <f>IFERROR(Q772/$AC772,0)</f>
        <v>0.18604651162790697</v>
      </c>
      <c r="S772" s="17">
        <v>94</v>
      </c>
      <c r="T772" s="36">
        <f>IFERROR(S772/$AD772,0)</f>
        <v>0.1854043392504931</v>
      </c>
      <c r="U772" s="17">
        <v>73</v>
      </c>
      <c r="V772" s="36">
        <f>IFERROR(U772/$AC772,0)</f>
        <v>7.381193124368049E-2</v>
      </c>
      <c r="W772" s="17">
        <v>34</v>
      </c>
      <c r="X772" s="36">
        <f>IFERROR(W772/$AD772,0)</f>
        <v>6.7061143984220903E-2</v>
      </c>
      <c r="Y772" s="17">
        <v>32</v>
      </c>
      <c r="Z772" s="36">
        <f>IFERROR(Y772/$AC772,0)</f>
        <v>3.2355915065722954E-2</v>
      </c>
      <c r="AA772" s="17">
        <v>14</v>
      </c>
      <c r="AB772" s="36">
        <f>IFERROR(AA772/$AD772,0)</f>
        <v>2.7613412228796843E-2</v>
      </c>
      <c r="AC772" s="17">
        <v>989</v>
      </c>
      <c r="AD772" s="17">
        <v>507</v>
      </c>
    </row>
    <row r="773" spans="1:30" ht="15.75" customHeight="1" x14ac:dyDescent="0.25">
      <c r="A773" s="37">
        <v>2019</v>
      </c>
      <c r="B773" s="35">
        <v>171360</v>
      </c>
      <c r="C773" s="34" t="s">
        <v>151</v>
      </c>
      <c r="D773" s="34" t="s">
        <v>81</v>
      </c>
      <c r="E773" s="17">
        <v>17</v>
      </c>
      <c r="F773" s="36">
        <f>IFERROR(E773/$AC773,0)</f>
        <v>2.2636484687083888E-2</v>
      </c>
      <c r="G773" s="17">
        <v>11</v>
      </c>
      <c r="H773" s="36">
        <f>IFERROR(G773/$AD773,0)</f>
        <v>2.3454157782515993E-2</v>
      </c>
      <c r="I773" s="17">
        <v>248</v>
      </c>
      <c r="J773" s="36">
        <f>IFERROR(I773/$AC773,0)</f>
        <v>0.33022636484687085</v>
      </c>
      <c r="K773" s="17">
        <v>171</v>
      </c>
      <c r="L773" s="36">
        <f>IFERROR(K773/$AD773,0)</f>
        <v>0.3646055437100213</v>
      </c>
      <c r="M773" s="17">
        <v>246</v>
      </c>
      <c r="N773" s="36">
        <f>IFERROR(M773/$AC773,0)</f>
        <v>0.32756324900133155</v>
      </c>
      <c r="O773" s="17">
        <v>139</v>
      </c>
      <c r="P773" s="36">
        <f>IFERROR(O773/$AD773,0)</f>
        <v>0.29637526652452023</v>
      </c>
      <c r="Q773" s="17">
        <v>149</v>
      </c>
      <c r="R773" s="36">
        <f>IFERROR(Q773/$AC773,0)</f>
        <v>0.19840213049267644</v>
      </c>
      <c r="S773" s="17">
        <v>91</v>
      </c>
      <c r="T773" s="36">
        <f>IFERROR(S773/$AD773,0)</f>
        <v>0.19402985074626866</v>
      </c>
      <c r="U773" s="17">
        <v>58</v>
      </c>
      <c r="V773" s="36">
        <f>IFERROR(U773/$AC773,0)</f>
        <v>7.7230359520639141E-2</v>
      </c>
      <c r="W773" s="17">
        <v>35</v>
      </c>
      <c r="X773" s="36">
        <f>IFERROR(W773/$AD773,0)</f>
        <v>7.4626865671641784E-2</v>
      </c>
      <c r="Y773" s="17">
        <v>33</v>
      </c>
      <c r="Z773" s="36">
        <f>IFERROR(Y773/$AC773,0)</f>
        <v>4.3941411451398134E-2</v>
      </c>
      <c r="AA773" s="17">
        <v>22</v>
      </c>
      <c r="AB773" s="36">
        <f>IFERROR(AA773/$AD773,0)</f>
        <v>4.6908315565031986E-2</v>
      </c>
      <c r="AC773" s="17">
        <v>751</v>
      </c>
      <c r="AD773" s="17">
        <v>469</v>
      </c>
    </row>
    <row r="774" spans="1:30" ht="15.75" customHeight="1" x14ac:dyDescent="0.25">
      <c r="A774" s="37">
        <v>2019</v>
      </c>
      <c r="B774" s="35">
        <v>171370</v>
      </c>
      <c r="C774" s="34" t="s">
        <v>144</v>
      </c>
      <c r="D774" s="34" t="s">
        <v>82</v>
      </c>
      <c r="E774" s="17">
        <v>10</v>
      </c>
      <c r="F774" s="36">
        <f>IFERROR(E774/$AC774,0)</f>
        <v>2.1141649048625793E-2</v>
      </c>
      <c r="G774" s="17">
        <v>5</v>
      </c>
      <c r="H774" s="36">
        <f>IFERROR(G774/$AD774,0)</f>
        <v>3.3783783783783786E-2</v>
      </c>
      <c r="I774" s="17">
        <v>143</v>
      </c>
      <c r="J774" s="36">
        <f>IFERROR(I774/$AC774,0)</f>
        <v>0.30232558139534882</v>
      </c>
      <c r="K774" s="17">
        <v>52</v>
      </c>
      <c r="L774" s="36">
        <f>IFERROR(K774/$AD774,0)</f>
        <v>0.35135135135135137</v>
      </c>
      <c r="M774" s="17">
        <v>178</v>
      </c>
      <c r="N774" s="36">
        <f>IFERROR(M774/$AC774,0)</f>
        <v>0.3763213530655391</v>
      </c>
      <c r="O774" s="17">
        <v>57</v>
      </c>
      <c r="P774" s="36">
        <f>IFERROR(O774/$AD774,0)</f>
        <v>0.38513513513513514</v>
      </c>
      <c r="Q774" s="17">
        <v>103</v>
      </c>
      <c r="R774" s="36">
        <f>IFERROR(Q774/$AC774,0)</f>
        <v>0.21775898520084566</v>
      </c>
      <c r="S774" s="17">
        <v>25</v>
      </c>
      <c r="T774" s="36">
        <f>IFERROR(S774/$AD774,0)</f>
        <v>0.16891891891891891</v>
      </c>
      <c r="U774" s="17">
        <v>27</v>
      </c>
      <c r="V774" s="36">
        <f>IFERROR(U774/$AC774,0)</f>
        <v>5.7082452431289642E-2</v>
      </c>
      <c r="W774" s="17">
        <v>7</v>
      </c>
      <c r="X774" s="36">
        <f>IFERROR(W774/$AD774,0)</f>
        <v>4.72972972972973E-2</v>
      </c>
      <c r="Y774" s="17">
        <v>12</v>
      </c>
      <c r="Z774" s="36">
        <f>IFERROR(Y774/$AC774,0)</f>
        <v>2.5369978858350951E-2</v>
      </c>
      <c r="AA774" s="17">
        <v>2</v>
      </c>
      <c r="AB774" s="36">
        <f>IFERROR(AA774/$AD774,0)</f>
        <v>1.3513513513513514E-2</v>
      </c>
      <c r="AC774" s="17">
        <v>473</v>
      </c>
      <c r="AD774" s="17">
        <v>148</v>
      </c>
    </row>
    <row r="775" spans="1:30" ht="15.75" customHeight="1" x14ac:dyDescent="0.25">
      <c r="A775" s="37">
        <v>2019</v>
      </c>
      <c r="B775" s="35">
        <v>171395</v>
      </c>
      <c r="C775" s="34" t="s">
        <v>149</v>
      </c>
      <c r="D775" s="34" t="s">
        <v>83</v>
      </c>
      <c r="E775" s="17">
        <v>17</v>
      </c>
      <c r="F775" s="36">
        <f>IFERROR(E775/$AC775,0)</f>
        <v>2.6479750778816199E-2</v>
      </c>
      <c r="G775" s="17">
        <v>8</v>
      </c>
      <c r="H775" s="36">
        <f>IFERROR(G775/$AD775,0)</f>
        <v>6.8376068376068383E-2</v>
      </c>
      <c r="I775" s="17">
        <v>229</v>
      </c>
      <c r="J775" s="36">
        <f>IFERROR(I775/$AC775,0)</f>
        <v>0.35669781931464173</v>
      </c>
      <c r="K775" s="17">
        <v>51</v>
      </c>
      <c r="L775" s="36">
        <f>IFERROR(K775/$AD775,0)</f>
        <v>0.4358974358974359</v>
      </c>
      <c r="M775" s="17">
        <v>203</v>
      </c>
      <c r="N775" s="36">
        <f>IFERROR(M775/$AC775,0)</f>
        <v>0.31619937694704048</v>
      </c>
      <c r="O775" s="17">
        <v>28</v>
      </c>
      <c r="P775" s="36">
        <f>IFERROR(O775/$AD775,0)</f>
        <v>0.23931623931623933</v>
      </c>
      <c r="Q775" s="17">
        <v>127</v>
      </c>
      <c r="R775" s="36">
        <f>IFERROR(Q775/$AC775,0)</f>
        <v>0.19781931464174454</v>
      </c>
      <c r="S775" s="17">
        <v>21</v>
      </c>
      <c r="T775" s="36">
        <f>IFERROR(S775/$AD775,0)</f>
        <v>0.17948717948717949</v>
      </c>
      <c r="U775" s="17">
        <v>49</v>
      </c>
      <c r="V775" s="36">
        <f>IFERROR(U775/$AC775,0)</f>
        <v>7.6323987538940805E-2</v>
      </c>
      <c r="W775" s="17">
        <v>6</v>
      </c>
      <c r="X775" s="36">
        <f>IFERROR(W775/$AD775,0)</f>
        <v>5.128205128205128E-2</v>
      </c>
      <c r="Y775" s="17">
        <v>17</v>
      </c>
      <c r="Z775" s="36">
        <f>IFERROR(Y775/$AC775,0)</f>
        <v>2.6479750778816199E-2</v>
      </c>
      <c r="AA775" s="17">
        <v>3</v>
      </c>
      <c r="AB775" s="36">
        <f>IFERROR(AA775/$AD775,0)</f>
        <v>2.564102564102564E-2</v>
      </c>
      <c r="AC775" s="17">
        <v>642</v>
      </c>
      <c r="AD775" s="17">
        <v>117</v>
      </c>
    </row>
    <row r="776" spans="1:30" ht="15.75" customHeight="1" x14ac:dyDescent="0.25">
      <c r="A776" s="37">
        <v>2019</v>
      </c>
      <c r="B776" s="35">
        <v>171420</v>
      </c>
      <c r="C776" s="34" t="s">
        <v>151</v>
      </c>
      <c r="D776" s="34" t="s">
        <v>84</v>
      </c>
      <c r="E776" s="17">
        <v>41</v>
      </c>
      <c r="F776" s="36">
        <f>IFERROR(E776/$AC776,0)</f>
        <v>2.2031166039763569E-2</v>
      </c>
      <c r="G776" s="17">
        <v>17</v>
      </c>
      <c r="H776" s="36">
        <f>IFERROR(G776/$AD776,0)</f>
        <v>3.0685920577617327E-2</v>
      </c>
      <c r="I776" s="17">
        <v>591</v>
      </c>
      <c r="J776" s="36">
        <f>IFERROR(I776/$AC776,0)</f>
        <v>0.31757119828049435</v>
      </c>
      <c r="K776" s="17">
        <v>188</v>
      </c>
      <c r="L776" s="36">
        <f>IFERROR(K776/$AD776,0)</f>
        <v>0.33935018050541516</v>
      </c>
      <c r="M776" s="17">
        <v>723</v>
      </c>
      <c r="N776" s="36">
        <f>IFERROR(M776/$AC776,0)</f>
        <v>0.38850080601826975</v>
      </c>
      <c r="O776" s="17">
        <v>210</v>
      </c>
      <c r="P776" s="36">
        <f>IFERROR(O776/$AD776,0)</f>
        <v>0.37906137184115524</v>
      </c>
      <c r="Q776" s="17">
        <v>345</v>
      </c>
      <c r="R776" s="36">
        <f>IFERROR(Q776/$AC776,0)</f>
        <v>0.18538420204191294</v>
      </c>
      <c r="S776" s="17">
        <v>91</v>
      </c>
      <c r="T776" s="36">
        <f>IFERROR(S776/$AD776,0)</f>
        <v>0.16425992779783394</v>
      </c>
      <c r="U776" s="17">
        <v>113</v>
      </c>
      <c r="V776" s="36">
        <f>IFERROR(U776/$AC776,0)</f>
        <v>6.0720042987641054E-2</v>
      </c>
      <c r="W776" s="17">
        <v>37</v>
      </c>
      <c r="X776" s="36">
        <f>IFERROR(W776/$AD776,0)</f>
        <v>6.6787003610108309E-2</v>
      </c>
      <c r="Y776" s="17">
        <v>48</v>
      </c>
      <c r="Z776" s="36">
        <f>IFERROR(Y776/$AC776,0)</f>
        <v>2.5792584631918324E-2</v>
      </c>
      <c r="AA776" s="17">
        <v>11</v>
      </c>
      <c r="AB776" s="36">
        <f>IFERROR(AA776/$AD776,0)</f>
        <v>1.9855595667870037E-2</v>
      </c>
      <c r="AC776" s="16">
        <v>1861</v>
      </c>
      <c r="AD776" s="17">
        <v>554</v>
      </c>
    </row>
    <row r="777" spans="1:30" ht="15.75" customHeight="1" x14ac:dyDescent="0.25">
      <c r="A777" s="37">
        <v>2019</v>
      </c>
      <c r="B777" s="35">
        <v>171430</v>
      </c>
      <c r="C777" s="34" t="s">
        <v>145</v>
      </c>
      <c r="D777" s="34" t="s">
        <v>85</v>
      </c>
      <c r="E777" s="17">
        <v>26</v>
      </c>
      <c r="F777" s="36">
        <f>IFERROR(E777/$AC777,0)</f>
        <v>3.3205619412515965E-2</v>
      </c>
      <c r="G777" s="17">
        <v>9</v>
      </c>
      <c r="H777" s="36">
        <f>IFERROR(G777/$AD777,0)</f>
        <v>3.3333333333333333E-2</v>
      </c>
      <c r="I777" s="17">
        <v>277</v>
      </c>
      <c r="J777" s="36">
        <f>IFERROR(I777/$AC777,0)</f>
        <v>0.35376756066411241</v>
      </c>
      <c r="K777" s="17">
        <v>114</v>
      </c>
      <c r="L777" s="36">
        <f>IFERROR(K777/$AD777,0)</f>
        <v>0.42222222222222222</v>
      </c>
      <c r="M777" s="17">
        <v>263</v>
      </c>
      <c r="N777" s="36">
        <f>IFERROR(M777/$AC777,0)</f>
        <v>0.33588761174968074</v>
      </c>
      <c r="O777" s="17">
        <v>89</v>
      </c>
      <c r="P777" s="36">
        <f>IFERROR(O777/$AD777,0)</f>
        <v>0.32962962962962961</v>
      </c>
      <c r="Q777" s="17">
        <v>151</v>
      </c>
      <c r="R777" s="36">
        <f>IFERROR(Q777/$AC777,0)</f>
        <v>0.19284802043422733</v>
      </c>
      <c r="S777" s="17">
        <v>34</v>
      </c>
      <c r="T777" s="36">
        <f>IFERROR(S777/$AD777,0)</f>
        <v>0.12592592592592591</v>
      </c>
      <c r="U777" s="17">
        <v>54</v>
      </c>
      <c r="V777" s="36">
        <f>IFERROR(U777/$AC777,0)</f>
        <v>6.8965517241379309E-2</v>
      </c>
      <c r="W777" s="17">
        <v>22</v>
      </c>
      <c r="X777" s="36">
        <f>IFERROR(W777/$AD777,0)</f>
        <v>8.1481481481481488E-2</v>
      </c>
      <c r="Y777" s="17">
        <v>12</v>
      </c>
      <c r="Z777" s="36">
        <f>IFERROR(Y777/$AC777,0)</f>
        <v>1.532567049808429E-2</v>
      </c>
      <c r="AA777" s="17">
        <v>2</v>
      </c>
      <c r="AB777" s="36">
        <f>IFERROR(AA777/$AD777,0)</f>
        <v>7.4074074074074077E-3</v>
      </c>
      <c r="AC777" s="17">
        <v>783</v>
      </c>
      <c r="AD777" s="17">
        <v>270</v>
      </c>
    </row>
    <row r="778" spans="1:30" ht="15.75" customHeight="1" x14ac:dyDescent="0.25">
      <c r="A778" s="37">
        <v>2019</v>
      </c>
      <c r="B778" s="35">
        <v>171488</v>
      </c>
      <c r="C778" s="34" t="s">
        <v>149</v>
      </c>
      <c r="D778" s="34" t="s">
        <v>86</v>
      </c>
      <c r="E778" s="17">
        <v>60</v>
      </c>
      <c r="F778" s="36">
        <f>IFERROR(E778/$AC778,0)</f>
        <v>3.4188034188034191E-2</v>
      </c>
      <c r="G778" s="17">
        <v>47</v>
      </c>
      <c r="H778" s="36">
        <f>IFERROR(G778/$AD778,0)</f>
        <v>5.4461181923522596E-2</v>
      </c>
      <c r="I778" s="17">
        <v>667</v>
      </c>
      <c r="J778" s="36">
        <f>IFERROR(I778/$AC778,0)</f>
        <v>0.38005698005698008</v>
      </c>
      <c r="K778" s="17">
        <v>352</v>
      </c>
      <c r="L778" s="36">
        <f>IFERROR(K778/$AD778,0)</f>
        <v>0.40787949015063729</v>
      </c>
      <c r="M778" s="17">
        <v>651</v>
      </c>
      <c r="N778" s="36">
        <f>IFERROR(M778/$AC778,0)</f>
        <v>0.37094017094017095</v>
      </c>
      <c r="O778" s="17">
        <v>277</v>
      </c>
      <c r="P778" s="36">
        <f>IFERROR(O778/$AD778,0)</f>
        <v>0.32097334878331402</v>
      </c>
      <c r="Q778" s="17">
        <v>259</v>
      </c>
      <c r="R778" s="36">
        <f>IFERROR(Q778/$AC778,0)</f>
        <v>0.14757834757834759</v>
      </c>
      <c r="S778" s="17">
        <v>131</v>
      </c>
      <c r="T778" s="36">
        <f>IFERROR(S778/$AD778,0)</f>
        <v>0.15179606025492468</v>
      </c>
      <c r="U778" s="17">
        <v>83</v>
      </c>
      <c r="V778" s="36">
        <f>IFERROR(U778/$AC778,0)</f>
        <v>4.7293447293447297E-2</v>
      </c>
      <c r="W778" s="17">
        <v>39</v>
      </c>
      <c r="X778" s="36">
        <f>IFERROR(W778/$AD778,0)</f>
        <v>4.5191193511008108E-2</v>
      </c>
      <c r="Y778" s="17">
        <v>35</v>
      </c>
      <c r="Z778" s="36">
        <f>IFERROR(Y778/$AC778,0)</f>
        <v>1.9943019943019943E-2</v>
      </c>
      <c r="AA778" s="17">
        <v>17</v>
      </c>
      <c r="AB778" s="36">
        <f>IFERROR(AA778/$AD778,0)</f>
        <v>1.9698725376593278E-2</v>
      </c>
      <c r="AC778" s="16">
        <v>1755</v>
      </c>
      <c r="AD778" s="17">
        <v>863</v>
      </c>
    </row>
    <row r="779" spans="1:30" ht="15.75" customHeight="1" x14ac:dyDescent="0.25">
      <c r="A779" s="37">
        <v>2019</v>
      </c>
      <c r="B779" s="35">
        <v>171500</v>
      </c>
      <c r="C779" s="34" t="s">
        <v>144</v>
      </c>
      <c r="D779" s="34" t="s">
        <v>87</v>
      </c>
      <c r="E779" s="17">
        <v>22</v>
      </c>
      <c r="F779" s="36">
        <f>IFERROR(E779/$AC779,0)</f>
        <v>1.872340425531915E-2</v>
      </c>
      <c r="G779" s="17">
        <v>9</v>
      </c>
      <c r="H779" s="36">
        <f>IFERROR(G779/$AD779,0)</f>
        <v>3.6585365853658534E-2</v>
      </c>
      <c r="I779" s="17">
        <v>427</v>
      </c>
      <c r="J779" s="36">
        <f>IFERROR(I779/$AC779,0)</f>
        <v>0.36340425531914894</v>
      </c>
      <c r="K779" s="17">
        <v>95</v>
      </c>
      <c r="L779" s="36">
        <f>IFERROR(K779/$AD779,0)</f>
        <v>0.38617886178861788</v>
      </c>
      <c r="M779" s="17">
        <v>423</v>
      </c>
      <c r="N779" s="36">
        <f>IFERROR(M779/$AC779,0)</f>
        <v>0.36</v>
      </c>
      <c r="O779" s="17">
        <v>85</v>
      </c>
      <c r="P779" s="36">
        <f>IFERROR(O779/$AD779,0)</f>
        <v>0.34552845528455284</v>
      </c>
      <c r="Q779" s="17">
        <v>196</v>
      </c>
      <c r="R779" s="36">
        <f>IFERROR(Q779/$AC779,0)</f>
        <v>0.16680851063829788</v>
      </c>
      <c r="S779" s="17">
        <v>34</v>
      </c>
      <c r="T779" s="36">
        <f>IFERROR(S779/$AD779,0)</f>
        <v>0.13821138211382114</v>
      </c>
      <c r="U779" s="17">
        <v>77</v>
      </c>
      <c r="V779" s="36">
        <f>IFERROR(U779/$AC779,0)</f>
        <v>6.5531914893617024E-2</v>
      </c>
      <c r="W779" s="17">
        <v>15</v>
      </c>
      <c r="X779" s="36">
        <f>IFERROR(W779/$AD779,0)</f>
        <v>6.097560975609756E-2</v>
      </c>
      <c r="Y779" s="17">
        <v>30</v>
      </c>
      <c r="Z779" s="36">
        <f>IFERROR(Y779/$AC779,0)</f>
        <v>2.553191489361702E-2</v>
      </c>
      <c r="AA779" s="17">
        <v>8</v>
      </c>
      <c r="AB779" s="36">
        <f>IFERROR(AA779/$AD779,0)</f>
        <v>3.2520325203252036E-2</v>
      </c>
      <c r="AC779" s="16">
        <v>1175</v>
      </c>
      <c r="AD779" s="17">
        <v>246</v>
      </c>
    </row>
    <row r="780" spans="1:30" ht="15.75" customHeight="1" x14ac:dyDescent="0.25">
      <c r="A780" s="37">
        <v>2019</v>
      </c>
      <c r="B780" s="35">
        <v>171510</v>
      </c>
      <c r="C780" s="34" t="s">
        <v>148</v>
      </c>
      <c r="D780" s="34" t="s">
        <v>88</v>
      </c>
      <c r="E780" s="17">
        <v>8</v>
      </c>
      <c r="F780" s="36">
        <f>IFERROR(E780/$AC780,0)</f>
        <v>1.6326530612244899E-2</v>
      </c>
      <c r="G780" s="17">
        <v>4</v>
      </c>
      <c r="H780" s="36">
        <f>IFERROR(G780/$AD780,0)</f>
        <v>3.2000000000000001E-2</v>
      </c>
      <c r="I780" s="17">
        <v>211</v>
      </c>
      <c r="J780" s="36">
        <f>IFERROR(I780/$AC780,0)</f>
        <v>0.43061224489795918</v>
      </c>
      <c r="K780" s="17">
        <v>57</v>
      </c>
      <c r="L780" s="36">
        <f>IFERROR(K780/$AD780,0)</f>
        <v>0.45600000000000002</v>
      </c>
      <c r="M780" s="17">
        <v>156</v>
      </c>
      <c r="N780" s="36">
        <f>IFERROR(M780/$AC780,0)</f>
        <v>0.3183673469387755</v>
      </c>
      <c r="O780" s="17">
        <v>33</v>
      </c>
      <c r="P780" s="36">
        <f>IFERROR(O780/$AD780,0)</f>
        <v>0.26400000000000001</v>
      </c>
      <c r="Q780" s="17">
        <v>79</v>
      </c>
      <c r="R780" s="36">
        <f>IFERROR(Q780/$AC780,0)</f>
        <v>0.16122448979591836</v>
      </c>
      <c r="S780" s="17">
        <v>22</v>
      </c>
      <c r="T780" s="36">
        <f>IFERROR(S780/$AD780,0)</f>
        <v>0.17599999999999999</v>
      </c>
      <c r="U780" s="17">
        <v>25</v>
      </c>
      <c r="V780" s="36">
        <f>IFERROR(U780/$AC780,0)</f>
        <v>5.1020408163265307E-2</v>
      </c>
      <c r="W780" s="17">
        <v>6</v>
      </c>
      <c r="X780" s="36">
        <f>IFERROR(W780/$AD780,0)</f>
        <v>4.8000000000000001E-2</v>
      </c>
      <c r="Y780" s="17">
        <v>11</v>
      </c>
      <c r="Z780" s="36">
        <f>IFERROR(Y780/$AC780,0)</f>
        <v>2.2448979591836733E-2</v>
      </c>
      <c r="AA780" s="17">
        <v>3</v>
      </c>
      <c r="AB780" s="36">
        <f>IFERROR(AA780/$AD780,0)</f>
        <v>2.4E-2</v>
      </c>
      <c r="AC780" s="17">
        <v>490</v>
      </c>
      <c r="AD780" s="17">
        <v>125</v>
      </c>
    </row>
    <row r="781" spans="1:30" ht="15.75" customHeight="1" x14ac:dyDescent="0.25">
      <c r="A781" s="37">
        <v>2019</v>
      </c>
      <c r="B781" s="35">
        <v>171515</v>
      </c>
      <c r="C781" s="34" t="s">
        <v>147</v>
      </c>
      <c r="D781" s="34" t="s">
        <v>89</v>
      </c>
      <c r="E781" s="17">
        <v>15</v>
      </c>
      <c r="F781" s="36">
        <f>IFERROR(E781/$AC781,0)</f>
        <v>2.6690391459074734E-2</v>
      </c>
      <c r="G781" s="17">
        <v>3</v>
      </c>
      <c r="H781" s="36">
        <f>IFERROR(G781/$AD781,0)</f>
        <v>3.7974683544303799E-2</v>
      </c>
      <c r="I781" s="17">
        <v>211</v>
      </c>
      <c r="J781" s="36">
        <f>IFERROR(I781/$AC781,0)</f>
        <v>0.37544483985765126</v>
      </c>
      <c r="K781" s="17">
        <v>29</v>
      </c>
      <c r="L781" s="36">
        <f>IFERROR(K781/$AD781,0)</f>
        <v>0.36708860759493672</v>
      </c>
      <c r="M781" s="17">
        <v>208</v>
      </c>
      <c r="N781" s="36">
        <f>IFERROR(M781/$AC781,0)</f>
        <v>0.37010676156583627</v>
      </c>
      <c r="O781" s="17">
        <v>28</v>
      </c>
      <c r="P781" s="36">
        <f>IFERROR(O781/$AD781,0)</f>
        <v>0.35443037974683544</v>
      </c>
      <c r="Q781" s="17">
        <v>86</v>
      </c>
      <c r="R781" s="36">
        <f>IFERROR(Q781/$AC781,0)</f>
        <v>0.15302491103202848</v>
      </c>
      <c r="S781" s="17">
        <v>15</v>
      </c>
      <c r="T781" s="36">
        <f>IFERROR(S781/$AD781,0)</f>
        <v>0.189873417721519</v>
      </c>
      <c r="U781" s="17">
        <v>28</v>
      </c>
      <c r="V781" s="36">
        <f>IFERROR(U781/$AC781,0)</f>
        <v>4.9822064056939501E-2</v>
      </c>
      <c r="W781" s="17">
        <v>2</v>
      </c>
      <c r="X781" s="36">
        <f>IFERROR(W781/$AD781,0)</f>
        <v>2.5316455696202531E-2</v>
      </c>
      <c r="Y781" s="17">
        <v>14</v>
      </c>
      <c r="Z781" s="36">
        <f>IFERROR(Y781/$AC781,0)</f>
        <v>2.491103202846975E-2</v>
      </c>
      <c r="AA781" s="17">
        <v>2</v>
      </c>
      <c r="AB781" s="36">
        <f>IFERROR(AA781/$AD781,0)</f>
        <v>2.5316455696202531E-2</v>
      </c>
      <c r="AC781" s="17">
        <v>562</v>
      </c>
      <c r="AD781" s="17">
        <v>79</v>
      </c>
    </row>
    <row r="782" spans="1:30" ht="15.75" customHeight="1" x14ac:dyDescent="0.25">
      <c r="A782" s="37">
        <v>2019</v>
      </c>
      <c r="B782" s="35">
        <v>171525</v>
      </c>
      <c r="C782" s="34" t="s">
        <v>147</v>
      </c>
      <c r="D782" s="34" t="s">
        <v>90</v>
      </c>
      <c r="E782" s="17">
        <v>6</v>
      </c>
      <c r="F782" s="36">
        <f>IFERROR(E782/$AC782,0)</f>
        <v>2.643171806167401E-2</v>
      </c>
      <c r="G782" s="17">
        <v>6</v>
      </c>
      <c r="H782" s="36">
        <f>IFERROR(G782/$AD782,0)</f>
        <v>3.2608695652173912E-2</v>
      </c>
      <c r="I782" s="17">
        <v>108</v>
      </c>
      <c r="J782" s="36">
        <f>IFERROR(I782/$AC782,0)</f>
        <v>0.47577092511013214</v>
      </c>
      <c r="K782" s="17">
        <v>90</v>
      </c>
      <c r="L782" s="36">
        <f>IFERROR(K782/$AD782,0)</f>
        <v>0.4891304347826087</v>
      </c>
      <c r="M782" s="17">
        <v>70</v>
      </c>
      <c r="N782" s="36">
        <f>IFERROR(M782/$AC782,0)</f>
        <v>0.30837004405286345</v>
      </c>
      <c r="O782" s="17">
        <v>53</v>
      </c>
      <c r="P782" s="36">
        <f>IFERROR(O782/$AD782,0)</f>
        <v>0.28804347826086957</v>
      </c>
      <c r="Q782" s="17">
        <v>29</v>
      </c>
      <c r="R782" s="36">
        <f>IFERROR(Q782/$AC782,0)</f>
        <v>0.1277533039647577</v>
      </c>
      <c r="S782" s="17">
        <v>24</v>
      </c>
      <c r="T782" s="36">
        <f>IFERROR(S782/$AD782,0)</f>
        <v>0.13043478260869565</v>
      </c>
      <c r="U782" s="17">
        <v>9</v>
      </c>
      <c r="V782" s="36">
        <f>IFERROR(U782/$AC782,0)</f>
        <v>3.9647577092511016E-2</v>
      </c>
      <c r="W782" s="17">
        <v>6</v>
      </c>
      <c r="X782" s="36">
        <f>IFERROR(W782/$AD782,0)</f>
        <v>3.2608695652173912E-2</v>
      </c>
      <c r="Y782" s="17">
        <v>5</v>
      </c>
      <c r="Z782" s="36">
        <f>IFERROR(Y782/$AC782,0)</f>
        <v>2.2026431718061675E-2</v>
      </c>
      <c r="AA782" s="17">
        <v>5</v>
      </c>
      <c r="AB782" s="36">
        <f>IFERROR(AA782/$AD782,0)</f>
        <v>2.717391304347826E-2</v>
      </c>
      <c r="AC782" s="17">
        <v>227</v>
      </c>
      <c r="AD782" s="17">
        <v>184</v>
      </c>
    </row>
    <row r="783" spans="1:30" ht="15.75" customHeight="1" x14ac:dyDescent="0.25">
      <c r="A783" s="37">
        <v>2019</v>
      </c>
      <c r="B783" s="35">
        <v>171550</v>
      </c>
      <c r="C783" s="34" t="s">
        <v>151</v>
      </c>
      <c r="D783" s="34" t="s">
        <v>91</v>
      </c>
      <c r="E783" s="17">
        <v>4</v>
      </c>
      <c r="F783" s="36">
        <f>IFERROR(E783/$AC783,0)</f>
        <v>1.1111111111111112E-2</v>
      </c>
      <c r="G783" s="17">
        <v>0</v>
      </c>
      <c r="H783" s="36">
        <f>IFERROR(G783/$AD783,0)</f>
        <v>0</v>
      </c>
      <c r="I783" s="17">
        <v>117</v>
      </c>
      <c r="J783" s="36">
        <f>IFERROR(I783/$AC783,0)</f>
        <v>0.32500000000000001</v>
      </c>
      <c r="K783" s="17">
        <v>26</v>
      </c>
      <c r="L783" s="36">
        <f>IFERROR(K783/$AD783,0)</f>
        <v>0.37681159420289856</v>
      </c>
      <c r="M783" s="17">
        <v>130</v>
      </c>
      <c r="N783" s="36">
        <f>IFERROR(M783/$AC783,0)</f>
        <v>0.3611111111111111</v>
      </c>
      <c r="O783" s="17">
        <v>18</v>
      </c>
      <c r="P783" s="36">
        <f>IFERROR(O783/$AD783,0)</f>
        <v>0.2608695652173913</v>
      </c>
      <c r="Q783" s="17">
        <v>68</v>
      </c>
      <c r="R783" s="36">
        <f>IFERROR(Q783/$AC783,0)</f>
        <v>0.18888888888888888</v>
      </c>
      <c r="S783" s="17">
        <v>13</v>
      </c>
      <c r="T783" s="36">
        <f>IFERROR(S783/$AD783,0)</f>
        <v>0.18840579710144928</v>
      </c>
      <c r="U783" s="17">
        <v>24</v>
      </c>
      <c r="V783" s="36">
        <f>IFERROR(U783/$AC783,0)</f>
        <v>6.6666666666666666E-2</v>
      </c>
      <c r="W783" s="17">
        <v>6</v>
      </c>
      <c r="X783" s="36">
        <f>IFERROR(W783/$AD783,0)</f>
        <v>8.6956521739130432E-2</v>
      </c>
      <c r="Y783" s="17">
        <v>17</v>
      </c>
      <c r="Z783" s="36">
        <f>IFERROR(Y783/$AC783,0)</f>
        <v>4.7222222222222221E-2</v>
      </c>
      <c r="AA783" s="17">
        <v>6</v>
      </c>
      <c r="AB783" s="36">
        <f>IFERROR(AA783/$AD783,0)</f>
        <v>8.6956521739130432E-2</v>
      </c>
      <c r="AC783" s="17">
        <v>360</v>
      </c>
      <c r="AD783" s="17">
        <v>69</v>
      </c>
    </row>
    <row r="784" spans="1:30" ht="15.75" customHeight="1" x14ac:dyDescent="0.25">
      <c r="A784" s="37">
        <v>2019</v>
      </c>
      <c r="B784" s="35">
        <v>172100</v>
      </c>
      <c r="C784" s="34" t="s">
        <v>148</v>
      </c>
      <c r="D784" s="34" t="s">
        <v>92</v>
      </c>
      <c r="E784" s="17">
        <v>735</v>
      </c>
      <c r="F784" s="36">
        <f>IFERROR(E784/$AC784,0)</f>
        <v>2.4690943294813222E-2</v>
      </c>
      <c r="G784" s="17">
        <v>167</v>
      </c>
      <c r="H784" s="36">
        <f>IFERROR(G784/$AD784,0)</f>
        <v>3.7385269755988361E-2</v>
      </c>
      <c r="I784" s="16">
        <v>10719</v>
      </c>
      <c r="J784" s="36">
        <f>IFERROR(I784/$AC784,0)</f>
        <v>0.3600846546627251</v>
      </c>
      <c r="K784" s="16">
        <v>1815</v>
      </c>
      <c r="L784" s="36">
        <f>IFERROR(K784/$AD784,0)</f>
        <v>0.40631296171927467</v>
      </c>
      <c r="M784" s="16">
        <v>10403</v>
      </c>
      <c r="N784" s="36">
        <f>IFERROR(M784/$AC784,0)</f>
        <v>0.34946922870196184</v>
      </c>
      <c r="O784" s="16">
        <v>1373</v>
      </c>
      <c r="P784" s="36">
        <f>IFERROR(O784/$AD784,0)</f>
        <v>0.30736512200582045</v>
      </c>
      <c r="Q784" s="16">
        <v>5386</v>
      </c>
      <c r="R784" s="36">
        <f>IFERROR(Q784/$AC784,0)</f>
        <v>0.18093254501478098</v>
      </c>
      <c r="S784" s="17">
        <v>760</v>
      </c>
      <c r="T784" s="36">
        <f>IFERROR(S784/$AD784,0)</f>
        <v>0.17013655697336019</v>
      </c>
      <c r="U784" s="16">
        <v>1748</v>
      </c>
      <c r="V784" s="36">
        <f>IFERROR(U784/$AC784,0)</f>
        <v>5.8720773985487772E-2</v>
      </c>
      <c r="W784" s="17">
        <v>253</v>
      </c>
      <c r="X784" s="36">
        <f>IFERROR(W784/$AD784,0)</f>
        <v>5.6637564360868593E-2</v>
      </c>
      <c r="Y784" s="17">
        <v>777</v>
      </c>
      <c r="Z784" s="36">
        <f>IFERROR(Y784/$AC784,0)</f>
        <v>2.6101854340231122E-2</v>
      </c>
      <c r="AA784" s="17">
        <v>99</v>
      </c>
      <c r="AB784" s="36">
        <f>IFERROR(AA784/$AD784,0)</f>
        <v>2.2162525184687708E-2</v>
      </c>
      <c r="AC784" s="16">
        <v>29768</v>
      </c>
      <c r="AD784" s="16">
        <v>4467</v>
      </c>
    </row>
    <row r="785" spans="1:30" ht="15.75" customHeight="1" x14ac:dyDescent="0.25">
      <c r="A785" s="37">
        <v>2019</v>
      </c>
      <c r="B785" s="35">
        <v>171570</v>
      </c>
      <c r="C785" s="34" t="s">
        <v>150</v>
      </c>
      <c r="D785" s="34" t="s">
        <v>93</v>
      </c>
      <c r="E785" s="17">
        <v>35</v>
      </c>
      <c r="F785" s="36">
        <f>IFERROR(E785/$AC785,0)</f>
        <v>3.7353255069370331E-2</v>
      </c>
      <c r="G785" s="17">
        <v>11</v>
      </c>
      <c r="H785" s="36">
        <f>IFERROR(G785/$AD785,0)</f>
        <v>3.7037037037037035E-2</v>
      </c>
      <c r="I785" s="17">
        <v>370</v>
      </c>
      <c r="J785" s="36">
        <f>IFERROR(I785/$AC785,0)</f>
        <v>0.39487726787620064</v>
      </c>
      <c r="K785" s="17">
        <v>120</v>
      </c>
      <c r="L785" s="36">
        <f>IFERROR(K785/$AD785,0)</f>
        <v>0.40404040404040403</v>
      </c>
      <c r="M785" s="17">
        <v>323</v>
      </c>
      <c r="N785" s="36">
        <f>IFERROR(M785/$AC785,0)</f>
        <v>0.34471718249733191</v>
      </c>
      <c r="O785" s="17">
        <v>95</v>
      </c>
      <c r="P785" s="36">
        <f>IFERROR(O785/$AD785,0)</f>
        <v>0.31986531986531985</v>
      </c>
      <c r="Q785" s="17">
        <v>149</v>
      </c>
      <c r="R785" s="36">
        <f>IFERROR(Q785/$AC785,0)</f>
        <v>0.15901814300960512</v>
      </c>
      <c r="S785" s="17">
        <v>46</v>
      </c>
      <c r="T785" s="36">
        <f>IFERROR(S785/$AD785,0)</f>
        <v>0.15488215488215487</v>
      </c>
      <c r="U785" s="17">
        <v>50</v>
      </c>
      <c r="V785" s="36">
        <f>IFERROR(U785/$AC785,0)</f>
        <v>5.3361792956243333E-2</v>
      </c>
      <c r="W785" s="17">
        <v>21</v>
      </c>
      <c r="X785" s="36">
        <f>IFERROR(W785/$AD785,0)</f>
        <v>7.0707070707070704E-2</v>
      </c>
      <c r="Y785" s="17">
        <v>10</v>
      </c>
      <c r="Z785" s="36">
        <f>IFERROR(Y785/$AC785,0)</f>
        <v>1.0672358591248666E-2</v>
      </c>
      <c r="AA785" s="17">
        <v>4</v>
      </c>
      <c r="AB785" s="36">
        <f>IFERROR(AA785/$AD785,0)</f>
        <v>1.3468013468013467E-2</v>
      </c>
      <c r="AC785" s="17">
        <v>937</v>
      </c>
      <c r="AD785" s="17">
        <v>297</v>
      </c>
    </row>
    <row r="786" spans="1:30" ht="15.75" customHeight="1" x14ac:dyDescent="0.25">
      <c r="A786" s="37">
        <v>2019</v>
      </c>
      <c r="B786" s="35">
        <v>171380</v>
      </c>
      <c r="C786" s="34" t="s">
        <v>145</v>
      </c>
      <c r="D786" s="34" t="s">
        <v>94</v>
      </c>
      <c r="E786" s="17">
        <v>24</v>
      </c>
      <c r="F786" s="36">
        <f>IFERROR(E786/$AC786,0)</f>
        <v>3.5036496350364967E-2</v>
      </c>
      <c r="G786" s="17">
        <v>20</v>
      </c>
      <c r="H786" s="36">
        <f>IFERROR(G786/$AD786,0)</f>
        <v>4.8426150121065374E-2</v>
      </c>
      <c r="I786" s="17">
        <v>255</v>
      </c>
      <c r="J786" s="36">
        <f>IFERROR(I786/$AC786,0)</f>
        <v>0.37226277372262773</v>
      </c>
      <c r="K786" s="17">
        <v>151</v>
      </c>
      <c r="L786" s="36">
        <f>IFERROR(K786/$AD786,0)</f>
        <v>0.36561743341404357</v>
      </c>
      <c r="M786" s="17">
        <v>254</v>
      </c>
      <c r="N786" s="36">
        <f>IFERROR(M786/$AC786,0)</f>
        <v>0.3708029197080292</v>
      </c>
      <c r="O786" s="17">
        <v>136</v>
      </c>
      <c r="P786" s="36">
        <f>IFERROR(O786/$AD786,0)</f>
        <v>0.32929782082324455</v>
      </c>
      <c r="Q786" s="17">
        <v>106</v>
      </c>
      <c r="R786" s="36">
        <f>IFERROR(Q786/$AC786,0)</f>
        <v>0.15474452554744525</v>
      </c>
      <c r="S786" s="17">
        <v>73</v>
      </c>
      <c r="T786" s="36">
        <f>IFERROR(S786/$AD786,0)</f>
        <v>0.17675544794188863</v>
      </c>
      <c r="U786" s="17">
        <v>35</v>
      </c>
      <c r="V786" s="36">
        <f>IFERROR(U786/$AC786,0)</f>
        <v>5.1094890510948905E-2</v>
      </c>
      <c r="W786" s="17">
        <v>26</v>
      </c>
      <c r="X786" s="36">
        <f>IFERROR(W786/$AD786,0)</f>
        <v>6.2953995157384993E-2</v>
      </c>
      <c r="Y786" s="17">
        <v>11</v>
      </c>
      <c r="Z786" s="36">
        <f>IFERROR(Y786/$AC786,0)</f>
        <v>1.6058394160583942E-2</v>
      </c>
      <c r="AA786" s="17">
        <v>7</v>
      </c>
      <c r="AB786" s="36">
        <f>IFERROR(AA786/$AD786,0)</f>
        <v>1.6949152542372881E-2</v>
      </c>
      <c r="AC786" s="17">
        <v>685</v>
      </c>
      <c r="AD786" s="17">
        <v>413</v>
      </c>
    </row>
    <row r="787" spans="1:30" ht="15.75" customHeight="1" x14ac:dyDescent="0.25">
      <c r="A787" s="37">
        <v>2019</v>
      </c>
      <c r="B787" s="35">
        <v>171575</v>
      </c>
      <c r="C787" s="34" t="s">
        <v>146</v>
      </c>
      <c r="D787" s="34" t="s">
        <v>95</v>
      </c>
      <c r="E787" s="17">
        <v>17</v>
      </c>
      <c r="F787" s="36">
        <f>IFERROR(E787/$AC787,0)</f>
        <v>1.5843429636533086E-2</v>
      </c>
      <c r="G787" s="17">
        <v>4</v>
      </c>
      <c r="H787" s="36">
        <f>IFERROR(G787/$AD787,0)</f>
        <v>2.3529411764705882E-2</v>
      </c>
      <c r="I787" s="17">
        <v>395</v>
      </c>
      <c r="J787" s="36">
        <f>IFERROR(I787/$AC787,0)</f>
        <v>0.36812674743709228</v>
      </c>
      <c r="K787" s="17">
        <v>65</v>
      </c>
      <c r="L787" s="36">
        <f>IFERROR(K787/$AD787,0)</f>
        <v>0.38235294117647056</v>
      </c>
      <c r="M787" s="17">
        <v>374</v>
      </c>
      <c r="N787" s="36">
        <f>IFERROR(M787/$AC787,0)</f>
        <v>0.34855545200372784</v>
      </c>
      <c r="O787" s="17">
        <v>57</v>
      </c>
      <c r="P787" s="36">
        <f>IFERROR(O787/$AD787,0)</f>
        <v>0.3352941176470588</v>
      </c>
      <c r="Q787" s="17">
        <v>198</v>
      </c>
      <c r="R787" s="36">
        <f>IFERROR(Q787/$AC787,0)</f>
        <v>0.18452935694315004</v>
      </c>
      <c r="S787" s="17">
        <v>29</v>
      </c>
      <c r="T787" s="36">
        <f>IFERROR(S787/$AD787,0)</f>
        <v>0.17058823529411765</v>
      </c>
      <c r="U787" s="17">
        <v>73</v>
      </c>
      <c r="V787" s="36">
        <f>IFERROR(U787/$AC787,0)</f>
        <v>6.8033550792171479E-2</v>
      </c>
      <c r="W787" s="17">
        <v>11</v>
      </c>
      <c r="X787" s="36">
        <f>IFERROR(W787/$AD787,0)</f>
        <v>6.4705882352941183E-2</v>
      </c>
      <c r="Y787" s="17">
        <v>16</v>
      </c>
      <c r="Z787" s="36">
        <f>IFERROR(Y787/$AC787,0)</f>
        <v>1.4911463187325256E-2</v>
      </c>
      <c r="AA787" s="17">
        <v>4</v>
      </c>
      <c r="AB787" s="36">
        <f>IFERROR(AA787/$AD787,0)</f>
        <v>2.3529411764705882E-2</v>
      </c>
      <c r="AC787" s="16">
        <v>1073</v>
      </c>
      <c r="AD787" s="17">
        <v>170</v>
      </c>
    </row>
    <row r="788" spans="1:30" ht="15.75" customHeight="1" x14ac:dyDescent="0.25">
      <c r="A788" s="37">
        <v>2019</v>
      </c>
      <c r="B788" s="35">
        <v>171610</v>
      </c>
      <c r="C788" s="34" t="s">
        <v>144</v>
      </c>
      <c r="D788" s="34" t="s">
        <v>96</v>
      </c>
      <c r="E788" s="17">
        <v>48</v>
      </c>
      <c r="F788" s="36">
        <f>IFERROR(E788/$AC788,0)</f>
        <v>3.0592734225621414E-2</v>
      </c>
      <c r="G788" s="17">
        <v>28</v>
      </c>
      <c r="H788" s="36">
        <f>IFERROR(G788/$AD788,0)</f>
        <v>4.046242774566474E-2</v>
      </c>
      <c r="I788" s="17">
        <v>506</v>
      </c>
      <c r="J788" s="36">
        <f>IFERROR(I788/$AC788,0)</f>
        <v>0.32249840662842577</v>
      </c>
      <c r="K788" s="17">
        <v>258</v>
      </c>
      <c r="L788" s="36">
        <f>IFERROR(K788/$AD788,0)</f>
        <v>0.37283236994219654</v>
      </c>
      <c r="M788" s="17">
        <v>560</v>
      </c>
      <c r="N788" s="36">
        <f>IFERROR(M788/$AC788,0)</f>
        <v>0.35691523263224983</v>
      </c>
      <c r="O788" s="17">
        <v>231</v>
      </c>
      <c r="P788" s="36">
        <f>IFERROR(O788/$AD788,0)</f>
        <v>0.33381502890173409</v>
      </c>
      <c r="Q788" s="17">
        <v>311</v>
      </c>
      <c r="R788" s="36">
        <f>IFERROR(Q788/$AC788,0)</f>
        <v>0.19821542383683874</v>
      </c>
      <c r="S788" s="17">
        <v>109</v>
      </c>
      <c r="T788" s="36">
        <f>IFERROR(S788/$AD788,0)</f>
        <v>0.15751445086705201</v>
      </c>
      <c r="U788" s="17">
        <v>106</v>
      </c>
      <c r="V788" s="36">
        <f>IFERROR(U788/$AC788,0)</f>
        <v>6.7558954748247288E-2</v>
      </c>
      <c r="W788" s="17">
        <v>51</v>
      </c>
      <c r="X788" s="36">
        <f>IFERROR(W788/$AD788,0)</f>
        <v>7.3699421965317924E-2</v>
      </c>
      <c r="Y788" s="17">
        <v>38</v>
      </c>
      <c r="Z788" s="36">
        <f>IFERROR(Y788/$AC788,0)</f>
        <v>2.4219247928616953E-2</v>
      </c>
      <c r="AA788" s="17">
        <v>15</v>
      </c>
      <c r="AB788" s="36">
        <f>IFERROR(AA788/$AD788,0)</f>
        <v>2.1676300578034682E-2</v>
      </c>
      <c r="AC788" s="16">
        <v>1569</v>
      </c>
      <c r="AD788" s="17">
        <v>692</v>
      </c>
    </row>
    <row r="789" spans="1:30" ht="15.75" customHeight="1" x14ac:dyDescent="0.25">
      <c r="A789" s="37">
        <v>2019</v>
      </c>
      <c r="B789" s="35">
        <v>171620</v>
      </c>
      <c r="C789" s="34" t="s">
        <v>147</v>
      </c>
      <c r="D789" s="34" t="s">
        <v>97</v>
      </c>
      <c r="E789" s="17">
        <v>66</v>
      </c>
      <c r="F789" s="36">
        <f>IFERROR(E789/$AC789,0)</f>
        <v>3.088441740758072E-2</v>
      </c>
      <c r="G789" s="17">
        <v>48</v>
      </c>
      <c r="H789" s="36">
        <f>IFERROR(G789/$AD789,0)</f>
        <v>3.6253776435045321E-2</v>
      </c>
      <c r="I789" s="17">
        <v>881</v>
      </c>
      <c r="J789" s="36">
        <f>IFERROR(I789/$AC789,0)</f>
        <v>0.41226017781937296</v>
      </c>
      <c r="K789" s="17">
        <v>552</v>
      </c>
      <c r="L789" s="36">
        <f>IFERROR(K789/$AD789,0)</f>
        <v>0.41691842900302117</v>
      </c>
      <c r="M789" s="17">
        <v>728</v>
      </c>
      <c r="N789" s="36">
        <f>IFERROR(M789/$AC789,0)</f>
        <v>0.3406644829199813</v>
      </c>
      <c r="O789" s="17">
        <v>440</v>
      </c>
      <c r="P789" s="36">
        <f>IFERROR(O789/$AD789,0)</f>
        <v>0.33232628398791542</v>
      </c>
      <c r="Q789" s="17">
        <v>315</v>
      </c>
      <c r="R789" s="36">
        <f>IFERROR(Q789/$AC789,0)</f>
        <v>0.14740290126345343</v>
      </c>
      <c r="S789" s="17">
        <v>185</v>
      </c>
      <c r="T789" s="36">
        <f>IFERROR(S789/$AD789,0)</f>
        <v>0.13972809667673716</v>
      </c>
      <c r="U789" s="17">
        <v>99</v>
      </c>
      <c r="V789" s="36">
        <f>IFERROR(U789/$AC789,0)</f>
        <v>4.6326626111371082E-2</v>
      </c>
      <c r="W789" s="17">
        <v>69</v>
      </c>
      <c r="X789" s="36">
        <f>IFERROR(W789/$AD789,0)</f>
        <v>5.2114803625377647E-2</v>
      </c>
      <c r="Y789" s="17">
        <v>48</v>
      </c>
      <c r="Z789" s="36">
        <f>IFERROR(Y789/$AC789,0)</f>
        <v>2.2461394478240523E-2</v>
      </c>
      <c r="AA789" s="17">
        <v>30</v>
      </c>
      <c r="AB789" s="36">
        <f>IFERROR(AA789/$AD789,0)</f>
        <v>2.2658610271903322E-2</v>
      </c>
      <c r="AC789" s="16">
        <v>2137</v>
      </c>
      <c r="AD789" s="16">
        <v>1324</v>
      </c>
    </row>
    <row r="790" spans="1:30" ht="15.75" customHeight="1" x14ac:dyDescent="0.25">
      <c r="A790" s="37">
        <v>2019</v>
      </c>
      <c r="B790" s="35">
        <v>171630</v>
      </c>
      <c r="C790" s="34" t="s">
        <v>149</v>
      </c>
      <c r="D790" s="34" t="s">
        <v>98</v>
      </c>
      <c r="E790" s="17">
        <v>24</v>
      </c>
      <c r="F790" s="36">
        <f>IFERROR(E790/$AC790,0)</f>
        <v>3.1047865459249677E-2</v>
      </c>
      <c r="G790" s="17">
        <v>8</v>
      </c>
      <c r="H790" s="36">
        <f>IFERROR(G790/$AD790,0)</f>
        <v>3.7558685446009391E-2</v>
      </c>
      <c r="I790" s="17">
        <v>301</v>
      </c>
      <c r="J790" s="36">
        <f>IFERROR(I790/$AC790,0)</f>
        <v>0.38939197930142305</v>
      </c>
      <c r="K790" s="17">
        <v>94</v>
      </c>
      <c r="L790" s="36">
        <f>IFERROR(K790/$AD790,0)</f>
        <v>0.44131455399061031</v>
      </c>
      <c r="M790" s="17">
        <v>240</v>
      </c>
      <c r="N790" s="36">
        <f>IFERROR(M790/$AC790,0)</f>
        <v>0.31047865459249674</v>
      </c>
      <c r="O790" s="17">
        <v>63</v>
      </c>
      <c r="P790" s="36">
        <f>IFERROR(O790/$AD790,0)</f>
        <v>0.29577464788732394</v>
      </c>
      <c r="Q790" s="17">
        <v>145</v>
      </c>
      <c r="R790" s="36">
        <f>IFERROR(Q790/$AC790,0)</f>
        <v>0.18758085381630013</v>
      </c>
      <c r="S790" s="17">
        <v>35</v>
      </c>
      <c r="T790" s="36">
        <f>IFERROR(S790/$AD790,0)</f>
        <v>0.16431924882629109</v>
      </c>
      <c r="U790" s="17">
        <v>38</v>
      </c>
      <c r="V790" s="36">
        <f>IFERROR(U790/$AC790,0)</f>
        <v>4.9159120310478657E-2</v>
      </c>
      <c r="W790" s="17">
        <v>9</v>
      </c>
      <c r="X790" s="36">
        <f>IFERROR(W790/$AD790,0)</f>
        <v>4.2253521126760563E-2</v>
      </c>
      <c r="Y790" s="17">
        <v>25</v>
      </c>
      <c r="Z790" s="36">
        <f>IFERROR(Y790/$AC790,0)</f>
        <v>3.2341526520051747E-2</v>
      </c>
      <c r="AA790" s="17">
        <v>4</v>
      </c>
      <c r="AB790" s="36">
        <f>IFERROR(AA790/$AD790,0)</f>
        <v>1.8779342723004695E-2</v>
      </c>
      <c r="AC790" s="17">
        <v>773</v>
      </c>
      <c r="AD790" s="17">
        <v>213</v>
      </c>
    </row>
    <row r="791" spans="1:30" ht="15.75" customHeight="1" x14ac:dyDescent="0.25">
      <c r="A791" s="37">
        <v>2019</v>
      </c>
      <c r="B791" s="35">
        <v>171650</v>
      </c>
      <c r="C791" s="34" t="s">
        <v>150</v>
      </c>
      <c r="D791" s="34" t="s">
        <v>99</v>
      </c>
      <c r="E791" s="17">
        <v>35</v>
      </c>
      <c r="F791" s="36">
        <f>IFERROR(E791/$AC791,0)</f>
        <v>2.5417574437182282E-2</v>
      </c>
      <c r="G791" s="17">
        <v>20</v>
      </c>
      <c r="H791" s="36">
        <f>IFERROR(G791/$AD791,0)</f>
        <v>4.7058823529411764E-2</v>
      </c>
      <c r="I791" s="17">
        <v>491</v>
      </c>
      <c r="J791" s="36">
        <f>IFERROR(I791/$AC791,0)</f>
        <v>0.35657225853304286</v>
      </c>
      <c r="K791" s="17">
        <v>145</v>
      </c>
      <c r="L791" s="36">
        <f>IFERROR(K791/$AD791,0)</f>
        <v>0.3411764705882353</v>
      </c>
      <c r="M791" s="17">
        <v>473</v>
      </c>
      <c r="N791" s="36">
        <f>IFERROR(M791/$AC791,0)</f>
        <v>0.34350036310820625</v>
      </c>
      <c r="O791" s="17">
        <v>139</v>
      </c>
      <c r="P791" s="36">
        <f>IFERROR(O791/$AD791,0)</f>
        <v>0.32705882352941179</v>
      </c>
      <c r="Q791" s="17">
        <v>255</v>
      </c>
      <c r="R791" s="36">
        <f>IFERROR(Q791/$AC791,0)</f>
        <v>0.18518518518518517</v>
      </c>
      <c r="S791" s="17">
        <v>81</v>
      </c>
      <c r="T791" s="36">
        <f>IFERROR(S791/$AD791,0)</f>
        <v>0.19058823529411764</v>
      </c>
      <c r="U791" s="17">
        <v>83</v>
      </c>
      <c r="V791" s="36">
        <f>IFERROR(U791/$AC791,0)</f>
        <v>6.0275962236746548E-2</v>
      </c>
      <c r="W791" s="17">
        <v>28</v>
      </c>
      <c r="X791" s="36">
        <f>IFERROR(W791/$AD791,0)</f>
        <v>6.5882352941176475E-2</v>
      </c>
      <c r="Y791" s="17">
        <v>40</v>
      </c>
      <c r="Z791" s="36">
        <f>IFERROR(Y791/$AC791,0)</f>
        <v>2.9048656499636893E-2</v>
      </c>
      <c r="AA791" s="17">
        <v>12</v>
      </c>
      <c r="AB791" s="36">
        <f>IFERROR(AA791/$AD791,0)</f>
        <v>2.823529411764706E-2</v>
      </c>
      <c r="AC791" s="16">
        <v>1377</v>
      </c>
      <c r="AD791" s="17">
        <v>425</v>
      </c>
    </row>
    <row r="792" spans="1:30" ht="15.75" customHeight="1" x14ac:dyDescent="0.25">
      <c r="A792" s="37">
        <v>2019</v>
      </c>
      <c r="B792" s="35">
        <v>171660</v>
      </c>
      <c r="C792" s="34" t="s">
        <v>146</v>
      </c>
      <c r="D792" s="34" t="s">
        <v>100</v>
      </c>
      <c r="E792" s="17">
        <v>38</v>
      </c>
      <c r="F792" s="36">
        <f>IFERROR(E792/$AC792,0)</f>
        <v>2.0663404023926048E-2</v>
      </c>
      <c r="G792" s="17">
        <v>12</v>
      </c>
      <c r="H792" s="36">
        <f>IFERROR(G792/$AD792,0)</f>
        <v>2.9055690072639227E-2</v>
      </c>
      <c r="I792" s="17">
        <v>584</v>
      </c>
      <c r="J792" s="36">
        <f>IFERROR(I792/$AC792,0)</f>
        <v>0.31756389342033714</v>
      </c>
      <c r="K792" s="17">
        <v>139</v>
      </c>
      <c r="L792" s="36">
        <f>IFERROR(K792/$AD792,0)</f>
        <v>0.33656174334140437</v>
      </c>
      <c r="M792" s="17">
        <v>621</v>
      </c>
      <c r="N792" s="36">
        <f>IFERROR(M792/$AC792,0)</f>
        <v>0.33768352365415988</v>
      </c>
      <c r="O792" s="17">
        <v>137</v>
      </c>
      <c r="P792" s="36">
        <f>IFERROR(O792/$AD792,0)</f>
        <v>0.33171912832929784</v>
      </c>
      <c r="Q792" s="17">
        <v>387</v>
      </c>
      <c r="R792" s="36">
        <f>IFERROR(Q792/$AC792,0)</f>
        <v>0.21044045676998369</v>
      </c>
      <c r="S792" s="17">
        <v>74</v>
      </c>
      <c r="T792" s="36">
        <f>IFERROR(S792/$AD792,0)</f>
        <v>0.1791767554479419</v>
      </c>
      <c r="U792" s="17">
        <v>134</v>
      </c>
      <c r="V792" s="36">
        <f>IFERROR(U792/$AC792,0)</f>
        <v>7.2865687873844481E-2</v>
      </c>
      <c r="W792" s="17">
        <v>35</v>
      </c>
      <c r="X792" s="36">
        <f>IFERROR(W792/$AD792,0)</f>
        <v>8.4745762711864403E-2</v>
      </c>
      <c r="Y792" s="17">
        <v>75</v>
      </c>
      <c r="Z792" s="36">
        <f>IFERROR(Y792/$AC792,0)</f>
        <v>4.0783034257748776E-2</v>
      </c>
      <c r="AA792" s="17">
        <v>16</v>
      </c>
      <c r="AB792" s="36">
        <f>IFERROR(AA792/$AD792,0)</f>
        <v>3.8740920096852302E-2</v>
      </c>
      <c r="AC792" s="16">
        <v>1839</v>
      </c>
      <c r="AD792" s="17">
        <v>413</v>
      </c>
    </row>
    <row r="793" spans="1:30" ht="15.75" customHeight="1" x14ac:dyDescent="0.25">
      <c r="A793" s="37">
        <v>2019</v>
      </c>
      <c r="B793" s="35">
        <v>171665</v>
      </c>
      <c r="C793" s="34" t="s">
        <v>150</v>
      </c>
      <c r="D793" s="34" t="s">
        <v>101</v>
      </c>
      <c r="E793" s="17">
        <v>15</v>
      </c>
      <c r="F793" s="36">
        <f>IFERROR(E793/$AC793,0)</f>
        <v>2.0053475935828877E-2</v>
      </c>
      <c r="G793" s="17">
        <v>8</v>
      </c>
      <c r="H793" s="36">
        <f>IFERROR(G793/$AD793,0)</f>
        <v>2.2727272727272728E-2</v>
      </c>
      <c r="I793" s="17">
        <v>267</v>
      </c>
      <c r="J793" s="36">
        <f>IFERROR(I793/$AC793,0)</f>
        <v>0.35695187165775399</v>
      </c>
      <c r="K793" s="17">
        <v>136</v>
      </c>
      <c r="L793" s="36">
        <f>IFERROR(K793/$AD793,0)</f>
        <v>0.38636363636363635</v>
      </c>
      <c r="M793" s="17">
        <v>264</v>
      </c>
      <c r="N793" s="36">
        <f>IFERROR(M793/$AC793,0)</f>
        <v>0.35294117647058826</v>
      </c>
      <c r="O793" s="17">
        <v>121</v>
      </c>
      <c r="P793" s="36">
        <f>IFERROR(O793/$AD793,0)</f>
        <v>0.34375</v>
      </c>
      <c r="Q793" s="17">
        <v>135</v>
      </c>
      <c r="R793" s="36">
        <f>IFERROR(Q793/$AC793,0)</f>
        <v>0.18048128342245989</v>
      </c>
      <c r="S793" s="17">
        <v>60</v>
      </c>
      <c r="T793" s="36">
        <f>IFERROR(S793/$AD793,0)</f>
        <v>0.17045454545454544</v>
      </c>
      <c r="U793" s="17">
        <v>48</v>
      </c>
      <c r="V793" s="36">
        <f>IFERROR(U793/$AC793,0)</f>
        <v>6.4171122994652413E-2</v>
      </c>
      <c r="W793" s="17">
        <v>15</v>
      </c>
      <c r="X793" s="36">
        <f>IFERROR(W793/$AD793,0)</f>
        <v>4.261363636363636E-2</v>
      </c>
      <c r="Y793" s="17">
        <v>19</v>
      </c>
      <c r="Z793" s="36">
        <f>IFERROR(Y793/$AC793,0)</f>
        <v>2.5401069518716578E-2</v>
      </c>
      <c r="AA793" s="17">
        <v>12</v>
      </c>
      <c r="AB793" s="36">
        <f>IFERROR(AA793/$AD793,0)</f>
        <v>3.4090909090909088E-2</v>
      </c>
      <c r="AC793" s="17">
        <v>748</v>
      </c>
      <c r="AD793" s="17">
        <v>352</v>
      </c>
    </row>
    <row r="794" spans="1:30" ht="15.75" customHeight="1" x14ac:dyDescent="0.25">
      <c r="A794" s="37">
        <v>2019</v>
      </c>
      <c r="B794" s="35">
        <v>171700</v>
      </c>
      <c r="C794" s="34" t="s">
        <v>151</v>
      </c>
      <c r="D794" s="34" t="s">
        <v>102</v>
      </c>
      <c r="E794" s="17">
        <v>12</v>
      </c>
      <c r="F794" s="36">
        <f>IFERROR(E794/$AC794,0)</f>
        <v>1.4457831325301205E-2</v>
      </c>
      <c r="G794" s="17">
        <v>5</v>
      </c>
      <c r="H794" s="36">
        <f>IFERROR(G794/$AD794,0)</f>
        <v>3.6764705882352942E-2</v>
      </c>
      <c r="I794" s="17">
        <v>319</v>
      </c>
      <c r="J794" s="36">
        <f>IFERROR(I794/$AC794,0)</f>
        <v>0.38433734939759034</v>
      </c>
      <c r="K794" s="17">
        <v>65</v>
      </c>
      <c r="L794" s="36">
        <f>IFERROR(K794/$AD794,0)</f>
        <v>0.47794117647058826</v>
      </c>
      <c r="M794" s="17">
        <v>294</v>
      </c>
      <c r="N794" s="36">
        <f>IFERROR(M794/$AC794,0)</f>
        <v>0.35421686746987951</v>
      </c>
      <c r="O794" s="17">
        <v>44</v>
      </c>
      <c r="P794" s="36">
        <f>IFERROR(O794/$AD794,0)</f>
        <v>0.3235294117647059</v>
      </c>
      <c r="Q794" s="17">
        <v>141</v>
      </c>
      <c r="R794" s="36">
        <f>IFERROR(Q794/$AC794,0)</f>
        <v>0.16987951807228915</v>
      </c>
      <c r="S794" s="17">
        <v>16</v>
      </c>
      <c r="T794" s="36">
        <f>IFERROR(S794/$AD794,0)</f>
        <v>0.11764705882352941</v>
      </c>
      <c r="U794" s="17">
        <v>46</v>
      </c>
      <c r="V794" s="36">
        <f>IFERROR(U794/$AC794,0)</f>
        <v>5.5421686746987948E-2</v>
      </c>
      <c r="W794" s="17">
        <v>6</v>
      </c>
      <c r="X794" s="36">
        <f>IFERROR(W794/$AD794,0)</f>
        <v>4.4117647058823532E-2</v>
      </c>
      <c r="Y794" s="17">
        <v>18</v>
      </c>
      <c r="Z794" s="36">
        <f>IFERROR(Y794/$AC794,0)</f>
        <v>2.1686746987951807E-2</v>
      </c>
      <c r="AA794" s="17">
        <v>0</v>
      </c>
      <c r="AB794" s="36">
        <f>IFERROR(AA794/$AD794,0)</f>
        <v>0</v>
      </c>
      <c r="AC794" s="17">
        <v>830</v>
      </c>
      <c r="AD794" s="17">
        <v>136</v>
      </c>
    </row>
    <row r="795" spans="1:30" ht="15.75" customHeight="1" x14ac:dyDescent="0.25">
      <c r="A795" s="37">
        <v>2019</v>
      </c>
      <c r="B795" s="35">
        <v>171720</v>
      </c>
      <c r="C795" s="34" t="s">
        <v>149</v>
      </c>
      <c r="D795" s="34" t="s">
        <v>103</v>
      </c>
      <c r="E795" s="17">
        <v>3</v>
      </c>
      <c r="F795" s="36">
        <f>IFERROR(E795/$AC795,0)</f>
        <v>2.9411764705882353E-2</v>
      </c>
      <c r="G795" s="17">
        <v>0</v>
      </c>
      <c r="H795" s="36">
        <f>IFERROR(G795/$AD795,0)</f>
        <v>0</v>
      </c>
      <c r="I795" s="17">
        <v>51</v>
      </c>
      <c r="J795" s="36">
        <f>IFERROR(I795/$AC795,0)</f>
        <v>0.5</v>
      </c>
      <c r="K795" s="17">
        <v>28</v>
      </c>
      <c r="L795" s="36">
        <f>IFERROR(K795/$AD795,0)</f>
        <v>0.62222222222222223</v>
      </c>
      <c r="M795" s="17">
        <v>31</v>
      </c>
      <c r="N795" s="36">
        <f>IFERROR(M795/$AC795,0)</f>
        <v>0.30392156862745096</v>
      </c>
      <c r="O795" s="17">
        <v>13</v>
      </c>
      <c r="P795" s="36">
        <f>IFERROR(O795/$AD795,0)</f>
        <v>0.28888888888888886</v>
      </c>
      <c r="Q795" s="17">
        <v>11</v>
      </c>
      <c r="R795" s="36">
        <f>IFERROR(Q795/$AC795,0)</f>
        <v>0.10784313725490197</v>
      </c>
      <c r="S795" s="17">
        <v>3</v>
      </c>
      <c r="T795" s="36">
        <f>IFERROR(S795/$AD795,0)</f>
        <v>6.6666666666666666E-2</v>
      </c>
      <c r="U795" s="17">
        <v>5</v>
      </c>
      <c r="V795" s="36">
        <f>IFERROR(U795/$AC795,0)</f>
        <v>4.9019607843137254E-2</v>
      </c>
      <c r="W795" s="17">
        <v>1</v>
      </c>
      <c r="X795" s="36">
        <f>IFERROR(W795/$AD795,0)</f>
        <v>2.2222222222222223E-2</v>
      </c>
      <c r="Y795" s="17">
        <v>1</v>
      </c>
      <c r="Z795" s="36">
        <f>IFERROR(Y795/$AC795,0)</f>
        <v>9.8039215686274508E-3</v>
      </c>
      <c r="AA795" s="17">
        <v>0</v>
      </c>
      <c r="AB795" s="36">
        <f>IFERROR(AA795/$AD795,0)</f>
        <v>0</v>
      </c>
      <c r="AC795" s="17">
        <v>102</v>
      </c>
      <c r="AD795" s="17">
        <v>45</v>
      </c>
    </row>
    <row r="796" spans="1:30" ht="15.75" customHeight="1" x14ac:dyDescent="0.25">
      <c r="A796" s="37">
        <v>2019</v>
      </c>
      <c r="B796" s="35">
        <v>171750</v>
      </c>
      <c r="C796" s="34" t="s">
        <v>144</v>
      </c>
      <c r="D796" s="34" t="s">
        <v>104</v>
      </c>
      <c r="E796" s="17">
        <v>16</v>
      </c>
      <c r="F796" s="36">
        <f>IFERROR(E796/$AC796,0)</f>
        <v>2.3255813953488372E-2</v>
      </c>
      <c r="G796" s="17">
        <v>1</v>
      </c>
      <c r="H796" s="36">
        <f>IFERROR(G796/$AD796,0)</f>
        <v>7.5187969924812026E-3</v>
      </c>
      <c r="I796" s="17">
        <v>229</v>
      </c>
      <c r="J796" s="36">
        <f>IFERROR(I796/$AC796,0)</f>
        <v>0.33284883720930231</v>
      </c>
      <c r="K796" s="17">
        <v>45</v>
      </c>
      <c r="L796" s="36">
        <f>IFERROR(K796/$AD796,0)</f>
        <v>0.33834586466165412</v>
      </c>
      <c r="M796" s="17">
        <v>227</v>
      </c>
      <c r="N796" s="36">
        <f>IFERROR(M796/$AC796,0)</f>
        <v>0.32994186046511625</v>
      </c>
      <c r="O796" s="17">
        <v>53</v>
      </c>
      <c r="P796" s="36">
        <f>IFERROR(O796/$AD796,0)</f>
        <v>0.39849624060150374</v>
      </c>
      <c r="Q796" s="17">
        <v>138</v>
      </c>
      <c r="R796" s="36">
        <f>IFERROR(Q796/$AC796,0)</f>
        <v>0.2005813953488372</v>
      </c>
      <c r="S796" s="17">
        <v>28</v>
      </c>
      <c r="T796" s="36">
        <f>IFERROR(S796/$AD796,0)</f>
        <v>0.21052631578947367</v>
      </c>
      <c r="U796" s="17">
        <v>53</v>
      </c>
      <c r="V796" s="36">
        <f>IFERROR(U796/$AC796,0)</f>
        <v>7.7034883720930231E-2</v>
      </c>
      <c r="W796" s="17">
        <v>5</v>
      </c>
      <c r="X796" s="36">
        <f>IFERROR(W796/$AD796,0)</f>
        <v>3.7593984962406013E-2</v>
      </c>
      <c r="Y796" s="17">
        <v>25</v>
      </c>
      <c r="Z796" s="36">
        <f>IFERROR(Y796/$AC796,0)</f>
        <v>3.6337209302325583E-2</v>
      </c>
      <c r="AA796" s="17">
        <v>1</v>
      </c>
      <c r="AB796" s="36">
        <f>IFERROR(AA796/$AD796,0)</f>
        <v>7.5187969924812026E-3</v>
      </c>
      <c r="AC796" s="17">
        <v>688</v>
      </c>
      <c r="AD796" s="17">
        <v>133</v>
      </c>
    </row>
    <row r="797" spans="1:30" ht="15.75" customHeight="1" x14ac:dyDescent="0.25">
      <c r="A797" s="37">
        <v>2019</v>
      </c>
      <c r="B797" s="35">
        <v>171780</v>
      </c>
      <c r="C797" s="34" t="s">
        <v>147</v>
      </c>
      <c r="D797" s="34" t="s">
        <v>105</v>
      </c>
      <c r="E797" s="17">
        <v>17</v>
      </c>
      <c r="F797" s="36">
        <f>IFERROR(E797/$AC797,0)</f>
        <v>2.7199999999999998E-2</v>
      </c>
      <c r="G797" s="17">
        <v>8</v>
      </c>
      <c r="H797" s="36">
        <f>IFERROR(G797/$AD797,0)</f>
        <v>2.9739776951672861E-2</v>
      </c>
      <c r="I797" s="17">
        <v>264</v>
      </c>
      <c r="J797" s="36">
        <f>IFERROR(I797/$AC797,0)</f>
        <v>0.4224</v>
      </c>
      <c r="K797" s="17">
        <v>129</v>
      </c>
      <c r="L797" s="36">
        <f>IFERROR(K797/$AD797,0)</f>
        <v>0.4795539033457249</v>
      </c>
      <c r="M797" s="17">
        <v>208</v>
      </c>
      <c r="N797" s="36">
        <f>IFERROR(M797/$AC797,0)</f>
        <v>0.33279999999999998</v>
      </c>
      <c r="O797" s="17">
        <v>81</v>
      </c>
      <c r="P797" s="36">
        <f>IFERROR(O797/$AD797,0)</f>
        <v>0.30111524163568776</v>
      </c>
      <c r="Q797" s="17">
        <v>99</v>
      </c>
      <c r="R797" s="36">
        <f>IFERROR(Q797/$AC797,0)</f>
        <v>0.15840000000000001</v>
      </c>
      <c r="S797" s="17">
        <v>33</v>
      </c>
      <c r="T797" s="36">
        <f>IFERROR(S797/$AD797,0)</f>
        <v>0.12267657992565056</v>
      </c>
      <c r="U797" s="17">
        <v>27</v>
      </c>
      <c r="V797" s="36">
        <f>IFERROR(U797/$AC797,0)</f>
        <v>4.3200000000000002E-2</v>
      </c>
      <c r="W797" s="17">
        <v>11</v>
      </c>
      <c r="X797" s="36">
        <f>IFERROR(W797/$AD797,0)</f>
        <v>4.0892193308550186E-2</v>
      </c>
      <c r="Y797" s="17">
        <v>10</v>
      </c>
      <c r="Z797" s="36">
        <f>IFERROR(Y797/$AC797,0)</f>
        <v>1.6E-2</v>
      </c>
      <c r="AA797" s="17">
        <v>7</v>
      </c>
      <c r="AB797" s="36">
        <f>IFERROR(AA797/$AD797,0)</f>
        <v>2.6022304832713755E-2</v>
      </c>
      <c r="AC797" s="17">
        <v>625</v>
      </c>
      <c r="AD797" s="17">
        <v>269</v>
      </c>
    </row>
    <row r="798" spans="1:30" ht="15.75" customHeight="1" x14ac:dyDescent="0.25">
      <c r="A798" s="37">
        <v>2019</v>
      </c>
      <c r="B798" s="35">
        <v>171790</v>
      </c>
      <c r="C798" s="34" t="s">
        <v>151</v>
      </c>
      <c r="D798" s="34" t="s">
        <v>106</v>
      </c>
      <c r="E798" s="17">
        <v>19</v>
      </c>
      <c r="F798" s="36">
        <f>IFERROR(E798/$AC798,0)</f>
        <v>4.8969072164948453E-2</v>
      </c>
      <c r="G798" s="17">
        <v>13</v>
      </c>
      <c r="H798" s="36">
        <f>IFERROR(G798/$AD798,0)</f>
        <v>4.6762589928057555E-2</v>
      </c>
      <c r="I798" s="17">
        <v>161</v>
      </c>
      <c r="J798" s="36">
        <f>IFERROR(I798/$AC798,0)</f>
        <v>0.41494845360824745</v>
      </c>
      <c r="K798" s="17">
        <v>123</v>
      </c>
      <c r="L798" s="36">
        <f>IFERROR(K798/$AD798,0)</f>
        <v>0.44244604316546765</v>
      </c>
      <c r="M798" s="17">
        <v>114</v>
      </c>
      <c r="N798" s="36">
        <f>IFERROR(M798/$AC798,0)</f>
        <v>0.29381443298969073</v>
      </c>
      <c r="O798" s="17">
        <v>78</v>
      </c>
      <c r="P798" s="36">
        <f>IFERROR(O798/$AD798,0)</f>
        <v>0.2805755395683453</v>
      </c>
      <c r="Q798" s="17">
        <v>66</v>
      </c>
      <c r="R798" s="36">
        <f>IFERROR(Q798/$AC798,0)</f>
        <v>0.17010309278350516</v>
      </c>
      <c r="S798" s="17">
        <v>41</v>
      </c>
      <c r="T798" s="36">
        <f>IFERROR(S798/$AD798,0)</f>
        <v>0.14748201438848921</v>
      </c>
      <c r="U798" s="17">
        <v>16</v>
      </c>
      <c r="V798" s="36">
        <f>IFERROR(U798/$AC798,0)</f>
        <v>4.1237113402061855E-2</v>
      </c>
      <c r="W798" s="17">
        <v>12</v>
      </c>
      <c r="X798" s="36">
        <f>IFERROR(W798/$AD798,0)</f>
        <v>4.3165467625899283E-2</v>
      </c>
      <c r="Y798" s="17">
        <v>12</v>
      </c>
      <c r="Z798" s="36">
        <f>IFERROR(Y798/$AC798,0)</f>
        <v>3.0927835051546393E-2</v>
      </c>
      <c r="AA798" s="17">
        <v>11</v>
      </c>
      <c r="AB798" s="36">
        <f>IFERROR(AA798/$AD798,0)</f>
        <v>3.9568345323741004E-2</v>
      </c>
      <c r="AC798" s="17">
        <v>388</v>
      </c>
      <c r="AD798" s="17">
        <v>278</v>
      </c>
    </row>
    <row r="799" spans="1:30" ht="15.75" customHeight="1" x14ac:dyDescent="0.25">
      <c r="A799" s="37">
        <v>2019</v>
      </c>
      <c r="B799" s="35">
        <v>171800</v>
      </c>
      <c r="C799" s="34" t="s">
        <v>147</v>
      </c>
      <c r="D799" s="34" t="s">
        <v>107</v>
      </c>
      <c r="E799" s="17">
        <v>11</v>
      </c>
      <c r="F799" s="36">
        <f>IFERROR(E799/$AC799,0)</f>
        <v>2.0408163265306121E-2</v>
      </c>
      <c r="G799" s="17">
        <v>4</v>
      </c>
      <c r="H799" s="36">
        <f>IFERROR(G799/$AD799,0)</f>
        <v>2.6490066225165563E-2</v>
      </c>
      <c r="I799" s="17">
        <v>189</v>
      </c>
      <c r="J799" s="36">
        <f>IFERROR(I799/$AC799,0)</f>
        <v>0.35064935064935066</v>
      </c>
      <c r="K799" s="17">
        <v>53</v>
      </c>
      <c r="L799" s="36">
        <f>IFERROR(K799/$AD799,0)</f>
        <v>0.35099337748344372</v>
      </c>
      <c r="M799" s="17">
        <v>180</v>
      </c>
      <c r="N799" s="36">
        <f>IFERROR(M799/$AC799,0)</f>
        <v>0.33395176252319109</v>
      </c>
      <c r="O799" s="17">
        <v>52</v>
      </c>
      <c r="P799" s="36">
        <f>IFERROR(O799/$AD799,0)</f>
        <v>0.3443708609271523</v>
      </c>
      <c r="Q799" s="17">
        <v>114</v>
      </c>
      <c r="R799" s="36">
        <f>IFERROR(Q799/$AC799,0)</f>
        <v>0.21150278293135436</v>
      </c>
      <c r="S799" s="17">
        <v>32</v>
      </c>
      <c r="T799" s="36">
        <f>IFERROR(S799/$AD799,0)</f>
        <v>0.2119205298013245</v>
      </c>
      <c r="U799" s="17">
        <v>31</v>
      </c>
      <c r="V799" s="36">
        <f>IFERROR(U799/$AC799,0)</f>
        <v>5.7513914656771803E-2</v>
      </c>
      <c r="W799" s="17">
        <v>7</v>
      </c>
      <c r="X799" s="36">
        <f>IFERROR(W799/$AD799,0)</f>
        <v>4.6357615894039736E-2</v>
      </c>
      <c r="Y799" s="17">
        <v>14</v>
      </c>
      <c r="Z799" s="36">
        <f>IFERROR(Y799/$AC799,0)</f>
        <v>2.5974025974025976E-2</v>
      </c>
      <c r="AA799" s="17">
        <v>3</v>
      </c>
      <c r="AB799" s="36">
        <f>IFERROR(AA799/$AD799,0)</f>
        <v>1.9867549668874173E-2</v>
      </c>
      <c r="AC799" s="17">
        <v>539</v>
      </c>
      <c r="AD799" s="17">
        <v>151</v>
      </c>
    </row>
    <row r="800" spans="1:30" ht="15.75" customHeight="1" x14ac:dyDescent="0.25">
      <c r="A800" s="37">
        <v>2019</v>
      </c>
      <c r="B800" s="35">
        <v>171820</v>
      </c>
      <c r="C800" s="34" t="s">
        <v>151</v>
      </c>
      <c r="D800" s="34" t="s">
        <v>108</v>
      </c>
      <c r="E800" s="17">
        <v>150</v>
      </c>
      <c r="F800" s="36">
        <f>IFERROR(E800/$AC800,0)</f>
        <v>3.5962598897146966E-2</v>
      </c>
      <c r="G800" s="17">
        <v>133</v>
      </c>
      <c r="H800" s="36">
        <f>IFERROR(G800/$AD800,0)</f>
        <v>4.2316258351893093E-2</v>
      </c>
      <c r="I800" s="16">
        <v>1426</v>
      </c>
      <c r="J800" s="36">
        <f>IFERROR(I800/$AC800,0)</f>
        <v>0.34188444018221048</v>
      </c>
      <c r="K800" s="16">
        <v>1092</v>
      </c>
      <c r="L800" s="36">
        <f>IFERROR(K800/$AD800,0)</f>
        <v>0.34743875278396436</v>
      </c>
      <c r="M800" s="16">
        <v>1327</v>
      </c>
      <c r="N800" s="36">
        <f>IFERROR(M800/$AC800,0)</f>
        <v>0.31814912491009351</v>
      </c>
      <c r="O800" s="17">
        <v>983</v>
      </c>
      <c r="P800" s="36">
        <f>IFERROR(O800/$AD800,0)</f>
        <v>0.31275851097677376</v>
      </c>
      <c r="Q800" s="17">
        <v>778</v>
      </c>
      <c r="R800" s="36">
        <f>IFERROR(Q800/$AC800,0)</f>
        <v>0.18652601294653559</v>
      </c>
      <c r="S800" s="17">
        <v>580</v>
      </c>
      <c r="T800" s="36">
        <f>IFERROR(S800/$AD800,0)</f>
        <v>0.1845370664969774</v>
      </c>
      <c r="U800" s="17">
        <v>314</v>
      </c>
      <c r="V800" s="36">
        <f>IFERROR(U800/$AC800,0)</f>
        <v>7.5281707024694319E-2</v>
      </c>
      <c r="W800" s="17">
        <v>219</v>
      </c>
      <c r="X800" s="36">
        <f>IFERROR(W800/$AD800,0)</f>
        <v>6.9678650970410441E-2</v>
      </c>
      <c r="Y800" s="17">
        <v>176</v>
      </c>
      <c r="Z800" s="36">
        <f>IFERROR(Y800/$AC800,0)</f>
        <v>4.2196116039319109E-2</v>
      </c>
      <c r="AA800" s="17">
        <v>136</v>
      </c>
      <c r="AB800" s="36">
        <f>IFERROR(AA800/$AD800,0)</f>
        <v>4.327076041998091E-2</v>
      </c>
      <c r="AC800" s="16">
        <v>4171</v>
      </c>
      <c r="AD800" s="16">
        <v>3143</v>
      </c>
    </row>
    <row r="801" spans="1:30" ht="15.75" customHeight="1" x14ac:dyDescent="0.25">
      <c r="A801" s="37">
        <v>2019</v>
      </c>
      <c r="B801" s="35">
        <v>171830</v>
      </c>
      <c r="C801" s="34" t="s">
        <v>145</v>
      </c>
      <c r="D801" s="34" t="s">
        <v>109</v>
      </c>
      <c r="E801" s="17">
        <v>37</v>
      </c>
      <c r="F801" s="36">
        <f>IFERROR(E801/$AC801,0)</f>
        <v>2.609308885754584E-2</v>
      </c>
      <c r="G801" s="17">
        <v>18</v>
      </c>
      <c r="H801" s="36">
        <f>IFERROR(G801/$AD801,0)</f>
        <v>5.921052631578947E-2</v>
      </c>
      <c r="I801" s="17">
        <v>535</v>
      </c>
      <c r="J801" s="36">
        <f>IFERROR(I801/$AC801,0)</f>
        <v>0.37729196050775743</v>
      </c>
      <c r="K801" s="17">
        <v>111</v>
      </c>
      <c r="L801" s="36">
        <f>IFERROR(K801/$AD801,0)</f>
        <v>0.36513157894736842</v>
      </c>
      <c r="M801" s="17">
        <v>518</v>
      </c>
      <c r="N801" s="36">
        <f>IFERROR(M801/$AC801,0)</f>
        <v>0.36530324400564174</v>
      </c>
      <c r="O801" s="17">
        <v>115</v>
      </c>
      <c r="P801" s="36">
        <f>IFERROR(O801/$AD801,0)</f>
        <v>0.37828947368421051</v>
      </c>
      <c r="Q801" s="17">
        <v>246</v>
      </c>
      <c r="R801" s="36">
        <f>IFERROR(Q801/$AC801,0)</f>
        <v>0.17348377997179126</v>
      </c>
      <c r="S801" s="17">
        <v>45</v>
      </c>
      <c r="T801" s="36">
        <f>IFERROR(S801/$AD801,0)</f>
        <v>0.14802631578947367</v>
      </c>
      <c r="U801" s="17">
        <v>57</v>
      </c>
      <c r="V801" s="36">
        <f>IFERROR(U801/$AC801,0)</f>
        <v>4.0197461212976023E-2</v>
      </c>
      <c r="W801" s="17">
        <v>8</v>
      </c>
      <c r="X801" s="36">
        <f>IFERROR(W801/$AD801,0)</f>
        <v>2.6315789473684209E-2</v>
      </c>
      <c r="Y801" s="17">
        <v>25</v>
      </c>
      <c r="Z801" s="36">
        <f>IFERROR(Y801/$AC801,0)</f>
        <v>1.763046544428773E-2</v>
      </c>
      <c r="AA801" s="17">
        <v>7</v>
      </c>
      <c r="AB801" s="36">
        <f>IFERROR(AA801/$AD801,0)</f>
        <v>2.3026315789473683E-2</v>
      </c>
      <c r="AC801" s="16">
        <v>1418</v>
      </c>
      <c r="AD801" s="17">
        <v>304</v>
      </c>
    </row>
    <row r="802" spans="1:30" ht="15.75" customHeight="1" x14ac:dyDescent="0.25">
      <c r="A802" s="37">
        <v>2019</v>
      </c>
      <c r="B802" s="35">
        <v>171840</v>
      </c>
      <c r="C802" s="34" t="s">
        <v>150</v>
      </c>
      <c r="D802" s="34" t="s">
        <v>110</v>
      </c>
      <c r="E802" s="17">
        <v>11</v>
      </c>
      <c r="F802" s="36">
        <f>IFERROR(E802/$AC802,0)</f>
        <v>1.794453507340946E-2</v>
      </c>
      <c r="G802" s="17">
        <v>7</v>
      </c>
      <c r="H802" s="36">
        <f>IFERROR(G802/$AD802,0)</f>
        <v>3.6269430051813469E-2</v>
      </c>
      <c r="I802" s="17">
        <v>212</v>
      </c>
      <c r="J802" s="36">
        <f>IFERROR(I802/$AC802,0)</f>
        <v>0.34584013050570961</v>
      </c>
      <c r="K802" s="17">
        <v>81</v>
      </c>
      <c r="L802" s="36">
        <f>IFERROR(K802/$AD802,0)</f>
        <v>0.41968911917098445</v>
      </c>
      <c r="M802" s="17">
        <v>207</v>
      </c>
      <c r="N802" s="36">
        <f>IFERROR(M802/$AC802,0)</f>
        <v>0.33768352365415988</v>
      </c>
      <c r="O802" s="17">
        <v>51</v>
      </c>
      <c r="P802" s="36">
        <f>IFERROR(O802/$AD802,0)</f>
        <v>0.26424870466321243</v>
      </c>
      <c r="Q802" s="17">
        <v>114</v>
      </c>
      <c r="R802" s="36">
        <f>IFERROR(Q802/$AC802,0)</f>
        <v>0.18597063621533441</v>
      </c>
      <c r="S802" s="17">
        <v>36</v>
      </c>
      <c r="T802" s="36">
        <f>IFERROR(S802/$AD802,0)</f>
        <v>0.18652849740932642</v>
      </c>
      <c r="U802" s="17">
        <v>45</v>
      </c>
      <c r="V802" s="36">
        <f>IFERROR(U802/$AC802,0)</f>
        <v>7.3409461663947795E-2</v>
      </c>
      <c r="W802" s="17">
        <v>10</v>
      </c>
      <c r="X802" s="36">
        <f>IFERROR(W802/$AD802,0)</f>
        <v>5.181347150259067E-2</v>
      </c>
      <c r="Y802" s="17">
        <v>24</v>
      </c>
      <c r="Z802" s="36">
        <f>IFERROR(Y802/$AC802,0)</f>
        <v>3.9151712887438822E-2</v>
      </c>
      <c r="AA802" s="17">
        <v>8</v>
      </c>
      <c r="AB802" s="36">
        <f>IFERROR(AA802/$AD802,0)</f>
        <v>4.145077720207254E-2</v>
      </c>
      <c r="AC802" s="17">
        <v>613</v>
      </c>
      <c r="AD802" s="17">
        <v>193</v>
      </c>
    </row>
    <row r="803" spans="1:30" ht="15.75" customHeight="1" x14ac:dyDescent="0.25">
      <c r="A803" s="37">
        <v>2019</v>
      </c>
      <c r="B803" s="35">
        <v>171845</v>
      </c>
      <c r="C803" s="34" t="s">
        <v>144</v>
      </c>
      <c r="D803" s="34" t="s">
        <v>111</v>
      </c>
      <c r="E803" s="17">
        <v>17</v>
      </c>
      <c r="F803" s="36">
        <f>IFERROR(E803/$AC803,0)</f>
        <v>3.3398821218074658E-2</v>
      </c>
      <c r="G803" s="17">
        <v>6</v>
      </c>
      <c r="H803" s="36">
        <f>IFERROR(G803/$AD803,0)</f>
        <v>4.7244094488188976E-2</v>
      </c>
      <c r="I803" s="17">
        <v>165</v>
      </c>
      <c r="J803" s="36">
        <f>IFERROR(I803/$AC803,0)</f>
        <v>0.32416502946954812</v>
      </c>
      <c r="K803" s="17">
        <v>47</v>
      </c>
      <c r="L803" s="36">
        <f>IFERROR(K803/$AD803,0)</f>
        <v>0.37007874015748032</v>
      </c>
      <c r="M803" s="17">
        <v>185</v>
      </c>
      <c r="N803" s="36">
        <f>IFERROR(M803/$AC803,0)</f>
        <v>0.36345776031434185</v>
      </c>
      <c r="O803" s="17">
        <v>37</v>
      </c>
      <c r="P803" s="36">
        <f>IFERROR(O803/$AD803,0)</f>
        <v>0.29133858267716534</v>
      </c>
      <c r="Q803" s="17">
        <v>95</v>
      </c>
      <c r="R803" s="36">
        <f>IFERROR(Q803/$AC803,0)</f>
        <v>0.18664047151277013</v>
      </c>
      <c r="S803" s="17">
        <v>26</v>
      </c>
      <c r="T803" s="36">
        <f>IFERROR(S803/$AD803,0)</f>
        <v>0.20472440944881889</v>
      </c>
      <c r="U803" s="17">
        <v>27</v>
      </c>
      <c r="V803" s="36">
        <f>IFERROR(U803/$AC803,0)</f>
        <v>5.304518664047151E-2</v>
      </c>
      <c r="W803" s="17">
        <v>6</v>
      </c>
      <c r="X803" s="36">
        <f>IFERROR(W803/$AD803,0)</f>
        <v>4.7244094488188976E-2</v>
      </c>
      <c r="Y803" s="17">
        <v>20</v>
      </c>
      <c r="Z803" s="36">
        <f>IFERROR(Y803/$AC803,0)</f>
        <v>3.9292730844793712E-2</v>
      </c>
      <c r="AA803" s="17">
        <v>5</v>
      </c>
      <c r="AB803" s="36">
        <f>IFERROR(AA803/$AD803,0)</f>
        <v>3.937007874015748E-2</v>
      </c>
      <c r="AC803" s="17">
        <v>509</v>
      </c>
      <c r="AD803" s="17">
        <v>127</v>
      </c>
    </row>
    <row r="804" spans="1:30" ht="15.75" customHeight="1" x14ac:dyDescent="0.25">
      <c r="A804" s="37">
        <v>2019</v>
      </c>
      <c r="B804" s="35">
        <v>171850</v>
      </c>
      <c r="C804" s="34" t="s">
        <v>150</v>
      </c>
      <c r="D804" s="34" t="s">
        <v>112</v>
      </c>
      <c r="E804" s="17">
        <v>30</v>
      </c>
      <c r="F804" s="36">
        <f>IFERROR(E804/$AC804,0)</f>
        <v>4.2432814710042434E-2</v>
      </c>
      <c r="G804" s="17">
        <v>9</v>
      </c>
      <c r="H804" s="36">
        <f>IFERROR(G804/$AD804,0)</f>
        <v>4.3689320388349516E-2</v>
      </c>
      <c r="I804" s="17">
        <v>283</v>
      </c>
      <c r="J804" s="36">
        <f>IFERROR(I804/$AC804,0)</f>
        <v>0.40028288543140028</v>
      </c>
      <c r="K804" s="17">
        <v>101</v>
      </c>
      <c r="L804" s="36">
        <f>IFERROR(K804/$AD804,0)</f>
        <v>0.49029126213592233</v>
      </c>
      <c r="M804" s="17">
        <v>258</v>
      </c>
      <c r="N804" s="36">
        <f>IFERROR(M804/$AC804,0)</f>
        <v>0.36492220650636492</v>
      </c>
      <c r="O804" s="17">
        <v>59</v>
      </c>
      <c r="P804" s="36">
        <f>IFERROR(O804/$AD804,0)</f>
        <v>0.28640776699029125</v>
      </c>
      <c r="Q804" s="17">
        <v>101</v>
      </c>
      <c r="R804" s="36">
        <f>IFERROR(Q804/$AC804,0)</f>
        <v>0.14285714285714285</v>
      </c>
      <c r="S804" s="17">
        <v>30</v>
      </c>
      <c r="T804" s="36">
        <f>IFERROR(S804/$AD804,0)</f>
        <v>0.14563106796116504</v>
      </c>
      <c r="U804" s="17">
        <v>25</v>
      </c>
      <c r="V804" s="36">
        <f>IFERROR(U804/$AC804,0)</f>
        <v>3.536067892503536E-2</v>
      </c>
      <c r="W804" s="17">
        <v>6</v>
      </c>
      <c r="X804" s="36">
        <f>IFERROR(W804/$AD804,0)</f>
        <v>2.9126213592233011E-2</v>
      </c>
      <c r="Y804" s="17">
        <v>10</v>
      </c>
      <c r="Z804" s="36">
        <f>IFERROR(Y804/$AC804,0)</f>
        <v>1.4144271570014143E-2</v>
      </c>
      <c r="AA804" s="17">
        <v>1</v>
      </c>
      <c r="AB804" s="36">
        <f>IFERROR(AA804/$AD804,0)</f>
        <v>4.8543689320388345E-3</v>
      </c>
      <c r="AC804" s="17">
        <v>707</v>
      </c>
      <c r="AD804" s="17">
        <v>206</v>
      </c>
    </row>
    <row r="805" spans="1:30" ht="15.75" customHeight="1" x14ac:dyDescent="0.25">
      <c r="A805" s="37">
        <v>2019</v>
      </c>
      <c r="B805" s="35">
        <v>171855</v>
      </c>
      <c r="C805" s="34" t="s">
        <v>145</v>
      </c>
      <c r="D805" s="34" t="s">
        <v>113</v>
      </c>
      <c r="E805" s="17">
        <v>14</v>
      </c>
      <c r="F805" s="36">
        <f>IFERROR(E805/$AC805,0)</f>
        <v>1.8543046357615896E-2</v>
      </c>
      <c r="G805" s="17">
        <v>8</v>
      </c>
      <c r="H805" s="36">
        <f>IFERROR(G805/$AD805,0)</f>
        <v>2.5974025974025976E-2</v>
      </c>
      <c r="I805" s="17">
        <v>249</v>
      </c>
      <c r="J805" s="36">
        <f>IFERROR(I805/$AC805,0)</f>
        <v>0.32980132450331123</v>
      </c>
      <c r="K805" s="17">
        <v>108</v>
      </c>
      <c r="L805" s="36">
        <f>IFERROR(K805/$AD805,0)</f>
        <v>0.35064935064935066</v>
      </c>
      <c r="M805" s="17">
        <v>285</v>
      </c>
      <c r="N805" s="36">
        <f>IFERROR(M805/$AC805,0)</f>
        <v>0.37748344370860926</v>
      </c>
      <c r="O805" s="17">
        <v>106</v>
      </c>
      <c r="P805" s="36">
        <f>IFERROR(O805/$AD805,0)</f>
        <v>0.34415584415584416</v>
      </c>
      <c r="Q805" s="17">
        <v>155</v>
      </c>
      <c r="R805" s="36">
        <f>IFERROR(Q805/$AC805,0)</f>
        <v>0.20529801324503311</v>
      </c>
      <c r="S805" s="17">
        <v>67</v>
      </c>
      <c r="T805" s="36">
        <f>IFERROR(S805/$AD805,0)</f>
        <v>0.21753246753246752</v>
      </c>
      <c r="U805" s="17">
        <v>38</v>
      </c>
      <c r="V805" s="36">
        <f>IFERROR(U805/$AC805,0)</f>
        <v>5.0331125827814571E-2</v>
      </c>
      <c r="W805" s="17">
        <v>11</v>
      </c>
      <c r="X805" s="36">
        <f>IFERROR(W805/$AD805,0)</f>
        <v>3.5714285714285712E-2</v>
      </c>
      <c r="Y805" s="17">
        <v>14</v>
      </c>
      <c r="Z805" s="36">
        <f>IFERROR(Y805/$AC805,0)</f>
        <v>1.8543046357615896E-2</v>
      </c>
      <c r="AA805" s="17">
        <v>8</v>
      </c>
      <c r="AB805" s="36">
        <f>IFERROR(AA805/$AD805,0)</f>
        <v>2.5974025974025976E-2</v>
      </c>
      <c r="AC805" s="17">
        <v>755</v>
      </c>
      <c r="AD805" s="17">
        <v>308</v>
      </c>
    </row>
    <row r="806" spans="1:30" ht="15.75" customHeight="1" x14ac:dyDescent="0.25">
      <c r="A806" s="37">
        <v>2019</v>
      </c>
      <c r="B806" s="35">
        <v>171865</v>
      </c>
      <c r="C806" s="34" t="s">
        <v>147</v>
      </c>
      <c r="D806" s="34" t="s">
        <v>114</v>
      </c>
      <c r="E806" s="17">
        <v>11</v>
      </c>
      <c r="F806" s="36">
        <f>IFERROR(E806/$AC806,0)</f>
        <v>3.7162162162162164E-2</v>
      </c>
      <c r="G806" s="17">
        <v>8</v>
      </c>
      <c r="H806" s="36">
        <f>IFERROR(G806/$AD806,0)</f>
        <v>6.6115702479338845E-2</v>
      </c>
      <c r="I806" s="17">
        <v>118</v>
      </c>
      <c r="J806" s="36">
        <f>IFERROR(I806/$AC806,0)</f>
        <v>0.39864864864864863</v>
      </c>
      <c r="K806" s="17">
        <v>52</v>
      </c>
      <c r="L806" s="36">
        <f>IFERROR(K806/$AD806,0)</f>
        <v>0.42975206611570249</v>
      </c>
      <c r="M806" s="17">
        <v>102</v>
      </c>
      <c r="N806" s="36">
        <f>IFERROR(M806/$AC806,0)</f>
        <v>0.34459459459459457</v>
      </c>
      <c r="O806" s="17">
        <v>42</v>
      </c>
      <c r="P806" s="36">
        <f>IFERROR(O806/$AD806,0)</f>
        <v>0.34710743801652894</v>
      </c>
      <c r="Q806" s="17">
        <v>48</v>
      </c>
      <c r="R806" s="36">
        <f>IFERROR(Q806/$AC806,0)</f>
        <v>0.16216216216216217</v>
      </c>
      <c r="S806" s="17">
        <v>13</v>
      </c>
      <c r="T806" s="36">
        <f>IFERROR(S806/$AD806,0)</f>
        <v>0.10743801652892562</v>
      </c>
      <c r="U806" s="17">
        <v>11</v>
      </c>
      <c r="V806" s="36">
        <f>IFERROR(U806/$AC806,0)</f>
        <v>3.7162162162162164E-2</v>
      </c>
      <c r="W806" s="17">
        <v>5</v>
      </c>
      <c r="X806" s="36">
        <f>IFERROR(W806/$AD806,0)</f>
        <v>4.1322314049586778E-2</v>
      </c>
      <c r="Y806" s="17">
        <v>6</v>
      </c>
      <c r="Z806" s="36">
        <f>IFERROR(Y806/$AC806,0)</f>
        <v>2.0270270270270271E-2</v>
      </c>
      <c r="AA806" s="17">
        <v>1</v>
      </c>
      <c r="AB806" s="36">
        <f>IFERROR(AA806/$AD806,0)</f>
        <v>8.2644628099173556E-3</v>
      </c>
      <c r="AC806" s="17">
        <v>296</v>
      </c>
      <c r="AD806" s="17">
        <v>121</v>
      </c>
    </row>
    <row r="807" spans="1:30" ht="15.75" customHeight="1" x14ac:dyDescent="0.25">
      <c r="A807" s="37">
        <v>2019</v>
      </c>
      <c r="B807" s="35">
        <v>171870</v>
      </c>
      <c r="C807" s="34" t="s">
        <v>148</v>
      </c>
      <c r="D807" s="34" t="s">
        <v>115</v>
      </c>
      <c r="E807" s="17">
        <v>7</v>
      </c>
      <c r="F807" s="36">
        <f>IFERROR(E807/$AC807,0)</f>
        <v>2.0648967551622419E-2</v>
      </c>
      <c r="G807" s="17">
        <v>6</v>
      </c>
      <c r="H807" s="36">
        <f>IFERROR(G807/$AD807,0)</f>
        <v>2.0408163265306121E-2</v>
      </c>
      <c r="I807" s="17">
        <v>115</v>
      </c>
      <c r="J807" s="36">
        <f>IFERROR(I807/$AC807,0)</f>
        <v>0.33923303834808261</v>
      </c>
      <c r="K807" s="17">
        <v>100</v>
      </c>
      <c r="L807" s="36">
        <f>IFERROR(K807/$AD807,0)</f>
        <v>0.3401360544217687</v>
      </c>
      <c r="M807" s="17">
        <v>127</v>
      </c>
      <c r="N807" s="36">
        <f>IFERROR(M807/$AC807,0)</f>
        <v>0.37463126843657818</v>
      </c>
      <c r="O807" s="17">
        <v>113</v>
      </c>
      <c r="P807" s="36">
        <f>IFERROR(O807/$AD807,0)</f>
        <v>0.38435374149659862</v>
      </c>
      <c r="Q807" s="17">
        <v>67</v>
      </c>
      <c r="R807" s="36">
        <f>IFERROR(Q807/$AC807,0)</f>
        <v>0.19764011799410031</v>
      </c>
      <c r="S807" s="17">
        <v>57</v>
      </c>
      <c r="T807" s="36">
        <f>IFERROR(S807/$AD807,0)</f>
        <v>0.19387755102040816</v>
      </c>
      <c r="U807" s="17">
        <v>14</v>
      </c>
      <c r="V807" s="36">
        <f>IFERROR(U807/$AC807,0)</f>
        <v>4.1297935103244837E-2</v>
      </c>
      <c r="W807" s="17">
        <v>10</v>
      </c>
      <c r="X807" s="36">
        <f>IFERROR(W807/$AD807,0)</f>
        <v>3.4013605442176874E-2</v>
      </c>
      <c r="Y807" s="17">
        <v>9</v>
      </c>
      <c r="Z807" s="36">
        <f>IFERROR(Y807/$AC807,0)</f>
        <v>2.6548672566371681E-2</v>
      </c>
      <c r="AA807" s="17">
        <v>8</v>
      </c>
      <c r="AB807" s="36">
        <f>IFERROR(AA807/$AD807,0)</f>
        <v>2.7210884353741496E-2</v>
      </c>
      <c r="AC807" s="17">
        <v>339</v>
      </c>
      <c r="AD807" s="17">
        <v>294</v>
      </c>
    </row>
    <row r="808" spans="1:30" ht="15.75" customHeight="1" x14ac:dyDescent="0.25">
      <c r="A808" s="37">
        <v>2019</v>
      </c>
      <c r="B808" s="35">
        <v>171875</v>
      </c>
      <c r="C808" s="34" t="s">
        <v>148</v>
      </c>
      <c r="D808" s="34" t="s">
        <v>116</v>
      </c>
      <c r="E808" s="17">
        <v>29</v>
      </c>
      <c r="F808" s="36">
        <f>IFERROR(E808/$AC808,0)</f>
        <v>2.9058116232464931E-2</v>
      </c>
      <c r="G808" s="17">
        <v>15</v>
      </c>
      <c r="H808" s="36">
        <f>IFERROR(G808/$AD808,0)</f>
        <v>4.2016806722689079E-2</v>
      </c>
      <c r="I808" s="17">
        <v>347</v>
      </c>
      <c r="J808" s="36">
        <f>IFERROR(I808/$AC808,0)</f>
        <v>0.34769539078156314</v>
      </c>
      <c r="K808" s="17">
        <v>152</v>
      </c>
      <c r="L808" s="36">
        <f>IFERROR(K808/$AD808,0)</f>
        <v>0.42577030812324929</v>
      </c>
      <c r="M808" s="17">
        <v>376</v>
      </c>
      <c r="N808" s="36">
        <f>IFERROR(M808/$AC808,0)</f>
        <v>0.37675350701402804</v>
      </c>
      <c r="O808" s="17">
        <v>117</v>
      </c>
      <c r="P808" s="36">
        <f>IFERROR(O808/$AD808,0)</f>
        <v>0.32773109243697479</v>
      </c>
      <c r="Q808" s="17">
        <v>176</v>
      </c>
      <c r="R808" s="36">
        <f>IFERROR(Q808/$AC808,0)</f>
        <v>0.17635270541082165</v>
      </c>
      <c r="S808" s="17">
        <v>54</v>
      </c>
      <c r="T808" s="36">
        <f>IFERROR(S808/$AD808,0)</f>
        <v>0.15126050420168066</v>
      </c>
      <c r="U808" s="17">
        <v>51</v>
      </c>
      <c r="V808" s="36">
        <f>IFERROR(U808/$AC808,0)</f>
        <v>5.1102204408817638E-2</v>
      </c>
      <c r="W808" s="17">
        <v>12</v>
      </c>
      <c r="X808" s="36">
        <f>IFERROR(W808/$AD808,0)</f>
        <v>3.3613445378151259E-2</v>
      </c>
      <c r="Y808" s="17">
        <v>19</v>
      </c>
      <c r="Z808" s="36">
        <f>IFERROR(Y808/$AC808,0)</f>
        <v>1.9038076152304611E-2</v>
      </c>
      <c r="AA808" s="17">
        <v>7</v>
      </c>
      <c r="AB808" s="36">
        <f>IFERROR(AA808/$AD808,0)</f>
        <v>1.9607843137254902E-2</v>
      </c>
      <c r="AC808" s="17">
        <v>998</v>
      </c>
      <c r="AD808" s="17">
        <v>357</v>
      </c>
    </row>
    <row r="809" spans="1:30" ht="15.75" customHeight="1" x14ac:dyDescent="0.25">
      <c r="A809" s="37">
        <v>2019</v>
      </c>
      <c r="B809" s="35">
        <v>171880</v>
      </c>
      <c r="C809" s="34" t="s">
        <v>145</v>
      </c>
      <c r="D809" s="34" t="s">
        <v>117</v>
      </c>
      <c r="E809" s="17">
        <v>26</v>
      </c>
      <c r="F809" s="36">
        <f>IFERROR(E809/$AC809,0)</f>
        <v>3.2218091697645598E-2</v>
      </c>
      <c r="G809" s="17">
        <v>23</v>
      </c>
      <c r="H809" s="36">
        <f>IFERROR(G809/$AD809,0)</f>
        <v>3.8397328881469114E-2</v>
      </c>
      <c r="I809" s="17">
        <v>343</v>
      </c>
      <c r="J809" s="36">
        <f>IFERROR(I809/$AC809,0)</f>
        <v>0.42503097893432468</v>
      </c>
      <c r="K809" s="17">
        <v>276</v>
      </c>
      <c r="L809" s="36">
        <f>IFERROR(K809/$AD809,0)</f>
        <v>0.46076794657762937</v>
      </c>
      <c r="M809" s="17">
        <v>279</v>
      </c>
      <c r="N809" s="36">
        <f>IFERROR(M809/$AC809,0)</f>
        <v>0.34572490706319703</v>
      </c>
      <c r="O809" s="17">
        <v>203</v>
      </c>
      <c r="P809" s="36">
        <f>IFERROR(O809/$AD809,0)</f>
        <v>0.33889816360600999</v>
      </c>
      <c r="Q809" s="17">
        <v>104</v>
      </c>
      <c r="R809" s="36">
        <f>IFERROR(Q809/$AC809,0)</f>
        <v>0.12887236679058239</v>
      </c>
      <c r="S809" s="17">
        <v>65</v>
      </c>
      <c r="T809" s="36">
        <f>IFERROR(S809/$AD809,0)</f>
        <v>0.10851419031719532</v>
      </c>
      <c r="U809" s="17">
        <v>41</v>
      </c>
      <c r="V809" s="36">
        <f>IFERROR(U809/$AC809,0)</f>
        <v>5.0805452292441142E-2</v>
      </c>
      <c r="W809" s="17">
        <v>23</v>
      </c>
      <c r="X809" s="36">
        <f>IFERROR(W809/$AD809,0)</f>
        <v>3.8397328881469114E-2</v>
      </c>
      <c r="Y809" s="17">
        <v>14</v>
      </c>
      <c r="Z809" s="36">
        <f>IFERROR(Y809/$AC809,0)</f>
        <v>1.7348203221809171E-2</v>
      </c>
      <c r="AA809" s="17">
        <v>9</v>
      </c>
      <c r="AB809" s="36">
        <f>IFERROR(AA809/$AD809,0)</f>
        <v>1.5025041736227046E-2</v>
      </c>
      <c r="AC809" s="17">
        <v>807</v>
      </c>
      <c r="AD809" s="17">
        <v>599</v>
      </c>
    </row>
    <row r="810" spans="1:30" ht="15.75" customHeight="1" x14ac:dyDescent="0.25">
      <c r="A810" s="37">
        <v>2019</v>
      </c>
      <c r="B810" s="35">
        <v>171884</v>
      </c>
      <c r="C810" s="34" t="s">
        <v>146</v>
      </c>
      <c r="D810" s="34" t="s">
        <v>118</v>
      </c>
      <c r="E810" s="17">
        <v>7</v>
      </c>
      <c r="F810" s="36">
        <f>IFERROR(E810/$AC810,0)</f>
        <v>9.7493036211699167E-3</v>
      </c>
      <c r="G810" s="17">
        <v>5</v>
      </c>
      <c r="H810" s="36">
        <f>IFERROR(G810/$AD810,0)</f>
        <v>2.3474178403755867E-2</v>
      </c>
      <c r="I810" s="17">
        <v>230</v>
      </c>
      <c r="J810" s="36">
        <f>IFERROR(I810/$AC810,0)</f>
        <v>0.3203342618384401</v>
      </c>
      <c r="K810" s="17">
        <v>71</v>
      </c>
      <c r="L810" s="36">
        <f>IFERROR(K810/$AD810,0)</f>
        <v>0.33333333333333331</v>
      </c>
      <c r="M810" s="17">
        <v>260</v>
      </c>
      <c r="N810" s="36">
        <f>IFERROR(M810/$AC810,0)</f>
        <v>0.36211699164345401</v>
      </c>
      <c r="O810" s="17">
        <v>79</v>
      </c>
      <c r="P810" s="36">
        <f>IFERROR(O810/$AD810,0)</f>
        <v>0.37089201877934275</v>
      </c>
      <c r="Q810" s="17">
        <v>149</v>
      </c>
      <c r="R810" s="36">
        <f>IFERROR(Q810/$AC810,0)</f>
        <v>0.20752089136490251</v>
      </c>
      <c r="S810" s="17">
        <v>38</v>
      </c>
      <c r="T810" s="36">
        <f>IFERROR(S810/$AD810,0)</f>
        <v>0.17840375586854459</v>
      </c>
      <c r="U810" s="17">
        <v>51</v>
      </c>
      <c r="V810" s="36">
        <f>IFERROR(U810/$AC810,0)</f>
        <v>7.1030640668523673E-2</v>
      </c>
      <c r="W810" s="17">
        <v>15</v>
      </c>
      <c r="X810" s="36">
        <f>IFERROR(W810/$AD810,0)</f>
        <v>7.0422535211267609E-2</v>
      </c>
      <c r="Y810" s="17">
        <v>21</v>
      </c>
      <c r="Z810" s="36">
        <f>IFERROR(Y810/$AC810,0)</f>
        <v>2.9247910863509748E-2</v>
      </c>
      <c r="AA810" s="17">
        <v>5</v>
      </c>
      <c r="AB810" s="36">
        <f>IFERROR(AA810/$AD810,0)</f>
        <v>2.3474178403755867E-2</v>
      </c>
      <c r="AC810" s="17">
        <v>718</v>
      </c>
      <c r="AD810" s="17">
        <v>213</v>
      </c>
    </row>
    <row r="811" spans="1:30" ht="15.75" customHeight="1" x14ac:dyDescent="0.25">
      <c r="A811" s="37">
        <v>2019</v>
      </c>
      <c r="B811" s="35">
        <v>171886</v>
      </c>
      <c r="C811" s="34" t="s">
        <v>149</v>
      </c>
      <c r="D811" s="34" t="s">
        <v>119</v>
      </c>
      <c r="E811" s="17">
        <v>20</v>
      </c>
      <c r="F811" s="36">
        <f>IFERROR(E811/$AC811,0)</f>
        <v>1.7271157167530225E-2</v>
      </c>
      <c r="G811" s="17">
        <v>8</v>
      </c>
      <c r="H811" s="36">
        <f>IFERROR(G811/$AD811,0)</f>
        <v>2.9739776951672861E-2</v>
      </c>
      <c r="I811" s="17">
        <v>387</v>
      </c>
      <c r="J811" s="36">
        <f>IFERROR(I811/$AC811,0)</f>
        <v>0.33419689119170987</v>
      </c>
      <c r="K811" s="17">
        <v>103</v>
      </c>
      <c r="L811" s="36">
        <f>IFERROR(K811/$AD811,0)</f>
        <v>0.38289962825278812</v>
      </c>
      <c r="M811" s="17">
        <v>397</v>
      </c>
      <c r="N811" s="36">
        <f>IFERROR(M811/$AC811,0)</f>
        <v>0.34283246977547494</v>
      </c>
      <c r="O811" s="17">
        <v>90</v>
      </c>
      <c r="P811" s="36">
        <f>IFERROR(O811/$AD811,0)</f>
        <v>0.33457249070631973</v>
      </c>
      <c r="Q811" s="17">
        <v>236</v>
      </c>
      <c r="R811" s="36">
        <f>IFERROR(Q811/$AC811,0)</f>
        <v>0.20379965457685664</v>
      </c>
      <c r="S811" s="17">
        <v>43</v>
      </c>
      <c r="T811" s="36">
        <f>IFERROR(S811/$AD811,0)</f>
        <v>0.15985130111524162</v>
      </c>
      <c r="U811" s="17">
        <v>76</v>
      </c>
      <c r="V811" s="36">
        <f>IFERROR(U811/$AC811,0)</f>
        <v>6.563039723661486E-2</v>
      </c>
      <c r="W811" s="17">
        <v>15</v>
      </c>
      <c r="X811" s="36">
        <f>IFERROR(W811/$AD811,0)</f>
        <v>5.5762081784386616E-2</v>
      </c>
      <c r="Y811" s="17">
        <v>42</v>
      </c>
      <c r="Z811" s="36">
        <f>IFERROR(Y811/$AC811,0)</f>
        <v>3.6269430051813469E-2</v>
      </c>
      <c r="AA811" s="17">
        <v>10</v>
      </c>
      <c r="AB811" s="36">
        <f>IFERROR(AA811/$AD811,0)</f>
        <v>3.717472118959108E-2</v>
      </c>
      <c r="AC811" s="16">
        <v>1158</v>
      </c>
      <c r="AD811" s="17">
        <v>269</v>
      </c>
    </row>
    <row r="812" spans="1:30" ht="15.75" customHeight="1" x14ac:dyDescent="0.25">
      <c r="A812" s="37">
        <v>2019</v>
      </c>
      <c r="B812" s="35">
        <v>171888</v>
      </c>
      <c r="C812" s="34" t="s">
        <v>150</v>
      </c>
      <c r="D812" s="34" t="s">
        <v>120</v>
      </c>
      <c r="E812" s="17">
        <v>11</v>
      </c>
      <c r="F812" s="36">
        <f>IFERROR(E812/$AC812,0)</f>
        <v>1.6200294550810016E-2</v>
      </c>
      <c r="G812" s="17">
        <v>3</v>
      </c>
      <c r="H812" s="36">
        <f>IFERROR(G812/$AD812,0)</f>
        <v>3.125E-2</v>
      </c>
      <c r="I812" s="17">
        <v>236</v>
      </c>
      <c r="J812" s="36">
        <f>IFERROR(I812/$AC812,0)</f>
        <v>0.34756995581737848</v>
      </c>
      <c r="K812" s="17">
        <v>36</v>
      </c>
      <c r="L812" s="36">
        <f>IFERROR(K812/$AD812,0)</f>
        <v>0.375</v>
      </c>
      <c r="M812" s="17">
        <v>246</v>
      </c>
      <c r="N812" s="36">
        <f>IFERROR(M812/$AC812,0)</f>
        <v>0.36229749631811486</v>
      </c>
      <c r="O812" s="17">
        <v>36</v>
      </c>
      <c r="P812" s="36">
        <f>IFERROR(O812/$AD812,0)</f>
        <v>0.375</v>
      </c>
      <c r="Q812" s="17">
        <v>126</v>
      </c>
      <c r="R812" s="36">
        <f>IFERROR(Q812/$AC812,0)</f>
        <v>0.18556701030927836</v>
      </c>
      <c r="S812" s="17">
        <v>13</v>
      </c>
      <c r="T812" s="36">
        <f>IFERROR(S812/$AD812,0)</f>
        <v>0.13541666666666666</v>
      </c>
      <c r="U812" s="17">
        <v>48</v>
      </c>
      <c r="V812" s="36">
        <f>IFERROR(U812/$AC812,0)</f>
        <v>7.0692194403534608E-2</v>
      </c>
      <c r="W812" s="17">
        <v>8</v>
      </c>
      <c r="X812" s="36">
        <f>IFERROR(W812/$AD812,0)</f>
        <v>8.3333333333333329E-2</v>
      </c>
      <c r="Y812" s="17">
        <v>12</v>
      </c>
      <c r="Z812" s="36">
        <f>IFERROR(Y812/$AC812,0)</f>
        <v>1.7673048600883652E-2</v>
      </c>
      <c r="AA812" s="17">
        <v>0</v>
      </c>
      <c r="AB812" s="36">
        <f>IFERROR(AA812/$AD812,0)</f>
        <v>0</v>
      </c>
      <c r="AC812" s="17">
        <v>679</v>
      </c>
      <c r="AD812" s="17">
        <v>96</v>
      </c>
    </row>
    <row r="813" spans="1:30" ht="15.75" customHeight="1" x14ac:dyDescent="0.25">
      <c r="A813" s="37">
        <v>2019</v>
      </c>
      <c r="B813" s="35">
        <v>171889</v>
      </c>
      <c r="C813" s="34" t="s">
        <v>146</v>
      </c>
      <c r="D813" s="34" t="s">
        <v>121</v>
      </c>
      <c r="E813" s="17">
        <v>7</v>
      </c>
      <c r="F813" s="36">
        <f>IFERROR(E813/$AC813,0)</f>
        <v>1.3725490196078431E-2</v>
      </c>
      <c r="G813" s="17">
        <v>1</v>
      </c>
      <c r="H813" s="36">
        <f>IFERROR(G813/$AD813,0)</f>
        <v>1.0752688172043012E-2</v>
      </c>
      <c r="I813" s="17">
        <v>168</v>
      </c>
      <c r="J813" s="36">
        <f>IFERROR(I813/$AC813,0)</f>
        <v>0.32941176470588235</v>
      </c>
      <c r="K813" s="17">
        <v>31</v>
      </c>
      <c r="L813" s="36">
        <f>IFERROR(K813/$AD813,0)</f>
        <v>0.33333333333333331</v>
      </c>
      <c r="M813" s="17">
        <v>167</v>
      </c>
      <c r="N813" s="36">
        <f>IFERROR(M813/$AC813,0)</f>
        <v>0.32745098039215687</v>
      </c>
      <c r="O813" s="17">
        <v>26</v>
      </c>
      <c r="P813" s="36">
        <f>IFERROR(O813/$AD813,0)</f>
        <v>0.27956989247311825</v>
      </c>
      <c r="Q813" s="17">
        <v>111</v>
      </c>
      <c r="R813" s="36">
        <f>IFERROR(Q813/$AC813,0)</f>
        <v>0.21764705882352942</v>
      </c>
      <c r="S813" s="17">
        <v>24</v>
      </c>
      <c r="T813" s="36">
        <f>IFERROR(S813/$AD813,0)</f>
        <v>0.25806451612903225</v>
      </c>
      <c r="U813" s="17">
        <v>39</v>
      </c>
      <c r="V813" s="36">
        <f>IFERROR(U813/$AC813,0)</f>
        <v>7.6470588235294124E-2</v>
      </c>
      <c r="W813" s="17">
        <v>7</v>
      </c>
      <c r="X813" s="36">
        <f>IFERROR(W813/$AD813,0)</f>
        <v>7.5268817204301078E-2</v>
      </c>
      <c r="Y813" s="17">
        <v>18</v>
      </c>
      <c r="Z813" s="36">
        <f>IFERROR(Y813/$AC813,0)</f>
        <v>3.5294117647058823E-2</v>
      </c>
      <c r="AA813" s="17">
        <v>4</v>
      </c>
      <c r="AB813" s="36">
        <f>IFERROR(AA813/$AD813,0)</f>
        <v>4.3010752688172046E-2</v>
      </c>
      <c r="AC813" s="17">
        <v>510</v>
      </c>
      <c r="AD813" s="17">
        <v>93</v>
      </c>
    </row>
    <row r="814" spans="1:30" ht="15.75" customHeight="1" x14ac:dyDescent="0.25">
      <c r="A814" s="37">
        <v>2019</v>
      </c>
      <c r="B814" s="35">
        <v>171890</v>
      </c>
      <c r="C814" s="34" t="s">
        <v>151</v>
      </c>
      <c r="D814" s="34" t="s">
        <v>122</v>
      </c>
      <c r="E814" s="17">
        <v>20</v>
      </c>
      <c r="F814" s="36">
        <f>IFERROR(E814/$AC814,0)</f>
        <v>2.8985507246376812E-2</v>
      </c>
      <c r="G814" s="17">
        <v>9</v>
      </c>
      <c r="H814" s="36">
        <f>IFERROR(G814/$AD814,0)</f>
        <v>3.5433070866141732E-2</v>
      </c>
      <c r="I814" s="17">
        <v>264</v>
      </c>
      <c r="J814" s="36">
        <f>IFERROR(I814/$AC814,0)</f>
        <v>0.38260869565217392</v>
      </c>
      <c r="K814" s="17">
        <v>102</v>
      </c>
      <c r="L814" s="36">
        <f>IFERROR(K814/$AD814,0)</f>
        <v>0.40157480314960631</v>
      </c>
      <c r="M814" s="17">
        <v>247</v>
      </c>
      <c r="N814" s="36">
        <f>IFERROR(M814/$AC814,0)</f>
        <v>0.35797101449275365</v>
      </c>
      <c r="O814" s="17">
        <v>84</v>
      </c>
      <c r="P814" s="36">
        <f>IFERROR(O814/$AD814,0)</f>
        <v>0.33070866141732286</v>
      </c>
      <c r="Q814" s="17">
        <v>109</v>
      </c>
      <c r="R814" s="36">
        <f>IFERROR(Q814/$AC814,0)</f>
        <v>0.15797101449275364</v>
      </c>
      <c r="S814" s="17">
        <v>41</v>
      </c>
      <c r="T814" s="36">
        <f>IFERROR(S814/$AD814,0)</f>
        <v>0.16141732283464566</v>
      </c>
      <c r="U814" s="17">
        <v>38</v>
      </c>
      <c r="V814" s="36">
        <f>IFERROR(U814/$AC814,0)</f>
        <v>5.5072463768115941E-2</v>
      </c>
      <c r="W814" s="17">
        <v>12</v>
      </c>
      <c r="X814" s="36">
        <f>IFERROR(W814/$AD814,0)</f>
        <v>4.7244094488188976E-2</v>
      </c>
      <c r="Y814" s="17">
        <v>12</v>
      </c>
      <c r="Z814" s="36">
        <f>IFERROR(Y814/$AC814,0)</f>
        <v>1.7391304347826087E-2</v>
      </c>
      <c r="AA814" s="17">
        <v>6</v>
      </c>
      <c r="AB814" s="36">
        <f>IFERROR(AA814/$AD814,0)</f>
        <v>2.3622047244094488E-2</v>
      </c>
      <c r="AC814" s="17">
        <v>690</v>
      </c>
      <c r="AD814" s="17">
        <v>254</v>
      </c>
    </row>
    <row r="815" spans="1:30" ht="15.75" customHeight="1" x14ac:dyDescent="0.25">
      <c r="A815" s="37">
        <v>2019</v>
      </c>
      <c r="B815" s="35">
        <v>171900</v>
      </c>
      <c r="C815" s="34" t="s">
        <v>148</v>
      </c>
      <c r="D815" s="34" t="s">
        <v>123</v>
      </c>
      <c r="E815" s="17">
        <v>19</v>
      </c>
      <c r="F815" s="36">
        <f>IFERROR(E815/$AC815,0)</f>
        <v>2.6685393258426966E-2</v>
      </c>
      <c r="G815" s="17">
        <v>7</v>
      </c>
      <c r="H815" s="36">
        <f>IFERROR(G815/$AD815,0)</f>
        <v>5.3846153846153849E-2</v>
      </c>
      <c r="I815" s="17">
        <v>255</v>
      </c>
      <c r="J815" s="36">
        <f>IFERROR(I815/$AC815,0)</f>
        <v>0.35814606741573035</v>
      </c>
      <c r="K815" s="17">
        <v>46</v>
      </c>
      <c r="L815" s="36">
        <f>IFERROR(K815/$AD815,0)</f>
        <v>0.35384615384615387</v>
      </c>
      <c r="M815" s="17">
        <v>254</v>
      </c>
      <c r="N815" s="36">
        <f>IFERROR(M815/$AC815,0)</f>
        <v>0.35674157303370785</v>
      </c>
      <c r="O815" s="17">
        <v>38</v>
      </c>
      <c r="P815" s="36">
        <f>IFERROR(O815/$AD815,0)</f>
        <v>0.29230769230769232</v>
      </c>
      <c r="Q815" s="17">
        <v>124</v>
      </c>
      <c r="R815" s="36">
        <f>IFERROR(Q815/$AC815,0)</f>
        <v>0.17415730337078653</v>
      </c>
      <c r="S815" s="17">
        <v>25</v>
      </c>
      <c r="T815" s="36">
        <f>IFERROR(S815/$AD815,0)</f>
        <v>0.19230769230769232</v>
      </c>
      <c r="U815" s="17">
        <v>36</v>
      </c>
      <c r="V815" s="36">
        <f>IFERROR(U815/$AC815,0)</f>
        <v>5.0561797752808987E-2</v>
      </c>
      <c r="W815" s="17">
        <v>7</v>
      </c>
      <c r="X815" s="36">
        <f>IFERROR(W815/$AD815,0)</f>
        <v>5.3846153846153849E-2</v>
      </c>
      <c r="Y815" s="17">
        <v>24</v>
      </c>
      <c r="Z815" s="36">
        <f>IFERROR(Y815/$AC815,0)</f>
        <v>3.3707865168539325E-2</v>
      </c>
      <c r="AA815" s="17">
        <v>7</v>
      </c>
      <c r="AB815" s="36">
        <f>IFERROR(AA815/$AD815,0)</f>
        <v>5.3846153846153849E-2</v>
      </c>
      <c r="AC815" s="17">
        <v>712</v>
      </c>
      <c r="AD815" s="17">
        <v>130</v>
      </c>
    </row>
    <row r="816" spans="1:30" ht="15.75" customHeight="1" x14ac:dyDescent="0.25">
      <c r="A816" s="37">
        <v>2019</v>
      </c>
      <c r="B816" s="35">
        <v>172000</v>
      </c>
      <c r="C816" s="34" t="s">
        <v>145</v>
      </c>
      <c r="D816" s="34" t="s">
        <v>124</v>
      </c>
      <c r="E816" s="17">
        <v>13</v>
      </c>
      <c r="F816" s="36">
        <f>IFERROR(E816/$AC816,0)</f>
        <v>3.2663316582914576E-2</v>
      </c>
      <c r="G816" s="17">
        <v>5</v>
      </c>
      <c r="H816" s="36">
        <f>IFERROR(G816/$AD816,0)</f>
        <v>4.2016806722689079E-2</v>
      </c>
      <c r="I816" s="17">
        <v>144</v>
      </c>
      <c r="J816" s="36">
        <f>IFERROR(I816/$AC816,0)</f>
        <v>0.36180904522613067</v>
      </c>
      <c r="K816" s="17">
        <v>49</v>
      </c>
      <c r="L816" s="36">
        <f>IFERROR(K816/$AD816,0)</f>
        <v>0.41176470588235292</v>
      </c>
      <c r="M816" s="17">
        <v>139</v>
      </c>
      <c r="N816" s="36">
        <f>IFERROR(M816/$AC816,0)</f>
        <v>0.34924623115577891</v>
      </c>
      <c r="O816" s="17">
        <v>35</v>
      </c>
      <c r="P816" s="36">
        <f>IFERROR(O816/$AD816,0)</f>
        <v>0.29411764705882354</v>
      </c>
      <c r="Q816" s="17">
        <v>64</v>
      </c>
      <c r="R816" s="36">
        <f>IFERROR(Q816/$AC816,0)</f>
        <v>0.16080402010050251</v>
      </c>
      <c r="S816" s="17">
        <v>18</v>
      </c>
      <c r="T816" s="36">
        <f>IFERROR(S816/$AD816,0)</f>
        <v>0.15126050420168066</v>
      </c>
      <c r="U816" s="17">
        <v>24</v>
      </c>
      <c r="V816" s="36">
        <f>IFERROR(U816/$AC816,0)</f>
        <v>6.030150753768844E-2</v>
      </c>
      <c r="W816" s="17">
        <v>7</v>
      </c>
      <c r="X816" s="36">
        <f>IFERROR(W816/$AD816,0)</f>
        <v>5.8823529411764705E-2</v>
      </c>
      <c r="Y816" s="17">
        <v>14</v>
      </c>
      <c r="Z816" s="36">
        <f>IFERROR(Y816/$AC816,0)</f>
        <v>3.5175879396984924E-2</v>
      </c>
      <c r="AA816" s="17">
        <v>5</v>
      </c>
      <c r="AB816" s="36">
        <f>IFERROR(AA816/$AD816,0)</f>
        <v>4.2016806722689079E-2</v>
      </c>
      <c r="AC816" s="17">
        <v>398</v>
      </c>
      <c r="AD816" s="17">
        <v>119</v>
      </c>
    </row>
    <row r="817" spans="1:30" ht="15.75" customHeight="1" x14ac:dyDescent="0.25">
      <c r="A817" s="37">
        <v>2019</v>
      </c>
      <c r="B817" s="35">
        <v>172010</v>
      </c>
      <c r="C817" s="34" t="s">
        <v>145</v>
      </c>
      <c r="D817" s="34" t="s">
        <v>125</v>
      </c>
      <c r="E817" s="17">
        <v>12</v>
      </c>
      <c r="F817" s="36">
        <f>IFERROR(E817/$AC817,0)</f>
        <v>1.8489984591679508E-2</v>
      </c>
      <c r="G817" s="17">
        <v>11</v>
      </c>
      <c r="H817" s="36">
        <f>IFERROR(G817/$AD817,0)</f>
        <v>4.2801556420233464E-2</v>
      </c>
      <c r="I817" s="17">
        <v>230</v>
      </c>
      <c r="J817" s="36">
        <f>IFERROR(I817/$AC817,0)</f>
        <v>0.3543913713405239</v>
      </c>
      <c r="K817" s="17">
        <v>94</v>
      </c>
      <c r="L817" s="36">
        <f>IFERROR(K817/$AD817,0)</f>
        <v>0.36575875486381321</v>
      </c>
      <c r="M817" s="17">
        <v>244</v>
      </c>
      <c r="N817" s="36">
        <f>IFERROR(M817/$AC817,0)</f>
        <v>0.37596302003081666</v>
      </c>
      <c r="O817" s="17">
        <v>87</v>
      </c>
      <c r="P817" s="36">
        <f>IFERROR(O817/$AD817,0)</f>
        <v>0.33852140077821014</v>
      </c>
      <c r="Q817" s="17">
        <v>114</v>
      </c>
      <c r="R817" s="36">
        <f>IFERROR(Q817/$AC817,0)</f>
        <v>0.17565485362095531</v>
      </c>
      <c r="S817" s="17">
        <v>45</v>
      </c>
      <c r="T817" s="36">
        <f>IFERROR(S817/$AD817,0)</f>
        <v>0.17509727626459143</v>
      </c>
      <c r="U817" s="17">
        <v>37</v>
      </c>
      <c r="V817" s="36">
        <f>IFERROR(U817/$AC817,0)</f>
        <v>5.7010785824345149E-2</v>
      </c>
      <c r="W817" s="17">
        <v>14</v>
      </c>
      <c r="X817" s="36">
        <f>IFERROR(W817/$AD817,0)</f>
        <v>5.4474708171206226E-2</v>
      </c>
      <c r="Y817" s="17">
        <v>12</v>
      </c>
      <c r="Z817" s="36">
        <f>IFERROR(Y817/$AC817,0)</f>
        <v>1.8489984591679508E-2</v>
      </c>
      <c r="AA817" s="17">
        <v>6</v>
      </c>
      <c r="AB817" s="36">
        <f>IFERROR(AA817/$AD817,0)</f>
        <v>2.3346303501945526E-2</v>
      </c>
      <c r="AC817" s="17">
        <v>649</v>
      </c>
      <c r="AD817" s="17">
        <v>257</v>
      </c>
    </row>
    <row r="818" spans="1:30" ht="15.75" customHeight="1" x14ac:dyDescent="0.25">
      <c r="A818" s="37">
        <v>2019</v>
      </c>
      <c r="B818" s="35">
        <v>172015</v>
      </c>
      <c r="C818" s="34" t="s">
        <v>148</v>
      </c>
      <c r="D818" s="34" t="s">
        <v>126</v>
      </c>
      <c r="E818" s="17">
        <v>19</v>
      </c>
      <c r="F818" s="36">
        <f>IFERROR(E818/$AC818,0)</f>
        <v>5.2924791086350974E-2</v>
      </c>
      <c r="G818" s="17">
        <v>5</v>
      </c>
      <c r="H818" s="36">
        <f>IFERROR(G818/$AD818,0)</f>
        <v>3.7593984962406013E-2</v>
      </c>
      <c r="I818" s="17">
        <v>134</v>
      </c>
      <c r="J818" s="36">
        <f>IFERROR(I818/$AC818,0)</f>
        <v>0.37325905292479111</v>
      </c>
      <c r="K818" s="17">
        <v>45</v>
      </c>
      <c r="L818" s="36">
        <f>IFERROR(K818/$AD818,0)</f>
        <v>0.33834586466165412</v>
      </c>
      <c r="M818" s="17">
        <v>129</v>
      </c>
      <c r="N818" s="36">
        <f>IFERROR(M818/$AC818,0)</f>
        <v>0.35933147632311979</v>
      </c>
      <c r="O818" s="17">
        <v>55</v>
      </c>
      <c r="P818" s="36">
        <f>IFERROR(O818/$AD818,0)</f>
        <v>0.41353383458646614</v>
      </c>
      <c r="Q818" s="17">
        <v>64</v>
      </c>
      <c r="R818" s="36">
        <f>IFERROR(Q818/$AC818,0)</f>
        <v>0.17827298050139276</v>
      </c>
      <c r="S818" s="17">
        <v>22</v>
      </c>
      <c r="T818" s="36">
        <f>IFERROR(S818/$AD818,0)</f>
        <v>0.16541353383458646</v>
      </c>
      <c r="U818" s="17">
        <v>8</v>
      </c>
      <c r="V818" s="36">
        <f>IFERROR(U818/$AC818,0)</f>
        <v>2.2284122562674095E-2</v>
      </c>
      <c r="W818" s="17">
        <v>5</v>
      </c>
      <c r="X818" s="36">
        <f>IFERROR(W818/$AD818,0)</f>
        <v>3.7593984962406013E-2</v>
      </c>
      <c r="Y818" s="17">
        <v>5</v>
      </c>
      <c r="Z818" s="36">
        <f>IFERROR(Y818/$AC818,0)</f>
        <v>1.3927576601671309E-2</v>
      </c>
      <c r="AA818" s="17">
        <v>1</v>
      </c>
      <c r="AB818" s="36">
        <f>IFERROR(AA818/$AD818,0)</f>
        <v>7.5187969924812026E-3</v>
      </c>
      <c r="AC818" s="17">
        <v>359</v>
      </c>
      <c r="AD818" s="17">
        <v>133</v>
      </c>
    </row>
    <row r="819" spans="1:30" ht="15.75" customHeight="1" x14ac:dyDescent="0.25">
      <c r="A819" s="37">
        <v>2019</v>
      </c>
      <c r="B819" s="35">
        <v>172020</v>
      </c>
      <c r="C819" s="34" t="s">
        <v>145</v>
      </c>
      <c r="D819" s="34" t="s">
        <v>127</v>
      </c>
      <c r="E819" s="17">
        <v>36</v>
      </c>
      <c r="F819" s="36">
        <f>IFERROR(E819/$AC819,0)</f>
        <v>2.5316455696202531E-2</v>
      </c>
      <c r="G819" s="17">
        <v>15</v>
      </c>
      <c r="H819" s="36">
        <f>IFERROR(G819/$AD819,0)</f>
        <v>2.4429967426710098E-2</v>
      </c>
      <c r="I819" s="17">
        <v>542</v>
      </c>
      <c r="J819" s="36">
        <f>IFERROR(I819/$AC819,0)</f>
        <v>0.38115330520393814</v>
      </c>
      <c r="K819" s="17">
        <v>240</v>
      </c>
      <c r="L819" s="36">
        <f>IFERROR(K819/$AD819,0)</f>
        <v>0.39087947882736157</v>
      </c>
      <c r="M819" s="17">
        <v>467</v>
      </c>
      <c r="N819" s="36">
        <f>IFERROR(M819/$AC819,0)</f>
        <v>0.32841068917018285</v>
      </c>
      <c r="O819" s="17">
        <v>214</v>
      </c>
      <c r="P819" s="36">
        <f>IFERROR(O819/$AD819,0)</f>
        <v>0.34853420195439738</v>
      </c>
      <c r="Q819" s="17">
        <v>275</v>
      </c>
      <c r="R819" s="36">
        <f>IFERROR(Q819/$AC819,0)</f>
        <v>0.19338959212376933</v>
      </c>
      <c r="S819" s="17">
        <v>110</v>
      </c>
      <c r="T819" s="36">
        <f>IFERROR(S819/$AD819,0)</f>
        <v>0.17915309446254071</v>
      </c>
      <c r="U819" s="17">
        <v>74</v>
      </c>
      <c r="V819" s="36">
        <f>IFERROR(U819/$AC819,0)</f>
        <v>5.2039381153305204E-2</v>
      </c>
      <c r="W819" s="17">
        <v>30</v>
      </c>
      <c r="X819" s="36">
        <f>IFERROR(W819/$AD819,0)</f>
        <v>4.8859934853420196E-2</v>
      </c>
      <c r="Y819" s="17">
        <v>28</v>
      </c>
      <c r="Z819" s="36">
        <f>IFERROR(Y819/$AC819,0)</f>
        <v>1.969057665260197E-2</v>
      </c>
      <c r="AA819" s="17">
        <v>5</v>
      </c>
      <c r="AB819" s="36">
        <f>IFERROR(AA819/$AD819,0)</f>
        <v>8.1433224755700327E-3</v>
      </c>
      <c r="AC819" s="16">
        <v>1422</v>
      </c>
      <c r="AD819" s="17">
        <v>614</v>
      </c>
    </row>
    <row r="820" spans="1:30" ht="15.75" customHeight="1" x14ac:dyDescent="0.25">
      <c r="A820" s="37">
        <v>2019</v>
      </c>
      <c r="B820" s="35">
        <v>172025</v>
      </c>
      <c r="C820" s="34" t="s">
        <v>146</v>
      </c>
      <c r="D820" s="34" t="s">
        <v>128</v>
      </c>
      <c r="E820" s="17">
        <v>19</v>
      </c>
      <c r="F820" s="36">
        <f>IFERROR(E820/$AC820,0)</f>
        <v>4.0339702760084924E-2</v>
      </c>
      <c r="G820" s="17">
        <v>8</v>
      </c>
      <c r="H820" s="36">
        <f>IFERROR(G820/$AD820,0)</f>
        <v>4.2780748663101602E-2</v>
      </c>
      <c r="I820" s="17">
        <v>185</v>
      </c>
      <c r="J820" s="36">
        <f>IFERROR(I820/$AC820,0)</f>
        <v>0.39278131634819535</v>
      </c>
      <c r="K820" s="17">
        <v>79</v>
      </c>
      <c r="L820" s="36">
        <f>IFERROR(K820/$AD820,0)</f>
        <v>0.42245989304812837</v>
      </c>
      <c r="M820" s="17">
        <v>141</v>
      </c>
      <c r="N820" s="36">
        <f>IFERROR(M820/$AC820,0)</f>
        <v>0.29936305732484075</v>
      </c>
      <c r="O820" s="17">
        <v>48</v>
      </c>
      <c r="P820" s="36">
        <f>IFERROR(O820/$AD820,0)</f>
        <v>0.25668449197860965</v>
      </c>
      <c r="Q820" s="17">
        <v>71</v>
      </c>
      <c r="R820" s="36">
        <f>IFERROR(Q820/$AC820,0)</f>
        <v>0.15074309978768577</v>
      </c>
      <c r="S820" s="17">
        <v>33</v>
      </c>
      <c r="T820" s="36">
        <f>IFERROR(S820/$AD820,0)</f>
        <v>0.17647058823529413</v>
      </c>
      <c r="U820" s="17">
        <v>31</v>
      </c>
      <c r="V820" s="36">
        <f>IFERROR(U820/$AC820,0)</f>
        <v>6.5817409766454352E-2</v>
      </c>
      <c r="W820" s="17">
        <v>10</v>
      </c>
      <c r="X820" s="36">
        <f>IFERROR(W820/$AD820,0)</f>
        <v>5.3475935828877004E-2</v>
      </c>
      <c r="Y820" s="17">
        <v>24</v>
      </c>
      <c r="Z820" s="36">
        <f>IFERROR(Y820/$AC820,0)</f>
        <v>5.0955414012738856E-2</v>
      </c>
      <c r="AA820" s="17">
        <v>9</v>
      </c>
      <c r="AB820" s="36">
        <f>IFERROR(AA820/$AD820,0)</f>
        <v>4.8128342245989303E-2</v>
      </c>
      <c r="AC820" s="17">
        <v>471</v>
      </c>
      <c r="AD820" s="17">
        <v>187</v>
      </c>
    </row>
    <row r="821" spans="1:30" ht="15.75" customHeight="1" x14ac:dyDescent="0.25">
      <c r="A821" s="37">
        <v>2019</v>
      </c>
      <c r="B821" s="35">
        <v>172030</v>
      </c>
      <c r="C821" s="34" t="s">
        <v>145</v>
      </c>
      <c r="D821" s="34" t="s">
        <v>129</v>
      </c>
      <c r="E821" s="17">
        <v>26</v>
      </c>
      <c r="F821" s="36">
        <f>IFERROR(E821/$AC821,0)</f>
        <v>2.8291621327529923E-2</v>
      </c>
      <c r="G821" s="17">
        <v>11</v>
      </c>
      <c r="H821" s="36">
        <f>IFERROR(G821/$AD821,0)</f>
        <v>4.2801556420233464E-2</v>
      </c>
      <c r="I821" s="17">
        <v>324</v>
      </c>
      <c r="J821" s="36">
        <f>IFERROR(I821/$AC821,0)</f>
        <v>0.35255712731229599</v>
      </c>
      <c r="K821" s="17">
        <v>96</v>
      </c>
      <c r="L821" s="36">
        <f>IFERROR(K821/$AD821,0)</f>
        <v>0.37354085603112841</v>
      </c>
      <c r="M821" s="17">
        <v>310</v>
      </c>
      <c r="N821" s="36">
        <f>IFERROR(M821/$AC821,0)</f>
        <v>0.33732317736670292</v>
      </c>
      <c r="O821" s="17">
        <v>84</v>
      </c>
      <c r="P821" s="36">
        <f>IFERROR(O821/$AD821,0)</f>
        <v>0.32684824902723736</v>
      </c>
      <c r="Q821" s="17">
        <v>162</v>
      </c>
      <c r="R821" s="36">
        <f>IFERROR(Q821/$AC821,0)</f>
        <v>0.176278563656148</v>
      </c>
      <c r="S821" s="17">
        <v>41</v>
      </c>
      <c r="T821" s="36">
        <f>IFERROR(S821/$AD821,0)</f>
        <v>0.15953307392996108</v>
      </c>
      <c r="U821" s="17">
        <v>65</v>
      </c>
      <c r="V821" s="36">
        <f>IFERROR(U821/$AC821,0)</f>
        <v>7.0729053318824814E-2</v>
      </c>
      <c r="W821" s="17">
        <v>13</v>
      </c>
      <c r="X821" s="36">
        <f>IFERROR(W821/$AD821,0)</f>
        <v>5.0583657587548639E-2</v>
      </c>
      <c r="Y821" s="17">
        <v>32</v>
      </c>
      <c r="Z821" s="36">
        <f>IFERROR(Y821/$AC821,0)</f>
        <v>3.4820457018498369E-2</v>
      </c>
      <c r="AA821" s="17">
        <v>12</v>
      </c>
      <c r="AB821" s="36">
        <f>IFERROR(AA821/$AD821,0)</f>
        <v>4.6692607003891051E-2</v>
      </c>
      <c r="AC821" s="17">
        <v>919</v>
      </c>
      <c r="AD821" s="17">
        <v>257</v>
      </c>
    </row>
    <row r="822" spans="1:30" ht="15.75" customHeight="1" x14ac:dyDescent="0.25">
      <c r="A822" s="37">
        <v>2019</v>
      </c>
      <c r="B822" s="35">
        <v>172049</v>
      </c>
      <c r="C822" s="34" t="s">
        <v>146</v>
      </c>
      <c r="D822" s="34" t="s">
        <v>130</v>
      </c>
      <c r="E822" s="17">
        <v>36</v>
      </c>
      <c r="F822" s="36">
        <f>IFERROR(E822/$AC822,0)</f>
        <v>3.2967032967032968E-2</v>
      </c>
      <c r="G822" s="17">
        <v>16</v>
      </c>
      <c r="H822" s="36">
        <f>IFERROR(G822/$AD822,0)</f>
        <v>8.6486486486486491E-2</v>
      </c>
      <c r="I822" s="17">
        <v>358</v>
      </c>
      <c r="J822" s="36">
        <f>IFERROR(I822/$AC822,0)</f>
        <v>0.32783882783882784</v>
      </c>
      <c r="K822" s="17">
        <v>71</v>
      </c>
      <c r="L822" s="36">
        <f>IFERROR(K822/$AD822,0)</f>
        <v>0.38378378378378381</v>
      </c>
      <c r="M822" s="17">
        <v>400</v>
      </c>
      <c r="N822" s="36">
        <f>IFERROR(M822/$AC822,0)</f>
        <v>0.36630036630036628</v>
      </c>
      <c r="O822" s="17">
        <v>58</v>
      </c>
      <c r="P822" s="36">
        <f>IFERROR(O822/$AD822,0)</f>
        <v>0.31351351351351353</v>
      </c>
      <c r="Q822" s="17">
        <v>197</v>
      </c>
      <c r="R822" s="36">
        <f>IFERROR(Q822/$AC822,0)</f>
        <v>0.1804029304029304</v>
      </c>
      <c r="S822" s="17">
        <v>24</v>
      </c>
      <c r="T822" s="36">
        <f>IFERROR(S822/$AD822,0)</f>
        <v>0.12972972972972974</v>
      </c>
      <c r="U822" s="17">
        <v>71</v>
      </c>
      <c r="V822" s="36">
        <f>IFERROR(U822/$AC822,0)</f>
        <v>6.5018315018315023E-2</v>
      </c>
      <c r="W822" s="17">
        <v>12</v>
      </c>
      <c r="X822" s="36">
        <f>IFERROR(W822/$AD822,0)</f>
        <v>6.4864864864864868E-2</v>
      </c>
      <c r="Y822" s="17">
        <v>30</v>
      </c>
      <c r="Z822" s="36">
        <f>IFERROR(Y822/$AC822,0)</f>
        <v>2.7472527472527472E-2</v>
      </c>
      <c r="AA822" s="17">
        <v>4</v>
      </c>
      <c r="AB822" s="36">
        <f>IFERROR(AA822/$AD822,0)</f>
        <v>2.1621621621621623E-2</v>
      </c>
      <c r="AC822" s="16">
        <v>1092</v>
      </c>
      <c r="AD822" s="17">
        <v>185</v>
      </c>
    </row>
    <row r="823" spans="1:30" ht="15.75" customHeight="1" x14ac:dyDescent="0.25">
      <c r="A823" s="37">
        <v>2019</v>
      </c>
      <c r="B823" s="35">
        <v>172065</v>
      </c>
      <c r="C823" s="34" t="s">
        <v>151</v>
      </c>
      <c r="D823" s="34" t="s">
        <v>131</v>
      </c>
      <c r="E823" s="17">
        <v>33</v>
      </c>
      <c r="F823" s="36">
        <f>IFERROR(E823/$AC823,0)</f>
        <v>2.3895727733526429E-2</v>
      </c>
      <c r="G823" s="17">
        <v>10</v>
      </c>
      <c r="H823" s="36">
        <f>IFERROR(G823/$AD823,0)</f>
        <v>2.3148148148148147E-2</v>
      </c>
      <c r="I823" s="17">
        <v>548</v>
      </c>
      <c r="J823" s="36">
        <f>IFERROR(I823/$AC823,0)</f>
        <v>0.39681390296886315</v>
      </c>
      <c r="K823" s="17">
        <v>181</v>
      </c>
      <c r="L823" s="36">
        <f>IFERROR(K823/$AD823,0)</f>
        <v>0.41898148148148145</v>
      </c>
      <c r="M823" s="17">
        <v>455</v>
      </c>
      <c r="N823" s="36">
        <f>IFERROR(M823/$AC823,0)</f>
        <v>0.32947139753801591</v>
      </c>
      <c r="O823" s="17">
        <v>126</v>
      </c>
      <c r="P823" s="36">
        <f>IFERROR(O823/$AD823,0)</f>
        <v>0.29166666666666669</v>
      </c>
      <c r="Q823" s="17">
        <v>230</v>
      </c>
      <c r="R823" s="36">
        <f>IFERROR(Q823/$AC823,0)</f>
        <v>0.16654598117306299</v>
      </c>
      <c r="S823" s="17">
        <v>78</v>
      </c>
      <c r="T823" s="36">
        <f>IFERROR(S823/$AD823,0)</f>
        <v>0.18055555555555555</v>
      </c>
      <c r="U823" s="17">
        <v>77</v>
      </c>
      <c r="V823" s="36">
        <f>IFERROR(U823/$AC823,0)</f>
        <v>5.5756698044895005E-2</v>
      </c>
      <c r="W823" s="17">
        <v>25</v>
      </c>
      <c r="X823" s="36">
        <f>IFERROR(W823/$AD823,0)</f>
        <v>5.7870370370370371E-2</v>
      </c>
      <c r="Y823" s="17">
        <v>38</v>
      </c>
      <c r="Z823" s="36">
        <f>IFERROR(Y823/$AC823,0)</f>
        <v>2.7516292541636494E-2</v>
      </c>
      <c r="AA823" s="17">
        <v>12</v>
      </c>
      <c r="AB823" s="36">
        <f>IFERROR(AA823/$AD823,0)</f>
        <v>2.7777777777777776E-2</v>
      </c>
      <c r="AC823" s="16">
        <v>1381</v>
      </c>
      <c r="AD823" s="17">
        <v>432</v>
      </c>
    </row>
    <row r="824" spans="1:30" ht="15.75" customHeight="1" x14ac:dyDescent="0.25">
      <c r="A824" s="37">
        <v>2019</v>
      </c>
      <c r="B824" s="35">
        <v>172080</v>
      </c>
      <c r="C824" s="34" t="s">
        <v>145</v>
      </c>
      <c r="D824" s="34" t="s">
        <v>132</v>
      </c>
      <c r="E824" s="17">
        <v>53</v>
      </c>
      <c r="F824" s="36">
        <f>IFERROR(E824/$AC824,0)</f>
        <v>2.055060100814269E-2</v>
      </c>
      <c r="G824" s="17">
        <v>19</v>
      </c>
      <c r="H824" s="36">
        <f>IFERROR(G824/$AD824,0)</f>
        <v>2.6760563380281689E-2</v>
      </c>
      <c r="I824" s="16">
        <v>1026</v>
      </c>
      <c r="J824" s="36">
        <f>IFERROR(I824/$AC824,0)</f>
        <v>0.39782861574253586</v>
      </c>
      <c r="K824" s="17">
        <v>322</v>
      </c>
      <c r="L824" s="36">
        <f>IFERROR(K824/$AD824,0)</f>
        <v>0.45352112676056339</v>
      </c>
      <c r="M824" s="17">
        <v>946</v>
      </c>
      <c r="N824" s="36">
        <f>IFERROR(M824/$AC824,0)</f>
        <v>0.36680884063590541</v>
      </c>
      <c r="O824" s="17">
        <v>230</v>
      </c>
      <c r="P824" s="36">
        <f>IFERROR(O824/$AD824,0)</f>
        <v>0.323943661971831</v>
      </c>
      <c r="Q824" s="17">
        <v>404</v>
      </c>
      <c r="R824" s="36">
        <f>IFERROR(Q824/$AC824,0)</f>
        <v>0.1566498642884839</v>
      </c>
      <c r="S824" s="17">
        <v>98</v>
      </c>
      <c r="T824" s="36">
        <f>IFERROR(S824/$AD824,0)</f>
        <v>0.13802816901408452</v>
      </c>
      <c r="U824" s="17">
        <v>105</v>
      </c>
      <c r="V824" s="36">
        <f>IFERROR(U824/$AC824,0)</f>
        <v>4.0713454827452498E-2</v>
      </c>
      <c r="W824" s="17">
        <v>32</v>
      </c>
      <c r="X824" s="36">
        <f>IFERROR(W824/$AD824,0)</f>
        <v>4.507042253521127E-2</v>
      </c>
      <c r="Y824" s="17">
        <v>45</v>
      </c>
      <c r="Z824" s="36">
        <f>IFERROR(Y824/$AC824,0)</f>
        <v>1.7448623497479644E-2</v>
      </c>
      <c r="AA824" s="17">
        <v>9</v>
      </c>
      <c r="AB824" s="36">
        <f>IFERROR(AA824/$AD824,0)</f>
        <v>1.2676056338028169E-2</v>
      </c>
      <c r="AC824" s="16">
        <v>2579</v>
      </c>
      <c r="AD824" s="17">
        <v>710</v>
      </c>
    </row>
    <row r="825" spans="1:30" ht="15.75" customHeight="1" x14ac:dyDescent="0.25">
      <c r="A825" s="37">
        <v>2019</v>
      </c>
      <c r="B825" s="35">
        <v>172085</v>
      </c>
      <c r="C825" s="34" t="s">
        <v>146</v>
      </c>
      <c r="D825" s="34" t="s">
        <v>133</v>
      </c>
      <c r="E825" s="17">
        <v>11</v>
      </c>
      <c r="F825" s="36">
        <f>IFERROR(E825/$AC825,0)</f>
        <v>1.7628205128205128E-2</v>
      </c>
      <c r="G825" s="17">
        <v>3</v>
      </c>
      <c r="H825" s="36">
        <f>IFERROR(G825/$AD825,0)</f>
        <v>3.5714285714285712E-2</v>
      </c>
      <c r="I825" s="17">
        <v>223</v>
      </c>
      <c r="J825" s="36">
        <f>IFERROR(I825/$AC825,0)</f>
        <v>0.35737179487179488</v>
      </c>
      <c r="K825" s="17">
        <v>30</v>
      </c>
      <c r="L825" s="36">
        <f>IFERROR(K825/$AD825,0)</f>
        <v>0.35714285714285715</v>
      </c>
      <c r="M825" s="17">
        <v>235</v>
      </c>
      <c r="N825" s="36">
        <f>IFERROR(M825/$AC825,0)</f>
        <v>0.3766025641025641</v>
      </c>
      <c r="O825" s="17">
        <v>25</v>
      </c>
      <c r="P825" s="36">
        <f>IFERROR(O825/$AD825,0)</f>
        <v>0.29761904761904762</v>
      </c>
      <c r="Q825" s="17">
        <v>92</v>
      </c>
      <c r="R825" s="36">
        <f>IFERROR(Q825/$AC825,0)</f>
        <v>0.14743589743589744</v>
      </c>
      <c r="S825" s="17">
        <v>16</v>
      </c>
      <c r="T825" s="36">
        <f>IFERROR(S825/$AD825,0)</f>
        <v>0.19047619047619047</v>
      </c>
      <c r="U825" s="17">
        <v>40</v>
      </c>
      <c r="V825" s="36">
        <f>IFERROR(U825/$AC825,0)</f>
        <v>6.4102564102564097E-2</v>
      </c>
      <c r="W825" s="17">
        <v>7</v>
      </c>
      <c r="X825" s="36">
        <f>IFERROR(W825/$AD825,0)</f>
        <v>8.3333333333333329E-2</v>
      </c>
      <c r="Y825" s="17">
        <v>23</v>
      </c>
      <c r="Z825" s="36">
        <f>IFERROR(Y825/$AC825,0)</f>
        <v>3.685897435897436E-2</v>
      </c>
      <c r="AA825" s="17">
        <v>3</v>
      </c>
      <c r="AB825" s="36">
        <f>IFERROR(AA825/$AD825,0)</f>
        <v>3.5714285714285712E-2</v>
      </c>
      <c r="AC825" s="17">
        <v>624</v>
      </c>
      <c r="AD825" s="17">
        <v>84</v>
      </c>
    </row>
    <row r="826" spans="1:30" ht="15.75" customHeight="1" x14ac:dyDescent="0.25">
      <c r="A826" s="37">
        <v>2019</v>
      </c>
      <c r="B826" s="35">
        <v>170825</v>
      </c>
      <c r="C826" s="34" t="s">
        <v>148</v>
      </c>
      <c r="D826" s="34" t="s">
        <v>134</v>
      </c>
      <c r="E826" s="17">
        <v>4</v>
      </c>
      <c r="F826" s="36">
        <f>IFERROR(E826/$AC826,0)</f>
        <v>2.4242424242424242E-2</v>
      </c>
      <c r="G826" s="17">
        <v>2</v>
      </c>
      <c r="H826" s="36">
        <f>IFERROR(G826/$AD826,0)</f>
        <v>2.3255813953488372E-2</v>
      </c>
      <c r="I826" s="17">
        <v>62</v>
      </c>
      <c r="J826" s="36">
        <f>IFERROR(I826/$AC826,0)</f>
        <v>0.37575757575757573</v>
      </c>
      <c r="K826" s="17">
        <v>38</v>
      </c>
      <c r="L826" s="36">
        <f>IFERROR(K826/$AD826,0)</f>
        <v>0.44186046511627908</v>
      </c>
      <c r="M826" s="17">
        <v>49</v>
      </c>
      <c r="N826" s="36">
        <f>IFERROR(M826/$AC826,0)</f>
        <v>0.29696969696969699</v>
      </c>
      <c r="O826" s="17">
        <v>24</v>
      </c>
      <c r="P826" s="36">
        <f>IFERROR(O826/$AD826,0)</f>
        <v>0.27906976744186046</v>
      </c>
      <c r="Q826" s="17">
        <v>26</v>
      </c>
      <c r="R826" s="36">
        <f>IFERROR(Q826/$AC826,0)</f>
        <v>0.15757575757575756</v>
      </c>
      <c r="S826" s="17">
        <v>12</v>
      </c>
      <c r="T826" s="36">
        <f>IFERROR(S826/$AD826,0)</f>
        <v>0.13953488372093023</v>
      </c>
      <c r="U826" s="17">
        <v>13</v>
      </c>
      <c r="V826" s="36">
        <f>IFERROR(U826/$AC826,0)</f>
        <v>7.8787878787878782E-2</v>
      </c>
      <c r="W826" s="17">
        <v>6</v>
      </c>
      <c r="X826" s="36">
        <f>IFERROR(W826/$AD826,0)</f>
        <v>6.9767441860465115E-2</v>
      </c>
      <c r="Y826" s="17">
        <v>11</v>
      </c>
      <c r="Z826" s="36">
        <f>IFERROR(Y826/$AC826,0)</f>
        <v>6.6666666666666666E-2</v>
      </c>
      <c r="AA826" s="17">
        <v>4</v>
      </c>
      <c r="AB826" s="36">
        <f>IFERROR(AA826/$AD826,0)</f>
        <v>4.6511627906976744E-2</v>
      </c>
      <c r="AC826" s="17">
        <v>165</v>
      </c>
      <c r="AD826" s="17">
        <v>86</v>
      </c>
    </row>
    <row r="827" spans="1:30" ht="15.75" customHeight="1" x14ac:dyDescent="0.25">
      <c r="A827" s="37">
        <v>2019</v>
      </c>
      <c r="B827" s="35">
        <v>172090</v>
      </c>
      <c r="C827" s="34" t="s">
        <v>147</v>
      </c>
      <c r="D827" s="34" t="s">
        <v>135</v>
      </c>
      <c r="E827" s="17">
        <v>31</v>
      </c>
      <c r="F827" s="36">
        <f>IFERROR(E827/$AC827,0)</f>
        <v>3.5388127853881277E-2</v>
      </c>
      <c r="G827" s="17">
        <v>29</v>
      </c>
      <c r="H827" s="36">
        <f>IFERROR(G827/$AD827,0)</f>
        <v>3.8926174496644296E-2</v>
      </c>
      <c r="I827" s="17">
        <v>343</v>
      </c>
      <c r="J827" s="36">
        <f>IFERROR(I827/$AC827,0)</f>
        <v>0.39155251141552511</v>
      </c>
      <c r="K827" s="17">
        <v>304</v>
      </c>
      <c r="L827" s="36">
        <f>IFERROR(K827/$AD827,0)</f>
        <v>0.40805369127516777</v>
      </c>
      <c r="M827" s="17">
        <v>280</v>
      </c>
      <c r="N827" s="36">
        <f>IFERROR(M827/$AC827,0)</f>
        <v>0.31963470319634701</v>
      </c>
      <c r="O827" s="17">
        <v>219</v>
      </c>
      <c r="P827" s="36">
        <f>IFERROR(O827/$AD827,0)</f>
        <v>0.29395973154362415</v>
      </c>
      <c r="Q827" s="17">
        <v>147</v>
      </c>
      <c r="R827" s="36">
        <f>IFERROR(Q827/$AC827,0)</f>
        <v>0.1678082191780822</v>
      </c>
      <c r="S827" s="17">
        <v>130</v>
      </c>
      <c r="T827" s="36">
        <f>IFERROR(S827/$AD827,0)</f>
        <v>0.17449664429530201</v>
      </c>
      <c r="U827" s="17">
        <v>53</v>
      </c>
      <c r="V827" s="36">
        <f>IFERROR(U827/$AC827,0)</f>
        <v>6.0502283105022828E-2</v>
      </c>
      <c r="W827" s="17">
        <v>45</v>
      </c>
      <c r="X827" s="36">
        <f>IFERROR(W827/$AD827,0)</f>
        <v>6.0402684563758392E-2</v>
      </c>
      <c r="Y827" s="17">
        <v>22</v>
      </c>
      <c r="Z827" s="36">
        <f>IFERROR(Y827/$AC827,0)</f>
        <v>2.5114155251141551E-2</v>
      </c>
      <c r="AA827" s="17">
        <v>18</v>
      </c>
      <c r="AB827" s="36">
        <f>IFERROR(AA827/$AD827,0)</f>
        <v>2.4161073825503355E-2</v>
      </c>
      <c r="AC827" s="17">
        <v>876</v>
      </c>
      <c r="AD827" s="17">
        <v>745</v>
      </c>
    </row>
    <row r="828" spans="1:30" ht="15.75" customHeight="1" x14ac:dyDescent="0.25">
      <c r="A828" s="37">
        <v>2019</v>
      </c>
      <c r="B828" s="35">
        <v>172093</v>
      </c>
      <c r="C828" s="34" t="s">
        <v>147</v>
      </c>
      <c r="D828" s="34" t="s">
        <v>136</v>
      </c>
      <c r="E828" s="17">
        <v>3</v>
      </c>
      <c r="F828" s="36">
        <f>IFERROR(E828/$AC828,0)</f>
        <v>1.7857142857142856E-2</v>
      </c>
      <c r="G828" s="17">
        <v>2</v>
      </c>
      <c r="H828" s="36">
        <f>IFERROR(G828/$AD828,0)</f>
        <v>1.2422360248447204E-2</v>
      </c>
      <c r="I828" s="17">
        <v>59</v>
      </c>
      <c r="J828" s="36">
        <f>IFERROR(I828/$AC828,0)</f>
        <v>0.35119047619047616</v>
      </c>
      <c r="K828" s="17">
        <v>57</v>
      </c>
      <c r="L828" s="36">
        <f>IFERROR(K828/$AD828,0)</f>
        <v>0.35403726708074534</v>
      </c>
      <c r="M828" s="17">
        <v>50</v>
      </c>
      <c r="N828" s="36">
        <f>IFERROR(M828/$AC828,0)</f>
        <v>0.29761904761904762</v>
      </c>
      <c r="O828" s="17">
        <v>48</v>
      </c>
      <c r="P828" s="36">
        <f>IFERROR(O828/$AD828,0)</f>
        <v>0.29813664596273293</v>
      </c>
      <c r="Q828" s="17">
        <v>33</v>
      </c>
      <c r="R828" s="36">
        <f>IFERROR(Q828/$AC828,0)</f>
        <v>0.19642857142857142</v>
      </c>
      <c r="S828" s="17">
        <v>31</v>
      </c>
      <c r="T828" s="36">
        <f>IFERROR(S828/$AD828,0)</f>
        <v>0.19254658385093168</v>
      </c>
      <c r="U828" s="17">
        <v>17</v>
      </c>
      <c r="V828" s="36">
        <f>IFERROR(U828/$AC828,0)</f>
        <v>0.10119047619047619</v>
      </c>
      <c r="W828" s="17">
        <v>17</v>
      </c>
      <c r="X828" s="36">
        <f>IFERROR(W828/$AD828,0)</f>
        <v>0.10559006211180125</v>
      </c>
      <c r="Y828" s="17">
        <v>6</v>
      </c>
      <c r="Z828" s="36">
        <f>IFERROR(Y828/$AC828,0)</f>
        <v>3.5714285714285712E-2</v>
      </c>
      <c r="AA828" s="17">
        <v>6</v>
      </c>
      <c r="AB828" s="36">
        <f>IFERROR(AA828/$AD828,0)</f>
        <v>3.7267080745341616E-2</v>
      </c>
      <c r="AC828" s="17">
        <v>168</v>
      </c>
      <c r="AD828" s="17">
        <v>161</v>
      </c>
    </row>
    <row r="829" spans="1:30" ht="15.75" customHeight="1" x14ac:dyDescent="0.25">
      <c r="A829" s="37">
        <v>2019</v>
      </c>
      <c r="B829" s="35">
        <v>172097</v>
      </c>
      <c r="C829" s="34" t="s">
        <v>146</v>
      </c>
      <c r="D829" s="34" t="s">
        <v>137</v>
      </c>
      <c r="E829" s="17">
        <v>13</v>
      </c>
      <c r="F829" s="36">
        <f>IFERROR(E829/$AC829,0)</f>
        <v>2.0866773675762441E-2</v>
      </c>
      <c r="G829" s="17">
        <v>5</v>
      </c>
      <c r="H829" s="36">
        <f>IFERROR(G829/$AD829,0)</f>
        <v>5.2083333333333336E-2</v>
      </c>
      <c r="I829" s="17">
        <v>183</v>
      </c>
      <c r="J829" s="36">
        <f>IFERROR(I829/$AC829,0)</f>
        <v>0.29373996789727125</v>
      </c>
      <c r="K829" s="17">
        <v>25</v>
      </c>
      <c r="L829" s="36">
        <f>IFERROR(K829/$AD829,0)</f>
        <v>0.26041666666666669</v>
      </c>
      <c r="M829" s="17">
        <v>220</v>
      </c>
      <c r="N829" s="36">
        <f>IFERROR(M829/$AC829,0)</f>
        <v>0.35313001605136435</v>
      </c>
      <c r="O829" s="17">
        <v>32</v>
      </c>
      <c r="P829" s="36">
        <f>IFERROR(O829/$AD829,0)</f>
        <v>0.33333333333333331</v>
      </c>
      <c r="Q829" s="17">
        <v>133</v>
      </c>
      <c r="R829" s="36">
        <f>IFERROR(Q829/$AC829,0)</f>
        <v>0.21348314606741572</v>
      </c>
      <c r="S829" s="17">
        <v>18</v>
      </c>
      <c r="T829" s="36">
        <f>IFERROR(S829/$AD829,0)</f>
        <v>0.1875</v>
      </c>
      <c r="U829" s="17">
        <v>51</v>
      </c>
      <c r="V829" s="36">
        <f>IFERROR(U829/$AC829,0)</f>
        <v>8.186195826645265E-2</v>
      </c>
      <c r="W829" s="17">
        <v>10</v>
      </c>
      <c r="X829" s="36">
        <f>IFERROR(W829/$AD829,0)</f>
        <v>0.10416666666666667</v>
      </c>
      <c r="Y829" s="17">
        <v>23</v>
      </c>
      <c r="Z829" s="36">
        <f>IFERROR(Y829/$AC829,0)</f>
        <v>3.691813804173355E-2</v>
      </c>
      <c r="AA829" s="17">
        <v>6</v>
      </c>
      <c r="AB829" s="36">
        <f>IFERROR(AA829/$AD829,0)</f>
        <v>6.25E-2</v>
      </c>
      <c r="AC829" s="17">
        <v>623</v>
      </c>
      <c r="AD829" s="17">
        <v>96</v>
      </c>
    </row>
    <row r="830" spans="1:30" ht="15.75" customHeight="1" x14ac:dyDescent="0.25">
      <c r="A830" s="37">
        <v>2019</v>
      </c>
      <c r="B830" s="35">
        <v>172110</v>
      </c>
      <c r="C830" s="34" t="s">
        <v>148</v>
      </c>
      <c r="D830" s="34" t="s">
        <v>138</v>
      </c>
      <c r="E830" s="17">
        <v>26</v>
      </c>
      <c r="F830" s="36">
        <f>IFERROR(E830/$AC830,0)</f>
        <v>1.9756838905775075E-2</v>
      </c>
      <c r="G830" s="17">
        <v>13</v>
      </c>
      <c r="H830" s="36">
        <f>IFERROR(G830/$AD830,0)</f>
        <v>1.5776699029126214E-2</v>
      </c>
      <c r="I830" s="17">
        <v>455</v>
      </c>
      <c r="J830" s="36">
        <f>IFERROR(I830/$AC830,0)</f>
        <v>0.34574468085106386</v>
      </c>
      <c r="K830" s="17">
        <v>304</v>
      </c>
      <c r="L830" s="36">
        <f>IFERROR(K830/$AD830,0)</f>
        <v>0.36893203883495146</v>
      </c>
      <c r="M830" s="17">
        <v>470</v>
      </c>
      <c r="N830" s="36">
        <f>IFERROR(M830/$AC830,0)</f>
        <v>0.35714285714285715</v>
      </c>
      <c r="O830" s="17">
        <v>282</v>
      </c>
      <c r="P830" s="36">
        <f>IFERROR(O830/$AD830,0)</f>
        <v>0.34223300970873788</v>
      </c>
      <c r="Q830" s="17">
        <v>241</v>
      </c>
      <c r="R830" s="36">
        <f>IFERROR(Q830/$AC830,0)</f>
        <v>0.18313069908814589</v>
      </c>
      <c r="S830" s="17">
        <v>154</v>
      </c>
      <c r="T830" s="36">
        <f>IFERROR(S830/$AD830,0)</f>
        <v>0.18689320388349515</v>
      </c>
      <c r="U830" s="17">
        <v>97</v>
      </c>
      <c r="V830" s="36">
        <f>IFERROR(U830/$AC830,0)</f>
        <v>7.3708206686930094E-2</v>
      </c>
      <c r="W830" s="17">
        <v>56</v>
      </c>
      <c r="X830" s="36">
        <f>IFERROR(W830/$AD830,0)</f>
        <v>6.7961165048543687E-2</v>
      </c>
      <c r="Y830" s="17">
        <v>27</v>
      </c>
      <c r="Z830" s="36">
        <f>IFERROR(Y830/$AC830,0)</f>
        <v>2.0516717325227963E-2</v>
      </c>
      <c r="AA830" s="17">
        <v>15</v>
      </c>
      <c r="AB830" s="36">
        <f>IFERROR(AA830/$AD830,0)</f>
        <v>1.820388349514563E-2</v>
      </c>
      <c r="AC830" s="16">
        <v>1316</v>
      </c>
      <c r="AD830" s="17">
        <v>824</v>
      </c>
    </row>
    <row r="831" spans="1:30" ht="15.75" customHeight="1" x14ac:dyDescent="0.25">
      <c r="A831" s="37">
        <v>2019</v>
      </c>
      <c r="B831" s="35">
        <v>172120</v>
      </c>
      <c r="C831" s="34" t="s">
        <v>145</v>
      </c>
      <c r="D831" s="34" t="s">
        <v>139</v>
      </c>
      <c r="E831" s="17">
        <v>120</v>
      </c>
      <c r="F831" s="36">
        <f>IFERROR(E831/$AC831,0)</f>
        <v>3.4178296781543722E-2</v>
      </c>
      <c r="G831" s="17">
        <v>54</v>
      </c>
      <c r="H831" s="36">
        <f>IFERROR(G831/$AD831,0)</f>
        <v>4.3373493975903614E-2</v>
      </c>
      <c r="I831" s="16">
        <v>1321</v>
      </c>
      <c r="J831" s="36">
        <f>IFERROR(I831/$AC831,0)</f>
        <v>0.37624608373682711</v>
      </c>
      <c r="K831" s="17">
        <v>509</v>
      </c>
      <c r="L831" s="36">
        <f>IFERROR(K831/$AD831,0)</f>
        <v>0.40883534136546185</v>
      </c>
      <c r="M831" s="16">
        <v>1284</v>
      </c>
      <c r="N831" s="36">
        <f>IFERROR(M831/$AC831,0)</f>
        <v>0.36570777556251782</v>
      </c>
      <c r="O831" s="17">
        <v>482</v>
      </c>
      <c r="P831" s="36">
        <f>IFERROR(O831/$AD831,0)</f>
        <v>0.38714859437751004</v>
      </c>
      <c r="Q831" s="17">
        <v>555</v>
      </c>
      <c r="R831" s="36">
        <f>IFERROR(Q831/$AC831,0)</f>
        <v>0.1580746226146397</v>
      </c>
      <c r="S831" s="17">
        <v>140</v>
      </c>
      <c r="T831" s="36">
        <f>IFERROR(S831/$AD831,0)</f>
        <v>0.11244979919678715</v>
      </c>
      <c r="U831" s="17">
        <v>174</v>
      </c>
      <c r="V831" s="36">
        <f>IFERROR(U831/$AC831,0)</f>
        <v>4.9558530333238392E-2</v>
      </c>
      <c r="W831" s="17">
        <v>47</v>
      </c>
      <c r="X831" s="36">
        <f>IFERROR(W831/$AD831,0)</f>
        <v>3.7751004016064259E-2</v>
      </c>
      <c r="Y831" s="17">
        <v>57</v>
      </c>
      <c r="Z831" s="36">
        <f>IFERROR(Y831/$AC831,0)</f>
        <v>1.6234690971233267E-2</v>
      </c>
      <c r="AA831" s="17">
        <v>13</v>
      </c>
      <c r="AB831" s="36">
        <f>IFERROR(AA831/$AD831,0)</f>
        <v>1.0441767068273093E-2</v>
      </c>
      <c r="AC831" s="16">
        <v>3511</v>
      </c>
      <c r="AD831" s="16">
        <v>1245</v>
      </c>
    </row>
    <row r="832" spans="1:30" ht="15.75" customHeight="1" x14ac:dyDescent="0.25">
      <c r="A832" s="37">
        <v>2019</v>
      </c>
      <c r="B832" s="35">
        <v>172125</v>
      </c>
      <c r="C832" s="34" t="s">
        <v>150</v>
      </c>
      <c r="D832" s="34" t="s">
        <v>140</v>
      </c>
      <c r="E832" s="17">
        <v>16</v>
      </c>
      <c r="F832" s="36">
        <f>IFERROR(E832/$AC832,0)</f>
        <v>3.1128404669260701E-2</v>
      </c>
      <c r="G832" s="17">
        <v>5</v>
      </c>
      <c r="H832" s="36">
        <f>IFERROR(G832/$AD832,0)</f>
        <v>7.2463768115942032E-2</v>
      </c>
      <c r="I832" s="17">
        <v>211</v>
      </c>
      <c r="J832" s="36">
        <f>IFERROR(I832/$AC832,0)</f>
        <v>0.41050583657587547</v>
      </c>
      <c r="K832" s="17">
        <v>22</v>
      </c>
      <c r="L832" s="36">
        <f>IFERROR(K832/$AD832,0)</f>
        <v>0.3188405797101449</v>
      </c>
      <c r="M832" s="17">
        <v>177</v>
      </c>
      <c r="N832" s="36">
        <f>IFERROR(M832/$AC832,0)</f>
        <v>0.3443579766536965</v>
      </c>
      <c r="O832" s="17">
        <v>29</v>
      </c>
      <c r="P832" s="36">
        <f>IFERROR(O832/$AD832,0)</f>
        <v>0.42028985507246375</v>
      </c>
      <c r="Q832" s="17">
        <v>81</v>
      </c>
      <c r="R832" s="36">
        <f>IFERROR(Q832/$AC832,0)</f>
        <v>0.15758754863813229</v>
      </c>
      <c r="S832" s="17">
        <v>9</v>
      </c>
      <c r="T832" s="36">
        <f>IFERROR(S832/$AD832,0)</f>
        <v>0.13043478260869565</v>
      </c>
      <c r="U832" s="17">
        <v>17</v>
      </c>
      <c r="V832" s="36">
        <f>IFERROR(U832/$AC832,0)</f>
        <v>3.3073929961089495E-2</v>
      </c>
      <c r="W832" s="17">
        <v>1</v>
      </c>
      <c r="X832" s="36">
        <f>IFERROR(W832/$AD832,0)</f>
        <v>1.4492753623188406E-2</v>
      </c>
      <c r="Y832" s="17">
        <v>12</v>
      </c>
      <c r="Z832" s="36">
        <f>IFERROR(Y832/$AC832,0)</f>
        <v>2.3346303501945526E-2</v>
      </c>
      <c r="AA832" s="17">
        <v>3</v>
      </c>
      <c r="AB832" s="36">
        <f>IFERROR(AA832/$AD832,0)</f>
        <v>4.3478260869565216E-2</v>
      </c>
      <c r="AC832" s="17">
        <v>514</v>
      </c>
      <c r="AD832" s="17">
        <v>69</v>
      </c>
    </row>
    <row r="833" spans="1:30" ht="15.75" customHeight="1" x14ac:dyDescent="0.25">
      <c r="A833" s="37">
        <v>2019</v>
      </c>
      <c r="B833" s="35">
        <v>172130</v>
      </c>
      <c r="C833" s="34" t="s">
        <v>150</v>
      </c>
      <c r="D833" s="34" t="s">
        <v>141</v>
      </c>
      <c r="E833" s="17">
        <v>9</v>
      </c>
      <c r="F833" s="36">
        <f>IFERROR(E833/$AC833,0)</f>
        <v>2.2332506203473945E-2</v>
      </c>
      <c r="G833" s="17">
        <v>2</v>
      </c>
      <c r="H833" s="36">
        <f>IFERROR(G833/$AD833,0)</f>
        <v>3.0303030303030304E-2</v>
      </c>
      <c r="I833" s="17">
        <v>134</v>
      </c>
      <c r="J833" s="36">
        <f>IFERROR(I833/$AC833,0)</f>
        <v>0.33250620347394538</v>
      </c>
      <c r="K833" s="17">
        <v>22</v>
      </c>
      <c r="L833" s="36">
        <f>IFERROR(K833/$AD833,0)</f>
        <v>0.33333333333333331</v>
      </c>
      <c r="M833" s="17">
        <v>131</v>
      </c>
      <c r="N833" s="36">
        <f>IFERROR(M833/$AC833,0)</f>
        <v>0.32506203473945411</v>
      </c>
      <c r="O833" s="17">
        <v>18</v>
      </c>
      <c r="P833" s="36">
        <f>IFERROR(O833/$AD833,0)</f>
        <v>0.27272727272727271</v>
      </c>
      <c r="Q833" s="17">
        <v>81</v>
      </c>
      <c r="R833" s="36">
        <f>IFERROR(Q833/$AC833,0)</f>
        <v>0.20099255583126552</v>
      </c>
      <c r="S833" s="17">
        <v>9</v>
      </c>
      <c r="T833" s="36">
        <f>IFERROR(S833/$AD833,0)</f>
        <v>0.13636363636363635</v>
      </c>
      <c r="U833" s="17">
        <v>30</v>
      </c>
      <c r="V833" s="36">
        <f>IFERROR(U833/$AC833,0)</f>
        <v>7.4441687344913146E-2</v>
      </c>
      <c r="W833" s="17">
        <v>7</v>
      </c>
      <c r="X833" s="36">
        <f>IFERROR(W833/$AD833,0)</f>
        <v>0.10606060606060606</v>
      </c>
      <c r="Y833" s="17">
        <v>18</v>
      </c>
      <c r="Z833" s="36">
        <f>IFERROR(Y833/$AC833,0)</f>
        <v>4.4665012406947889E-2</v>
      </c>
      <c r="AA833" s="17">
        <v>8</v>
      </c>
      <c r="AB833" s="36">
        <f>IFERROR(AA833/$AD833,0)</f>
        <v>0.12121212121212122</v>
      </c>
      <c r="AC833" s="17">
        <v>403</v>
      </c>
      <c r="AD833" s="17">
        <v>66</v>
      </c>
    </row>
    <row r="834" spans="1:30" ht="15.75" customHeight="1" x14ac:dyDescent="0.25">
      <c r="A834" s="37">
        <v>2019</v>
      </c>
      <c r="B834" s="35">
        <v>172208</v>
      </c>
      <c r="C834" s="34" t="s">
        <v>149</v>
      </c>
      <c r="D834" s="34" t="s">
        <v>142</v>
      </c>
      <c r="E834" s="17">
        <v>36</v>
      </c>
      <c r="F834" s="36">
        <f>IFERROR(E834/$AC834,0)</f>
        <v>2.4258760107816711E-2</v>
      </c>
      <c r="G834" s="17">
        <v>26</v>
      </c>
      <c r="H834" s="36">
        <f>IFERROR(G834/$AD834,0)</f>
        <v>2.9646522234891677E-2</v>
      </c>
      <c r="I834" s="17">
        <v>573</v>
      </c>
      <c r="J834" s="36">
        <f>IFERROR(I834/$AC834,0)</f>
        <v>0.38611859838274931</v>
      </c>
      <c r="K834" s="17">
        <v>341</v>
      </c>
      <c r="L834" s="36">
        <f>IFERROR(K834/$AD834,0)</f>
        <v>0.38882554161915622</v>
      </c>
      <c r="M834" s="17">
        <v>505</v>
      </c>
      <c r="N834" s="36">
        <f>IFERROR(M834/$AC834,0)</f>
        <v>0.34029649595687333</v>
      </c>
      <c r="O834" s="17">
        <v>287</v>
      </c>
      <c r="P834" s="36">
        <f>IFERROR(O834/$AD834,0)</f>
        <v>0.32725199543899658</v>
      </c>
      <c r="Q834" s="17">
        <v>259</v>
      </c>
      <c r="R834" s="36">
        <f>IFERROR(Q834/$AC834,0)</f>
        <v>0.17452830188679244</v>
      </c>
      <c r="S834" s="17">
        <v>151</v>
      </c>
      <c r="T834" s="36">
        <f>IFERROR(S834/$AD834,0)</f>
        <v>0.17217787913340935</v>
      </c>
      <c r="U834" s="17">
        <v>79</v>
      </c>
      <c r="V834" s="36">
        <f>IFERROR(U834/$AC834,0)</f>
        <v>5.3234501347708893E-2</v>
      </c>
      <c r="W834" s="17">
        <v>58</v>
      </c>
      <c r="X834" s="36">
        <f>IFERROR(W834/$AD834,0)</f>
        <v>6.6134549600912196E-2</v>
      </c>
      <c r="Y834" s="17">
        <v>32</v>
      </c>
      <c r="Z834" s="36">
        <f>IFERROR(Y834/$AC834,0)</f>
        <v>2.15633423180593E-2</v>
      </c>
      <c r="AA834" s="17">
        <v>14</v>
      </c>
      <c r="AB834" s="36">
        <f>IFERROR(AA834/$AD834,0)</f>
        <v>1.596351197263398E-2</v>
      </c>
      <c r="AC834" s="16">
        <v>1484</v>
      </c>
      <c r="AD834" s="17">
        <v>877</v>
      </c>
    </row>
    <row r="835" spans="1:30" ht="15.75" customHeight="1" x14ac:dyDescent="0.25">
      <c r="A835" s="37">
        <v>2019</v>
      </c>
      <c r="B835" s="35">
        <v>172210</v>
      </c>
      <c r="C835" s="34" t="s">
        <v>149</v>
      </c>
      <c r="D835" s="34" t="s">
        <v>143</v>
      </c>
      <c r="E835" s="17">
        <v>53</v>
      </c>
      <c r="F835" s="36">
        <f>IFERROR(E835/$AC835,0)</f>
        <v>2.5202092249167855E-2</v>
      </c>
      <c r="G835" s="17">
        <v>30</v>
      </c>
      <c r="H835" s="36">
        <f>IFERROR(G835/$AD835,0)</f>
        <v>3.3936651583710405E-2</v>
      </c>
      <c r="I835" s="17">
        <v>706</v>
      </c>
      <c r="J835" s="36">
        <f>IFERROR(I835/$AC835,0)</f>
        <v>0.33571088920589631</v>
      </c>
      <c r="K835" s="17">
        <v>320</v>
      </c>
      <c r="L835" s="36">
        <f>IFERROR(K835/$AD835,0)</f>
        <v>0.36199095022624433</v>
      </c>
      <c r="M835" s="17">
        <v>759</v>
      </c>
      <c r="N835" s="36">
        <f>IFERROR(M835/$AC835,0)</f>
        <v>0.36091298145506417</v>
      </c>
      <c r="O835" s="17">
        <v>319</v>
      </c>
      <c r="P835" s="36">
        <f>IFERROR(O835/$AD835,0)</f>
        <v>0.36085972850678733</v>
      </c>
      <c r="Q835" s="17">
        <v>378</v>
      </c>
      <c r="R835" s="36">
        <f>IFERROR(Q835/$AC835,0)</f>
        <v>0.1797432239657632</v>
      </c>
      <c r="S835" s="17">
        <v>144</v>
      </c>
      <c r="T835" s="36">
        <f>IFERROR(S835/$AD835,0)</f>
        <v>0.16289592760180996</v>
      </c>
      <c r="U835" s="17">
        <v>149</v>
      </c>
      <c r="V835" s="36">
        <f>IFERROR(U835/$AC835,0)</f>
        <v>7.085116500237755E-2</v>
      </c>
      <c r="W835" s="17">
        <v>47</v>
      </c>
      <c r="X835" s="36">
        <f>IFERROR(W835/$AD835,0)</f>
        <v>5.3167420814479636E-2</v>
      </c>
      <c r="Y835" s="17">
        <v>58</v>
      </c>
      <c r="Z835" s="36">
        <f>IFERROR(Y835/$AC835,0)</f>
        <v>2.757964812173086E-2</v>
      </c>
      <c r="AA835" s="17">
        <v>24</v>
      </c>
      <c r="AB835" s="36">
        <f>IFERROR(AA835/$AD835,0)</f>
        <v>2.7149321266968326E-2</v>
      </c>
      <c r="AC835" s="16">
        <v>2103</v>
      </c>
      <c r="AD835" s="17">
        <v>884</v>
      </c>
    </row>
    <row r="836" spans="1:30" ht="15.75" customHeight="1" x14ac:dyDescent="0.25">
      <c r="A836" s="37">
        <v>2018</v>
      </c>
      <c r="B836" s="35">
        <v>170025</v>
      </c>
      <c r="C836" s="34" t="s">
        <v>144</v>
      </c>
      <c r="D836" s="34" t="s">
        <v>5</v>
      </c>
      <c r="E836" s="35"/>
      <c r="F836" s="36">
        <f>IFERROR(E836/$AC836,0)</f>
        <v>0</v>
      </c>
      <c r="G836" s="38"/>
      <c r="H836" s="36">
        <f>IFERROR(G836/$AD836,0)</f>
        <v>0</v>
      </c>
      <c r="I836" s="35"/>
      <c r="J836" s="36">
        <f>IFERROR(I836/$AC836,0)</f>
        <v>0</v>
      </c>
      <c r="K836" s="38"/>
      <c r="L836" s="36">
        <f>IFERROR(K836/$AD836,0)</f>
        <v>0</v>
      </c>
      <c r="M836" s="35"/>
      <c r="N836" s="36">
        <f>IFERROR(M836/$AC836,0)</f>
        <v>0</v>
      </c>
      <c r="O836" s="38"/>
      <c r="P836" s="36">
        <f>IFERROR(O836/$AD836,0)</f>
        <v>0</v>
      </c>
      <c r="Q836" s="35"/>
      <c r="R836" s="36">
        <f>IFERROR(Q836/$AC836,0)</f>
        <v>0</v>
      </c>
      <c r="S836" s="38"/>
      <c r="T836" s="36">
        <f>IFERROR(S836/$AD836,0)</f>
        <v>0</v>
      </c>
      <c r="U836" s="35"/>
      <c r="V836" s="36">
        <f>IFERROR(U836/$AC836,0)</f>
        <v>0</v>
      </c>
      <c r="W836" s="38"/>
      <c r="X836" s="36">
        <f>IFERROR(W836/$AD836,0)</f>
        <v>0</v>
      </c>
      <c r="Y836" s="35"/>
      <c r="Z836" s="36">
        <f>IFERROR(Y836/$AC836,0)</f>
        <v>0</v>
      </c>
      <c r="AA836" s="38"/>
      <c r="AB836" s="36">
        <f>IFERROR(AA836/$AD836,0)</f>
        <v>0</v>
      </c>
      <c r="AC836" s="35"/>
      <c r="AD836" s="38"/>
    </row>
    <row r="837" spans="1:30" ht="15.75" customHeight="1" x14ac:dyDescent="0.25">
      <c r="A837" s="37">
        <v>2018</v>
      </c>
      <c r="B837" s="35">
        <v>170030</v>
      </c>
      <c r="C837" s="34" t="s">
        <v>145</v>
      </c>
      <c r="D837" s="34" t="s">
        <v>6</v>
      </c>
      <c r="E837" s="35"/>
      <c r="F837" s="36">
        <f>IFERROR(E837/$AC837,0)</f>
        <v>0</v>
      </c>
      <c r="G837" s="38"/>
      <c r="H837" s="36">
        <f>IFERROR(G837/$AD837,0)</f>
        <v>0</v>
      </c>
      <c r="I837" s="35"/>
      <c r="J837" s="36">
        <f>IFERROR(I837/$AC837,0)</f>
        <v>0</v>
      </c>
      <c r="K837" s="38"/>
      <c r="L837" s="36">
        <f>IFERROR(K837/$AD837,0)</f>
        <v>0</v>
      </c>
      <c r="M837" s="35"/>
      <c r="N837" s="36">
        <f>IFERROR(M837/$AC837,0)</f>
        <v>0</v>
      </c>
      <c r="O837" s="38"/>
      <c r="P837" s="36">
        <f>IFERROR(O837/$AD837,0)</f>
        <v>0</v>
      </c>
      <c r="Q837" s="35"/>
      <c r="R837" s="36">
        <f>IFERROR(Q837/$AC837,0)</f>
        <v>0</v>
      </c>
      <c r="S837" s="38"/>
      <c r="T837" s="36">
        <f>IFERROR(S837/$AD837,0)</f>
        <v>0</v>
      </c>
      <c r="U837" s="35"/>
      <c r="V837" s="36">
        <f>IFERROR(U837/$AC837,0)</f>
        <v>0</v>
      </c>
      <c r="W837" s="38"/>
      <c r="X837" s="36">
        <f>IFERROR(W837/$AD837,0)</f>
        <v>0</v>
      </c>
      <c r="Y837" s="35"/>
      <c r="Z837" s="36">
        <f>IFERROR(Y837/$AC837,0)</f>
        <v>0</v>
      </c>
      <c r="AA837" s="38"/>
      <c r="AB837" s="36">
        <f>IFERROR(AA837/$AD837,0)</f>
        <v>0</v>
      </c>
      <c r="AC837" s="35"/>
      <c r="AD837" s="38"/>
    </row>
    <row r="838" spans="1:30" ht="15.75" customHeight="1" x14ac:dyDescent="0.25">
      <c r="A838" s="37">
        <v>2018</v>
      </c>
      <c r="B838" s="35">
        <v>170035</v>
      </c>
      <c r="C838" s="34" t="s">
        <v>146</v>
      </c>
      <c r="D838" s="34" t="s">
        <v>7</v>
      </c>
      <c r="E838" s="35"/>
      <c r="F838" s="36">
        <f>IFERROR(E838/$AC838,0)</f>
        <v>0</v>
      </c>
      <c r="G838" s="38"/>
      <c r="H838" s="36">
        <f>IFERROR(G838/$AD838,0)</f>
        <v>0</v>
      </c>
      <c r="I838" s="35"/>
      <c r="J838" s="36">
        <f>IFERROR(I838/$AC838,0)</f>
        <v>0</v>
      </c>
      <c r="K838" s="38"/>
      <c r="L838" s="36">
        <f>IFERROR(K838/$AD838,0)</f>
        <v>0</v>
      </c>
      <c r="M838" s="35"/>
      <c r="N838" s="36">
        <f>IFERROR(M838/$AC838,0)</f>
        <v>0</v>
      </c>
      <c r="O838" s="38"/>
      <c r="P838" s="36">
        <f>IFERROR(O838/$AD838,0)</f>
        <v>0</v>
      </c>
      <c r="Q838" s="35"/>
      <c r="R838" s="36">
        <f>IFERROR(Q838/$AC838,0)</f>
        <v>0</v>
      </c>
      <c r="S838" s="38"/>
      <c r="T838" s="36">
        <f>IFERROR(S838/$AD838,0)</f>
        <v>0</v>
      </c>
      <c r="U838" s="35"/>
      <c r="V838" s="36">
        <f>IFERROR(U838/$AC838,0)</f>
        <v>0</v>
      </c>
      <c r="W838" s="38"/>
      <c r="X838" s="36">
        <f>IFERROR(W838/$AD838,0)</f>
        <v>0</v>
      </c>
      <c r="Y838" s="35"/>
      <c r="Z838" s="36">
        <f>IFERROR(Y838/$AC838,0)</f>
        <v>0</v>
      </c>
      <c r="AA838" s="38"/>
      <c r="AB838" s="36">
        <f>IFERROR(AA838/$AD838,0)</f>
        <v>0</v>
      </c>
      <c r="AC838" s="35"/>
      <c r="AD838" s="38"/>
    </row>
    <row r="839" spans="1:30" ht="15.75" customHeight="1" x14ac:dyDescent="0.25">
      <c r="A839" s="37">
        <v>2018</v>
      </c>
      <c r="B839" s="35">
        <v>170040</v>
      </c>
      <c r="C839" s="34" t="s">
        <v>147</v>
      </c>
      <c r="D839" s="34" t="s">
        <v>8</v>
      </c>
      <c r="E839" s="35"/>
      <c r="F839" s="36">
        <f>IFERROR(E839/$AC839,0)</f>
        <v>0</v>
      </c>
      <c r="G839" s="38"/>
      <c r="H839" s="36">
        <f>IFERROR(G839/$AD839,0)</f>
        <v>0</v>
      </c>
      <c r="I839" s="35"/>
      <c r="J839" s="36">
        <f>IFERROR(I839/$AC839,0)</f>
        <v>0</v>
      </c>
      <c r="K839" s="38"/>
      <c r="L839" s="36">
        <f>IFERROR(K839/$AD839,0)</f>
        <v>0</v>
      </c>
      <c r="M839" s="35"/>
      <c r="N839" s="36">
        <f>IFERROR(M839/$AC839,0)</f>
        <v>0</v>
      </c>
      <c r="O839" s="38"/>
      <c r="P839" s="36">
        <f>IFERROR(O839/$AD839,0)</f>
        <v>0</v>
      </c>
      <c r="Q839" s="35"/>
      <c r="R839" s="36">
        <f>IFERROR(Q839/$AC839,0)</f>
        <v>0</v>
      </c>
      <c r="S839" s="38"/>
      <c r="T839" s="36">
        <f>IFERROR(S839/$AD839,0)</f>
        <v>0</v>
      </c>
      <c r="U839" s="35"/>
      <c r="V839" s="36">
        <f>IFERROR(U839/$AC839,0)</f>
        <v>0</v>
      </c>
      <c r="W839" s="38"/>
      <c r="X839" s="36">
        <f>IFERROR(W839/$AD839,0)</f>
        <v>0</v>
      </c>
      <c r="Y839" s="35"/>
      <c r="Z839" s="36">
        <f>IFERROR(Y839/$AC839,0)</f>
        <v>0</v>
      </c>
      <c r="AA839" s="38"/>
      <c r="AB839" s="36">
        <f>IFERROR(AA839/$AD839,0)</f>
        <v>0</v>
      </c>
      <c r="AC839" s="35"/>
      <c r="AD839" s="38"/>
    </row>
    <row r="840" spans="1:30" ht="15.75" customHeight="1" x14ac:dyDescent="0.25">
      <c r="A840" s="37">
        <v>2018</v>
      </c>
      <c r="B840" s="35">
        <v>170070</v>
      </c>
      <c r="C840" s="34" t="s">
        <v>146</v>
      </c>
      <c r="D840" s="34" t="s">
        <v>9</v>
      </c>
      <c r="E840" s="35"/>
      <c r="F840" s="36">
        <f>IFERROR(E840/$AC840,0)</f>
        <v>0</v>
      </c>
      <c r="G840" s="38"/>
      <c r="H840" s="36">
        <f>IFERROR(G840/$AD840,0)</f>
        <v>0</v>
      </c>
      <c r="I840" s="35"/>
      <c r="J840" s="36">
        <f>IFERROR(I840/$AC840,0)</f>
        <v>0</v>
      </c>
      <c r="K840" s="38"/>
      <c r="L840" s="36">
        <f>IFERROR(K840/$AD840,0)</f>
        <v>0</v>
      </c>
      <c r="M840" s="35"/>
      <c r="N840" s="36">
        <f>IFERROR(M840/$AC840,0)</f>
        <v>0</v>
      </c>
      <c r="O840" s="38"/>
      <c r="P840" s="36">
        <f>IFERROR(O840/$AD840,0)</f>
        <v>0</v>
      </c>
      <c r="Q840" s="35"/>
      <c r="R840" s="36">
        <f>IFERROR(Q840/$AC840,0)</f>
        <v>0</v>
      </c>
      <c r="S840" s="38"/>
      <c r="T840" s="36">
        <f>IFERROR(S840/$AD840,0)</f>
        <v>0</v>
      </c>
      <c r="U840" s="35"/>
      <c r="V840" s="36">
        <f>IFERROR(U840/$AC840,0)</f>
        <v>0</v>
      </c>
      <c r="W840" s="38"/>
      <c r="X840" s="36">
        <f>IFERROR(W840/$AD840,0)</f>
        <v>0</v>
      </c>
      <c r="Y840" s="35"/>
      <c r="Z840" s="36">
        <f>IFERROR(Y840/$AC840,0)</f>
        <v>0</v>
      </c>
      <c r="AA840" s="38"/>
      <c r="AB840" s="36">
        <f>IFERROR(AA840/$AD840,0)</f>
        <v>0</v>
      </c>
      <c r="AC840" s="35"/>
      <c r="AD840" s="38"/>
    </row>
    <row r="841" spans="1:30" ht="15.75" customHeight="1" x14ac:dyDescent="0.25">
      <c r="A841" s="37">
        <v>2018</v>
      </c>
      <c r="B841" s="35">
        <v>170100</v>
      </c>
      <c r="C841" s="34" t="s">
        <v>145</v>
      </c>
      <c r="D841" s="34" t="s">
        <v>10</v>
      </c>
      <c r="E841" s="35"/>
      <c r="F841" s="36">
        <f>IFERROR(E841/$AC841,0)</f>
        <v>0</v>
      </c>
      <c r="G841" s="38"/>
      <c r="H841" s="36">
        <f>IFERROR(G841/$AD841,0)</f>
        <v>0</v>
      </c>
      <c r="I841" s="35"/>
      <c r="J841" s="36">
        <f>IFERROR(I841/$AC841,0)</f>
        <v>0</v>
      </c>
      <c r="K841" s="38"/>
      <c r="L841" s="36">
        <f>IFERROR(K841/$AD841,0)</f>
        <v>0</v>
      </c>
      <c r="M841" s="35"/>
      <c r="N841" s="36">
        <f>IFERROR(M841/$AC841,0)</f>
        <v>0</v>
      </c>
      <c r="O841" s="38"/>
      <c r="P841" s="36">
        <f>IFERROR(O841/$AD841,0)</f>
        <v>0</v>
      </c>
      <c r="Q841" s="35"/>
      <c r="R841" s="36">
        <f>IFERROR(Q841/$AC841,0)</f>
        <v>0</v>
      </c>
      <c r="S841" s="38"/>
      <c r="T841" s="36">
        <f>IFERROR(S841/$AD841,0)</f>
        <v>0</v>
      </c>
      <c r="U841" s="35"/>
      <c r="V841" s="36">
        <f>IFERROR(U841/$AC841,0)</f>
        <v>0</v>
      </c>
      <c r="W841" s="38"/>
      <c r="X841" s="36">
        <f>IFERROR(W841/$AD841,0)</f>
        <v>0</v>
      </c>
      <c r="Y841" s="35"/>
      <c r="Z841" s="36">
        <f>IFERROR(Y841/$AC841,0)</f>
        <v>0</v>
      </c>
      <c r="AA841" s="38"/>
      <c r="AB841" s="36">
        <f>IFERROR(AA841/$AD841,0)</f>
        <v>0</v>
      </c>
      <c r="AC841" s="35"/>
      <c r="AD841" s="38"/>
    </row>
    <row r="842" spans="1:30" ht="15.75" customHeight="1" x14ac:dyDescent="0.25">
      <c r="A842" s="37">
        <v>2018</v>
      </c>
      <c r="B842" s="35">
        <v>170105</v>
      </c>
      <c r="C842" s="34" t="s">
        <v>145</v>
      </c>
      <c r="D842" s="34" t="s">
        <v>11</v>
      </c>
      <c r="E842" s="35"/>
      <c r="F842" s="36">
        <f>IFERROR(E842/$AC842,0)</f>
        <v>0</v>
      </c>
      <c r="G842" s="38"/>
      <c r="H842" s="36">
        <f>IFERROR(G842/$AD842,0)</f>
        <v>0</v>
      </c>
      <c r="I842" s="35"/>
      <c r="J842" s="36">
        <f>IFERROR(I842/$AC842,0)</f>
        <v>0</v>
      </c>
      <c r="K842" s="38"/>
      <c r="L842" s="36">
        <f>IFERROR(K842/$AD842,0)</f>
        <v>0</v>
      </c>
      <c r="M842" s="35"/>
      <c r="N842" s="36">
        <f>IFERROR(M842/$AC842,0)</f>
        <v>0</v>
      </c>
      <c r="O842" s="38"/>
      <c r="P842" s="36">
        <f>IFERROR(O842/$AD842,0)</f>
        <v>0</v>
      </c>
      <c r="Q842" s="35"/>
      <c r="R842" s="36">
        <f>IFERROR(Q842/$AC842,0)</f>
        <v>0</v>
      </c>
      <c r="S842" s="38"/>
      <c r="T842" s="36">
        <f>IFERROR(S842/$AD842,0)</f>
        <v>0</v>
      </c>
      <c r="U842" s="35"/>
      <c r="V842" s="36">
        <f>IFERROR(U842/$AC842,0)</f>
        <v>0</v>
      </c>
      <c r="W842" s="38"/>
      <c r="X842" s="36">
        <f>IFERROR(W842/$AD842,0)</f>
        <v>0</v>
      </c>
      <c r="Y842" s="35"/>
      <c r="Z842" s="36">
        <f>IFERROR(Y842/$AC842,0)</f>
        <v>0</v>
      </c>
      <c r="AA842" s="38"/>
      <c r="AB842" s="36">
        <f>IFERROR(AA842/$AD842,0)</f>
        <v>0</v>
      </c>
      <c r="AC842" s="35"/>
      <c r="AD842" s="38"/>
    </row>
    <row r="843" spans="1:30" ht="15.75" customHeight="1" x14ac:dyDescent="0.25">
      <c r="A843" s="37">
        <v>2018</v>
      </c>
      <c r="B843" s="35">
        <v>170110</v>
      </c>
      <c r="C843" s="34" t="s">
        <v>148</v>
      </c>
      <c r="D843" s="34" t="s">
        <v>12</v>
      </c>
      <c r="E843" s="35"/>
      <c r="F843" s="36">
        <f>IFERROR(E843/$AC843,0)</f>
        <v>0</v>
      </c>
      <c r="G843" s="38"/>
      <c r="H843" s="36">
        <f>IFERROR(G843/$AD843,0)</f>
        <v>0</v>
      </c>
      <c r="I843" s="35"/>
      <c r="J843" s="36">
        <f>IFERROR(I843/$AC843,0)</f>
        <v>0</v>
      </c>
      <c r="K843" s="38"/>
      <c r="L843" s="36">
        <f>IFERROR(K843/$AD843,0)</f>
        <v>0</v>
      </c>
      <c r="M843" s="35"/>
      <c r="N843" s="36">
        <f>IFERROR(M843/$AC843,0)</f>
        <v>0</v>
      </c>
      <c r="O843" s="38"/>
      <c r="P843" s="36">
        <f>IFERROR(O843/$AD843,0)</f>
        <v>0</v>
      </c>
      <c r="Q843" s="35"/>
      <c r="R843" s="36">
        <f>IFERROR(Q843/$AC843,0)</f>
        <v>0</v>
      </c>
      <c r="S843" s="38"/>
      <c r="T843" s="36">
        <f>IFERROR(S843/$AD843,0)</f>
        <v>0</v>
      </c>
      <c r="U843" s="35"/>
      <c r="V843" s="36">
        <f>IFERROR(U843/$AC843,0)</f>
        <v>0</v>
      </c>
      <c r="W843" s="38"/>
      <c r="X843" s="36">
        <f>IFERROR(W843/$AD843,0)</f>
        <v>0</v>
      </c>
      <c r="Y843" s="35"/>
      <c r="Z843" s="36">
        <f>IFERROR(Y843/$AC843,0)</f>
        <v>0</v>
      </c>
      <c r="AA843" s="38"/>
      <c r="AB843" s="36">
        <f>IFERROR(AA843/$AD843,0)</f>
        <v>0</v>
      </c>
      <c r="AC843" s="35"/>
      <c r="AD843" s="38"/>
    </row>
    <row r="844" spans="1:30" ht="15.75" customHeight="1" x14ac:dyDescent="0.25">
      <c r="A844" s="37">
        <v>2018</v>
      </c>
      <c r="B844" s="35">
        <v>170130</v>
      </c>
      <c r="C844" s="34" t="s">
        <v>149</v>
      </c>
      <c r="D844" s="34" t="s">
        <v>13</v>
      </c>
      <c r="E844" s="35"/>
      <c r="F844" s="36">
        <f>IFERROR(E844/$AC844,0)</f>
        <v>0</v>
      </c>
      <c r="G844" s="38"/>
      <c r="H844" s="36">
        <f>IFERROR(G844/$AD844,0)</f>
        <v>0</v>
      </c>
      <c r="I844" s="35"/>
      <c r="J844" s="36">
        <f>IFERROR(I844/$AC844,0)</f>
        <v>0</v>
      </c>
      <c r="K844" s="38"/>
      <c r="L844" s="36">
        <f>IFERROR(K844/$AD844,0)</f>
        <v>0</v>
      </c>
      <c r="M844" s="35"/>
      <c r="N844" s="36">
        <f>IFERROR(M844/$AC844,0)</f>
        <v>0</v>
      </c>
      <c r="O844" s="38"/>
      <c r="P844" s="36">
        <f>IFERROR(O844/$AD844,0)</f>
        <v>0</v>
      </c>
      <c r="Q844" s="35"/>
      <c r="R844" s="36">
        <f>IFERROR(Q844/$AC844,0)</f>
        <v>0</v>
      </c>
      <c r="S844" s="38"/>
      <c r="T844" s="36">
        <f>IFERROR(S844/$AD844,0)</f>
        <v>0</v>
      </c>
      <c r="U844" s="35"/>
      <c r="V844" s="36">
        <f>IFERROR(U844/$AC844,0)</f>
        <v>0</v>
      </c>
      <c r="W844" s="38"/>
      <c r="X844" s="36">
        <f>IFERROR(W844/$AD844,0)</f>
        <v>0</v>
      </c>
      <c r="Y844" s="35"/>
      <c r="Z844" s="36">
        <f>IFERROR(Y844/$AC844,0)</f>
        <v>0</v>
      </c>
      <c r="AA844" s="38"/>
      <c r="AB844" s="36">
        <f>IFERROR(AA844/$AD844,0)</f>
        <v>0</v>
      </c>
      <c r="AC844" s="35"/>
      <c r="AD844" s="38"/>
    </row>
    <row r="845" spans="1:30" ht="15.75" customHeight="1" x14ac:dyDescent="0.25">
      <c r="A845" s="37">
        <v>2018</v>
      </c>
      <c r="B845" s="35">
        <v>170190</v>
      </c>
      <c r="C845" s="34" t="s">
        <v>144</v>
      </c>
      <c r="D845" s="34" t="s">
        <v>14</v>
      </c>
      <c r="E845" s="35"/>
      <c r="F845" s="36">
        <f>IFERROR(E845/$AC845,0)</f>
        <v>0</v>
      </c>
      <c r="G845" s="38"/>
      <c r="H845" s="36">
        <f>IFERROR(G845/$AD845,0)</f>
        <v>0</v>
      </c>
      <c r="I845" s="35"/>
      <c r="J845" s="36">
        <f>IFERROR(I845/$AC845,0)</f>
        <v>0</v>
      </c>
      <c r="K845" s="38"/>
      <c r="L845" s="36">
        <f>IFERROR(K845/$AD845,0)</f>
        <v>0</v>
      </c>
      <c r="M845" s="35"/>
      <c r="N845" s="36">
        <f>IFERROR(M845/$AC845,0)</f>
        <v>0</v>
      </c>
      <c r="O845" s="38"/>
      <c r="P845" s="36">
        <f>IFERROR(O845/$AD845,0)</f>
        <v>0</v>
      </c>
      <c r="Q845" s="35"/>
      <c r="R845" s="36">
        <f>IFERROR(Q845/$AC845,0)</f>
        <v>0</v>
      </c>
      <c r="S845" s="38"/>
      <c r="T845" s="36">
        <f>IFERROR(S845/$AD845,0)</f>
        <v>0</v>
      </c>
      <c r="U845" s="35"/>
      <c r="V845" s="36">
        <f>IFERROR(U845/$AC845,0)</f>
        <v>0</v>
      </c>
      <c r="W845" s="38"/>
      <c r="X845" s="36">
        <f>IFERROR(W845/$AD845,0)</f>
        <v>0</v>
      </c>
      <c r="Y845" s="35"/>
      <c r="Z845" s="36">
        <f>IFERROR(Y845/$AC845,0)</f>
        <v>0</v>
      </c>
      <c r="AA845" s="38"/>
      <c r="AB845" s="36">
        <f>IFERROR(AA845/$AD845,0)</f>
        <v>0</v>
      </c>
      <c r="AC845" s="35"/>
      <c r="AD845" s="38"/>
    </row>
    <row r="846" spans="1:30" ht="15.75" customHeight="1" x14ac:dyDescent="0.25">
      <c r="A846" s="37">
        <v>2018</v>
      </c>
      <c r="B846" s="35">
        <v>170200</v>
      </c>
      <c r="C846" s="34" t="s">
        <v>146</v>
      </c>
      <c r="D846" s="34" t="s">
        <v>15</v>
      </c>
      <c r="E846" s="35"/>
      <c r="F846" s="36">
        <f>IFERROR(E846/$AC846,0)</f>
        <v>0</v>
      </c>
      <c r="G846" s="38"/>
      <c r="H846" s="36">
        <f>IFERROR(G846/$AD846,0)</f>
        <v>0</v>
      </c>
      <c r="I846" s="35"/>
      <c r="J846" s="36">
        <f>IFERROR(I846/$AC846,0)</f>
        <v>0</v>
      </c>
      <c r="K846" s="38"/>
      <c r="L846" s="36">
        <f>IFERROR(K846/$AD846,0)</f>
        <v>0</v>
      </c>
      <c r="M846" s="35"/>
      <c r="N846" s="36">
        <f>IFERROR(M846/$AC846,0)</f>
        <v>0</v>
      </c>
      <c r="O846" s="38"/>
      <c r="P846" s="36">
        <f>IFERROR(O846/$AD846,0)</f>
        <v>0</v>
      </c>
      <c r="Q846" s="35"/>
      <c r="R846" s="36">
        <f>IFERROR(Q846/$AC846,0)</f>
        <v>0</v>
      </c>
      <c r="S846" s="38"/>
      <c r="T846" s="36">
        <f>IFERROR(S846/$AD846,0)</f>
        <v>0</v>
      </c>
      <c r="U846" s="35"/>
      <c r="V846" s="36">
        <f>IFERROR(U846/$AC846,0)</f>
        <v>0</v>
      </c>
      <c r="W846" s="38"/>
      <c r="X846" s="36">
        <f>IFERROR(W846/$AD846,0)</f>
        <v>0</v>
      </c>
      <c r="Y846" s="35"/>
      <c r="Z846" s="36">
        <f>IFERROR(Y846/$AC846,0)</f>
        <v>0</v>
      </c>
      <c r="AA846" s="38"/>
      <c r="AB846" s="36">
        <f>IFERROR(AA846/$AD846,0)</f>
        <v>0</v>
      </c>
      <c r="AC846" s="35"/>
      <c r="AD846" s="38"/>
    </row>
    <row r="847" spans="1:30" ht="15.75" customHeight="1" x14ac:dyDescent="0.25">
      <c r="A847" s="37">
        <v>2018</v>
      </c>
      <c r="B847" s="35">
        <v>170210</v>
      </c>
      <c r="C847" s="34" t="s">
        <v>149</v>
      </c>
      <c r="D847" s="34" t="s">
        <v>16</v>
      </c>
      <c r="E847" s="35"/>
      <c r="F847" s="36">
        <f>IFERROR(E847/$AC847,0)</f>
        <v>0</v>
      </c>
      <c r="G847" s="38"/>
      <c r="H847" s="36">
        <f>IFERROR(G847/$AD847,0)</f>
        <v>0</v>
      </c>
      <c r="I847" s="35"/>
      <c r="J847" s="36">
        <f>IFERROR(I847/$AC847,0)</f>
        <v>0</v>
      </c>
      <c r="K847" s="38"/>
      <c r="L847" s="36">
        <f>IFERROR(K847/$AD847,0)</f>
        <v>0</v>
      </c>
      <c r="M847" s="35"/>
      <c r="N847" s="36">
        <f>IFERROR(M847/$AC847,0)</f>
        <v>0</v>
      </c>
      <c r="O847" s="39"/>
      <c r="P847" s="36">
        <f>IFERROR(O847/$AD847,0)</f>
        <v>0</v>
      </c>
      <c r="Q847" s="35"/>
      <c r="R847" s="36">
        <f>IFERROR(Q847/$AC847,0)</f>
        <v>0</v>
      </c>
      <c r="S847" s="38"/>
      <c r="T847" s="36">
        <f>IFERROR(S847/$AD847,0)</f>
        <v>0</v>
      </c>
      <c r="U847" s="35"/>
      <c r="V847" s="36">
        <f>IFERROR(U847/$AC847,0)</f>
        <v>0</v>
      </c>
      <c r="W847" s="38"/>
      <c r="X847" s="36">
        <f>IFERROR(W847/$AD847,0)</f>
        <v>0</v>
      </c>
      <c r="Y847" s="35"/>
      <c r="Z847" s="36">
        <f>IFERROR(Y847/$AC847,0)</f>
        <v>0</v>
      </c>
      <c r="AA847" s="39"/>
      <c r="AB847" s="36">
        <f>IFERROR(AA847/$AD847,0)</f>
        <v>0</v>
      </c>
      <c r="AC847" s="35"/>
      <c r="AD847" s="39"/>
    </row>
    <row r="848" spans="1:30" ht="15.75" customHeight="1" x14ac:dyDescent="0.25">
      <c r="A848" s="37">
        <v>2018</v>
      </c>
      <c r="B848" s="35">
        <v>170215</v>
      </c>
      <c r="C848" s="34" t="s">
        <v>149</v>
      </c>
      <c r="D848" s="34" t="s">
        <v>17</v>
      </c>
      <c r="E848" s="35"/>
      <c r="F848" s="36">
        <f>IFERROR(E848/$AC848,0)</f>
        <v>0</v>
      </c>
      <c r="G848" s="38"/>
      <c r="H848" s="36">
        <f>IFERROR(G848/$AD848,0)</f>
        <v>0</v>
      </c>
      <c r="I848" s="35"/>
      <c r="J848" s="36">
        <f>IFERROR(I848/$AC848,0)</f>
        <v>0</v>
      </c>
      <c r="K848" s="38"/>
      <c r="L848" s="36">
        <f>IFERROR(K848/$AD848,0)</f>
        <v>0</v>
      </c>
      <c r="M848" s="35"/>
      <c r="N848" s="36">
        <f>IFERROR(M848/$AC848,0)</f>
        <v>0</v>
      </c>
      <c r="O848" s="38"/>
      <c r="P848" s="36">
        <f>IFERROR(O848/$AD848,0)</f>
        <v>0</v>
      </c>
      <c r="Q848" s="35"/>
      <c r="R848" s="36">
        <f>IFERROR(Q848/$AC848,0)</f>
        <v>0</v>
      </c>
      <c r="S848" s="38"/>
      <c r="T848" s="36">
        <f>IFERROR(S848/$AD848,0)</f>
        <v>0</v>
      </c>
      <c r="U848" s="35"/>
      <c r="V848" s="36">
        <f>IFERROR(U848/$AC848,0)</f>
        <v>0</v>
      </c>
      <c r="W848" s="38"/>
      <c r="X848" s="36">
        <f>IFERROR(W848/$AD848,0)</f>
        <v>0</v>
      </c>
      <c r="Y848" s="35"/>
      <c r="Z848" s="36">
        <f>IFERROR(Y848/$AC848,0)</f>
        <v>0</v>
      </c>
      <c r="AA848" s="38"/>
      <c r="AB848" s="36">
        <f>IFERROR(AA848/$AD848,0)</f>
        <v>0</v>
      </c>
      <c r="AC848" s="35"/>
      <c r="AD848" s="38"/>
    </row>
    <row r="849" spans="1:30" ht="15.75" customHeight="1" x14ac:dyDescent="0.25">
      <c r="A849" s="37">
        <v>2018</v>
      </c>
      <c r="B849" s="35">
        <v>170220</v>
      </c>
      <c r="C849" s="34" t="s">
        <v>145</v>
      </c>
      <c r="D849" s="34" t="s">
        <v>18</v>
      </c>
      <c r="E849" s="35"/>
      <c r="F849" s="36">
        <f>IFERROR(E849/$AC849,0)</f>
        <v>0</v>
      </c>
      <c r="G849" s="38"/>
      <c r="H849" s="36">
        <f>IFERROR(G849/$AD849,0)</f>
        <v>0</v>
      </c>
      <c r="I849" s="35"/>
      <c r="J849" s="36">
        <f>IFERROR(I849/$AC849,0)</f>
        <v>0</v>
      </c>
      <c r="K849" s="38"/>
      <c r="L849" s="36">
        <f>IFERROR(K849/$AD849,0)</f>
        <v>0</v>
      </c>
      <c r="M849" s="35"/>
      <c r="N849" s="36">
        <f>IFERROR(M849/$AC849,0)</f>
        <v>0</v>
      </c>
      <c r="O849" s="39"/>
      <c r="P849" s="36">
        <f>IFERROR(O849/$AD849,0)</f>
        <v>0</v>
      </c>
      <c r="Q849" s="35"/>
      <c r="R849" s="36">
        <f>IFERROR(Q849/$AC849,0)</f>
        <v>0</v>
      </c>
      <c r="S849" s="38"/>
      <c r="T849" s="36">
        <f>IFERROR(S849/$AD849,0)</f>
        <v>0</v>
      </c>
      <c r="U849" s="35"/>
      <c r="V849" s="36">
        <f>IFERROR(U849/$AC849,0)</f>
        <v>0</v>
      </c>
      <c r="W849" s="38"/>
      <c r="X849" s="36">
        <f>IFERROR(W849/$AD849,0)</f>
        <v>0</v>
      </c>
      <c r="Y849" s="35"/>
      <c r="Z849" s="36">
        <f>IFERROR(Y849/$AC849,0)</f>
        <v>0</v>
      </c>
      <c r="AA849" s="38"/>
      <c r="AB849" s="36">
        <f>IFERROR(AA849/$AD849,0)</f>
        <v>0</v>
      </c>
      <c r="AC849" s="35"/>
      <c r="AD849" s="39"/>
    </row>
    <row r="850" spans="1:30" ht="15.75" customHeight="1" x14ac:dyDescent="0.25">
      <c r="A850" s="37">
        <v>2018</v>
      </c>
      <c r="B850" s="35">
        <v>170230</v>
      </c>
      <c r="C850" s="34" t="s">
        <v>150</v>
      </c>
      <c r="D850" s="34" t="s">
        <v>19</v>
      </c>
      <c r="E850" s="35"/>
      <c r="F850" s="36">
        <f>IFERROR(E850/$AC850,0)</f>
        <v>0</v>
      </c>
      <c r="G850" s="38"/>
      <c r="H850" s="36">
        <f>IFERROR(G850/$AD850,0)</f>
        <v>0</v>
      </c>
      <c r="I850" s="35"/>
      <c r="J850" s="36">
        <f>IFERROR(I850/$AC850,0)</f>
        <v>0</v>
      </c>
      <c r="K850" s="38"/>
      <c r="L850" s="36">
        <f>IFERROR(K850/$AD850,0)</f>
        <v>0</v>
      </c>
      <c r="M850" s="35"/>
      <c r="N850" s="36">
        <f>IFERROR(M850/$AC850,0)</f>
        <v>0</v>
      </c>
      <c r="O850" s="38"/>
      <c r="P850" s="36">
        <f>IFERROR(O850/$AD850,0)</f>
        <v>0</v>
      </c>
      <c r="Q850" s="35"/>
      <c r="R850" s="36">
        <f>IFERROR(Q850/$AC850,0)</f>
        <v>0</v>
      </c>
      <c r="S850" s="38"/>
      <c r="T850" s="36">
        <f>IFERROR(S850/$AD850,0)</f>
        <v>0</v>
      </c>
      <c r="U850" s="35"/>
      <c r="V850" s="36">
        <f>IFERROR(U850/$AC850,0)</f>
        <v>0</v>
      </c>
      <c r="W850" s="38"/>
      <c r="X850" s="36">
        <f>IFERROR(W850/$AD850,0)</f>
        <v>0</v>
      </c>
      <c r="Y850" s="35"/>
      <c r="Z850" s="36">
        <f>IFERROR(Y850/$AC850,0)</f>
        <v>0</v>
      </c>
      <c r="AA850" s="38"/>
      <c r="AB850" s="36">
        <f>IFERROR(AA850/$AD850,0)</f>
        <v>0</v>
      </c>
      <c r="AC850" s="35"/>
      <c r="AD850" s="38"/>
    </row>
    <row r="851" spans="1:30" ht="15.75" customHeight="1" x14ac:dyDescent="0.25">
      <c r="A851" s="37">
        <v>2018</v>
      </c>
      <c r="B851" s="35">
        <v>170240</v>
      </c>
      <c r="C851" s="34" t="s">
        <v>147</v>
      </c>
      <c r="D851" s="34" t="s">
        <v>20</v>
      </c>
      <c r="E851" s="35"/>
      <c r="F851" s="36">
        <f>IFERROR(E851/$AC851,0)</f>
        <v>0</v>
      </c>
      <c r="G851" s="38"/>
      <c r="H851" s="36">
        <f>IFERROR(G851/$AD851,0)</f>
        <v>0</v>
      </c>
      <c r="I851" s="35"/>
      <c r="J851" s="36">
        <f>IFERROR(I851/$AC851,0)</f>
        <v>0</v>
      </c>
      <c r="K851" s="38"/>
      <c r="L851" s="36">
        <f>IFERROR(K851/$AD851,0)</f>
        <v>0</v>
      </c>
      <c r="M851" s="35"/>
      <c r="N851" s="36">
        <f>IFERROR(M851/$AC851,0)</f>
        <v>0</v>
      </c>
      <c r="O851" s="38"/>
      <c r="P851" s="36">
        <f>IFERROR(O851/$AD851,0)</f>
        <v>0</v>
      </c>
      <c r="Q851" s="35"/>
      <c r="R851" s="36">
        <f>IFERROR(Q851/$AC851,0)</f>
        <v>0</v>
      </c>
      <c r="S851" s="38"/>
      <c r="T851" s="36">
        <f>IFERROR(S851/$AD851,0)</f>
        <v>0</v>
      </c>
      <c r="U851" s="35"/>
      <c r="V851" s="36">
        <f>IFERROR(U851/$AC851,0)</f>
        <v>0</v>
      </c>
      <c r="W851" s="38"/>
      <c r="X851" s="36">
        <f>IFERROR(W851/$AD851,0)</f>
        <v>0</v>
      </c>
      <c r="Y851" s="35"/>
      <c r="Z851" s="36">
        <f>IFERROR(Y851/$AC851,0)</f>
        <v>0</v>
      </c>
      <c r="AA851" s="38"/>
      <c r="AB851" s="36">
        <f>IFERROR(AA851/$AD851,0)</f>
        <v>0</v>
      </c>
      <c r="AC851" s="35"/>
      <c r="AD851" s="38"/>
    </row>
    <row r="852" spans="1:30" ht="15.75" customHeight="1" x14ac:dyDescent="0.25">
      <c r="A852" s="37">
        <v>2018</v>
      </c>
      <c r="B852" s="35">
        <v>170255</v>
      </c>
      <c r="C852" s="34" t="s">
        <v>145</v>
      </c>
      <c r="D852" s="34" t="s">
        <v>21</v>
      </c>
      <c r="E852" s="35"/>
      <c r="F852" s="36">
        <f>IFERROR(E852/$AC852,0)</f>
        <v>0</v>
      </c>
      <c r="G852" s="38"/>
      <c r="H852" s="36">
        <f>IFERROR(G852/$AD852,0)</f>
        <v>0</v>
      </c>
      <c r="I852" s="35"/>
      <c r="J852" s="36">
        <f>IFERROR(I852/$AC852,0)</f>
        <v>0</v>
      </c>
      <c r="K852" s="38"/>
      <c r="L852" s="36">
        <f>IFERROR(K852/$AD852,0)</f>
        <v>0</v>
      </c>
      <c r="M852" s="35"/>
      <c r="N852" s="36">
        <f>IFERROR(M852/$AC852,0)</f>
        <v>0</v>
      </c>
      <c r="O852" s="38"/>
      <c r="P852" s="36">
        <f>IFERROR(O852/$AD852,0)</f>
        <v>0</v>
      </c>
      <c r="Q852" s="35"/>
      <c r="R852" s="36">
        <f>IFERROR(Q852/$AC852,0)</f>
        <v>0</v>
      </c>
      <c r="S852" s="38"/>
      <c r="T852" s="36">
        <f>IFERROR(S852/$AD852,0)</f>
        <v>0</v>
      </c>
      <c r="U852" s="35"/>
      <c r="V852" s="36">
        <f>IFERROR(U852/$AC852,0)</f>
        <v>0</v>
      </c>
      <c r="W852" s="38"/>
      <c r="X852" s="36">
        <f>IFERROR(W852/$AD852,0)</f>
        <v>0</v>
      </c>
      <c r="Y852" s="35"/>
      <c r="Z852" s="36">
        <f>IFERROR(Y852/$AC852,0)</f>
        <v>0</v>
      </c>
      <c r="AA852" s="38"/>
      <c r="AB852" s="36">
        <f>IFERROR(AA852/$AD852,0)</f>
        <v>0</v>
      </c>
      <c r="AC852" s="35"/>
      <c r="AD852" s="38"/>
    </row>
    <row r="853" spans="1:30" ht="15.75" customHeight="1" x14ac:dyDescent="0.25">
      <c r="A853" s="37">
        <v>2018</v>
      </c>
      <c r="B853" s="35">
        <v>170270</v>
      </c>
      <c r="C853" s="34" t="s">
        <v>147</v>
      </c>
      <c r="D853" s="34" t="s">
        <v>22</v>
      </c>
      <c r="E853" s="35"/>
      <c r="F853" s="36">
        <f>IFERROR(E853/$AC853,0)</f>
        <v>0</v>
      </c>
      <c r="G853" s="38"/>
      <c r="H853" s="36">
        <f>IFERROR(G853/$AD853,0)</f>
        <v>0</v>
      </c>
      <c r="I853" s="35"/>
      <c r="J853" s="36">
        <f>IFERROR(I853/$AC853,0)</f>
        <v>0</v>
      </c>
      <c r="K853" s="38"/>
      <c r="L853" s="36">
        <f>IFERROR(K853/$AD853,0)</f>
        <v>0</v>
      </c>
      <c r="M853" s="35"/>
      <c r="N853" s="36">
        <f>IFERROR(M853/$AC853,0)</f>
        <v>0</v>
      </c>
      <c r="O853" s="38"/>
      <c r="P853" s="36">
        <f>IFERROR(O853/$AD853,0)</f>
        <v>0</v>
      </c>
      <c r="Q853" s="35"/>
      <c r="R853" s="36">
        <f>IFERROR(Q853/$AC853,0)</f>
        <v>0</v>
      </c>
      <c r="S853" s="38"/>
      <c r="T853" s="36">
        <f>IFERROR(S853/$AD853,0)</f>
        <v>0</v>
      </c>
      <c r="U853" s="35"/>
      <c r="V853" s="36">
        <f>IFERROR(U853/$AC853,0)</f>
        <v>0</v>
      </c>
      <c r="W853" s="38"/>
      <c r="X853" s="36">
        <f>IFERROR(W853/$AD853,0)</f>
        <v>0</v>
      </c>
      <c r="Y853" s="35"/>
      <c r="Z853" s="36">
        <f>IFERROR(Y853/$AC853,0)</f>
        <v>0</v>
      </c>
      <c r="AA853" s="38"/>
      <c r="AB853" s="36">
        <f>IFERROR(AA853/$AD853,0)</f>
        <v>0</v>
      </c>
      <c r="AC853" s="35"/>
      <c r="AD853" s="38"/>
    </row>
    <row r="854" spans="1:30" ht="15.75" customHeight="1" x14ac:dyDescent="0.25">
      <c r="A854" s="37">
        <v>2018</v>
      </c>
      <c r="B854" s="35">
        <v>170290</v>
      </c>
      <c r="C854" s="34" t="s">
        <v>145</v>
      </c>
      <c r="D854" s="34" t="s">
        <v>23</v>
      </c>
      <c r="E854" s="35"/>
      <c r="F854" s="36">
        <f>IFERROR(E854/$AC854,0)</f>
        <v>0</v>
      </c>
      <c r="G854" s="38"/>
      <c r="H854" s="36">
        <f>IFERROR(G854/$AD854,0)</f>
        <v>0</v>
      </c>
      <c r="I854" s="35"/>
      <c r="J854" s="36">
        <f>IFERROR(I854/$AC854,0)</f>
        <v>0</v>
      </c>
      <c r="K854" s="38"/>
      <c r="L854" s="36">
        <f>IFERROR(K854/$AD854,0)</f>
        <v>0</v>
      </c>
      <c r="M854" s="35"/>
      <c r="N854" s="36">
        <f>IFERROR(M854/$AC854,0)</f>
        <v>0</v>
      </c>
      <c r="O854" s="38"/>
      <c r="P854" s="36">
        <f>IFERROR(O854/$AD854,0)</f>
        <v>0</v>
      </c>
      <c r="Q854" s="35"/>
      <c r="R854" s="36">
        <f>IFERROR(Q854/$AC854,0)</f>
        <v>0</v>
      </c>
      <c r="S854" s="38"/>
      <c r="T854" s="36">
        <f>IFERROR(S854/$AD854,0)</f>
        <v>0</v>
      </c>
      <c r="U854" s="35"/>
      <c r="V854" s="36">
        <f>IFERROR(U854/$AC854,0)</f>
        <v>0</v>
      </c>
      <c r="W854" s="38"/>
      <c r="X854" s="36">
        <f>IFERROR(W854/$AD854,0)</f>
        <v>0</v>
      </c>
      <c r="Y854" s="35"/>
      <c r="Z854" s="36">
        <f>IFERROR(Y854/$AC854,0)</f>
        <v>0</v>
      </c>
      <c r="AA854" s="38"/>
      <c r="AB854" s="36">
        <f>IFERROR(AA854/$AD854,0)</f>
        <v>0</v>
      </c>
      <c r="AC854" s="35"/>
      <c r="AD854" s="38"/>
    </row>
    <row r="855" spans="1:30" ht="15.75" customHeight="1" x14ac:dyDescent="0.25">
      <c r="A855" s="37">
        <v>2018</v>
      </c>
      <c r="B855" s="35">
        <v>170300</v>
      </c>
      <c r="C855" s="34" t="s">
        <v>149</v>
      </c>
      <c r="D855" s="34" t="s">
        <v>24</v>
      </c>
      <c r="E855" s="35"/>
      <c r="F855" s="36">
        <f>IFERROR(E855/$AC855,0)</f>
        <v>0</v>
      </c>
      <c r="G855" s="38"/>
      <c r="H855" s="36">
        <f>IFERROR(G855/$AD855,0)</f>
        <v>0</v>
      </c>
      <c r="I855" s="35"/>
      <c r="J855" s="36">
        <f>IFERROR(I855/$AC855,0)</f>
        <v>0</v>
      </c>
      <c r="K855" s="38"/>
      <c r="L855" s="36">
        <f>IFERROR(K855/$AD855,0)</f>
        <v>0</v>
      </c>
      <c r="M855" s="35"/>
      <c r="N855" s="36">
        <f>IFERROR(M855/$AC855,0)</f>
        <v>0</v>
      </c>
      <c r="O855" s="38"/>
      <c r="P855" s="36">
        <f>IFERROR(O855/$AD855,0)</f>
        <v>0</v>
      </c>
      <c r="Q855" s="35"/>
      <c r="R855" s="36">
        <f>IFERROR(Q855/$AC855,0)</f>
        <v>0</v>
      </c>
      <c r="S855" s="38"/>
      <c r="T855" s="36">
        <f>IFERROR(S855/$AD855,0)</f>
        <v>0</v>
      </c>
      <c r="U855" s="35"/>
      <c r="V855" s="36">
        <f>IFERROR(U855/$AC855,0)</f>
        <v>0</v>
      </c>
      <c r="W855" s="38"/>
      <c r="X855" s="36">
        <f>IFERROR(W855/$AD855,0)</f>
        <v>0</v>
      </c>
      <c r="Y855" s="35"/>
      <c r="Z855" s="36">
        <f>IFERROR(Y855/$AC855,0)</f>
        <v>0</v>
      </c>
      <c r="AA855" s="38"/>
      <c r="AB855" s="36">
        <f>IFERROR(AA855/$AD855,0)</f>
        <v>0</v>
      </c>
      <c r="AC855" s="35"/>
      <c r="AD855" s="38"/>
    </row>
    <row r="856" spans="1:30" ht="15.75" customHeight="1" x14ac:dyDescent="0.25">
      <c r="A856" s="37">
        <v>2018</v>
      </c>
      <c r="B856" s="35">
        <v>170305</v>
      </c>
      <c r="C856" s="34" t="s">
        <v>150</v>
      </c>
      <c r="D856" s="34" t="s">
        <v>25</v>
      </c>
      <c r="E856" s="35"/>
      <c r="F856" s="36">
        <f>IFERROR(E856/$AC856,0)</f>
        <v>0</v>
      </c>
      <c r="G856" s="38"/>
      <c r="H856" s="36">
        <f>IFERROR(G856/$AD856,0)</f>
        <v>0</v>
      </c>
      <c r="I856" s="35"/>
      <c r="J856" s="36">
        <f>IFERROR(I856/$AC856,0)</f>
        <v>0</v>
      </c>
      <c r="K856" s="38"/>
      <c r="L856" s="36">
        <f>IFERROR(K856/$AD856,0)</f>
        <v>0</v>
      </c>
      <c r="M856" s="35"/>
      <c r="N856" s="36">
        <f>IFERROR(M856/$AC856,0)</f>
        <v>0</v>
      </c>
      <c r="O856" s="38"/>
      <c r="P856" s="36">
        <f>IFERROR(O856/$AD856,0)</f>
        <v>0</v>
      </c>
      <c r="Q856" s="35"/>
      <c r="R856" s="36">
        <f>IFERROR(Q856/$AC856,0)</f>
        <v>0</v>
      </c>
      <c r="S856" s="38"/>
      <c r="T856" s="36">
        <f>IFERROR(S856/$AD856,0)</f>
        <v>0</v>
      </c>
      <c r="U856" s="35"/>
      <c r="V856" s="36">
        <f>IFERROR(U856/$AC856,0)</f>
        <v>0</v>
      </c>
      <c r="W856" s="38"/>
      <c r="X856" s="36">
        <f>IFERROR(W856/$AD856,0)</f>
        <v>0</v>
      </c>
      <c r="Y856" s="35"/>
      <c r="Z856" s="36">
        <f>IFERROR(Y856/$AC856,0)</f>
        <v>0</v>
      </c>
      <c r="AA856" s="38"/>
      <c r="AB856" s="36">
        <f>IFERROR(AA856/$AD856,0)</f>
        <v>0</v>
      </c>
      <c r="AC856" s="35"/>
      <c r="AD856" s="38"/>
    </row>
    <row r="857" spans="1:30" ht="15.75" customHeight="1" x14ac:dyDescent="0.25">
      <c r="A857" s="37">
        <v>2018</v>
      </c>
      <c r="B857" s="35">
        <v>170307</v>
      </c>
      <c r="C857" s="34" t="s">
        <v>149</v>
      </c>
      <c r="D857" s="34" t="s">
        <v>26</v>
      </c>
      <c r="E857" s="35"/>
      <c r="F857" s="36">
        <f>IFERROR(E857/$AC857,0)</f>
        <v>0</v>
      </c>
      <c r="G857" s="38"/>
      <c r="H857" s="36">
        <f>IFERROR(G857/$AD857,0)</f>
        <v>0</v>
      </c>
      <c r="I857" s="35"/>
      <c r="J857" s="36">
        <f>IFERROR(I857/$AC857,0)</f>
        <v>0</v>
      </c>
      <c r="K857" s="38"/>
      <c r="L857" s="36">
        <f>IFERROR(K857/$AD857,0)</f>
        <v>0</v>
      </c>
      <c r="M857" s="35"/>
      <c r="N857" s="36">
        <f>IFERROR(M857/$AC857,0)</f>
        <v>0</v>
      </c>
      <c r="O857" s="38"/>
      <c r="P857" s="36">
        <f>IFERROR(O857/$AD857,0)</f>
        <v>0</v>
      </c>
      <c r="Q857" s="35"/>
      <c r="R857" s="36">
        <f>IFERROR(Q857/$AC857,0)</f>
        <v>0</v>
      </c>
      <c r="S857" s="38"/>
      <c r="T857" s="36">
        <f>IFERROR(S857/$AD857,0)</f>
        <v>0</v>
      </c>
      <c r="U857" s="35"/>
      <c r="V857" s="36">
        <f>IFERROR(U857/$AC857,0)</f>
        <v>0</v>
      </c>
      <c r="W857" s="38"/>
      <c r="X857" s="36">
        <f>IFERROR(W857/$AD857,0)</f>
        <v>0</v>
      </c>
      <c r="Y857" s="35"/>
      <c r="Z857" s="36">
        <f>IFERROR(Y857/$AC857,0)</f>
        <v>0</v>
      </c>
      <c r="AA857" s="38"/>
      <c r="AB857" s="36">
        <f>IFERROR(AA857/$AD857,0)</f>
        <v>0</v>
      </c>
      <c r="AC857" s="35"/>
      <c r="AD857" s="38"/>
    </row>
    <row r="858" spans="1:30" ht="15.75" customHeight="1" x14ac:dyDescent="0.25">
      <c r="A858" s="37">
        <v>2018</v>
      </c>
      <c r="B858" s="35">
        <v>170310</v>
      </c>
      <c r="C858" s="34" t="s">
        <v>144</v>
      </c>
      <c r="D858" s="34" t="s">
        <v>27</v>
      </c>
      <c r="E858" s="35"/>
      <c r="F858" s="36">
        <f>IFERROR(E858/$AC858,0)</f>
        <v>0</v>
      </c>
      <c r="G858" s="38"/>
      <c r="H858" s="36">
        <f>IFERROR(G858/$AD858,0)</f>
        <v>0</v>
      </c>
      <c r="I858" s="35"/>
      <c r="J858" s="36">
        <f>IFERROR(I858/$AC858,0)</f>
        <v>0</v>
      </c>
      <c r="K858" s="38"/>
      <c r="L858" s="36">
        <f>IFERROR(K858/$AD858,0)</f>
        <v>0</v>
      </c>
      <c r="M858" s="35"/>
      <c r="N858" s="36">
        <f>IFERROR(M858/$AC858,0)</f>
        <v>0</v>
      </c>
      <c r="O858" s="38"/>
      <c r="P858" s="36">
        <f>IFERROR(O858/$AD858,0)</f>
        <v>0</v>
      </c>
      <c r="Q858" s="35"/>
      <c r="R858" s="36">
        <f>IFERROR(Q858/$AC858,0)</f>
        <v>0</v>
      </c>
      <c r="S858" s="38"/>
      <c r="T858" s="36">
        <f>IFERROR(S858/$AD858,0)</f>
        <v>0</v>
      </c>
      <c r="U858" s="35"/>
      <c r="V858" s="36">
        <f>IFERROR(U858/$AC858,0)</f>
        <v>0</v>
      </c>
      <c r="W858" s="38"/>
      <c r="X858" s="36">
        <f>IFERROR(W858/$AD858,0)</f>
        <v>0</v>
      </c>
      <c r="Y858" s="35"/>
      <c r="Z858" s="36">
        <f>IFERROR(Y858/$AC858,0)</f>
        <v>0</v>
      </c>
      <c r="AA858" s="38"/>
      <c r="AB858" s="36">
        <f>IFERROR(AA858/$AD858,0)</f>
        <v>0</v>
      </c>
      <c r="AC858" s="35"/>
      <c r="AD858" s="38"/>
    </row>
    <row r="859" spans="1:30" ht="15.75" customHeight="1" x14ac:dyDescent="0.25">
      <c r="A859" s="37">
        <v>2018</v>
      </c>
      <c r="B859" s="35">
        <v>170320</v>
      </c>
      <c r="C859" s="34" t="s">
        <v>150</v>
      </c>
      <c r="D859" s="34" t="s">
        <v>28</v>
      </c>
      <c r="E859" s="35"/>
      <c r="F859" s="36">
        <f>IFERROR(E859/$AC859,0)</f>
        <v>0</v>
      </c>
      <c r="G859" s="38"/>
      <c r="H859" s="36">
        <f>IFERROR(G859/$AD859,0)</f>
        <v>0</v>
      </c>
      <c r="I859" s="35"/>
      <c r="J859" s="36">
        <f>IFERROR(I859/$AC859,0)</f>
        <v>0</v>
      </c>
      <c r="K859" s="38"/>
      <c r="L859" s="36">
        <f>IFERROR(K859/$AD859,0)</f>
        <v>0</v>
      </c>
      <c r="M859" s="35"/>
      <c r="N859" s="36">
        <f>IFERROR(M859/$AC859,0)</f>
        <v>0</v>
      </c>
      <c r="O859" s="38"/>
      <c r="P859" s="36">
        <f>IFERROR(O859/$AD859,0)</f>
        <v>0</v>
      </c>
      <c r="Q859" s="35"/>
      <c r="R859" s="36">
        <f>IFERROR(Q859/$AC859,0)</f>
        <v>0</v>
      </c>
      <c r="S859" s="38"/>
      <c r="T859" s="36">
        <f>IFERROR(S859/$AD859,0)</f>
        <v>0</v>
      </c>
      <c r="U859" s="35"/>
      <c r="V859" s="36">
        <f>IFERROR(U859/$AC859,0)</f>
        <v>0</v>
      </c>
      <c r="W859" s="38"/>
      <c r="X859" s="36">
        <f>IFERROR(W859/$AD859,0)</f>
        <v>0</v>
      </c>
      <c r="Y859" s="35"/>
      <c r="Z859" s="36">
        <f>IFERROR(Y859/$AC859,0)</f>
        <v>0</v>
      </c>
      <c r="AA859" s="38"/>
      <c r="AB859" s="36">
        <f>IFERROR(AA859/$AD859,0)</f>
        <v>0</v>
      </c>
      <c r="AC859" s="35"/>
      <c r="AD859" s="38"/>
    </row>
    <row r="860" spans="1:30" ht="15.75" customHeight="1" x14ac:dyDescent="0.25">
      <c r="A860" s="37">
        <v>2018</v>
      </c>
      <c r="B860" s="35">
        <v>170330</v>
      </c>
      <c r="C860" s="34" t="s">
        <v>150</v>
      </c>
      <c r="D860" s="34" t="s">
        <v>29</v>
      </c>
      <c r="E860" s="35"/>
      <c r="F860" s="36">
        <f>IFERROR(E860/$AC860,0)</f>
        <v>0</v>
      </c>
      <c r="G860" s="38"/>
      <c r="H860" s="36">
        <f>IFERROR(G860/$AD860,0)</f>
        <v>0</v>
      </c>
      <c r="I860" s="35"/>
      <c r="J860" s="36">
        <f>IFERROR(I860/$AC860,0)</f>
        <v>0</v>
      </c>
      <c r="K860" s="38"/>
      <c r="L860" s="36">
        <f>IFERROR(K860/$AD860,0)</f>
        <v>0</v>
      </c>
      <c r="M860" s="35"/>
      <c r="N860" s="36">
        <f>IFERROR(M860/$AC860,0)</f>
        <v>0</v>
      </c>
      <c r="O860" s="38"/>
      <c r="P860" s="36">
        <f>IFERROR(O860/$AD860,0)</f>
        <v>0</v>
      </c>
      <c r="Q860" s="35"/>
      <c r="R860" s="36">
        <f>IFERROR(Q860/$AC860,0)</f>
        <v>0</v>
      </c>
      <c r="S860" s="38"/>
      <c r="T860" s="36">
        <f>IFERROR(S860/$AD860,0)</f>
        <v>0</v>
      </c>
      <c r="U860" s="35"/>
      <c r="V860" s="36">
        <f>IFERROR(U860/$AC860,0)</f>
        <v>0</v>
      </c>
      <c r="W860" s="38"/>
      <c r="X860" s="36">
        <f>IFERROR(W860/$AD860,0)</f>
        <v>0</v>
      </c>
      <c r="Y860" s="35"/>
      <c r="Z860" s="36">
        <f>IFERROR(Y860/$AC860,0)</f>
        <v>0</v>
      </c>
      <c r="AA860" s="38"/>
      <c r="AB860" s="36">
        <f>IFERROR(AA860/$AD860,0)</f>
        <v>0</v>
      </c>
      <c r="AC860" s="35"/>
      <c r="AD860" s="38"/>
    </row>
    <row r="861" spans="1:30" ht="15.75" customHeight="1" x14ac:dyDescent="0.25">
      <c r="A861" s="37">
        <v>2018</v>
      </c>
      <c r="B861" s="35">
        <v>170360</v>
      </c>
      <c r="C861" s="34" t="s">
        <v>150</v>
      </c>
      <c r="D861" s="34" t="s">
        <v>30</v>
      </c>
      <c r="E861" s="35"/>
      <c r="F861" s="36">
        <f>IFERROR(E861/$AC861,0)</f>
        <v>0</v>
      </c>
      <c r="G861" s="38"/>
      <c r="H861" s="36">
        <f>IFERROR(G861/$AD861,0)</f>
        <v>0</v>
      </c>
      <c r="I861" s="35"/>
      <c r="J861" s="36">
        <f>IFERROR(I861/$AC861,0)</f>
        <v>0</v>
      </c>
      <c r="K861" s="38"/>
      <c r="L861" s="36">
        <f>IFERROR(K861/$AD861,0)</f>
        <v>0</v>
      </c>
      <c r="M861" s="35"/>
      <c r="N861" s="36">
        <f>IFERROR(M861/$AC861,0)</f>
        <v>0</v>
      </c>
      <c r="O861" s="38"/>
      <c r="P861" s="36">
        <f>IFERROR(O861/$AD861,0)</f>
        <v>0</v>
      </c>
      <c r="Q861" s="35"/>
      <c r="R861" s="36">
        <f>IFERROR(Q861/$AC861,0)</f>
        <v>0</v>
      </c>
      <c r="S861" s="38"/>
      <c r="T861" s="36">
        <f>IFERROR(S861/$AD861,0)</f>
        <v>0</v>
      </c>
      <c r="U861" s="35"/>
      <c r="V861" s="36">
        <f>IFERROR(U861/$AC861,0)</f>
        <v>0</v>
      </c>
      <c r="W861" s="38"/>
      <c r="X861" s="36">
        <f>IFERROR(W861/$AD861,0)</f>
        <v>0</v>
      </c>
      <c r="Y861" s="35"/>
      <c r="Z861" s="36">
        <f>IFERROR(Y861/$AC861,0)</f>
        <v>0</v>
      </c>
      <c r="AA861" s="38"/>
      <c r="AB861" s="36">
        <f>IFERROR(AA861/$AD861,0)</f>
        <v>0</v>
      </c>
      <c r="AC861" s="35"/>
      <c r="AD861" s="38"/>
    </row>
    <row r="862" spans="1:30" ht="15.75" customHeight="1" x14ac:dyDescent="0.25">
      <c r="A862" s="37">
        <v>2018</v>
      </c>
      <c r="B862" s="35">
        <v>170370</v>
      </c>
      <c r="C862" s="34" t="s">
        <v>151</v>
      </c>
      <c r="D862" s="34" t="s">
        <v>31</v>
      </c>
      <c r="E862" s="35"/>
      <c r="F862" s="36">
        <f>IFERROR(E862/$AC862,0)</f>
        <v>0</v>
      </c>
      <c r="G862" s="38"/>
      <c r="H862" s="36">
        <f>IFERROR(G862/$AD862,0)</f>
        <v>0</v>
      </c>
      <c r="I862" s="35"/>
      <c r="J862" s="36">
        <f>IFERROR(I862/$AC862,0)</f>
        <v>0</v>
      </c>
      <c r="K862" s="38"/>
      <c r="L862" s="36">
        <f>IFERROR(K862/$AD862,0)</f>
        <v>0</v>
      </c>
      <c r="M862" s="35"/>
      <c r="N862" s="36">
        <f>IFERROR(M862/$AC862,0)</f>
        <v>0</v>
      </c>
      <c r="O862" s="38"/>
      <c r="P862" s="36">
        <f>IFERROR(O862/$AD862,0)</f>
        <v>0</v>
      </c>
      <c r="Q862" s="35"/>
      <c r="R862" s="36">
        <f>IFERROR(Q862/$AC862,0)</f>
        <v>0</v>
      </c>
      <c r="S862" s="38"/>
      <c r="T862" s="36">
        <f>IFERROR(S862/$AD862,0)</f>
        <v>0</v>
      </c>
      <c r="U862" s="35"/>
      <c r="V862" s="36">
        <f>IFERROR(U862/$AC862,0)</f>
        <v>0</v>
      </c>
      <c r="W862" s="38"/>
      <c r="X862" s="36">
        <f>IFERROR(W862/$AD862,0)</f>
        <v>0</v>
      </c>
      <c r="Y862" s="35"/>
      <c r="Z862" s="36">
        <f>IFERROR(Y862/$AC862,0)</f>
        <v>0</v>
      </c>
      <c r="AA862" s="38"/>
      <c r="AB862" s="36">
        <f>IFERROR(AA862/$AD862,0)</f>
        <v>0</v>
      </c>
      <c r="AC862" s="35"/>
      <c r="AD862" s="38"/>
    </row>
    <row r="863" spans="1:30" ht="15.75" customHeight="1" x14ac:dyDescent="0.25">
      <c r="A863" s="37">
        <v>2018</v>
      </c>
      <c r="B863" s="35">
        <v>170380</v>
      </c>
      <c r="C863" s="34" t="s">
        <v>145</v>
      </c>
      <c r="D863" s="34" t="s">
        <v>32</v>
      </c>
      <c r="E863" s="35"/>
      <c r="F863" s="36">
        <f>IFERROR(E863/$AC863,0)</f>
        <v>0</v>
      </c>
      <c r="G863" s="38"/>
      <c r="H863" s="36">
        <f>IFERROR(G863/$AD863,0)</f>
        <v>0</v>
      </c>
      <c r="I863" s="35"/>
      <c r="J863" s="36">
        <f>IFERROR(I863/$AC863,0)</f>
        <v>0</v>
      </c>
      <c r="K863" s="38"/>
      <c r="L863" s="36">
        <f>IFERROR(K863/$AD863,0)</f>
        <v>0</v>
      </c>
      <c r="M863" s="35"/>
      <c r="N863" s="36">
        <f>IFERROR(M863/$AC863,0)</f>
        <v>0</v>
      </c>
      <c r="O863" s="38"/>
      <c r="P863" s="36">
        <f>IFERROR(O863/$AD863,0)</f>
        <v>0</v>
      </c>
      <c r="Q863" s="35"/>
      <c r="R863" s="36">
        <f>IFERROR(Q863/$AC863,0)</f>
        <v>0</v>
      </c>
      <c r="S863" s="38"/>
      <c r="T863" s="36">
        <f>IFERROR(S863/$AD863,0)</f>
        <v>0</v>
      </c>
      <c r="U863" s="35"/>
      <c r="V863" s="36">
        <f>IFERROR(U863/$AC863,0)</f>
        <v>0</v>
      </c>
      <c r="W863" s="38"/>
      <c r="X863" s="36">
        <f>IFERROR(W863/$AD863,0)</f>
        <v>0</v>
      </c>
      <c r="Y863" s="35"/>
      <c r="Z863" s="36">
        <f>IFERROR(Y863/$AC863,0)</f>
        <v>0</v>
      </c>
      <c r="AA863" s="38"/>
      <c r="AB863" s="36">
        <f>IFERROR(AA863/$AD863,0)</f>
        <v>0</v>
      </c>
      <c r="AC863" s="35"/>
      <c r="AD863" s="38"/>
    </row>
    <row r="864" spans="1:30" ht="15.75" customHeight="1" x14ac:dyDescent="0.25">
      <c r="A864" s="37">
        <v>2018</v>
      </c>
      <c r="B864" s="35">
        <v>170382</v>
      </c>
      <c r="C864" s="34" t="s">
        <v>145</v>
      </c>
      <c r="D864" s="34" t="s">
        <v>33</v>
      </c>
      <c r="E864" s="35"/>
      <c r="F864" s="36">
        <f>IFERROR(E864/$AC864,0)</f>
        <v>0</v>
      </c>
      <c r="G864" s="38"/>
      <c r="H864" s="36">
        <f>IFERROR(G864/$AD864,0)</f>
        <v>0</v>
      </c>
      <c r="I864" s="35"/>
      <c r="J864" s="36">
        <f>IFERROR(I864/$AC864,0)</f>
        <v>0</v>
      </c>
      <c r="K864" s="38"/>
      <c r="L864" s="36">
        <f>IFERROR(K864/$AD864,0)</f>
        <v>0</v>
      </c>
      <c r="M864" s="35"/>
      <c r="N864" s="36">
        <f>IFERROR(M864/$AC864,0)</f>
        <v>0</v>
      </c>
      <c r="O864" s="38"/>
      <c r="P864" s="36">
        <f>IFERROR(O864/$AD864,0)</f>
        <v>0</v>
      </c>
      <c r="Q864" s="35"/>
      <c r="R864" s="36">
        <f>IFERROR(Q864/$AC864,0)</f>
        <v>0</v>
      </c>
      <c r="S864" s="38"/>
      <c r="T864" s="36">
        <f>IFERROR(S864/$AD864,0)</f>
        <v>0</v>
      </c>
      <c r="U864" s="35"/>
      <c r="V864" s="36">
        <f>IFERROR(U864/$AC864,0)</f>
        <v>0</v>
      </c>
      <c r="W864" s="38"/>
      <c r="X864" s="36">
        <f>IFERROR(W864/$AD864,0)</f>
        <v>0</v>
      </c>
      <c r="Y864" s="35"/>
      <c r="Z864" s="36">
        <f>IFERROR(Y864/$AC864,0)</f>
        <v>0</v>
      </c>
      <c r="AA864" s="38"/>
      <c r="AB864" s="36">
        <f>IFERROR(AA864/$AD864,0)</f>
        <v>0</v>
      </c>
      <c r="AC864" s="35"/>
      <c r="AD864" s="38"/>
    </row>
    <row r="865" spans="1:30" ht="15.75" customHeight="1" x14ac:dyDescent="0.25">
      <c r="A865" s="37">
        <v>2018</v>
      </c>
      <c r="B865" s="35">
        <v>170384</v>
      </c>
      <c r="C865" s="34" t="s">
        <v>149</v>
      </c>
      <c r="D865" s="34" t="s">
        <v>34</v>
      </c>
      <c r="E865" s="35"/>
      <c r="F865" s="36">
        <f>IFERROR(E865/$AC865,0)</f>
        <v>0</v>
      </c>
      <c r="G865" s="38"/>
      <c r="H865" s="36">
        <f>IFERROR(G865/$AD865,0)</f>
        <v>0</v>
      </c>
      <c r="I865" s="35"/>
      <c r="J865" s="36">
        <f>IFERROR(I865/$AC865,0)</f>
        <v>0</v>
      </c>
      <c r="K865" s="38"/>
      <c r="L865" s="36">
        <f>IFERROR(K865/$AD865,0)</f>
        <v>0</v>
      </c>
      <c r="M865" s="35"/>
      <c r="N865" s="36">
        <f>IFERROR(M865/$AC865,0)</f>
        <v>0</v>
      </c>
      <c r="O865" s="38"/>
      <c r="P865" s="36">
        <f>IFERROR(O865/$AD865,0)</f>
        <v>0</v>
      </c>
      <c r="Q865" s="35"/>
      <c r="R865" s="36">
        <f>IFERROR(Q865/$AC865,0)</f>
        <v>0</v>
      </c>
      <c r="S865" s="38"/>
      <c r="T865" s="36">
        <f>IFERROR(S865/$AD865,0)</f>
        <v>0</v>
      </c>
      <c r="U865" s="35"/>
      <c r="V865" s="36">
        <f>IFERROR(U865/$AC865,0)</f>
        <v>0</v>
      </c>
      <c r="W865" s="38"/>
      <c r="X865" s="36">
        <f>IFERROR(W865/$AD865,0)</f>
        <v>0</v>
      </c>
      <c r="Y865" s="35"/>
      <c r="Z865" s="36">
        <f>IFERROR(Y865/$AC865,0)</f>
        <v>0</v>
      </c>
      <c r="AA865" s="38"/>
      <c r="AB865" s="36">
        <f>IFERROR(AA865/$AD865,0)</f>
        <v>0</v>
      </c>
      <c r="AC865" s="35"/>
      <c r="AD865" s="38"/>
    </row>
    <row r="866" spans="1:30" ht="15.75" customHeight="1" x14ac:dyDescent="0.25">
      <c r="A866" s="37">
        <v>2018</v>
      </c>
      <c r="B866" s="35">
        <v>170386</v>
      </c>
      <c r="C866" s="34" t="s">
        <v>146</v>
      </c>
      <c r="D866" s="34" t="s">
        <v>35</v>
      </c>
      <c r="E866" s="35"/>
      <c r="F866" s="36">
        <f>IFERROR(E866/$AC866,0)</f>
        <v>0</v>
      </c>
      <c r="G866" s="38"/>
      <c r="H866" s="36">
        <f>IFERROR(G866/$AD866,0)</f>
        <v>0</v>
      </c>
      <c r="I866" s="35"/>
      <c r="J866" s="36">
        <f>IFERROR(I866/$AC866,0)</f>
        <v>0</v>
      </c>
      <c r="K866" s="38"/>
      <c r="L866" s="36">
        <f>IFERROR(K866/$AD866,0)</f>
        <v>0</v>
      </c>
      <c r="M866" s="35"/>
      <c r="N866" s="36">
        <f>IFERROR(M866/$AC866,0)</f>
        <v>0</v>
      </c>
      <c r="O866" s="38"/>
      <c r="P866" s="36">
        <f>IFERROR(O866/$AD866,0)</f>
        <v>0</v>
      </c>
      <c r="Q866" s="35"/>
      <c r="R866" s="36">
        <f>IFERROR(Q866/$AC866,0)</f>
        <v>0</v>
      </c>
      <c r="S866" s="38"/>
      <c r="T866" s="36">
        <f>IFERROR(S866/$AD866,0)</f>
        <v>0</v>
      </c>
      <c r="U866" s="35"/>
      <c r="V866" s="36">
        <f>IFERROR(U866/$AC866,0)</f>
        <v>0</v>
      </c>
      <c r="W866" s="38"/>
      <c r="X866" s="36">
        <f>IFERROR(W866/$AD866,0)</f>
        <v>0</v>
      </c>
      <c r="Y866" s="35"/>
      <c r="Z866" s="36">
        <f>IFERROR(Y866/$AC866,0)</f>
        <v>0</v>
      </c>
      <c r="AA866" s="38"/>
      <c r="AB866" s="36">
        <f>IFERROR(AA866/$AD866,0)</f>
        <v>0</v>
      </c>
      <c r="AC866" s="35"/>
      <c r="AD866" s="38"/>
    </row>
    <row r="867" spans="1:30" ht="15.75" customHeight="1" x14ac:dyDescent="0.25">
      <c r="A867" s="37">
        <v>2018</v>
      </c>
      <c r="B867" s="35">
        <v>170388</v>
      </c>
      <c r="C867" s="34" t="s">
        <v>149</v>
      </c>
      <c r="D867" s="34" t="s">
        <v>36</v>
      </c>
      <c r="E867" s="35"/>
      <c r="F867" s="36">
        <f>IFERROR(E867/$AC867,0)</f>
        <v>0</v>
      </c>
      <c r="G867" s="38"/>
      <c r="H867" s="36">
        <f>IFERROR(G867/$AD867,0)</f>
        <v>0</v>
      </c>
      <c r="I867" s="35"/>
      <c r="J867" s="36">
        <f>IFERROR(I867/$AC867,0)</f>
        <v>0</v>
      </c>
      <c r="K867" s="38"/>
      <c r="L867" s="36">
        <f>IFERROR(K867/$AD867,0)</f>
        <v>0</v>
      </c>
      <c r="M867" s="35"/>
      <c r="N867" s="36">
        <f>IFERROR(M867/$AC867,0)</f>
        <v>0</v>
      </c>
      <c r="O867" s="38"/>
      <c r="P867" s="36">
        <f>IFERROR(O867/$AD867,0)</f>
        <v>0</v>
      </c>
      <c r="Q867" s="35"/>
      <c r="R867" s="36">
        <f>IFERROR(Q867/$AC867,0)</f>
        <v>0</v>
      </c>
      <c r="S867" s="38"/>
      <c r="T867" s="36">
        <f>IFERROR(S867/$AD867,0)</f>
        <v>0</v>
      </c>
      <c r="U867" s="35"/>
      <c r="V867" s="36">
        <f>IFERROR(U867/$AC867,0)</f>
        <v>0</v>
      </c>
      <c r="W867" s="38"/>
      <c r="X867" s="36">
        <f>IFERROR(W867/$AD867,0)</f>
        <v>0</v>
      </c>
      <c r="Y867" s="35"/>
      <c r="Z867" s="36">
        <f>IFERROR(Y867/$AC867,0)</f>
        <v>0</v>
      </c>
      <c r="AA867" s="38"/>
      <c r="AB867" s="36">
        <f>IFERROR(AA867/$AD867,0)</f>
        <v>0</v>
      </c>
      <c r="AC867" s="35"/>
      <c r="AD867" s="38"/>
    </row>
    <row r="868" spans="1:30" ht="15.75" customHeight="1" x14ac:dyDescent="0.25">
      <c r="A868" s="37">
        <v>2018</v>
      </c>
      <c r="B868" s="35">
        <v>170389</v>
      </c>
      <c r="C868" s="34" t="s">
        <v>145</v>
      </c>
      <c r="D868" s="34" t="s">
        <v>37</v>
      </c>
      <c r="E868" s="35"/>
      <c r="F868" s="36">
        <f>IFERROR(E868/$AC868,0)</f>
        <v>0</v>
      </c>
      <c r="G868" s="38"/>
      <c r="H868" s="36">
        <f>IFERROR(G868/$AD868,0)</f>
        <v>0</v>
      </c>
      <c r="I868" s="35"/>
      <c r="J868" s="36">
        <f>IFERROR(I868/$AC868,0)</f>
        <v>0</v>
      </c>
      <c r="K868" s="38"/>
      <c r="L868" s="36">
        <f>IFERROR(K868/$AD868,0)</f>
        <v>0</v>
      </c>
      <c r="M868" s="35"/>
      <c r="N868" s="36">
        <f>IFERROR(M868/$AC868,0)</f>
        <v>0</v>
      </c>
      <c r="O868" s="38"/>
      <c r="P868" s="36">
        <f>IFERROR(O868/$AD868,0)</f>
        <v>0</v>
      </c>
      <c r="Q868" s="35"/>
      <c r="R868" s="36">
        <f>IFERROR(Q868/$AC868,0)</f>
        <v>0</v>
      </c>
      <c r="S868" s="38"/>
      <c r="T868" s="36">
        <f>IFERROR(S868/$AD868,0)</f>
        <v>0</v>
      </c>
      <c r="U868" s="35"/>
      <c r="V868" s="36">
        <f>IFERROR(U868/$AC868,0)</f>
        <v>0</v>
      </c>
      <c r="W868" s="38"/>
      <c r="X868" s="36">
        <f>IFERROR(W868/$AD868,0)</f>
        <v>0</v>
      </c>
      <c r="Y868" s="35"/>
      <c r="Z868" s="36">
        <f>IFERROR(Y868/$AC868,0)</f>
        <v>0</v>
      </c>
      <c r="AA868" s="38"/>
      <c r="AB868" s="36">
        <f>IFERROR(AA868/$AD868,0)</f>
        <v>0</v>
      </c>
      <c r="AC868" s="35"/>
      <c r="AD868" s="38"/>
    </row>
    <row r="869" spans="1:30" ht="15.75" customHeight="1" x14ac:dyDescent="0.25">
      <c r="A869" s="37">
        <v>2018</v>
      </c>
      <c r="B869" s="35">
        <v>170390</v>
      </c>
      <c r="C869" s="34" t="s">
        <v>144</v>
      </c>
      <c r="D869" s="34" t="s">
        <v>38</v>
      </c>
      <c r="E869" s="35"/>
      <c r="F869" s="36">
        <f>IFERROR(E869/$AC869,0)</f>
        <v>0</v>
      </c>
      <c r="G869" s="38"/>
      <c r="H869" s="36">
        <f>IFERROR(G869/$AD869,0)</f>
        <v>0</v>
      </c>
      <c r="I869" s="35"/>
      <c r="J869" s="36">
        <f>IFERROR(I869/$AC869,0)</f>
        <v>0</v>
      </c>
      <c r="K869" s="38"/>
      <c r="L869" s="36">
        <f>IFERROR(K869/$AD869,0)</f>
        <v>0</v>
      </c>
      <c r="M869" s="35"/>
      <c r="N869" s="36">
        <f>IFERROR(M869/$AC869,0)</f>
        <v>0</v>
      </c>
      <c r="O869" s="38"/>
      <c r="P869" s="36">
        <f>IFERROR(O869/$AD869,0)</f>
        <v>0</v>
      </c>
      <c r="Q869" s="35"/>
      <c r="R869" s="36">
        <f>IFERROR(Q869/$AC869,0)</f>
        <v>0</v>
      </c>
      <c r="S869" s="38"/>
      <c r="T869" s="36">
        <f>IFERROR(S869/$AD869,0)</f>
        <v>0</v>
      </c>
      <c r="U869" s="35"/>
      <c r="V869" s="36">
        <f>IFERROR(U869/$AC869,0)</f>
        <v>0</v>
      </c>
      <c r="W869" s="38"/>
      <c r="X869" s="36">
        <f>IFERROR(W869/$AD869,0)</f>
        <v>0</v>
      </c>
      <c r="Y869" s="35"/>
      <c r="Z869" s="36">
        <f>IFERROR(Y869/$AC869,0)</f>
        <v>0</v>
      </c>
      <c r="AA869" s="38"/>
      <c r="AB869" s="36">
        <f>IFERROR(AA869/$AD869,0)</f>
        <v>0</v>
      </c>
      <c r="AC869" s="35"/>
      <c r="AD869" s="38"/>
    </row>
    <row r="870" spans="1:30" ht="15.75" customHeight="1" x14ac:dyDescent="0.25">
      <c r="A870" s="37">
        <v>2018</v>
      </c>
      <c r="B870" s="35">
        <v>170410</v>
      </c>
      <c r="C870" s="34" t="s">
        <v>150</v>
      </c>
      <c r="D870" s="34" t="s">
        <v>39</v>
      </c>
      <c r="E870" s="35"/>
      <c r="F870" s="36">
        <f>IFERROR(E870/$AC870,0)</f>
        <v>0</v>
      </c>
      <c r="G870" s="38"/>
      <c r="H870" s="36">
        <f>IFERROR(G870/$AD870,0)</f>
        <v>0</v>
      </c>
      <c r="I870" s="35"/>
      <c r="J870" s="36">
        <f>IFERROR(I870/$AC870,0)</f>
        <v>0</v>
      </c>
      <c r="K870" s="38"/>
      <c r="L870" s="36">
        <f>IFERROR(K870/$AD870,0)</f>
        <v>0</v>
      </c>
      <c r="M870" s="35"/>
      <c r="N870" s="36">
        <f>IFERROR(M870/$AC870,0)</f>
        <v>0</v>
      </c>
      <c r="O870" s="38"/>
      <c r="P870" s="36">
        <f>IFERROR(O870/$AD870,0)</f>
        <v>0</v>
      </c>
      <c r="Q870" s="35"/>
      <c r="R870" s="36">
        <f>IFERROR(Q870/$AC870,0)</f>
        <v>0</v>
      </c>
      <c r="S870" s="38"/>
      <c r="T870" s="36">
        <f>IFERROR(S870/$AD870,0)</f>
        <v>0</v>
      </c>
      <c r="U870" s="35"/>
      <c r="V870" s="36">
        <f>IFERROR(U870/$AC870,0)</f>
        <v>0</v>
      </c>
      <c r="W870" s="38"/>
      <c r="X870" s="36">
        <f>IFERROR(W870/$AD870,0)</f>
        <v>0</v>
      </c>
      <c r="Y870" s="35"/>
      <c r="Z870" s="36">
        <f>IFERROR(Y870/$AC870,0)</f>
        <v>0</v>
      </c>
      <c r="AA870" s="38"/>
      <c r="AB870" s="36">
        <f>IFERROR(AA870/$AD870,0)</f>
        <v>0</v>
      </c>
      <c r="AC870" s="35"/>
      <c r="AD870" s="38"/>
    </row>
    <row r="871" spans="1:30" ht="15.75" customHeight="1" x14ac:dyDescent="0.25">
      <c r="A871" s="37">
        <v>2018</v>
      </c>
      <c r="B871" s="35">
        <v>170510</v>
      </c>
      <c r="C871" s="34" t="s">
        <v>151</v>
      </c>
      <c r="D871" s="34" t="s">
        <v>40</v>
      </c>
      <c r="E871" s="35"/>
      <c r="F871" s="36">
        <f>IFERROR(E871/$AC871,0)</f>
        <v>0</v>
      </c>
      <c r="G871" s="38"/>
      <c r="H871" s="36">
        <f>IFERROR(G871/$AD871,0)</f>
        <v>0</v>
      </c>
      <c r="I871" s="35"/>
      <c r="J871" s="36">
        <f>IFERROR(I871/$AC871,0)</f>
        <v>0</v>
      </c>
      <c r="K871" s="38"/>
      <c r="L871" s="36">
        <f>IFERROR(K871/$AD871,0)</f>
        <v>0</v>
      </c>
      <c r="M871" s="35"/>
      <c r="N871" s="36">
        <f>IFERROR(M871/$AC871,0)</f>
        <v>0</v>
      </c>
      <c r="O871" s="38"/>
      <c r="P871" s="36">
        <f>IFERROR(O871/$AD871,0)</f>
        <v>0</v>
      </c>
      <c r="Q871" s="35"/>
      <c r="R871" s="36">
        <f>IFERROR(Q871/$AC871,0)</f>
        <v>0</v>
      </c>
      <c r="S871" s="38"/>
      <c r="T871" s="36">
        <f>IFERROR(S871/$AD871,0)</f>
        <v>0</v>
      </c>
      <c r="U871" s="35"/>
      <c r="V871" s="36">
        <f>IFERROR(U871/$AC871,0)</f>
        <v>0</v>
      </c>
      <c r="W871" s="38"/>
      <c r="X871" s="36">
        <f>IFERROR(W871/$AD871,0)</f>
        <v>0</v>
      </c>
      <c r="Y871" s="35"/>
      <c r="Z871" s="36">
        <f>IFERROR(Y871/$AC871,0)</f>
        <v>0</v>
      </c>
      <c r="AA871" s="38"/>
      <c r="AB871" s="36">
        <f>IFERROR(AA871/$AD871,0)</f>
        <v>0</v>
      </c>
      <c r="AC871" s="35"/>
      <c r="AD871" s="38"/>
    </row>
    <row r="872" spans="1:30" ht="15.75" customHeight="1" x14ac:dyDescent="0.25">
      <c r="A872" s="37">
        <v>2018</v>
      </c>
      <c r="B872" s="35">
        <v>170460</v>
      </c>
      <c r="C872" s="34" t="s">
        <v>144</v>
      </c>
      <c r="D872" s="34" t="s">
        <v>41</v>
      </c>
      <c r="E872" s="35"/>
      <c r="F872" s="36">
        <f>IFERROR(E872/$AC872,0)</f>
        <v>0</v>
      </c>
      <c r="G872" s="38"/>
      <c r="H872" s="36">
        <f>IFERROR(G872/$AD872,0)</f>
        <v>0</v>
      </c>
      <c r="I872" s="35"/>
      <c r="J872" s="36">
        <f>IFERROR(I872/$AC872,0)</f>
        <v>0</v>
      </c>
      <c r="K872" s="38"/>
      <c r="L872" s="36">
        <f>IFERROR(K872/$AD872,0)</f>
        <v>0</v>
      </c>
      <c r="M872" s="35"/>
      <c r="N872" s="36">
        <f>IFERROR(M872/$AC872,0)</f>
        <v>0</v>
      </c>
      <c r="O872" s="38"/>
      <c r="P872" s="36">
        <f>IFERROR(O872/$AD872,0)</f>
        <v>0</v>
      </c>
      <c r="Q872" s="35"/>
      <c r="R872" s="36">
        <f>IFERROR(Q872/$AC872,0)</f>
        <v>0</v>
      </c>
      <c r="S872" s="38"/>
      <c r="T872" s="36">
        <f>IFERROR(S872/$AD872,0)</f>
        <v>0</v>
      </c>
      <c r="U872" s="35"/>
      <c r="V872" s="36">
        <f>IFERROR(U872/$AC872,0)</f>
        <v>0</v>
      </c>
      <c r="W872" s="38"/>
      <c r="X872" s="36">
        <f>IFERROR(W872/$AD872,0)</f>
        <v>0</v>
      </c>
      <c r="Y872" s="35"/>
      <c r="Z872" s="36">
        <f>IFERROR(Y872/$AC872,0)</f>
        <v>0</v>
      </c>
      <c r="AA872" s="38"/>
      <c r="AB872" s="36">
        <f>IFERROR(AA872/$AD872,0)</f>
        <v>0</v>
      </c>
      <c r="AC872" s="35"/>
      <c r="AD872" s="38"/>
    </row>
    <row r="873" spans="1:30" ht="15.75" customHeight="1" x14ac:dyDescent="0.25">
      <c r="A873" s="37">
        <v>2018</v>
      </c>
      <c r="B873" s="35">
        <v>170550</v>
      </c>
      <c r="C873" s="34" t="s">
        <v>150</v>
      </c>
      <c r="D873" s="34" t="s">
        <v>42</v>
      </c>
      <c r="E873" s="35"/>
      <c r="F873" s="36">
        <f>IFERROR(E873/$AC873,0)</f>
        <v>0</v>
      </c>
      <c r="G873" s="38"/>
      <c r="H873" s="36">
        <f>IFERROR(G873/$AD873,0)</f>
        <v>0</v>
      </c>
      <c r="I873" s="35"/>
      <c r="J873" s="36">
        <f>IFERROR(I873/$AC873,0)</f>
        <v>0</v>
      </c>
      <c r="K873" s="38"/>
      <c r="L873" s="36">
        <f>IFERROR(K873/$AD873,0)</f>
        <v>0</v>
      </c>
      <c r="M873" s="35"/>
      <c r="N873" s="36">
        <f>IFERROR(M873/$AC873,0)</f>
        <v>0</v>
      </c>
      <c r="O873" s="38"/>
      <c r="P873" s="36">
        <f>IFERROR(O873/$AD873,0)</f>
        <v>0</v>
      </c>
      <c r="Q873" s="35"/>
      <c r="R873" s="36">
        <f>IFERROR(Q873/$AC873,0)</f>
        <v>0</v>
      </c>
      <c r="S873" s="38"/>
      <c r="T873" s="36">
        <f>IFERROR(S873/$AD873,0)</f>
        <v>0</v>
      </c>
      <c r="U873" s="35"/>
      <c r="V873" s="36">
        <f>IFERROR(U873/$AC873,0)</f>
        <v>0</v>
      </c>
      <c r="W873" s="38"/>
      <c r="X873" s="36">
        <f>IFERROR(W873/$AD873,0)</f>
        <v>0</v>
      </c>
      <c r="Y873" s="35"/>
      <c r="Z873" s="36">
        <f>IFERROR(Y873/$AC873,0)</f>
        <v>0</v>
      </c>
      <c r="AA873" s="38"/>
      <c r="AB873" s="36">
        <f>IFERROR(AA873/$AD873,0)</f>
        <v>0</v>
      </c>
      <c r="AC873" s="35"/>
      <c r="AD873" s="38"/>
    </row>
    <row r="874" spans="1:30" ht="15.75" customHeight="1" x14ac:dyDescent="0.25">
      <c r="A874" s="37">
        <v>2018</v>
      </c>
      <c r="B874" s="35">
        <v>171670</v>
      </c>
      <c r="C874" s="34" t="s">
        <v>150</v>
      </c>
      <c r="D874" s="34" t="s">
        <v>43</v>
      </c>
      <c r="E874" s="35"/>
      <c r="F874" s="36">
        <f>IFERROR(E874/$AC874,0)</f>
        <v>0</v>
      </c>
      <c r="G874" s="38"/>
      <c r="H874" s="36">
        <f>IFERROR(G874/$AD874,0)</f>
        <v>0</v>
      </c>
      <c r="I874" s="35"/>
      <c r="J874" s="36">
        <f>IFERROR(I874/$AC874,0)</f>
        <v>0</v>
      </c>
      <c r="K874" s="38"/>
      <c r="L874" s="36">
        <f>IFERROR(K874/$AD874,0)</f>
        <v>0</v>
      </c>
      <c r="M874" s="35"/>
      <c r="N874" s="36">
        <f>IFERROR(M874/$AC874,0)</f>
        <v>0</v>
      </c>
      <c r="O874" s="38"/>
      <c r="P874" s="36">
        <f>IFERROR(O874/$AD874,0)</f>
        <v>0</v>
      </c>
      <c r="Q874" s="35"/>
      <c r="R874" s="36">
        <f>IFERROR(Q874/$AC874,0)</f>
        <v>0</v>
      </c>
      <c r="S874" s="38"/>
      <c r="T874" s="36">
        <f>IFERROR(S874/$AD874,0)</f>
        <v>0</v>
      </c>
      <c r="U874" s="35"/>
      <c r="V874" s="36">
        <f>IFERROR(U874/$AC874,0)</f>
        <v>0</v>
      </c>
      <c r="W874" s="38"/>
      <c r="X874" s="36">
        <f>IFERROR(W874/$AD874,0)</f>
        <v>0</v>
      </c>
      <c r="Y874" s="35"/>
      <c r="Z874" s="36">
        <f>IFERROR(Y874/$AC874,0)</f>
        <v>0</v>
      </c>
      <c r="AA874" s="38"/>
      <c r="AB874" s="36">
        <f>IFERROR(AA874/$AD874,0)</f>
        <v>0</v>
      </c>
      <c r="AC874" s="35"/>
      <c r="AD874" s="38"/>
    </row>
    <row r="875" spans="1:30" ht="15.75" customHeight="1" x14ac:dyDescent="0.25">
      <c r="A875" s="37">
        <v>2018</v>
      </c>
      <c r="B875" s="35">
        <v>170555</v>
      </c>
      <c r="C875" s="34" t="s">
        <v>147</v>
      </c>
      <c r="D875" s="34" t="s">
        <v>44</v>
      </c>
      <c r="E875" s="35"/>
      <c r="F875" s="36">
        <f>IFERROR(E875/$AC875,0)</f>
        <v>0</v>
      </c>
      <c r="G875" s="38"/>
      <c r="H875" s="36">
        <f>IFERROR(G875/$AD875,0)</f>
        <v>0</v>
      </c>
      <c r="I875" s="35"/>
      <c r="J875" s="36">
        <f>IFERROR(I875/$AC875,0)</f>
        <v>0</v>
      </c>
      <c r="K875" s="38"/>
      <c r="L875" s="36">
        <f>IFERROR(K875/$AD875,0)</f>
        <v>0</v>
      </c>
      <c r="M875" s="35"/>
      <c r="N875" s="36">
        <f>IFERROR(M875/$AC875,0)</f>
        <v>0</v>
      </c>
      <c r="O875" s="38"/>
      <c r="P875" s="36">
        <f>IFERROR(O875/$AD875,0)</f>
        <v>0</v>
      </c>
      <c r="Q875" s="35"/>
      <c r="R875" s="36">
        <f>IFERROR(Q875/$AC875,0)</f>
        <v>0</v>
      </c>
      <c r="S875" s="38"/>
      <c r="T875" s="36">
        <f>IFERROR(S875/$AD875,0)</f>
        <v>0</v>
      </c>
      <c r="U875" s="35"/>
      <c r="V875" s="36">
        <f>IFERROR(U875/$AC875,0)</f>
        <v>0</v>
      </c>
      <c r="W875" s="38"/>
      <c r="X875" s="36">
        <f>IFERROR(W875/$AD875,0)</f>
        <v>0</v>
      </c>
      <c r="Y875" s="35"/>
      <c r="Z875" s="36">
        <f>IFERROR(Y875/$AC875,0)</f>
        <v>0</v>
      </c>
      <c r="AA875" s="38"/>
      <c r="AB875" s="36">
        <f>IFERROR(AA875/$AD875,0)</f>
        <v>0</v>
      </c>
      <c r="AC875" s="35"/>
      <c r="AD875" s="38"/>
    </row>
    <row r="876" spans="1:30" ht="15.75" customHeight="1" x14ac:dyDescent="0.25">
      <c r="A876" s="37">
        <v>2018</v>
      </c>
      <c r="B876" s="35">
        <v>170560</v>
      </c>
      <c r="C876" s="34" t="s">
        <v>147</v>
      </c>
      <c r="D876" s="34" t="s">
        <v>45</v>
      </c>
      <c r="E876" s="35"/>
      <c r="F876" s="36">
        <f>IFERROR(E876/$AC876,0)</f>
        <v>0</v>
      </c>
      <c r="G876" s="38"/>
      <c r="H876" s="36">
        <f>IFERROR(G876/$AD876,0)</f>
        <v>0</v>
      </c>
      <c r="I876" s="35"/>
      <c r="J876" s="36">
        <f>IFERROR(I876/$AC876,0)</f>
        <v>0</v>
      </c>
      <c r="K876" s="38"/>
      <c r="L876" s="36">
        <f>IFERROR(K876/$AD876,0)</f>
        <v>0</v>
      </c>
      <c r="M876" s="35"/>
      <c r="N876" s="36">
        <f>IFERROR(M876/$AC876,0)</f>
        <v>0</v>
      </c>
      <c r="O876" s="38"/>
      <c r="P876" s="36">
        <f>IFERROR(O876/$AD876,0)</f>
        <v>0</v>
      </c>
      <c r="Q876" s="35"/>
      <c r="R876" s="36">
        <f>IFERROR(Q876/$AC876,0)</f>
        <v>0</v>
      </c>
      <c r="S876" s="38"/>
      <c r="T876" s="36">
        <f>IFERROR(S876/$AD876,0)</f>
        <v>0</v>
      </c>
      <c r="U876" s="35"/>
      <c r="V876" s="36">
        <f>IFERROR(U876/$AC876,0)</f>
        <v>0</v>
      </c>
      <c r="W876" s="38"/>
      <c r="X876" s="36">
        <f>IFERROR(W876/$AD876,0)</f>
        <v>0</v>
      </c>
      <c r="Y876" s="35"/>
      <c r="Z876" s="36">
        <f>IFERROR(Y876/$AC876,0)</f>
        <v>0</v>
      </c>
      <c r="AA876" s="38"/>
      <c r="AB876" s="36">
        <f>IFERROR(AA876/$AD876,0)</f>
        <v>0</v>
      </c>
      <c r="AC876" s="35"/>
      <c r="AD876" s="38"/>
    </row>
    <row r="877" spans="1:30" ht="15.75" customHeight="1" x14ac:dyDescent="0.25">
      <c r="A877" s="37">
        <v>2018</v>
      </c>
      <c r="B877" s="35">
        <v>170600</v>
      </c>
      <c r="C877" s="34" t="s">
        <v>150</v>
      </c>
      <c r="D877" s="34" t="s">
        <v>46</v>
      </c>
      <c r="E877" s="35"/>
      <c r="F877" s="36">
        <f>IFERROR(E877/$AC877,0)</f>
        <v>0</v>
      </c>
      <c r="G877" s="38"/>
      <c r="H877" s="36">
        <f>IFERROR(G877/$AD877,0)</f>
        <v>0</v>
      </c>
      <c r="I877" s="35"/>
      <c r="J877" s="36">
        <f>IFERROR(I877/$AC877,0)</f>
        <v>0</v>
      </c>
      <c r="K877" s="38"/>
      <c r="L877" s="36">
        <f>IFERROR(K877/$AD877,0)</f>
        <v>0</v>
      </c>
      <c r="M877" s="35"/>
      <c r="N877" s="36">
        <f>IFERROR(M877/$AC877,0)</f>
        <v>0</v>
      </c>
      <c r="O877" s="38"/>
      <c r="P877" s="36">
        <f>IFERROR(O877/$AD877,0)</f>
        <v>0</v>
      </c>
      <c r="Q877" s="35"/>
      <c r="R877" s="36">
        <f>IFERROR(Q877/$AC877,0)</f>
        <v>0</v>
      </c>
      <c r="S877" s="38"/>
      <c r="T877" s="36">
        <f>IFERROR(S877/$AD877,0)</f>
        <v>0</v>
      </c>
      <c r="U877" s="35"/>
      <c r="V877" s="36">
        <f>IFERROR(U877/$AC877,0)</f>
        <v>0</v>
      </c>
      <c r="W877" s="38"/>
      <c r="X877" s="36">
        <f>IFERROR(W877/$AD877,0)</f>
        <v>0</v>
      </c>
      <c r="Y877" s="35"/>
      <c r="Z877" s="36">
        <f>IFERROR(Y877/$AC877,0)</f>
        <v>0</v>
      </c>
      <c r="AA877" s="38"/>
      <c r="AB877" s="36">
        <f>IFERROR(AA877/$AD877,0)</f>
        <v>0</v>
      </c>
      <c r="AC877" s="35"/>
      <c r="AD877" s="38"/>
    </row>
    <row r="878" spans="1:30" ht="15.75" customHeight="1" x14ac:dyDescent="0.25">
      <c r="A878" s="37">
        <v>2018</v>
      </c>
      <c r="B878" s="35">
        <v>170610</v>
      </c>
      <c r="C878" s="34" t="s">
        <v>144</v>
      </c>
      <c r="D878" s="34" t="s">
        <v>47</v>
      </c>
      <c r="E878" s="35"/>
      <c r="F878" s="36">
        <f>IFERROR(E878/$AC878,0)</f>
        <v>0</v>
      </c>
      <c r="G878" s="38"/>
      <c r="H878" s="36">
        <f>IFERROR(G878/$AD878,0)</f>
        <v>0</v>
      </c>
      <c r="I878" s="35"/>
      <c r="J878" s="36">
        <f>IFERROR(I878/$AC878,0)</f>
        <v>0</v>
      </c>
      <c r="K878" s="38"/>
      <c r="L878" s="36">
        <f>IFERROR(K878/$AD878,0)</f>
        <v>0</v>
      </c>
      <c r="M878" s="35"/>
      <c r="N878" s="36">
        <f>IFERROR(M878/$AC878,0)</f>
        <v>0</v>
      </c>
      <c r="O878" s="38"/>
      <c r="P878" s="36">
        <f>IFERROR(O878/$AD878,0)</f>
        <v>0</v>
      </c>
      <c r="Q878" s="35"/>
      <c r="R878" s="36">
        <f>IFERROR(Q878/$AC878,0)</f>
        <v>0</v>
      </c>
      <c r="S878" s="38"/>
      <c r="T878" s="36">
        <f>IFERROR(S878/$AD878,0)</f>
        <v>0</v>
      </c>
      <c r="U878" s="35"/>
      <c r="V878" s="36">
        <f>IFERROR(U878/$AC878,0)</f>
        <v>0</v>
      </c>
      <c r="W878" s="38"/>
      <c r="X878" s="36">
        <f>IFERROR(W878/$AD878,0)</f>
        <v>0</v>
      </c>
      <c r="Y878" s="35"/>
      <c r="Z878" s="36">
        <f>IFERROR(Y878/$AC878,0)</f>
        <v>0</v>
      </c>
      <c r="AA878" s="38"/>
      <c r="AB878" s="36">
        <f>IFERROR(AA878/$AD878,0)</f>
        <v>0</v>
      </c>
      <c r="AC878" s="35"/>
      <c r="AD878" s="38"/>
    </row>
    <row r="879" spans="1:30" ht="15.75" customHeight="1" x14ac:dyDescent="0.25">
      <c r="A879" s="37">
        <v>2018</v>
      </c>
      <c r="B879" s="35">
        <v>170625</v>
      </c>
      <c r="C879" s="34" t="s">
        <v>146</v>
      </c>
      <c r="D879" s="34" t="s">
        <v>48</v>
      </c>
      <c r="E879" s="35"/>
      <c r="F879" s="36">
        <f>IFERROR(E879/$AC879,0)</f>
        <v>0</v>
      </c>
      <c r="G879" s="38"/>
      <c r="H879" s="36">
        <f>IFERROR(G879/$AD879,0)</f>
        <v>0</v>
      </c>
      <c r="I879" s="35"/>
      <c r="J879" s="36">
        <f>IFERROR(I879/$AC879,0)</f>
        <v>0</v>
      </c>
      <c r="K879" s="38"/>
      <c r="L879" s="36">
        <f>IFERROR(K879/$AD879,0)</f>
        <v>0</v>
      </c>
      <c r="M879" s="35"/>
      <c r="N879" s="36">
        <f>IFERROR(M879/$AC879,0)</f>
        <v>0</v>
      </c>
      <c r="O879" s="38"/>
      <c r="P879" s="36">
        <f>IFERROR(O879/$AD879,0)</f>
        <v>0</v>
      </c>
      <c r="Q879" s="35"/>
      <c r="R879" s="36">
        <f>IFERROR(Q879/$AC879,0)</f>
        <v>0</v>
      </c>
      <c r="S879" s="38"/>
      <c r="T879" s="36">
        <f>IFERROR(S879/$AD879,0)</f>
        <v>0</v>
      </c>
      <c r="U879" s="35"/>
      <c r="V879" s="36">
        <f>IFERROR(U879/$AC879,0)</f>
        <v>0</v>
      </c>
      <c r="W879" s="38"/>
      <c r="X879" s="36">
        <f>IFERROR(W879/$AD879,0)</f>
        <v>0</v>
      </c>
      <c r="Y879" s="35"/>
      <c r="Z879" s="36">
        <f>IFERROR(Y879/$AC879,0)</f>
        <v>0</v>
      </c>
      <c r="AA879" s="38"/>
      <c r="AB879" s="36">
        <f>IFERROR(AA879/$AD879,0)</f>
        <v>0</v>
      </c>
      <c r="AC879" s="35"/>
      <c r="AD879" s="38"/>
    </row>
    <row r="880" spans="1:30" ht="15.75" customHeight="1" x14ac:dyDescent="0.25">
      <c r="A880" s="37">
        <v>2018</v>
      </c>
      <c r="B880" s="35">
        <v>170650</v>
      </c>
      <c r="C880" s="34" t="s">
        <v>149</v>
      </c>
      <c r="D880" s="34" t="s">
        <v>49</v>
      </c>
      <c r="E880" s="35"/>
      <c r="F880" s="36">
        <f>IFERROR(E880/$AC880,0)</f>
        <v>0</v>
      </c>
      <c r="G880" s="38"/>
      <c r="H880" s="36">
        <f>IFERROR(G880/$AD880,0)</f>
        <v>0</v>
      </c>
      <c r="I880" s="35"/>
      <c r="J880" s="36">
        <f>IFERROR(I880/$AC880,0)</f>
        <v>0</v>
      </c>
      <c r="K880" s="38"/>
      <c r="L880" s="36">
        <f>IFERROR(K880/$AD880,0)</f>
        <v>0</v>
      </c>
      <c r="M880" s="35"/>
      <c r="N880" s="36">
        <f>IFERROR(M880/$AC880,0)</f>
        <v>0</v>
      </c>
      <c r="O880" s="38"/>
      <c r="P880" s="36">
        <f>IFERROR(O880/$AD880,0)</f>
        <v>0</v>
      </c>
      <c r="Q880" s="35"/>
      <c r="R880" s="36">
        <f>IFERROR(Q880/$AC880,0)</f>
        <v>0</v>
      </c>
      <c r="S880" s="38"/>
      <c r="T880" s="36">
        <f>IFERROR(S880/$AD880,0)</f>
        <v>0</v>
      </c>
      <c r="U880" s="35"/>
      <c r="V880" s="36">
        <f>IFERROR(U880/$AC880,0)</f>
        <v>0</v>
      </c>
      <c r="W880" s="38"/>
      <c r="X880" s="36">
        <f>IFERROR(W880/$AD880,0)</f>
        <v>0</v>
      </c>
      <c r="Y880" s="35"/>
      <c r="Z880" s="36">
        <f>IFERROR(Y880/$AC880,0)</f>
        <v>0</v>
      </c>
      <c r="AA880" s="38"/>
      <c r="AB880" s="36">
        <f>IFERROR(AA880/$AD880,0)</f>
        <v>0</v>
      </c>
      <c r="AC880" s="35"/>
      <c r="AD880" s="38"/>
    </row>
    <row r="881" spans="1:30" ht="15.75" customHeight="1" x14ac:dyDescent="0.25">
      <c r="A881" s="37">
        <v>2018</v>
      </c>
      <c r="B881" s="35">
        <v>170700</v>
      </c>
      <c r="C881" s="34" t="s">
        <v>147</v>
      </c>
      <c r="D881" s="34" t="s">
        <v>50</v>
      </c>
      <c r="E881" s="35"/>
      <c r="F881" s="36">
        <f>IFERROR(E881/$AC881,0)</f>
        <v>0</v>
      </c>
      <c r="G881" s="38"/>
      <c r="H881" s="36">
        <f>IFERROR(G881/$AD881,0)</f>
        <v>0</v>
      </c>
      <c r="I881" s="35"/>
      <c r="J881" s="36">
        <f>IFERROR(I881/$AC881,0)</f>
        <v>0</v>
      </c>
      <c r="K881" s="38"/>
      <c r="L881" s="36">
        <f>IFERROR(K881/$AD881,0)</f>
        <v>0</v>
      </c>
      <c r="M881" s="35"/>
      <c r="N881" s="36">
        <f>IFERROR(M881/$AC881,0)</f>
        <v>0</v>
      </c>
      <c r="O881" s="38"/>
      <c r="P881" s="36">
        <f>IFERROR(O881/$AD881,0)</f>
        <v>0</v>
      </c>
      <c r="Q881" s="35"/>
      <c r="R881" s="36">
        <f>IFERROR(Q881/$AC881,0)</f>
        <v>0</v>
      </c>
      <c r="S881" s="38"/>
      <c r="T881" s="36">
        <f>IFERROR(S881/$AD881,0)</f>
        <v>0</v>
      </c>
      <c r="U881" s="35"/>
      <c r="V881" s="36">
        <f>IFERROR(U881/$AC881,0)</f>
        <v>0</v>
      </c>
      <c r="W881" s="38"/>
      <c r="X881" s="36">
        <f>IFERROR(W881/$AD881,0)</f>
        <v>0</v>
      </c>
      <c r="Y881" s="35"/>
      <c r="Z881" s="36">
        <f>IFERROR(Y881/$AC881,0)</f>
        <v>0</v>
      </c>
      <c r="AA881" s="38"/>
      <c r="AB881" s="36">
        <f>IFERROR(AA881/$AD881,0)</f>
        <v>0</v>
      </c>
      <c r="AC881" s="35"/>
      <c r="AD881" s="38"/>
    </row>
    <row r="882" spans="1:30" ht="15.75" customHeight="1" x14ac:dyDescent="0.25">
      <c r="A882" s="37">
        <v>2018</v>
      </c>
      <c r="B882" s="35">
        <v>170710</v>
      </c>
      <c r="C882" s="34" t="s">
        <v>144</v>
      </c>
      <c r="D882" s="34" t="s">
        <v>51</v>
      </c>
      <c r="E882" s="35"/>
      <c r="F882" s="36">
        <f>IFERROR(E882/$AC882,0)</f>
        <v>0</v>
      </c>
      <c r="G882" s="38"/>
      <c r="H882" s="36">
        <f>IFERROR(G882/$AD882,0)</f>
        <v>0</v>
      </c>
      <c r="I882" s="35"/>
      <c r="J882" s="36">
        <f>IFERROR(I882/$AC882,0)</f>
        <v>0</v>
      </c>
      <c r="K882" s="38"/>
      <c r="L882" s="36">
        <f>IFERROR(K882/$AD882,0)</f>
        <v>0</v>
      </c>
      <c r="M882" s="35"/>
      <c r="N882" s="36">
        <f>IFERROR(M882/$AC882,0)</f>
        <v>0</v>
      </c>
      <c r="O882" s="38"/>
      <c r="P882" s="36">
        <f>IFERROR(O882/$AD882,0)</f>
        <v>0</v>
      </c>
      <c r="Q882" s="35"/>
      <c r="R882" s="36">
        <f>IFERROR(Q882/$AC882,0)</f>
        <v>0</v>
      </c>
      <c r="S882" s="38"/>
      <c r="T882" s="36">
        <f>IFERROR(S882/$AD882,0)</f>
        <v>0</v>
      </c>
      <c r="U882" s="35"/>
      <c r="V882" s="36">
        <f>IFERROR(U882/$AC882,0)</f>
        <v>0</v>
      </c>
      <c r="W882" s="38"/>
      <c r="X882" s="36">
        <f>IFERROR(W882/$AD882,0)</f>
        <v>0</v>
      </c>
      <c r="Y882" s="35"/>
      <c r="Z882" s="36">
        <f>IFERROR(Y882/$AC882,0)</f>
        <v>0</v>
      </c>
      <c r="AA882" s="38"/>
      <c r="AB882" s="36">
        <f>IFERROR(AA882/$AD882,0)</f>
        <v>0</v>
      </c>
      <c r="AC882" s="35"/>
      <c r="AD882" s="38"/>
    </row>
    <row r="883" spans="1:30" ht="15.75" customHeight="1" x14ac:dyDescent="0.25">
      <c r="A883" s="37">
        <v>2018</v>
      </c>
      <c r="B883" s="35">
        <v>170720</v>
      </c>
      <c r="C883" s="34" t="s">
        <v>144</v>
      </c>
      <c r="D883" s="34" t="s">
        <v>52</v>
      </c>
      <c r="E883" s="35"/>
      <c r="F883" s="36">
        <f>IFERROR(E883/$AC883,0)</f>
        <v>0</v>
      </c>
      <c r="G883" s="38"/>
      <c r="H883" s="36">
        <f>IFERROR(G883/$AD883,0)</f>
        <v>0</v>
      </c>
      <c r="I883" s="35"/>
      <c r="J883" s="36">
        <f>IFERROR(I883/$AC883,0)</f>
        <v>0</v>
      </c>
      <c r="K883" s="38"/>
      <c r="L883" s="36">
        <f>IFERROR(K883/$AD883,0)</f>
        <v>0</v>
      </c>
      <c r="M883" s="35"/>
      <c r="N883" s="36">
        <f>IFERROR(M883/$AC883,0)</f>
        <v>0</v>
      </c>
      <c r="O883" s="38"/>
      <c r="P883" s="36">
        <f>IFERROR(O883/$AD883,0)</f>
        <v>0</v>
      </c>
      <c r="Q883" s="35"/>
      <c r="R883" s="36">
        <f>IFERROR(Q883/$AC883,0)</f>
        <v>0</v>
      </c>
      <c r="S883" s="38"/>
      <c r="T883" s="36">
        <f>IFERROR(S883/$AD883,0)</f>
        <v>0</v>
      </c>
      <c r="U883" s="35"/>
      <c r="V883" s="36">
        <f>IFERROR(U883/$AC883,0)</f>
        <v>0</v>
      </c>
      <c r="W883" s="38"/>
      <c r="X883" s="36">
        <f>IFERROR(W883/$AD883,0)</f>
        <v>0</v>
      </c>
      <c r="Y883" s="35"/>
      <c r="Z883" s="36">
        <f>IFERROR(Y883/$AC883,0)</f>
        <v>0</v>
      </c>
      <c r="AA883" s="38"/>
      <c r="AB883" s="36">
        <f>IFERROR(AA883/$AD883,0)</f>
        <v>0</v>
      </c>
      <c r="AC883" s="35"/>
      <c r="AD883" s="38"/>
    </row>
    <row r="884" spans="1:30" ht="15.75" customHeight="1" x14ac:dyDescent="0.25">
      <c r="A884" s="37">
        <v>2018</v>
      </c>
      <c r="B884" s="35">
        <v>170730</v>
      </c>
      <c r="C884" s="34" t="s">
        <v>146</v>
      </c>
      <c r="D884" s="34" t="s">
        <v>53</v>
      </c>
      <c r="E884" s="35"/>
      <c r="F884" s="36">
        <f>IFERROR(E884/$AC884,0)</f>
        <v>0</v>
      </c>
      <c r="G884" s="38"/>
      <c r="H884" s="36">
        <f>IFERROR(G884/$AD884,0)</f>
        <v>0</v>
      </c>
      <c r="I884" s="35"/>
      <c r="J884" s="36">
        <f>IFERROR(I884/$AC884,0)</f>
        <v>0</v>
      </c>
      <c r="K884" s="38"/>
      <c r="L884" s="36">
        <f>IFERROR(K884/$AD884,0)</f>
        <v>0</v>
      </c>
      <c r="M884" s="35"/>
      <c r="N884" s="36">
        <f>IFERROR(M884/$AC884,0)</f>
        <v>0</v>
      </c>
      <c r="O884" s="38"/>
      <c r="P884" s="36">
        <f>IFERROR(O884/$AD884,0)</f>
        <v>0</v>
      </c>
      <c r="Q884" s="35"/>
      <c r="R884" s="36">
        <f>IFERROR(Q884/$AC884,0)</f>
        <v>0</v>
      </c>
      <c r="S884" s="38"/>
      <c r="T884" s="36">
        <f>IFERROR(S884/$AD884,0)</f>
        <v>0</v>
      </c>
      <c r="U884" s="35"/>
      <c r="V884" s="36">
        <f>IFERROR(U884/$AC884,0)</f>
        <v>0</v>
      </c>
      <c r="W884" s="38"/>
      <c r="X884" s="36">
        <f>IFERROR(W884/$AD884,0)</f>
        <v>0</v>
      </c>
      <c r="Y884" s="35"/>
      <c r="Z884" s="36">
        <f>IFERROR(Y884/$AC884,0)</f>
        <v>0</v>
      </c>
      <c r="AA884" s="38"/>
      <c r="AB884" s="36">
        <f>IFERROR(AA884/$AD884,0)</f>
        <v>0</v>
      </c>
      <c r="AC884" s="35"/>
      <c r="AD884" s="38"/>
    </row>
    <row r="885" spans="1:30" ht="15.75" customHeight="1" x14ac:dyDescent="0.25">
      <c r="A885" s="37">
        <v>2018</v>
      </c>
      <c r="B885" s="35">
        <v>170740</v>
      </c>
      <c r="C885" s="34" t="s">
        <v>145</v>
      </c>
      <c r="D885" s="34" t="s">
        <v>54</v>
      </c>
      <c r="E885" s="35"/>
      <c r="F885" s="36">
        <f>IFERROR(E885/$AC885,0)</f>
        <v>0</v>
      </c>
      <c r="G885" s="38"/>
      <c r="H885" s="36">
        <f>IFERROR(G885/$AD885,0)</f>
        <v>0</v>
      </c>
      <c r="I885" s="35"/>
      <c r="J885" s="36">
        <f>IFERROR(I885/$AC885,0)</f>
        <v>0</v>
      </c>
      <c r="K885" s="38"/>
      <c r="L885" s="36">
        <f>IFERROR(K885/$AD885,0)</f>
        <v>0</v>
      </c>
      <c r="M885" s="35"/>
      <c r="N885" s="36">
        <f>IFERROR(M885/$AC885,0)</f>
        <v>0</v>
      </c>
      <c r="O885" s="38"/>
      <c r="P885" s="36">
        <f>IFERROR(O885/$AD885,0)</f>
        <v>0</v>
      </c>
      <c r="Q885" s="35"/>
      <c r="R885" s="36">
        <f>IFERROR(Q885/$AC885,0)</f>
        <v>0</v>
      </c>
      <c r="S885" s="38"/>
      <c r="T885" s="36">
        <f>IFERROR(S885/$AD885,0)</f>
        <v>0</v>
      </c>
      <c r="U885" s="35"/>
      <c r="V885" s="36">
        <f>IFERROR(U885/$AC885,0)</f>
        <v>0</v>
      </c>
      <c r="W885" s="38"/>
      <c r="X885" s="36">
        <f>IFERROR(W885/$AD885,0)</f>
        <v>0</v>
      </c>
      <c r="Y885" s="35"/>
      <c r="Z885" s="36">
        <f>IFERROR(Y885/$AC885,0)</f>
        <v>0</v>
      </c>
      <c r="AA885" s="38"/>
      <c r="AB885" s="36">
        <f>IFERROR(AA885/$AD885,0)</f>
        <v>0</v>
      </c>
      <c r="AC885" s="35"/>
      <c r="AD885" s="38"/>
    </row>
    <row r="886" spans="1:30" ht="15.75" customHeight="1" x14ac:dyDescent="0.25">
      <c r="A886" s="37">
        <v>2018</v>
      </c>
      <c r="B886" s="35">
        <v>170755</v>
      </c>
      <c r="C886" s="34" t="s">
        <v>151</v>
      </c>
      <c r="D886" s="34" t="s">
        <v>55</v>
      </c>
      <c r="E886" s="35"/>
      <c r="F886" s="36">
        <f>IFERROR(E886/$AC886,0)</f>
        <v>0</v>
      </c>
      <c r="G886" s="38"/>
      <c r="H886" s="36">
        <f>IFERROR(G886/$AD886,0)</f>
        <v>0</v>
      </c>
      <c r="I886" s="35"/>
      <c r="J886" s="36">
        <f>IFERROR(I886/$AC886,0)</f>
        <v>0</v>
      </c>
      <c r="K886" s="38"/>
      <c r="L886" s="36">
        <f>IFERROR(K886/$AD886,0)</f>
        <v>0</v>
      </c>
      <c r="M886" s="35"/>
      <c r="N886" s="36">
        <f>IFERROR(M886/$AC886,0)</f>
        <v>0</v>
      </c>
      <c r="O886" s="38"/>
      <c r="P886" s="36">
        <f>IFERROR(O886/$AD886,0)</f>
        <v>0</v>
      </c>
      <c r="Q886" s="35"/>
      <c r="R886" s="36">
        <f>IFERROR(Q886/$AC886,0)</f>
        <v>0</v>
      </c>
      <c r="S886" s="38"/>
      <c r="T886" s="36">
        <f>IFERROR(S886/$AD886,0)</f>
        <v>0</v>
      </c>
      <c r="U886" s="35"/>
      <c r="V886" s="36">
        <f>IFERROR(U886/$AC886,0)</f>
        <v>0</v>
      </c>
      <c r="W886" s="38"/>
      <c r="X886" s="36">
        <f>IFERROR(W886/$AD886,0)</f>
        <v>0</v>
      </c>
      <c r="Y886" s="35"/>
      <c r="Z886" s="36">
        <f>IFERROR(Y886/$AC886,0)</f>
        <v>0</v>
      </c>
      <c r="AA886" s="38"/>
      <c r="AB886" s="36">
        <f>IFERROR(AA886/$AD886,0)</f>
        <v>0</v>
      </c>
      <c r="AC886" s="35"/>
      <c r="AD886" s="38"/>
    </row>
    <row r="887" spans="1:30" ht="15.75" customHeight="1" x14ac:dyDescent="0.25">
      <c r="A887" s="37">
        <v>2018</v>
      </c>
      <c r="B887" s="35">
        <v>170765</v>
      </c>
      <c r="C887" s="34" t="s">
        <v>146</v>
      </c>
      <c r="D887" s="34" t="s">
        <v>56</v>
      </c>
      <c r="E887" s="35"/>
      <c r="F887" s="36">
        <f>IFERROR(E887/$AC887,0)</f>
        <v>0</v>
      </c>
      <c r="G887" s="38"/>
      <c r="H887" s="36">
        <f>IFERROR(G887/$AD887,0)</f>
        <v>0</v>
      </c>
      <c r="I887" s="35"/>
      <c r="J887" s="36">
        <f>IFERROR(I887/$AC887,0)</f>
        <v>0</v>
      </c>
      <c r="K887" s="38"/>
      <c r="L887" s="36">
        <f>IFERROR(K887/$AD887,0)</f>
        <v>0</v>
      </c>
      <c r="M887" s="35"/>
      <c r="N887" s="36">
        <f>IFERROR(M887/$AC887,0)</f>
        <v>0</v>
      </c>
      <c r="O887" s="38"/>
      <c r="P887" s="36">
        <f>IFERROR(O887/$AD887,0)</f>
        <v>0</v>
      </c>
      <c r="Q887" s="35"/>
      <c r="R887" s="36">
        <f>IFERROR(Q887/$AC887,0)</f>
        <v>0</v>
      </c>
      <c r="S887" s="38"/>
      <c r="T887" s="36">
        <f>IFERROR(S887/$AD887,0)</f>
        <v>0</v>
      </c>
      <c r="U887" s="35"/>
      <c r="V887" s="36">
        <f>IFERROR(U887/$AC887,0)</f>
        <v>0</v>
      </c>
      <c r="W887" s="38"/>
      <c r="X887" s="36">
        <f>IFERROR(W887/$AD887,0)</f>
        <v>0</v>
      </c>
      <c r="Y887" s="35"/>
      <c r="Z887" s="36">
        <f>IFERROR(Y887/$AC887,0)</f>
        <v>0</v>
      </c>
      <c r="AA887" s="38"/>
      <c r="AB887" s="36">
        <f>IFERROR(AA887/$AD887,0)</f>
        <v>0</v>
      </c>
      <c r="AC887" s="35"/>
      <c r="AD887" s="38"/>
    </row>
    <row r="888" spans="1:30" ht="15.75" customHeight="1" x14ac:dyDescent="0.25">
      <c r="A888" s="37">
        <v>2018</v>
      </c>
      <c r="B888" s="35">
        <v>170770</v>
      </c>
      <c r="C888" s="34" t="s">
        <v>149</v>
      </c>
      <c r="D888" s="34" t="s">
        <v>57</v>
      </c>
      <c r="E888" s="35"/>
      <c r="F888" s="36">
        <f>IFERROR(E888/$AC888,0)</f>
        <v>0</v>
      </c>
      <c r="G888" s="38"/>
      <c r="H888" s="36">
        <f>IFERROR(G888/$AD888,0)</f>
        <v>0</v>
      </c>
      <c r="I888" s="35"/>
      <c r="J888" s="36">
        <f>IFERROR(I888/$AC888,0)</f>
        <v>0</v>
      </c>
      <c r="K888" s="38"/>
      <c r="L888" s="36">
        <f>IFERROR(K888/$AD888,0)</f>
        <v>0</v>
      </c>
      <c r="M888" s="35"/>
      <c r="N888" s="36">
        <f>IFERROR(M888/$AC888,0)</f>
        <v>0</v>
      </c>
      <c r="O888" s="38"/>
      <c r="P888" s="36">
        <f>IFERROR(O888/$AD888,0)</f>
        <v>0</v>
      </c>
      <c r="Q888" s="35"/>
      <c r="R888" s="36">
        <f>IFERROR(Q888/$AC888,0)</f>
        <v>0</v>
      </c>
      <c r="S888" s="38"/>
      <c r="T888" s="36">
        <f>IFERROR(S888/$AD888,0)</f>
        <v>0</v>
      </c>
      <c r="U888" s="35"/>
      <c r="V888" s="36">
        <f>IFERROR(U888/$AC888,0)</f>
        <v>0</v>
      </c>
      <c r="W888" s="38"/>
      <c r="X888" s="36">
        <f>IFERROR(W888/$AD888,0)</f>
        <v>0</v>
      </c>
      <c r="Y888" s="35"/>
      <c r="Z888" s="36">
        <f>IFERROR(Y888/$AC888,0)</f>
        <v>0</v>
      </c>
      <c r="AA888" s="38"/>
      <c r="AB888" s="36">
        <f>IFERROR(AA888/$AD888,0)</f>
        <v>0</v>
      </c>
      <c r="AC888" s="35"/>
      <c r="AD888" s="38"/>
    </row>
    <row r="889" spans="1:30" ht="15.75" customHeight="1" x14ac:dyDescent="0.25">
      <c r="A889" s="37">
        <v>2018</v>
      </c>
      <c r="B889" s="35">
        <v>170820</v>
      </c>
      <c r="C889" s="34" t="s">
        <v>146</v>
      </c>
      <c r="D889" s="34" t="s">
        <v>58</v>
      </c>
      <c r="E889" s="35"/>
      <c r="F889" s="36">
        <f>IFERROR(E889/$AC889,0)</f>
        <v>0</v>
      </c>
      <c r="G889" s="38"/>
      <c r="H889" s="36">
        <f>IFERROR(G889/$AD889,0)</f>
        <v>0</v>
      </c>
      <c r="I889" s="35"/>
      <c r="J889" s="36">
        <f>IFERROR(I889/$AC889,0)</f>
        <v>0</v>
      </c>
      <c r="K889" s="38"/>
      <c r="L889" s="36">
        <f>IFERROR(K889/$AD889,0)</f>
        <v>0</v>
      </c>
      <c r="M889" s="35"/>
      <c r="N889" s="36">
        <f>IFERROR(M889/$AC889,0)</f>
        <v>0</v>
      </c>
      <c r="O889" s="38"/>
      <c r="P889" s="36">
        <f>IFERROR(O889/$AD889,0)</f>
        <v>0</v>
      </c>
      <c r="Q889" s="35"/>
      <c r="R889" s="36">
        <f>IFERROR(Q889/$AC889,0)</f>
        <v>0</v>
      </c>
      <c r="S889" s="38"/>
      <c r="T889" s="36">
        <f>IFERROR(S889/$AD889,0)</f>
        <v>0</v>
      </c>
      <c r="U889" s="35"/>
      <c r="V889" s="36">
        <f>IFERROR(U889/$AC889,0)</f>
        <v>0</v>
      </c>
      <c r="W889" s="38"/>
      <c r="X889" s="36">
        <f>IFERROR(W889/$AD889,0)</f>
        <v>0</v>
      </c>
      <c r="Y889" s="35"/>
      <c r="Z889" s="36">
        <f>IFERROR(Y889/$AC889,0)</f>
        <v>0</v>
      </c>
      <c r="AA889" s="38"/>
      <c r="AB889" s="36">
        <f>IFERROR(AA889/$AD889,0)</f>
        <v>0</v>
      </c>
      <c r="AC889" s="35"/>
      <c r="AD889" s="38"/>
    </row>
    <row r="890" spans="1:30" ht="15.75" customHeight="1" x14ac:dyDescent="0.25">
      <c r="A890" s="37">
        <v>2018</v>
      </c>
      <c r="B890" s="35">
        <v>170830</v>
      </c>
      <c r="C890" s="34" t="s">
        <v>150</v>
      </c>
      <c r="D890" s="34" t="s">
        <v>59</v>
      </c>
      <c r="E890" s="35"/>
      <c r="F890" s="36">
        <f>IFERROR(E890/$AC890,0)</f>
        <v>0</v>
      </c>
      <c r="G890" s="38"/>
      <c r="H890" s="36">
        <f>IFERROR(G890/$AD890,0)</f>
        <v>0</v>
      </c>
      <c r="I890" s="35"/>
      <c r="J890" s="36">
        <f>IFERROR(I890/$AC890,0)</f>
        <v>0</v>
      </c>
      <c r="K890" s="38"/>
      <c r="L890" s="36">
        <f>IFERROR(K890/$AD890,0)</f>
        <v>0</v>
      </c>
      <c r="M890" s="35"/>
      <c r="N890" s="36">
        <f>IFERROR(M890/$AC890,0)</f>
        <v>0</v>
      </c>
      <c r="O890" s="38"/>
      <c r="P890" s="36">
        <f>IFERROR(O890/$AD890,0)</f>
        <v>0</v>
      </c>
      <c r="Q890" s="35"/>
      <c r="R890" s="36">
        <f>IFERROR(Q890/$AC890,0)</f>
        <v>0</v>
      </c>
      <c r="S890" s="38"/>
      <c r="T890" s="36">
        <f>IFERROR(S890/$AD890,0)</f>
        <v>0</v>
      </c>
      <c r="U890" s="35"/>
      <c r="V890" s="36">
        <f>IFERROR(U890/$AC890,0)</f>
        <v>0</v>
      </c>
      <c r="W890" s="38"/>
      <c r="X890" s="36">
        <f>IFERROR(W890/$AD890,0)</f>
        <v>0</v>
      </c>
      <c r="Y890" s="35"/>
      <c r="Z890" s="36">
        <f>IFERROR(Y890/$AC890,0)</f>
        <v>0</v>
      </c>
      <c r="AA890" s="38"/>
      <c r="AB890" s="36">
        <f>IFERROR(AA890/$AD890,0)</f>
        <v>0</v>
      </c>
      <c r="AC890" s="35"/>
      <c r="AD890" s="38"/>
    </row>
    <row r="891" spans="1:30" ht="15.75" customHeight="1" x14ac:dyDescent="0.25">
      <c r="A891" s="37">
        <v>2018</v>
      </c>
      <c r="B891" s="35">
        <v>170900</v>
      </c>
      <c r="C891" s="34" t="s">
        <v>149</v>
      </c>
      <c r="D891" s="34" t="s">
        <v>60</v>
      </c>
      <c r="E891" s="35"/>
      <c r="F891" s="36">
        <f>IFERROR(E891/$AC891,0)</f>
        <v>0</v>
      </c>
      <c r="G891" s="38"/>
      <c r="H891" s="36">
        <f>IFERROR(G891/$AD891,0)</f>
        <v>0</v>
      </c>
      <c r="I891" s="35"/>
      <c r="J891" s="36">
        <f>IFERROR(I891/$AC891,0)</f>
        <v>0</v>
      </c>
      <c r="K891" s="38"/>
      <c r="L891" s="36">
        <f>IFERROR(K891/$AD891,0)</f>
        <v>0</v>
      </c>
      <c r="M891" s="35"/>
      <c r="N891" s="36">
        <f>IFERROR(M891/$AC891,0)</f>
        <v>0</v>
      </c>
      <c r="O891" s="38"/>
      <c r="P891" s="36">
        <f>IFERROR(O891/$AD891,0)</f>
        <v>0</v>
      </c>
      <c r="Q891" s="35"/>
      <c r="R891" s="36">
        <f>IFERROR(Q891/$AC891,0)</f>
        <v>0</v>
      </c>
      <c r="S891" s="38"/>
      <c r="T891" s="36">
        <f>IFERROR(S891/$AD891,0)</f>
        <v>0</v>
      </c>
      <c r="U891" s="35"/>
      <c r="V891" s="36">
        <f>IFERROR(U891/$AC891,0)</f>
        <v>0</v>
      </c>
      <c r="W891" s="38"/>
      <c r="X891" s="36">
        <f>IFERROR(W891/$AD891,0)</f>
        <v>0</v>
      </c>
      <c r="Y891" s="35"/>
      <c r="Z891" s="36">
        <f>IFERROR(Y891/$AC891,0)</f>
        <v>0</v>
      </c>
      <c r="AA891" s="38"/>
      <c r="AB891" s="36">
        <f>IFERROR(AA891/$AD891,0)</f>
        <v>0</v>
      </c>
      <c r="AC891" s="35"/>
      <c r="AD891" s="38"/>
    </row>
    <row r="892" spans="1:30" ht="15.75" customHeight="1" x14ac:dyDescent="0.25">
      <c r="A892" s="37">
        <v>2018</v>
      </c>
      <c r="B892" s="35">
        <v>170930</v>
      </c>
      <c r="C892" s="34" t="s">
        <v>150</v>
      </c>
      <c r="D892" s="34" t="s">
        <v>61</v>
      </c>
      <c r="E892" s="35"/>
      <c r="F892" s="36">
        <f>IFERROR(E892/$AC892,0)</f>
        <v>0</v>
      </c>
      <c r="G892" s="38"/>
      <c r="H892" s="36">
        <f>IFERROR(G892/$AD892,0)</f>
        <v>0</v>
      </c>
      <c r="I892" s="35"/>
      <c r="J892" s="36">
        <f>IFERROR(I892/$AC892,0)</f>
        <v>0</v>
      </c>
      <c r="K892" s="38"/>
      <c r="L892" s="36">
        <f>IFERROR(K892/$AD892,0)</f>
        <v>0</v>
      </c>
      <c r="M892" s="35"/>
      <c r="N892" s="36">
        <f>IFERROR(M892/$AC892,0)</f>
        <v>0</v>
      </c>
      <c r="O892" s="38"/>
      <c r="P892" s="36">
        <f>IFERROR(O892/$AD892,0)</f>
        <v>0</v>
      </c>
      <c r="Q892" s="35"/>
      <c r="R892" s="36">
        <f>IFERROR(Q892/$AC892,0)</f>
        <v>0</v>
      </c>
      <c r="S892" s="38"/>
      <c r="T892" s="36">
        <f>IFERROR(S892/$AD892,0)</f>
        <v>0</v>
      </c>
      <c r="U892" s="35"/>
      <c r="V892" s="36">
        <f>IFERROR(U892/$AC892,0)</f>
        <v>0</v>
      </c>
      <c r="W892" s="38"/>
      <c r="X892" s="36">
        <f>IFERROR(W892/$AD892,0)</f>
        <v>0</v>
      </c>
      <c r="Y892" s="35"/>
      <c r="Z892" s="36">
        <f>IFERROR(Y892/$AC892,0)</f>
        <v>0</v>
      </c>
      <c r="AA892" s="38"/>
      <c r="AB892" s="36">
        <f>IFERROR(AA892/$AD892,0)</f>
        <v>0</v>
      </c>
      <c r="AC892" s="35"/>
      <c r="AD892" s="38"/>
    </row>
    <row r="893" spans="1:30" ht="15.75" customHeight="1" x14ac:dyDescent="0.25">
      <c r="A893" s="37">
        <v>2018</v>
      </c>
      <c r="B893" s="35">
        <v>170950</v>
      </c>
      <c r="C893" s="34" t="s">
        <v>146</v>
      </c>
      <c r="D893" s="34" t="s">
        <v>62</v>
      </c>
      <c r="E893" s="35"/>
      <c r="F893" s="36">
        <f>IFERROR(E893/$AC893,0)</f>
        <v>0</v>
      </c>
      <c r="G893" s="38"/>
      <c r="H893" s="36">
        <f>IFERROR(G893/$AD893,0)</f>
        <v>0</v>
      </c>
      <c r="I893" s="35"/>
      <c r="J893" s="36">
        <f>IFERROR(I893/$AC893,0)</f>
        <v>0</v>
      </c>
      <c r="K893" s="38"/>
      <c r="L893" s="36">
        <f>IFERROR(K893/$AD893,0)</f>
        <v>0</v>
      </c>
      <c r="M893" s="35"/>
      <c r="N893" s="36">
        <f>IFERROR(M893/$AC893,0)</f>
        <v>0</v>
      </c>
      <c r="O893" s="39"/>
      <c r="P893" s="36">
        <f>IFERROR(O893/$AD893,0)</f>
        <v>0</v>
      </c>
      <c r="Q893" s="35"/>
      <c r="R893" s="36">
        <f>IFERROR(Q893/$AC893,0)</f>
        <v>0</v>
      </c>
      <c r="S893" s="38"/>
      <c r="T893" s="36">
        <f>IFERROR(S893/$AD893,0)</f>
        <v>0</v>
      </c>
      <c r="U893" s="35"/>
      <c r="V893" s="36">
        <f>IFERROR(U893/$AC893,0)</f>
        <v>0</v>
      </c>
      <c r="W893" s="38"/>
      <c r="X893" s="36">
        <f>IFERROR(W893/$AD893,0)</f>
        <v>0</v>
      </c>
      <c r="Y893" s="35"/>
      <c r="Z893" s="36">
        <f>IFERROR(Y893/$AC893,0)</f>
        <v>0</v>
      </c>
      <c r="AA893" s="39"/>
      <c r="AB893" s="36">
        <f>IFERROR(AA893/$AD893,0)</f>
        <v>0</v>
      </c>
      <c r="AC893" s="35"/>
      <c r="AD893" s="39"/>
    </row>
    <row r="894" spans="1:30" ht="15.75" customHeight="1" x14ac:dyDescent="0.25">
      <c r="A894" s="37">
        <v>2018</v>
      </c>
      <c r="B894" s="35">
        <v>170980</v>
      </c>
      <c r="C894" s="34" t="s">
        <v>151</v>
      </c>
      <c r="D894" s="34" t="s">
        <v>63</v>
      </c>
      <c r="E894" s="35"/>
      <c r="F894" s="36">
        <f>IFERROR(E894/$AC894,0)</f>
        <v>0</v>
      </c>
      <c r="G894" s="38"/>
      <c r="H894" s="36">
        <f>IFERROR(G894/$AD894,0)</f>
        <v>0</v>
      </c>
      <c r="I894" s="35"/>
      <c r="J894" s="36">
        <f>IFERROR(I894/$AC894,0)</f>
        <v>0</v>
      </c>
      <c r="K894" s="38"/>
      <c r="L894" s="36">
        <f>IFERROR(K894/$AD894,0)</f>
        <v>0</v>
      </c>
      <c r="M894" s="35"/>
      <c r="N894" s="36">
        <f>IFERROR(M894/$AC894,0)</f>
        <v>0</v>
      </c>
      <c r="O894" s="38"/>
      <c r="P894" s="36">
        <f>IFERROR(O894/$AD894,0)</f>
        <v>0</v>
      </c>
      <c r="Q894" s="35"/>
      <c r="R894" s="36">
        <f>IFERROR(Q894/$AC894,0)</f>
        <v>0</v>
      </c>
      <c r="S894" s="38"/>
      <c r="T894" s="36">
        <f>IFERROR(S894/$AD894,0)</f>
        <v>0</v>
      </c>
      <c r="U894" s="35"/>
      <c r="V894" s="36">
        <f>IFERROR(U894/$AC894,0)</f>
        <v>0</v>
      </c>
      <c r="W894" s="38"/>
      <c r="X894" s="36">
        <f>IFERROR(W894/$AD894,0)</f>
        <v>0</v>
      </c>
      <c r="Y894" s="35"/>
      <c r="Z894" s="36">
        <f>IFERROR(Y894/$AC894,0)</f>
        <v>0</v>
      </c>
      <c r="AA894" s="38"/>
      <c r="AB894" s="36">
        <f>IFERROR(AA894/$AD894,0)</f>
        <v>0</v>
      </c>
      <c r="AC894" s="35"/>
      <c r="AD894" s="38"/>
    </row>
    <row r="895" spans="1:30" ht="15.75" customHeight="1" x14ac:dyDescent="0.25">
      <c r="A895" s="37">
        <v>2018</v>
      </c>
      <c r="B895" s="35">
        <v>171050</v>
      </c>
      <c r="C895" s="34" t="s">
        <v>150</v>
      </c>
      <c r="D895" s="34" t="s">
        <v>64</v>
      </c>
      <c r="E895" s="35"/>
      <c r="F895" s="36">
        <f>IFERROR(E895/$AC895,0)</f>
        <v>0</v>
      </c>
      <c r="G895" s="38"/>
      <c r="H895" s="36">
        <f>IFERROR(G895/$AD895,0)</f>
        <v>0</v>
      </c>
      <c r="I895" s="35"/>
      <c r="J895" s="36">
        <f>IFERROR(I895/$AC895,0)</f>
        <v>0</v>
      </c>
      <c r="K895" s="38"/>
      <c r="L895" s="36">
        <f>IFERROR(K895/$AD895,0)</f>
        <v>0</v>
      </c>
      <c r="M895" s="35"/>
      <c r="N895" s="36">
        <f>IFERROR(M895/$AC895,0)</f>
        <v>0</v>
      </c>
      <c r="O895" s="38"/>
      <c r="P895" s="36">
        <f>IFERROR(O895/$AD895,0)</f>
        <v>0</v>
      </c>
      <c r="Q895" s="35"/>
      <c r="R895" s="36">
        <f>IFERROR(Q895/$AC895,0)</f>
        <v>0</v>
      </c>
      <c r="S895" s="38"/>
      <c r="T895" s="36">
        <f>IFERROR(S895/$AD895,0)</f>
        <v>0</v>
      </c>
      <c r="U895" s="35"/>
      <c r="V895" s="36">
        <f>IFERROR(U895/$AC895,0)</f>
        <v>0</v>
      </c>
      <c r="W895" s="38"/>
      <c r="X895" s="36">
        <f>IFERROR(W895/$AD895,0)</f>
        <v>0</v>
      </c>
      <c r="Y895" s="35"/>
      <c r="Z895" s="36">
        <f>IFERROR(Y895/$AC895,0)</f>
        <v>0</v>
      </c>
      <c r="AA895" s="38"/>
      <c r="AB895" s="36">
        <f>IFERROR(AA895/$AD895,0)</f>
        <v>0</v>
      </c>
      <c r="AC895" s="35"/>
      <c r="AD895" s="38"/>
    </row>
    <row r="896" spans="1:30" ht="15.75" customHeight="1" x14ac:dyDescent="0.25">
      <c r="A896" s="37">
        <v>2018</v>
      </c>
      <c r="B896" s="35">
        <v>171070</v>
      </c>
      <c r="C896" s="34" t="s">
        <v>145</v>
      </c>
      <c r="D896" s="34" t="s">
        <v>65</v>
      </c>
      <c r="E896" s="35"/>
      <c r="F896" s="36">
        <f>IFERROR(E896/$AC896,0)</f>
        <v>0</v>
      </c>
      <c r="G896" s="38"/>
      <c r="H896" s="36">
        <f>IFERROR(G896/$AD896,0)</f>
        <v>0</v>
      </c>
      <c r="I896" s="35"/>
      <c r="J896" s="36">
        <f>IFERROR(I896/$AC896,0)</f>
        <v>0</v>
      </c>
      <c r="K896" s="38"/>
      <c r="L896" s="36">
        <f>IFERROR(K896/$AD896,0)</f>
        <v>0</v>
      </c>
      <c r="M896" s="35"/>
      <c r="N896" s="36">
        <f>IFERROR(M896/$AC896,0)</f>
        <v>0</v>
      </c>
      <c r="O896" s="38"/>
      <c r="P896" s="36">
        <f>IFERROR(O896/$AD896,0)</f>
        <v>0</v>
      </c>
      <c r="Q896" s="35"/>
      <c r="R896" s="36">
        <f>IFERROR(Q896/$AC896,0)</f>
        <v>0</v>
      </c>
      <c r="S896" s="38"/>
      <c r="T896" s="36">
        <f>IFERROR(S896/$AD896,0)</f>
        <v>0</v>
      </c>
      <c r="U896" s="35"/>
      <c r="V896" s="36">
        <f>IFERROR(U896/$AC896,0)</f>
        <v>0</v>
      </c>
      <c r="W896" s="38"/>
      <c r="X896" s="36">
        <f>IFERROR(W896/$AD896,0)</f>
        <v>0</v>
      </c>
      <c r="Y896" s="35"/>
      <c r="Z896" s="36">
        <f>IFERROR(Y896/$AC896,0)</f>
        <v>0</v>
      </c>
      <c r="AA896" s="38"/>
      <c r="AB896" s="36">
        <f>IFERROR(AA896/$AD896,0)</f>
        <v>0</v>
      </c>
      <c r="AC896" s="35"/>
      <c r="AD896" s="38"/>
    </row>
    <row r="897" spans="1:30" ht="15.75" customHeight="1" x14ac:dyDescent="0.25">
      <c r="A897" s="37">
        <v>2018</v>
      </c>
      <c r="B897" s="35">
        <v>171090</v>
      </c>
      <c r="C897" s="34" t="s">
        <v>150</v>
      </c>
      <c r="D897" s="34" t="s">
        <v>66</v>
      </c>
      <c r="E897" s="35"/>
      <c r="F897" s="36">
        <f>IFERROR(E897/$AC897,0)</f>
        <v>0</v>
      </c>
      <c r="G897" s="38"/>
      <c r="H897" s="36">
        <f>IFERROR(G897/$AD897,0)</f>
        <v>0</v>
      </c>
      <c r="I897" s="35"/>
      <c r="J897" s="36">
        <f>IFERROR(I897/$AC897,0)</f>
        <v>0</v>
      </c>
      <c r="K897" s="38"/>
      <c r="L897" s="36">
        <f>IFERROR(K897/$AD897,0)</f>
        <v>0</v>
      </c>
      <c r="M897" s="35"/>
      <c r="N897" s="36">
        <f>IFERROR(M897/$AC897,0)</f>
        <v>0</v>
      </c>
      <c r="O897" s="38"/>
      <c r="P897" s="36">
        <f>IFERROR(O897/$AD897,0)</f>
        <v>0</v>
      </c>
      <c r="Q897" s="35"/>
      <c r="R897" s="36">
        <f>IFERROR(Q897/$AC897,0)</f>
        <v>0</v>
      </c>
      <c r="S897" s="38"/>
      <c r="T897" s="36">
        <f>IFERROR(S897/$AD897,0)</f>
        <v>0</v>
      </c>
      <c r="U897" s="35"/>
      <c r="V897" s="36">
        <f>IFERROR(U897/$AC897,0)</f>
        <v>0</v>
      </c>
      <c r="W897" s="38"/>
      <c r="X897" s="36">
        <f>IFERROR(W897/$AD897,0)</f>
        <v>0</v>
      </c>
      <c r="Y897" s="35"/>
      <c r="Z897" s="36">
        <f>IFERROR(Y897/$AC897,0)</f>
        <v>0</v>
      </c>
      <c r="AA897" s="38"/>
      <c r="AB897" s="36">
        <f>IFERROR(AA897/$AD897,0)</f>
        <v>0</v>
      </c>
      <c r="AC897" s="35"/>
      <c r="AD897" s="38"/>
    </row>
    <row r="898" spans="1:30" ht="15.75" customHeight="1" x14ac:dyDescent="0.25">
      <c r="A898" s="37">
        <v>2018</v>
      </c>
      <c r="B898" s="35">
        <v>171110</v>
      </c>
      <c r="C898" s="34" t="s">
        <v>150</v>
      </c>
      <c r="D898" s="34" t="s">
        <v>67</v>
      </c>
      <c r="E898" s="35"/>
      <c r="F898" s="36">
        <f>IFERROR(E898/$AC898,0)</f>
        <v>0</v>
      </c>
      <c r="G898" s="38"/>
      <c r="H898" s="36">
        <f>IFERROR(G898/$AD898,0)</f>
        <v>0</v>
      </c>
      <c r="I898" s="35"/>
      <c r="J898" s="36">
        <f>IFERROR(I898/$AC898,0)</f>
        <v>0</v>
      </c>
      <c r="K898" s="38"/>
      <c r="L898" s="36">
        <f>IFERROR(K898/$AD898,0)</f>
        <v>0</v>
      </c>
      <c r="M898" s="35"/>
      <c r="N898" s="36">
        <f>IFERROR(M898/$AC898,0)</f>
        <v>0</v>
      </c>
      <c r="O898" s="38"/>
      <c r="P898" s="36">
        <f>IFERROR(O898/$AD898,0)</f>
        <v>0</v>
      </c>
      <c r="Q898" s="35"/>
      <c r="R898" s="36">
        <f>IFERROR(Q898/$AC898,0)</f>
        <v>0</v>
      </c>
      <c r="S898" s="38"/>
      <c r="T898" s="36">
        <f>IFERROR(S898/$AD898,0)</f>
        <v>0</v>
      </c>
      <c r="U898" s="35"/>
      <c r="V898" s="36">
        <f>IFERROR(U898/$AC898,0)</f>
        <v>0</v>
      </c>
      <c r="W898" s="38"/>
      <c r="X898" s="36">
        <f>IFERROR(W898/$AD898,0)</f>
        <v>0</v>
      </c>
      <c r="Y898" s="35"/>
      <c r="Z898" s="36">
        <f>IFERROR(Y898/$AC898,0)</f>
        <v>0</v>
      </c>
      <c r="AA898" s="38"/>
      <c r="AB898" s="36">
        <f>IFERROR(AA898/$AD898,0)</f>
        <v>0</v>
      </c>
      <c r="AC898" s="35"/>
      <c r="AD898" s="38"/>
    </row>
    <row r="899" spans="1:30" ht="15.75" customHeight="1" x14ac:dyDescent="0.25">
      <c r="A899" s="37">
        <v>2018</v>
      </c>
      <c r="B899" s="35">
        <v>171150</v>
      </c>
      <c r="C899" s="34" t="s">
        <v>146</v>
      </c>
      <c r="D899" s="34" t="s">
        <v>68</v>
      </c>
      <c r="E899" s="35"/>
      <c r="F899" s="36">
        <f>IFERROR(E899/$AC899,0)</f>
        <v>0</v>
      </c>
      <c r="G899" s="38"/>
      <c r="H899" s="36">
        <f>IFERROR(G899/$AD899,0)</f>
        <v>0</v>
      </c>
      <c r="I899" s="35"/>
      <c r="J899" s="36">
        <f>IFERROR(I899/$AC899,0)</f>
        <v>0</v>
      </c>
      <c r="K899" s="38"/>
      <c r="L899" s="36">
        <f>IFERROR(K899/$AD899,0)</f>
        <v>0</v>
      </c>
      <c r="M899" s="35"/>
      <c r="N899" s="36">
        <f>IFERROR(M899/$AC899,0)</f>
        <v>0</v>
      </c>
      <c r="O899" s="38"/>
      <c r="P899" s="36">
        <f>IFERROR(O899/$AD899,0)</f>
        <v>0</v>
      </c>
      <c r="Q899" s="35"/>
      <c r="R899" s="36">
        <f>IFERROR(Q899/$AC899,0)</f>
        <v>0</v>
      </c>
      <c r="S899" s="38"/>
      <c r="T899" s="36">
        <f>IFERROR(S899/$AD899,0)</f>
        <v>0</v>
      </c>
      <c r="U899" s="35"/>
      <c r="V899" s="36">
        <f>IFERROR(U899/$AC899,0)</f>
        <v>0</v>
      </c>
      <c r="W899" s="38"/>
      <c r="X899" s="36">
        <f>IFERROR(W899/$AD899,0)</f>
        <v>0</v>
      </c>
      <c r="Y899" s="35"/>
      <c r="Z899" s="36">
        <f>IFERROR(Y899/$AC899,0)</f>
        <v>0</v>
      </c>
      <c r="AA899" s="38"/>
      <c r="AB899" s="36">
        <f>IFERROR(AA899/$AD899,0)</f>
        <v>0</v>
      </c>
      <c r="AC899" s="35"/>
      <c r="AD899" s="38"/>
    </row>
    <row r="900" spans="1:30" ht="15.75" customHeight="1" x14ac:dyDescent="0.25">
      <c r="A900" s="37">
        <v>2018</v>
      </c>
      <c r="B900" s="35">
        <v>171180</v>
      </c>
      <c r="C900" s="34" t="s">
        <v>150</v>
      </c>
      <c r="D900" s="34" t="s">
        <v>69</v>
      </c>
      <c r="E900" s="35"/>
      <c r="F900" s="36">
        <f>IFERROR(E900/$AC900,0)</f>
        <v>0</v>
      </c>
      <c r="G900" s="38"/>
      <c r="H900" s="36">
        <f>IFERROR(G900/$AD900,0)</f>
        <v>0</v>
      </c>
      <c r="I900" s="35"/>
      <c r="J900" s="36">
        <f>IFERROR(I900/$AC900,0)</f>
        <v>0</v>
      </c>
      <c r="K900" s="38"/>
      <c r="L900" s="36">
        <f>IFERROR(K900/$AD900,0)</f>
        <v>0</v>
      </c>
      <c r="M900" s="35"/>
      <c r="N900" s="36">
        <f>IFERROR(M900/$AC900,0)</f>
        <v>0</v>
      </c>
      <c r="O900" s="38"/>
      <c r="P900" s="36">
        <f>IFERROR(O900/$AD900,0)</f>
        <v>0</v>
      </c>
      <c r="Q900" s="35"/>
      <c r="R900" s="36">
        <f>IFERROR(Q900/$AC900,0)</f>
        <v>0</v>
      </c>
      <c r="S900" s="38"/>
      <c r="T900" s="36">
        <f>IFERROR(S900/$AD900,0)</f>
        <v>0</v>
      </c>
      <c r="U900" s="35"/>
      <c r="V900" s="36">
        <f>IFERROR(U900/$AC900,0)</f>
        <v>0</v>
      </c>
      <c r="W900" s="38"/>
      <c r="X900" s="36">
        <f>IFERROR(W900/$AD900,0)</f>
        <v>0</v>
      </c>
      <c r="Y900" s="35"/>
      <c r="Z900" s="36">
        <f>IFERROR(Y900/$AC900,0)</f>
        <v>0</v>
      </c>
      <c r="AA900" s="38"/>
      <c r="AB900" s="36">
        <f>IFERROR(AA900/$AD900,0)</f>
        <v>0</v>
      </c>
      <c r="AC900" s="35"/>
      <c r="AD900" s="38"/>
    </row>
    <row r="901" spans="1:30" ht="15.75" customHeight="1" x14ac:dyDescent="0.25">
      <c r="A901" s="37">
        <v>2018</v>
      </c>
      <c r="B901" s="35">
        <v>171190</v>
      </c>
      <c r="C901" s="34" t="s">
        <v>144</v>
      </c>
      <c r="D901" s="34" t="s">
        <v>70</v>
      </c>
      <c r="E901" s="35"/>
      <c r="F901" s="36">
        <f>IFERROR(E901/$AC901,0)</f>
        <v>0</v>
      </c>
      <c r="G901" s="38"/>
      <c r="H901" s="36">
        <f>IFERROR(G901/$AD901,0)</f>
        <v>0</v>
      </c>
      <c r="I901" s="35"/>
      <c r="J901" s="36">
        <f>IFERROR(I901/$AC901,0)</f>
        <v>0</v>
      </c>
      <c r="K901" s="38"/>
      <c r="L901" s="36">
        <f>IFERROR(K901/$AD901,0)</f>
        <v>0</v>
      </c>
      <c r="M901" s="35"/>
      <c r="N901" s="36">
        <f>IFERROR(M901/$AC901,0)</f>
        <v>0</v>
      </c>
      <c r="O901" s="38"/>
      <c r="P901" s="36">
        <f>IFERROR(O901/$AD901,0)</f>
        <v>0</v>
      </c>
      <c r="Q901" s="35"/>
      <c r="R901" s="36">
        <f>IFERROR(Q901/$AC901,0)</f>
        <v>0</v>
      </c>
      <c r="S901" s="38"/>
      <c r="T901" s="36">
        <f>IFERROR(S901/$AD901,0)</f>
        <v>0</v>
      </c>
      <c r="U901" s="35"/>
      <c r="V901" s="36">
        <f>IFERROR(U901/$AC901,0)</f>
        <v>0</v>
      </c>
      <c r="W901" s="38"/>
      <c r="X901" s="36">
        <f>IFERROR(W901/$AD901,0)</f>
        <v>0</v>
      </c>
      <c r="Y901" s="35"/>
      <c r="Z901" s="36">
        <f>IFERROR(Y901/$AC901,0)</f>
        <v>0</v>
      </c>
      <c r="AA901" s="38"/>
      <c r="AB901" s="36">
        <f>IFERROR(AA901/$AD901,0)</f>
        <v>0</v>
      </c>
      <c r="AC901" s="35"/>
      <c r="AD901" s="38"/>
    </row>
    <row r="902" spans="1:30" ht="15.75" customHeight="1" x14ac:dyDescent="0.25">
      <c r="A902" s="37">
        <v>2018</v>
      </c>
      <c r="B902" s="35">
        <v>171195</v>
      </c>
      <c r="C902" s="34" t="s">
        <v>148</v>
      </c>
      <c r="D902" s="34" t="s">
        <v>71</v>
      </c>
      <c r="E902" s="35"/>
      <c r="F902" s="36">
        <f>IFERROR(E902/$AC902,0)</f>
        <v>0</v>
      </c>
      <c r="G902" s="38"/>
      <c r="H902" s="36">
        <f>IFERROR(G902/$AD902,0)</f>
        <v>0</v>
      </c>
      <c r="I902" s="35"/>
      <c r="J902" s="36">
        <f>IFERROR(I902/$AC902,0)</f>
        <v>0</v>
      </c>
      <c r="K902" s="38"/>
      <c r="L902" s="36">
        <f>IFERROR(K902/$AD902,0)</f>
        <v>0</v>
      </c>
      <c r="M902" s="35"/>
      <c r="N902" s="36">
        <f>IFERROR(M902/$AC902,0)</f>
        <v>0</v>
      </c>
      <c r="O902" s="38"/>
      <c r="P902" s="36">
        <f>IFERROR(O902/$AD902,0)</f>
        <v>0</v>
      </c>
      <c r="Q902" s="35"/>
      <c r="R902" s="36">
        <f>IFERROR(Q902/$AC902,0)</f>
        <v>0</v>
      </c>
      <c r="S902" s="38"/>
      <c r="T902" s="36">
        <f>IFERROR(S902/$AD902,0)</f>
        <v>0</v>
      </c>
      <c r="U902" s="35"/>
      <c r="V902" s="36">
        <f>IFERROR(U902/$AC902,0)</f>
        <v>0</v>
      </c>
      <c r="W902" s="38"/>
      <c r="X902" s="36">
        <f>IFERROR(W902/$AD902,0)</f>
        <v>0</v>
      </c>
      <c r="Y902" s="35"/>
      <c r="Z902" s="36">
        <f>IFERROR(Y902/$AC902,0)</f>
        <v>0</v>
      </c>
      <c r="AA902" s="38"/>
      <c r="AB902" s="36">
        <f>IFERROR(AA902/$AD902,0)</f>
        <v>0</v>
      </c>
      <c r="AC902" s="35"/>
      <c r="AD902" s="38"/>
    </row>
    <row r="903" spans="1:30" ht="15.75" customHeight="1" x14ac:dyDescent="0.25">
      <c r="A903" s="37">
        <v>2018</v>
      </c>
      <c r="B903" s="35">
        <v>171200</v>
      </c>
      <c r="C903" s="34" t="s">
        <v>148</v>
      </c>
      <c r="D903" s="34" t="s">
        <v>72</v>
      </c>
      <c r="E903" s="35"/>
      <c r="F903" s="36">
        <f>IFERROR(E903/$AC903,0)</f>
        <v>0</v>
      </c>
      <c r="G903" s="38"/>
      <c r="H903" s="36">
        <f>IFERROR(G903/$AD903,0)</f>
        <v>0</v>
      </c>
      <c r="I903" s="35"/>
      <c r="J903" s="36">
        <f>IFERROR(I903/$AC903,0)</f>
        <v>0</v>
      </c>
      <c r="K903" s="38"/>
      <c r="L903" s="36">
        <f>IFERROR(K903/$AD903,0)</f>
        <v>0</v>
      </c>
      <c r="M903" s="35"/>
      <c r="N903" s="36">
        <f>IFERROR(M903/$AC903,0)</f>
        <v>0</v>
      </c>
      <c r="O903" s="38"/>
      <c r="P903" s="36">
        <f>IFERROR(O903/$AD903,0)</f>
        <v>0</v>
      </c>
      <c r="Q903" s="35"/>
      <c r="R903" s="36">
        <f>IFERROR(Q903/$AC903,0)</f>
        <v>0</v>
      </c>
      <c r="S903" s="38"/>
      <c r="T903" s="36">
        <f>IFERROR(S903/$AD903,0)</f>
        <v>0</v>
      </c>
      <c r="U903" s="35"/>
      <c r="V903" s="36">
        <f>IFERROR(U903/$AC903,0)</f>
        <v>0</v>
      </c>
      <c r="W903" s="38"/>
      <c r="X903" s="36">
        <f>IFERROR(W903/$AD903,0)</f>
        <v>0</v>
      </c>
      <c r="Y903" s="35"/>
      <c r="Z903" s="36">
        <f>IFERROR(Y903/$AC903,0)</f>
        <v>0</v>
      </c>
      <c r="AA903" s="38"/>
      <c r="AB903" s="36">
        <f>IFERROR(AA903/$AD903,0)</f>
        <v>0</v>
      </c>
      <c r="AC903" s="35"/>
      <c r="AD903" s="38"/>
    </row>
    <row r="904" spans="1:30" ht="15.75" customHeight="1" x14ac:dyDescent="0.25">
      <c r="A904" s="37">
        <v>2018</v>
      </c>
      <c r="B904" s="35">
        <v>171215</v>
      </c>
      <c r="C904" s="34" t="s">
        <v>147</v>
      </c>
      <c r="D904" s="34" t="s">
        <v>73</v>
      </c>
      <c r="E904" s="35"/>
      <c r="F904" s="36">
        <f>IFERROR(E904/$AC904,0)</f>
        <v>0</v>
      </c>
      <c r="G904" s="38"/>
      <c r="H904" s="36">
        <f>IFERROR(G904/$AD904,0)</f>
        <v>0</v>
      </c>
      <c r="I904" s="35"/>
      <c r="J904" s="36">
        <f>IFERROR(I904/$AC904,0)</f>
        <v>0</v>
      </c>
      <c r="K904" s="38"/>
      <c r="L904" s="36">
        <f>IFERROR(K904/$AD904,0)</f>
        <v>0</v>
      </c>
      <c r="M904" s="35"/>
      <c r="N904" s="36">
        <f>IFERROR(M904/$AC904,0)</f>
        <v>0</v>
      </c>
      <c r="O904" s="38"/>
      <c r="P904" s="36">
        <f>IFERROR(O904/$AD904,0)</f>
        <v>0</v>
      </c>
      <c r="Q904" s="35"/>
      <c r="R904" s="36">
        <f>IFERROR(Q904/$AC904,0)</f>
        <v>0</v>
      </c>
      <c r="S904" s="38"/>
      <c r="T904" s="36">
        <f>IFERROR(S904/$AD904,0)</f>
        <v>0</v>
      </c>
      <c r="U904" s="35"/>
      <c r="V904" s="36">
        <f>IFERROR(U904/$AC904,0)</f>
        <v>0</v>
      </c>
      <c r="W904" s="38"/>
      <c r="X904" s="36">
        <f>IFERROR(W904/$AD904,0)</f>
        <v>0</v>
      </c>
      <c r="Y904" s="35"/>
      <c r="Z904" s="36">
        <f>IFERROR(Y904/$AC904,0)</f>
        <v>0</v>
      </c>
      <c r="AA904" s="38"/>
      <c r="AB904" s="36">
        <f>IFERROR(AA904/$AD904,0)</f>
        <v>0</v>
      </c>
      <c r="AC904" s="35"/>
      <c r="AD904" s="38"/>
    </row>
    <row r="905" spans="1:30" ht="15.75" customHeight="1" x14ac:dyDescent="0.25">
      <c r="A905" s="37">
        <v>2018</v>
      </c>
      <c r="B905" s="35">
        <v>171240</v>
      </c>
      <c r="C905" s="34" t="s">
        <v>148</v>
      </c>
      <c r="D905" s="34" t="s">
        <v>74</v>
      </c>
      <c r="E905" s="35"/>
      <c r="F905" s="36">
        <f>IFERROR(E905/$AC905,0)</f>
        <v>0</v>
      </c>
      <c r="G905" s="38"/>
      <c r="H905" s="36">
        <f>IFERROR(G905/$AD905,0)</f>
        <v>0</v>
      </c>
      <c r="I905" s="35"/>
      <c r="J905" s="36">
        <f>IFERROR(I905/$AC905,0)</f>
        <v>0</v>
      </c>
      <c r="K905" s="38"/>
      <c r="L905" s="36">
        <f>IFERROR(K905/$AD905,0)</f>
        <v>0</v>
      </c>
      <c r="M905" s="35"/>
      <c r="N905" s="36">
        <f>IFERROR(M905/$AC905,0)</f>
        <v>0</v>
      </c>
      <c r="O905" s="38"/>
      <c r="P905" s="36">
        <f>IFERROR(O905/$AD905,0)</f>
        <v>0</v>
      </c>
      <c r="Q905" s="35"/>
      <c r="R905" s="36">
        <f>IFERROR(Q905/$AC905,0)</f>
        <v>0</v>
      </c>
      <c r="S905" s="38"/>
      <c r="T905" s="36">
        <f>IFERROR(S905/$AD905,0)</f>
        <v>0</v>
      </c>
      <c r="U905" s="35"/>
      <c r="V905" s="36">
        <f>IFERROR(U905/$AC905,0)</f>
        <v>0</v>
      </c>
      <c r="W905" s="38"/>
      <c r="X905" s="36">
        <f>IFERROR(W905/$AD905,0)</f>
        <v>0</v>
      </c>
      <c r="Y905" s="35"/>
      <c r="Z905" s="36">
        <f>IFERROR(Y905/$AC905,0)</f>
        <v>0</v>
      </c>
      <c r="AA905" s="38"/>
      <c r="AB905" s="36">
        <f>IFERROR(AA905/$AD905,0)</f>
        <v>0</v>
      </c>
      <c r="AC905" s="35"/>
      <c r="AD905" s="38"/>
    </row>
    <row r="906" spans="1:30" ht="15.75" customHeight="1" x14ac:dyDescent="0.25">
      <c r="A906" s="37">
        <v>2018</v>
      </c>
      <c r="B906" s="35">
        <v>171245</v>
      </c>
      <c r="C906" s="34" t="s">
        <v>145</v>
      </c>
      <c r="D906" s="34" t="s">
        <v>75</v>
      </c>
      <c r="E906" s="35"/>
      <c r="F906" s="36">
        <f>IFERROR(E906/$AC906,0)</f>
        <v>0</v>
      </c>
      <c r="G906" s="38"/>
      <c r="H906" s="36">
        <f>IFERROR(G906/$AD906,0)</f>
        <v>0</v>
      </c>
      <c r="I906" s="35"/>
      <c r="J906" s="36">
        <f>IFERROR(I906/$AC906,0)</f>
        <v>0</v>
      </c>
      <c r="K906" s="38"/>
      <c r="L906" s="36">
        <f>IFERROR(K906/$AD906,0)</f>
        <v>0</v>
      </c>
      <c r="M906" s="35"/>
      <c r="N906" s="36">
        <f>IFERROR(M906/$AC906,0)</f>
        <v>0</v>
      </c>
      <c r="O906" s="38"/>
      <c r="P906" s="36">
        <f>IFERROR(O906/$AD906,0)</f>
        <v>0</v>
      </c>
      <c r="Q906" s="35"/>
      <c r="R906" s="36">
        <f>IFERROR(Q906/$AC906,0)</f>
        <v>0</v>
      </c>
      <c r="S906" s="38"/>
      <c r="T906" s="36">
        <f>IFERROR(S906/$AD906,0)</f>
        <v>0</v>
      </c>
      <c r="U906" s="35"/>
      <c r="V906" s="36">
        <f>IFERROR(U906/$AC906,0)</f>
        <v>0</v>
      </c>
      <c r="W906" s="38"/>
      <c r="X906" s="36">
        <f>IFERROR(W906/$AD906,0)</f>
        <v>0</v>
      </c>
      <c r="Y906" s="35"/>
      <c r="Z906" s="36">
        <f>IFERROR(Y906/$AC906,0)</f>
        <v>0</v>
      </c>
      <c r="AA906" s="38"/>
      <c r="AB906" s="36">
        <f>IFERROR(AA906/$AD906,0)</f>
        <v>0</v>
      </c>
      <c r="AC906" s="35"/>
      <c r="AD906" s="38"/>
    </row>
    <row r="907" spans="1:30" ht="15.75" customHeight="1" x14ac:dyDescent="0.25">
      <c r="A907" s="37">
        <v>2018</v>
      </c>
      <c r="B907" s="35">
        <v>171250</v>
      </c>
      <c r="C907" s="34" t="s">
        <v>144</v>
      </c>
      <c r="D907" s="34" t="s">
        <v>76</v>
      </c>
      <c r="E907" s="35"/>
      <c r="F907" s="36">
        <f>IFERROR(E907/$AC907,0)</f>
        <v>0</v>
      </c>
      <c r="G907" s="38"/>
      <c r="H907" s="36">
        <f>IFERROR(G907/$AD907,0)</f>
        <v>0</v>
      </c>
      <c r="I907" s="35"/>
      <c r="J907" s="36">
        <f>IFERROR(I907/$AC907,0)</f>
        <v>0</v>
      </c>
      <c r="K907" s="38"/>
      <c r="L907" s="36">
        <f>IFERROR(K907/$AD907,0)</f>
        <v>0</v>
      </c>
      <c r="M907" s="35"/>
      <c r="N907" s="36">
        <f>IFERROR(M907/$AC907,0)</f>
        <v>0</v>
      </c>
      <c r="O907" s="38"/>
      <c r="P907" s="36">
        <f>IFERROR(O907/$AD907,0)</f>
        <v>0</v>
      </c>
      <c r="Q907" s="35"/>
      <c r="R907" s="36">
        <f>IFERROR(Q907/$AC907,0)</f>
        <v>0</v>
      </c>
      <c r="S907" s="38"/>
      <c r="T907" s="36">
        <f>IFERROR(S907/$AD907,0)</f>
        <v>0</v>
      </c>
      <c r="U907" s="35"/>
      <c r="V907" s="36">
        <f>IFERROR(U907/$AC907,0)</f>
        <v>0</v>
      </c>
      <c r="W907" s="38"/>
      <c r="X907" s="36">
        <f>IFERROR(W907/$AD907,0)</f>
        <v>0</v>
      </c>
      <c r="Y907" s="35"/>
      <c r="Z907" s="36">
        <f>IFERROR(Y907/$AC907,0)</f>
        <v>0</v>
      </c>
      <c r="AA907" s="38"/>
      <c r="AB907" s="36">
        <f>IFERROR(AA907/$AD907,0)</f>
        <v>0</v>
      </c>
      <c r="AC907" s="35"/>
      <c r="AD907" s="38"/>
    </row>
    <row r="908" spans="1:30" ht="15.75" customHeight="1" x14ac:dyDescent="0.25">
      <c r="A908" s="37">
        <v>2018</v>
      </c>
      <c r="B908" s="35">
        <v>171270</v>
      </c>
      <c r="C908" s="34" t="s">
        <v>151</v>
      </c>
      <c r="D908" s="34" t="s">
        <v>77</v>
      </c>
      <c r="E908" s="35"/>
      <c r="F908" s="36">
        <f>IFERROR(E908/$AC908,0)</f>
        <v>0</v>
      </c>
      <c r="G908" s="38"/>
      <c r="H908" s="36">
        <f>IFERROR(G908/$AD908,0)</f>
        <v>0</v>
      </c>
      <c r="I908" s="35"/>
      <c r="J908" s="36">
        <f>IFERROR(I908/$AC908,0)</f>
        <v>0</v>
      </c>
      <c r="K908" s="38"/>
      <c r="L908" s="36">
        <f>IFERROR(K908/$AD908,0)</f>
        <v>0</v>
      </c>
      <c r="M908" s="35"/>
      <c r="N908" s="36">
        <f>IFERROR(M908/$AC908,0)</f>
        <v>0</v>
      </c>
      <c r="O908" s="38"/>
      <c r="P908" s="36">
        <f>IFERROR(O908/$AD908,0)</f>
        <v>0</v>
      </c>
      <c r="Q908" s="35"/>
      <c r="R908" s="36">
        <f>IFERROR(Q908/$AC908,0)</f>
        <v>0</v>
      </c>
      <c r="S908" s="38"/>
      <c r="T908" s="36">
        <f>IFERROR(S908/$AD908,0)</f>
        <v>0</v>
      </c>
      <c r="U908" s="35"/>
      <c r="V908" s="36">
        <f>IFERROR(U908/$AC908,0)</f>
        <v>0</v>
      </c>
      <c r="W908" s="38"/>
      <c r="X908" s="36">
        <f>IFERROR(W908/$AD908,0)</f>
        <v>0</v>
      </c>
      <c r="Y908" s="35"/>
      <c r="Z908" s="36">
        <f>IFERROR(Y908/$AC908,0)</f>
        <v>0</v>
      </c>
      <c r="AA908" s="38"/>
      <c r="AB908" s="36">
        <f>IFERROR(AA908/$AD908,0)</f>
        <v>0</v>
      </c>
      <c r="AC908" s="35"/>
      <c r="AD908" s="38"/>
    </row>
    <row r="909" spans="1:30" ht="15.75" customHeight="1" x14ac:dyDescent="0.25">
      <c r="A909" s="37">
        <v>2018</v>
      </c>
      <c r="B909" s="35">
        <v>171280</v>
      </c>
      <c r="C909" s="34" t="s">
        <v>145</v>
      </c>
      <c r="D909" s="34" t="s">
        <v>78</v>
      </c>
      <c r="E909" s="35"/>
      <c r="F909" s="36">
        <f>IFERROR(E909/$AC909,0)</f>
        <v>0</v>
      </c>
      <c r="G909" s="38"/>
      <c r="H909" s="36">
        <f>IFERROR(G909/$AD909,0)</f>
        <v>0</v>
      </c>
      <c r="I909" s="35"/>
      <c r="J909" s="36">
        <f>IFERROR(I909/$AC909,0)</f>
        <v>0</v>
      </c>
      <c r="K909" s="38"/>
      <c r="L909" s="36">
        <f>IFERROR(K909/$AD909,0)</f>
        <v>0</v>
      </c>
      <c r="M909" s="35"/>
      <c r="N909" s="36">
        <f>IFERROR(M909/$AC909,0)</f>
        <v>0</v>
      </c>
      <c r="O909" s="38"/>
      <c r="P909" s="36">
        <f>IFERROR(O909/$AD909,0)</f>
        <v>0</v>
      </c>
      <c r="Q909" s="35"/>
      <c r="R909" s="36">
        <f>IFERROR(Q909/$AC909,0)</f>
        <v>0</v>
      </c>
      <c r="S909" s="38"/>
      <c r="T909" s="36">
        <f>IFERROR(S909/$AD909,0)</f>
        <v>0</v>
      </c>
      <c r="U909" s="35"/>
      <c r="V909" s="36">
        <f>IFERROR(U909/$AC909,0)</f>
        <v>0</v>
      </c>
      <c r="W909" s="38"/>
      <c r="X909" s="36">
        <f>IFERROR(W909/$AD909,0)</f>
        <v>0</v>
      </c>
      <c r="Y909" s="35"/>
      <c r="Z909" s="36">
        <f>IFERROR(Y909/$AC909,0)</f>
        <v>0</v>
      </c>
      <c r="AA909" s="38"/>
      <c r="AB909" s="36">
        <f>IFERROR(AA909/$AD909,0)</f>
        <v>0</v>
      </c>
      <c r="AC909" s="35"/>
      <c r="AD909" s="38"/>
    </row>
    <row r="910" spans="1:30" ht="15.75" customHeight="1" x14ac:dyDescent="0.25">
      <c r="A910" s="37">
        <v>2018</v>
      </c>
      <c r="B910" s="35">
        <v>171320</v>
      </c>
      <c r="C910" s="34" t="s">
        <v>148</v>
      </c>
      <c r="D910" s="34" t="s">
        <v>79</v>
      </c>
      <c r="E910" s="35"/>
      <c r="F910" s="36">
        <f>IFERROR(E910/$AC910,0)</f>
        <v>0</v>
      </c>
      <c r="G910" s="38"/>
      <c r="H910" s="36">
        <f>IFERROR(G910/$AD910,0)</f>
        <v>0</v>
      </c>
      <c r="I910" s="35"/>
      <c r="J910" s="36">
        <f>IFERROR(I910/$AC910,0)</f>
        <v>0</v>
      </c>
      <c r="K910" s="38"/>
      <c r="L910" s="36">
        <f>IFERROR(K910/$AD910,0)</f>
        <v>0</v>
      </c>
      <c r="M910" s="35"/>
      <c r="N910" s="36">
        <f>IFERROR(M910/$AC910,0)</f>
        <v>0</v>
      </c>
      <c r="O910" s="38"/>
      <c r="P910" s="36">
        <f>IFERROR(O910/$AD910,0)</f>
        <v>0</v>
      </c>
      <c r="Q910" s="35"/>
      <c r="R910" s="36">
        <f>IFERROR(Q910/$AC910,0)</f>
        <v>0</v>
      </c>
      <c r="S910" s="38"/>
      <c r="T910" s="36">
        <f>IFERROR(S910/$AD910,0)</f>
        <v>0</v>
      </c>
      <c r="U910" s="35"/>
      <c r="V910" s="36">
        <f>IFERROR(U910/$AC910,0)</f>
        <v>0</v>
      </c>
      <c r="W910" s="38"/>
      <c r="X910" s="36">
        <f>IFERROR(W910/$AD910,0)</f>
        <v>0</v>
      </c>
      <c r="Y910" s="35"/>
      <c r="Z910" s="36">
        <f>IFERROR(Y910/$AC910,0)</f>
        <v>0</v>
      </c>
      <c r="AA910" s="38"/>
      <c r="AB910" s="36">
        <f>IFERROR(AA910/$AD910,0)</f>
        <v>0</v>
      </c>
      <c r="AC910" s="35"/>
      <c r="AD910" s="38"/>
    </row>
    <row r="911" spans="1:30" ht="15.75" customHeight="1" x14ac:dyDescent="0.25">
      <c r="A911" s="37">
        <v>2018</v>
      </c>
      <c r="B911" s="35">
        <v>171330</v>
      </c>
      <c r="C911" s="34" t="s">
        <v>148</v>
      </c>
      <c r="D911" s="34" t="s">
        <v>80</v>
      </c>
      <c r="E911" s="35"/>
      <c r="F911" s="36">
        <f>IFERROR(E911/$AC911,0)</f>
        <v>0</v>
      </c>
      <c r="G911" s="38"/>
      <c r="H911" s="36">
        <f>IFERROR(G911/$AD911,0)</f>
        <v>0</v>
      </c>
      <c r="I911" s="35"/>
      <c r="J911" s="36">
        <f>IFERROR(I911/$AC911,0)</f>
        <v>0</v>
      </c>
      <c r="K911" s="38"/>
      <c r="L911" s="36">
        <f>IFERROR(K911/$AD911,0)</f>
        <v>0</v>
      </c>
      <c r="M911" s="35"/>
      <c r="N911" s="36">
        <f>IFERROR(M911/$AC911,0)</f>
        <v>0</v>
      </c>
      <c r="O911" s="38"/>
      <c r="P911" s="36">
        <f>IFERROR(O911/$AD911,0)</f>
        <v>0</v>
      </c>
      <c r="Q911" s="35"/>
      <c r="R911" s="36">
        <f>IFERROR(Q911/$AC911,0)</f>
        <v>0</v>
      </c>
      <c r="S911" s="38"/>
      <c r="T911" s="36">
        <f>IFERROR(S911/$AD911,0)</f>
        <v>0</v>
      </c>
      <c r="U911" s="35"/>
      <c r="V911" s="36">
        <f>IFERROR(U911/$AC911,0)</f>
        <v>0</v>
      </c>
      <c r="W911" s="38"/>
      <c r="X911" s="36">
        <f>IFERROR(W911/$AD911,0)</f>
        <v>0</v>
      </c>
      <c r="Y911" s="35"/>
      <c r="Z911" s="36">
        <f>IFERROR(Y911/$AC911,0)</f>
        <v>0</v>
      </c>
      <c r="AA911" s="38"/>
      <c r="AB911" s="36">
        <f>IFERROR(AA911/$AD911,0)</f>
        <v>0</v>
      </c>
      <c r="AC911" s="35"/>
      <c r="AD911" s="38"/>
    </row>
    <row r="912" spans="1:30" ht="15.75" customHeight="1" x14ac:dyDescent="0.25">
      <c r="A912" s="37">
        <v>2018</v>
      </c>
      <c r="B912" s="35">
        <v>171360</v>
      </c>
      <c r="C912" s="34" t="s">
        <v>151</v>
      </c>
      <c r="D912" s="34" t="s">
        <v>81</v>
      </c>
      <c r="E912" s="35"/>
      <c r="F912" s="36">
        <f>IFERROR(E912/$AC912,0)</f>
        <v>0</v>
      </c>
      <c r="G912" s="38"/>
      <c r="H912" s="36">
        <f>IFERROR(G912/$AD912,0)</f>
        <v>0</v>
      </c>
      <c r="I912" s="35"/>
      <c r="J912" s="36">
        <f>IFERROR(I912/$AC912,0)</f>
        <v>0</v>
      </c>
      <c r="K912" s="38"/>
      <c r="L912" s="36">
        <f>IFERROR(K912/$AD912,0)</f>
        <v>0</v>
      </c>
      <c r="M912" s="35"/>
      <c r="N912" s="36">
        <f>IFERROR(M912/$AC912,0)</f>
        <v>0</v>
      </c>
      <c r="O912" s="38"/>
      <c r="P912" s="36">
        <f>IFERROR(O912/$AD912,0)</f>
        <v>0</v>
      </c>
      <c r="Q912" s="35"/>
      <c r="R912" s="36">
        <f>IFERROR(Q912/$AC912,0)</f>
        <v>0</v>
      </c>
      <c r="S912" s="38"/>
      <c r="T912" s="36">
        <f>IFERROR(S912/$AD912,0)</f>
        <v>0</v>
      </c>
      <c r="U912" s="35"/>
      <c r="V912" s="36">
        <f>IFERROR(U912/$AC912,0)</f>
        <v>0</v>
      </c>
      <c r="W912" s="38"/>
      <c r="X912" s="36">
        <f>IFERROR(W912/$AD912,0)</f>
        <v>0</v>
      </c>
      <c r="Y912" s="35"/>
      <c r="Z912" s="36">
        <f>IFERROR(Y912/$AC912,0)</f>
        <v>0</v>
      </c>
      <c r="AA912" s="38"/>
      <c r="AB912" s="36">
        <f>IFERROR(AA912/$AD912,0)</f>
        <v>0</v>
      </c>
      <c r="AC912" s="35"/>
      <c r="AD912" s="38"/>
    </row>
    <row r="913" spans="1:30" ht="15.75" customHeight="1" x14ac:dyDescent="0.25">
      <c r="A913" s="37">
        <v>2018</v>
      </c>
      <c r="B913" s="35">
        <v>171370</v>
      </c>
      <c r="C913" s="34" t="s">
        <v>144</v>
      </c>
      <c r="D913" s="34" t="s">
        <v>82</v>
      </c>
      <c r="E913" s="35"/>
      <c r="F913" s="36">
        <f>IFERROR(E913/$AC913,0)</f>
        <v>0</v>
      </c>
      <c r="G913" s="38"/>
      <c r="H913" s="36">
        <f>IFERROR(G913/$AD913,0)</f>
        <v>0</v>
      </c>
      <c r="I913" s="35"/>
      <c r="J913" s="36">
        <f>IFERROR(I913/$AC913,0)</f>
        <v>0</v>
      </c>
      <c r="K913" s="38"/>
      <c r="L913" s="36">
        <f>IFERROR(K913/$AD913,0)</f>
        <v>0</v>
      </c>
      <c r="M913" s="35"/>
      <c r="N913" s="36">
        <f>IFERROR(M913/$AC913,0)</f>
        <v>0</v>
      </c>
      <c r="O913" s="38"/>
      <c r="P913" s="36">
        <f>IFERROR(O913/$AD913,0)</f>
        <v>0</v>
      </c>
      <c r="Q913" s="35"/>
      <c r="R913" s="36">
        <f>IFERROR(Q913/$AC913,0)</f>
        <v>0</v>
      </c>
      <c r="S913" s="38"/>
      <c r="T913" s="36">
        <f>IFERROR(S913/$AD913,0)</f>
        <v>0</v>
      </c>
      <c r="U913" s="35"/>
      <c r="V913" s="36">
        <f>IFERROR(U913/$AC913,0)</f>
        <v>0</v>
      </c>
      <c r="W913" s="38"/>
      <c r="X913" s="36">
        <f>IFERROR(W913/$AD913,0)</f>
        <v>0</v>
      </c>
      <c r="Y913" s="35"/>
      <c r="Z913" s="36">
        <f>IFERROR(Y913/$AC913,0)</f>
        <v>0</v>
      </c>
      <c r="AA913" s="38"/>
      <c r="AB913" s="36">
        <f>IFERROR(AA913/$AD913,0)</f>
        <v>0</v>
      </c>
      <c r="AC913" s="35"/>
      <c r="AD913" s="38"/>
    </row>
    <row r="914" spans="1:30" ht="15.75" customHeight="1" x14ac:dyDescent="0.25">
      <c r="A914" s="37">
        <v>2018</v>
      </c>
      <c r="B914" s="35">
        <v>171395</v>
      </c>
      <c r="C914" s="34" t="s">
        <v>149</v>
      </c>
      <c r="D914" s="34" t="s">
        <v>83</v>
      </c>
      <c r="E914" s="35"/>
      <c r="F914" s="36">
        <f>IFERROR(E914/$AC914,0)</f>
        <v>0</v>
      </c>
      <c r="G914" s="38"/>
      <c r="H914" s="36">
        <f>IFERROR(G914/$AD914,0)</f>
        <v>0</v>
      </c>
      <c r="I914" s="35"/>
      <c r="J914" s="36">
        <f>IFERROR(I914/$AC914,0)</f>
        <v>0</v>
      </c>
      <c r="K914" s="38"/>
      <c r="L914" s="36">
        <f>IFERROR(K914/$AD914,0)</f>
        <v>0</v>
      </c>
      <c r="M914" s="35"/>
      <c r="N914" s="36">
        <f>IFERROR(M914/$AC914,0)</f>
        <v>0</v>
      </c>
      <c r="O914" s="38"/>
      <c r="P914" s="36">
        <f>IFERROR(O914/$AD914,0)</f>
        <v>0</v>
      </c>
      <c r="Q914" s="35"/>
      <c r="R914" s="36">
        <f>IFERROR(Q914/$AC914,0)</f>
        <v>0</v>
      </c>
      <c r="S914" s="38"/>
      <c r="T914" s="36">
        <f>IFERROR(S914/$AD914,0)</f>
        <v>0</v>
      </c>
      <c r="U914" s="35"/>
      <c r="V914" s="36">
        <f>IFERROR(U914/$AC914,0)</f>
        <v>0</v>
      </c>
      <c r="W914" s="38"/>
      <c r="X914" s="36">
        <f>IFERROR(W914/$AD914,0)</f>
        <v>0</v>
      </c>
      <c r="Y914" s="35"/>
      <c r="Z914" s="36">
        <f>IFERROR(Y914/$AC914,0)</f>
        <v>0</v>
      </c>
      <c r="AA914" s="38"/>
      <c r="AB914" s="36">
        <f>IFERROR(AA914/$AD914,0)</f>
        <v>0</v>
      </c>
      <c r="AC914" s="35"/>
      <c r="AD914" s="38"/>
    </row>
    <row r="915" spans="1:30" ht="15.75" customHeight="1" x14ac:dyDescent="0.25">
      <c r="A915" s="37">
        <v>2018</v>
      </c>
      <c r="B915" s="35">
        <v>171420</v>
      </c>
      <c r="C915" s="34" t="s">
        <v>151</v>
      </c>
      <c r="D915" s="34" t="s">
        <v>84</v>
      </c>
      <c r="E915" s="35"/>
      <c r="F915" s="36">
        <f>IFERROR(E915/$AC915,0)</f>
        <v>0</v>
      </c>
      <c r="G915" s="38"/>
      <c r="H915" s="36">
        <f>IFERROR(G915/$AD915,0)</f>
        <v>0</v>
      </c>
      <c r="I915" s="35"/>
      <c r="J915" s="36">
        <f>IFERROR(I915/$AC915,0)</f>
        <v>0</v>
      </c>
      <c r="K915" s="38"/>
      <c r="L915" s="36">
        <f>IFERROR(K915/$AD915,0)</f>
        <v>0</v>
      </c>
      <c r="M915" s="35"/>
      <c r="N915" s="36">
        <f>IFERROR(M915/$AC915,0)</f>
        <v>0</v>
      </c>
      <c r="O915" s="38"/>
      <c r="P915" s="36">
        <f>IFERROR(O915/$AD915,0)</f>
        <v>0</v>
      </c>
      <c r="Q915" s="35"/>
      <c r="R915" s="36">
        <f>IFERROR(Q915/$AC915,0)</f>
        <v>0</v>
      </c>
      <c r="S915" s="38"/>
      <c r="T915" s="36">
        <f>IFERROR(S915/$AD915,0)</f>
        <v>0</v>
      </c>
      <c r="U915" s="35"/>
      <c r="V915" s="36">
        <f>IFERROR(U915/$AC915,0)</f>
        <v>0</v>
      </c>
      <c r="W915" s="38"/>
      <c r="X915" s="36">
        <f>IFERROR(W915/$AD915,0)</f>
        <v>0</v>
      </c>
      <c r="Y915" s="35"/>
      <c r="Z915" s="36">
        <f>IFERROR(Y915/$AC915,0)</f>
        <v>0</v>
      </c>
      <c r="AA915" s="38"/>
      <c r="AB915" s="36">
        <f>IFERROR(AA915/$AD915,0)</f>
        <v>0</v>
      </c>
      <c r="AC915" s="35"/>
      <c r="AD915" s="38"/>
    </row>
    <row r="916" spans="1:30" ht="15.75" customHeight="1" x14ac:dyDescent="0.25">
      <c r="A916" s="37">
        <v>2018</v>
      </c>
      <c r="B916" s="35">
        <v>171430</v>
      </c>
      <c r="C916" s="34" t="s">
        <v>145</v>
      </c>
      <c r="D916" s="34" t="s">
        <v>85</v>
      </c>
      <c r="E916" s="35"/>
      <c r="F916" s="36">
        <f>IFERROR(E916/$AC916,0)</f>
        <v>0</v>
      </c>
      <c r="G916" s="38"/>
      <c r="H916" s="36">
        <f>IFERROR(G916/$AD916,0)</f>
        <v>0</v>
      </c>
      <c r="I916" s="35"/>
      <c r="J916" s="36">
        <f>IFERROR(I916/$AC916,0)</f>
        <v>0</v>
      </c>
      <c r="K916" s="38"/>
      <c r="L916" s="36">
        <f>IFERROR(K916/$AD916,0)</f>
        <v>0</v>
      </c>
      <c r="M916" s="35"/>
      <c r="N916" s="36">
        <f>IFERROR(M916/$AC916,0)</f>
        <v>0</v>
      </c>
      <c r="O916" s="38"/>
      <c r="P916" s="36">
        <f>IFERROR(O916/$AD916,0)</f>
        <v>0</v>
      </c>
      <c r="Q916" s="35"/>
      <c r="R916" s="36">
        <f>IFERROR(Q916/$AC916,0)</f>
        <v>0</v>
      </c>
      <c r="S916" s="38"/>
      <c r="T916" s="36">
        <f>IFERROR(S916/$AD916,0)</f>
        <v>0</v>
      </c>
      <c r="U916" s="35"/>
      <c r="V916" s="36">
        <f>IFERROR(U916/$AC916,0)</f>
        <v>0</v>
      </c>
      <c r="W916" s="38"/>
      <c r="X916" s="36">
        <f>IFERROR(W916/$AD916,0)</f>
        <v>0</v>
      </c>
      <c r="Y916" s="35"/>
      <c r="Z916" s="36">
        <f>IFERROR(Y916/$AC916,0)</f>
        <v>0</v>
      </c>
      <c r="AA916" s="38"/>
      <c r="AB916" s="36">
        <f>IFERROR(AA916/$AD916,0)</f>
        <v>0</v>
      </c>
      <c r="AC916" s="35"/>
      <c r="AD916" s="38"/>
    </row>
    <row r="917" spans="1:30" ht="15.75" customHeight="1" x14ac:dyDescent="0.25">
      <c r="A917" s="37">
        <v>2018</v>
      </c>
      <c r="B917" s="35">
        <v>171488</v>
      </c>
      <c r="C917" s="34" t="s">
        <v>149</v>
      </c>
      <c r="D917" s="34" t="s">
        <v>86</v>
      </c>
      <c r="E917" s="35"/>
      <c r="F917" s="36">
        <f>IFERROR(E917/$AC917,0)</f>
        <v>0</v>
      </c>
      <c r="G917" s="38"/>
      <c r="H917" s="36">
        <f>IFERROR(G917/$AD917,0)</f>
        <v>0</v>
      </c>
      <c r="I917" s="35"/>
      <c r="J917" s="36">
        <f>IFERROR(I917/$AC917,0)</f>
        <v>0</v>
      </c>
      <c r="K917" s="38"/>
      <c r="L917" s="36">
        <f>IFERROR(K917/$AD917,0)</f>
        <v>0</v>
      </c>
      <c r="M917" s="35"/>
      <c r="N917" s="36">
        <f>IFERROR(M917/$AC917,0)</f>
        <v>0</v>
      </c>
      <c r="O917" s="38"/>
      <c r="P917" s="36">
        <f>IFERROR(O917/$AD917,0)</f>
        <v>0</v>
      </c>
      <c r="Q917" s="35"/>
      <c r="R917" s="36">
        <f>IFERROR(Q917/$AC917,0)</f>
        <v>0</v>
      </c>
      <c r="S917" s="38"/>
      <c r="T917" s="36">
        <f>IFERROR(S917/$AD917,0)</f>
        <v>0</v>
      </c>
      <c r="U917" s="35"/>
      <c r="V917" s="36">
        <f>IFERROR(U917/$AC917,0)</f>
        <v>0</v>
      </c>
      <c r="W917" s="38"/>
      <c r="X917" s="36">
        <f>IFERROR(W917/$AD917,0)</f>
        <v>0</v>
      </c>
      <c r="Y917" s="35"/>
      <c r="Z917" s="36">
        <f>IFERROR(Y917/$AC917,0)</f>
        <v>0</v>
      </c>
      <c r="AA917" s="38"/>
      <c r="AB917" s="36">
        <f>IFERROR(AA917/$AD917,0)</f>
        <v>0</v>
      </c>
      <c r="AC917" s="35"/>
      <c r="AD917" s="38"/>
    </row>
    <row r="918" spans="1:30" ht="15.75" customHeight="1" x14ac:dyDescent="0.25">
      <c r="A918" s="37">
        <v>2018</v>
      </c>
      <c r="B918" s="35">
        <v>171500</v>
      </c>
      <c r="C918" s="34" t="s">
        <v>144</v>
      </c>
      <c r="D918" s="34" t="s">
        <v>87</v>
      </c>
      <c r="E918" s="35"/>
      <c r="F918" s="36">
        <f>IFERROR(E918/$AC918,0)</f>
        <v>0</v>
      </c>
      <c r="G918" s="38"/>
      <c r="H918" s="36">
        <f>IFERROR(G918/$AD918,0)</f>
        <v>0</v>
      </c>
      <c r="I918" s="35"/>
      <c r="J918" s="36">
        <f>IFERROR(I918/$AC918,0)</f>
        <v>0</v>
      </c>
      <c r="K918" s="38"/>
      <c r="L918" s="36">
        <f>IFERROR(K918/$AD918,0)</f>
        <v>0</v>
      </c>
      <c r="M918" s="35"/>
      <c r="N918" s="36">
        <f>IFERROR(M918/$AC918,0)</f>
        <v>0</v>
      </c>
      <c r="O918" s="38"/>
      <c r="P918" s="36">
        <f>IFERROR(O918/$AD918,0)</f>
        <v>0</v>
      </c>
      <c r="Q918" s="35"/>
      <c r="R918" s="36">
        <f>IFERROR(Q918/$AC918,0)</f>
        <v>0</v>
      </c>
      <c r="S918" s="38"/>
      <c r="T918" s="36">
        <f>IFERROR(S918/$AD918,0)</f>
        <v>0</v>
      </c>
      <c r="U918" s="35"/>
      <c r="V918" s="36">
        <f>IFERROR(U918/$AC918,0)</f>
        <v>0</v>
      </c>
      <c r="W918" s="38"/>
      <c r="X918" s="36">
        <f>IFERROR(W918/$AD918,0)</f>
        <v>0</v>
      </c>
      <c r="Y918" s="35"/>
      <c r="Z918" s="36">
        <f>IFERROR(Y918/$AC918,0)</f>
        <v>0</v>
      </c>
      <c r="AA918" s="38"/>
      <c r="AB918" s="36">
        <f>IFERROR(AA918/$AD918,0)</f>
        <v>0</v>
      </c>
      <c r="AC918" s="35"/>
      <c r="AD918" s="38"/>
    </row>
    <row r="919" spans="1:30" ht="15.75" customHeight="1" x14ac:dyDescent="0.25">
      <c r="A919" s="37">
        <v>2018</v>
      </c>
      <c r="B919" s="35">
        <v>171510</v>
      </c>
      <c r="C919" s="34" t="s">
        <v>148</v>
      </c>
      <c r="D919" s="34" t="s">
        <v>88</v>
      </c>
      <c r="E919" s="35"/>
      <c r="F919" s="36">
        <f>IFERROR(E919/$AC919,0)</f>
        <v>0</v>
      </c>
      <c r="G919" s="38"/>
      <c r="H919" s="36">
        <f>IFERROR(G919/$AD919,0)</f>
        <v>0</v>
      </c>
      <c r="I919" s="35"/>
      <c r="J919" s="36">
        <f>IFERROR(I919/$AC919,0)</f>
        <v>0</v>
      </c>
      <c r="K919" s="38"/>
      <c r="L919" s="36">
        <f>IFERROR(K919/$AD919,0)</f>
        <v>0</v>
      </c>
      <c r="M919" s="35"/>
      <c r="N919" s="36">
        <f>IFERROR(M919/$AC919,0)</f>
        <v>0</v>
      </c>
      <c r="O919" s="38"/>
      <c r="P919" s="36">
        <f>IFERROR(O919/$AD919,0)</f>
        <v>0</v>
      </c>
      <c r="Q919" s="35"/>
      <c r="R919" s="36">
        <f>IFERROR(Q919/$AC919,0)</f>
        <v>0</v>
      </c>
      <c r="S919" s="38"/>
      <c r="T919" s="36">
        <f>IFERROR(S919/$AD919,0)</f>
        <v>0</v>
      </c>
      <c r="U919" s="35"/>
      <c r="V919" s="36">
        <f>IFERROR(U919/$AC919,0)</f>
        <v>0</v>
      </c>
      <c r="W919" s="38"/>
      <c r="X919" s="36">
        <f>IFERROR(W919/$AD919,0)</f>
        <v>0</v>
      </c>
      <c r="Y919" s="35"/>
      <c r="Z919" s="36">
        <f>IFERROR(Y919/$AC919,0)</f>
        <v>0</v>
      </c>
      <c r="AA919" s="38"/>
      <c r="AB919" s="36">
        <f>IFERROR(AA919/$AD919,0)</f>
        <v>0</v>
      </c>
      <c r="AC919" s="35"/>
      <c r="AD919" s="38"/>
    </row>
    <row r="920" spans="1:30" ht="15.75" customHeight="1" x14ac:dyDescent="0.25">
      <c r="A920" s="37">
        <v>2018</v>
      </c>
      <c r="B920" s="35">
        <v>171515</v>
      </c>
      <c r="C920" s="34" t="s">
        <v>147</v>
      </c>
      <c r="D920" s="34" t="s">
        <v>89</v>
      </c>
      <c r="E920" s="35"/>
      <c r="F920" s="36">
        <f>IFERROR(E920/$AC920,0)</f>
        <v>0</v>
      </c>
      <c r="G920" s="38"/>
      <c r="H920" s="36">
        <f>IFERROR(G920/$AD920,0)</f>
        <v>0</v>
      </c>
      <c r="I920" s="35"/>
      <c r="J920" s="36">
        <f>IFERROR(I920/$AC920,0)</f>
        <v>0</v>
      </c>
      <c r="K920" s="38"/>
      <c r="L920" s="36">
        <f>IFERROR(K920/$AD920,0)</f>
        <v>0</v>
      </c>
      <c r="M920" s="35"/>
      <c r="N920" s="36">
        <f>IFERROR(M920/$AC920,0)</f>
        <v>0</v>
      </c>
      <c r="O920" s="38"/>
      <c r="P920" s="36">
        <f>IFERROR(O920/$AD920,0)</f>
        <v>0</v>
      </c>
      <c r="Q920" s="35"/>
      <c r="R920" s="36">
        <f>IFERROR(Q920/$AC920,0)</f>
        <v>0</v>
      </c>
      <c r="S920" s="38"/>
      <c r="T920" s="36">
        <f>IFERROR(S920/$AD920,0)</f>
        <v>0</v>
      </c>
      <c r="U920" s="35"/>
      <c r="V920" s="36">
        <f>IFERROR(U920/$AC920,0)</f>
        <v>0</v>
      </c>
      <c r="W920" s="38"/>
      <c r="X920" s="36">
        <f>IFERROR(W920/$AD920,0)</f>
        <v>0</v>
      </c>
      <c r="Y920" s="35"/>
      <c r="Z920" s="36">
        <f>IFERROR(Y920/$AC920,0)</f>
        <v>0</v>
      </c>
      <c r="AA920" s="38"/>
      <c r="AB920" s="36">
        <f>IFERROR(AA920/$AD920,0)</f>
        <v>0</v>
      </c>
      <c r="AC920" s="35"/>
      <c r="AD920" s="38"/>
    </row>
    <row r="921" spans="1:30" ht="15.75" customHeight="1" x14ac:dyDescent="0.25">
      <c r="A921" s="37">
        <v>2018</v>
      </c>
      <c r="B921" s="35">
        <v>171525</v>
      </c>
      <c r="C921" s="34" t="s">
        <v>147</v>
      </c>
      <c r="D921" s="34" t="s">
        <v>90</v>
      </c>
      <c r="E921" s="35"/>
      <c r="F921" s="36">
        <f>IFERROR(E921/$AC921,0)</f>
        <v>0</v>
      </c>
      <c r="G921" s="38"/>
      <c r="H921" s="36">
        <f>IFERROR(G921/$AD921,0)</f>
        <v>0</v>
      </c>
      <c r="I921" s="35"/>
      <c r="J921" s="36">
        <f>IFERROR(I921/$AC921,0)</f>
        <v>0</v>
      </c>
      <c r="K921" s="38"/>
      <c r="L921" s="36">
        <f>IFERROR(K921/$AD921,0)</f>
        <v>0</v>
      </c>
      <c r="M921" s="35"/>
      <c r="N921" s="36">
        <f>IFERROR(M921/$AC921,0)</f>
        <v>0</v>
      </c>
      <c r="O921" s="38"/>
      <c r="P921" s="36">
        <f>IFERROR(O921/$AD921,0)</f>
        <v>0</v>
      </c>
      <c r="Q921" s="35"/>
      <c r="R921" s="36">
        <f>IFERROR(Q921/$AC921,0)</f>
        <v>0</v>
      </c>
      <c r="S921" s="38"/>
      <c r="T921" s="36">
        <f>IFERROR(S921/$AD921,0)</f>
        <v>0</v>
      </c>
      <c r="U921" s="35"/>
      <c r="V921" s="36">
        <f>IFERROR(U921/$AC921,0)</f>
        <v>0</v>
      </c>
      <c r="W921" s="38"/>
      <c r="X921" s="36">
        <f>IFERROR(W921/$AD921,0)</f>
        <v>0</v>
      </c>
      <c r="Y921" s="35"/>
      <c r="Z921" s="36">
        <f>IFERROR(Y921/$AC921,0)</f>
        <v>0</v>
      </c>
      <c r="AA921" s="38"/>
      <c r="AB921" s="36">
        <f>IFERROR(AA921/$AD921,0)</f>
        <v>0</v>
      </c>
      <c r="AC921" s="35"/>
      <c r="AD921" s="38"/>
    </row>
    <row r="922" spans="1:30" ht="15.75" customHeight="1" x14ac:dyDescent="0.25">
      <c r="A922" s="37">
        <v>2018</v>
      </c>
      <c r="B922" s="35">
        <v>171550</v>
      </c>
      <c r="C922" s="34" t="s">
        <v>151</v>
      </c>
      <c r="D922" s="34" t="s">
        <v>91</v>
      </c>
      <c r="E922" s="35"/>
      <c r="F922" s="36">
        <f>IFERROR(E922/$AC922,0)</f>
        <v>0</v>
      </c>
      <c r="G922" s="38"/>
      <c r="H922" s="36">
        <f>IFERROR(G922/$AD922,0)</f>
        <v>0</v>
      </c>
      <c r="I922" s="35"/>
      <c r="J922" s="36">
        <f>IFERROR(I922/$AC922,0)</f>
        <v>0</v>
      </c>
      <c r="K922" s="38"/>
      <c r="L922" s="36">
        <f>IFERROR(K922/$AD922,0)</f>
        <v>0</v>
      </c>
      <c r="M922" s="35"/>
      <c r="N922" s="36">
        <f>IFERROR(M922/$AC922,0)</f>
        <v>0</v>
      </c>
      <c r="O922" s="38"/>
      <c r="P922" s="36">
        <f>IFERROR(O922/$AD922,0)</f>
        <v>0</v>
      </c>
      <c r="Q922" s="35"/>
      <c r="R922" s="36">
        <f>IFERROR(Q922/$AC922,0)</f>
        <v>0</v>
      </c>
      <c r="S922" s="38"/>
      <c r="T922" s="36">
        <f>IFERROR(S922/$AD922,0)</f>
        <v>0</v>
      </c>
      <c r="U922" s="35"/>
      <c r="V922" s="36">
        <f>IFERROR(U922/$AC922,0)</f>
        <v>0</v>
      </c>
      <c r="W922" s="38"/>
      <c r="X922" s="36">
        <f>IFERROR(W922/$AD922,0)</f>
        <v>0</v>
      </c>
      <c r="Y922" s="35"/>
      <c r="Z922" s="36">
        <f>IFERROR(Y922/$AC922,0)</f>
        <v>0</v>
      </c>
      <c r="AA922" s="38"/>
      <c r="AB922" s="36">
        <f>IFERROR(AA922/$AD922,0)</f>
        <v>0</v>
      </c>
      <c r="AC922" s="35"/>
      <c r="AD922" s="38"/>
    </row>
    <row r="923" spans="1:30" ht="15.75" customHeight="1" x14ac:dyDescent="0.25">
      <c r="A923" s="37">
        <v>2018</v>
      </c>
      <c r="B923" s="35">
        <v>172100</v>
      </c>
      <c r="C923" s="34" t="s">
        <v>148</v>
      </c>
      <c r="D923" s="34" t="s">
        <v>92</v>
      </c>
      <c r="E923" s="35"/>
      <c r="F923" s="36">
        <f>IFERROR(E923/$AC923,0)</f>
        <v>0</v>
      </c>
      <c r="G923" s="38"/>
      <c r="H923" s="36">
        <f>IFERROR(G923/$AD923,0)</f>
        <v>0</v>
      </c>
      <c r="I923" s="35"/>
      <c r="J923" s="36">
        <f>IFERROR(I923/$AC923,0)</f>
        <v>0</v>
      </c>
      <c r="K923" s="38"/>
      <c r="L923" s="36">
        <f>IFERROR(K923/$AD923,0)</f>
        <v>0</v>
      </c>
      <c r="M923" s="35"/>
      <c r="N923" s="36">
        <f>IFERROR(M923/$AC923,0)</f>
        <v>0</v>
      </c>
      <c r="O923" s="39"/>
      <c r="P923" s="36">
        <f>IFERROR(O923/$AD923,0)</f>
        <v>0</v>
      </c>
      <c r="Q923" s="35"/>
      <c r="R923" s="36">
        <f>IFERROR(Q923/$AC923,0)</f>
        <v>0</v>
      </c>
      <c r="S923" s="38"/>
      <c r="T923" s="36">
        <f>IFERROR(S923/$AD923,0)</f>
        <v>0</v>
      </c>
      <c r="U923" s="35"/>
      <c r="V923" s="36">
        <f>IFERROR(U923/$AC923,0)</f>
        <v>0</v>
      </c>
      <c r="W923" s="38"/>
      <c r="X923" s="36">
        <f>IFERROR(W923/$AD923,0)</f>
        <v>0</v>
      </c>
      <c r="Y923" s="35"/>
      <c r="Z923" s="36">
        <f>IFERROR(Y923/$AC923,0)</f>
        <v>0</v>
      </c>
      <c r="AA923" s="39"/>
      <c r="AB923" s="36">
        <f>IFERROR(AA923/$AD923,0)</f>
        <v>0</v>
      </c>
      <c r="AC923" s="35"/>
      <c r="AD923" s="39"/>
    </row>
    <row r="924" spans="1:30" ht="15.75" customHeight="1" x14ac:dyDescent="0.25">
      <c r="A924" s="37">
        <v>2018</v>
      </c>
      <c r="B924" s="35">
        <v>171570</v>
      </c>
      <c r="C924" s="34" t="s">
        <v>150</v>
      </c>
      <c r="D924" s="34" t="s">
        <v>93</v>
      </c>
      <c r="E924" s="35"/>
      <c r="F924" s="36">
        <f>IFERROR(E924/$AC924,0)</f>
        <v>0</v>
      </c>
      <c r="G924" s="38"/>
      <c r="H924" s="36">
        <f>IFERROR(G924/$AD924,0)</f>
        <v>0</v>
      </c>
      <c r="I924" s="35"/>
      <c r="J924" s="36">
        <f>IFERROR(I924/$AC924,0)</f>
        <v>0</v>
      </c>
      <c r="K924" s="38"/>
      <c r="L924" s="36">
        <f>IFERROR(K924/$AD924,0)</f>
        <v>0</v>
      </c>
      <c r="M924" s="35"/>
      <c r="N924" s="36">
        <f>IFERROR(M924/$AC924,0)</f>
        <v>0</v>
      </c>
      <c r="O924" s="38"/>
      <c r="P924" s="36">
        <f>IFERROR(O924/$AD924,0)</f>
        <v>0</v>
      </c>
      <c r="Q924" s="35"/>
      <c r="R924" s="36">
        <f>IFERROR(Q924/$AC924,0)</f>
        <v>0</v>
      </c>
      <c r="S924" s="38"/>
      <c r="T924" s="36">
        <f>IFERROR(S924/$AD924,0)</f>
        <v>0</v>
      </c>
      <c r="U924" s="35"/>
      <c r="V924" s="36">
        <f>IFERROR(U924/$AC924,0)</f>
        <v>0</v>
      </c>
      <c r="W924" s="38"/>
      <c r="X924" s="36">
        <f>IFERROR(W924/$AD924,0)</f>
        <v>0</v>
      </c>
      <c r="Y924" s="35"/>
      <c r="Z924" s="36">
        <f>IFERROR(Y924/$AC924,0)</f>
        <v>0</v>
      </c>
      <c r="AA924" s="38"/>
      <c r="AB924" s="36">
        <f>IFERROR(AA924/$AD924,0)</f>
        <v>0</v>
      </c>
      <c r="AC924" s="35"/>
      <c r="AD924" s="38"/>
    </row>
    <row r="925" spans="1:30" ht="15.75" customHeight="1" x14ac:dyDescent="0.25">
      <c r="A925" s="37">
        <v>2018</v>
      </c>
      <c r="B925" s="35">
        <v>171380</v>
      </c>
      <c r="C925" s="34" t="s">
        <v>145</v>
      </c>
      <c r="D925" s="34" t="s">
        <v>94</v>
      </c>
      <c r="E925" s="35"/>
      <c r="F925" s="36">
        <f>IFERROR(E925/$AC925,0)</f>
        <v>0</v>
      </c>
      <c r="G925" s="38"/>
      <c r="H925" s="36">
        <f>IFERROR(G925/$AD925,0)</f>
        <v>0</v>
      </c>
      <c r="I925" s="35"/>
      <c r="J925" s="36">
        <f>IFERROR(I925/$AC925,0)</f>
        <v>0</v>
      </c>
      <c r="K925" s="38"/>
      <c r="L925" s="36">
        <f>IFERROR(K925/$AD925,0)</f>
        <v>0</v>
      </c>
      <c r="M925" s="35"/>
      <c r="N925" s="36">
        <f>IFERROR(M925/$AC925,0)</f>
        <v>0</v>
      </c>
      <c r="O925" s="38"/>
      <c r="P925" s="36">
        <f>IFERROR(O925/$AD925,0)</f>
        <v>0</v>
      </c>
      <c r="Q925" s="35"/>
      <c r="R925" s="36">
        <f>IFERROR(Q925/$AC925,0)</f>
        <v>0</v>
      </c>
      <c r="S925" s="38"/>
      <c r="T925" s="36">
        <f>IFERROR(S925/$AD925,0)</f>
        <v>0</v>
      </c>
      <c r="U925" s="35"/>
      <c r="V925" s="36">
        <f>IFERROR(U925/$AC925,0)</f>
        <v>0</v>
      </c>
      <c r="W925" s="38"/>
      <c r="X925" s="36">
        <f>IFERROR(W925/$AD925,0)</f>
        <v>0</v>
      </c>
      <c r="Y925" s="35"/>
      <c r="Z925" s="36">
        <f>IFERROR(Y925/$AC925,0)</f>
        <v>0</v>
      </c>
      <c r="AA925" s="38"/>
      <c r="AB925" s="36">
        <f>IFERROR(AA925/$AD925,0)</f>
        <v>0</v>
      </c>
      <c r="AC925" s="35"/>
      <c r="AD925" s="38"/>
    </row>
    <row r="926" spans="1:30" ht="15.75" customHeight="1" x14ac:dyDescent="0.25">
      <c r="A926" s="37">
        <v>2018</v>
      </c>
      <c r="B926" s="35">
        <v>171575</v>
      </c>
      <c r="C926" s="34" t="s">
        <v>146</v>
      </c>
      <c r="D926" s="34" t="s">
        <v>95</v>
      </c>
      <c r="E926" s="35"/>
      <c r="F926" s="36">
        <f>IFERROR(E926/$AC926,0)</f>
        <v>0</v>
      </c>
      <c r="G926" s="38"/>
      <c r="H926" s="36">
        <f>IFERROR(G926/$AD926,0)</f>
        <v>0</v>
      </c>
      <c r="I926" s="35"/>
      <c r="J926" s="36">
        <f>IFERROR(I926/$AC926,0)</f>
        <v>0</v>
      </c>
      <c r="K926" s="38"/>
      <c r="L926" s="36">
        <f>IFERROR(K926/$AD926,0)</f>
        <v>0</v>
      </c>
      <c r="M926" s="35"/>
      <c r="N926" s="36">
        <f>IFERROR(M926/$AC926,0)</f>
        <v>0</v>
      </c>
      <c r="O926" s="38"/>
      <c r="P926" s="36">
        <f>IFERROR(O926/$AD926,0)</f>
        <v>0</v>
      </c>
      <c r="Q926" s="35"/>
      <c r="R926" s="36">
        <f>IFERROR(Q926/$AC926,0)</f>
        <v>0</v>
      </c>
      <c r="S926" s="38"/>
      <c r="T926" s="36">
        <f>IFERROR(S926/$AD926,0)</f>
        <v>0</v>
      </c>
      <c r="U926" s="35"/>
      <c r="V926" s="36">
        <f>IFERROR(U926/$AC926,0)</f>
        <v>0</v>
      </c>
      <c r="W926" s="38"/>
      <c r="X926" s="36">
        <f>IFERROR(W926/$AD926,0)</f>
        <v>0</v>
      </c>
      <c r="Y926" s="35"/>
      <c r="Z926" s="36">
        <f>IFERROR(Y926/$AC926,0)</f>
        <v>0</v>
      </c>
      <c r="AA926" s="38"/>
      <c r="AB926" s="36">
        <f>IFERROR(AA926/$AD926,0)</f>
        <v>0</v>
      </c>
      <c r="AC926" s="35"/>
      <c r="AD926" s="38"/>
    </row>
    <row r="927" spans="1:30" ht="15.75" customHeight="1" x14ac:dyDescent="0.25">
      <c r="A927" s="37">
        <v>2018</v>
      </c>
      <c r="B927" s="35">
        <v>171610</v>
      </c>
      <c r="C927" s="34" t="s">
        <v>144</v>
      </c>
      <c r="D927" s="34" t="s">
        <v>96</v>
      </c>
      <c r="E927" s="35"/>
      <c r="F927" s="36">
        <f>IFERROR(E927/$AC927,0)</f>
        <v>0</v>
      </c>
      <c r="G927" s="38"/>
      <c r="H927" s="36">
        <f>IFERROR(G927/$AD927,0)</f>
        <v>0</v>
      </c>
      <c r="I927" s="35"/>
      <c r="J927" s="36">
        <f>IFERROR(I927/$AC927,0)</f>
        <v>0</v>
      </c>
      <c r="K927" s="38"/>
      <c r="L927" s="36">
        <f>IFERROR(K927/$AD927,0)</f>
        <v>0</v>
      </c>
      <c r="M927" s="35"/>
      <c r="N927" s="36">
        <f>IFERROR(M927/$AC927,0)</f>
        <v>0</v>
      </c>
      <c r="O927" s="38"/>
      <c r="P927" s="36">
        <f>IFERROR(O927/$AD927,0)</f>
        <v>0</v>
      </c>
      <c r="Q927" s="35"/>
      <c r="R927" s="36">
        <f>IFERROR(Q927/$AC927,0)</f>
        <v>0</v>
      </c>
      <c r="S927" s="38"/>
      <c r="T927" s="36">
        <f>IFERROR(S927/$AD927,0)</f>
        <v>0</v>
      </c>
      <c r="U927" s="35"/>
      <c r="V927" s="36">
        <f>IFERROR(U927/$AC927,0)</f>
        <v>0</v>
      </c>
      <c r="W927" s="38"/>
      <c r="X927" s="36">
        <f>IFERROR(W927/$AD927,0)</f>
        <v>0</v>
      </c>
      <c r="Y927" s="35"/>
      <c r="Z927" s="36">
        <f>IFERROR(Y927/$AC927,0)</f>
        <v>0</v>
      </c>
      <c r="AA927" s="38"/>
      <c r="AB927" s="36">
        <f>IFERROR(AA927/$AD927,0)</f>
        <v>0</v>
      </c>
      <c r="AC927" s="35"/>
      <c r="AD927" s="38"/>
    </row>
    <row r="928" spans="1:30" ht="15.75" customHeight="1" x14ac:dyDescent="0.25">
      <c r="A928" s="37">
        <v>2018</v>
      </c>
      <c r="B928" s="35">
        <v>171620</v>
      </c>
      <c r="C928" s="34" t="s">
        <v>147</v>
      </c>
      <c r="D928" s="34" t="s">
        <v>97</v>
      </c>
      <c r="E928" s="35"/>
      <c r="F928" s="36">
        <f>IFERROR(E928/$AC928,0)</f>
        <v>0</v>
      </c>
      <c r="G928" s="38"/>
      <c r="H928" s="36">
        <f>IFERROR(G928/$AD928,0)</f>
        <v>0</v>
      </c>
      <c r="I928" s="35"/>
      <c r="J928" s="36">
        <f>IFERROR(I928/$AC928,0)</f>
        <v>0</v>
      </c>
      <c r="K928" s="38"/>
      <c r="L928" s="36">
        <f>IFERROR(K928/$AD928,0)</f>
        <v>0</v>
      </c>
      <c r="M928" s="35"/>
      <c r="N928" s="36">
        <f>IFERROR(M928/$AC928,0)</f>
        <v>0</v>
      </c>
      <c r="O928" s="38"/>
      <c r="P928" s="36">
        <f>IFERROR(O928/$AD928,0)</f>
        <v>0</v>
      </c>
      <c r="Q928" s="35"/>
      <c r="R928" s="36">
        <f>IFERROR(Q928/$AC928,0)</f>
        <v>0</v>
      </c>
      <c r="S928" s="38"/>
      <c r="T928" s="36">
        <f>IFERROR(S928/$AD928,0)</f>
        <v>0</v>
      </c>
      <c r="U928" s="35"/>
      <c r="V928" s="36">
        <f>IFERROR(U928/$AC928,0)</f>
        <v>0</v>
      </c>
      <c r="W928" s="38"/>
      <c r="X928" s="36">
        <f>IFERROR(W928/$AD928,0)</f>
        <v>0</v>
      </c>
      <c r="Y928" s="35"/>
      <c r="Z928" s="36">
        <f>IFERROR(Y928/$AC928,0)</f>
        <v>0</v>
      </c>
      <c r="AA928" s="38"/>
      <c r="AB928" s="36">
        <f>IFERROR(AA928/$AD928,0)</f>
        <v>0</v>
      </c>
      <c r="AC928" s="35"/>
      <c r="AD928" s="38"/>
    </row>
    <row r="929" spans="1:30" ht="15.75" customHeight="1" x14ac:dyDescent="0.25">
      <c r="A929" s="37">
        <v>2018</v>
      </c>
      <c r="B929" s="35">
        <v>171630</v>
      </c>
      <c r="C929" s="34" t="s">
        <v>149</v>
      </c>
      <c r="D929" s="34" t="s">
        <v>98</v>
      </c>
      <c r="E929" s="35"/>
      <c r="F929" s="36">
        <f>IFERROR(E929/$AC929,0)</f>
        <v>0</v>
      </c>
      <c r="G929" s="38"/>
      <c r="H929" s="36">
        <f>IFERROR(G929/$AD929,0)</f>
        <v>0</v>
      </c>
      <c r="I929" s="35"/>
      <c r="J929" s="36">
        <f>IFERROR(I929/$AC929,0)</f>
        <v>0</v>
      </c>
      <c r="K929" s="38"/>
      <c r="L929" s="36">
        <f>IFERROR(K929/$AD929,0)</f>
        <v>0</v>
      </c>
      <c r="M929" s="35"/>
      <c r="N929" s="36">
        <f>IFERROR(M929/$AC929,0)</f>
        <v>0</v>
      </c>
      <c r="O929" s="38"/>
      <c r="P929" s="36">
        <f>IFERROR(O929/$AD929,0)</f>
        <v>0</v>
      </c>
      <c r="Q929" s="35"/>
      <c r="R929" s="36">
        <f>IFERROR(Q929/$AC929,0)</f>
        <v>0</v>
      </c>
      <c r="S929" s="38"/>
      <c r="T929" s="36">
        <f>IFERROR(S929/$AD929,0)</f>
        <v>0</v>
      </c>
      <c r="U929" s="35"/>
      <c r="V929" s="36">
        <f>IFERROR(U929/$AC929,0)</f>
        <v>0</v>
      </c>
      <c r="W929" s="38"/>
      <c r="X929" s="36">
        <f>IFERROR(W929/$AD929,0)</f>
        <v>0</v>
      </c>
      <c r="Y929" s="35"/>
      <c r="Z929" s="36">
        <f>IFERROR(Y929/$AC929,0)</f>
        <v>0</v>
      </c>
      <c r="AA929" s="38"/>
      <c r="AB929" s="36">
        <f>IFERROR(AA929/$AD929,0)</f>
        <v>0</v>
      </c>
      <c r="AC929" s="35"/>
      <c r="AD929" s="38"/>
    </row>
    <row r="930" spans="1:30" ht="15.75" customHeight="1" x14ac:dyDescent="0.25">
      <c r="A930" s="37">
        <v>2018</v>
      </c>
      <c r="B930" s="35">
        <v>171650</v>
      </c>
      <c r="C930" s="34" t="s">
        <v>150</v>
      </c>
      <c r="D930" s="34" t="s">
        <v>99</v>
      </c>
      <c r="E930" s="35"/>
      <c r="F930" s="36">
        <f>IFERROR(E930/$AC930,0)</f>
        <v>0</v>
      </c>
      <c r="G930" s="38"/>
      <c r="H930" s="36">
        <f>IFERROR(G930/$AD930,0)</f>
        <v>0</v>
      </c>
      <c r="I930" s="35"/>
      <c r="J930" s="36">
        <f>IFERROR(I930/$AC930,0)</f>
        <v>0</v>
      </c>
      <c r="K930" s="38"/>
      <c r="L930" s="36">
        <f>IFERROR(K930/$AD930,0)</f>
        <v>0</v>
      </c>
      <c r="M930" s="35"/>
      <c r="N930" s="36">
        <f>IFERROR(M930/$AC930,0)</f>
        <v>0</v>
      </c>
      <c r="O930" s="38"/>
      <c r="P930" s="36">
        <f>IFERROR(O930/$AD930,0)</f>
        <v>0</v>
      </c>
      <c r="Q930" s="35"/>
      <c r="R930" s="36">
        <f>IFERROR(Q930/$AC930,0)</f>
        <v>0</v>
      </c>
      <c r="S930" s="38"/>
      <c r="T930" s="36">
        <f>IFERROR(S930/$AD930,0)</f>
        <v>0</v>
      </c>
      <c r="U930" s="35"/>
      <c r="V930" s="36">
        <f>IFERROR(U930/$AC930,0)</f>
        <v>0</v>
      </c>
      <c r="W930" s="38"/>
      <c r="X930" s="36">
        <f>IFERROR(W930/$AD930,0)</f>
        <v>0</v>
      </c>
      <c r="Y930" s="35"/>
      <c r="Z930" s="36">
        <f>IFERROR(Y930/$AC930,0)</f>
        <v>0</v>
      </c>
      <c r="AA930" s="38"/>
      <c r="AB930" s="36">
        <f>IFERROR(AA930/$AD930,0)</f>
        <v>0</v>
      </c>
      <c r="AC930" s="35"/>
      <c r="AD930" s="38"/>
    </row>
    <row r="931" spans="1:30" ht="15.75" customHeight="1" x14ac:dyDescent="0.25">
      <c r="A931" s="37">
        <v>2018</v>
      </c>
      <c r="B931" s="35">
        <v>171660</v>
      </c>
      <c r="C931" s="34" t="s">
        <v>146</v>
      </c>
      <c r="D931" s="34" t="s">
        <v>100</v>
      </c>
      <c r="E931" s="35"/>
      <c r="F931" s="36">
        <f>IFERROR(E931/$AC931,0)</f>
        <v>0</v>
      </c>
      <c r="G931" s="38"/>
      <c r="H931" s="36">
        <f>IFERROR(G931/$AD931,0)</f>
        <v>0</v>
      </c>
      <c r="I931" s="35"/>
      <c r="J931" s="36">
        <f>IFERROR(I931/$AC931,0)</f>
        <v>0</v>
      </c>
      <c r="K931" s="38"/>
      <c r="L931" s="36">
        <f>IFERROR(K931/$AD931,0)</f>
        <v>0</v>
      </c>
      <c r="M931" s="35"/>
      <c r="N931" s="36">
        <f>IFERROR(M931/$AC931,0)</f>
        <v>0</v>
      </c>
      <c r="O931" s="38"/>
      <c r="P931" s="36">
        <f>IFERROR(O931/$AD931,0)</f>
        <v>0</v>
      </c>
      <c r="Q931" s="35"/>
      <c r="R931" s="36">
        <f>IFERROR(Q931/$AC931,0)</f>
        <v>0</v>
      </c>
      <c r="S931" s="38"/>
      <c r="T931" s="36">
        <f>IFERROR(S931/$AD931,0)</f>
        <v>0</v>
      </c>
      <c r="U931" s="35"/>
      <c r="V931" s="36">
        <f>IFERROR(U931/$AC931,0)</f>
        <v>0</v>
      </c>
      <c r="W931" s="38"/>
      <c r="X931" s="36">
        <f>IFERROR(W931/$AD931,0)</f>
        <v>0</v>
      </c>
      <c r="Y931" s="35"/>
      <c r="Z931" s="36">
        <f>IFERROR(Y931/$AC931,0)</f>
        <v>0</v>
      </c>
      <c r="AA931" s="38"/>
      <c r="AB931" s="36">
        <f>IFERROR(AA931/$AD931,0)</f>
        <v>0</v>
      </c>
      <c r="AC931" s="35"/>
      <c r="AD931" s="38"/>
    </row>
    <row r="932" spans="1:30" ht="15.75" customHeight="1" x14ac:dyDescent="0.25">
      <c r="A932" s="37">
        <v>2018</v>
      </c>
      <c r="B932" s="35">
        <v>171665</v>
      </c>
      <c r="C932" s="34" t="s">
        <v>150</v>
      </c>
      <c r="D932" s="34" t="s">
        <v>101</v>
      </c>
      <c r="E932" s="35"/>
      <c r="F932" s="36">
        <f>IFERROR(E932/$AC932,0)</f>
        <v>0</v>
      </c>
      <c r="G932" s="38"/>
      <c r="H932" s="36">
        <f>IFERROR(G932/$AD932,0)</f>
        <v>0</v>
      </c>
      <c r="I932" s="35"/>
      <c r="J932" s="36">
        <f>IFERROR(I932/$AC932,0)</f>
        <v>0</v>
      </c>
      <c r="K932" s="38"/>
      <c r="L932" s="36">
        <f>IFERROR(K932/$AD932,0)</f>
        <v>0</v>
      </c>
      <c r="M932" s="35"/>
      <c r="N932" s="36">
        <f>IFERROR(M932/$AC932,0)</f>
        <v>0</v>
      </c>
      <c r="O932" s="38"/>
      <c r="P932" s="36">
        <f>IFERROR(O932/$AD932,0)</f>
        <v>0</v>
      </c>
      <c r="Q932" s="35"/>
      <c r="R932" s="36">
        <f>IFERROR(Q932/$AC932,0)</f>
        <v>0</v>
      </c>
      <c r="S932" s="38"/>
      <c r="T932" s="36">
        <f>IFERROR(S932/$AD932,0)</f>
        <v>0</v>
      </c>
      <c r="U932" s="35"/>
      <c r="V932" s="36">
        <f>IFERROR(U932/$AC932,0)</f>
        <v>0</v>
      </c>
      <c r="W932" s="38"/>
      <c r="X932" s="36">
        <f>IFERROR(W932/$AD932,0)</f>
        <v>0</v>
      </c>
      <c r="Y932" s="35"/>
      <c r="Z932" s="36">
        <f>IFERROR(Y932/$AC932,0)</f>
        <v>0</v>
      </c>
      <c r="AA932" s="38"/>
      <c r="AB932" s="36">
        <f>IFERROR(AA932/$AD932,0)</f>
        <v>0</v>
      </c>
      <c r="AC932" s="35"/>
      <c r="AD932" s="38"/>
    </row>
    <row r="933" spans="1:30" ht="15.75" customHeight="1" x14ac:dyDescent="0.25">
      <c r="A933" s="37">
        <v>2018</v>
      </c>
      <c r="B933" s="35">
        <v>171700</v>
      </c>
      <c r="C933" s="34" t="s">
        <v>151</v>
      </c>
      <c r="D933" s="34" t="s">
        <v>102</v>
      </c>
      <c r="E933" s="35"/>
      <c r="F933" s="36">
        <f>IFERROR(E933/$AC933,0)</f>
        <v>0</v>
      </c>
      <c r="G933" s="38"/>
      <c r="H933" s="36">
        <f>IFERROR(G933/$AD933,0)</f>
        <v>0</v>
      </c>
      <c r="I933" s="35"/>
      <c r="J933" s="36">
        <f>IFERROR(I933/$AC933,0)</f>
        <v>0</v>
      </c>
      <c r="K933" s="38"/>
      <c r="L933" s="36">
        <f>IFERROR(K933/$AD933,0)</f>
        <v>0</v>
      </c>
      <c r="M933" s="35"/>
      <c r="N933" s="36">
        <f>IFERROR(M933/$AC933,0)</f>
        <v>0</v>
      </c>
      <c r="O933" s="38"/>
      <c r="P933" s="36">
        <f>IFERROR(O933/$AD933,0)</f>
        <v>0</v>
      </c>
      <c r="Q933" s="35"/>
      <c r="R933" s="36">
        <f>IFERROR(Q933/$AC933,0)</f>
        <v>0</v>
      </c>
      <c r="S933" s="38"/>
      <c r="T933" s="36">
        <f>IFERROR(S933/$AD933,0)</f>
        <v>0</v>
      </c>
      <c r="U933" s="35"/>
      <c r="V933" s="36">
        <f>IFERROR(U933/$AC933,0)</f>
        <v>0</v>
      </c>
      <c r="W933" s="38"/>
      <c r="X933" s="36">
        <f>IFERROR(W933/$AD933,0)</f>
        <v>0</v>
      </c>
      <c r="Y933" s="35"/>
      <c r="Z933" s="36">
        <f>IFERROR(Y933/$AC933,0)</f>
        <v>0</v>
      </c>
      <c r="AA933" s="38"/>
      <c r="AB933" s="36">
        <f>IFERROR(AA933/$AD933,0)</f>
        <v>0</v>
      </c>
      <c r="AC933" s="35"/>
      <c r="AD933" s="38"/>
    </row>
    <row r="934" spans="1:30" ht="15.75" customHeight="1" x14ac:dyDescent="0.25">
      <c r="A934" s="37">
        <v>2018</v>
      </c>
      <c r="B934" s="35">
        <v>171720</v>
      </c>
      <c r="C934" s="34" t="s">
        <v>149</v>
      </c>
      <c r="D934" s="34" t="s">
        <v>103</v>
      </c>
      <c r="E934" s="35"/>
      <c r="F934" s="36">
        <f>IFERROR(E934/$AC934,0)</f>
        <v>0</v>
      </c>
      <c r="G934" s="38"/>
      <c r="H934" s="36">
        <f>IFERROR(G934/$AD934,0)</f>
        <v>0</v>
      </c>
      <c r="I934" s="35"/>
      <c r="J934" s="36">
        <f>IFERROR(I934/$AC934,0)</f>
        <v>0</v>
      </c>
      <c r="K934" s="38"/>
      <c r="L934" s="36">
        <f>IFERROR(K934/$AD934,0)</f>
        <v>0</v>
      </c>
      <c r="M934" s="35"/>
      <c r="N934" s="36">
        <f>IFERROR(M934/$AC934,0)</f>
        <v>0</v>
      </c>
      <c r="O934" s="38"/>
      <c r="P934" s="36">
        <f>IFERROR(O934/$AD934,0)</f>
        <v>0</v>
      </c>
      <c r="Q934" s="35"/>
      <c r="R934" s="36">
        <f>IFERROR(Q934/$AC934,0)</f>
        <v>0</v>
      </c>
      <c r="S934" s="38"/>
      <c r="T934" s="36">
        <f>IFERROR(S934/$AD934,0)</f>
        <v>0</v>
      </c>
      <c r="U934" s="35"/>
      <c r="V934" s="36">
        <f>IFERROR(U934/$AC934,0)</f>
        <v>0</v>
      </c>
      <c r="W934" s="38"/>
      <c r="X934" s="36">
        <f>IFERROR(W934/$AD934,0)</f>
        <v>0</v>
      </c>
      <c r="Y934" s="35"/>
      <c r="Z934" s="36">
        <f>IFERROR(Y934/$AC934,0)</f>
        <v>0</v>
      </c>
      <c r="AA934" s="38"/>
      <c r="AB934" s="36">
        <f>IFERROR(AA934/$AD934,0)</f>
        <v>0</v>
      </c>
      <c r="AC934" s="35"/>
      <c r="AD934" s="38"/>
    </row>
    <row r="935" spans="1:30" ht="15.75" customHeight="1" x14ac:dyDescent="0.25">
      <c r="A935" s="37">
        <v>2018</v>
      </c>
      <c r="B935" s="35">
        <v>171750</v>
      </c>
      <c r="C935" s="34" t="s">
        <v>144</v>
      </c>
      <c r="D935" s="34" t="s">
        <v>104</v>
      </c>
      <c r="E935" s="35"/>
      <c r="F935" s="36">
        <f>IFERROR(E935/$AC935,0)</f>
        <v>0</v>
      </c>
      <c r="G935" s="38"/>
      <c r="H935" s="36">
        <f>IFERROR(G935/$AD935,0)</f>
        <v>0</v>
      </c>
      <c r="I935" s="35"/>
      <c r="J935" s="36">
        <f>IFERROR(I935/$AC935,0)</f>
        <v>0</v>
      </c>
      <c r="K935" s="38"/>
      <c r="L935" s="36">
        <f>IFERROR(K935/$AD935,0)</f>
        <v>0</v>
      </c>
      <c r="M935" s="35"/>
      <c r="N935" s="36">
        <f>IFERROR(M935/$AC935,0)</f>
        <v>0</v>
      </c>
      <c r="O935" s="38"/>
      <c r="P935" s="36">
        <f>IFERROR(O935/$AD935,0)</f>
        <v>0</v>
      </c>
      <c r="Q935" s="35"/>
      <c r="R935" s="36">
        <f>IFERROR(Q935/$AC935,0)</f>
        <v>0</v>
      </c>
      <c r="S935" s="38"/>
      <c r="T935" s="36">
        <f>IFERROR(S935/$AD935,0)</f>
        <v>0</v>
      </c>
      <c r="U935" s="35"/>
      <c r="V935" s="36">
        <f>IFERROR(U935/$AC935,0)</f>
        <v>0</v>
      </c>
      <c r="W935" s="38"/>
      <c r="X935" s="36">
        <f>IFERROR(W935/$AD935,0)</f>
        <v>0</v>
      </c>
      <c r="Y935" s="35"/>
      <c r="Z935" s="36">
        <f>IFERROR(Y935/$AC935,0)</f>
        <v>0</v>
      </c>
      <c r="AA935" s="38"/>
      <c r="AB935" s="36">
        <f>IFERROR(AA935/$AD935,0)</f>
        <v>0</v>
      </c>
      <c r="AC935" s="35"/>
      <c r="AD935" s="38"/>
    </row>
    <row r="936" spans="1:30" ht="15.75" customHeight="1" x14ac:dyDescent="0.25">
      <c r="A936" s="37">
        <v>2018</v>
      </c>
      <c r="B936" s="35">
        <v>171780</v>
      </c>
      <c r="C936" s="34" t="s">
        <v>147</v>
      </c>
      <c r="D936" s="34" t="s">
        <v>105</v>
      </c>
      <c r="E936" s="35"/>
      <c r="F936" s="36">
        <f>IFERROR(E936/$AC936,0)</f>
        <v>0</v>
      </c>
      <c r="G936" s="38"/>
      <c r="H936" s="36">
        <f>IFERROR(G936/$AD936,0)</f>
        <v>0</v>
      </c>
      <c r="I936" s="35"/>
      <c r="J936" s="36">
        <f>IFERROR(I936/$AC936,0)</f>
        <v>0</v>
      </c>
      <c r="K936" s="38"/>
      <c r="L936" s="36">
        <f>IFERROR(K936/$AD936,0)</f>
        <v>0</v>
      </c>
      <c r="M936" s="35"/>
      <c r="N936" s="36">
        <f>IFERROR(M936/$AC936,0)</f>
        <v>0</v>
      </c>
      <c r="O936" s="38"/>
      <c r="P936" s="36">
        <f>IFERROR(O936/$AD936,0)</f>
        <v>0</v>
      </c>
      <c r="Q936" s="35"/>
      <c r="R936" s="36">
        <f>IFERROR(Q936/$AC936,0)</f>
        <v>0</v>
      </c>
      <c r="S936" s="38"/>
      <c r="T936" s="36">
        <f>IFERROR(S936/$AD936,0)</f>
        <v>0</v>
      </c>
      <c r="U936" s="35"/>
      <c r="V936" s="36">
        <f>IFERROR(U936/$AC936,0)</f>
        <v>0</v>
      </c>
      <c r="W936" s="38"/>
      <c r="X936" s="36">
        <f>IFERROR(W936/$AD936,0)</f>
        <v>0</v>
      </c>
      <c r="Y936" s="35"/>
      <c r="Z936" s="36">
        <f>IFERROR(Y936/$AC936,0)</f>
        <v>0</v>
      </c>
      <c r="AA936" s="38"/>
      <c r="AB936" s="36">
        <f>IFERROR(AA936/$AD936,0)</f>
        <v>0</v>
      </c>
      <c r="AC936" s="35"/>
      <c r="AD936" s="38"/>
    </row>
    <row r="937" spans="1:30" ht="15.75" customHeight="1" x14ac:dyDescent="0.25">
      <c r="A937" s="37">
        <v>2018</v>
      </c>
      <c r="B937" s="35">
        <v>171790</v>
      </c>
      <c r="C937" s="34" t="s">
        <v>151</v>
      </c>
      <c r="D937" s="34" t="s">
        <v>106</v>
      </c>
      <c r="E937" s="35"/>
      <c r="F937" s="36">
        <f>IFERROR(E937/$AC937,0)</f>
        <v>0</v>
      </c>
      <c r="G937" s="38"/>
      <c r="H937" s="36">
        <f>IFERROR(G937/$AD937,0)</f>
        <v>0</v>
      </c>
      <c r="I937" s="35"/>
      <c r="J937" s="36">
        <f>IFERROR(I937/$AC937,0)</f>
        <v>0</v>
      </c>
      <c r="K937" s="38"/>
      <c r="L937" s="36">
        <f>IFERROR(K937/$AD937,0)</f>
        <v>0</v>
      </c>
      <c r="M937" s="35"/>
      <c r="N937" s="36">
        <f>IFERROR(M937/$AC937,0)</f>
        <v>0</v>
      </c>
      <c r="O937" s="38"/>
      <c r="P937" s="36">
        <f>IFERROR(O937/$AD937,0)</f>
        <v>0</v>
      </c>
      <c r="Q937" s="35"/>
      <c r="R937" s="36">
        <f>IFERROR(Q937/$AC937,0)</f>
        <v>0</v>
      </c>
      <c r="S937" s="38"/>
      <c r="T937" s="36">
        <f>IFERROR(S937/$AD937,0)</f>
        <v>0</v>
      </c>
      <c r="U937" s="35"/>
      <c r="V937" s="36">
        <f>IFERROR(U937/$AC937,0)</f>
        <v>0</v>
      </c>
      <c r="W937" s="38"/>
      <c r="X937" s="36">
        <f>IFERROR(W937/$AD937,0)</f>
        <v>0</v>
      </c>
      <c r="Y937" s="35"/>
      <c r="Z937" s="36">
        <f>IFERROR(Y937/$AC937,0)</f>
        <v>0</v>
      </c>
      <c r="AA937" s="38"/>
      <c r="AB937" s="36">
        <f>IFERROR(AA937/$AD937,0)</f>
        <v>0</v>
      </c>
      <c r="AC937" s="35"/>
      <c r="AD937" s="38"/>
    </row>
    <row r="938" spans="1:30" ht="15.75" customHeight="1" x14ac:dyDescent="0.25">
      <c r="A938" s="37">
        <v>2018</v>
      </c>
      <c r="B938" s="35">
        <v>171800</v>
      </c>
      <c r="C938" s="34" t="s">
        <v>147</v>
      </c>
      <c r="D938" s="34" t="s">
        <v>107</v>
      </c>
      <c r="E938" s="35"/>
      <c r="F938" s="36">
        <f>IFERROR(E938/$AC938,0)</f>
        <v>0</v>
      </c>
      <c r="G938" s="38"/>
      <c r="H938" s="36">
        <f>IFERROR(G938/$AD938,0)</f>
        <v>0</v>
      </c>
      <c r="I938" s="35"/>
      <c r="J938" s="36">
        <f>IFERROR(I938/$AC938,0)</f>
        <v>0</v>
      </c>
      <c r="K938" s="38"/>
      <c r="L938" s="36">
        <f>IFERROR(K938/$AD938,0)</f>
        <v>0</v>
      </c>
      <c r="M938" s="35"/>
      <c r="N938" s="36">
        <f>IFERROR(M938/$AC938,0)</f>
        <v>0</v>
      </c>
      <c r="O938" s="38"/>
      <c r="P938" s="36">
        <f>IFERROR(O938/$AD938,0)</f>
        <v>0</v>
      </c>
      <c r="Q938" s="35"/>
      <c r="R938" s="36">
        <f>IFERROR(Q938/$AC938,0)</f>
        <v>0</v>
      </c>
      <c r="S938" s="38"/>
      <c r="T938" s="36">
        <f>IFERROR(S938/$AD938,0)</f>
        <v>0</v>
      </c>
      <c r="U938" s="35"/>
      <c r="V938" s="36">
        <f>IFERROR(U938/$AC938,0)</f>
        <v>0</v>
      </c>
      <c r="W938" s="38"/>
      <c r="X938" s="36">
        <f>IFERROR(W938/$AD938,0)</f>
        <v>0</v>
      </c>
      <c r="Y938" s="35"/>
      <c r="Z938" s="36">
        <f>IFERROR(Y938/$AC938,0)</f>
        <v>0</v>
      </c>
      <c r="AA938" s="38"/>
      <c r="AB938" s="36">
        <f>IFERROR(AA938/$AD938,0)</f>
        <v>0</v>
      </c>
      <c r="AC938" s="35"/>
      <c r="AD938" s="38"/>
    </row>
    <row r="939" spans="1:30" ht="15.75" customHeight="1" x14ac:dyDescent="0.25">
      <c r="A939" s="37">
        <v>2018</v>
      </c>
      <c r="B939" s="35">
        <v>171820</v>
      </c>
      <c r="C939" s="34" t="s">
        <v>151</v>
      </c>
      <c r="D939" s="34" t="s">
        <v>108</v>
      </c>
      <c r="E939" s="35"/>
      <c r="F939" s="36">
        <f>IFERROR(E939/$AC939,0)</f>
        <v>0</v>
      </c>
      <c r="G939" s="38"/>
      <c r="H939" s="36">
        <f>IFERROR(G939/$AD939,0)</f>
        <v>0</v>
      </c>
      <c r="I939" s="35"/>
      <c r="J939" s="36">
        <f>IFERROR(I939/$AC939,0)</f>
        <v>0</v>
      </c>
      <c r="K939" s="38"/>
      <c r="L939" s="36">
        <f>IFERROR(K939/$AD939,0)</f>
        <v>0</v>
      </c>
      <c r="M939" s="35"/>
      <c r="N939" s="36">
        <f>IFERROR(M939/$AC939,0)</f>
        <v>0</v>
      </c>
      <c r="O939" s="39"/>
      <c r="P939" s="36">
        <f>IFERROR(O939/$AD939,0)</f>
        <v>0</v>
      </c>
      <c r="Q939" s="35"/>
      <c r="R939" s="36">
        <f>IFERROR(Q939/$AC939,0)</f>
        <v>0</v>
      </c>
      <c r="S939" s="38"/>
      <c r="T939" s="36">
        <f>IFERROR(S939/$AD939,0)</f>
        <v>0</v>
      </c>
      <c r="U939" s="35"/>
      <c r="V939" s="36">
        <f>IFERROR(U939/$AC939,0)</f>
        <v>0</v>
      </c>
      <c r="W939" s="38"/>
      <c r="X939" s="36">
        <f>IFERROR(W939/$AD939,0)</f>
        <v>0</v>
      </c>
      <c r="Y939" s="35"/>
      <c r="Z939" s="36">
        <f>IFERROR(Y939/$AC939,0)</f>
        <v>0</v>
      </c>
      <c r="AA939" s="39"/>
      <c r="AB939" s="36">
        <f>IFERROR(AA939/$AD939,0)</f>
        <v>0</v>
      </c>
      <c r="AC939" s="35"/>
      <c r="AD939" s="39"/>
    </row>
    <row r="940" spans="1:30" ht="15.75" customHeight="1" x14ac:dyDescent="0.25">
      <c r="A940" s="37">
        <v>2018</v>
      </c>
      <c r="B940" s="35">
        <v>171830</v>
      </c>
      <c r="C940" s="34" t="s">
        <v>145</v>
      </c>
      <c r="D940" s="34" t="s">
        <v>109</v>
      </c>
      <c r="E940" s="35"/>
      <c r="F940" s="36">
        <f>IFERROR(E940/$AC940,0)</f>
        <v>0</v>
      </c>
      <c r="G940" s="38"/>
      <c r="H940" s="36">
        <f>IFERROR(G940/$AD940,0)</f>
        <v>0</v>
      </c>
      <c r="I940" s="35"/>
      <c r="J940" s="36">
        <f>IFERROR(I940/$AC940,0)</f>
        <v>0</v>
      </c>
      <c r="K940" s="38"/>
      <c r="L940" s="36">
        <f>IFERROR(K940/$AD940,0)</f>
        <v>0</v>
      </c>
      <c r="M940" s="35"/>
      <c r="N940" s="36">
        <f>IFERROR(M940/$AC940,0)</f>
        <v>0</v>
      </c>
      <c r="O940" s="38"/>
      <c r="P940" s="36">
        <f>IFERROR(O940/$AD940,0)</f>
        <v>0</v>
      </c>
      <c r="Q940" s="35"/>
      <c r="R940" s="36">
        <f>IFERROR(Q940/$AC940,0)</f>
        <v>0</v>
      </c>
      <c r="S940" s="38"/>
      <c r="T940" s="36">
        <f>IFERROR(S940/$AD940,0)</f>
        <v>0</v>
      </c>
      <c r="U940" s="35"/>
      <c r="V940" s="36">
        <f>IFERROR(U940/$AC940,0)</f>
        <v>0</v>
      </c>
      <c r="W940" s="38"/>
      <c r="X940" s="36">
        <f>IFERROR(W940/$AD940,0)</f>
        <v>0</v>
      </c>
      <c r="Y940" s="35"/>
      <c r="Z940" s="36">
        <f>IFERROR(Y940/$AC940,0)</f>
        <v>0</v>
      </c>
      <c r="AA940" s="38"/>
      <c r="AB940" s="36">
        <f>IFERROR(AA940/$AD940,0)</f>
        <v>0</v>
      </c>
      <c r="AC940" s="35"/>
      <c r="AD940" s="38"/>
    </row>
    <row r="941" spans="1:30" ht="15.75" customHeight="1" x14ac:dyDescent="0.25">
      <c r="A941" s="37">
        <v>2018</v>
      </c>
      <c r="B941" s="35">
        <v>171840</v>
      </c>
      <c r="C941" s="34" t="s">
        <v>150</v>
      </c>
      <c r="D941" s="34" t="s">
        <v>110</v>
      </c>
      <c r="E941" s="35"/>
      <c r="F941" s="36">
        <f>IFERROR(E941/$AC941,0)</f>
        <v>0</v>
      </c>
      <c r="G941" s="38"/>
      <c r="H941" s="36">
        <f>IFERROR(G941/$AD941,0)</f>
        <v>0</v>
      </c>
      <c r="I941" s="35"/>
      <c r="J941" s="36">
        <f>IFERROR(I941/$AC941,0)</f>
        <v>0</v>
      </c>
      <c r="K941" s="38"/>
      <c r="L941" s="36">
        <f>IFERROR(K941/$AD941,0)</f>
        <v>0</v>
      </c>
      <c r="M941" s="35"/>
      <c r="N941" s="36">
        <f>IFERROR(M941/$AC941,0)</f>
        <v>0</v>
      </c>
      <c r="O941" s="38"/>
      <c r="P941" s="36">
        <f>IFERROR(O941/$AD941,0)</f>
        <v>0</v>
      </c>
      <c r="Q941" s="35"/>
      <c r="R941" s="36">
        <f>IFERROR(Q941/$AC941,0)</f>
        <v>0</v>
      </c>
      <c r="S941" s="38"/>
      <c r="T941" s="36">
        <f>IFERROR(S941/$AD941,0)</f>
        <v>0</v>
      </c>
      <c r="U941" s="35"/>
      <c r="V941" s="36">
        <f>IFERROR(U941/$AC941,0)</f>
        <v>0</v>
      </c>
      <c r="W941" s="38"/>
      <c r="X941" s="36">
        <f>IFERROR(W941/$AD941,0)</f>
        <v>0</v>
      </c>
      <c r="Y941" s="35"/>
      <c r="Z941" s="36">
        <f>IFERROR(Y941/$AC941,0)</f>
        <v>0</v>
      </c>
      <c r="AA941" s="38"/>
      <c r="AB941" s="36">
        <f>IFERROR(AA941/$AD941,0)</f>
        <v>0</v>
      </c>
      <c r="AC941" s="35"/>
      <c r="AD941" s="38"/>
    </row>
    <row r="942" spans="1:30" ht="15.75" customHeight="1" x14ac:dyDescent="0.25">
      <c r="A942" s="37">
        <v>2018</v>
      </c>
      <c r="B942" s="35">
        <v>171845</v>
      </c>
      <c r="C942" s="34" t="s">
        <v>144</v>
      </c>
      <c r="D942" s="34" t="s">
        <v>111</v>
      </c>
      <c r="E942" s="35"/>
      <c r="F942" s="36">
        <f>IFERROR(E942/$AC942,0)</f>
        <v>0</v>
      </c>
      <c r="G942" s="38"/>
      <c r="H942" s="36">
        <f>IFERROR(G942/$AD942,0)</f>
        <v>0</v>
      </c>
      <c r="I942" s="35"/>
      <c r="J942" s="36">
        <f>IFERROR(I942/$AC942,0)</f>
        <v>0</v>
      </c>
      <c r="K942" s="38"/>
      <c r="L942" s="36">
        <f>IFERROR(K942/$AD942,0)</f>
        <v>0</v>
      </c>
      <c r="M942" s="35"/>
      <c r="N942" s="36">
        <f>IFERROR(M942/$AC942,0)</f>
        <v>0</v>
      </c>
      <c r="O942" s="38"/>
      <c r="P942" s="36">
        <f>IFERROR(O942/$AD942,0)</f>
        <v>0</v>
      </c>
      <c r="Q942" s="35"/>
      <c r="R942" s="36">
        <f>IFERROR(Q942/$AC942,0)</f>
        <v>0</v>
      </c>
      <c r="S942" s="38"/>
      <c r="T942" s="36">
        <f>IFERROR(S942/$AD942,0)</f>
        <v>0</v>
      </c>
      <c r="U942" s="35"/>
      <c r="V942" s="36">
        <f>IFERROR(U942/$AC942,0)</f>
        <v>0</v>
      </c>
      <c r="W942" s="38"/>
      <c r="X942" s="36">
        <f>IFERROR(W942/$AD942,0)</f>
        <v>0</v>
      </c>
      <c r="Y942" s="35"/>
      <c r="Z942" s="36">
        <f>IFERROR(Y942/$AC942,0)</f>
        <v>0</v>
      </c>
      <c r="AA942" s="38"/>
      <c r="AB942" s="36">
        <f>IFERROR(AA942/$AD942,0)</f>
        <v>0</v>
      </c>
      <c r="AC942" s="35"/>
      <c r="AD942" s="38"/>
    </row>
    <row r="943" spans="1:30" ht="15.75" customHeight="1" x14ac:dyDescent="0.25">
      <c r="A943" s="37">
        <v>2018</v>
      </c>
      <c r="B943" s="35">
        <v>171850</v>
      </c>
      <c r="C943" s="34" t="s">
        <v>150</v>
      </c>
      <c r="D943" s="34" t="s">
        <v>112</v>
      </c>
      <c r="E943" s="35"/>
      <c r="F943" s="36">
        <f>IFERROR(E943/$AC943,0)</f>
        <v>0</v>
      </c>
      <c r="G943" s="38"/>
      <c r="H943" s="36">
        <f>IFERROR(G943/$AD943,0)</f>
        <v>0</v>
      </c>
      <c r="I943" s="35"/>
      <c r="J943" s="36">
        <f>IFERROR(I943/$AC943,0)</f>
        <v>0</v>
      </c>
      <c r="K943" s="38"/>
      <c r="L943" s="36">
        <f>IFERROR(K943/$AD943,0)</f>
        <v>0</v>
      </c>
      <c r="M943" s="35"/>
      <c r="N943" s="36">
        <f>IFERROR(M943/$AC943,0)</f>
        <v>0</v>
      </c>
      <c r="O943" s="38"/>
      <c r="P943" s="36">
        <f>IFERROR(O943/$AD943,0)</f>
        <v>0</v>
      </c>
      <c r="Q943" s="35"/>
      <c r="R943" s="36">
        <f>IFERROR(Q943/$AC943,0)</f>
        <v>0</v>
      </c>
      <c r="S943" s="38"/>
      <c r="T943" s="36">
        <f>IFERROR(S943/$AD943,0)</f>
        <v>0</v>
      </c>
      <c r="U943" s="35"/>
      <c r="V943" s="36">
        <f>IFERROR(U943/$AC943,0)</f>
        <v>0</v>
      </c>
      <c r="W943" s="38"/>
      <c r="X943" s="36">
        <f>IFERROR(W943/$AD943,0)</f>
        <v>0</v>
      </c>
      <c r="Y943" s="35"/>
      <c r="Z943" s="36">
        <f>IFERROR(Y943/$AC943,0)</f>
        <v>0</v>
      </c>
      <c r="AA943" s="38"/>
      <c r="AB943" s="36">
        <f>IFERROR(AA943/$AD943,0)</f>
        <v>0</v>
      </c>
      <c r="AC943" s="35"/>
      <c r="AD943" s="38"/>
    </row>
    <row r="944" spans="1:30" ht="15.75" customHeight="1" x14ac:dyDescent="0.25">
      <c r="A944" s="37">
        <v>2018</v>
      </c>
      <c r="B944" s="35">
        <v>171855</v>
      </c>
      <c r="C944" s="34" t="s">
        <v>145</v>
      </c>
      <c r="D944" s="34" t="s">
        <v>113</v>
      </c>
      <c r="E944" s="35"/>
      <c r="F944" s="36">
        <f>IFERROR(E944/$AC944,0)</f>
        <v>0</v>
      </c>
      <c r="G944" s="38"/>
      <c r="H944" s="36">
        <f>IFERROR(G944/$AD944,0)</f>
        <v>0</v>
      </c>
      <c r="I944" s="35"/>
      <c r="J944" s="36">
        <f>IFERROR(I944/$AC944,0)</f>
        <v>0</v>
      </c>
      <c r="K944" s="38"/>
      <c r="L944" s="36">
        <f>IFERROR(K944/$AD944,0)</f>
        <v>0</v>
      </c>
      <c r="M944" s="35"/>
      <c r="N944" s="36">
        <f>IFERROR(M944/$AC944,0)</f>
        <v>0</v>
      </c>
      <c r="O944" s="38"/>
      <c r="P944" s="36">
        <f>IFERROR(O944/$AD944,0)</f>
        <v>0</v>
      </c>
      <c r="Q944" s="35"/>
      <c r="R944" s="36">
        <f>IFERROR(Q944/$AC944,0)</f>
        <v>0</v>
      </c>
      <c r="S944" s="38"/>
      <c r="T944" s="36">
        <f>IFERROR(S944/$AD944,0)</f>
        <v>0</v>
      </c>
      <c r="U944" s="35"/>
      <c r="V944" s="36">
        <f>IFERROR(U944/$AC944,0)</f>
        <v>0</v>
      </c>
      <c r="W944" s="38"/>
      <c r="X944" s="36">
        <f>IFERROR(W944/$AD944,0)</f>
        <v>0</v>
      </c>
      <c r="Y944" s="35"/>
      <c r="Z944" s="36">
        <f>IFERROR(Y944/$AC944,0)</f>
        <v>0</v>
      </c>
      <c r="AA944" s="38"/>
      <c r="AB944" s="36">
        <f>IFERROR(AA944/$AD944,0)</f>
        <v>0</v>
      </c>
      <c r="AC944" s="35"/>
      <c r="AD944" s="38"/>
    </row>
    <row r="945" spans="1:30" ht="15.75" customHeight="1" x14ac:dyDescent="0.25">
      <c r="A945" s="37">
        <v>2018</v>
      </c>
      <c r="B945" s="35">
        <v>171865</v>
      </c>
      <c r="C945" s="34" t="s">
        <v>147</v>
      </c>
      <c r="D945" s="34" t="s">
        <v>114</v>
      </c>
      <c r="E945" s="35"/>
      <c r="F945" s="36">
        <f>IFERROR(E945/$AC945,0)</f>
        <v>0</v>
      </c>
      <c r="G945" s="38"/>
      <c r="H945" s="36">
        <f>IFERROR(G945/$AD945,0)</f>
        <v>0</v>
      </c>
      <c r="I945" s="35"/>
      <c r="J945" s="36">
        <f>IFERROR(I945/$AC945,0)</f>
        <v>0</v>
      </c>
      <c r="K945" s="38"/>
      <c r="L945" s="36">
        <f>IFERROR(K945/$AD945,0)</f>
        <v>0</v>
      </c>
      <c r="M945" s="35"/>
      <c r="N945" s="36">
        <f>IFERROR(M945/$AC945,0)</f>
        <v>0</v>
      </c>
      <c r="O945" s="38"/>
      <c r="P945" s="36">
        <f>IFERROR(O945/$AD945,0)</f>
        <v>0</v>
      </c>
      <c r="Q945" s="35"/>
      <c r="R945" s="36">
        <f>IFERROR(Q945/$AC945,0)</f>
        <v>0</v>
      </c>
      <c r="S945" s="38"/>
      <c r="T945" s="36">
        <f>IFERROR(S945/$AD945,0)</f>
        <v>0</v>
      </c>
      <c r="U945" s="35"/>
      <c r="V945" s="36">
        <f>IFERROR(U945/$AC945,0)</f>
        <v>0</v>
      </c>
      <c r="W945" s="38"/>
      <c r="X945" s="36">
        <f>IFERROR(W945/$AD945,0)</f>
        <v>0</v>
      </c>
      <c r="Y945" s="35"/>
      <c r="Z945" s="36">
        <f>IFERROR(Y945/$AC945,0)</f>
        <v>0</v>
      </c>
      <c r="AA945" s="38"/>
      <c r="AB945" s="36">
        <f>IFERROR(AA945/$AD945,0)</f>
        <v>0</v>
      </c>
      <c r="AC945" s="35"/>
      <c r="AD945" s="38"/>
    </row>
    <row r="946" spans="1:30" ht="15.75" customHeight="1" x14ac:dyDescent="0.25">
      <c r="A946" s="37">
        <v>2018</v>
      </c>
      <c r="B946" s="35">
        <v>171870</v>
      </c>
      <c r="C946" s="34" t="s">
        <v>148</v>
      </c>
      <c r="D946" s="34" t="s">
        <v>115</v>
      </c>
      <c r="E946" s="35"/>
      <c r="F946" s="36">
        <f>IFERROR(E946/$AC946,0)</f>
        <v>0</v>
      </c>
      <c r="G946" s="38"/>
      <c r="H946" s="36">
        <f>IFERROR(G946/$AD946,0)</f>
        <v>0</v>
      </c>
      <c r="I946" s="35"/>
      <c r="J946" s="36">
        <f>IFERROR(I946/$AC946,0)</f>
        <v>0</v>
      </c>
      <c r="K946" s="38"/>
      <c r="L946" s="36">
        <f>IFERROR(K946/$AD946,0)</f>
        <v>0</v>
      </c>
      <c r="M946" s="35"/>
      <c r="N946" s="36">
        <f>IFERROR(M946/$AC946,0)</f>
        <v>0</v>
      </c>
      <c r="O946" s="38"/>
      <c r="P946" s="36">
        <f>IFERROR(O946/$AD946,0)</f>
        <v>0</v>
      </c>
      <c r="Q946" s="35"/>
      <c r="R946" s="36">
        <f>IFERROR(Q946/$AC946,0)</f>
        <v>0</v>
      </c>
      <c r="S946" s="38"/>
      <c r="T946" s="36">
        <f>IFERROR(S946/$AD946,0)</f>
        <v>0</v>
      </c>
      <c r="U946" s="35"/>
      <c r="V946" s="36">
        <f>IFERROR(U946/$AC946,0)</f>
        <v>0</v>
      </c>
      <c r="W946" s="38"/>
      <c r="X946" s="36">
        <f>IFERROR(W946/$AD946,0)</f>
        <v>0</v>
      </c>
      <c r="Y946" s="35"/>
      <c r="Z946" s="36">
        <f>IFERROR(Y946/$AC946,0)</f>
        <v>0</v>
      </c>
      <c r="AA946" s="38"/>
      <c r="AB946" s="36">
        <f>IFERROR(AA946/$AD946,0)</f>
        <v>0</v>
      </c>
      <c r="AC946" s="35"/>
      <c r="AD946" s="38"/>
    </row>
    <row r="947" spans="1:30" ht="15.75" customHeight="1" x14ac:dyDescent="0.25">
      <c r="A947" s="37">
        <v>2018</v>
      </c>
      <c r="B947" s="35">
        <v>171875</v>
      </c>
      <c r="C947" s="34" t="s">
        <v>148</v>
      </c>
      <c r="D947" s="34" t="s">
        <v>116</v>
      </c>
      <c r="E947" s="35"/>
      <c r="F947" s="36">
        <f>IFERROR(E947/$AC947,0)</f>
        <v>0</v>
      </c>
      <c r="G947" s="38"/>
      <c r="H947" s="36">
        <f>IFERROR(G947/$AD947,0)</f>
        <v>0</v>
      </c>
      <c r="I947" s="35"/>
      <c r="J947" s="36">
        <f>IFERROR(I947/$AC947,0)</f>
        <v>0</v>
      </c>
      <c r="K947" s="38"/>
      <c r="L947" s="36">
        <f>IFERROR(K947/$AD947,0)</f>
        <v>0</v>
      </c>
      <c r="M947" s="35"/>
      <c r="N947" s="36">
        <f>IFERROR(M947/$AC947,0)</f>
        <v>0</v>
      </c>
      <c r="O947" s="38"/>
      <c r="P947" s="36">
        <f>IFERROR(O947/$AD947,0)</f>
        <v>0</v>
      </c>
      <c r="Q947" s="35"/>
      <c r="R947" s="36">
        <f>IFERROR(Q947/$AC947,0)</f>
        <v>0</v>
      </c>
      <c r="S947" s="38"/>
      <c r="T947" s="36">
        <f>IFERROR(S947/$AD947,0)</f>
        <v>0</v>
      </c>
      <c r="U947" s="35"/>
      <c r="V947" s="36">
        <f>IFERROR(U947/$AC947,0)</f>
        <v>0</v>
      </c>
      <c r="W947" s="38"/>
      <c r="X947" s="36">
        <f>IFERROR(W947/$AD947,0)</f>
        <v>0</v>
      </c>
      <c r="Y947" s="35"/>
      <c r="Z947" s="36">
        <f>IFERROR(Y947/$AC947,0)</f>
        <v>0</v>
      </c>
      <c r="AA947" s="38"/>
      <c r="AB947" s="36">
        <f>IFERROR(AA947/$AD947,0)</f>
        <v>0</v>
      </c>
      <c r="AC947" s="35"/>
      <c r="AD947" s="38"/>
    </row>
    <row r="948" spans="1:30" ht="15.75" customHeight="1" x14ac:dyDescent="0.25">
      <c r="A948" s="37">
        <v>2018</v>
      </c>
      <c r="B948" s="35">
        <v>171880</v>
      </c>
      <c r="C948" s="34" t="s">
        <v>145</v>
      </c>
      <c r="D948" s="34" t="s">
        <v>117</v>
      </c>
      <c r="E948" s="35"/>
      <c r="F948" s="36">
        <f>IFERROR(E948/$AC948,0)</f>
        <v>0</v>
      </c>
      <c r="G948" s="38"/>
      <c r="H948" s="36">
        <f>IFERROR(G948/$AD948,0)</f>
        <v>0</v>
      </c>
      <c r="I948" s="35"/>
      <c r="J948" s="36">
        <f>IFERROR(I948/$AC948,0)</f>
        <v>0</v>
      </c>
      <c r="K948" s="38"/>
      <c r="L948" s="36">
        <f>IFERROR(K948/$AD948,0)</f>
        <v>0</v>
      </c>
      <c r="M948" s="35"/>
      <c r="N948" s="36">
        <f>IFERROR(M948/$AC948,0)</f>
        <v>0</v>
      </c>
      <c r="O948" s="38"/>
      <c r="P948" s="36">
        <f>IFERROR(O948/$AD948,0)</f>
        <v>0</v>
      </c>
      <c r="Q948" s="35"/>
      <c r="R948" s="36">
        <f>IFERROR(Q948/$AC948,0)</f>
        <v>0</v>
      </c>
      <c r="S948" s="38"/>
      <c r="T948" s="36">
        <f>IFERROR(S948/$AD948,0)</f>
        <v>0</v>
      </c>
      <c r="U948" s="35"/>
      <c r="V948" s="36">
        <f>IFERROR(U948/$AC948,0)</f>
        <v>0</v>
      </c>
      <c r="W948" s="38"/>
      <c r="X948" s="36">
        <f>IFERROR(W948/$AD948,0)</f>
        <v>0</v>
      </c>
      <c r="Y948" s="35"/>
      <c r="Z948" s="36">
        <f>IFERROR(Y948/$AC948,0)</f>
        <v>0</v>
      </c>
      <c r="AA948" s="38"/>
      <c r="AB948" s="36">
        <f>IFERROR(AA948/$AD948,0)</f>
        <v>0</v>
      </c>
      <c r="AC948" s="35"/>
      <c r="AD948" s="38"/>
    </row>
    <row r="949" spans="1:30" ht="15.75" customHeight="1" x14ac:dyDescent="0.25">
      <c r="A949" s="37">
        <v>2018</v>
      </c>
      <c r="B949" s="35">
        <v>171884</v>
      </c>
      <c r="C949" s="34" t="s">
        <v>146</v>
      </c>
      <c r="D949" s="34" t="s">
        <v>118</v>
      </c>
      <c r="E949" s="35"/>
      <c r="F949" s="36">
        <f>IFERROR(E949/$AC949,0)</f>
        <v>0</v>
      </c>
      <c r="G949" s="38"/>
      <c r="H949" s="36">
        <f>IFERROR(G949/$AD949,0)</f>
        <v>0</v>
      </c>
      <c r="I949" s="35"/>
      <c r="J949" s="36">
        <f>IFERROR(I949/$AC949,0)</f>
        <v>0</v>
      </c>
      <c r="K949" s="38"/>
      <c r="L949" s="36">
        <f>IFERROR(K949/$AD949,0)</f>
        <v>0</v>
      </c>
      <c r="M949" s="35"/>
      <c r="N949" s="36">
        <f>IFERROR(M949/$AC949,0)</f>
        <v>0</v>
      </c>
      <c r="O949" s="38"/>
      <c r="P949" s="36">
        <f>IFERROR(O949/$AD949,0)</f>
        <v>0</v>
      </c>
      <c r="Q949" s="35"/>
      <c r="R949" s="36">
        <f>IFERROR(Q949/$AC949,0)</f>
        <v>0</v>
      </c>
      <c r="S949" s="38"/>
      <c r="T949" s="36">
        <f>IFERROR(S949/$AD949,0)</f>
        <v>0</v>
      </c>
      <c r="U949" s="35"/>
      <c r="V949" s="36">
        <f>IFERROR(U949/$AC949,0)</f>
        <v>0</v>
      </c>
      <c r="W949" s="38"/>
      <c r="X949" s="36">
        <f>IFERROR(W949/$AD949,0)</f>
        <v>0</v>
      </c>
      <c r="Y949" s="35"/>
      <c r="Z949" s="36">
        <f>IFERROR(Y949/$AC949,0)</f>
        <v>0</v>
      </c>
      <c r="AA949" s="38"/>
      <c r="AB949" s="36">
        <f>IFERROR(AA949/$AD949,0)</f>
        <v>0</v>
      </c>
      <c r="AC949" s="35"/>
      <c r="AD949" s="38"/>
    </row>
    <row r="950" spans="1:30" ht="15.75" customHeight="1" x14ac:dyDescent="0.25">
      <c r="A950" s="37">
        <v>2018</v>
      </c>
      <c r="B950" s="35">
        <v>171886</v>
      </c>
      <c r="C950" s="34" t="s">
        <v>149</v>
      </c>
      <c r="D950" s="34" t="s">
        <v>119</v>
      </c>
      <c r="E950" s="35"/>
      <c r="F950" s="36">
        <f>IFERROR(E950/$AC950,0)</f>
        <v>0</v>
      </c>
      <c r="G950" s="38"/>
      <c r="H950" s="36">
        <f>IFERROR(G950/$AD950,0)</f>
        <v>0</v>
      </c>
      <c r="I950" s="35"/>
      <c r="J950" s="36">
        <f>IFERROR(I950/$AC950,0)</f>
        <v>0</v>
      </c>
      <c r="K950" s="38"/>
      <c r="L950" s="36">
        <f>IFERROR(K950/$AD950,0)</f>
        <v>0</v>
      </c>
      <c r="M950" s="35"/>
      <c r="N950" s="36">
        <f>IFERROR(M950/$AC950,0)</f>
        <v>0</v>
      </c>
      <c r="O950" s="38"/>
      <c r="P950" s="36">
        <f>IFERROR(O950/$AD950,0)</f>
        <v>0</v>
      </c>
      <c r="Q950" s="35"/>
      <c r="R950" s="36">
        <f>IFERROR(Q950/$AC950,0)</f>
        <v>0</v>
      </c>
      <c r="S950" s="38"/>
      <c r="T950" s="36">
        <f>IFERROR(S950/$AD950,0)</f>
        <v>0</v>
      </c>
      <c r="U950" s="35"/>
      <c r="V950" s="36">
        <f>IFERROR(U950/$AC950,0)</f>
        <v>0</v>
      </c>
      <c r="W950" s="38"/>
      <c r="X950" s="36">
        <f>IFERROR(W950/$AD950,0)</f>
        <v>0</v>
      </c>
      <c r="Y950" s="35"/>
      <c r="Z950" s="36">
        <f>IFERROR(Y950/$AC950,0)</f>
        <v>0</v>
      </c>
      <c r="AA950" s="38"/>
      <c r="AB950" s="36">
        <f>IFERROR(AA950/$AD950,0)</f>
        <v>0</v>
      </c>
      <c r="AC950" s="35"/>
      <c r="AD950" s="38"/>
    </row>
    <row r="951" spans="1:30" ht="15.75" customHeight="1" x14ac:dyDescent="0.25">
      <c r="A951" s="37">
        <v>2018</v>
      </c>
      <c r="B951" s="35">
        <v>171888</v>
      </c>
      <c r="C951" s="34" t="s">
        <v>150</v>
      </c>
      <c r="D951" s="34" t="s">
        <v>120</v>
      </c>
      <c r="E951" s="35"/>
      <c r="F951" s="36">
        <f>IFERROR(E951/$AC951,0)</f>
        <v>0</v>
      </c>
      <c r="G951" s="38"/>
      <c r="H951" s="36">
        <f>IFERROR(G951/$AD951,0)</f>
        <v>0</v>
      </c>
      <c r="I951" s="35"/>
      <c r="J951" s="36">
        <f>IFERROR(I951/$AC951,0)</f>
        <v>0</v>
      </c>
      <c r="K951" s="38"/>
      <c r="L951" s="36">
        <f>IFERROR(K951/$AD951,0)</f>
        <v>0</v>
      </c>
      <c r="M951" s="35"/>
      <c r="N951" s="36">
        <f>IFERROR(M951/$AC951,0)</f>
        <v>0</v>
      </c>
      <c r="O951" s="38"/>
      <c r="P951" s="36">
        <f>IFERROR(O951/$AD951,0)</f>
        <v>0</v>
      </c>
      <c r="Q951" s="35"/>
      <c r="R951" s="36">
        <f>IFERROR(Q951/$AC951,0)</f>
        <v>0</v>
      </c>
      <c r="S951" s="38"/>
      <c r="T951" s="36">
        <f>IFERROR(S951/$AD951,0)</f>
        <v>0</v>
      </c>
      <c r="U951" s="35"/>
      <c r="V951" s="36">
        <f>IFERROR(U951/$AC951,0)</f>
        <v>0</v>
      </c>
      <c r="W951" s="38"/>
      <c r="X951" s="36">
        <f>IFERROR(W951/$AD951,0)</f>
        <v>0</v>
      </c>
      <c r="Y951" s="35"/>
      <c r="Z951" s="36">
        <f>IFERROR(Y951/$AC951,0)</f>
        <v>0</v>
      </c>
      <c r="AA951" s="38"/>
      <c r="AB951" s="36">
        <f>IFERROR(AA951/$AD951,0)</f>
        <v>0</v>
      </c>
      <c r="AC951" s="35"/>
      <c r="AD951" s="38"/>
    </row>
    <row r="952" spans="1:30" ht="15.75" customHeight="1" x14ac:dyDescent="0.25">
      <c r="A952" s="37">
        <v>2018</v>
      </c>
      <c r="B952" s="35">
        <v>171889</v>
      </c>
      <c r="C952" s="34" t="s">
        <v>146</v>
      </c>
      <c r="D952" s="34" t="s">
        <v>121</v>
      </c>
      <c r="E952" s="35"/>
      <c r="F952" s="36">
        <f>IFERROR(E952/$AC952,0)</f>
        <v>0</v>
      </c>
      <c r="G952" s="38"/>
      <c r="H952" s="36">
        <f>IFERROR(G952/$AD952,0)</f>
        <v>0</v>
      </c>
      <c r="I952" s="35"/>
      <c r="J952" s="36">
        <f>IFERROR(I952/$AC952,0)</f>
        <v>0</v>
      </c>
      <c r="K952" s="38"/>
      <c r="L952" s="36">
        <f>IFERROR(K952/$AD952,0)</f>
        <v>0</v>
      </c>
      <c r="M952" s="35"/>
      <c r="N952" s="36">
        <f>IFERROR(M952/$AC952,0)</f>
        <v>0</v>
      </c>
      <c r="O952" s="38"/>
      <c r="P952" s="36">
        <f>IFERROR(O952/$AD952,0)</f>
        <v>0</v>
      </c>
      <c r="Q952" s="35"/>
      <c r="R952" s="36">
        <f>IFERROR(Q952/$AC952,0)</f>
        <v>0</v>
      </c>
      <c r="S952" s="38"/>
      <c r="T952" s="36">
        <f>IFERROR(S952/$AD952,0)</f>
        <v>0</v>
      </c>
      <c r="U952" s="35"/>
      <c r="V952" s="36">
        <f>IFERROR(U952/$AC952,0)</f>
        <v>0</v>
      </c>
      <c r="W952" s="38"/>
      <c r="X952" s="36">
        <f>IFERROR(W952/$AD952,0)</f>
        <v>0</v>
      </c>
      <c r="Y952" s="35"/>
      <c r="Z952" s="36">
        <f>IFERROR(Y952/$AC952,0)</f>
        <v>0</v>
      </c>
      <c r="AA952" s="38"/>
      <c r="AB952" s="36">
        <f>IFERROR(AA952/$AD952,0)</f>
        <v>0</v>
      </c>
      <c r="AC952" s="35"/>
      <c r="AD952" s="38"/>
    </row>
    <row r="953" spans="1:30" ht="15.75" customHeight="1" x14ac:dyDescent="0.25">
      <c r="A953" s="37">
        <v>2018</v>
      </c>
      <c r="B953" s="35">
        <v>171890</v>
      </c>
      <c r="C953" s="34" t="s">
        <v>151</v>
      </c>
      <c r="D953" s="34" t="s">
        <v>122</v>
      </c>
      <c r="E953" s="35"/>
      <c r="F953" s="36">
        <f>IFERROR(E953/$AC953,0)</f>
        <v>0</v>
      </c>
      <c r="G953" s="38"/>
      <c r="H953" s="36">
        <f>IFERROR(G953/$AD953,0)</f>
        <v>0</v>
      </c>
      <c r="I953" s="35"/>
      <c r="J953" s="36">
        <f>IFERROR(I953/$AC953,0)</f>
        <v>0</v>
      </c>
      <c r="K953" s="38"/>
      <c r="L953" s="36">
        <f>IFERROR(K953/$AD953,0)</f>
        <v>0</v>
      </c>
      <c r="M953" s="35"/>
      <c r="N953" s="36">
        <f>IFERROR(M953/$AC953,0)</f>
        <v>0</v>
      </c>
      <c r="O953" s="38"/>
      <c r="P953" s="36">
        <f>IFERROR(O953/$AD953,0)</f>
        <v>0</v>
      </c>
      <c r="Q953" s="35"/>
      <c r="R953" s="36">
        <f>IFERROR(Q953/$AC953,0)</f>
        <v>0</v>
      </c>
      <c r="S953" s="38"/>
      <c r="T953" s="36">
        <f>IFERROR(S953/$AD953,0)</f>
        <v>0</v>
      </c>
      <c r="U953" s="35"/>
      <c r="V953" s="36">
        <f>IFERROR(U953/$AC953,0)</f>
        <v>0</v>
      </c>
      <c r="W953" s="38"/>
      <c r="X953" s="36">
        <f>IFERROR(W953/$AD953,0)</f>
        <v>0</v>
      </c>
      <c r="Y953" s="35"/>
      <c r="Z953" s="36">
        <f>IFERROR(Y953/$AC953,0)</f>
        <v>0</v>
      </c>
      <c r="AA953" s="38"/>
      <c r="AB953" s="36">
        <f>IFERROR(AA953/$AD953,0)</f>
        <v>0</v>
      </c>
      <c r="AC953" s="35"/>
      <c r="AD953" s="38"/>
    </row>
    <row r="954" spans="1:30" ht="15.75" customHeight="1" x14ac:dyDescent="0.25">
      <c r="A954" s="37">
        <v>2018</v>
      </c>
      <c r="B954" s="35">
        <v>171900</v>
      </c>
      <c r="C954" s="34" t="s">
        <v>148</v>
      </c>
      <c r="D954" s="34" t="s">
        <v>123</v>
      </c>
      <c r="E954" s="35"/>
      <c r="F954" s="36">
        <f>IFERROR(E954/$AC954,0)</f>
        <v>0</v>
      </c>
      <c r="G954" s="38"/>
      <c r="H954" s="36">
        <f>IFERROR(G954/$AD954,0)</f>
        <v>0</v>
      </c>
      <c r="I954" s="35"/>
      <c r="J954" s="36">
        <f>IFERROR(I954/$AC954,0)</f>
        <v>0</v>
      </c>
      <c r="K954" s="38"/>
      <c r="L954" s="36">
        <f>IFERROR(K954/$AD954,0)</f>
        <v>0</v>
      </c>
      <c r="M954" s="35"/>
      <c r="N954" s="36">
        <f>IFERROR(M954/$AC954,0)</f>
        <v>0</v>
      </c>
      <c r="O954" s="38"/>
      <c r="P954" s="36">
        <f>IFERROR(O954/$AD954,0)</f>
        <v>0</v>
      </c>
      <c r="Q954" s="35"/>
      <c r="R954" s="36">
        <f>IFERROR(Q954/$AC954,0)</f>
        <v>0</v>
      </c>
      <c r="S954" s="38"/>
      <c r="T954" s="36">
        <f>IFERROR(S954/$AD954,0)</f>
        <v>0</v>
      </c>
      <c r="U954" s="35"/>
      <c r="V954" s="36">
        <f>IFERROR(U954/$AC954,0)</f>
        <v>0</v>
      </c>
      <c r="W954" s="38"/>
      <c r="X954" s="36">
        <f>IFERROR(W954/$AD954,0)</f>
        <v>0</v>
      </c>
      <c r="Y954" s="35"/>
      <c r="Z954" s="36">
        <f>IFERROR(Y954/$AC954,0)</f>
        <v>0</v>
      </c>
      <c r="AA954" s="38"/>
      <c r="AB954" s="36">
        <f>IFERROR(AA954/$AD954,0)</f>
        <v>0</v>
      </c>
      <c r="AC954" s="35"/>
      <c r="AD954" s="38"/>
    </row>
    <row r="955" spans="1:30" ht="15.75" customHeight="1" x14ac:dyDescent="0.25">
      <c r="A955" s="37">
        <v>2018</v>
      </c>
      <c r="B955" s="35">
        <v>172000</v>
      </c>
      <c r="C955" s="34" t="s">
        <v>145</v>
      </c>
      <c r="D955" s="34" t="s">
        <v>124</v>
      </c>
      <c r="E955" s="35"/>
      <c r="F955" s="36">
        <f>IFERROR(E955/$AC955,0)</f>
        <v>0</v>
      </c>
      <c r="G955" s="38"/>
      <c r="H955" s="36">
        <f>IFERROR(G955/$AD955,0)</f>
        <v>0</v>
      </c>
      <c r="I955" s="35"/>
      <c r="J955" s="36">
        <f>IFERROR(I955/$AC955,0)</f>
        <v>0</v>
      </c>
      <c r="K955" s="38"/>
      <c r="L955" s="36">
        <f>IFERROR(K955/$AD955,0)</f>
        <v>0</v>
      </c>
      <c r="M955" s="35"/>
      <c r="N955" s="36">
        <f>IFERROR(M955/$AC955,0)</f>
        <v>0</v>
      </c>
      <c r="O955" s="38"/>
      <c r="P955" s="36">
        <f>IFERROR(O955/$AD955,0)</f>
        <v>0</v>
      </c>
      <c r="Q955" s="35"/>
      <c r="R955" s="36">
        <f>IFERROR(Q955/$AC955,0)</f>
        <v>0</v>
      </c>
      <c r="S955" s="38"/>
      <c r="T955" s="36">
        <f>IFERROR(S955/$AD955,0)</f>
        <v>0</v>
      </c>
      <c r="U955" s="35"/>
      <c r="V955" s="36">
        <f>IFERROR(U955/$AC955,0)</f>
        <v>0</v>
      </c>
      <c r="W955" s="38"/>
      <c r="X955" s="36">
        <f>IFERROR(W955/$AD955,0)</f>
        <v>0</v>
      </c>
      <c r="Y955" s="35"/>
      <c r="Z955" s="36">
        <f>IFERROR(Y955/$AC955,0)</f>
        <v>0</v>
      </c>
      <c r="AA955" s="38"/>
      <c r="AB955" s="36">
        <f>IFERROR(AA955/$AD955,0)</f>
        <v>0</v>
      </c>
      <c r="AC955" s="35"/>
      <c r="AD955" s="38"/>
    </row>
    <row r="956" spans="1:30" ht="15.75" customHeight="1" x14ac:dyDescent="0.25">
      <c r="A956" s="37">
        <v>2018</v>
      </c>
      <c r="B956" s="35">
        <v>172010</v>
      </c>
      <c r="C956" s="34" t="s">
        <v>145</v>
      </c>
      <c r="D956" s="34" t="s">
        <v>125</v>
      </c>
      <c r="E956" s="35"/>
      <c r="F956" s="36">
        <f>IFERROR(E956/$AC956,0)</f>
        <v>0</v>
      </c>
      <c r="G956" s="38"/>
      <c r="H956" s="36">
        <f>IFERROR(G956/$AD956,0)</f>
        <v>0</v>
      </c>
      <c r="I956" s="35"/>
      <c r="J956" s="36">
        <f>IFERROR(I956/$AC956,0)</f>
        <v>0</v>
      </c>
      <c r="K956" s="38"/>
      <c r="L956" s="36">
        <f>IFERROR(K956/$AD956,0)</f>
        <v>0</v>
      </c>
      <c r="M956" s="35"/>
      <c r="N956" s="36">
        <f>IFERROR(M956/$AC956,0)</f>
        <v>0</v>
      </c>
      <c r="O956" s="38"/>
      <c r="P956" s="36">
        <f>IFERROR(O956/$AD956,0)</f>
        <v>0</v>
      </c>
      <c r="Q956" s="35"/>
      <c r="R956" s="36">
        <f>IFERROR(Q956/$AC956,0)</f>
        <v>0</v>
      </c>
      <c r="S956" s="38"/>
      <c r="T956" s="36">
        <f>IFERROR(S956/$AD956,0)</f>
        <v>0</v>
      </c>
      <c r="U956" s="35"/>
      <c r="V956" s="36">
        <f>IFERROR(U956/$AC956,0)</f>
        <v>0</v>
      </c>
      <c r="W956" s="38"/>
      <c r="X956" s="36">
        <f>IFERROR(W956/$AD956,0)</f>
        <v>0</v>
      </c>
      <c r="Y956" s="35"/>
      <c r="Z956" s="36">
        <f>IFERROR(Y956/$AC956,0)</f>
        <v>0</v>
      </c>
      <c r="AA956" s="38"/>
      <c r="AB956" s="36">
        <f>IFERROR(AA956/$AD956,0)</f>
        <v>0</v>
      </c>
      <c r="AC956" s="35"/>
      <c r="AD956" s="38"/>
    </row>
    <row r="957" spans="1:30" ht="15.75" customHeight="1" x14ac:dyDescent="0.25">
      <c r="A957" s="37">
        <v>2018</v>
      </c>
      <c r="B957" s="35">
        <v>172015</v>
      </c>
      <c r="C957" s="34" t="s">
        <v>148</v>
      </c>
      <c r="D957" s="34" t="s">
        <v>126</v>
      </c>
      <c r="E957" s="35"/>
      <c r="F957" s="36">
        <f>IFERROR(E957/$AC957,0)</f>
        <v>0</v>
      </c>
      <c r="G957" s="38"/>
      <c r="H957" s="36">
        <f>IFERROR(G957/$AD957,0)</f>
        <v>0</v>
      </c>
      <c r="I957" s="35"/>
      <c r="J957" s="36">
        <f>IFERROR(I957/$AC957,0)</f>
        <v>0</v>
      </c>
      <c r="K957" s="38"/>
      <c r="L957" s="36">
        <f>IFERROR(K957/$AD957,0)</f>
        <v>0</v>
      </c>
      <c r="M957" s="35"/>
      <c r="N957" s="36">
        <f>IFERROR(M957/$AC957,0)</f>
        <v>0</v>
      </c>
      <c r="O957" s="38"/>
      <c r="P957" s="36">
        <f>IFERROR(O957/$AD957,0)</f>
        <v>0</v>
      </c>
      <c r="Q957" s="35"/>
      <c r="R957" s="36">
        <f>IFERROR(Q957/$AC957,0)</f>
        <v>0</v>
      </c>
      <c r="S957" s="38"/>
      <c r="T957" s="36">
        <f>IFERROR(S957/$AD957,0)</f>
        <v>0</v>
      </c>
      <c r="U957" s="35"/>
      <c r="V957" s="36">
        <f>IFERROR(U957/$AC957,0)</f>
        <v>0</v>
      </c>
      <c r="W957" s="38"/>
      <c r="X957" s="36">
        <f>IFERROR(W957/$AD957,0)</f>
        <v>0</v>
      </c>
      <c r="Y957" s="35"/>
      <c r="Z957" s="36">
        <f>IFERROR(Y957/$AC957,0)</f>
        <v>0</v>
      </c>
      <c r="AA957" s="38"/>
      <c r="AB957" s="36">
        <f>IFERROR(AA957/$AD957,0)</f>
        <v>0</v>
      </c>
      <c r="AC957" s="35"/>
      <c r="AD957" s="38"/>
    </row>
    <row r="958" spans="1:30" ht="15.75" customHeight="1" x14ac:dyDescent="0.25">
      <c r="A958" s="37">
        <v>2018</v>
      </c>
      <c r="B958" s="35">
        <v>172020</v>
      </c>
      <c r="C958" s="34" t="s">
        <v>145</v>
      </c>
      <c r="D958" s="34" t="s">
        <v>127</v>
      </c>
      <c r="E958" s="35"/>
      <c r="F958" s="36">
        <f>IFERROR(E958/$AC958,0)</f>
        <v>0</v>
      </c>
      <c r="G958" s="38"/>
      <c r="H958" s="36">
        <f>IFERROR(G958/$AD958,0)</f>
        <v>0</v>
      </c>
      <c r="I958" s="35"/>
      <c r="J958" s="36">
        <f>IFERROR(I958/$AC958,0)</f>
        <v>0</v>
      </c>
      <c r="K958" s="38"/>
      <c r="L958" s="36">
        <f>IFERROR(K958/$AD958,0)</f>
        <v>0</v>
      </c>
      <c r="M958" s="35"/>
      <c r="N958" s="36">
        <f>IFERROR(M958/$AC958,0)</f>
        <v>0</v>
      </c>
      <c r="O958" s="38"/>
      <c r="P958" s="36">
        <f>IFERROR(O958/$AD958,0)</f>
        <v>0</v>
      </c>
      <c r="Q958" s="35"/>
      <c r="R958" s="36">
        <f>IFERROR(Q958/$AC958,0)</f>
        <v>0</v>
      </c>
      <c r="S958" s="38"/>
      <c r="T958" s="36">
        <f>IFERROR(S958/$AD958,0)</f>
        <v>0</v>
      </c>
      <c r="U958" s="35"/>
      <c r="V958" s="36">
        <f>IFERROR(U958/$AC958,0)</f>
        <v>0</v>
      </c>
      <c r="W958" s="38"/>
      <c r="X958" s="36">
        <f>IFERROR(W958/$AD958,0)</f>
        <v>0</v>
      </c>
      <c r="Y958" s="35"/>
      <c r="Z958" s="36">
        <f>IFERROR(Y958/$AC958,0)</f>
        <v>0</v>
      </c>
      <c r="AA958" s="38"/>
      <c r="AB958" s="36">
        <f>IFERROR(AA958/$AD958,0)</f>
        <v>0</v>
      </c>
      <c r="AC958" s="35"/>
      <c r="AD958" s="38"/>
    </row>
    <row r="959" spans="1:30" ht="15.75" customHeight="1" x14ac:dyDescent="0.25">
      <c r="A959" s="37">
        <v>2018</v>
      </c>
      <c r="B959" s="35">
        <v>172025</v>
      </c>
      <c r="C959" s="34" t="s">
        <v>146</v>
      </c>
      <c r="D959" s="34" t="s">
        <v>128</v>
      </c>
      <c r="E959" s="35"/>
      <c r="F959" s="36">
        <f>IFERROR(E959/$AC959,0)</f>
        <v>0</v>
      </c>
      <c r="G959" s="38"/>
      <c r="H959" s="36">
        <f>IFERROR(G959/$AD959,0)</f>
        <v>0</v>
      </c>
      <c r="I959" s="35"/>
      <c r="J959" s="36">
        <f>IFERROR(I959/$AC959,0)</f>
        <v>0</v>
      </c>
      <c r="K959" s="38"/>
      <c r="L959" s="36">
        <f>IFERROR(K959/$AD959,0)</f>
        <v>0</v>
      </c>
      <c r="M959" s="35"/>
      <c r="N959" s="36">
        <f>IFERROR(M959/$AC959,0)</f>
        <v>0</v>
      </c>
      <c r="O959" s="38"/>
      <c r="P959" s="36">
        <f>IFERROR(O959/$AD959,0)</f>
        <v>0</v>
      </c>
      <c r="Q959" s="35"/>
      <c r="R959" s="36">
        <f>IFERROR(Q959/$AC959,0)</f>
        <v>0</v>
      </c>
      <c r="S959" s="38"/>
      <c r="T959" s="36">
        <f>IFERROR(S959/$AD959,0)</f>
        <v>0</v>
      </c>
      <c r="U959" s="35"/>
      <c r="V959" s="36">
        <f>IFERROR(U959/$AC959,0)</f>
        <v>0</v>
      </c>
      <c r="W959" s="38"/>
      <c r="X959" s="36">
        <f>IFERROR(W959/$AD959,0)</f>
        <v>0</v>
      </c>
      <c r="Y959" s="35"/>
      <c r="Z959" s="36">
        <f>IFERROR(Y959/$AC959,0)</f>
        <v>0</v>
      </c>
      <c r="AA959" s="38"/>
      <c r="AB959" s="36">
        <f>IFERROR(AA959/$AD959,0)</f>
        <v>0</v>
      </c>
      <c r="AC959" s="35"/>
      <c r="AD959" s="38"/>
    </row>
    <row r="960" spans="1:30" ht="15.75" customHeight="1" x14ac:dyDescent="0.25">
      <c r="A960" s="37">
        <v>2018</v>
      </c>
      <c r="B960" s="35">
        <v>172030</v>
      </c>
      <c r="C960" s="34" t="s">
        <v>145</v>
      </c>
      <c r="D960" s="34" t="s">
        <v>129</v>
      </c>
      <c r="E960" s="35"/>
      <c r="F960" s="36">
        <f>IFERROR(E960/$AC960,0)</f>
        <v>0</v>
      </c>
      <c r="G960" s="38"/>
      <c r="H960" s="36">
        <f>IFERROR(G960/$AD960,0)</f>
        <v>0</v>
      </c>
      <c r="I960" s="35"/>
      <c r="J960" s="36">
        <f>IFERROR(I960/$AC960,0)</f>
        <v>0</v>
      </c>
      <c r="K960" s="38"/>
      <c r="L960" s="36">
        <f>IFERROR(K960/$AD960,0)</f>
        <v>0</v>
      </c>
      <c r="M960" s="35"/>
      <c r="N960" s="36">
        <f>IFERROR(M960/$AC960,0)</f>
        <v>0</v>
      </c>
      <c r="O960" s="38"/>
      <c r="P960" s="36">
        <f>IFERROR(O960/$AD960,0)</f>
        <v>0</v>
      </c>
      <c r="Q960" s="35"/>
      <c r="R960" s="36">
        <f>IFERROR(Q960/$AC960,0)</f>
        <v>0</v>
      </c>
      <c r="S960" s="38"/>
      <c r="T960" s="36">
        <f>IFERROR(S960/$AD960,0)</f>
        <v>0</v>
      </c>
      <c r="U960" s="35"/>
      <c r="V960" s="36">
        <f>IFERROR(U960/$AC960,0)</f>
        <v>0</v>
      </c>
      <c r="W960" s="38"/>
      <c r="X960" s="36">
        <f>IFERROR(W960/$AD960,0)</f>
        <v>0</v>
      </c>
      <c r="Y960" s="35"/>
      <c r="Z960" s="36">
        <f>IFERROR(Y960/$AC960,0)</f>
        <v>0</v>
      </c>
      <c r="AA960" s="38"/>
      <c r="AB960" s="36">
        <f>IFERROR(AA960/$AD960,0)</f>
        <v>0</v>
      </c>
      <c r="AC960" s="35"/>
      <c r="AD960" s="38"/>
    </row>
    <row r="961" spans="1:30" ht="15.75" customHeight="1" x14ac:dyDescent="0.25">
      <c r="A961" s="37">
        <v>2018</v>
      </c>
      <c r="B961" s="35">
        <v>172049</v>
      </c>
      <c r="C961" s="34" t="s">
        <v>146</v>
      </c>
      <c r="D961" s="34" t="s">
        <v>130</v>
      </c>
      <c r="E961" s="35"/>
      <c r="F961" s="36">
        <f>IFERROR(E961/$AC961,0)</f>
        <v>0</v>
      </c>
      <c r="G961" s="38"/>
      <c r="H961" s="36">
        <f>IFERROR(G961/$AD961,0)</f>
        <v>0</v>
      </c>
      <c r="I961" s="35"/>
      <c r="J961" s="36">
        <f>IFERROR(I961/$AC961,0)</f>
        <v>0</v>
      </c>
      <c r="K961" s="38"/>
      <c r="L961" s="36">
        <f>IFERROR(K961/$AD961,0)</f>
        <v>0</v>
      </c>
      <c r="M961" s="35"/>
      <c r="N961" s="36">
        <f>IFERROR(M961/$AC961,0)</f>
        <v>0</v>
      </c>
      <c r="O961" s="38"/>
      <c r="P961" s="36">
        <f>IFERROR(O961/$AD961,0)</f>
        <v>0</v>
      </c>
      <c r="Q961" s="35"/>
      <c r="R961" s="36">
        <f>IFERROR(Q961/$AC961,0)</f>
        <v>0</v>
      </c>
      <c r="S961" s="38"/>
      <c r="T961" s="36">
        <f>IFERROR(S961/$AD961,0)</f>
        <v>0</v>
      </c>
      <c r="U961" s="35"/>
      <c r="V961" s="36">
        <f>IFERROR(U961/$AC961,0)</f>
        <v>0</v>
      </c>
      <c r="W961" s="38"/>
      <c r="X961" s="36">
        <f>IFERROR(W961/$AD961,0)</f>
        <v>0</v>
      </c>
      <c r="Y961" s="35"/>
      <c r="Z961" s="36">
        <f>IFERROR(Y961/$AC961,0)</f>
        <v>0</v>
      </c>
      <c r="AA961" s="38"/>
      <c r="AB961" s="36">
        <f>IFERROR(AA961/$AD961,0)</f>
        <v>0</v>
      </c>
      <c r="AC961" s="35"/>
      <c r="AD961" s="38"/>
    </row>
    <row r="962" spans="1:30" ht="15.75" customHeight="1" x14ac:dyDescent="0.25">
      <c r="A962" s="37">
        <v>2018</v>
      </c>
      <c r="B962" s="35">
        <v>172065</v>
      </c>
      <c r="C962" s="34" t="s">
        <v>151</v>
      </c>
      <c r="D962" s="34" t="s">
        <v>131</v>
      </c>
      <c r="E962" s="35"/>
      <c r="F962" s="36">
        <f>IFERROR(E962/$AC962,0)</f>
        <v>0</v>
      </c>
      <c r="G962" s="38"/>
      <c r="H962" s="36">
        <f>IFERROR(G962/$AD962,0)</f>
        <v>0</v>
      </c>
      <c r="I962" s="35"/>
      <c r="J962" s="36">
        <f>IFERROR(I962/$AC962,0)</f>
        <v>0</v>
      </c>
      <c r="K962" s="38"/>
      <c r="L962" s="36">
        <f>IFERROR(K962/$AD962,0)</f>
        <v>0</v>
      </c>
      <c r="M962" s="35"/>
      <c r="N962" s="36">
        <f>IFERROR(M962/$AC962,0)</f>
        <v>0</v>
      </c>
      <c r="O962" s="38"/>
      <c r="P962" s="36">
        <f>IFERROR(O962/$AD962,0)</f>
        <v>0</v>
      </c>
      <c r="Q962" s="35"/>
      <c r="R962" s="36">
        <f>IFERROR(Q962/$AC962,0)</f>
        <v>0</v>
      </c>
      <c r="S962" s="38"/>
      <c r="T962" s="36">
        <f>IFERROR(S962/$AD962,0)</f>
        <v>0</v>
      </c>
      <c r="U962" s="35"/>
      <c r="V962" s="36">
        <f>IFERROR(U962/$AC962,0)</f>
        <v>0</v>
      </c>
      <c r="W962" s="38"/>
      <c r="X962" s="36">
        <f>IFERROR(W962/$AD962,0)</f>
        <v>0</v>
      </c>
      <c r="Y962" s="35"/>
      <c r="Z962" s="36">
        <f>IFERROR(Y962/$AC962,0)</f>
        <v>0</v>
      </c>
      <c r="AA962" s="38"/>
      <c r="AB962" s="36">
        <f>IFERROR(AA962/$AD962,0)</f>
        <v>0</v>
      </c>
      <c r="AC962" s="35"/>
      <c r="AD962" s="38"/>
    </row>
    <row r="963" spans="1:30" ht="15.75" customHeight="1" x14ac:dyDescent="0.25">
      <c r="A963" s="37">
        <v>2018</v>
      </c>
      <c r="B963" s="35">
        <v>172080</v>
      </c>
      <c r="C963" s="34" t="s">
        <v>145</v>
      </c>
      <c r="D963" s="34" t="s">
        <v>132</v>
      </c>
      <c r="E963" s="35"/>
      <c r="F963" s="36">
        <f>IFERROR(E963/$AC963,0)</f>
        <v>0</v>
      </c>
      <c r="G963" s="38"/>
      <c r="H963" s="36">
        <f>IFERROR(G963/$AD963,0)</f>
        <v>0</v>
      </c>
      <c r="I963" s="35"/>
      <c r="J963" s="36">
        <f>IFERROR(I963/$AC963,0)</f>
        <v>0</v>
      </c>
      <c r="K963" s="38"/>
      <c r="L963" s="36">
        <f>IFERROR(K963/$AD963,0)</f>
        <v>0</v>
      </c>
      <c r="M963" s="35"/>
      <c r="N963" s="36">
        <f>IFERROR(M963/$AC963,0)</f>
        <v>0</v>
      </c>
      <c r="O963" s="38"/>
      <c r="P963" s="36">
        <f>IFERROR(O963/$AD963,0)</f>
        <v>0</v>
      </c>
      <c r="Q963" s="35"/>
      <c r="R963" s="36">
        <f>IFERROR(Q963/$AC963,0)</f>
        <v>0</v>
      </c>
      <c r="S963" s="38"/>
      <c r="T963" s="36">
        <f>IFERROR(S963/$AD963,0)</f>
        <v>0</v>
      </c>
      <c r="U963" s="35"/>
      <c r="V963" s="36">
        <f>IFERROR(U963/$AC963,0)</f>
        <v>0</v>
      </c>
      <c r="W963" s="38"/>
      <c r="X963" s="36">
        <f>IFERROR(W963/$AD963,0)</f>
        <v>0</v>
      </c>
      <c r="Y963" s="35"/>
      <c r="Z963" s="36">
        <f>IFERROR(Y963/$AC963,0)</f>
        <v>0</v>
      </c>
      <c r="AA963" s="38"/>
      <c r="AB963" s="36">
        <f>IFERROR(AA963/$AD963,0)</f>
        <v>0</v>
      </c>
      <c r="AC963" s="35"/>
      <c r="AD963" s="38"/>
    </row>
    <row r="964" spans="1:30" ht="15.75" customHeight="1" x14ac:dyDescent="0.25">
      <c r="A964" s="37">
        <v>2018</v>
      </c>
      <c r="B964" s="35">
        <v>172085</v>
      </c>
      <c r="C964" s="34" t="s">
        <v>146</v>
      </c>
      <c r="D964" s="34" t="s">
        <v>133</v>
      </c>
      <c r="E964" s="35"/>
      <c r="F964" s="36">
        <f>IFERROR(E964/$AC964,0)</f>
        <v>0</v>
      </c>
      <c r="G964" s="38"/>
      <c r="H964" s="36">
        <f>IFERROR(G964/$AD964,0)</f>
        <v>0</v>
      </c>
      <c r="I964" s="35"/>
      <c r="J964" s="36">
        <f>IFERROR(I964/$AC964,0)</f>
        <v>0</v>
      </c>
      <c r="K964" s="38"/>
      <c r="L964" s="36">
        <f>IFERROR(K964/$AD964,0)</f>
        <v>0</v>
      </c>
      <c r="M964" s="35"/>
      <c r="N964" s="36">
        <f>IFERROR(M964/$AC964,0)</f>
        <v>0</v>
      </c>
      <c r="O964" s="38"/>
      <c r="P964" s="36">
        <f>IFERROR(O964/$AD964,0)</f>
        <v>0</v>
      </c>
      <c r="Q964" s="35"/>
      <c r="R964" s="36">
        <f>IFERROR(Q964/$AC964,0)</f>
        <v>0</v>
      </c>
      <c r="S964" s="38"/>
      <c r="T964" s="36">
        <f>IFERROR(S964/$AD964,0)</f>
        <v>0</v>
      </c>
      <c r="U964" s="35"/>
      <c r="V964" s="36">
        <f>IFERROR(U964/$AC964,0)</f>
        <v>0</v>
      </c>
      <c r="W964" s="38"/>
      <c r="X964" s="36">
        <f>IFERROR(W964/$AD964,0)</f>
        <v>0</v>
      </c>
      <c r="Y964" s="35"/>
      <c r="Z964" s="36">
        <f>IFERROR(Y964/$AC964,0)</f>
        <v>0</v>
      </c>
      <c r="AA964" s="38"/>
      <c r="AB964" s="36">
        <f>IFERROR(AA964/$AD964,0)</f>
        <v>0</v>
      </c>
      <c r="AC964" s="35"/>
      <c r="AD964" s="38"/>
    </row>
    <row r="965" spans="1:30" ht="15.75" customHeight="1" x14ac:dyDescent="0.25">
      <c r="A965" s="37">
        <v>2018</v>
      </c>
      <c r="B965" s="35">
        <v>170825</v>
      </c>
      <c r="C965" s="34" t="s">
        <v>148</v>
      </c>
      <c r="D965" s="34" t="s">
        <v>134</v>
      </c>
      <c r="E965" s="35"/>
      <c r="F965" s="36">
        <f>IFERROR(E965/$AC965,0)</f>
        <v>0</v>
      </c>
      <c r="G965" s="38"/>
      <c r="H965" s="36">
        <f>IFERROR(G965/$AD965,0)</f>
        <v>0</v>
      </c>
      <c r="I965" s="35"/>
      <c r="J965" s="36">
        <f>IFERROR(I965/$AC965,0)</f>
        <v>0</v>
      </c>
      <c r="K965" s="38"/>
      <c r="L965" s="36">
        <f>IFERROR(K965/$AD965,0)</f>
        <v>0</v>
      </c>
      <c r="M965" s="35"/>
      <c r="N965" s="36">
        <f>IFERROR(M965/$AC965,0)</f>
        <v>0</v>
      </c>
      <c r="O965" s="38"/>
      <c r="P965" s="36">
        <f>IFERROR(O965/$AD965,0)</f>
        <v>0</v>
      </c>
      <c r="Q965" s="35"/>
      <c r="R965" s="36">
        <f>IFERROR(Q965/$AC965,0)</f>
        <v>0</v>
      </c>
      <c r="S965" s="38"/>
      <c r="T965" s="36">
        <f>IFERROR(S965/$AD965,0)</f>
        <v>0</v>
      </c>
      <c r="U965" s="35"/>
      <c r="V965" s="36">
        <f>IFERROR(U965/$AC965,0)</f>
        <v>0</v>
      </c>
      <c r="W965" s="38"/>
      <c r="X965" s="36">
        <f>IFERROR(W965/$AD965,0)</f>
        <v>0</v>
      </c>
      <c r="Y965" s="35"/>
      <c r="Z965" s="36">
        <f>IFERROR(Y965/$AC965,0)</f>
        <v>0</v>
      </c>
      <c r="AA965" s="38"/>
      <c r="AB965" s="36">
        <f>IFERROR(AA965/$AD965,0)</f>
        <v>0</v>
      </c>
      <c r="AC965" s="35"/>
      <c r="AD965" s="38"/>
    </row>
    <row r="966" spans="1:30" ht="15.75" customHeight="1" x14ac:dyDescent="0.25">
      <c r="A966" s="37">
        <v>2018</v>
      </c>
      <c r="B966" s="35">
        <v>172090</v>
      </c>
      <c r="C966" s="34" t="s">
        <v>147</v>
      </c>
      <c r="D966" s="34" t="s">
        <v>135</v>
      </c>
      <c r="E966" s="35"/>
      <c r="F966" s="36">
        <f>IFERROR(E966/$AC966,0)</f>
        <v>0</v>
      </c>
      <c r="G966" s="38"/>
      <c r="H966" s="36">
        <f>IFERROR(G966/$AD966,0)</f>
        <v>0</v>
      </c>
      <c r="I966" s="35"/>
      <c r="J966" s="36">
        <f>IFERROR(I966/$AC966,0)</f>
        <v>0</v>
      </c>
      <c r="K966" s="38"/>
      <c r="L966" s="36">
        <f>IFERROR(K966/$AD966,0)</f>
        <v>0</v>
      </c>
      <c r="M966" s="35"/>
      <c r="N966" s="36">
        <f>IFERROR(M966/$AC966,0)</f>
        <v>0</v>
      </c>
      <c r="O966" s="38"/>
      <c r="P966" s="36">
        <f>IFERROR(O966/$AD966,0)</f>
        <v>0</v>
      </c>
      <c r="Q966" s="35"/>
      <c r="R966" s="36">
        <f>IFERROR(Q966/$AC966,0)</f>
        <v>0</v>
      </c>
      <c r="S966" s="38"/>
      <c r="T966" s="36">
        <f>IFERROR(S966/$AD966,0)</f>
        <v>0</v>
      </c>
      <c r="U966" s="35"/>
      <c r="V966" s="36">
        <f>IFERROR(U966/$AC966,0)</f>
        <v>0</v>
      </c>
      <c r="W966" s="38"/>
      <c r="X966" s="36">
        <f>IFERROR(W966/$AD966,0)</f>
        <v>0</v>
      </c>
      <c r="Y966" s="35"/>
      <c r="Z966" s="36">
        <f>IFERROR(Y966/$AC966,0)</f>
        <v>0</v>
      </c>
      <c r="AA966" s="38"/>
      <c r="AB966" s="36">
        <f>IFERROR(AA966/$AD966,0)</f>
        <v>0</v>
      </c>
      <c r="AC966" s="35"/>
      <c r="AD966" s="38"/>
    </row>
    <row r="967" spans="1:30" ht="15.75" customHeight="1" x14ac:dyDescent="0.25">
      <c r="A967" s="37">
        <v>2018</v>
      </c>
      <c r="B967" s="35">
        <v>172093</v>
      </c>
      <c r="C967" s="34" t="s">
        <v>147</v>
      </c>
      <c r="D967" s="34" t="s">
        <v>136</v>
      </c>
      <c r="E967" s="35"/>
      <c r="F967" s="36">
        <f>IFERROR(E967/$AC967,0)</f>
        <v>0</v>
      </c>
      <c r="G967" s="38"/>
      <c r="H967" s="36">
        <f>IFERROR(G967/$AD967,0)</f>
        <v>0</v>
      </c>
      <c r="I967" s="35"/>
      <c r="J967" s="36">
        <f>IFERROR(I967/$AC967,0)</f>
        <v>0</v>
      </c>
      <c r="K967" s="38"/>
      <c r="L967" s="36">
        <f>IFERROR(K967/$AD967,0)</f>
        <v>0</v>
      </c>
      <c r="M967" s="35"/>
      <c r="N967" s="36">
        <f>IFERROR(M967/$AC967,0)</f>
        <v>0</v>
      </c>
      <c r="O967" s="38"/>
      <c r="P967" s="36">
        <f>IFERROR(O967/$AD967,0)</f>
        <v>0</v>
      </c>
      <c r="Q967" s="35"/>
      <c r="R967" s="36">
        <f>IFERROR(Q967/$AC967,0)</f>
        <v>0</v>
      </c>
      <c r="S967" s="38"/>
      <c r="T967" s="36">
        <f>IFERROR(S967/$AD967,0)</f>
        <v>0</v>
      </c>
      <c r="U967" s="35"/>
      <c r="V967" s="36">
        <f>IFERROR(U967/$AC967,0)</f>
        <v>0</v>
      </c>
      <c r="W967" s="38"/>
      <c r="X967" s="36">
        <f>IFERROR(W967/$AD967,0)</f>
        <v>0</v>
      </c>
      <c r="Y967" s="35"/>
      <c r="Z967" s="36">
        <f>IFERROR(Y967/$AC967,0)</f>
        <v>0</v>
      </c>
      <c r="AA967" s="38"/>
      <c r="AB967" s="36">
        <f>IFERROR(AA967/$AD967,0)</f>
        <v>0</v>
      </c>
      <c r="AC967" s="35"/>
      <c r="AD967" s="38"/>
    </row>
    <row r="968" spans="1:30" ht="15.75" customHeight="1" x14ac:dyDescent="0.25">
      <c r="A968" s="37">
        <v>2018</v>
      </c>
      <c r="B968" s="35">
        <v>172097</v>
      </c>
      <c r="C968" s="34" t="s">
        <v>146</v>
      </c>
      <c r="D968" s="34" t="s">
        <v>137</v>
      </c>
      <c r="E968" s="35"/>
      <c r="F968" s="36">
        <f>IFERROR(E968/$AC968,0)</f>
        <v>0</v>
      </c>
      <c r="G968" s="38"/>
      <c r="H968" s="36">
        <f>IFERROR(G968/$AD968,0)</f>
        <v>0</v>
      </c>
      <c r="I968" s="35"/>
      <c r="J968" s="36">
        <f>IFERROR(I968/$AC968,0)</f>
        <v>0</v>
      </c>
      <c r="K968" s="38"/>
      <c r="L968" s="36">
        <f>IFERROR(K968/$AD968,0)</f>
        <v>0</v>
      </c>
      <c r="M968" s="35"/>
      <c r="N968" s="36">
        <f>IFERROR(M968/$AC968,0)</f>
        <v>0</v>
      </c>
      <c r="O968" s="38"/>
      <c r="P968" s="36">
        <f>IFERROR(O968/$AD968,0)</f>
        <v>0</v>
      </c>
      <c r="Q968" s="35"/>
      <c r="R968" s="36">
        <f>IFERROR(Q968/$AC968,0)</f>
        <v>0</v>
      </c>
      <c r="S968" s="38"/>
      <c r="T968" s="36">
        <f>IFERROR(S968/$AD968,0)</f>
        <v>0</v>
      </c>
      <c r="U968" s="35"/>
      <c r="V968" s="36">
        <f>IFERROR(U968/$AC968,0)</f>
        <v>0</v>
      </c>
      <c r="W968" s="38"/>
      <c r="X968" s="36">
        <f>IFERROR(W968/$AD968,0)</f>
        <v>0</v>
      </c>
      <c r="Y968" s="35"/>
      <c r="Z968" s="36">
        <f>IFERROR(Y968/$AC968,0)</f>
        <v>0</v>
      </c>
      <c r="AA968" s="38"/>
      <c r="AB968" s="36">
        <f>IFERROR(AA968/$AD968,0)</f>
        <v>0</v>
      </c>
      <c r="AC968" s="35"/>
      <c r="AD968" s="38"/>
    </row>
    <row r="969" spans="1:30" ht="15.75" customHeight="1" x14ac:dyDescent="0.25">
      <c r="A969" s="37">
        <v>2018</v>
      </c>
      <c r="B969" s="35">
        <v>172110</v>
      </c>
      <c r="C969" s="34" t="s">
        <v>148</v>
      </c>
      <c r="D969" s="34" t="s">
        <v>138</v>
      </c>
      <c r="E969" s="35"/>
      <c r="F969" s="36">
        <f>IFERROR(E969/$AC969,0)</f>
        <v>0</v>
      </c>
      <c r="G969" s="38"/>
      <c r="H969" s="36">
        <f>IFERROR(G969/$AD969,0)</f>
        <v>0</v>
      </c>
      <c r="I969" s="35"/>
      <c r="J969" s="36">
        <f>IFERROR(I969/$AC969,0)</f>
        <v>0</v>
      </c>
      <c r="K969" s="38"/>
      <c r="L969" s="36">
        <f>IFERROR(K969/$AD969,0)</f>
        <v>0</v>
      </c>
      <c r="M969" s="35"/>
      <c r="N969" s="36">
        <f>IFERROR(M969/$AC969,0)</f>
        <v>0</v>
      </c>
      <c r="O969" s="38"/>
      <c r="P969" s="36">
        <f>IFERROR(O969/$AD969,0)</f>
        <v>0</v>
      </c>
      <c r="Q969" s="35"/>
      <c r="R969" s="36">
        <f>IFERROR(Q969/$AC969,0)</f>
        <v>0</v>
      </c>
      <c r="S969" s="38"/>
      <c r="T969" s="36">
        <f>IFERROR(S969/$AD969,0)</f>
        <v>0</v>
      </c>
      <c r="U969" s="35"/>
      <c r="V969" s="36">
        <f>IFERROR(U969/$AC969,0)</f>
        <v>0</v>
      </c>
      <c r="W969" s="38"/>
      <c r="X969" s="36">
        <f>IFERROR(W969/$AD969,0)</f>
        <v>0</v>
      </c>
      <c r="Y969" s="35"/>
      <c r="Z969" s="36">
        <f>IFERROR(Y969/$AC969,0)</f>
        <v>0</v>
      </c>
      <c r="AA969" s="38"/>
      <c r="AB969" s="36">
        <f>IFERROR(AA969/$AD969,0)</f>
        <v>0</v>
      </c>
      <c r="AC969" s="35"/>
      <c r="AD969" s="38"/>
    </row>
    <row r="970" spans="1:30" ht="15.75" customHeight="1" x14ac:dyDescent="0.25">
      <c r="A970" s="37">
        <v>2018</v>
      </c>
      <c r="B970" s="35">
        <v>172120</v>
      </c>
      <c r="C970" s="34" t="s">
        <v>145</v>
      </c>
      <c r="D970" s="34" t="s">
        <v>139</v>
      </c>
      <c r="E970" s="35"/>
      <c r="F970" s="36">
        <f>IFERROR(E970/$AC970,0)</f>
        <v>0</v>
      </c>
      <c r="G970" s="38"/>
      <c r="H970" s="36">
        <f>IFERROR(G970/$AD970,0)</f>
        <v>0</v>
      </c>
      <c r="I970" s="35"/>
      <c r="J970" s="36">
        <f>IFERROR(I970/$AC970,0)</f>
        <v>0</v>
      </c>
      <c r="K970" s="38"/>
      <c r="L970" s="36">
        <f>IFERROR(K970/$AD970,0)</f>
        <v>0</v>
      </c>
      <c r="M970" s="35"/>
      <c r="N970" s="36">
        <f>IFERROR(M970/$AC970,0)</f>
        <v>0</v>
      </c>
      <c r="O970" s="39"/>
      <c r="P970" s="36">
        <f>IFERROR(O970/$AD970,0)</f>
        <v>0</v>
      </c>
      <c r="Q970" s="35"/>
      <c r="R970" s="36">
        <f>IFERROR(Q970/$AC970,0)</f>
        <v>0</v>
      </c>
      <c r="S970" s="38"/>
      <c r="T970" s="36">
        <f>IFERROR(S970/$AD970,0)</f>
        <v>0</v>
      </c>
      <c r="U970" s="35"/>
      <c r="V970" s="36">
        <f>IFERROR(U970/$AC970,0)</f>
        <v>0</v>
      </c>
      <c r="W970" s="38"/>
      <c r="X970" s="36">
        <f>IFERROR(W970/$AD970,0)</f>
        <v>0</v>
      </c>
      <c r="Y970" s="35"/>
      <c r="Z970" s="36">
        <f>IFERROR(Y970/$AC970,0)</f>
        <v>0</v>
      </c>
      <c r="AA970" s="38"/>
      <c r="AB970" s="36">
        <f>IFERROR(AA970/$AD970,0)</f>
        <v>0</v>
      </c>
      <c r="AC970" s="35"/>
      <c r="AD970" s="39"/>
    </row>
    <row r="971" spans="1:30" ht="15.75" customHeight="1" x14ac:dyDescent="0.25">
      <c r="A971" s="37">
        <v>2018</v>
      </c>
      <c r="B971" s="35">
        <v>172125</v>
      </c>
      <c r="C971" s="34" t="s">
        <v>150</v>
      </c>
      <c r="D971" s="34" t="s">
        <v>140</v>
      </c>
      <c r="E971" s="35"/>
      <c r="F971" s="36">
        <f>IFERROR(E971/$AC971,0)</f>
        <v>0</v>
      </c>
      <c r="G971" s="38"/>
      <c r="H971" s="36">
        <f>IFERROR(G971/$AD971,0)</f>
        <v>0</v>
      </c>
      <c r="I971" s="35"/>
      <c r="J971" s="36">
        <f>IFERROR(I971/$AC971,0)</f>
        <v>0</v>
      </c>
      <c r="K971" s="38"/>
      <c r="L971" s="36">
        <f>IFERROR(K971/$AD971,0)</f>
        <v>0</v>
      </c>
      <c r="M971" s="35"/>
      <c r="N971" s="36">
        <f>IFERROR(M971/$AC971,0)</f>
        <v>0</v>
      </c>
      <c r="O971" s="38"/>
      <c r="P971" s="36">
        <f>IFERROR(O971/$AD971,0)</f>
        <v>0</v>
      </c>
      <c r="Q971" s="35"/>
      <c r="R971" s="36">
        <f>IFERROR(Q971/$AC971,0)</f>
        <v>0</v>
      </c>
      <c r="S971" s="38"/>
      <c r="T971" s="36">
        <f>IFERROR(S971/$AD971,0)</f>
        <v>0</v>
      </c>
      <c r="U971" s="35"/>
      <c r="V971" s="36">
        <f>IFERROR(U971/$AC971,0)</f>
        <v>0</v>
      </c>
      <c r="W971" s="38"/>
      <c r="X971" s="36">
        <f>IFERROR(W971/$AD971,0)</f>
        <v>0</v>
      </c>
      <c r="Y971" s="35"/>
      <c r="Z971" s="36">
        <f>IFERROR(Y971/$AC971,0)</f>
        <v>0</v>
      </c>
      <c r="AA971" s="38"/>
      <c r="AB971" s="36">
        <f>IFERROR(AA971/$AD971,0)</f>
        <v>0</v>
      </c>
      <c r="AC971" s="35"/>
      <c r="AD971" s="38"/>
    </row>
    <row r="972" spans="1:30" ht="15.75" customHeight="1" x14ac:dyDescent="0.25">
      <c r="A972" s="37">
        <v>2018</v>
      </c>
      <c r="B972" s="35">
        <v>172130</v>
      </c>
      <c r="C972" s="34" t="s">
        <v>150</v>
      </c>
      <c r="D972" s="34" t="s">
        <v>141</v>
      </c>
      <c r="E972" s="35"/>
      <c r="F972" s="36">
        <f>IFERROR(E972/$AC972,0)</f>
        <v>0</v>
      </c>
      <c r="G972" s="38"/>
      <c r="H972" s="36">
        <f>IFERROR(G972/$AD972,0)</f>
        <v>0</v>
      </c>
      <c r="I972" s="35"/>
      <c r="J972" s="36">
        <f>IFERROR(I972/$AC972,0)</f>
        <v>0</v>
      </c>
      <c r="K972" s="38"/>
      <c r="L972" s="36">
        <f>IFERROR(K972/$AD972,0)</f>
        <v>0</v>
      </c>
      <c r="M972" s="35"/>
      <c r="N972" s="36">
        <f>IFERROR(M972/$AC972,0)</f>
        <v>0</v>
      </c>
      <c r="O972" s="38"/>
      <c r="P972" s="36">
        <f>IFERROR(O972/$AD972,0)</f>
        <v>0</v>
      </c>
      <c r="Q972" s="35"/>
      <c r="R972" s="36">
        <f>IFERROR(Q972/$AC972,0)</f>
        <v>0</v>
      </c>
      <c r="S972" s="38"/>
      <c r="T972" s="36">
        <f>IFERROR(S972/$AD972,0)</f>
        <v>0</v>
      </c>
      <c r="U972" s="35"/>
      <c r="V972" s="36">
        <f>IFERROR(U972/$AC972,0)</f>
        <v>0</v>
      </c>
      <c r="W972" s="38"/>
      <c r="X972" s="36">
        <f>IFERROR(W972/$AD972,0)</f>
        <v>0</v>
      </c>
      <c r="Y972" s="35"/>
      <c r="Z972" s="36">
        <f>IFERROR(Y972/$AC972,0)</f>
        <v>0</v>
      </c>
      <c r="AA972" s="38"/>
      <c r="AB972" s="36">
        <f>IFERROR(AA972/$AD972,0)</f>
        <v>0</v>
      </c>
      <c r="AC972" s="35"/>
      <c r="AD972" s="38"/>
    </row>
    <row r="973" spans="1:30" ht="15.75" customHeight="1" x14ac:dyDescent="0.25">
      <c r="A973" s="37">
        <v>2018</v>
      </c>
      <c r="B973" s="35">
        <v>172208</v>
      </c>
      <c r="C973" s="34" t="s">
        <v>149</v>
      </c>
      <c r="D973" s="34" t="s">
        <v>142</v>
      </c>
      <c r="E973" s="35"/>
      <c r="F973" s="36">
        <f>IFERROR(E973/$AC973,0)</f>
        <v>0</v>
      </c>
      <c r="G973" s="38"/>
      <c r="H973" s="36">
        <f>IFERROR(G973/$AD973,0)</f>
        <v>0</v>
      </c>
      <c r="I973" s="35"/>
      <c r="J973" s="36">
        <f>IFERROR(I973/$AC973,0)</f>
        <v>0</v>
      </c>
      <c r="K973" s="38"/>
      <c r="L973" s="36">
        <f>IFERROR(K973/$AD973,0)</f>
        <v>0</v>
      </c>
      <c r="M973" s="35"/>
      <c r="N973" s="36">
        <f>IFERROR(M973/$AC973,0)</f>
        <v>0</v>
      </c>
      <c r="O973" s="38"/>
      <c r="P973" s="36">
        <f>IFERROR(O973/$AD973,0)</f>
        <v>0</v>
      </c>
      <c r="Q973" s="35"/>
      <c r="R973" s="36">
        <f>IFERROR(Q973/$AC973,0)</f>
        <v>0</v>
      </c>
      <c r="S973" s="38"/>
      <c r="T973" s="36">
        <f>IFERROR(S973/$AD973,0)</f>
        <v>0</v>
      </c>
      <c r="U973" s="35"/>
      <c r="V973" s="36">
        <f>IFERROR(U973/$AC973,0)</f>
        <v>0</v>
      </c>
      <c r="W973" s="38"/>
      <c r="X973" s="36">
        <f>IFERROR(W973/$AD973,0)</f>
        <v>0</v>
      </c>
      <c r="Y973" s="35"/>
      <c r="Z973" s="36">
        <f>IFERROR(Y973/$AC973,0)</f>
        <v>0</v>
      </c>
      <c r="AA973" s="38"/>
      <c r="AB973" s="36">
        <f>IFERROR(AA973/$AD973,0)</f>
        <v>0</v>
      </c>
      <c r="AC973" s="35"/>
      <c r="AD973" s="38"/>
    </row>
    <row r="974" spans="1:30" ht="15.75" customHeight="1" x14ac:dyDescent="0.25">
      <c r="A974" s="37">
        <v>2018</v>
      </c>
      <c r="B974" s="35">
        <v>172210</v>
      </c>
      <c r="C974" s="34" t="s">
        <v>149</v>
      </c>
      <c r="D974" s="34" t="s">
        <v>143</v>
      </c>
      <c r="E974" s="35"/>
      <c r="F974" s="36">
        <f>IFERROR(E974/$AC974,0)</f>
        <v>0</v>
      </c>
      <c r="G974" s="38"/>
      <c r="H974" s="36">
        <f>IFERROR(G974/$AD974,0)</f>
        <v>0</v>
      </c>
      <c r="I974" s="35"/>
      <c r="J974" s="36">
        <f>IFERROR(I974/$AC974,0)</f>
        <v>0</v>
      </c>
      <c r="K974" s="38"/>
      <c r="L974" s="36">
        <f>IFERROR(K974/$AD974,0)</f>
        <v>0</v>
      </c>
      <c r="M974" s="35"/>
      <c r="N974" s="36">
        <f>IFERROR(M974/$AC974,0)</f>
        <v>0</v>
      </c>
      <c r="O974" s="38"/>
      <c r="P974" s="36">
        <f>IFERROR(O974/$AD974,0)</f>
        <v>0</v>
      </c>
      <c r="Q974" s="35"/>
      <c r="R974" s="36">
        <f>IFERROR(Q974/$AC974,0)</f>
        <v>0</v>
      </c>
      <c r="S974" s="38"/>
      <c r="T974" s="36">
        <f>IFERROR(S974/$AD974,0)</f>
        <v>0</v>
      </c>
      <c r="U974" s="35"/>
      <c r="V974" s="36">
        <f>IFERROR(U974/$AC974,0)</f>
        <v>0</v>
      </c>
      <c r="W974" s="38"/>
      <c r="X974" s="36">
        <f>IFERROR(W974/$AD974,0)</f>
        <v>0</v>
      </c>
      <c r="Y974" s="35"/>
      <c r="Z974" s="36">
        <f>IFERROR(Y974/$AC974,0)</f>
        <v>0</v>
      </c>
      <c r="AA974" s="38"/>
      <c r="AB974" s="36">
        <f>IFERROR(AA974/$AD974,0)</f>
        <v>0</v>
      </c>
      <c r="AC974" s="35"/>
      <c r="AD974" s="38"/>
    </row>
    <row r="975" spans="1:30" ht="15.75" customHeight="1" x14ac:dyDescent="0.25">
      <c r="A975" s="37">
        <v>2017</v>
      </c>
      <c r="B975" s="35">
        <v>170025</v>
      </c>
      <c r="C975" s="34" t="s">
        <v>144</v>
      </c>
      <c r="D975" s="34" t="s">
        <v>5</v>
      </c>
      <c r="E975" s="35"/>
      <c r="F975" s="36">
        <f>IFERROR(E975/$AC975,0)</f>
        <v>0</v>
      </c>
      <c r="G975" s="38"/>
      <c r="H975" s="36">
        <f>IFERROR(G975/$AD975,0)</f>
        <v>0</v>
      </c>
      <c r="I975" s="35"/>
      <c r="J975" s="36">
        <f>IFERROR(I975/$AC975,0)</f>
        <v>0</v>
      </c>
      <c r="K975" s="38"/>
      <c r="L975" s="36">
        <f>IFERROR(K975/$AD975,0)</f>
        <v>0</v>
      </c>
      <c r="M975" s="35"/>
      <c r="N975" s="36">
        <f>IFERROR(M975/$AC975,0)</f>
        <v>0</v>
      </c>
      <c r="O975" s="38"/>
      <c r="P975" s="36">
        <f>IFERROR(O975/$AD975,0)</f>
        <v>0</v>
      </c>
      <c r="Q975" s="35"/>
      <c r="R975" s="36">
        <f>IFERROR(Q975/$AC975,0)</f>
        <v>0</v>
      </c>
      <c r="S975" s="38"/>
      <c r="T975" s="36">
        <f>IFERROR(S975/$AD975,0)</f>
        <v>0</v>
      </c>
      <c r="U975" s="35"/>
      <c r="V975" s="36">
        <f>IFERROR(U975/$AC975,0)</f>
        <v>0</v>
      </c>
      <c r="W975" s="38"/>
      <c r="X975" s="36">
        <f>IFERROR(W975/$AD975,0)</f>
        <v>0</v>
      </c>
      <c r="Y975" s="35"/>
      <c r="Z975" s="36">
        <f>IFERROR(Y975/$AC975,0)</f>
        <v>0</v>
      </c>
      <c r="AA975" s="38"/>
      <c r="AB975" s="36">
        <f>IFERROR(AA975/$AD975,0)</f>
        <v>0</v>
      </c>
      <c r="AC975" s="35"/>
      <c r="AD975" s="38"/>
    </row>
    <row r="976" spans="1:30" ht="15.75" customHeight="1" x14ac:dyDescent="0.25">
      <c r="A976" s="37">
        <v>2017</v>
      </c>
      <c r="B976" s="35">
        <v>170030</v>
      </c>
      <c r="C976" s="34" t="s">
        <v>145</v>
      </c>
      <c r="D976" s="34" t="s">
        <v>6</v>
      </c>
      <c r="E976" s="35"/>
      <c r="F976" s="36">
        <f>IFERROR(E976/$AC976,0)</f>
        <v>0</v>
      </c>
      <c r="G976" s="38"/>
      <c r="H976" s="36">
        <f>IFERROR(G976/$AD976,0)</f>
        <v>0</v>
      </c>
      <c r="I976" s="35"/>
      <c r="J976" s="36">
        <f>IFERROR(I976/$AC976,0)</f>
        <v>0</v>
      </c>
      <c r="K976" s="38"/>
      <c r="L976" s="36">
        <f>IFERROR(K976/$AD976,0)</f>
        <v>0</v>
      </c>
      <c r="M976" s="35"/>
      <c r="N976" s="36">
        <f>IFERROR(M976/$AC976,0)</f>
        <v>0</v>
      </c>
      <c r="O976" s="38"/>
      <c r="P976" s="36">
        <f>IFERROR(O976/$AD976,0)</f>
        <v>0</v>
      </c>
      <c r="Q976" s="35"/>
      <c r="R976" s="36">
        <f>IFERROR(Q976/$AC976,0)</f>
        <v>0</v>
      </c>
      <c r="S976" s="38"/>
      <c r="T976" s="36">
        <f>IFERROR(S976/$AD976,0)</f>
        <v>0</v>
      </c>
      <c r="U976" s="35"/>
      <c r="V976" s="36">
        <f>IFERROR(U976/$AC976,0)</f>
        <v>0</v>
      </c>
      <c r="W976" s="38"/>
      <c r="X976" s="36">
        <f>IFERROR(W976/$AD976,0)</f>
        <v>0</v>
      </c>
      <c r="Y976" s="35"/>
      <c r="Z976" s="36">
        <f>IFERROR(Y976/$AC976,0)</f>
        <v>0</v>
      </c>
      <c r="AA976" s="38"/>
      <c r="AB976" s="36">
        <f>IFERROR(AA976/$AD976,0)</f>
        <v>0</v>
      </c>
      <c r="AC976" s="35"/>
      <c r="AD976" s="38"/>
    </row>
    <row r="977" spans="1:30" ht="15.75" customHeight="1" x14ac:dyDescent="0.25">
      <c r="A977" s="37">
        <v>2017</v>
      </c>
      <c r="B977" s="35">
        <v>170035</v>
      </c>
      <c r="C977" s="34" t="s">
        <v>146</v>
      </c>
      <c r="D977" s="34" t="s">
        <v>7</v>
      </c>
      <c r="E977" s="35"/>
      <c r="F977" s="36">
        <f>IFERROR(E977/$AC977,0)</f>
        <v>0</v>
      </c>
      <c r="G977" s="38"/>
      <c r="H977" s="36">
        <f>IFERROR(G977/$AD977,0)</f>
        <v>0</v>
      </c>
      <c r="I977" s="35"/>
      <c r="J977" s="36">
        <f>IFERROR(I977/$AC977,0)</f>
        <v>0</v>
      </c>
      <c r="K977" s="38"/>
      <c r="L977" s="36">
        <f>IFERROR(K977/$AD977,0)</f>
        <v>0</v>
      </c>
      <c r="M977" s="35"/>
      <c r="N977" s="36">
        <f>IFERROR(M977/$AC977,0)</f>
        <v>0</v>
      </c>
      <c r="O977" s="38"/>
      <c r="P977" s="36">
        <f>IFERROR(O977/$AD977,0)</f>
        <v>0</v>
      </c>
      <c r="Q977" s="35"/>
      <c r="R977" s="36">
        <f>IFERROR(Q977/$AC977,0)</f>
        <v>0</v>
      </c>
      <c r="S977" s="38"/>
      <c r="T977" s="36">
        <f>IFERROR(S977/$AD977,0)</f>
        <v>0</v>
      </c>
      <c r="U977" s="35"/>
      <c r="V977" s="36">
        <f>IFERROR(U977/$AC977,0)</f>
        <v>0</v>
      </c>
      <c r="W977" s="38"/>
      <c r="X977" s="36">
        <f>IFERROR(W977/$AD977,0)</f>
        <v>0</v>
      </c>
      <c r="Y977" s="35"/>
      <c r="Z977" s="36">
        <f>IFERROR(Y977/$AC977,0)</f>
        <v>0</v>
      </c>
      <c r="AA977" s="38"/>
      <c r="AB977" s="36">
        <f>IFERROR(AA977/$AD977,0)</f>
        <v>0</v>
      </c>
      <c r="AC977" s="35"/>
      <c r="AD977" s="38"/>
    </row>
    <row r="978" spans="1:30" ht="15.75" customHeight="1" x14ac:dyDescent="0.25">
      <c r="A978" s="37">
        <v>2017</v>
      </c>
      <c r="B978" s="35">
        <v>170040</v>
      </c>
      <c r="C978" s="34" t="s">
        <v>147</v>
      </c>
      <c r="D978" s="34" t="s">
        <v>8</v>
      </c>
      <c r="E978" s="35"/>
      <c r="F978" s="36">
        <f>IFERROR(E978/$AC978,0)</f>
        <v>0</v>
      </c>
      <c r="G978" s="38"/>
      <c r="H978" s="36">
        <f>IFERROR(G978/$AD978,0)</f>
        <v>0</v>
      </c>
      <c r="I978" s="35"/>
      <c r="J978" s="36">
        <f>IFERROR(I978/$AC978,0)</f>
        <v>0</v>
      </c>
      <c r="K978" s="38"/>
      <c r="L978" s="36">
        <f>IFERROR(K978/$AD978,0)</f>
        <v>0</v>
      </c>
      <c r="M978" s="35"/>
      <c r="N978" s="36">
        <f>IFERROR(M978/$AC978,0)</f>
        <v>0</v>
      </c>
      <c r="O978" s="38"/>
      <c r="P978" s="36">
        <f>IFERROR(O978/$AD978,0)</f>
        <v>0</v>
      </c>
      <c r="Q978" s="35"/>
      <c r="R978" s="36">
        <f>IFERROR(Q978/$AC978,0)</f>
        <v>0</v>
      </c>
      <c r="S978" s="38"/>
      <c r="T978" s="36">
        <f>IFERROR(S978/$AD978,0)</f>
        <v>0</v>
      </c>
      <c r="U978" s="35"/>
      <c r="V978" s="36">
        <f>IFERROR(U978/$AC978,0)</f>
        <v>0</v>
      </c>
      <c r="W978" s="38"/>
      <c r="X978" s="36">
        <f>IFERROR(W978/$AD978,0)</f>
        <v>0</v>
      </c>
      <c r="Y978" s="35"/>
      <c r="Z978" s="36">
        <f>IFERROR(Y978/$AC978,0)</f>
        <v>0</v>
      </c>
      <c r="AA978" s="38"/>
      <c r="AB978" s="36">
        <f>IFERROR(AA978/$AD978,0)</f>
        <v>0</v>
      </c>
      <c r="AC978" s="35"/>
      <c r="AD978" s="38"/>
    </row>
    <row r="979" spans="1:30" ht="15.75" customHeight="1" x14ac:dyDescent="0.25">
      <c r="A979" s="37">
        <v>2017</v>
      </c>
      <c r="B979" s="35">
        <v>170070</v>
      </c>
      <c r="C979" s="34" t="s">
        <v>146</v>
      </c>
      <c r="D979" s="34" t="s">
        <v>9</v>
      </c>
      <c r="E979" s="35"/>
      <c r="F979" s="36">
        <f>IFERROR(E979/$AC979,0)</f>
        <v>0</v>
      </c>
      <c r="G979" s="38"/>
      <c r="H979" s="36">
        <f>IFERROR(G979/$AD979,0)</f>
        <v>0</v>
      </c>
      <c r="I979" s="35"/>
      <c r="J979" s="36">
        <f>IFERROR(I979/$AC979,0)</f>
        <v>0</v>
      </c>
      <c r="K979" s="38"/>
      <c r="L979" s="36">
        <f>IFERROR(K979/$AD979,0)</f>
        <v>0</v>
      </c>
      <c r="M979" s="35"/>
      <c r="N979" s="36">
        <f>IFERROR(M979/$AC979,0)</f>
        <v>0</v>
      </c>
      <c r="O979" s="38"/>
      <c r="P979" s="36">
        <f>IFERROR(O979/$AD979,0)</f>
        <v>0</v>
      </c>
      <c r="Q979" s="35"/>
      <c r="R979" s="36">
        <f>IFERROR(Q979/$AC979,0)</f>
        <v>0</v>
      </c>
      <c r="S979" s="38"/>
      <c r="T979" s="36">
        <f>IFERROR(S979/$AD979,0)</f>
        <v>0</v>
      </c>
      <c r="U979" s="35"/>
      <c r="V979" s="36">
        <f>IFERROR(U979/$AC979,0)</f>
        <v>0</v>
      </c>
      <c r="W979" s="38"/>
      <c r="X979" s="36">
        <f>IFERROR(W979/$AD979,0)</f>
        <v>0</v>
      </c>
      <c r="Y979" s="35"/>
      <c r="Z979" s="36">
        <f>IFERROR(Y979/$AC979,0)</f>
        <v>0</v>
      </c>
      <c r="AA979" s="38"/>
      <c r="AB979" s="36">
        <f>IFERROR(AA979/$AD979,0)</f>
        <v>0</v>
      </c>
      <c r="AC979" s="35"/>
      <c r="AD979" s="38"/>
    </row>
    <row r="980" spans="1:30" ht="15.75" customHeight="1" x14ac:dyDescent="0.25">
      <c r="A980" s="37">
        <v>2017</v>
      </c>
      <c r="B980" s="35">
        <v>170100</v>
      </c>
      <c r="C980" s="34" t="s">
        <v>145</v>
      </c>
      <c r="D980" s="34" t="s">
        <v>10</v>
      </c>
      <c r="E980" s="35"/>
      <c r="F980" s="36">
        <f>IFERROR(E980/$AC980,0)</f>
        <v>0</v>
      </c>
      <c r="G980" s="38"/>
      <c r="H980" s="36">
        <f>IFERROR(G980/$AD980,0)</f>
        <v>0</v>
      </c>
      <c r="I980" s="35"/>
      <c r="J980" s="36">
        <f>IFERROR(I980/$AC980,0)</f>
        <v>0</v>
      </c>
      <c r="K980" s="38"/>
      <c r="L980" s="36">
        <f>IFERROR(K980/$AD980,0)</f>
        <v>0</v>
      </c>
      <c r="M980" s="35"/>
      <c r="N980" s="36">
        <f>IFERROR(M980/$AC980,0)</f>
        <v>0</v>
      </c>
      <c r="O980" s="38"/>
      <c r="P980" s="36">
        <f>IFERROR(O980/$AD980,0)</f>
        <v>0</v>
      </c>
      <c r="Q980" s="35"/>
      <c r="R980" s="36">
        <f>IFERROR(Q980/$AC980,0)</f>
        <v>0</v>
      </c>
      <c r="S980" s="38"/>
      <c r="T980" s="36">
        <f>IFERROR(S980/$AD980,0)</f>
        <v>0</v>
      </c>
      <c r="U980" s="35"/>
      <c r="V980" s="36">
        <f>IFERROR(U980/$AC980,0)</f>
        <v>0</v>
      </c>
      <c r="W980" s="38"/>
      <c r="X980" s="36">
        <f>IFERROR(W980/$AD980,0)</f>
        <v>0</v>
      </c>
      <c r="Y980" s="35"/>
      <c r="Z980" s="36">
        <f>IFERROR(Y980/$AC980,0)</f>
        <v>0</v>
      </c>
      <c r="AA980" s="38"/>
      <c r="AB980" s="36">
        <f>IFERROR(AA980/$AD980,0)</f>
        <v>0</v>
      </c>
      <c r="AC980" s="35"/>
      <c r="AD980" s="38"/>
    </row>
    <row r="981" spans="1:30" ht="15.75" customHeight="1" x14ac:dyDescent="0.25">
      <c r="A981" s="37">
        <v>2017</v>
      </c>
      <c r="B981" s="35">
        <v>170105</v>
      </c>
      <c r="C981" s="34" t="s">
        <v>145</v>
      </c>
      <c r="D981" s="34" t="s">
        <v>11</v>
      </c>
      <c r="E981" s="35"/>
      <c r="F981" s="36">
        <f>IFERROR(E981/$AC981,0)</f>
        <v>0</v>
      </c>
      <c r="G981" s="38"/>
      <c r="H981" s="36">
        <f>IFERROR(G981/$AD981,0)</f>
        <v>0</v>
      </c>
      <c r="I981" s="35"/>
      <c r="J981" s="36">
        <f>IFERROR(I981/$AC981,0)</f>
        <v>0</v>
      </c>
      <c r="K981" s="38"/>
      <c r="L981" s="36">
        <f>IFERROR(K981/$AD981,0)</f>
        <v>0</v>
      </c>
      <c r="M981" s="35"/>
      <c r="N981" s="36">
        <f>IFERROR(M981/$AC981,0)</f>
        <v>0</v>
      </c>
      <c r="O981" s="38"/>
      <c r="P981" s="36">
        <f>IFERROR(O981/$AD981,0)</f>
        <v>0</v>
      </c>
      <c r="Q981" s="35"/>
      <c r="R981" s="36">
        <f>IFERROR(Q981/$AC981,0)</f>
        <v>0</v>
      </c>
      <c r="S981" s="38"/>
      <c r="T981" s="36">
        <f>IFERROR(S981/$AD981,0)</f>
        <v>0</v>
      </c>
      <c r="U981" s="35"/>
      <c r="V981" s="36">
        <f>IFERROR(U981/$AC981,0)</f>
        <v>0</v>
      </c>
      <c r="W981" s="38"/>
      <c r="X981" s="36">
        <f>IFERROR(W981/$AD981,0)</f>
        <v>0</v>
      </c>
      <c r="Y981" s="35"/>
      <c r="Z981" s="36">
        <f>IFERROR(Y981/$AC981,0)</f>
        <v>0</v>
      </c>
      <c r="AA981" s="38"/>
      <c r="AB981" s="36">
        <f>IFERROR(AA981/$AD981,0)</f>
        <v>0</v>
      </c>
      <c r="AC981" s="35"/>
      <c r="AD981" s="38"/>
    </row>
    <row r="982" spans="1:30" ht="15.75" customHeight="1" x14ac:dyDescent="0.25">
      <c r="A982" s="37">
        <v>2017</v>
      </c>
      <c r="B982" s="35">
        <v>170110</v>
      </c>
      <c r="C982" s="34" t="s">
        <v>148</v>
      </c>
      <c r="D982" s="34" t="s">
        <v>12</v>
      </c>
      <c r="E982" s="35"/>
      <c r="F982" s="36">
        <f>IFERROR(E982/$AC982,0)</f>
        <v>0</v>
      </c>
      <c r="G982" s="38"/>
      <c r="H982" s="36">
        <f>IFERROR(G982/$AD982,0)</f>
        <v>0</v>
      </c>
      <c r="I982" s="35"/>
      <c r="J982" s="36">
        <f>IFERROR(I982/$AC982,0)</f>
        <v>0</v>
      </c>
      <c r="K982" s="38"/>
      <c r="L982" s="36">
        <f>IFERROR(K982/$AD982,0)</f>
        <v>0</v>
      </c>
      <c r="M982" s="35"/>
      <c r="N982" s="36">
        <f>IFERROR(M982/$AC982,0)</f>
        <v>0</v>
      </c>
      <c r="O982" s="38"/>
      <c r="P982" s="36">
        <f>IFERROR(O982/$AD982,0)</f>
        <v>0</v>
      </c>
      <c r="Q982" s="35"/>
      <c r="R982" s="36">
        <f>IFERROR(Q982/$AC982,0)</f>
        <v>0</v>
      </c>
      <c r="S982" s="38"/>
      <c r="T982" s="36">
        <f>IFERROR(S982/$AD982,0)</f>
        <v>0</v>
      </c>
      <c r="U982" s="35"/>
      <c r="V982" s="36">
        <f>IFERROR(U982/$AC982,0)</f>
        <v>0</v>
      </c>
      <c r="W982" s="38"/>
      <c r="X982" s="36">
        <f>IFERROR(W982/$AD982,0)</f>
        <v>0</v>
      </c>
      <c r="Y982" s="35"/>
      <c r="Z982" s="36">
        <f>IFERROR(Y982/$AC982,0)</f>
        <v>0</v>
      </c>
      <c r="AA982" s="38"/>
      <c r="AB982" s="36">
        <f>IFERROR(AA982/$AD982,0)</f>
        <v>0</v>
      </c>
      <c r="AC982" s="35"/>
      <c r="AD982" s="38"/>
    </row>
    <row r="983" spans="1:30" ht="15.75" customHeight="1" x14ac:dyDescent="0.25">
      <c r="A983" s="37">
        <v>2017</v>
      </c>
      <c r="B983" s="35">
        <v>170130</v>
      </c>
      <c r="C983" s="34" t="s">
        <v>149</v>
      </c>
      <c r="D983" s="34" t="s">
        <v>13</v>
      </c>
      <c r="E983" s="35"/>
      <c r="F983" s="36">
        <f>IFERROR(E983/$AC983,0)</f>
        <v>0</v>
      </c>
      <c r="G983" s="38"/>
      <c r="H983" s="36">
        <f>IFERROR(G983/$AD983,0)</f>
        <v>0</v>
      </c>
      <c r="I983" s="35"/>
      <c r="J983" s="36">
        <f>IFERROR(I983/$AC983,0)</f>
        <v>0</v>
      </c>
      <c r="K983" s="38"/>
      <c r="L983" s="36">
        <f>IFERROR(K983/$AD983,0)</f>
        <v>0</v>
      </c>
      <c r="M983" s="35"/>
      <c r="N983" s="36">
        <f>IFERROR(M983/$AC983,0)</f>
        <v>0</v>
      </c>
      <c r="O983" s="38"/>
      <c r="P983" s="36">
        <f>IFERROR(O983/$AD983,0)</f>
        <v>0</v>
      </c>
      <c r="Q983" s="35"/>
      <c r="R983" s="36">
        <f>IFERROR(Q983/$AC983,0)</f>
        <v>0</v>
      </c>
      <c r="S983" s="38"/>
      <c r="T983" s="36">
        <f>IFERROR(S983/$AD983,0)</f>
        <v>0</v>
      </c>
      <c r="U983" s="35"/>
      <c r="V983" s="36">
        <f>IFERROR(U983/$AC983,0)</f>
        <v>0</v>
      </c>
      <c r="W983" s="38"/>
      <c r="X983" s="36">
        <f>IFERROR(W983/$AD983,0)</f>
        <v>0</v>
      </c>
      <c r="Y983" s="35"/>
      <c r="Z983" s="36">
        <f>IFERROR(Y983/$AC983,0)</f>
        <v>0</v>
      </c>
      <c r="AA983" s="38"/>
      <c r="AB983" s="36">
        <f>IFERROR(AA983/$AD983,0)</f>
        <v>0</v>
      </c>
      <c r="AC983" s="35"/>
      <c r="AD983" s="38"/>
    </row>
    <row r="984" spans="1:30" ht="15.75" customHeight="1" x14ac:dyDescent="0.25">
      <c r="A984" s="37">
        <v>2017</v>
      </c>
      <c r="B984" s="35">
        <v>170190</v>
      </c>
      <c r="C984" s="34" t="s">
        <v>144</v>
      </c>
      <c r="D984" s="34" t="s">
        <v>14</v>
      </c>
      <c r="E984" s="35"/>
      <c r="F984" s="36">
        <f>IFERROR(E984/$AC984,0)</f>
        <v>0</v>
      </c>
      <c r="G984" s="38"/>
      <c r="H984" s="36">
        <f>IFERROR(G984/$AD984,0)</f>
        <v>0</v>
      </c>
      <c r="I984" s="35"/>
      <c r="J984" s="36">
        <f>IFERROR(I984/$AC984,0)</f>
        <v>0</v>
      </c>
      <c r="K984" s="38"/>
      <c r="L984" s="36">
        <f>IFERROR(K984/$AD984,0)</f>
        <v>0</v>
      </c>
      <c r="M984" s="35"/>
      <c r="N984" s="36">
        <f>IFERROR(M984/$AC984,0)</f>
        <v>0</v>
      </c>
      <c r="O984" s="38"/>
      <c r="P984" s="36">
        <f>IFERROR(O984/$AD984,0)</f>
        <v>0</v>
      </c>
      <c r="Q984" s="35"/>
      <c r="R984" s="36">
        <f>IFERROR(Q984/$AC984,0)</f>
        <v>0</v>
      </c>
      <c r="S984" s="38"/>
      <c r="T984" s="36">
        <f>IFERROR(S984/$AD984,0)</f>
        <v>0</v>
      </c>
      <c r="U984" s="35"/>
      <c r="V984" s="36">
        <f>IFERROR(U984/$AC984,0)</f>
        <v>0</v>
      </c>
      <c r="W984" s="38"/>
      <c r="X984" s="36">
        <f>IFERROR(W984/$AD984,0)</f>
        <v>0</v>
      </c>
      <c r="Y984" s="35"/>
      <c r="Z984" s="36">
        <f>IFERROR(Y984/$AC984,0)</f>
        <v>0</v>
      </c>
      <c r="AA984" s="38"/>
      <c r="AB984" s="36">
        <f>IFERROR(AA984/$AD984,0)</f>
        <v>0</v>
      </c>
      <c r="AC984" s="35"/>
      <c r="AD984" s="38"/>
    </row>
    <row r="985" spans="1:30" ht="15.75" customHeight="1" x14ac:dyDescent="0.25">
      <c r="A985" s="37">
        <v>2017</v>
      </c>
      <c r="B985" s="35">
        <v>170200</v>
      </c>
      <c r="C985" s="34" t="s">
        <v>146</v>
      </c>
      <c r="D985" s="34" t="s">
        <v>15</v>
      </c>
      <c r="E985" s="35"/>
      <c r="F985" s="36">
        <f>IFERROR(E985/$AC985,0)</f>
        <v>0</v>
      </c>
      <c r="G985" s="38"/>
      <c r="H985" s="36">
        <f>IFERROR(G985/$AD985,0)</f>
        <v>0</v>
      </c>
      <c r="I985" s="35"/>
      <c r="J985" s="36">
        <f>IFERROR(I985/$AC985,0)</f>
        <v>0</v>
      </c>
      <c r="K985" s="38"/>
      <c r="L985" s="36">
        <f>IFERROR(K985/$AD985,0)</f>
        <v>0</v>
      </c>
      <c r="M985" s="35"/>
      <c r="N985" s="36">
        <f>IFERROR(M985/$AC985,0)</f>
        <v>0</v>
      </c>
      <c r="O985" s="38"/>
      <c r="P985" s="36">
        <f>IFERROR(O985/$AD985,0)</f>
        <v>0</v>
      </c>
      <c r="Q985" s="35"/>
      <c r="R985" s="36">
        <f>IFERROR(Q985/$AC985,0)</f>
        <v>0</v>
      </c>
      <c r="S985" s="38"/>
      <c r="T985" s="36">
        <f>IFERROR(S985/$AD985,0)</f>
        <v>0</v>
      </c>
      <c r="U985" s="35"/>
      <c r="V985" s="36">
        <f>IFERROR(U985/$AC985,0)</f>
        <v>0</v>
      </c>
      <c r="W985" s="38"/>
      <c r="X985" s="36">
        <f>IFERROR(W985/$AD985,0)</f>
        <v>0</v>
      </c>
      <c r="Y985" s="35"/>
      <c r="Z985" s="36">
        <f>IFERROR(Y985/$AC985,0)</f>
        <v>0</v>
      </c>
      <c r="AA985" s="38"/>
      <c r="AB985" s="36">
        <f>IFERROR(AA985/$AD985,0)</f>
        <v>0</v>
      </c>
      <c r="AC985" s="35"/>
      <c r="AD985" s="38"/>
    </row>
    <row r="986" spans="1:30" ht="15.75" customHeight="1" x14ac:dyDescent="0.25">
      <c r="A986" s="37">
        <v>2017</v>
      </c>
      <c r="B986" s="35">
        <v>170210</v>
      </c>
      <c r="C986" s="34" t="s">
        <v>149</v>
      </c>
      <c r="D986" s="34" t="s">
        <v>16</v>
      </c>
      <c r="E986" s="35"/>
      <c r="F986" s="36">
        <f>IFERROR(E986/$AC986,0)</f>
        <v>0</v>
      </c>
      <c r="G986" s="38"/>
      <c r="H986" s="36">
        <f>IFERROR(G986/$AD986,0)</f>
        <v>0</v>
      </c>
      <c r="I986" s="35"/>
      <c r="J986" s="36">
        <f>IFERROR(I986/$AC986,0)</f>
        <v>0</v>
      </c>
      <c r="K986" s="38"/>
      <c r="L986" s="36">
        <f>IFERROR(K986/$AD986,0)</f>
        <v>0</v>
      </c>
      <c r="M986" s="35"/>
      <c r="N986" s="36">
        <f>IFERROR(M986/$AC986,0)</f>
        <v>0</v>
      </c>
      <c r="O986" s="39"/>
      <c r="P986" s="36">
        <f>IFERROR(O986/$AD986,0)</f>
        <v>0</v>
      </c>
      <c r="Q986" s="35"/>
      <c r="R986" s="36">
        <f>IFERROR(Q986/$AC986,0)</f>
        <v>0</v>
      </c>
      <c r="S986" s="38"/>
      <c r="T986" s="36">
        <f>IFERROR(S986/$AD986,0)</f>
        <v>0</v>
      </c>
      <c r="U986" s="35"/>
      <c r="V986" s="36">
        <f>IFERROR(U986/$AC986,0)</f>
        <v>0</v>
      </c>
      <c r="W986" s="38"/>
      <c r="X986" s="36">
        <f>IFERROR(W986/$AD986,0)</f>
        <v>0</v>
      </c>
      <c r="Y986" s="35"/>
      <c r="Z986" s="36">
        <f>IFERROR(Y986/$AC986,0)</f>
        <v>0</v>
      </c>
      <c r="AA986" s="39"/>
      <c r="AB986" s="36">
        <f>IFERROR(AA986/$AD986,0)</f>
        <v>0</v>
      </c>
      <c r="AC986" s="35"/>
      <c r="AD986" s="39"/>
    </row>
    <row r="987" spans="1:30" ht="15.75" customHeight="1" x14ac:dyDescent="0.25">
      <c r="A987" s="37">
        <v>2017</v>
      </c>
      <c r="B987" s="35">
        <v>170215</v>
      </c>
      <c r="C987" s="34" t="s">
        <v>149</v>
      </c>
      <c r="D987" s="34" t="s">
        <v>17</v>
      </c>
      <c r="E987" s="35"/>
      <c r="F987" s="36">
        <f>IFERROR(E987/$AC987,0)</f>
        <v>0</v>
      </c>
      <c r="G987" s="38"/>
      <c r="H987" s="36">
        <f>IFERROR(G987/$AD987,0)</f>
        <v>0</v>
      </c>
      <c r="I987" s="35"/>
      <c r="J987" s="36">
        <f>IFERROR(I987/$AC987,0)</f>
        <v>0</v>
      </c>
      <c r="K987" s="38"/>
      <c r="L987" s="36">
        <f>IFERROR(K987/$AD987,0)</f>
        <v>0</v>
      </c>
      <c r="M987" s="35"/>
      <c r="N987" s="36">
        <f>IFERROR(M987/$AC987,0)</f>
        <v>0</v>
      </c>
      <c r="O987" s="38"/>
      <c r="P987" s="36">
        <f>IFERROR(O987/$AD987,0)</f>
        <v>0</v>
      </c>
      <c r="Q987" s="35"/>
      <c r="R987" s="36">
        <f>IFERROR(Q987/$AC987,0)</f>
        <v>0</v>
      </c>
      <c r="S987" s="38"/>
      <c r="T987" s="36">
        <f>IFERROR(S987/$AD987,0)</f>
        <v>0</v>
      </c>
      <c r="U987" s="35"/>
      <c r="V987" s="36">
        <f>IFERROR(U987/$AC987,0)</f>
        <v>0</v>
      </c>
      <c r="W987" s="38"/>
      <c r="X987" s="36">
        <f>IFERROR(W987/$AD987,0)</f>
        <v>0</v>
      </c>
      <c r="Y987" s="35"/>
      <c r="Z987" s="36">
        <f>IFERROR(Y987/$AC987,0)</f>
        <v>0</v>
      </c>
      <c r="AA987" s="38"/>
      <c r="AB987" s="36">
        <f>IFERROR(AA987/$AD987,0)</f>
        <v>0</v>
      </c>
      <c r="AC987" s="35"/>
      <c r="AD987" s="38"/>
    </row>
    <row r="988" spans="1:30" ht="15.75" customHeight="1" x14ac:dyDescent="0.25">
      <c r="A988" s="37">
        <v>2017</v>
      </c>
      <c r="B988" s="35">
        <v>170220</v>
      </c>
      <c r="C988" s="34" t="s">
        <v>145</v>
      </c>
      <c r="D988" s="34" t="s">
        <v>18</v>
      </c>
      <c r="E988" s="35"/>
      <c r="F988" s="36">
        <f>IFERROR(E988/$AC988,0)</f>
        <v>0</v>
      </c>
      <c r="G988" s="38"/>
      <c r="H988" s="36">
        <f>IFERROR(G988/$AD988,0)</f>
        <v>0</v>
      </c>
      <c r="I988" s="35"/>
      <c r="J988" s="36">
        <f>IFERROR(I988/$AC988,0)</f>
        <v>0</v>
      </c>
      <c r="K988" s="38"/>
      <c r="L988" s="36">
        <f>IFERROR(K988/$AD988,0)</f>
        <v>0</v>
      </c>
      <c r="M988" s="35"/>
      <c r="N988" s="36">
        <f>IFERROR(M988/$AC988,0)</f>
        <v>0</v>
      </c>
      <c r="O988" s="39"/>
      <c r="P988" s="36">
        <f>IFERROR(O988/$AD988,0)</f>
        <v>0</v>
      </c>
      <c r="Q988" s="35"/>
      <c r="R988" s="36">
        <f>IFERROR(Q988/$AC988,0)</f>
        <v>0</v>
      </c>
      <c r="S988" s="38"/>
      <c r="T988" s="36">
        <f>IFERROR(S988/$AD988,0)</f>
        <v>0</v>
      </c>
      <c r="U988" s="35"/>
      <c r="V988" s="36">
        <f>IFERROR(U988/$AC988,0)</f>
        <v>0</v>
      </c>
      <c r="W988" s="38"/>
      <c r="X988" s="36">
        <f>IFERROR(W988/$AD988,0)</f>
        <v>0</v>
      </c>
      <c r="Y988" s="35"/>
      <c r="Z988" s="36">
        <f>IFERROR(Y988/$AC988,0)</f>
        <v>0</v>
      </c>
      <c r="AA988" s="38"/>
      <c r="AB988" s="36">
        <f>IFERROR(AA988/$AD988,0)</f>
        <v>0</v>
      </c>
      <c r="AC988" s="35"/>
      <c r="AD988" s="39"/>
    </row>
    <row r="989" spans="1:30" ht="15.75" customHeight="1" x14ac:dyDescent="0.25">
      <c r="A989" s="37">
        <v>2017</v>
      </c>
      <c r="B989" s="35">
        <v>170230</v>
      </c>
      <c r="C989" s="34" t="s">
        <v>150</v>
      </c>
      <c r="D989" s="34" t="s">
        <v>19</v>
      </c>
      <c r="E989" s="35"/>
      <c r="F989" s="36">
        <f>IFERROR(E989/$AC989,0)</f>
        <v>0</v>
      </c>
      <c r="G989" s="38"/>
      <c r="H989" s="36">
        <f>IFERROR(G989/$AD989,0)</f>
        <v>0</v>
      </c>
      <c r="I989" s="35"/>
      <c r="J989" s="36">
        <f>IFERROR(I989/$AC989,0)</f>
        <v>0</v>
      </c>
      <c r="K989" s="38"/>
      <c r="L989" s="36">
        <f>IFERROR(K989/$AD989,0)</f>
        <v>0</v>
      </c>
      <c r="M989" s="35"/>
      <c r="N989" s="36">
        <f>IFERROR(M989/$AC989,0)</f>
        <v>0</v>
      </c>
      <c r="O989" s="38"/>
      <c r="P989" s="36">
        <f>IFERROR(O989/$AD989,0)</f>
        <v>0</v>
      </c>
      <c r="Q989" s="35"/>
      <c r="R989" s="36">
        <f>IFERROR(Q989/$AC989,0)</f>
        <v>0</v>
      </c>
      <c r="S989" s="38"/>
      <c r="T989" s="36">
        <f>IFERROR(S989/$AD989,0)</f>
        <v>0</v>
      </c>
      <c r="U989" s="35"/>
      <c r="V989" s="36">
        <f>IFERROR(U989/$AC989,0)</f>
        <v>0</v>
      </c>
      <c r="W989" s="38"/>
      <c r="X989" s="36">
        <f>IFERROR(W989/$AD989,0)</f>
        <v>0</v>
      </c>
      <c r="Y989" s="35"/>
      <c r="Z989" s="36">
        <f>IFERROR(Y989/$AC989,0)</f>
        <v>0</v>
      </c>
      <c r="AA989" s="38"/>
      <c r="AB989" s="36">
        <f>IFERROR(AA989/$AD989,0)</f>
        <v>0</v>
      </c>
      <c r="AC989" s="35"/>
      <c r="AD989" s="38"/>
    </row>
    <row r="990" spans="1:30" ht="15.75" customHeight="1" x14ac:dyDescent="0.25">
      <c r="A990" s="37">
        <v>2017</v>
      </c>
      <c r="B990" s="35">
        <v>170240</v>
      </c>
      <c r="C990" s="34" t="s">
        <v>147</v>
      </c>
      <c r="D990" s="34" t="s">
        <v>20</v>
      </c>
      <c r="E990" s="35"/>
      <c r="F990" s="36">
        <f>IFERROR(E990/$AC990,0)</f>
        <v>0</v>
      </c>
      <c r="G990" s="38"/>
      <c r="H990" s="36">
        <f>IFERROR(G990/$AD990,0)</f>
        <v>0</v>
      </c>
      <c r="I990" s="35"/>
      <c r="J990" s="36">
        <f>IFERROR(I990/$AC990,0)</f>
        <v>0</v>
      </c>
      <c r="K990" s="38"/>
      <c r="L990" s="36">
        <f>IFERROR(K990/$AD990,0)</f>
        <v>0</v>
      </c>
      <c r="M990" s="35"/>
      <c r="N990" s="36">
        <f>IFERROR(M990/$AC990,0)</f>
        <v>0</v>
      </c>
      <c r="O990" s="38"/>
      <c r="P990" s="36">
        <f>IFERROR(O990/$AD990,0)</f>
        <v>0</v>
      </c>
      <c r="Q990" s="35"/>
      <c r="R990" s="36">
        <f>IFERROR(Q990/$AC990,0)</f>
        <v>0</v>
      </c>
      <c r="S990" s="38"/>
      <c r="T990" s="36">
        <f>IFERROR(S990/$AD990,0)</f>
        <v>0</v>
      </c>
      <c r="U990" s="35"/>
      <c r="V990" s="36">
        <f>IFERROR(U990/$AC990,0)</f>
        <v>0</v>
      </c>
      <c r="W990" s="38"/>
      <c r="X990" s="36">
        <f>IFERROR(W990/$AD990,0)</f>
        <v>0</v>
      </c>
      <c r="Y990" s="35"/>
      <c r="Z990" s="36">
        <f>IFERROR(Y990/$AC990,0)</f>
        <v>0</v>
      </c>
      <c r="AA990" s="38"/>
      <c r="AB990" s="36">
        <f>IFERROR(AA990/$AD990,0)</f>
        <v>0</v>
      </c>
      <c r="AC990" s="35"/>
      <c r="AD990" s="38"/>
    </row>
    <row r="991" spans="1:30" ht="15.75" customHeight="1" x14ac:dyDescent="0.25">
      <c r="A991" s="37">
        <v>2017</v>
      </c>
      <c r="B991" s="35">
        <v>170255</v>
      </c>
      <c r="C991" s="34" t="s">
        <v>145</v>
      </c>
      <c r="D991" s="34" t="s">
        <v>21</v>
      </c>
      <c r="E991" s="35"/>
      <c r="F991" s="36">
        <f>IFERROR(E991/$AC991,0)</f>
        <v>0</v>
      </c>
      <c r="G991" s="38"/>
      <c r="H991" s="36">
        <f>IFERROR(G991/$AD991,0)</f>
        <v>0</v>
      </c>
      <c r="I991" s="35"/>
      <c r="J991" s="36">
        <f>IFERROR(I991/$AC991,0)</f>
        <v>0</v>
      </c>
      <c r="K991" s="38"/>
      <c r="L991" s="36">
        <f>IFERROR(K991/$AD991,0)</f>
        <v>0</v>
      </c>
      <c r="M991" s="35"/>
      <c r="N991" s="36">
        <f>IFERROR(M991/$AC991,0)</f>
        <v>0</v>
      </c>
      <c r="O991" s="38"/>
      <c r="P991" s="36">
        <f>IFERROR(O991/$AD991,0)</f>
        <v>0</v>
      </c>
      <c r="Q991" s="35"/>
      <c r="R991" s="36">
        <f>IFERROR(Q991/$AC991,0)</f>
        <v>0</v>
      </c>
      <c r="S991" s="38"/>
      <c r="T991" s="36">
        <f>IFERROR(S991/$AD991,0)</f>
        <v>0</v>
      </c>
      <c r="U991" s="35"/>
      <c r="V991" s="36">
        <f>IFERROR(U991/$AC991,0)</f>
        <v>0</v>
      </c>
      <c r="W991" s="38"/>
      <c r="X991" s="36">
        <f>IFERROR(W991/$AD991,0)</f>
        <v>0</v>
      </c>
      <c r="Y991" s="35"/>
      <c r="Z991" s="36">
        <f>IFERROR(Y991/$AC991,0)</f>
        <v>0</v>
      </c>
      <c r="AA991" s="38"/>
      <c r="AB991" s="36">
        <f>IFERROR(AA991/$AD991,0)</f>
        <v>0</v>
      </c>
      <c r="AC991" s="35"/>
      <c r="AD991" s="38"/>
    </row>
    <row r="992" spans="1:30" ht="15.75" customHeight="1" x14ac:dyDescent="0.25">
      <c r="A992" s="37">
        <v>2017</v>
      </c>
      <c r="B992" s="35">
        <v>170270</v>
      </c>
      <c r="C992" s="34" t="s">
        <v>147</v>
      </c>
      <c r="D992" s="34" t="s">
        <v>22</v>
      </c>
      <c r="E992" s="35"/>
      <c r="F992" s="36">
        <f>IFERROR(E992/$AC992,0)</f>
        <v>0</v>
      </c>
      <c r="G992" s="38"/>
      <c r="H992" s="36">
        <f>IFERROR(G992/$AD992,0)</f>
        <v>0</v>
      </c>
      <c r="I992" s="35"/>
      <c r="J992" s="36">
        <f>IFERROR(I992/$AC992,0)</f>
        <v>0</v>
      </c>
      <c r="K992" s="38"/>
      <c r="L992" s="36">
        <f>IFERROR(K992/$AD992,0)</f>
        <v>0</v>
      </c>
      <c r="M992" s="35"/>
      <c r="N992" s="36">
        <f>IFERROR(M992/$AC992,0)</f>
        <v>0</v>
      </c>
      <c r="O992" s="38"/>
      <c r="P992" s="36">
        <f>IFERROR(O992/$AD992,0)</f>
        <v>0</v>
      </c>
      <c r="Q992" s="35"/>
      <c r="R992" s="36">
        <f>IFERROR(Q992/$AC992,0)</f>
        <v>0</v>
      </c>
      <c r="S992" s="38"/>
      <c r="T992" s="36">
        <f>IFERROR(S992/$AD992,0)</f>
        <v>0</v>
      </c>
      <c r="U992" s="35"/>
      <c r="V992" s="36">
        <f>IFERROR(U992/$AC992,0)</f>
        <v>0</v>
      </c>
      <c r="W992" s="38"/>
      <c r="X992" s="36">
        <f>IFERROR(W992/$AD992,0)</f>
        <v>0</v>
      </c>
      <c r="Y992" s="35"/>
      <c r="Z992" s="36">
        <f>IFERROR(Y992/$AC992,0)</f>
        <v>0</v>
      </c>
      <c r="AA992" s="38"/>
      <c r="AB992" s="36">
        <f>IFERROR(AA992/$AD992,0)</f>
        <v>0</v>
      </c>
      <c r="AC992" s="35"/>
      <c r="AD992" s="38"/>
    </row>
    <row r="993" spans="1:30" ht="15.75" customHeight="1" x14ac:dyDescent="0.25">
      <c r="A993" s="37">
        <v>2017</v>
      </c>
      <c r="B993" s="35">
        <v>170290</v>
      </c>
      <c r="C993" s="34" t="s">
        <v>145</v>
      </c>
      <c r="D993" s="34" t="s">
        <v>23</v>
      </c>
      <c r="E993" s="35"/>
      <c r="F993" s="36">
        <f>IFERROR(E993/$AC993,0)</f>
        <v>0</v>
      </c>
      <c r="G993" s="38"/>
      <c r="H993" s="36">
        <f>IFERROR(G993/$AD993,0)</f>
        <v>0</v>
      </c>
      <c r="I993" s="35"/>
      <c r="J993" s="36">
        <f>IFERROR(I993/$AC993,0)</f>
        <v>0</v>
      </c>
      <c r="K993" s="38"/>
      <c r="L993" s="36">
        <f>IFERROR(K993/$AD993,0)</f>
        <v>0</v>
      </c>
      <c r="M993" s="35"/>
      <c r="N993" s="36">
        <f>IFERROR(M993/$AC993,0)</f>
        <v>0</v>
      </c>
      <c r="O993" s="38"/>
      <c r="P993" s="36">
        <f>IFERROR(O993/$AD993,0)</f>
        <v>0</v>
      </c>
      <c r="Q993" s="35"/>
      <c r="R993" s="36">
        <f>IFERROR(Q993/$AC993,0)</f>
        <v>0</v>
      </c>
      <c r="S993" s="38"/>
      <c r="T993" s="36">
        <f>IFERROR(S993/$AD993,0)</f>
        <v>0</v>
      </c>
      <c r="U993" s="35"/>
      <c r="V993" s="36">
        <f>IFERROR(U993/$AC993,0)</f>
        <v>0</v>
      </c>
      <c r="W993" s="38"/>
      <c r="X993" s="36">
        <f>IFERROR(W993/$AD993,0)</f>
        <v>0</v>
      </c>
      <c r="Y993" s="35"/>
      <c r="Z993" s="36">
        <f>IFERROR(Y993/$AC993,0)</f>
        <v>0</v>
      </c>
      <c r="AA993" s="38"/>
      <c r="AB993" s="36">
        <f>IFERROR(AA993/$AD993,0)</f>
        <v>0</v>
      </c>
      <c r="AC993" s="35"/>
      <c r="AD993" s="38"/>
    </row>
    <row r="994" spans="1:30" ht="15.75" customHeight="1" x14ac:dyDescent="0.25">
      <c r="A994" s="37">
        <v>2017</v>
      </c>
      <c r="B994" s="35">
        <v>170300</v>
      </c>
      <c r="C994" s="34" t="s">
        <v>149</v>
      </c>
      <c r="D994" s="34" t="s">
        <v>24</v>
      </c>
      <c r="E994" s="35"/>
      <c r="F994" s="36">
        <f>IFERROR(E994/$AC994,0)</f>
        <v>0</v>
      </c>
      <c r="G994" s="38"/>
      <c r="H994" s="36">
        <f>IFERROR(G994/$AD994,0)</f>
        <v>0</v>
      </c>
      <c r="I994" s="35"/>
      <c r="J994" s="36">
        <f>IFERROR(I994/$AC994,0)</f>
        <v>0</v>
      </c>
      <c r="K994" s="38"/>
      <c r="L994" s="36">
        <f>IFERROR(K994/$AD994,0)</f>
        <v>0</v>
      </c>
      <c r="M994" s="35"/>
      <c r="N994" s="36">
        <f>IFERROR(M994/$AC994,0)</f>
        <v>0</v>
      </c>
      <c r="O994" s="38"/>
      <c r="P994" s="36">
        <f>IFERROR(O994/$AD994,0)</f>
        <v>0</v>
      </c>
      <c r="Q994" s="35"/>
      <c r="R994" s="36">
        <f>IFERROR(Q994/$AC994,0)</f>
        <v>0</v>
      </c>
      <c r="S994" s="38"/>
      <c r="T994" s="36">
        <f>IFERROR(S994/$AD994,0)</f>
        <v>0</v>
      </c>
      <c r="U994" s="35"/>
      <c r="V994" s="36">
        <f>IFERROR(U994/$AC994,0)</f>
        <v>0</v>
      </c>
      <c r="W994" s="38"/>
      <c r="X994" s="36">
        <f>IFERROR(W994/$AD994,0)</f>
        <v>0</v>
      </c>
      <c r="Y994" s="35"/>
      <c r="Z994" s="36">
        <f>IFERROR(Y994/$AC994,0)</f>
        <v>0</v>
      </c>
      <c r="AA994" s="38"/>
      <c r="AB994" s="36">
        <f>IFERROR(AA994/$AD994,0)</f>
        <v>0</v>
      </c>
      <c r="AC994" s="35"/>
      <c r="AD994" s="38"/>
    </row>
    <row r="995" spans="1:30" ht="15.75" customHeight="1" x14ac:dyDescent="0.25">
      <c r="A995" s="37">
        <v>2017</v>
      </c>
      <c r="B995" s="35">
        <v>170305</v>
      </c>
      <c r="C995" s="34" t="s">
        <v>150</v>
      </c>
      <c r="D995" s="34" t="s">
        <v>25</v>
      </c>
      <c r="E995" s="35"/>
      <c r="F995" s="36">
        <f>IFERROR(E995/$AC995,0)</f>
        <v>0</v>
      </c>
      <c r="G995" s="38"/>
      <c r="H995" s="36">
        <f>IFERROR(G995/$AD995,0)</f>
        <v>0</v>
      </c>
      <c r="I995" s="35"/>
      <c r="J995" s="36">
        <f>IFERROR(I995/$AC995,0)</f>
        <v>0</v>
      </c>
      <c r="K995" s="38"/>
      <c r="L995" s="36">
        <f>IFERROR(K995/$AD995,0)</f>
        <v>0</v>
      </c>
      <c r="M995" s="35"/>
      <c r="N995" s="36">
        <f>IFERROR(M995/$AC995,0)</f>
        <v>0</v>
      </c>
      <c r="O995" s="38"/>
      <c r="P995" s="36">
        <f>IFERROR(O995/$AD995,0)</f>
        <v>0</v>
      </c>
      <c r="Q995" s="35"/>
      <c r="R995" s="36">
        <f>IFERROR(Q995/$AC995,0)</f>
        <v>0</v>
      </c>
      <c r="S995" s="38"/>
      <c r="T995" s="36">
        <f>IFERROR(S995/$AD995,0)</f>
        <v>0</v>
      </c>
      <c r="U995" s="35"/>
      <c r="V995" s="36">
        <f>IFERROR(U995/$AC995,0)</f>
        <v>0</v>
      </c>
      <c r="W995" s="38"/>
      <c r="X995" s="36">
        <f>IFERROR(W995/$AD995,0)</f>
        <v>0</v>
      </c>
      <c r="Y995" s="35"/>
      <c r="Z995" s="36">
        <f>IFERROR(Y995/$AC995,0)</f>
        <v>0</v>
      </c>
      <c r="AA995" s="38"/>
      <c r="AB995" s="36">
        <f>IFERROR(AA995/$AD995,0)</f>
        <v>0</v>
      </c>
      <c r="AC995" s="35"/>
      <c r="AD995" s="38"/>
    </row>
    <row r="996" spans="1:30" ht="15.75" customHeight="1" x14ac:dyDescent="0.25">
      <c r="A996" s="37">
        <v>2017</v>
      </c>
      <c r="B996" s="35">
        <v>170307</v>
      </c>
      <c r="C996" s="34" t="s">
        <v>149</v>
      </c>
      <c r="D996" s="34" t="s">
        <v>26</v>
      </c>
      <c r="E996" s="35"/>
      <c r="F996" s="36">
        <f>IFERROR(E996/$AC996,0)</f>
        <v>0</v>
      </c>
      <c r="G996" s="38"/>
      <c r="H996" s="36">
        <f>IFERROR(G996/$AD996,0)</f>
        <v>0</v>
      </c>
      <c r="I996" s="35"/>
      <c r="J996" s="36">
        <f>IFERROR(I996/$AC996,0)</f>
        <v>0</v>
      </c>
      <c r="K996" s="38"/>
      <c r="L996" s="36">
        <f>IFERROR(K996/$AD996,0)</f>
        <v>0</v>
      </c>
      <c r="M996" s="35"/>
      <c r="N996" s="36">
        <f>IFERROR(M996/$AC996,0)</f>
        <v>0</v>
      </c>
      <c r="O996" s="38"/>
      <c r="P996" s="36">
        <f>IFERROR(O996/$AD996,0)</f>
        <v>0</v>
      </c>
      <c r="Q996" s="35"/>
      <c r="R996" s="36">
        <f>IFERROR(Q996/$AC996,0)</f>
        <v>0</v>
      </c>
      <c r="S996" s="38"/>
      <c r="T996" s="36">
        <f>IFERROR(S996/$AD996,0)</f>
        <v>0</v>
      </c>
      <c r="U996" s="35"/>
      <c r="V996" s="36">
        <f>IFERROR(U996/$AC996,0)</f>
        <v>0</v>
      </c>
      <c r="W996" s="38"/>
      <c r="X996" s="36">
        <f>IFERROR(W996/$AD996,0)</f>
        <v>0</v>
      </c>
      <c r="Y996" s="35"/>
      <c r="Z996" s="36">
        <f>IFERROR(Y996/$AC996,0)</f>
        <v>0</v>
      </c>
      <c r="AA996" s="38"/>
      <c r="AB996" s="36">
        <f>IFERROR(AA996/$AD996,0)</f>
        <v>0</v>
      </c>
      <c r="AC996" s="35"/>
      <c r="AD996" s="38"/>
    </row>
    <row r="997" spans="1:30" ht="15.75" customHeight="1" x14ac:dyDescent="0.25">
      <c r="A997" s="37">
        <v>2017</v>
      </c>
      <c r="B997" s="35">
        <v>170310</v>
      </c>
      <c r="C997" s="34" t="s">
        <v>144</v>
      </c>
      <c r="D997" s="34" t="s">
        <v>27</v>
      </c>
      <c r="E997" s="35"/>
      <c r="F997" s="36">
        <f>IFERROR(E997/$AC997,0)</f>
        <v>0</v>
      </c>
      <c r="G997" s="38"/>
      <c r="H997" s="36">
        <f>IFERROR(G997/$AD997,0)</f>
        <v>0</v>
      </c>
      <c r="I997" s="35"/>
      <c r="J997" s="36">
        <f>IFERROR(I997/$AC997,0)</f>
        <v>0</v>
      </c>
      <c r="K997" s="38"/>
      <c r="L997" s="36">
        <f>IFERROR(K997/$AD997,0)</f>
        <v>0</v>
      </c>
      <c r="M997" s="35"/>
      <c r="N997" s="36">
        <f>IFERROR(M997/$AC997,0)</f>
        <v>0</v>
      </c>
      <c r="O997" s="38"/>
      <c r="P997" s="36">
        <f>IFERROR(O997/$AD997,0)</f>
        <v>0</v>
      </c>
      <c r="Q997" s="35"/>
      <c r="R997" s="36">
        <f>IFERROR(Q997/$AC997,0)</f>
        <v>0</v>
      </c>
      <c r="S997" s="38"/>
      <c r="T997" s="36">
        <f>IFERROR(S997/$AD997,0)</f>
        <v>0</v>
      </c>
      <c r="U997" s="35"/>
      <c r="V997" s="36">
        <f>IFERROR(U997/$AC997,0)</f>
        <v>0</v>
      </c>
      <c r="W997" s="38"/>
      <c r="X997" s="36">
        <f>IFERROR(W997/$AD997,0)</f>
        <v>0</v>
      </c>
      <c r="Y997" s="35"/>
      <c r="Z997" s="36">
        <f>IFERROR(Y997/$AC997,0)</f>
        <v>0</v>
      </c>
      <c r="AA997" s="38"/>
      <c r="AB997" s="36">
        <f>IFERROR(AA997/$AD997,0)</f>
        <v>0</v>
      </c>
      <c r="AC997" s="35"/>
      <c r="AD997" s="38"/>
    </row>
    <row r="998" spans="1:30" ht="15.75" customHeight="1" x14ac:dyDescent="0.25">
      <c r="A998" s="37">
        <v>2017</v>
      </c>
      <c r="B998" s="35">
        <v>170320</v>
      </c>
      <c r="C998" s="34" t="s">
        <v>150</v>
      </c>
      <c r="D998" s="34" t="s">
        <v>28</v>
      </c>
      <c r="E998" s="35"/>
      <c r="F998" s="36">
        <f>IFERROR(E998/$AC998,0)</f>
        <v>0</v>
      </c>
      <c r="G998" s="38"/>
      <c r="H998" s="36">
        <f>IFERROR(G998/$AD998,0)</f>
        <v>0</v>
      </c>
      <c r="I998" s="35"/>
      <c r="J998" s="36">
        <f>IFERROR(I998/$AC998,0)</f>
        <v>0</v>
      </c>
      <c r="K998" s="38"/>
      <c r="L998" s="36">
        <f>IFERROR(K998/$AD998,0)</f>
        <v>0</v>
      </c>
      <c r="M998" s="35"/>
      <c r="N998" s="36">
        <f>IFERROR(M998/$AC998,0)</f>
        <v>0</v>
      </c>
      <c r="O998" s="38"/>
      <c r="P998" s="36">
        <f>IFERROR(O998/$AD998,0)</f>
        <v>0</v>
      </c>
      <c r="Q998" s="35"/>
      <c r="R998" s="36">
        <f>IFERROR(Q998/$AC998,0)</f>
        <v>0</v>
      </c>
      <c r="S998" s="38"/>
      <c r="T998" s="36">
        <f>IFERROR(S998/$AD998,0)</f>
        <v>0</v>
      </c>
      <c r="U998" s="35"/>
      <c r="V998" s="36">
        <f>IFERROR(U998/$AC998,0)</f>
        <v>0</v>
      </c>
      <c r="W998" s="38"/>
      <c r="X998" s="36">
        <f>IFERROR(W998/$AD998,0)</f>
        <v>0</v>
      </c>
      <c r="Y998" s="35"/>
      <c r="Z998" s="36">
        <f>IFERROR(Y998/$AC998,0)</f>
        <v>0</v>
      </c>
      <c r="AA998" s="38"/>
      <c r="AB998" s="36">
        <f>IFERROR(AA998/$AD998,0)</f>
        <v>0</v>
      </c>
      <c r="AC998" s="35"/>
      <c r="AD998" s="38"/>
    </row>
    <row r="999" spans="1:30" ht="15.75" customHeight="1" x14ac:dyDescent="0.25">
      <c r="A999" s="37">
        <v>2017</v>
      </c>
      <c r="B999" s="35">
        <v>170330</v>
      </c>
      <c r="C999" s="34" t="s">
        <v>150</v>
      </c>
      <c r="D999" s="34" t="s">
        <v>29</v>
      </c>
      <c r="E999" s="35"/>
      <c r="F999" s="36">
        <f>IFERROR(E999/$AC999,0)</f>
        <v>0</v>
      </c>
      <c r="G999" s="38"/>
      <c r="H999" s="36">
        <f>IFERROR(G999/$AD999,0)</f>
        <v>0</v>
      </c>
      <c r="I999" s="35"/>
      <c r="J999" s="36">
        <f>IFERROR(I999/$AC999,0)</f>
        <v>0</v>
      </c>
      <c r="K999" s="38"/>
      <c r="L999" s="36">
        <f>IFERROR(K999/$AD999,0)</f>
        <v>0</v>
      </c>
      <c r="M999" s="35"/>
      <c r="N999" s="36">
        <f>IFERROR(M999/$AC999,0)</f>
        <v>0</v>
      </c>
      <c r="O999" s="38"/>
      <c r="P999" s="36">
        <f>IFERROR(O999/$AD999,0)</f>
        <v>0</v>
      </c>
      <c r="Q999" s="35"/>
      <c r="R999" s="36">
        <f>IFERROR(Q999/$AC999,0)</f>
        <v>0</v>
      </c>
      <c r="S999" s="38"/>
      <c r="T999" s="36">
        <f>IFERROR(S999/$AD999,0)</f>
        <v>0</v>
      </c>
      <c r="U999" s="35"/>
      <c r="V999" s="36">
        <f>IFERROR(U999/$AC999,0)</f>
        <v>0</v>
      </c>
      <c r="W999" s="38"/>
      <c r="X999" s="36">
        <f>IFERROR(W999/$AD999,0)</f>
        <v>0</v>
      </c>
      <c r="Y999" s="35"/>
      <c r="Z999" s="36">
        <f>IFERROR(Y999/$AC999,0)</f>
        <v>0</v>
      </c>
      <c r="AA999" s="38"/>
      <c r="AB999" s="36">
        <f>IFERROR(AA999/$AD999,0)</f>
        <v>0</v>
      </c>
      <c r="AC999" s="35"/>
      <c r="AD999" s="38"/>
    </row>
    <row r="1000" spans="1:30" ht="15.75" customHeight="1" x14ac:dyDescent="0.25">
      <c r="A1000" s="37">
        <v>2017</v>
      </c>
      <c r="B1000" s="35">
        <v>170360</v>
      </c>
      <c r="C1000" s="34" t="s">
        <v>150</v>
      </c>
      <c r="D1000" s="34" t="s">
        <v>30</v>
      </c>
      <c r="E1000" s="35"/>
      <c r="F1000" s="36">
        <f>IFERROR(E1000/$AC1000,0)</f>
        <v>0</v>
      </c>
      <c r="G1000" s="38"/>
      <c r="H1000" s="36">
        <f>IFERROR(G1000/$AD1000,0)</f>
        <v>0</v>
      </c>
      <c r="I1000" s="35"/>
      <c r="J1000" s="36">
        <f>IFERROR(I1000/$AC1000,0)</f>
        <v>0</v>
      </c>
      <c r="K1000" s="38"/>
      <c r="L1000" s="36">
        <f>IFERROR(K1000/$AD1000,0)</f>
        <v>0</v>
      </c>
      <c r="M1000" s="35"/>
      <c r="N1000" s="36">
        <f>IFERROR(M1000/$AC1000,0)</f>
        <v>0</v>
      </c>
      <c r="O1000" s="38"/>
      <c r="P1000" s="36">
        <f>IFERROR(O1000/$AD1000,0)</f>
        <v>0</v>
      </c>
      <c r="Q1000" s="35"/>
      <c r="R1000" s="36">
        <f>IFERROR(Q1000/$AC1000,0)</f>
        <v>0</v>
      </c>
      <c r="S1000" s="38"/>
      <c r="T1000" s="36">
        <f>IFERROR(S1000/$AD1000,0)</f>
        <v>0</v>
      </c>
      <c r="U1000" s="35"/>
      <c r="V1000" s="36">
        <f>IFERROR(U1000/$AC1000,0)</f>
        <v>0</v>
      </c>
      <c r="W1000" s="38"/>
      <c r="X1000" s="36">
        <f>IFERROR(W1000/$AD1000,0)</f>
        <v>0</v>
      </c>
      <c r="Y1000" s="35"/>
      <c r="Z1000" s="36">
        <f>IFERROR(Y1000/$AC1000,0)</f>
        <v>0</v>
      </c>
      <c r="AA1000" s="38"/>
      <c r="AB1000" s="36">
        <f>IFERROR(AA1000/$AD1000,0)</f>
        <v>0</v>
      </c>
      <c r="AC1000" s="35"/>
      <c r="AD1000" s="38"/>
    </row>
    <row r="1001" spans="1:30" ht="15.75" customHeight="1" x14ac:dyDescent="0.25">
      <c r="A1001" s="37">
        <v>2017</v>
      </c>
      <c r="B1001" s="35">
        <v>170370</v>
      </c>
      <c r="C1001" s="34" t="s">
        <v>151</v>
      </c>
      <c r="D1001" s="34" t="s">
        <v>31</v>
      </c>
      <c r="E1001" s="35"/>
      <c r="F1001" s="36">
        <f>IFERROR(E1001/$AC1001,0)</f>
        <v>0</v>
      </c>
      <c r="G1001" s="38"/>
      <c r="H1001" s="36">
        <f>IFERROR(G1001/$AD1001,0)</f>
        <v>0</v>
      </c>
      <c r="I1001" s="35"/>
      <c r="J1001" s="36">
        <f>IFERROR(I1001/$AC1001,0)</f>
        <v>0</v>
      </c>
      <c r="K1001" s="38"/>
      <c r="L1001" s="36">
        <f>IFERROR(K1001/$AD1001,0)</f>
        <v>0</v>
      </c>
      <c r="M1001" s="35"/>
      <c r="N1001" s="36">
        <f>IFERROR(M1001/$AC1001,0)</f>
        <v>0</v>
      </c>
      <c r="O1001" s="38"/>
      <c r="P1001" s="36">
        <f>IFERROR(O1001/$AD1001,0)</f>
        <v>0</v>
      </c>
      <c r="Q1001" s="35"/>
      <c r="R1001" s="36">
        <f>IFERROR(Q1001/$AC1001,0)</f>
        <v>0</v>
      </c>
      <c r="S1001" s="38"/>
      <c r="T1001" s="36">
        <f>IFERROR(S1001/$AD1001,0)</f>
        <v>0</v>
      </c>
      <c r="U1001" s="35"/>
      <c r="V1001" s="36">
        <f>IFERROR(U1001/$AC1001,0)</f>
        <v>0</v>
      </c>
      <c r="W1001" s="38"/>
      <c r="X1001" s="36">
        <f>IFERROR(W1001/$AD1001,0)</f>
        <v>0</v>
      </c>
      <c r="Y1001" s="35"/>
      <c r="Z1001" s="36">
        <f>IFERROR(Y1001/$AC1001,0)</f>
        <v>0</v>
      </c>
      <c r="AA1001" s="38"/>
      <c r="AB1001" s="36">
        <f>IFERROR(AA1001/$AD1001,0)</f>
        <v>0</v>
      </c>
      <c r="AC1001" s="35"/>
      <c r="AD1001" s="38"/>
    </row>
    <row r="1002" spans="1:30" ht="15.75" customHeight="1" x14ac:dyDescent="0.25">
      <c r="A1002" s="37">
        <v>2017</v>
      </c>
      <c r="B1002" s="35">
        <v>170380</v>
      </c>
      <c r="C1002" s="34" t="s">
        <v>145</v>
      </c>
      <c r="D1002" s="34" t="s">
        <v>32</v>
      </c>
      <c r="E1002" s="35"/>
      <c r="F1002" s="36">
        <f>IFERROR(E1002/$AC1002,0)</f>
        <v>0</v>
      </c>
      <c r="G1002" s="38"/>
      <c r="H1002" s="36">
        <f>IFERROR(G1002/$AD1002,0)</f>
        <v>0</v>
      </c>
      <c r="I1002" s="35"/>
      <c r="J1002" s="36">
        <f>IFERROR(I1002/$AC1002,0)</f>
        <v>0</v>
      </c>
      <c r="K1002" s="38"/>
      <c r="L1002" s="36">
        <f>IFERROR(K1002/$AD1002,0)</f>
        <v>0</v>
      </c>
      <c r="M1002" s="35"/>
      <c r="N1002" s="36">
        <f>IFERROR(M1002/$AC1002,0)</f>
        <v>0</v>
      </c>
      <c r="O1002" s="38"/>
      <c r="P1002" s="36">
        <f>IFERROR(O1002/$AD1002,0)</f>
        <v>0</v>
      </c>
      <c r="Q1002" s="35"/>
      <c r="R1002" s="36">
        <f>IFERROR(Q1002/$AC1002,0)</f>
        <v>0</v>
      </c>
      <c r="S1002" s="38"/>
      <c r="T1002" s="36">
        <f>IFERROR(S1002/$AD1002,0)</f>
        <v>0</v>
      </c>
      <c r="U1002" s="35"/>
      <c r="V1002" s="36">
        <f>IFERROR(U1002/$AC1002,0)</f>
        <v>0</v>
      </c>
      <c r="W1002" s="38"/>
      <c r="X1002" s="36">
        <f>IFERROR(W1002/$AD1002,0)</f>
        <v>0</v>
      </c>
      <c r="Y1002" s="35"/>
      <c r="Z1002" s="36">
        <f>IFERROR(Y1002/$AC1002,0)</f>
        <v>0</v>
      </c>
      <c r="AA1002" s="38"/>
      <c r="AB1002" s="36">
        <f>IFERROR(AA1002/$AD1002,0)</f>
        <v>0</v>
      </c>
      <c r="AC1002" s="35"/>
      <c r="AD1002" s="38"/>
    </row>
    <row r="1003" spans="1:30" ht="15.75" customHeight="1" x14ac:dyDescent="0.25">
      <c r="A1003" s="37">
        <v>2017</v>
      </c>
      <c r="B1003" s="35">
        <v>170382</v>
      </c>
      <c r="C1003" s="34" t="s">
        <v>145</v>
      </c>
      <c r="D1003" s="34" t="s">
        <v>33</v>
      </c>
      <c r="E1003" s="35"/>
      <c r="F1003" s="36">
        <f>IFERROR(E1003/$AC1003,0)</f>
        <v>0</v>
      </c>
      <c r="G1003" s="38"/>
      <c r="H1003" s="36">
        <f>IFERROR(G1003/$AD1003,0)</f>
        <v>0</v>
      </c>
      <c r="I1003" s="35"/>
      <c r="J1003" s="36">
        <f>IFERROR(I1003/$AC1003,0)</f>
        <v>0</v>
      </c>
      <c r="K1003" s="38"/>
      <c r="L1003" s="36">
        <f>IFERROR(K1003/$AD1003,0)</f>
        <v>0</v>
      </c>
      <c r="M1003" s="35"/>
      <c r="N1003" s="36">
        <f>IFERROR(M1003/$AC1003,0)</f>
        <v>0</v>
      </c>
      <c r="O1003" s="38"/>
      <c r="P1003" s="36">
        <f>IFERROR(O1003/$AD1003,0)</f>
        <v>0</v>
      </c>
      <c r="Q1003" s="35"/>
      <c r="R1003" s="36">
        <f>IFERROR(Q1003/$AC1003,0)</f>
        <v>0</v>
      </c>
      <c r="S1003" s="38"/>
      <c r="T1003" s="36">
        <f>IFERROR(S1003/$AD1003,0)</f>
        <v>0</v>
      </c>
      <c r="U1003" s="35"/>
      <c r="V1003" s="36">
        <f>IFERROR(U1003/$AC1003,0)</f>
        <v>0</v>
      </c>
      <c r="W1003" s="38"/>
      <c r="X1003" s="36">
        <f>IFERROR(W1003/$AD1003,0)</f>
        <v>0</v>
      </c>
      <c r="Y1003" s="35"/>
      <c r="Z1003" s="36">
        <f>IFERROR(Y1003/$AC1003,0)</f>
        <v>0</v>
      </c>
      <c r="AA1003" s="38"/>
      <c r="AB1003" s="36">
        <f>IFERROR(AA1003/$AD1003,0)</f>
        <v>0</v>
      </c>
      <c r="AC1003" s="35"/>
      <c r="AD1003" s="38"/>
    </row>
    <row r="1004" spans="1:30" ht="15.75" customHeight="1" x14ac:dyDescent="0.25">
      <c r="A1004" s="37">
        <v>2017</v>
      </c>
      <c r="B1004" s="35">
        <v>170384</v>
      </c>
      <c r="C1004" s="34" t="s">
        <v>149</v>
      </c>
      <c r="D1004" s="34" t="s">
        <v>34</v>
      </c>
      <c r="E1004" s="35"/>
      <c r="F1004" s="36">
        <f>IFERROR(E1004/$AC1004,0)</f>
        <v>0</v>
      </c>
      <c r="G1004" s="38"/>
      <c r="H1004" s="36">
        <f>IFERROR(G1004/$AD1004,0)</f>
        <v>0</v>
      </c>
      <c r="I1004" s="35"/>
      <c r="J1004" s="36">
        <f>IFERROR(I1004/$AC1004,0)</f>
        <v>0</v>
      </c>
      <c r="K1004" s="38"/>
      <c r="L1004" s="36">
        <f>IFERROR(K1004/$AD1004,0)</f>
        <v>0</v>
      </c>
      <c r="M1004" s="35"/>
      <c r="N1004" s="36">
        <f>IFERROR(M1004/$AC1004,0)</f>
        <v>0</v>
      </c>
      <c r="O1004" s="38"/>
      <c r="P1004" s="36">
        <f>IFERROR(O1004/$AD1004,0)</f>
        <v>0</v>
      </c>
      <c r="Q1004" s="35"/>
      <c r="R1004" s="36">
        <f>IFERROR(Q1004/$AC1004,0)</f>
        <v>0</v>
      </c>
      <c r="S1004" s="38"/>
      <c r="T1004" s="36">
        <f>IFERROR(S1004/$AD1004,0)</f>
        <v>0</v>
      </c>
      <c r="U1004" s="35"/>
      <c r="V1004" s="36">
        <f>IFERROR(U1004/$AC1004,0)</f>
        <v>0</v>
      </c>
      <c r="W1004" s="38"/>
      <c r="X1004" s="36">
        <f>IFERROR(W1004/$AD1004,0)</f>
        <v>0</v>
      </c>
      <c r="Y1004" s="35"/>
      <c r="Z1004" s="36">
        <f>IFERROR(Y1004/$AC1004,0)</f>
        <v>0</v>
      </c>
      <c r="AA1004" s="38"/>
      <c r="AB1004" s="36">
        <f>IFERROR(AA1004/$AD1004,0)</f>
        <v>0</v>
      </c>
      <c r="AC1004" s="35"/>
      <c r="AD1004" s="38"/>
    </row>
    <row r="1005" spans="1:30" ht="15.75" customHeight="1" x14ac:dyDescent="0.25">
      <c r="A1005" s="37">
        <v>2017</v>
      </c>
      <c r="B1005" s="35">
        <v>170386</v>
      </c>
      <c r="C1005" s="34" t="s">
        <v>146</v>
      </c>
      <c r="D1005" s="34" t="s">
        <v>35</v>
      </c>
      <c r="E1005" s="35"/>
      <c r="F1005" s="36">
        <f>IFERROR(E1005/$AC1005,0)</f>
        <v>0</v>
      </c>
      <c r="G1005" s="38"/>
      <c r="H1005" s="36">
        <f>IFERROR(G1005/$AD1005,0)</f>
        <v>0</v>
      </c>
      <c r="I1005" s="35"/>
      <c r="J1005" s="36">
        <f>IFERROR(I1005/$AC1005,0)</f>
        <v>0</v>
      </c>
      <c r="K1005" s="38"/>
      <c r="L1005" s="36">
        <f>IFERROR(K1005/$AD1005,0)</f>
        <v>0</v>
      </c>
      <c r="M1005" s="35"/>
      <c r="N1005" s="36">
        <f>IFERROR(M1005/$AC1005,0)</f>
        <v>0</v>
      </c>
      <c r="O1005" s="38"/>
      <c r="P1005" s="36">
        <f>IFERROR(O1005/$AD1005,0)</f>
        <v>0</v>
      </c>
      <c r="Q1005" s="35"/>
      <c r="R1005" s="36">
        <f>IFERROR(Q1005/$AC1005,0)</f>
        <v>0</v>
      </c>
      <c r="S1005" s="38"/>
      <c r="T1005" s="36">
        <f>IFERROR(S1005/$AD1005,0)</f>
        <v>0</v>
      </c>
      <c r="U1005" s="35"/>
      <c r="V1005" s="36">
        <f>IFERROR(U1005/$AC1005,0)</f>
        <v>0</v>
      </c>
      <c r="W1005" s="38"/>
      <c r="X1005" s="36">
        <f>IFERROR(W1005/$AD1005,0)</f>
        <v>0</v>
      </c>
      <c r="Y1005" s="35"/>
      <c r="Z1005" s="36">
        <f>IFERROR(Y1005/$AC1005,0)</f>
        <v>0</v>
      </c>
      <c r="AA1005" s="38"/>
      <c r="AB1005" s="36">
        <f>IFERROR(AA1005/$AD1005,0)</f>
        <v>0</v>
      </c>
      <c r="AC1005" s="35"/>
      <c r="AD1005" s="38"/>
    </row>
    <row r="1006" spans="1:30" ht="15.75" customHeight="1" x14ac:dyDescent="0.25">
      <c r="A1006" s="37">
        <v>2017</v>
      </c>
      <c r="B1006" s="35">
        <v>170388</v>
      </c>
      <c r="C1006" s="34" t="s">
        <v>149</v>
      </c>
      <c r="D1006" s="34" t="s">
        <v>36</v>
      </c>
      <c r="E1006" s="35"/>
      <c r="F1006" s="36">
        <f>IFERROR(E1006/$AC1006,0)</f>
        <v>0</v>
      </c>
      <c r="G1006" s="38"/>
      <c r="H1006" s="36">
        <f>IFERROR(G1006/$AD1006,0)</f>
        <v>0</v>
      </c>
      <c r="I1006" s="35"/>
      <c r="J1006" s="36">
        <f>IFERROR(I1006/$AC1006,0)</f>
        <v>0</v>
      </c>
      <c r="K1006" s="38"/>
      <c r="L1006" s="36">
        <f>IFERROR(K1006/$AD1006,0)</f>
        <v>0</v>
      </c>
      <c r="M1006" s="35"/>
      <c r="N1006" s="36">
        <f>IFERROR(M1006/$AC1006,0)</f>
        <v>0</v>
      </c>
      <c r="O1006" s="38"/>
      <c r="P1006" s="36">
        <f>IFERROR(O1006/$AD1006,0)</f>
        <v>0</v>
      </c>
      <c r="Q1006" s="35"/>
      <c r="R1006" s="36">
        <f>IFERROR(Q1006/$AC1006,0)</f>
        <v>0</v>
      </c>
      <c r="S1006" s="38"/>
      <c r="T1006" s="36">
        <f>IFERROR(S1006/$AD1006,0)</f>
        <v>0</v>
      </c>
      <c r="U1006" s="35"/>
      <c r="V1006" s="36">
        <f>IFERROR(U1006/$AC1006,0)</f>
        <v>0</v>
      </c>
      <c r="W1006" s="38"/>
      <c r="X1006" s="36">
        <f>IFERROR(W1006/$AD1006,0)</f>
        <v>0</v>
      </c>
      <c r="Y1006" s="35"/>
      <c r="Z1006" s="36">
        <f>IFERROR(Y1006/$AC1006,0)</f>
        <v>0</v>
      </c>
      <c r="AA1006" s="38"/>
      <c r="AB1006" s="36">
        <f>IFERROR(AA1006/$AD1006,0)</f>
        <v>0</v>
      </c>
      <c r="AC1006" s="35"/>
      <c r="AD1006" s="38"/>
    </row>
    <row r="1007" spans="1:30" ht="15.75" customHeight="1" x14ac:dyDescent="0.25">
      <c r="A1007" s="37">
        <v>2017</v>
      </c>
      <c r="B1007" s="35">
        <v>170389</v>
      </c>
      <c r="C1007" s="34" t="s">
        <v>145</v>
      </c>
      <c r="D1007" s="34" t="s">
        <v>37</v>
      </c>
      <c r="E1007" s="35"/>
      <c r="F1007" s="36">
        <f>IFERROR(E1007/$AC1007,0)</f>
        <v>0</v>
      </c>
      <c r="G1007" s="38"/>
      <c r="H1007" s="36">
        <f>IFERROR(G1007/$AD1007,0)</f>
        <v>0</v>
      </c>
      <c r="I1007" s="35"/>
      <c r="J1007" s="36">
        <f>IFERROR(I1007/$AC1007,0)</f>
        <v>0</v>
      </c>
      <c r="K1007" s="38"/>
      <c r="L1007" s="36">
        <f>IFERROR(K1007/$AD1007,0)</f>
        <v>0</v>
      </c>
      <c r="M1007" s="35"/>
      <c r="N1007" s="36">
        <f>IFERROR(M1007/$AC1007,0)</f>
        <v>0</v>
      </c>
      <c r="O1007" s="38"/>
      <c r="P1007" s="36">
        <f>IFERROR(O1007/$AD1007,0)</f>
        <v>0</v>
      </c>
      <c r="Q1007" s="35"/>
      <c r="R1007" s="36">
        <f>IFERROR(Q1007/$AC1007,0)</f>
        <v>0</v>
      </c>
      <c r="S1007" s="38"/>
      <c r="T1007" s="36">
        <f>IFERROR(S1007/$AD1007,0)</f>
        <v>0</v>
      </c>
      <c r="U1007" s="35"/>
      <c r="V1007" s="36">
        <f>IFERROR(U1007/$AC1007,0)</f>
        <v>0</v>
      </c>
      <c r="W1007" s="38"/>
      <c r="X1007" s="36">
        <f>IFERROR(W1007/$AD1007,0)</f>
        <v>0</v>
      </c>
      <c r="Y1007" s="35"/>
      <c r="Z1007" s="36">
        <f>IFERROR(Y1007/$AC1007,0)</f>
        <v>0</v>
      </c>
      <c r="AA1007" s="38"/>
      <c r="AB1007" s="36">
        <f>IFERROR(AA1007/$AD1007,0)</f>
        <v>0</v>
      </c>
      <c r="AC1007" s="35"/>
      <c r="AD1007" s="38"/>
    </row>
    <row r="1008" spans="1:30" ht="15.75" customHeight="1" x14ac:dyDescent="0.25">
      <c r="A1008" s="37">
        <v>2017</v>
      </c>
      <c r="B1008" s="35">
        <v>170390</v>
      </c>
      <c r="C1008" s="34" t="s">
        <v>144</v>
      </c>
      <c r="D1008" s="34" t="s">
        <v>38</v>
      </c>
      <c r="E1008" s="35"/>
      <c r="F1008" s="36">
        <f>IFERROR(E1008/$AC1008,0)</f>
        <v>0</v>
      </c>
      <c r="G1008" s="38"/>
      <c r="H1008" s="36">
        <f>IFERROR(G1008/$AD1008,0)</f>
        <v>0</v>
      </c>
      <c r="I1008" s="35"/>
      <c r="J1008" s="36">
        <f>IFERROR(I1008/$AC1008,0)</f>
        <v>0</v>
      </c>
      <c r="K1008" s="38"/>
      <c r="L1008" s="36">
        <f>IFERROR(K1008/$AD1008,0)</f>
        <v>0</v>
      </c>
      <c r="M1008" s="35"/>
      <c r="N1008" s="36">
        <f>IFERROR(M1008/$AC1008,0)</f>
        <v>0</v>
      </c>
      <c r="O1008" s="38"/>
      <c r="P1008" s="36">
        <f>IFERROR(O1008/$AD1008,0)</f>
        <v>0</v>
      </c>
      <c r="Q1008" s="35"/>
      <c r="R1008" s="36">
        <f>IFERROR(Q1008/$AC1008,0)</f>
        <v>0</v>
      </c>
      <c r="S1008" s="38"/>
      <c r="T1008" s="36">
        <f>IFERROR(S1008/$AD1008,0)</f>
        <v>0</v>
      </c>
      <c r="U1008" s="35"/>
      <c r="V1008" s="36">
        <f>IFERROR(U1008/$AC1008,0)</f>
        <v>0</v>
      </c>
      <c r="W1008" s="38"/>
      <c r="X1008" s="36">
        <f>IFERROR(W1008/$AD1008,0)</f>
        <v>0</v>
      </c>
      <c r="Y1008" s="35"/>
      <c r="Z1008" s="36">
        <f>IFERROR(Y1008/$AC1008,0)</f>
        <v>0</v>
      </c>
      <c r="AA1008" s="38"/>
      <c r="AB1008" s="36">
        <f>IFERROR(AA1008/$AD1008,0)</f>
        <v>0</v>
      </c>
      <c r="AC1008" s="35"/>
      <c r="AD1008" s="38"/>
    </row>
    <row r="1009" spans="1:30" ht="15.75" customHeight="1" x14ac:dyDescent="0.25">
      <c r="A1009" s="37">
        <v>2017</v>
      </c>
      <c r="B1009" s="35">
        <v>170410</v>
      </c>
      <c r="C1009" s="34" t="s">
        <v>150</v>
      </c>
      <c r="D1009" s="34" t="s">
        <v>39</v>
      </c>
      <c r="E1009" s="35"/>
      <c r="F1009" s="36">
        <f>IFERROR(E1009/$AC1009,0)</f>
        <v>0</v>
      </c>
      <c r="G1009" s="38"/>
      <c r="H1009" s="36">
        <f>IFERROR(G1009/$AD1009,0)</f>
        <v>0</v>
      </c>
      <c r="I1009" s="35"/>
      <c r="J1009" s="36">
        <f>IFERROR(I1009/$AC1009,0)</f>
        <v>0</v>
      </c>
      <c r="K1009" s="38"/>
      <c r="L1009" s="36">
        <f>IFERROR(K1009/$AD1009,0)</f>
        <v>0</v>
      </c>
      <c r="M1009" s="35"/>
      <c r="N1009" s="36">
        <f>IFERROR(M1009/$AC1009,0)</f>
        <v>0</v>
      </c>
      <c r="O1009" s="38"/>
      <c r="P1009" s="36">
        <f>IFERROR(O1009/$AD1009,0)</f>
        <v>0</v>
      </c>
      <c r="Q1009" s="35"/>
      <c r="R1009" s="36">
        <f>IFERROR(Q1009/$AC1009,0)</f>
        <v>0</v>
      </c>
      <c r="S1009" s="38"/>
      <c r="T1009" s="36">
        <f>IFERROR(S1009/$AD1009,0)</f>
        <v>0</v>
      </c>
      <c r="U1009" s="35"/>
      <c r="V1009" s="36">
        <f>IFERROR(U1009/$AC1009,0)</f>
        <v>0</v>
      </c>
      <c r="W1009" s="38"/>
      <c r="X1009" s="36">
        <f>IFERROR(W1009/$AD1009,0)</f>
        <v>0</v>
      </c>
      <c r="Y1009" s="35"/>
      <c r="Z1009" s="36">
        <f>IFERROR(Y1009/$AC1009,0)</f>
        <v>0</v>
      </c>
      <c r="AA1009" s="38"/>
      <c r="AB1009" s="36">
        <f>IFERROR(AA1009/$AD1009,0)</f>
        <v>0</v>
      </c>
      <c r="AC1009" s="35"/>
      <c r="AD1009" s="38"/>
    </row>
    <row r="1010" spans="1:30" ht="15.75" customHeight="1" x14ac:dyDescent="0.25">
      <c r="A1010" s="37">
        <v>2017</v>
      </c>
      <c r="B1010" s="35">
        <v>170510</v>
      </c>
      <c r="C1010" s="34" t="s">
        <v>151</v>
      </c>
      <c r="D1010" s="34" t="s">
        <v>40</v>
      </c>
      <c r="E1010" s="35"/>
      <c r="F1010" s="36">
        <f>IFERROR(E1010/$AC1010,0)</f>
        <v>0</v>
      </c>
      <c r="G1010" s="38"/>
      <c r="H1010" s="36">
        <f>IFERROR(G1010/$AD1010,0)</f>
        <v>0</v>
      </c>
      <c r="I1010" s="35"/>
      <c r="J1010" s="36">
        <f>IFERROR(I1010/$AC1010,0)</f>
        <v>0</v>
      </c>
      <c r="K1010" s="38"/>
      <c r="L1010" s="36">
        <f>IFERROR(K1010/$AD1010,0)</f>
        <v>0</v>
      </c>
      <c r="M1010" s="35"/>
      <c r="N1010" s="36">
        <f>IFERROR(M1010/$AC1010,0)</f>
        <v>0</v>
      </c>
      <c r="O1010" s="38"/>
      <c r="P1010" s="36">
        <f>IFERROR(O1010/$AD1010,0)</f>
        <v>0</v>
      </c>
      <c r="Q1010" s="35"/>
      <c r="R1010" s="36">
        <f>IFERROR(Q1010/$AC1010,0)</f>
        <v>0</v>
      </c>
      <c r="S1010" s="38"/>
      <c r="T1010" s="36">
        <f>IFERROR(S1010/$AD1010,0)</f>
        <v>0</v>
      </c>
      <c r="U1010" s="35"/>
      <c r="V1010" s="36">
        <f>IFERROR(U1010/$AC1010,0)</f>
        <v>0</v>
      </c>
      <c r="W1010" s="38"/>
      <c r="X1010" s="36">
        <f>IFERROR(W1010/$AD1010,0)</f>
        <v>0</v>
      </c>
      <c r="Y1010" s="35"/>
      <c r="Z1010" s="36">
        <f>IFERROR(Y1010/$AC1010,0)</f>
        <v>0</v>
      </c>
      <c r="AA1010" s="38"/>
      <c r="AB1010" s="36">
        <f>IFERROR(AA1010/$AD1010,0)</f>
        <v>0</v>
      </c>
      <c r="AC1010" s="35"/>
      <c r="AD1010" s="38"/>
    </row>
    <row r="1011" spans="1:30" ht="15.75" customHeight="1" x14ac:dyDescent="0.25">
      <c r="A1011" s="37">
        <v>2017</v>
      </c>
      <c r="B1011" s="35">
        <v>170460</v>
      </c>
      <c r="C1011" s="34" t="s">
        <v>144</v>
      </c>
      <c r="D1011" s="34" t="s">
        <v>41</v>
      </c>
      <c r="E1011" s="35"/>
      <c r="F1011" s="36">
        <f>IFERROR(E1011/$AC1011,0)</f>
        <v>0</v>
      </c>
      <c r="G1011" s="38"/>
      <c r="H1011" s="36">
        <f>IFERROR(G1011/$AD1011,0)</f>
        <v>0</v>
      </c>
      <c r="I1011" s="35"/>
      <c r="J1011" s="36">
        <f>IFERROR(I1011/$AC1011,0)</f>
        <v>0</v>
      </c>
      <c r="K1011" s="38"/>
      <c r="L1011" s="36">
        <f>IFERROR(K1011/$AD1011,0)</f>
        <v>0</v>
      </c>
      <c r="M1011" s="35"/>
      <c r="N1011" s="36">
        <f>IFERROR(M1011/$AC1011,0)</f>
        <v>0</v>
      </c>
      <c r="O1011" s="38"/>
      <c r="P1011" s="36">
        <f>IFERROR(O1011/$AD1011,0)</f>
        <v>0</v>
      </c>
      <c r="Q1011" s="35"/>
      <c r="R1011" s="36">
        <f>IFERROR(Q1011/$AC1011,0)</f>
        <v>0</v>
      </c>
      <c r="S1011" s="38"/>
      <c r="T1011" s="36">
        <f>IFERROR(S1011/$AD1011,0)</f>
        <v>0</v>
      </c>
      <c r="U1011" s="35"/>
      <c r="V1011" s="36">
        <f>IFERROR(U1011/$AC1011,0)</f>
        <v>0</v>
      </c>
      <c r="W1011" s="38"/>
      <c r="X1011" s="36">
        <f>IFERROR(W1011/$AD1011,0)</f>
        <v>0</v>
      </c>
      <c r="Y1011" s="35"/>
      <c r="Z1011" s="36">
        <f>IFERROR(Y1011/$AC1011,0)</f>
        <v>0</v>
      </c>
      <c r="AA1011" s="38"/>
      <c r="AB1011" s="36">
        <f>IFERROR(AA1011/$AD1011,0)</f>
        <v>0</v>
      </c>
      <c r="AC1011" s="35"/>
      <c r="AD1011" s="38"/>
    </row>
    <row r="1012" spans="1:30" ht="15.75" customHeight="1" x14ac:dyDescent="0.25">
      <c r="A1012" s="37">
        <v>2017</v>
      </c>
      <c r="B1012" s="35">
        <v>170550</v>
      </c>
      <c r="C1012" s="34" t="s">
        <v>150</v>
      </c>
      <c r="D1012" s="34" t="s">
        <v>42</v>
      </c>
      <c r="E1012" s="35"/>
      <c r="F1012" s="36">
        <f>IFERROR(E1012/$AC1012,0)</f>
        <v>0</v>
      </c>
      <c r="G1012" s="38"/>
      <c r="H1012" s="36">
        <f>IFERROR(G1012/$AD1012,0)</f>
        <v>0</v>
      </c>
      <c r="I1012" s="35"/>
      <c r="J1012" s="36">
        <f>IFERROR(I1012/$AC1012,0)</f>
        <v>0</v>
      </c>
      <c r="K1012" s="38"/>
      <c r="L1012" s="36">
        <f>IFERROR(K1012/$AD1012,0)</f>
        <v>0</v>
      </c>
      <c r="M1012" s="35"/>
      <c r="N1012" s="36">
        <f>IFERROR(M1012/$AC1012,0)</f>
        <v>0</v>
      </c>
      <c r="O1012" s="38"/>
      <c r="P1012" s="36">
        <f>IFERROR(O1012/$AD1012,0)</f>
        <v>0</v>
      </c>
      <c r="Q1012" s="35"/>
      <c r="R1012" s="36">
        <f>IFERROR(Q1012/$AC1012,0)</f>
        <v>0</v>
      </c>
      <c r="S1012" s="38"/>
      <c r="T1012" s="36">
        <f>IFERROR(S1012/$AD1012,0)</f>
        <v>0</v>
      </c>
      <c r="U1012" s="35"/>
      <c r="V1012" s="36">
        <f>IFERROR(U1012/$AC1012,0)</f>
        <v>0</v>
      </c>
      <c r="W1012" s="38"/>
      <c r="X1012" s="36">
        <f>IFERROR(W1012/$AD1012,0)</f>
        <v>0</v>
      </c>
      <c r="Y1012" s="35"/>
      <c r="Z1012" s="36">
        <f>IFERROR(Y1012/$AC1012,0)</f>
        <v>0</v>
      </c>
      <c r="AA1012" s="38"/>
      <c r="AB1012" s="36">
        <f>IFERROR(AA1012/$AD1012,0)</f>
        <v>0</v>
      </c>
      <c r="AC1012" s="35"/>
      <c r="AD1012" s="38"/>
    </row>
    <row r="1013" spans="1:30" ht="15.75" customHeight="1" x14ac:dyDescent="0.25">
      <c r="A1013" s="37">
        <v>2017</v>
      </c>
      <c r="B1013" s="35">
        <v>171670</v>
      </c>
      <c r="C1013" s="34" t="s">
        <v>150</v>
      </c>
      <c r="D1013" s="34" t="s">
        <v>43</v>
      </c>
      <c r="E1013" s="35"/>
      <c r="F1013" s="36">
        <f>IFERROR(E1013/$AC1013,0)</f>
        <v>0</v>
      </c>
      <c r="G1013" s="38"/>
      <c r="H1013" s="36">
        <f>IFERROR(G1013/$AD1013,0)</f>
        <v>0</v>
      </c>
      <c r="I1013" s="35"/>
      <c r="J1013" s="36">
        <f>IFERROR(I1013/$AC1013,0)</f>
        <v>0</v>
      </c>
      <c r="K1013" s="38"/>
      <c r="L1013" s="36">
        <f>IFERROR(K1013/$AD1013,0)</f>
        <v>0</v>
      </c>
      <c r="M1013" s="35"/>
      <c r="N1013" s="36">
        <f>IFERROR(M1013/$AC1013,0)</f>
        <v>0</v>
      </c>
      <c r="O1013" s="38"/>
      <c r="P1013" s="36">
        <f>IFERROR(O1013/$AD1013,0)</f>
        <v>0</v>
      </c>
      <c r="Q1013" s="35"/>
      <c r="R1013" s="36">
        <f>IFERROR(Q1013/$AC1013,0)</f>
        <v>0</v>
      </c>
      <c r="S1013" s="38"/>
      <c r="T1013" s="36">
        <f>IFERROR(S1013/$AD1013,0)</f>
        <v>0</v>
      </c>
      <c r="U1013" s="35"/>
      <c r="V1013" s="36">
        <f>IFERROR(U1013/$AC1013,0)</f>
        <v>0</v>
      </c>
      <c r="W1013" s="38"/>
      <c r="X1013" s="36">
        <f>IFERROR(W1013/$AD1013,0)</f>
        <v>0</v>
      </c>
      <c r="Y1013" s="35"/>
      <c r="Z1013" s="36">
        <f>IFERROR(Y1013/$AC1013,0)</f>
        <v>0</v>
      </c>
      <c r="AA1013" s="38"/>
      <c r="AB1013" s="36">
        <f>IFERROR(AA1013/$AD1013,0)</f>
        <v>0</v>
      </c>
      <c r="AC1013" s="35"/>
      <c r="AD1013" s="38"/>
    </row>
    <row r="1014" spans="1:30" ht="15.75" customHeight="1" x14ac:dyDescent="0.25">
      <c r="A1014" s="37">
        <v>2017</v>
      </c>
      <c r="B1014" s="35">
        <v>170555</v>
      </c>
      <c r="C1014" s="34" t="s">
        <v>147</v>
      </c>
      <c r="D1014" s="34" t="s">
        <v>44</v>
      </c>
      <c r="E1014" s="35"/>
      <c r="F1014" s="36">
        <f>IFERROR(E1014/$AC1014,0)</f>
        <v>0</v>
      </c>
      <c r="G1014" s="38"/>
      <c r="H1014" s="36">
        <f>IFERROR(G1014/$AD1014,0)</f>
        <v>0</v>
      </c>
      <c r="I1014" s="35"/>
      <c r="J1014" s="36">
        <f>IFERROR(I1014/$AC1014,0)</f>
        <v>0</v>
      </c>
      <c r="K1014" s="38"/>
      <c r="L1014" s="36">
        <f>IFERROR(K1014/$AD1014,0)</f>
        <v>0</v>
      </c>
      <c r="M1014" s="35"/>
      <c r="N1014" s="36">
        <f>IFERROR(M1014/$AC1014,0)</f>
        <v>0</v>
      </c>
      <c r="O1014" s="38"/>
      <c r="P1014" s="36">
        <f>IFERROR(O1014/$AD1014,0)</f>
        <v>0</v>
      </c>
      <c r="Q1014" s="35"/>
      <c r="R1014" s="36">
        <f>IFERROR(Q1014/$AC1014,0)</f>
        <v>0</v>
      </c>
      <c r="S1014" s="38"/>
      <c r="T1014" s="36">
        <f>IFERROR(S1014/$AD1014,0)</f>
        <v>0</v>
      </c>
      <c r="U1014" s="35"/>
      <c r="V1014" s="36">
        <f>IFERROR(U1014/$AC1014,0)</f>
        <v>0</v>
      </c>
      <c r="W1014" s="38"/>
      <c r="X1014" s="36">
        <f>IFERROR(W1014/$AD1014,0)</f>
        <v>0</v>
      </c>
      <c r="Y1014" s="35"/>
      <c r="Z1014" s="36">
        <f>IFERROR(Y1014/$AC1014,0)</f>
        <v>0</v>
      </c>
      <c r="AA1014" s="38"/>
      <c r="AB1014" s="36">
        <f>IFERROR(AA1014/$AD1014,0)</f>
        <v>0</v>
      </c>
      <c r="AC1014" s="35"/>
      <c r="AD1014" s="38"/>
    </row>
    <row r="1015" spans="1:30" ht="15.75" customHeight="1" x14ac:dyDescent="0.25">
      <c r="A1015" s="37">
        <v>2017</v>
      </c>
      <c r="B1015" s="35">
        <v>170560</v>
      </c>
      <c r="C1015" s="34" t="s">
        <v>147</v>
      </c>
      <c r="D1015" s="34" t="s">
        <v>45</v>
      </c>
      <c r="E1015" s="35"/>
      <c r="F1015" s="36">
        <f>IFERROR(E1015/$AC1015,0)</f>
        <v>0</v>
      </c>
      <c r="G1015" s="38"/>
      <c r="H1015" s="36">
        <f>IFERROR(G1015/$AD1015,0)</f>
        <v>0</v>
      </c>
      <c r="I1015" s="35"/>
      <c r="J1015" s="36">
        <f>IFERROR(I1015/$AC1015,0)</f>
        <v>0</v>
      </c>
      <c r="K1015" s="38"/>
      <c r="L1015" s="36">
        <f>IFERROR(K1015/$AD1015,0)</f>
        <v>0</v>
      </c>
      <c r="M1015" s="35"/>
      <c r="N1015" s="36">
        <f>IFERROR(M1015/$AC1015,0)</f>
        <v>0</v>
      </c>
      <c r="O1015" s="38"/>
      <c r="P1015" s="36">
        <f>IFERROR(O1015/$AD1015,0)</f>
        <v>0</v>
      </c>
      <c r="Q1015" s="35"/>
      <c r="R1015" s="36">
        <f>IFERROR(Q1015/$AC1015,0)</f>
        <v>0</v>
      </c>
      <c r="S1015" s="38"/>
      <c r="T1015" s="36">
        <f>IFERROR(S1015/$AD1015,0)</f>
        <v>0</v>
      </c>
      <c r="U1015" s="35"/>
      <c r="V1015" s="36">
        <f>IFERROR(U1015/$AC1015,0)</f>
        <v>0</v>
      </c>
      <c r="W1015" s="38"/>
      <c r="X1015" s="36">
        <f>IFERROR(W1015/$AD1015,0)</f>
        <v>0</v>
      </c>
      <c r="Y1015" s="35"/>
      <c r="Z1015" s="36">
        <f>IFERROR(Y1015/$AC1015,0)</f>
        <v>0</v>
      </c>
      <c r="AA1015" s="38"/>
      <c r="AB1015" s="36">
        <f>IFERROR(AA1015/$AD1015,0)</f>
        <v>0</v>
      </c>
      <c r="AC1015" s="35"/>
      <c r="AD1015" s="38"/>
    </row>
    <row r="1016" spans="1:30" ht="15.75" customHeight="1" x14ac:dyDescent="0.25">
      <c r="A1016" s="37">
        <v>2017</v>
      </c>
      <c r="B1016" s="35">
        <v>170600</v>
      </c>
      <c r="C1016" s="34" t="s">
        <v>150</v>
      </c>
      <c r="D1016" s="34" t="s">
        <v>46</v>
      </c>
      <c r="E1016" s="35"/>
      <c r="F1016" s="36">
        <f>IFERROR(E1016/$AC1016,0)</f>
        <v>0</v>
      </c>
      <c r="G1016" s="38"/>
      <c r="H1016" s="36">
        <f>IFERROR(G1016/$AD1016,0)</f>
        <v>0</v>
      </c>
      <c r="I1016" s="35"/>
      <c r="J1016" s="36">
        <f>IFERROR(I1016/$AC1016,0)</f>
        <v>0</v>
      </c>
      <c r="K1016" s="38"/>
      <c r="L1016" s="36">
        <f>IFERROR(K1016/$AD1016,0)</f>
        <v>0</v>
      </c>
      <c r="M1016" s="35"/>
      <c r="N1016" s="36">
        <f>IFERROR(M1016/$AC1016,0)</f>
        <v>0</v>
      </c>
      <c r="O1016" s="38"/>
      <c r="P1016" s="36">
        <f>IFERROR(O1016/$AD1016,0)</f>
        <v>0</v>
      </c>
      <c r="Q1016" s="35"/>
      <c r="R1016" s="36">
        <f>IFERROR(Q1016/$AC1016,0)</f>
        <v>0</v>
      </c>
      <c r="S1016" s="38"/>
      <c r="T1016" s="36">
        <f>IFERROR(S1016/$AD1016,0)</f>
        <v>0</v>
      </c>
      <c r="U1016" s="35"/>
      <c r="V1016" s="36">
        <f>IFERROR(U1016/$AC1016,0)</f>
        <v>0</v>
      </c>
      <c r="W1016" s="38"/>
      <c r="X1016" s="36">
        <f>IFERROR(W1016/$AD1016,0)</f>
        <v>0</v>
      </c>
      <c r="Y1016" s="35"/>
      <c r="Z1016" s="36">
        <f>IFERROR(Y1016/$AC1016,0)</f>
        <v>0</v>
      </c>
      <c r="AA1016" s="38"/>
      <c r="AB1016" s="36">
        <f>IFERROR(AA1016/$AD1016,0)</f>
        <v>0</v>
      </c>
      <c r="AC1016" s="35"/>
      <c r="AD1016" s="38"/>
    </row>
    <row r="1017" spans="1:30" ht="15.75" customHeight="1" x14ac:dyDescent="0.25">
      <c r="A1017" s="37">
        <v>2017</v>
      </c>
      <c r="B1017" s="35">
        <v>170610</v>
      </c>
      <c r="C1017" s="34" t="s">
        <v>144</v>
      </c>
      <c r="D1017" s="34" t="s">
        <v>47</v>
      </c>
      <c r="E1017" s="35"/>
      <c r="F1017" s="36">
        <f>IFERROR(E1017/$AC1017,0)</f>
        <v>0</v>
      </c>
      <c r="G1017" s="38"/>
      <c r="H1017" s="36">
        <f>IFERROR(G1017/$AD1017,0)</f>
        <v>0</v>
      </c>
      <c r="I1017" s="35"/>
      <c r="J1017" s="36">
        <f>IFERROR(I1017/$AC1017,0)</f>
        <v>0</v>
      </c>
      <c r="K1017" s="38"/>
      <c r="L1017" s="36">
        <f>IFERROR(K1017/$AD1017,0)</f>
        <v>0</v>
      </c>
      <c r="M1017" s="35"/>
      <c r="N1017" s="36">
        <f>IFERROR(M1017/$AC1017,0)</f>
        <v>0</v>
      </c>
      <c r="O1017" s="38"/>
      <c r="P1017" s="36">
        <f>IFERROR(O1017/$AD1017,0)</f>
        <v>0</v>
      </c>
      <c r="Q1017" s="35"/>
      <c r="R1017" s="36">
        <f>IFERROR(Q1017/$AC1017,0)</f>
        <v>0</v>
      </c>
      <c r="S1017" s="38"/>
      <c r="T1017" s="36">
        <f>IFERROR(S1017/$AD1017,0)</f>
        <v>0</v>
      </c>
      <c r="U1017" s="35"/>
      <c r="V1017" s="36">
        <f>IFERROR(U1017/$AC1017,0)</f>
        <v>0</v>
      </c>
      <c r="W1017" s="38"/>
      <c r="X1017" s="36">
        <f>IFERROR(W1017/$AD1017,0)</f>
        <v>0</v>
      </c>
      <c r="Y1017" s="35"/>
      <c r="Z1017" s="36">
        <f>IFERROR(Y1017/$AC1017,0)</f>
        <v>0</v>
      </c>
      <c r="AA1017" s="38"/>
      <c r="AB1017" s="36">
        <f>IFERROR(AA1017/$AD1017,0)</f>
        <v>0</v>
      </c>
      <c r="AC1017" s="35"/>
      <c r="AD1017" s="38"/>
    </row>
    <row r="1018" spans="1:30" ht="15.75" customHeight="1" x14ac:dyDescent="0.25">
      <c r="A1018" s="37">
        <v>2017</v>
      </c>
      <c r="B1018" s="35">
        <v>170625</v>
      </c>
      <c r="C1018" s="34" t="s">
        <v>146</v>
      </c>
      <c r="D1018" s="34" t="s">
        <v>48</v>
      </c>
      <c r="E1018" s="35"/>
      <c r="F1018" s="36">
        <f>IFERROR(E1018/$AC1018,0)</f>
        <v>0</v>
      </c>
      <c r="G1018" s="38"/>
      <c r="H1018" s="36">
        <f>IFERROR(G1018/$AD1018,0)</f>
        <v>0</v>
      </c>
      <c r="I1018" s="35"/>
      <c r="J1018" s="36">
        <f>IFERROR(I1018/$AC1018,0)</f>
        <v>0</v>
      </c>
      <c r="K1018" s="38"/>
      <c r="L1018" s="36">
        <f>IFERROR(K1018/$AD1018,0)</f>
        <v>0</v>
      </c>
      <c r="M1018" s="35"/>
      <c r="N1018" s="36">
        <f>IFERROR(M1018/$AC1018,0)</f>
        <v>0</v>
      </c>
      <c r="O1018" s="38"/>
      <c r="P1018" s="36">
        <f>IFERROR(O1018/$AD1018,0)</f>
        <v>0</v>
      </c>
      <c r="Q1018" s="35"/>
      <c r="R1018" s="36">
        <f>IFERROR(Q1018/$AC1018,0)</f>
        <v>0</v>
      </c>
      <c r="S1018" s="38"/>
      <c r="T1018" s="36">
        <f>IFERROR(S1018/$AD1018,0)</f>
        <v>0</v>
      </c>
      <c r="U1018" s="35"/>
      <c r="V1018" s="36">
        <f>IFERROR(U1018/$AC1018,0)</f>
        <v>0</v>
      </c>
      <c r="W1018" s="38"/>
      <c r="X1018" s="36">
        <f>IFERROR(W1018/$AD1018,0)</f>
        <v>0</v>
      </c>
      <c r="Y1018" s="35"/>
      <c r="Z1018" s="36">
        <f>IFERROR(Y1018/$AC1018,0)</f>
        <v>0</v>
      </c>
      <c r="AA1018" s="38"/>
      <c r="AB1018" s="36">
        <f>IFERROR(AA1018/$AD1018,0)</f>
        <v>0</v>
      </c>
      <c r="AC1018" s="35"/>
      <c r="AD1018" s="38"/>
    </row>
    <row r="1019" spans="1:30" ht="15.75" customHeight="1" x14ac:dyDescent="0.25">
      <c r="A1019" s="37">
        <v>2017</v>
      </c>
      <c r="B1019" s="35">
        <v>170650</v>
      </c>
      <c r="C1019" s="34" t="s">
        <v>149</v>
      </c>
      <c r="D1019" s="34" t="s">
        <v>49</v>
      </c>
      <c r="E1019" s="35"/>
      <c r="F1019" s="36">
        <f>IFERROR(E1019/$AC1019,0)</f>
        <v>0</v>
      </c>
      <c r="G1019" s="38"/>
      <c r="H1019" s="36">
        <f>IFERROR(G1019/$AD1019,0)</f>
        <v>0</v>
      </c>
      <c r="I1019" s="35"/>
      <c r="J1019" s="36">
        <f>IFERROR(I1019/$AC1019,0)</f>
        <v>0</v>
      </c>
      <c r="K1019" s="38"/>
      <c r="L1019" s="36">
        <f>IFERROR(K1019/$AD1019,0)</f>
        <v>0</v>
      </c>
      <c r="M1019" s="35"/>
      <c r="N1019" s="36">
        <f>IFERROR(M1019/$AC1019,0)</f>
        <v>0</v>
      </c>
      <c r="O1019" s="38"/>
      <c r="P1019" s="36">
        <f>IFERROR(O1019/$AD1019,0)</f>
        <v>0</v>
      </c>
      <c r="Q1019" s="35"/>
      <c r="R1019" s="36">
        <f>IFERROR(Q1019/$AC1019,0)</f>
        <v>0</v>
      </c>
      <c r="S1019" s="38"/>
      <c r="T1019" s="36">
        <f>IFERROR(S1019/$AD1019,0)</f>
        <v>0</v>
      </c>
      <c r="U1019" s="35"/>
      <c r="V1019" s="36">
        <f>IFERROR(U1019/$AC1019,0)</f>
        <v>0</v>
      </c>
      <c r="W1019" s="38"/>
      <c r="X1019" s="36">
        <f>IFERROR(W1019/$AD1019,0)</f>
        <v>0</v>
      </c>
      <c r="Y1019" s="35"/>
      <c r="Z1019" s="36">
        <f>IFERROR(Y1019/$AC1019,0)</f>
        <v>0</v>
      </c>
      <c r="AA1019" s="38"/>
      <c r="AB1019" s="36">
        <f>IFERROR(AA1019/$AD1019,0)</f>
        <v>0</v>
      </c>
      <c r="AC1019" s="35"/>
      <c r="AD1019" s="38"/>
    </row>
    <row r="1020" spans="1:30" ht="15.75" customHeight="1" x14ac:dyDescent="0.25">
      <c r="A1020" s="37">
        <v>2017</v>
      </c>
      <c r="B1020" s="35">
        <v>170700</v>
      </c>
      <c r="C1020" s="34" t="s">
        <v>147</v>
      </c>
      <c r="D1020" s="34" t="s">
        <v>50</v>
      </c>
      <c r="E1020" s="35"/>
      <c r="F1020" s="36">
        <f>IFERROR(E1020/$AC1020,0)</f>
        <v>0</v>
      </c>
      <c r="G1020" s="38"/>
      <c r="H1020" s="36">
        <f>IFERROR(G1020/$AD1020,0)</f>
        <v>0</v>
      </c>
      <c r="I1020" s="35"/>
      <c r="J1020" s="36">
        <f>IFERROR(I1020/$AC1020,0)</f>
        <v>0</v>
      </c>
      <c r="K1020" s="38"/>
      <c r="L1020" s="36">
        <f>IFERROR(K1020/$AD1020,0)</f>
        <v>0</v>
      </c>
      <c r="M1020" s="35"/>
      <c r="N1020" s="36">
        <f>IFERROR(M1020/$AC1020,0)</f>
        <v>0</v>
      </c>
      <c r="O1020" s="38"/>
      <c r="P1020" s="36">
        <f>IFERROR(O1020/$AD1020,0)</f>
        <v>0</v>
      </c>
      <c r="Q1020" s="35"/>
      <c r="R1020" s="36">
        <f>IFERROR(Q1020/$AC1020,0)</f>
        <v>0</v>
      </c>
      <c r="S1020" s="38"/>
      <c r="T1020" s="36">
        <f>IFERROR(S1020/$AD1020,0)</f>
        <v>0</v>
      </c>
      <c r="U1020" s="35"/>
      <c r="V1020" s="36">
        <f>IFERROR(U1020/$AC1020,0)</f>
        <v>0</v>
      </c>
      <c r="W1020" s="38"/>
      <c r="X1020" s="36">
        <f>IFERROR(W1020/$AD1020,0)</f>
        <v>0</v>
      </c>
      <c r="Y1020" s="35"/>
      <c r="Z1020" s="36">
        <f>IFERROR(Y1020/$AC1020,0)</f>
        <v>0</v>
      </c>
      <c r="AA1020" s="38"/>
      <c r="AB1020" s="36">
        <f>IFERROR(AA1020/$AD1020,0)</f>
        <v>0</v>
      </c>
      <c r="AC1020" s="35"/>
      <c r="AD1020" s="38"/>
    </row>
    <row r="1021" spans="1:30" ht="15.75" customHeight="1" x14ac:dyDescent="0.25">
      <c r="A1021" s="37">
        <v>2017</v>
      </c>
      <c r="B1021" s="35">
        <v>170710</v>
      </c>
      <c r="C1021" s="34" t="s">
        <v>144</v>
      </c>
      <c r="D1021" s="34" t="s">
        <v>51</v>
      </c>
      <c r="E1021" s="35"/>
      <c r="F1021" s="36">
        <f>IFERROR(E1021/$AC1021,0)</f>
        <v>0</v>
      </c>
      <c r="G1021" s="38"/>
      <c r="H1021" s="36">
        <f>IFERROR(G1021/$AD1021,0)</f>
        <v>0</v>
      </c>
      <c r="I1021" s="35"/>
      <c r="J1021" s="36">
        <f>IFERROR(I1021/$AC1021,0)</f>
        <v>0</v>
      </c>
      <c r="K1021" s="38"/>
      <c r="L1021" s="36">
        <f>IFERROR(K1021/$AD1021,0)</f>
        <v>0</v>
      </c>
      <c r="M1021" s="35"/>
      <c r="N1021" s="36">
        <f>IFERROR(M1021/$AC1021,0)</f>
        <v>0</v>
      </c>
      <c r="O1021" s="38"/>
      <c r="P1021" s="36">
        <f>IFERROR(O1021/$AD1021,0)</f>
        <v>0</v>
      </c>
      <c r="Q1021" s="35"/>
      <c r="R1021" s="36">
        <f>IFERROR(Q1021/$AC1021,0)</f>
        <v>0</v>
      </c>
      <c r="S1021" s="38"/>
      <c r="T1021" s="36">
        <f>IFERROR(S1021/$AD1021,0)</f>
        <v>0</v>
      </c>
      <c r="U1021" s="35"/>
      <c r="V1021" s="36">
        <f>IFERROR(U1021/$AC1021,0)</f>
        <v>0</v>
      </c>
      <c r="W1021" s="38"/>
      <c r="X1021" s="36">
        <f>IFERROR(W1021/$AD1021,0)</f>
        <v>0</v>
      </c>
      <c r="Y1021" s="35"/>
      <c r="Z1021" s="36">
        <f>IFERROR(Y1021/$AC1021,0)</f>
        <v>0</v>
      </c>
      <c r="AA1021" s="38"/>
      <c r="AB1021" s="36">
        <f>IFERROR(AA1021/$AD1021,0)</f>
        <v>0</v>
      </c>
      <c r="AC1021" s="35"/>
      <c r="AD1021" s="38"/>
    </row>
    <row r="1022" spans="1:30" ht="15.75" customHeight="1" x14ac:dyDescent="0.25">
      <c r="A1022" s="37">
        <v>2017</v>
      </c>
      <c r="B1022" s="35">
        <v>170720</v>
      </c>
      <c r="C1022" s="34" t="s">
        <v>144</v>
      </c>
      <c r="D1022" s="34" t="s">
        <v>52</v>
      </c>
      <c r="E1022" s="35"/>
      <c r="F1022" s="36">
        <f>IFERROR(E1022/$AC1022,0)</f>
        <v>0</v>
      </c>
      <c r="G1022" s="38"/>
      <c r="H1022" s="36">
        <f>IFERROR(G1022/$AD1022,0)</f>
        <v>0</v>
      </c>
      <c r="I1022" s="35"/>
      <c r="J1022" s="36">
        <f>IFERROR(I1022/$AC1022,0)</f>
        <v>0</v>
      </c>
      <c r="K1022" s="38"/>
      <c r="L1022" s="36">
        <f>IFERROR(K1022/$AD1022,0)</f>
        <v>0</v>
      </c>
      <c r="M1022" s="35"/>
      <c r="N1022" s="36">
        <f>IFERROR(M1022/$AC1022,0)</f>
        <v>0</v>
      </c>
      <c r="O1022" s="38"/>
      <c r="P1022" s="36">
        <f>IFERROR(O1022/$AD1022,0)</f>
        <v>0</v>
      </c>
      <c r="Q1022" s="35"/>
      <c r="R1022" s="36">
        <f>IFERROR(Q1022/$AC1022,0)</f>
        <v>0</v>
      </c>
      <c r="S1022" s="38"/>
      <c r="T1022" s="36">
        <f>IFERROR(S1022/$AD1022,0)</f>
        <v>0</v>
      </c>
      <c r="U1022" s="35"/>
      <c r="V1022" s="36">
        <f>IFERROR(U1022/$AC1022,0)</f>
        <v>0</v>
      </c>
      <c r="W1022" s="38"/>
      <c r="X1022" s="36">
        <f>IFERROR(W1022/$AD1022,0)</f>
        <v>0</v>
      </c>
      <c r="Y1022" s="35"/>
      <c r="Z1022" s="36">
        <f>IFERROR(Y1022/$AC1022,0)</f>
        <v>0</v>
      </c>
      <c r="AA1022" s="38"/>
      <c r="AB1022" s="36">
        <f>IFERROR(AA1022/$AD1022,0)</f>
        <v>0</v>
      </c>
      <c r="AC1022" s="35"/>
      <c r="AD1022" s="38"/>
    </row>
    <row r="1023" spans="1:30" ht="15.75" customHeight="1" x14ac:dyDescent="0.25">
      <c r="A1023" s="37">
        <v>2017</v>
      </c>
      <c r="B1023" s="35">
        <v>170730</v>
      </c>
      <c r="C1023" s="34" t="s">
        <v>146</v>
      </c>
      <c r="D1023" s="34" t="s">
        <v>53</v>
      </c>
      <c r="E1023" s="35"/>
      <c r="F1023" s="36">
        <f>IFERROR(E1023/$AC1023,0)</f>
        <v>0</v>
      </c>
      <c r="G1023" s="38"/>
      <c r="H1023" s="36">
        <f>IFERROR(G1023/$AD1023,0)</f>
        <v>0</v>
      </c>
      <c r="I1023" s="35"/>
      <c r="J1023" s="36">
        <f>IFERROR(I1023/$AC1023,0)</f>
        <v>0</v>
      </c>
      <c r="K1023" s="38"/>
      <c r="L1023" s="36">
        <f>IFERROR(K1023/$AD1023,0)</f>
        <v>0</v>
      </c>
      <c r="M1023" s="35"/>
      <c r="N1023" s="36">
        <f>IFERROR(M1023/$AC1023,0)</f>
        <v>0</v>
      </c>
      <c r="O1023" s="38"/>
      <c r="P1023" s="36">
        <f>IFERROR(O1023/$AD1023,0)</f>
        <v>0</v>
      </c>
      <c r="Q1023" s="35"/>
      <c r="R1023" s="36">
        <f>IFERROR(Q1023/$AC1023,0)</f>
        <v>0</v>
      </c>
      <c r="S1023" s="38"/>
      <c r="T1023" s="36">
        <f>IFERROR(S1023/$AD1023,0)</f>
        <v>0</v>
      </c>
      <c r="U1023" s="35"/>
      <c r="V1023" s="36">
        <f>IFERROR(U1023/$AC1023,0)</f>
        <v>0</v>
      </c>
      <c r="W1023" s="38"/>
      <c r="X1023" s="36">
        <f>IFERROR(W1023/$AD1023,0)</f>
        <v>0</v>
      </c>
      <c r="Y1023" s="35"/>
      <c r="Z1023" s="36">
        <f>IFERROR(Y1023/$AC1023,0)</f>
        <v>0</v>
      </c>
      <c r="AA1023" s="38"/>
      <c r="AB1023" s="36">
        <f>IFERROR(AA1023/$AD1023,0)</f>
        <v>0</v>
      </c>
      <c r="AC1023" s="35"/>
      <c r="AD1023" s="38"/>
    </row>
    <row r="1024" spans="1:30" ht="15.75" customHeight="1" x14ac:dyDescent="0.25">
      <c r="A1024" s="37">
        <v>2017</v>
      </c>
      <c r="B1024" s="35">
        <v>170740</v>
      </c>
      <c r="C1024" s="34" t="s">
        <v>145</v>
      </c>
      <c r="D1024" s="34" t="s">
        <v>54</v>
      </c>
      <c r="E1024" s="35"/>
      <c r="F1024" s="36">
        <f>IFERROR(E1024/$AC1024,0)</f>
        <v>0</v>
      </c>
      <c r="G1024" s="38"/>
      <c r="H1024" s="36">
        <f>IFERROR(G1024/$AD1024,0)</f>
        <v>0</v>
      </c>
      <c r="I1024" s="35"/>
      <c r="J1024" s="36">
        <f>IFERROR(I1024/$AC1024,0)</f>
        <v>0</v>
      </c>
      <c r="K1024" s="38"/>
      <c r="L1024" s="36">
        <f>IFERROR(K1024/$AD1024,0)</f>
        <v>0</v>
      </c>
      <c r="M1024" s="35"/>
      <c r="N1024" s="36">
        <f>IFERROR(M1024/$AC1024,0)</f>
        <v>0</v>
      </c>
      <c r="O1024" s="38"/>
      <c r="P1024" s="36">
        <f>IFERROR(O1024/$AD1024,0)</f>
        <v>0</v>
      </c>
      <c r="Q1024" s="35"/>
      <c r="R1024" s="36">
        <f>IFERROR(Q1024/$AC1024,0)</f>
        <v>0</v>
      </c>
      <c r="S1024" s="38"/>
      <c r="T1024" s="36">
        <f>IFERROR(S1024/$AD1024,0)</f>
        <v>0</v>
      </c>
      <c r="U1024" s="35"/>
      <c r="V1024" s="36">
        <f>IFERROR(U1024/$AC1024,0)</f>
        <v>0</v>
      </c>
      <c r="W1024" s="38"/>
      <c r="X1024" s="36">
        <f>IFERROR(W1024/$AD1024,0)</f>
        <v>0</v>
      </c>
      <c r="Y1024" s="35"/>
      <c r="Z1024" s="36">
        <f>IFERROR(Y1024/$AC1024,0)</f>
        <v>0</v>
      </c>
      <c r="AA1024" s="38"/>
      <c r="AB1024" s="36">
        <f>IFERROR(AA1024/$AD1024,0)</f>
        <v>0</v>
      </c>
      <c r="AC1024" s="35"/>
      <c r="AD1024" s="38"/>
    </row>
    <row r="1025" spans="1:30" ht="15.75" customHeight="1" x14ac:dyDescent="0.25">
      <c r="A1025" s="37">
        <v>2017</v>
      </c>
      <c r="B1025" s="35">
        <v>170755</v>
      </c>
      <c r="C1025" s="34" t="s">
        <v>151</v>
      </c>
      <c r="D1025" s="34" t="s">
        <v>55</v>
      </c>
      <c r="E1025" s="35"/>
      <c r="F1025" s="36">
        <f>IFERROR(E1025/$AC1025,0)</f>
        <v>0</v>
      </c>
      <c r="G1025" s="38"/>
      <c r="H1025" s="36">
        <f>IFERROR(G1025/$AD1025,0)</f>
        <v>0</v>
      </c>
      <c r="I1025" s="35"/>
      <c r="J1025" s="36">
        <f>IFERROR(I1025/$AC1025,0)</f>
        <v>0</v>
      </c>
      <c r="K1025" s="38"/>
      <c r="L1025" s="36">
        <f>IFERROR(K1025/$AD1025,0)</f>
        <v>0</v>
      </c>
      <c r="M1025" s="35"/>
      <c r="N1025" s="36">
        <f>IFERROR(M1025/$AC1025,0)</f>
        <v>0</v>
      </c>
      <c r="O1025" s="38"/>
      <c r="P1025" s="36">
        <f>IFERROR(O1025/$AD1025,0)</f>
        <v>0</v>
      </c>
      <c r="Q1025" s="35"/>
      <c r="R1025" s="36">
        <f>IFERROR(Q1025/$AC1025,0)</f>
        <v>0</v>
      </c>
      <c r="S1025" s="38"/>
      <c r="T1025" s="36">
        <f>IFERROR(S1025/$AD1025,0)</f>
        <v>0</v>
      </c>
      <c r="U1025" s="35"/>
      <c r="V1025" s="36">
        <f>IFERROR(U1025/$AC1025,0)</f>
        <v>0</v>
      </c>
      <c r="W1025" s="38"/>
      <c r="X1025" s="36">
        <f>IFERROR(W1025/$AD1025,0)</f>
        <v>0</v>
      </c>
      <c r="Y1025" s="35"/>
      <c r="Z1025" s="36">
        <f>IFERROR(Y1025/$AC1025,0)</f>
        <v>0</v>
      </c>
      <c r="AA1025" s="38"/>
      <c r="AB1025" s="36">
        <f>IFERROR(AA1025/$AD1025,0)</f>
        <v>0</v>
      </c>
      <c r="AC1025" s="35"/>
      <c r="AD1025" s="38"/>
    </row>
    <row r="1026" spans="1:30" ht="15.75" customHeight="1" x14ac:dyDescent="0.25">
      <c r="A1026" s="37">
        <v>2017</v>
      </c>
      <c r="B1026" s="35">
        <v>170765</v>
      </c>
      <c r="C1026" s="34" t="s">
        <v>146</v>
      </c>
      <c r="D1026" s="34" t="s">
        <v>56</v>
      </c>
      <c r="E1026" s="35"/>
      <c r="F1026" s="36">
        <f>IFERROR(E1026/$AC1026,0)</f>
        <v>0</v>
      </c>
      <c r="G1026" s="38"/>
      <c r="H1026" s="36">
        <f>IFERROR(G1026/$AD1026,0)</f>
        <v>0</v>
      </c>
      <c r="I1026" s="35"/>
      <c r="J1026" s="36">
        <f>IFERROR(I1026/$AC1026,0)</f>
        <v>0</v>
      </c>
      <c r="K1026" s="38"/>
      <c r="L1026" s="36">
        <f>IFERROR(K1026/$AD1026,0)</f>
        <v>0</v>
      </c>
      <c r="M1026" s="35"/>
      <c r="N1026" s="36">
        <f>IFERROR(M1026/$AC1026,0)</f>
        <v>0</v>
      </c>
      <c r="O1026" s="38"/>
      <c r="P1026" s="36">
        <f>IFERROR(O1026/$AD1026,0)</f>
        <v>0</v>
      </c>
      <c r="Q1026" s="35"/>
      <c r="R1026" s="36">
        <f>IFERROR(Q1026/$AC1026,0)</f>
        <v>0</v>
      </c>
      <c r="S1026" s="38"/>
      <c r="T1026" s="36">
        <f>IFERROR(S1026/$AD1026,0)</f>
        <v>0</v>
      </c>
      <c r="U1026" s="35"/>
      <c r="V1026" s="36">
        <f>IFERROR(U1026/$AC1026,0)</f>
        <v>0</v>
      </c>
      <c r="W1026" s="38"/>
      <c r="X1026" s="36">
        <f>IFERROR(W1026/$AD1026,0)</f>
        <v>0</v>
      </c>
      <c r="Y1026" s="35"/>
      <c r="Z1026" s="36">
        <f>IFERROR(Y1026/$AC1026,0)</f>
        <v>0</v>
      </c>
      <c r="AA1026" s="38"/>
      <c r="AB1026" s="36">
        <f>IFERROR(AA1026/$AD1026,0)</f>
        <v>0</v>
      </c>
      <c r="AC1026" s="35"/>
      <c r="AD1026" s="38"/>
    </row>
    <row r="1027" spans="1:30" ht="15.75" customHeight="1" x14ac:dyDescent="0.25">
      <c r="A1027" s="37">
        <v>2017</v>
      </c>
      <c r="B1027" s="35">
        <v>170770</v>
      </c>
      <c r="C1027" s="34" t="s">
        <v>149</v>
      </c>
      <c r="D1027" s="34" t="s">
        <v>57</v>
      </c>
      <c r="E1027" s="35"/>
      <c r="F1027" s="36">
        <f>IFERROR(E1027/$AC1027,0)</f>
        <v>0</v>
      </c>
      <c r="G1027" s="38"/>
      <c r="H1027" s="36">
        <f>IFERROR(G1027/$AD1027,0)</f>
        <v>0</v>
      </c>
      <c r="I1027" s="35"/>
      <c r="J1027" s="36">
        <f>IFERROR(I1027/$AC1027,0)</f>
        <v>0</v>
      </c>
      <c r="K1027" s="38"/>
      <c r="L1027" s="36">
        <f>IFERROR(K1027/$AD1027,0)</f>
        <v>0</v>
      </c>
      <c r="M1027" s="35"/>
      <c r="N1027" s="36">
        <f>IFERROR(M1027/$AC1027,0)</f>
        <v>0</v>
      </c>
      <c r="O1027" s="38"/>
      <c r="P1027" s="36">
        <f>IFERROR(O1027/$AD1027,0)</f>
        <v>0</v>
      </c>
      <c r="Q1027" s="35"/>
      <c r="R1027" s="36">
        <f>IFERROR(Q1027/$AC1027,0)</f>
        <v>0</v>
      </c>
      <c r="S1027" s="38"/>
      <c r="T1027" s="36">
        <f>IFERROR(S1027/$AD1027,0)</f>
        <v>0</v>
      </c>
      <c r="U1027" s="35"/>
      <c r="V1027" s="36">
        <f>IFERROR(U1027/$AC1027,0)</f>
        <v>0</v>
      </c>
      <c r="W1027" s="38"/>
      <c r="X1027" s="36">
        <f>IFERROR(W1027/$AD1027,0)</f>
        <v>0</v>
      </c>
      <c r="Y1027" s="35"/>
      <c r="Z1027" s="36">
        <f>IFERROR(Y1027/$AC1027,0)</f>
        <v>0</v>
      </c>
      <c r="AA1027" s="38"/>
      <c r="AB1027" s="36">
        <f>IFERROR(AA1027/$AD1027,0)</f>
        <v>0</v>
      </c>
      <c r="AC1027" s="35"/>
      <c r="AD1027" s="38"/>
    </row>
    <row r="1028" spans="1:30" ht="15.75" customHeight="1" x14ac:dyDescent="0.25">
      <c r="A1028" s="37">
        <v>2017</v>
      </c>
      <c r="B1028" s="35">
        <v>170820</v>
      </c>
      <c r="C1028" s="34" t="s">
        <v>146</v>
      </c>
      <c r="D1028" s="34" t="s">
        <v>58</v>
      </c>
      <c r="E1028" s="35"/>
      <c r="F1028" s="36">
        <f>IFERROR(E1028/$AC1028,0)</f>
        <v>0</v>
      </c>
      <c r="G1028" s="38"/>
      <c r="H1028" s="36">
        <f>IFERROR(G1028/$AD1028,0)</f>
        <v>0</v>
      </c>
      <c r="I1028" s="35"/>
      <c r="J1028" s="36">
        <f>IFERROR(I1028/$AC1028,0)</f>
        <v>0</v>
      </c>
      <c r="K1028" s="38"/>
      <c r="L1028" s="36">
        <f>IFERROR(K1028/$AD1028,0)</f>
        <v>0</v>
      </c>
      <c r="M1028" s="35"/>
      <c r="N1028" s="36">
        <f>IFERROR(M1028/$AC1028,0)</f>
        <v>0</v>
      </c>
      <c r="O1028" s="38"/>
      <c r="P1028" s="36">
        <f>IFERROR(O1028/$AD1028,0)</f>
        <v>0</v>
      </c>
      <c r="Q1028" s="35"/>
      <c r="R1028" s="36">
        <f>IFERROR(Q1028/$AC1028,0)</f>
        <v>0</v>
      </c>
      <c r="S1028" s="38"/>
      <c r="T1028" s="36">
        <f>IFERROR(S1028/$AD1028,0)</f>
        <v>0</v>
      </c>
      <c r="U1028" s="35"/>
      <c r="V1028" s="36">
        <f>IFERROR(U1028/$AC1028,0)</f>
        <v>0</v>
      </c>
      <c r="W1028" s="38"/>
      <c r="X1028" s="36">
        <f>IFERROR(W1028/$AD1028,0)</f>
        <v>0</v>
      </c>
      <c r="Y1028" s="35"/>
      <c r="Z1028" s="36">
        <f>IFERROR(Y1028/$AC1028,0)</f>
        <v>0</v>
      </c>
      <c r="AA1028" s="38"/>
      <c r="AB1028" s="36">
        <f>IFERROR(AA1028/$AD1028,0)</f>
        <v>0</v>
      </c>
      <c r="AC1028" s="35"/>
      <c r="AD1028" s="38"/>
    </row>
    <row r="1029" spans="1:30" ht="15.75" customHeight="1" x14ac:dyDescent="0.25">
      <c r="A1029" s="37">
        <v>2017</v>
      </c>
      <c r="B1029" s="35">
        <v>170830</v>
      </c>
      <c r="C1029" s="34" t="s">
        <v>150</v>
      </c>
      <c r="D1029" s="34" t="s">
        <v>59</v>
      </c>
      <c r="E1029" s="35"/>
      <c r="F1029" s="36">
        <f>IFERROR(E1029/$AC1029,0)</f>
        <v>0</v>
      </c>
      <c r="G1029" s="38"/>
      <c r="H1029" s="36">
        <f>IFERROR(G1029/$AD1029,0)</f>
        <v>0</v>
      </c>
      <c r="I1029" s="35"/>
      <c r="J1029" s="36">
        <f>IFERROR(I1029/$AC1029,0)</f>
        <v>0</v>
      </c>
      <c r="K1029" s="38"/>
      <c r="L1029" s="36">
        <f>IFERROR(K1029/$AD1029,0)</f>
        <v>0</v>
      </c>
      <c r="M1029" s="35"/>
      <c r="N1029" s="36">
        <f>IFERROR(M1029/$AC1029,0)</f>
        <v>0</v>
      </c>
      <c r="O1029" s="38"/>
      <c r="P1029" s="36">
        <f>IFERROR(O1029/$AD1029,0)</f>
        <v>0</v>
      </c>
      <c r="Q1029" s="35"/>
      <c r="R1029" s="36">
        <f>IFERROR(Q1029/$AC1029,0)</f>
        <v>0</v>
      </c>
      <c r="S1029" s="38"/>
      <c r="T1029" s="36">
        <f>IFERROR(S1029/$AD1029,0)</f>
        <v>0</v>
      </c>
      <c r="U1029" s="35"/>
      <c r="V1029" s="36">
        <f>IFERROR(U1029/$AC1029,0)</f>
        <v>0</v>
      </c>
      <c r="W1029" s="38"/>
      <c r="X1029" s="36">
        <f>IFERROR(W1029/$AD1029,0)</f>
        <v>0</v>
      </c>
      <c r="Y1029" s="35"/>
      <c r="Z1029" s="36">
        <f>IFERROR(Y1029/$AC1029,0)</f>
        <v>0</v>
      </c>
      <c r="AA1029" s="38"/>
      <c r="AB1029" s="36">
        <f>IFERROR(AA1029/$AD1029,0)</f>
        <v>0</v>
      </c>
      <c r="AC1029" s="35"/>
      <c r="AD1029" s="38"/>
    </row>
    <row r="1030" spans="1:30" ht="15.75" customHeight="1" x14ac:dyDescent="0.25">
      <c r="A1030" s="37">
        <v>2017</v>
      </c>
      <c r="B1030" s="35">
        <v>170900</v>
      </c>
      <c r="C1030" s="34" t="s">
        <v>149</v>
      </c>
      <c r="D1030" s="34" t="s">
        <v>60</v>
      </c>
      <c r="E1030" s="35"/>
      <c r="F1030" s="36">
        <f>IFERROR(E1030/$AC1030,0)</f>
        <v>0</v>
      </c>
      <c r="G1030" s="38"/>
      <c r="H1030" s="36">
        <f>IFERROR(G1030/$AD1030,0)</f>
        <v>0</v>
      </c>
      <c r="I1030" s="35"/>
      <c r="J1030" s="36">
        <f>IFERROR(I1030/$AC1030,0)</f>
        <v>0</v>
      </c>
      <c r="K1030" s="38"/>
      <c r="L1030" s="36">
        <f>IFERROR(K1030/$AD1030,0)</f>
        <v>0</v>
      </c>
      <c r="M1030" s="35"/>
      <c r="N1030" s="36">
        <f>IFERROR(M1030/$AC1030,0)</f>
        <v>0</v>
      </c>
      <c r="O1030" s="38"/>
      <c r="P1030" s="36">
        <f>IFERROR(O1030/$AD1030,0)</f>
        <v>0</v>
      </c>
      <c r="Q1030" s="35"/>
      <c r="R1030" s="36">
        <f>IFERROR(Q1030/$AC1030,0)</f>
        <v>0</v>
      </c>
      <c r="S1030" s="38"/>
      <c r="T1030" s="36">
        <f>IFERROR(S1030/$AD1030,0)</f>
        <v>0</v>
      </c>
      <c r="U1030" s="35"/>
      <c r="V1030" s="36">
        <f>IFERROR(U1030/$AC1030,0)</f>
        <v>0</v>
      </c>
      <c r="W1030" s="38"/>
      <c r="X1030" s="36">
        <f>IFERROR(W1030/$AD1030,0)</f>
        <v>0</v>
      </c>
      <c r="Y1030" s="35"/>
      <c r="Z1030" s="36">
        <f>IFERROR(Y1030/$AC1030,0)</f>
        <v>0</v>
      </c>
      <c r="AA1030" s="38"/>
      <c r="AB1030" s="36">
        <f>IFERROR(AA1030/$AD1030,0)</f>
        <v>0</v>
      </c>
      <c r="AC1030" s="35"/>
      <c r="AD1030" s="38"/>
    </row>
    <row r="1031" spans="1:30" ht="15.75" customHeight="1" x14ac:dyDescent="0.25">
      <c r="A1031" s="37">
        <v>2017</v>
      </c>
      <c r="B1031" s="35">
        <v>170930</v>
      </c>
      <c r="C1031" s="34" t="s">
        <v>150</v>
      </c>
      <c r="D1031" s="34" t="s">
        <v>61</v>
      </c>
      <c r="E1031" s="35"/>
      <c r="F1031" s="36">
        <f>IFERROR(E1031/$AC1031,0)</f>
        <v>0</v>
      </c>
      <c r="G1031" s="38"/>
      <c r="H1031" s="36">
        <f>IFERROR(G1031/$AD1031,0)</f>
        <v>0</v>
      </c>
      <c r="I1031" s="35"/>
      <c r="J1031" s="36">
        <f>IFERROR(I1031/$AC1031,0)</f>
        <v>0</v>
      </c>
      <c r="K1031" s="38"/>
      <c r="L1031" s="36">
        <f>IFERROR(K1031/$AD1031,0)</f>
        <v>0</v>
      </c>
      <c r="M1031" s="35"/>
      <c r="N1031" s="36">
        <f>IFERROR(M1031/$AC1031,0)</f>
        <v>0</v>
      </c>
      <c r="O1031" s="38"/>
      <c r="P1031" s="36">
        <f>IFERROR(O1031/$AD1031,0)</f>
        <v>0</v>
      </c>
      <c r="Q1031" s="35"/>
      <c r="R1031" s="36">
        <f>IFERROR(Q1031/$AC1031,0)</f>
        <v>0</v>
      </c>
      <c r="S1031" s="38"/>
      <c r="T1031" s="36">
        <f>IFERROR(S1031/$AD1031,0)</f>
        <v>0</v>
      </c>
      <c r="U1031" s="35"/>
      <c r="V1031" s="36">
        <f>IFERROR(U1031/$AC1031,0)</f>
        <v>0</v>
      </c>
      <c r="W1031" s="38"/>
      <c r="X1031" s="36">
        <f>IFERROR(W1031/$AD1031,0)</f>
        <v>0</v>
      </c>
      <c r="Y1031" s="35"/>
      <c r="Z1031" s="36">
        <f>IFERROR(Y1031/$AC1031,0)</f>
        <v>0</v>
      </c>
      <c r="AA1031" s="38"/>
      <c r="AB1031" s="36">
        <f>IFERROR(AA1031/$AD1031,0)</f>
        <v>0</v>
      </c>
      <c r="AC1031" s="35"/>
      <c r="AD1031" s="38"/>
    </row>
    <row r="1032" spans="1:30" ht="15.75" customHeight="1" x14ac:dyDescent="0.25">
      <c r="A1032" s="37">
        <v>2017</v>
      </c>
      <c r="B1032" s="35">
        <v>170950</v>
      </c>
      <c r="C1032" s="34" t="s">
        <v>146</v>
      </c>
      <c r="D1032" s="34" t="s">
        <v>62</v>
      </c>
      <c r="E1032" s="35"/>
      <c r="F1032" s="36">
        <f>IFERROR(E1032/$AC1032,0)</f>
        <v>0</v>
      </c>
      <c r="G1032" s="38"/>
      <c r="H1032" s="36">
        <f>IFERROR(G1032/$AD1032,0)</f>
        <v>0</v>
      </c>
      <c r="I1032" s="35"/>
      <c r="J1032" s="36">
        <f>IFERROR(I1032/$AC1032,0)</f>
        <v>0</v>
      </c>
      <c r="K1032" s="38"/>
      <c r="L1032" s="36">
        <f>IFERROR(K1032/$AD1032,0)</f>
        <v>0</v>
      </c>
      <c r="M1032" s="35"/>
      <c r="N1032" s="36">
        <f>IFERROR(M1032/$AC1032,0)</f>
        <v>0</v>
      </c>
      <c r="O1032" s="39"/>
      <c r="P1032" s="36">
        <f>IFERROR(O1032/$AD1032,0)</f>
        <v>0</v>
      </c>
      <c r="Q1032" s="35"/>
      <c r="R1032" s="36">
        <f>IFERROR(Q1032/$AC1032,0)</f>
        <v>0</v>
      </c>
      <c r="S1032" s="38"/>
      <c r="T1032" s="36">
        <f>IFERROR(S1032/$AD1032,0)</f>
        <v>0</v>
      </c>
      <c r="U1032" s="35"/>
      <c r="V1032" s="36">
        <f>IFERROR(U1032/$AC1032,0)</f>
        <v>0</v>
      </c>
      <c r="W1032" s="38"/>
      <c r="X1032" s="36">
        <f>IFERROR(W1032/$AD1032,0)</f>
        <v>0</v>
      </c>
      <c r="Y1032" s="35"/>
      <c r="Z1032" s="36">
        <f>IFERROR(Y1032/$AC1032,0)</f>
        <v>0</v>
      </c>
      <c r="AA1032" s="38"/>
      <c r="AB1032" s="36">
        <f>IFERROR(AA1032/$AD1032,0)</f>
        <v>0</v>
      </c>
      <c r="AC1032" s="35"/>
      <c r="AD1032" s="39"/>
    </row>
    <row r="1033" spans="1:30" ht="15.75" customHeight="1" x14ac:dyDescent="0.25">
      <c r="A1033" s="37">
        <v>2017</v>
      </c>
      <c r="B1033" s="35">
        <v>170980</v>
      </c>
      <c r="C1033" s="34" t="s">
        <v>151</v>
      </c>
      <c r="D1033" s="34" t="s">
        <v>63</v>
      </c>
      <c r="E1033" s="35"/>
      <c r="F1033" s="36">
        <f>IFERROR(E1033/$AC1033,0)</f>
        <v>0</v>
      </c>
      <c r="G1033" s="38"/>
      <c r="H1033" s="36">
        <f>IFERROR(G1033/$AD1033,0)</f>
        <v>0</v>
      </c>
      <c r="I1033" s="35"/>
      <c r="J1033" s="36">
        <f>IFERROR(I1033/$AC1033,0)</f>
        <v>0</v>
      </c>
      <c r="K1033" s="38"/>
      <c r="L1033" s="36">
        <f>IFERROR(K1033/$AD1033,0)</f>
        <v>0</v>
      </c>
      <c r="M1033" s="35"/>
      <c r="N1033" s="36">
        <f>IFERROR(M1033/$AC1033,0)</f>
        <v>0</v>
      </c>
      <c r="O1033" s="38"/>
      <c r="P1033" s="36">
        <f>IFERROR(O1033/$AD1033,0)</f>
        <v>0</v>
      </c>
      <c r="Q1033" s="35"/>
      <c r="R1033" s="36">
        <f>IFERROR(Q1033/$AC1033,0)</f>
        <v>0</v>
      </c>
      <c r="S1033" s="38"/>
      <c r="T1033" s="36">
        <f>IFERROR(S1033/$AD1033,0)</f>
        <v>0</v>
      </c>
      <c r="U1033" s="35"/>
      <c r="V1033" s="36">
        <f>IFERROR(U1033/$AC1033,0)</f>
        <v>0</v>
      </c>
      <c r="W1033" s="38"/>
      <c r="X1033" s="36">
        <f>IFERROR(W1033/$AD1033,0)</f>
        <v>0</v>
      </c>
      <c r="Y1033" s="35"/>
      <c r="Z1033" s="36">
        <f>IFERROR(Y1033/$AC1033,0)</f>
        <v>0</v>
      </c>
      <c r="AA1033" s="38"/>
      <c r="AB1033" s="36">
        <f>IFERROR(AA1033/$AD1033,0)</f>
        <v>0</v>
      </c>
      <c r="AC1033" s="35"/>
      <c r="AD1033" s="38"/>
    </row>
    <row r="1034" spans="1:30" ht="15.75" customHeight="1" x14ac:dyDescent="0.25">
      <c r="A1034" s="37">
        <v>2017</v>
      </c>
      <c r="B1034" s="35">
        <v>171050</v>
      </c>
      <c r="C1034" s="34" t="s">
        <v>150</v>
      </c>
      <c r="D1034" s="34" t="s">
        <v>64</v>
      </c>
      <c r="E1034" s="35"/>
      <c r="F1034" s="36">
        <f>IFERROR(E1034/$AC1034,0)</f>
        <v>0</v>
      </c>
      <c r="G1034" s="38"/>
      <c r="H1034" s="36">
        <f>IFERROR(G1034/$AD1034,0)</f>
        <v>0</v>
      </c>
      <c r="I1034" s="35"/>
      <c r="J1034" s="36">
        <f>IFERROR(I1034/$AC1034,0)</f>
        <v>0</v>
      </c>
      <c r="K1034" s="38"/>
      <c r="L1034" s="36">
        <f>IFERROR(K1034/$AD1034,0)</f>
        <v>0</v>
      </c>
      <c r="M1034" s="35"/>
      <c r="N1034" s="36">
        <f>IFERROR(M1034/$AC1034,0)</f>
        <v>0</v>
      </c>
      <c r="O1034" s="38"/>
      <c r="P1034" s="36">
        <f>IFERROR(O1034/$AD1034,0)</f>
        <v>0</v>
      </c>
      <c r="Q1034" s="35"/>
      <c r="R1034" s="36">
        <f>IFERROR(Q1034/$AC1034,0)</f>
        <v>0</v>
      </c>
      <c r="S1034" s="38"/>
      <c r="T1034" s="36">
        <f>IFERROR(S1034/$AD1034,0)</f>
        <v>0</v>
      </c>
      <c r="U1034" s="35"/>
      <c r="V1034" s="36">
        <f>IFERROR(U1034/$AC1034,0)</f>
        <v>0</v>
      </c>
      <c r="W1034" s="38"/>
      <c r="X1034" s="36">
        <f>IFERROR(W1034/$AD1034,0)</f>
        <v>0</v>
      </c>
      <c r="Y1034" s="35"/>
      <c r="Z1034" s="36">
        <f>IFERROR(Y1034/$AC1034,0)</f>
        <v>0</v>
      </c>
      <c r="AA1034" s="38"/>
      <c r="AB1034" s="36">
        <f>IFERROR(AA1034/$AD1034,0)</f>
        <v>0</v>
      </c>
      <c r="AC1034" s="35"/>
      <c r="AD1034" s="38"/>
    </row>
    <row r="1035" spans="1:30" ht="15.75" customHeight="1" x14ac:dyDescent="0.25">
      <c r="A1035" s="37">
        <v>2017</v>
      </c>
      <c r="B1035" s="35">
        <v>171070</v>
      </c>
      <c r="C1035" s="34" t="s">
        <v>145</v>
      </c>
      <c r="D1035" s="34" t="s">
        <v>65</v>
      </c>
      <c r="E1035" s="35"/>
      <c r="F1035" s="36">
        <f>IFERROR(E1035/$AC1035,0)</f>
        <v>0</v>
      </c>
      <c r="G1035" s="38"/>
      <c r="H1035" s="36">
        <f>IFERROR(G1035/$AD1035,0)</f>
        <v>0</v>
      </c>
      <c r="I1035" s="35"/>
      <c r="J1035" s="36">
        <f>IFERROR(I1035/$AC1035,0)</f>
        <v>0</v>
      </c>
      <c r="K1035" s="38"/>
      <c r="L1035" s="36">
        <f>IFERROR(K1035/$AD1035,0)</f>
        <v>0</v>
      </c>
      <c r="M1035" s="35"/>
      <c r="N1035" s="36">
        <f>IFERROR(M1035/$AC1035,0)</f>
        <v>0</v>
      </c>
      <c r="O1035" s="38"/>
      <c r="P1035" s="36">
        <f>IFERROR(O1035/$AD1035,0)</f>
        <v>0</v>
      </c>
      <c r="Q1035" s="35"/>
      <c r="R1035" s="36">
        <f>IFERROR(Q1035/$AC1035,0)</f>
        <v>0</v>
      </c>
      <c r="S1035" s="38"/>
      <c r="T1035" s="36">
        <f>IFERROR(S1035/$AD1035,0)</f>
        <v>0</v>
      </c>
      <c r="U1035" s="35"/>
      <c r="V1035" s="36">
        <f>IFERROR(U1035/$AC1035,0)</f>
        <v>0</v>
      </c>
      <c r="W1035" s="38"/>
      <c r="X1035" s="36">
        <f>IFERROR(W1035/$AD1035,0)</f>
        <v>0</v>
      </c>
      <c r="Y1035" s="35"/>
      <c r="Z1035" s="36">
        <f>IFERROR(Y1035/$AC1035,0)</f>
        <v>0</v>
      </c>
      <c r="AA1035" s="38"/>
      <c r="AB1035" s="36">
        <f>IFERROR(AA1035/$AD1035,0)</f>
        <v>0</v>
      </c>
      <c r="AC1035" s="35"/>
      <c r="AD1035" s="38"/>
    </row>
    <row r="1036" spans="1:30" ht="15.75" customHeight="1" x14ac:dyDescent="0.25">
      <c r="A1036" s="37">
        <v>2017</v>
      </c>
      <c r="B1036" s="35">
        <v>171090</v>
      </c>
      <c r="C1036" s="34" t="s">
        <v>150</v>
      </c>
      <c r="D1036" s="34" t="s">
        <v>66</v>
      </c>
      <c r="E1036" s="35"/>
      <c r="F1036" s="36">
        <f>IFERROR(E1036/$AC1036,0)</f>
        <v>0</v>
      </c>
      <c r="G1036" s="38"/>
      <c r="H1036" s="36">
        <f>IFERROR(G1036/$AD1036,0)</f>
        <v>0</v>
      </c>
      <c r="I1036" s="35"/>
      <c r="J1036" s="36">
        <f>IFERROR(I1036/$AC1036,0)</f>
        <v>0</v>
      </c>
      <c r="K1036" s="38"/>
      <c r="L1036" s="36">
        <f>IFERROR(K1036/$AD1036,0)</f>
        <v>0</v>
      </c>
      <c r="M1036" s="35"/>
      <c r="N1036" s="36">
        <f>IFERROR(M1036/$AC1036,0)</f>
        <v>0</v>
      </c>
      <c r="O1036" s="38"/>
      <c r="P1036" s="36">
        <f>IFERROR(O1036/$AD1036,0)</f>
        <v>0</v>
      </c>
      <c r="Q1036" s="35"/>
      <c r="R1036" s="36">
        <f>IFERROR(Q1036/$AC1036,0)</f>
        <v>0</v>
      </c>
      <c r="S1036" s="38"/>
      <c r="T1036" s="36">
        <f>IFERROR(S1036/$AD1036,0)</f>
        <v>0</v>
      </c>
      <c r="U1036" s="35"/>
      <c r="V1036" s="36">
        <f>IFERROR(U1036/$AC1036,0)</f>
        <v>0</v>
      </c>
      <c r="W1036" s="38"/>
      <c r="X1036" s="36">
        <f>IFERROR(W1036/$AD1036,0)</f>
        <v>0</v>
      </c>
      <c r="Y1036" s="35"/>
      <c r="Z1036" s="36">
        <f>IFERROR(Y1036/$AC1036,0)</f>
        <v>0</v>
      </c>
      <c r="AA1036" s="38"/>
      <c r="AB1036" s="36">
        <f>IFERROR(AA1036/$AD1036,0)</f>
        <v>0</v>
      </c>
      <c r="AC1036" s="35"/>
      <c r="AD1036" s="38"/>
    </row>
    <row r="1037" spans="1:30" ht="15.75" customHeight="1" x14ac:dyDescent="0.25">
      <c r="A1037" s="37">
        <v>2017</v>
      </c>
      <c r="B1037" s="35">
        <v>171110</v>
      </c>
      <c r="C1037" s="34" t="s">
        <v>150</v>
      </c>
      <c r="D1037" s="34" t="s">
        <v>67</v>
      </c>
      <c r="E1037" s="35"/>
      <c r="F1037" s="36">
        <f>IFERROR(E1037/$AC1037,0)</f>
        <v>0</v>
      </c>
      <c r="G1037" s="38"/>
      <c r="H1037" s="36">
        <f>IFERROR(G1037/$AD1037,0)</f>
        <v>0</v>
      </c>
      <c r="I1037" s="35"/>
      <c r="J1037" s="36">
        <f>IFERROR(I1037/$AC1037,0)</f>
        <v>0</v>
      </c>
      <c r="K1037" s="38"/>
      <c r="L1037" s="36">
        <f>IFERROR(K1037/$AD1037,0)</f>
        <v>0</v>
      </c>
      <c r="M1037" s="35"/>
      <c r="N1037" s="36">
        <f>IFERROR(M1037/$AC1037,0)</f>
        <v>0</v>
      </c>
      <c r="O1037" s="38"/>
      <c r="P1037" s="36">
        <f>IFERROR(O1037/$AD1037,0)</f>
        <v>0</v>
      </c>
      <c r="Q1037" s="35"/>
      <c r="R1037" s="36">
        <f>IFERROR(Q1037/$AC1037,0)</f>
        <v>0</v>
      </c>
      <c r="S1037" s="38"/>
      <c r="T1037" s="36">
        <f>IFERROR(S1037/$AD1037,0)</f>
        <v>0</v>
      </c>
      <c r="U1037" s="35"/>
      <c r="V1037" s="36">
        <f>IFERROR(U1037/$AC1037,0)</f>
        <v>0</v>
      </c>
      <c r="W1037" s="38"/>
      <c r="X1037" s="36">
        <f>IFERROR(W1037/$AD1037,0)</f>
        <v>0</v>
      </c>
      <c r="Y1037" s="35"/>
      <c r="Z1037" s="36">
        <f>IFERROR(Y1037/$AC1037,0)</f>
        <v>0</v>
      </c>
      <c r="AA1037" s="38"/>
      <c r="AB1037" s="36">
        <f>IFERROR(AA1037/$AD1037,0)</f>
        <v>0</v>
      </c>
      <c r="AC1037" s="35"/>
      <c r="AD1037" s="38"/>
    </row>
    <row r="1038" spans="1:30" ht="15.75" customHeight="1" x14ac:dyDescent="0.25">
      <c r="A1038" s="37">
        <v>2017</v>
      </c>
      <c r="B1038" s="35">
        <v>171150</v>
      </c>
      <c r="C1038" s="34" t="s">
        <v>146</v>
      </c>
      <c r="D1038" s="34" t="s">
        <v>68</v>
      </c>
      <c r="E1038" s="35"/>
      <c r="F1038" s="36">
        <f>IFERROR(E1038/$AC1038,0)</f>
        <v>0</v>
      </c>
      <c r="G1038" s="38"/>
      <c r="H1038" s="36">
        <f>IFERROR(G1038/$AD1038,0)</f>
        <v>0</v>
      </c>
      <c r="I1038" s="35"/>
      <c r="J1038" s="36">
        <f>IFERROR(I1038/$AC1038,0)</f>
        <v>0</v>
      </c>
      <c r="K1038" s="38"/>
      <c r="L1038" s="36">
        <f>IFERROR(K1038/$AD1038,0)</f>
        <v>0</v>
      </c>
      <c r="M1038" s="35"/>
      <c r="N1038" s="36">
        <f>IFERROR(M1038/$AC1038,0)</f>
        <v>0</v>
      </c>
      <c r="O1038" s="38"/>
      <c r="P1038" s="36">
        <f>IFERROR(O1038/$AD1038,0)</f>
        <v>0</v>
      </c>
      <c r="Q1038" s="35"/>
      <c r="R1038" s="36">
        <f>IFERROR(Q1038/$AC1038,0)</f>
        <v>0</v>
      </c>
      <c r="S1038" s="38"/>
      <c r="T1038" s="36">
        <f>IFERROR(S1038/$AD1038,0)</f>
        <v>0</v>
      </c>
      <c r="U1038" s="35"/>
      <c r="V1038" s="36">
        <f>IFERROR(U1038/$AC1038,0)</f>
        <v>0</v>
      </c>
      <c r="W1038" s="38"/>
      <c r="X1038" s="36">
        <f>IFERROR(W1038/$AD1038,0)</f>
        <v>0</v>
      </c>
      <c r="Y1038" s="35"/>
      <c r="Z1038" s="36">
        <f>IFERROR(Y1038/$AC1038,0)</f>
        <v>0</v>
      </c>
      <c r="AA1038" s="38"/>
      <c r="AB1038" s="36">
        <f>IFERROR(AA1038/$AD1038,0)</f>
        <v>0</v>
      </c>
      <c r="AC1038" s="35"/>
      <c r="AD1038" s="38"/>
    </row>
    <row r="1039" spans="1:30" ht="15.75" customHeight="1" x14ac:dyDescent="0.25">
      <c r="A1039" s="37">
        <v>2017</v>
      </c>
      <c r="B1039" s="35">
        <v>171180</v>
      </c>
      <c r="C1039" s="34" t="s">
        <v>150</v>
      </c>
      <c r="D1039" s="34" t="s">
        <v>69</v>
      </c>
      <c r="E1039" s="35"/>
      <c r="F1039" s="36">
        <f>IFERROR(E1039/$AC1039,0)</f>
        <v>0</v>
      </c>
      <c r="G1039" s="38"/>
      <c r="H1039" s="36">
        <f>IFERROR(G1039/$AD1039,0)</f>
        <v>0</v>
      </c>
      <c r="I1039" s="35"/>
      <c r="J1039" s="36">
        <f>IFERROR(I1039/$AC1039,0)</f>
        <v>0</v>
      </c>
      <c r="K1039" s="38"/>
      <c r="L1039" s="36">
        <f>IFERROR(K1039/$AD1039,0)</f>
        <v>0</v>
      </c>
      <c r="M1039" s="35"/>
      <c r="N1039" s="36">
        <f>IFERROR(M1039/$AC1039,0)</f>
        <v>0</v>
      </c>
      <c r="O1039" s="38"/>
      <c r="P1039" s="36">
        <f>IFERROR(O1039/$AD1039,0)</f>
        <v>0</v>
      </c>
      <c r="Q1039" s="35"/>
      <c r="R1039" s="36">
        <f>IFERROR(Q1039/$AC1039,0)</f>
        <v>0</v>
      </c>
      <c r="S1039" s="38"/>
      <c r="T1039" s="36">
        <f>IFERROR(S1039/$AD1039,0)</f>
        <v>0</v>
      </c>
      <c r="U1039" s="35"/>
      <c r="V1039" s="36">
        <f>IFERROR(U1039/$AC1039,0)</f>
        <v>0</v>
      </c>
      <c r="W1039" s="38"/>
      <c r="X1039" s="36">
        <f>IFERROR(W1039/$AD1039,0)</f>
        <v>0</v>
      </c>
      <c r="Y1039" s="35"/>
      <c r="Z1039" s="36">
        <f>IFERROR(Y1039/$AC1039,0)</f>
        <v>0</v>
      </c>
      <c r="AA1039" s="38"/>
      <c r="AB1039" s="36">
        <f>IFERROR(AA1039/$AD1039,0)</f>
        <v>0</v>
      </c>
      <c r="AC1039" s="35"/>
      <c r="AD1039" s="38"/>
    </row>
    <row r="1040" spans="1:30" ht="15.75" customHeight="1" x14ac:dyDescent="0.25">
      <c r="A1040" s="37">
        <v>2017</v>
      </c>
      <c r="B1040" s="35">
        <v>171190</v>
      </c>
      <c r="C1040" s="34" t="s">
        <v>144</v>
      </c>
      <c r="D1040" s="34" t="s">
        <v>70</v>
      </c>
      <c r="E1040" s="35"/>
      <c r="F1040" s="36">
        <f>IFERROR(E1040/$AC1040,0)</f>
        <v>0</v>
      </c>
      <c r="G1040" s="38"/>
      <c r="H1040" s="36">
        <f>IFERROR(G1040/$AD1040,0)</f>
        <v>0</v>
      </c>
      <c r="I1040" s="35"/>
      <c r="J1040" s="36">
        <f>IFERROR(I1040/$AC1040,0)</f>
        <v>0</v>
      </c>
      <c r="K1040" s="38"/>
      <c r="L1040" s="36">
        <f>IFERROR(K1040/$AD1040,0)</f>
        <v>0</v>
      </c>
      <c r="M1040" s="35"/>
      <c r="N1040" s="36">
        <f>IFERROR(M1040/$AC1040,0)</f>
        <v>0</v>
      </c>
      <c r="O1040" s="38"/>
      <c r="P1040" s="36">
        <f>IFERROR(O1040/$AD1040,0)</f>
        <v>0</v>
      </c>
      <c r="Q1040" s="35"/>
      <c r="R1040" s="36">
        <f>IFERROR(Q1040/$AC1040,0)</f>
        <v>0</v>
      </c>
      <c r="S1040" s="38"/>
      <c r="T1040" s="36">
        <f>IFERROR(S1040/$AD1040,0)</f>
        <v>0</v>
      </c>
      <c r="U1040" s="35"/>
      <c r="V1040" s="36">
        <f>IFERROR(U1040/$AC1040,0)</f>
        <v>0</v>
      </c>
      <c r="W1040" s="38"/>
      <c r="X1040" s="36">
        <f>IFERROR(W1040/$AD1040,0)</f>
        <v>0</v>
      </c>
      <c r="Y1040" s="35"/>
      <c r="Z1040" s="36">
        <f>IFERROR(Y1040/$AC1040,0)</f>
        <v>0</v>
      </c>
      <c r="AA1040" s="38"/>
      <c r="AB1040" s="36">
        <f>IFERROR(AA1040/$AD1040,0)</f>
        <v>0</v>
      </c>
      <c r="AC1040" s="35"/>
      <c r="AD1040" s="38"/>
    </row>
    <row r="1041" spans="1:30" ht="15.75" customHeight="1" x14ac:dyDescent="0.25">
      <c r="A1041" s="37">
        <v>2017</v>
      </c>
      <c r="B1041" s="35">
        <v>171195</v>
      </c>
      <c r="C1041" s="34" t="s">
        <v>148</v>
      </c>
      <c r="D1041" s="34" t="s">
        <v>71</v>
      </c>
      <c r="E1041" s="35"/>
      <c r="F1041" s="36">
        <f>IFERROR(E1041/$AC1041,0)</f>
        <v>0</v>
      </c>
      <c r="G1041" s="38"/>
      <c r="H1041" s="36">
        <f>IFERROR(G1041/$AD1041,0)</f>
        <v>0</v>
      </c>
      <c r="I1041" s="35"/>
      <c r="J1041" s="36">
        <f>IFERROR(I1041/$AC1041,0)</f>
        <v>0</v>
      </c>
      <c r="K1041" s="38"/>
      <c r="L1041" s="36">
        <f>IFERROR(K1041/$AD1041,0)</f>
        <v>0</v>
      </c>
      <c r="M1041" s="35"/>
      <c r="N1041" s="36">
        <f>IFERROR(M1041/$AC1041,0)</f>
        <v>0</v>
      </c>
      <c r="O1041" s="38"/>
      <c r="P1041" s="36">
        <f>IFERROR(O1041/$AD1041,0)</f>
        <v>0</v>
      </c>
      <c r="Q1041" s="35"/>
      <c r="R1041" s="36">
        <f>IFERROR(Q1041/$AC1041,0)</f>
        <v>0</v>
      </c>
      <c r="S1041" s="38"/>
      <c r="T1041" s="36">
        <f>IFERROR(S1041/$AD1041,0)</f>
        <v>0</v>
      </c>
      <c r="U1041" s="35"/>
      <c r="V1041" s="36">
        <f>IFERROR(U1041/$AC1041,0)</f>
        <v>0</v>
      </c>
      <c r="W1041" s="38"/>
      <c r="X1041" s="36">
        <f>IFERROR(W1041/$AD1041,0)</f>
        <v>0</v>
      </c>
      <c r="Y1041" s="35"/>
      <c r="Z1041" s="36">
        <f>IFERROR(Y1041/$AC1041,0)</f>
        <v>0</v>
      </c>
      <c r="AA1041" s="38"/>
      <c r="AB1041" s="36">
        <f>IFERROR(AA1041/$AD1041,0)</f>
        <v>0</v>
      </c>
      <c r="AC1041" s="35"/>
      <c r="AD1041" s="38"/>
    </row>
    <row r="1042" spans="1:30" ht="15.75" customHeight="1" x14ac:dyDescent="0.25">
      <c r="A1042" s="37">
        <v>2017</v>
      </c>
      <c r="B1042" s="35">
        <v>171200</v>
      </c>
      <c r="C1042" s="34" t="s">
        <v>148</v>
      </c>
      <c r="D1042" s="34" t="s">
        <v>72</v>
      </c>
      <c r="E1042" s="35"/>
      <c r="F1042" s="36">
        <f>IFERROR(E1042/$AC1042,0)</f>
        <v>0</v>
      </c>
      <c r="G1042" s="38"/>
      <c r="H1042" s="36">
        <f>IFERROR(G1042/$AD1042,0)</f>
        <v>0</v>
      </c>
      <c r="I1042" s="35"/>
      <c r="J1042" s="36">
        <f>IFERROR(I1042/$AC1042,0)</f>
        <v>0</v>
      </c>
      <c r="K1042" s="38"/>
      <c r="L1042" s="36">
        <f>IFERROR(K1042/$AD1042,0)</f>
        <v>0</v>
      </c>
      <c r="M1042" s="35"/>
      <c r="N1042" s="36">
        <f>IFERROR(M1042/$AC1042,0)</f>
        <v>0</v>
      </c>
      <c r="O1042" s="38"/>
      <c r="P1042" s="36">
        <f>IFERROR(O1042/$AD1042,0)</f>
        <v>0</v>
      </c>
      <c r="Q1042" s="35"/>
      <c r="R1042" s="36">
        <f>IFERROR(Q1042/$AC1042,0)</f>
        <v>0</v>
      </c>
      <c r="S1042" s="38"/>
      <c r="T1042" s="36">
        <f>IFERROR(S1042/$AD1042,0)</f>
        <v>0</v>
      </c>
      <c r="U1042" s="35"/>
      <c r="V1042" s="36">
        <f>IFERROR(U1042/$AC1042,0)</f>
        <v>0</v>
      </c>
      <c r="W1042" s="38"/>
      <c r="X1042" s="36">
        <f>IFERROR(W1042/$AD1042,0)</f>
        <v>0</v>
      </c>
      <c r="Y1042" s="35"/>
      <c r="Z1042" s="36">
        <f>IFERROR(Y1042/$AC1042,0)</f>
        <v>0</v>
      </c>
      <c r="AA1042" s="38"/>
      <c r="AB1042" s="36">
        <f>IFERROR(AA1042/$AD1042,0)</f>
        <v>0</v>
      </c>
      <c r="AC1042" s="35"/>
      <c r="AD1042" s="38"/>
    </row>
    <row r="1043" spans="1:30" ht="15.75" customHeight="1" x14ac:dyDescent="0.25">
      <c r="A1043" s="37">
        <v>2017</v>
      </c>
      <c r="B1043" s="35">
        <v>171215</v>
      </c>
      <c r="C1043" s="34" t="s">
        <v>147</v>
      </c>
      <c r="D1043" s="34" t="s">
        <v>73</v>
      </c>
      <c r="E1043" s="35"/>
      <c r="F1043" s="36">
        <f>IFERROR(E1043/$AC1043,0)</f>
        <v>0</v>
      </c>
      <c r="G1043" s="38"/>
      <c r="H1043" s="36">
        <f>IFERROR(G1043/$AD1043,0)</f>
        <v>0</v>
      </c>
      <c r="I1043" s="35"/>
      <c r="J1043" s="36">
        <f>IFERROR(I1043/$AC1043,0)</f>
        <v>0</v>
      </c>
      <c r="K1043" s="38"/>
      <c r="L1043" s="36">
        <f>IFERROR(K1043/$AD1043,0)</f>
        <v>0</v>
      </c>
      <c r="M1043" s="35"/>
      <c r="N1043" s="36">
        <f>IFERROR(M1043/$AC1043,0)</f>
        <v>0</v>
      </c>
      <c r="O1043" s="38"/>
      <c r="P1043" s="36">
        <f>IFERROR(O1043/$AD1043,0)</f>
        <v>0</v>
      </c>
      <c r="Q1043" s="35"/>
      <c r="R1043" s="36">
        <f>IFERROR(Q1043/$AC1043,0)</f>
        <v>0</v>
      </c>
      <c r="S1043" s="38"/>
      <c r="T1043" s="36">
        <f>IFERROR(S1043/$AD1043,0)</f>
        <v>0</v>
      </c>
      <c r="U1043" s="35"/>
      <c r="V1043" s="36">
        <f>IFERROR(U1043/$AC1043,0)</f>
        <v>0</v>
      </c>
      <c r="W1043" s="38"/>
      <c r="X1043" s="36">
        <f>IFERROR(W1043/$AD1043,0)</f>
        <v>0</v>
      </c>
      <c r="Y1043" s="35"/>
      <c r="Z1043" s="36">
        <f>IFERROR(Y1043/$AC1043,0)</f>
        <v>0</v>
      </c>
      <c r="AA1043" s="38"/>
      <c r="AB1043" s="36">
        <f>IFERROR(AA1043/$AD1043,0)</f>
        <v>0</v>
      </c>
      <c r="AC1043" s="35"/>
      <c r="AD1043" s="38"/>
    </row>
    <row r="1044" spans="1:30" ht="15.75" customHeight="1" x14ac:dyDescent="0.25">
      <c r="A1044" s="37">
        <v>2017</v>
      </c>
      <c r="B1044" s="35">
        <v>171240</v>
      </c>
      <c r="C1044" s="34" t="s">
        <v>148</v>
      </c>
      <c r="D1044" s="34" t="s">
        <v>74</v>
      </c>
      <c r="E1044" s="35"/>
      <c r="F1044" s="36">
        <f>IFERROR(E1044/$AC1044,0)</f>
        <v>0</v>
      </c>
      <c r="G1044" s="38"/>
      <c r="H1044" s="36">
        <f>IFERROR(G1044/$AD1044,0)</f>
        <v>0</v>
      </c>
      <c r="I1044" s="35"/>
      <c r="J1044" s="36">
        <f>IFERROR(I1044/$AC1044,0)</f>
        <v>0</v>
      </c>
      <c r="K1044" s="38"/>
      <c r="L1044" s="36">
        <f>IFERROR(K1044/$AD1044,0)</f>
        <v>0</v>
      </c>
      <c r="M1044" s="35"/>
      <c r="N1044" s="36">
        <f>IFERROR(M1044/$AC1044,0)</f>
        <v>0</v>
      </c>
      <c r="O1044" s="38"/>
      <c r="P1044" s="36">
        <f>IFERROR(O1044/$AD1044,0)</f>
        <v>0</v>
      </c>
      <c r="Q1044" s="35"/>
      <c r="R1044" s="36">
        <f>IFERROR(Q1044/$AC1044,0)</f>
        <v>0</v>
      </c>
      <c r="S1044" s="38"/>
      <c r="T1044" s="36">
        <f>IFERROR(S1044/$AD1044,0)</f>
        <v>0</v>
      </c>
      <c r="U1044" s="35"/>
      <c r="V1044" s="36">
        <f>IFERROR(U1044/$AC1044,0)</f>
        <v>0</v>
      </c>
      <c r="W1044" s="38"/>
      <c r="X1044" s="36">
        <f>IFERROR(W1044/$AD1044,0)</f>
        <v>0</v>
      </c>
      <c r="Y1044" s="35"/>
      <c r="Z1044" s="36">
        <f>IFERROR(Y1044/$AC1044,0)</f>
        <v>0</v>
      </c>
      <c r="AA1044" s="38"/>
      <c r="AB1044" s="36">
        <f>IFERROR(AA1044/$AD1044,0)</f>
        <v>0</v>
      </c>
      <c r="AC1044" s="35"/>
      <c r="AD1044" s="38"/>
    </row>
    <row r="1045" spans="1:30" ht="15.75" customHeight="1" x14ac:dyDescent="0.25">
      <c r="A1045" s="37">
        <v>2017</v>
      </c>
      <c r="B1045" s="35">
        <v>171245</v>
      </c>
      <c r="C1045" s="34" t="s">
        <v>145</v>
      </c>
      <c r="D1045" s="34" t="s">
        <v>75</v>
      </c>
      <c r="E1045" s="35"/>
      <c r="F1045" s="36">
        <f>IFERROR(E1045/$AC1045,0)</f>
        <v>0</v>
      </c>
      <c r="G1045" s="38"/>
      <c r="H1045" s="36">
        <f>IFERROR(G1045/$AD1045,0)</f>
        <v>0</v>
      </c>
      <c r="I1045" s="35"/>
      <c r="J1045" s="36">
        <f>IFERROR(I1045/$AC1045,0)</f>
        <v>0</v>
      </c>
      <c r="K1045" s="38"/>
      <c r="L1045" s="36">
        <f>IFERROR(K1045/$AD1045,0)</f>
        <v>0</v>
      </c>
      <c r="M1045" s="35"/>
      <c r="N1045" s="36">
        <f>IFERROR(M1045/$AC1045,0)</f>
        <v>0</v>
      </c>
      <c r="O1045" s="38"/>
      <c r="P1045" s="36">
        <f>IFERROR(O1045/$AD1045,0)</f>
        <v>0</v>
      </c>
      <c r="Q1045" s="35"/>
      <c r="R1045" s="36">
        <f>IFERROR(Q1045/$AC1045,0)</f>
        <v>0</v>
      </c>
      <c r="S1045" s="38"/>
      <c r="T1045" s="36">
        <f>IFERROR(S1045/$AD1045,0)</f>
        <v>0</v>
      </c>
      <c r="U1045" s="35"/>
      <c r="V1045" s="36">
        <f>IFERROR(U1045/$AC1045,0)</f>
        <v>0</v>
      </c>
      <c r="W1045" s="38"/>
      <c r="X1045" s="36">
        <f>IFERROR(W1045/$AD1045,0)</f>
        <v>0</v>
      </c>
      <c r="Y1045" s="35"/>
      <c r="Z1045" s="36">
        <f>IFERROR(Y1045/$AC1045,0)</f>
        <v>0</v>
      </c>
      <c r="AA1045" s="38"/>
      <c r="AB1045" s="36">
        <f>IFERROR(AA1045/$AD1045,0)</f>
        <v>0</v>
      </c>
      <c r="AC1045" s="35"/>
      <c r="AD1045" s="38"/>
    </row>
    <row r="1046" spans="1:30" ht="15.75" customHeight="1" x14ac:dyDescent="0.25">
      <c r="A1046" s="37">
        <v>2017</v>
      </c>
      <c r="B1046" s="35">
        <v>171250</v>
      </c>
      <c r="C1046" s="34" t="s">
        <v>144</v>
      </c>
      <c r="D1046" s="34" t="s">
        <v>76</v>
      </c>
      <c r="E1046" s="35"/>
      <c r="F1046" s="36">
        <f>IFERROR(E1046/$AC1046,0)</f>
        <v>0</v>
      </c>
      <c r="G1046" s="38"/>
      <c r="H1046" s="36">
        <f>IFERROR(G1046/$AD1046,0)</f>
        <v>0</v>
      </c>
      <c r="I1046" s="35"/>
      <c r="J1046" s="36">
        <f>IFERROR(I1046/$AC1046,0)</f>
        <v>0</v>
      </c>
      <c r="K1046" s="38"/>
      <c r="L1046" s="36">
        <f>IFERROR(K1046/$AD1046,0)</f>
        <v>0</v>
      </c>
      <c r="M1046" s="35"/>
      <c r="N1046" s="36">
        <f>IFERROR(M1046/$AC1046,0)</f>
        <v>0</v>
      </c>
      <c r="O1046" s="38"/>
      <c r="P1046" s="36">
        <f>IFERROR(O1046/$AD1046,0)</f>
        <v>0</v>
      </c>
      <c r="Q1046" s="35"/>
      <c r="R1046" s="36">
        <f>IFERROR(Q1046/$AC1046,0)</f>
        <v>0</v>
      </c>
      <c r="S1046" s="38"/>
      <c r="T1046" s="36">
        <f>IFERROR(S1046/$AD1046,0)</f>
        <v>0</v>
      </c>
      <c r="U1046" s="35"/>
      <c r="V1046" s="36">
        <f>IFERROR(U1046/$AC1046,0)</f>
        <v>0</v>
      </c>
      <c r="W1046" s="38"/>
      <c r="X1046" s="36">
        <f>IFERROR(W1046/$AD1046,0)</f>
        <v>0</v>
      </c>
      <c r="Y1046" s="35"/>
      <c r="Z1046" s="36">
        <f>IFERROR(Y1046/$AC1046,0)</f>
        <v>0</v>
      </c>
      <c r="AA1046" s="38"/>
      <c r="AB1046" s="36">
        <f>IFERROR(AA1046/$AD1046,0)</f>
        <v>0</v>
      </c>
      <c r="AC1046" s="35"/>
      <c r="AD1046" s="38"/>
    </row>
    <row r="1047" spans="1:30" ht="15.75" customHeight="1" x14ac:dyDescent="0.25">
      <c r="A1047" s="37">
        <v>2017</v>
      </c>
      <c r="B1047" s="35">
        <v>171270</v>
      </c>
      <c r="C1047" s="34" t="s">
        <v>151</v>
      </c>
      <c r="D1047" s="34" t="s">
        <v>77</v>
      </c>
      <c r="E1047" s="35"/>
      <c r="F1047" s="36">
        <f>IFERROR(E1047/$AC1047,0)</f>
        <v>0</v>
      </c>
      <c r="G1047" s="38"/>
      <c r="H1047" s="36">
        <f>IFERROR(G1047/$AD1047,0)</f>
        <v>0</v>
      </c>
      <c r="I1047" s="35"/>
      <c r="J1047" s="36">
        <f>IFERROR(I1047/$AC1047,0)</f>
        <v>0</v>
      </c>
      <c r="K1047" s="38"/>
      <c r="L1047" s="36">
        <f>IFERROR(K1047/$AD1047,0)</f>
        <v>0</v>
      </c>
      <c r="M1047" s="35"/>
      <c r="N1047" s="36">
        <f>IFERROR(M1047/$AC1047,0)</f>
        <v>0</v>
      </c>
      <c r="O1047" s="38"/>
      <c r="P1047" s="36">
        <f>IFERROR(O1047/$AD1047,0)</f>
        <v>0</v>
      </c>
      <c r="Q1047" s="35"/>
      <c r="R1047" s="36">
        <f>IFERROR(Q1047/$AC1047,0)</f>
        <v>0</v>
      </c>
      <c r="S1047" s="38"/>
      <c r="T1047" s="36">
        <f>IFERROR(S1047/$AD1047,0)</f>
        <v>0</v>
      </c>
      <c r="U1047" s="35"/>
      <c r="V1047" s="36">
        <f>IFERROR(U1047/$AC1047,0)</f>
        <v>0</v>
      </c>
      <c r="W1047" s="38"/>
      <c r="X1047" s="36">
        <f>IFERROR(W1047/$AD1047,0)</f>
        <v>0</v>
      </c>
      <c r="Y1047" s="35"/>
      <c r="Z1047" s="36">
        <f>IFERROR(Y1047/$AC1047,0)</f>
        <v>0</v>
      </c>
      <c r="AA1047" s="38"/>
      <c r="AB1047" s="36">
        <f>IFERROR(AA1047/$AD1047,0)</f>
        <v>0</v>
      </c>
      <c r="AC1047" s="35"/>
      <c r="AD1047" s="38"/>
    </row>
    <row r="1048" spans="1:30" ht="15.75" customHeight="1" x14ac:dyDescent="0.25">
      <c r="A1048" s="37">
        <v>2017</v>
      </c>
      <c r="B1048" s="35">
        <v>171280</v>
      </c>
      <c r="C1048" s="34" t="s">
        <v>145</v>
      </c>
      <c r="D1048" s="34" t="s">
        <v>78</v>
      </c>
      <c r="E1048" s="35"/>
      <c r="F1048" s="36">
        <f>IFERROR(E1048/$AC1048,0)</f>
        <v>0</v>
      </c>
      <c r="G1048" s="38"/>
      <c r="H1048" s="36">
        <f>IFERROR(G1048/$AD1048,0)</f>
        <v>0</v>
      </c>
      <c r="I1048" s="35"/>
      <c r="J1048" s="36">
        <f>IFERROR(I1048/$AC1048,0)</f>
        <v>0</v>
      </c>
      <c r="K1048" s="38"/>
      <c r="L1048" s="36">
        <f>IFERROR(K1048/$AD1048,0)</f>
        <v>0</v>
      </c>
      <c r="M1048" s="35"/>
      <c r="N1048" s="36">
        <f>IFERROR(M1048/$AC1048,0)</f>
        <v>0</v>
      </c>
      <c r="O1048" s="38"/>
      <c r="P1048" s="36">
        <f>IFERROR(O1048/$AD1048,0)</f>
        <v>0</v>
      </c>
      <c r="Q1048" s="35"/>
      <c r="R1048" s="36">
        <f>IFERROR(Q1048/$AC1048,0)</f>
        <v>0</v>
      </c>
      <c r="S1048" s="38"/>
      <c r="T1048" s="36">
        <f>IFERROR(S1048/$AD1048,0)</f>
        <v>0</v>
      </c>
      <c r="U1048" s="35"/>
      <c r="V1048" s="36">
        <f>IFERROR(U1048/$AC1048,0)</f>
        <v>0</v>
      </c>
      <c r="W1048" s="38"/>
      <c r="X1048" s="36">
        <f>IFERROR(W1048/$AD1048,0)</f>
        <v>0</v>
      </c>
      <c r="Y1048" s="35"/>
      <c r="Z1048" s="36">
        <f>IFERROR(Y1048/$AC1048,0)</f>
        <v>0</v>
      </c>
      <c r="AA1048" s="38"/>
      <c r="AB1048" s="36">
        <f>IFERROR(AA1048/$AD1048,0)</f>
        <v>0</v>
      </c>
      <c r="AC1048" s="35"/>
      <c r="AD1048" s="38"/>
    </row>
    <row r="1049" spans="1:30" ht="15.75" customHeight="1" x14ac:dyDescent="0.25">
      <c r="A1049" s="37">
        <v>2017</v>
      </c>
      <c r="B1049" s="35">
        <v>171320</v>
      </c>
      <c r="C1049" s="34" t="s">
        <v>148</v>
      </c>
      <c r="D1049" s="34" t="s">
        <v>79</v>
      </c>
      <c r="E1049" s="35"/>
      <c r="F1049" s="36">
        <f>IFERROR(E1049/$AC1049,0)</f>
        <v>0</v>
      </c>
      <c r="G1049" s="38"/>
      <c r="H1049" s="36">
        <f>IFERROR(G1049/$AD1049,0)</f>
        <v>0</v>
      </c>
      <c r="I1049" s="35"/>
      <c r="J1049" s="36">
        <f>IFERROR(I1049/$AC1049,0)</f>
        <v>0</v>
      </c>
      <c r="K1049" s="38"/>
      <c r="L1049" s="36">
        <f>IFERROR(K1049/$AD1049,0)</f>
        <v>0</v>
      </c>
      <c r="M1049" s="35"/>
      <c r="N1049" s="36">
        <f>IFERROR(M1049/$AC1049,0)</f>
        <v>0</v>
      </c>
      <c r="O1049" s="38"/>
      <c r="P1049" s="36">
        <f>IFERROR(O1049/$AD1049,0)</f>
        <v>0</v>
      </c>
      <c r="Q1049" s="35"/>
      <c r="R1049" s="36">
        <f>IFERROR(Q1049/$AC1049,0)</f>
        <v>0</v>
      </c>
      <c r="S1049" s="38"/>
      <c r="T1049" s="36">
        <f>IFERROR(S1049/$AD1049,0)</f>
        <v>0</v>
      </c>
      <c r="U1049" s="35"/>
      <c r="V1049" s="36">
        <f>IFERROR(U1049/$AC1049,0)</f>
        <v>0</v>
      </c>
      <c r="W1049" s="38"/>
      <c r="X1049" s="36">
        <f>IFERROR(W1049/$AD1049,0)</f>
        <v>0</v>
      </c>
      <c r="Y1049" s="35"/>
      <c r="Z1049" s="36">
        <f>IFERROR(Y1049/$AC1049,0)</f>
        <v>0</v>
      </c>
      <c r="AA1049" s="38"/>
      <c r="AB1049" s="36">
        <f>IFERROR(AA1049/$AD1049,0)</f>
        <v>0</v>
      </c>
      <c r="AC1049" s="35"/>
      <c r="AD1049" s="38"/>
    </row>
    <row r="1050" spans="1:30" ht="15.75" customHeight="1" x14ac:dyDescent="0.25">
      <c r="A1050" s="37">
        <v>2017</v>
      </c>
      <c r="B1050" s="35">
        <v>171330</v>
      </c>
      <c r="C1050" s="34" t="s">
        <v>148</v>
      </c>
      <c r="D1050" s="34" t="s">
        <v>80</v>
      </c>
      <c r="E1050" s="35"/>
      <c r="F1050" s="36">
        <f>IFERROR(E1050/$AC1050,0)</f>
        <v>0</v>
      </c>
      <c r="G1050" s="38"/>
      <c r="H1050" s="36">
        <f>IFERROR(G1050/$AD1050,0)</f>
        <v>0</v>
      </c>
      <c r="I1050" s="35"/>
      <c r="J1050" s="36">
        <f>IFERROR(I1050/$AC1050,0)</f>
        <v>0</v>
      </c>
      <c r="K1050" s="38"/>
      <c r="L1050" s="36">
        <f>IFERROR(K1050/$AD1050,0)</f>
        <v>0</v>
      </c>
      <c r="M1050" s="35"/>
      <c r="N1050" s="36">
        <f>IFERROR(M1050/$AC1050,0)</f>
        <v>0</v>
      </c>
      <c r="O1050" s="38"/>
      <c r="P1050" s="36">
        <f>IFERROR(O1050/$AD1050,0)</f>
        <v>0</v>
      </c>
      <c r="Q1050" s="35"/>
      <c r="R1050" s="36">
        <f>IFERROR(Q1050/$AC1050,0)</f>
        <v>0</v>
      </c>
      <c r="S1050" s="38"/>
      <c r="T1050" s="36">
        <f>IFERROR(S1050/$AD1050,0)</f>
        <v>0</v>
      </c>
      <c r="U1050" s="35"/>
      <c r="V1050" s="36">
        <f>IFERROR(U1050/$AC1050,0)</f>
        <v>0</v>
      </c>
      <c r="W1050" s="38"/>
      <c r="X1050" s="36">
        <f>IFERROR(W1050/$AD1050,0)</f>
        <v>0</v>
      </c>
      <c r="Y1050" s="35"/>
      <c r="Z1050" s="36">
        <f>IFERROR(Y1050/$AC1050,0)</f>
        <v>0</v>
      </c>
      <c r="AA1050" s="38"/>
      <c r="AB1050" s="36">
        <f>IFERROR(AA1050/$AD1050,0)</f>
        <v>0</v>
      </c>
      <c r="AC1050" s="35"/>
      <c r="AD1050" s="38"/>
    </row>
    <row r="1051" spans="1:30" ht="15.75" customHeight="1" x14ac:dyDescent="0.25">
      <c r="A1051" s="37">
        <v>2017</v>
      </c>
      <c r="B1051" s="35">
        <v>171360</v>
      </c>
      <c r="C1051" s="34" t="s">
        <v>151</v>
      </c>
      <c r="D1051" s="34" t="s">
        <v>81</v>
      </c>
      <c r="E1051" s="35"/>
      <c r="F1051" s="36">
        <f>IFERROR(E1051/$AC1051,0)</f>
        <v>0</v>
      </c>
      <c r="G1051" s="38"/>
      <c r="H1051" s="36">
        <f>IFERROR(G1051/$AD1051,0)</f>
        <v>0</v>
      </c>
      <c r="I1051" s="35"/>
      <c r="J1051" s="36">
        <f>IFERROR(I1051/$AC1051,0)</f>
        <v>0</v>
      </c>
      <c r="K1051" s="38"/>
      <c r="L1051" s="36">
        <f>IFERROR(K1051/$AD1051,0)</f>
        <v>0</v>
      </c>
      <c r="M1051" s="35"/>
      <c r="N1051" s="36">
        <f>IFERROR(M1051/$AC1051,0)</f>
        <v>0</v>
      </c>
      <c r="O1051" s="38"/>
      <c r="P1051" s="36">
        <f>IFERROR(O1051/$AD1051,0)</f>
        <v>0</v>
      </c>
      <c r="Q1051" s="35"/>
      <c r="R1051" s="36">
        <f>IFERROR(Q1051/$AC1051,0)</f>
        <v>0</v>
      </c>
      <c r="S1051" s="38"/>
      <c r="T1051" s="36">
        <f>IFERROR(S1051/$AD1051,0)</f>
        <v>0</v>
      </c>
      <c r="U1051" s="35"/>
      <c r="V1051" s="36">
        <f>IFERROR(U1051/$AC1051,0)</f>
        <v>0</v>
      </c>
      <c r="W1051" s="38"/>
      <c r="X1051" s="36">
        <f>IFERROR(W1051/$AD1051,0)</f>
        <v>0</v>
      </c>
      <c r="Y1051" s="35"/>
      <c r="Z1051" s="36">
        <f>IFERROR(Y1051/$AC1051,0)</f>
        <v>0</v>
      </c>
      <c r="AA1051" s="38"/>
      <c r="AB1051" s="36">
        <f>IFERROR(AA1051/$AD1051,0)</f>
        <v>0</v>
      </c>
      <c r="AC1051" s="35"/>
      <c r="AD1051" s="38"/>
    </row>
    <row r="1052" spans="1:30" ht="15.75" customHeight="1" x14ac:dyDescent="0.25">
      <c r="A1052" s="37">
        <v>2017</v>
      </c>
      <c r="B1052" s="35">
        <v>171370</v>
      </c>
      <c r="C1052" s="34" t="s">
        <v>144</v>
      </c>
      <c r="D1052" s="34" t="s">
        <v>82</v>
      </c>
      <c r="E1052" s="35"/>
      <c r="F1052" s="36">
        <f>IFERROR(E1052/$AC1052,0)</f>
        <v>0</v>
      </c>
      <c r="G1052" s="38"/>
      <c r="H1052" s="36">
        <f>IFERROR(G1052/$AD1052,0)</f>
        <v>0</v>
      </c>
      <c r="I1052" s="35"/>
      <c r="J1052" s="36">
        <f>IFERROR(I1052/$AC1052,0)</f>
        <v>0</v>
      </c>
      <c r="K1052" s="38"/>
      <c r="L1052" s="36">
        <f>IFERROR(K1052/$AD1052,0)</f>
        <v>0</v>
      </c>
      <c r="M1052" s="35"/>
      <c r="N1052" s="36">
        <f>IFERROR(M1052/$AC1052,0)</f>
        <v>0</v>
      </c>
      <c r="O1052" s="38"/>
      <c r="P1052" s="36">
        <f>IFERROR(O1052/$AD1052,0)</f>
        <v>0</v>
      </c>
      <c r="Q1052" s="35"/>
      <c r="R1052" s="36">
        <f>IFERROR(Q1052/$AC1052,0)</f>
        <v>0</v>
      </c>
      <c r="S1052" s="38"/>
      <c r="T1052" s="36">
        <f>IFERROR(S1052/$AD1052,0)</f>
        <v>0</v>
      </c>
      <c r="U1052" s="35"/>
      <c r="V1052" s="36">
        <f>IFERROR(U1052/$AC1052,0)</f>
        <v>0</v>
      </c>
      <c r="W1052" s="38"/>
      <c r="X1052" s="36">
        <f>IFERROR(W1052/$AD1052,0)</f>
        <v>0</v>
      </c>
      <c r="Y1052" s="35"/>
      <c r="Z1052" s="36">
        <f>IFERROR(Y1052/$AC1052,0)</f>
        <v>0</v>
      </c>
      <c r="AA1052" s="38"/>
      <c r="AB1052" s="36">
        <f>IFERROR(AA1052/$AD1052,0)</f>
        <v>0</v>
      </c>
      <c r="AC1052" s="35"/>
      <c r="AD1052" s="38"/>
    </row>
    <row r="1053" spans="1:30" ht="15.75" customHeight="1" x14ac:dyDescent="0.25">
      <c r="A1053" s="37">
        <v>2017</v>
      </c>
      <c r="B1053" s="35">
        <v>171395</v>
      </c>
      <c r="C1053" s="34" t="s">
        <v>149</v>
      </c>
      <c r="D1053" s="34" t="s">
        <v>83</v>
      </c>
      <c r="E1053" s="35"/>
      <c r="F1053" s="36">
        <f>IFERROR(E1053/$AC1053,0)</f>
        <v>0</v>
      </c>
      <c r="G1053" s="38"/>
      <c r="H1053" s="36">
        <f>IFERROR(G1053/$AD1053,0)</f>
        <v>0</v>
      </c>
      <c r="I1053" s="35"/>
      <c r="J1053" s="36">
        <f>IFERROR(I1053/$AC1053,0)</f>
        <v>0</v>
      </c>
      <c r="K1053" s="38"/>
      <c r="L1053" s="36">
        <f>IFERROR(K1053/$AD1053,0)</f>
        <v>0</v>
      </c>
      <c r="M1053" s="35"/>
      <c r="N1053" s="36">
        <f>IFERROR(M1053/$AC1053,0)</f>
        <v>0</v>
      </c>
      <c r="O1053" s="38"/>
      <c r="P1053" s="36">
        <f>IFERROR(O1053/$AD1053,0)</f>
        <v>0</v>
      </c>
      <c r="Q1053" s="35"/>
      <c r="R1053" s="36">
        <f>IFERROR(Q1053/$AC1053,0)</f>
        <v>0</v>
      </c>
      <c r="S1053" s="38"/>
      <c r="T1053" s="36">
        <f>IFERROR(S1053/$AD1053,0)</f>
        <v>0</v>
      </c>
      <c r="U1053" s="35"/>
      <c r="V1053" s="36">
        <f>IFERROR(U1053/$AC1053,0)</f>
        <v>0</v>
      </c>
      <c r="W1053" s="38"/>
      <c r="X1053" s="36">
        <f>IFERROR(W1053/$AD1053,0)</f>
        <v>0</v>
      </c>
      <c r="Y1053" s="35"/>
      <c r="Z1053" s="36">
        <f>IFERROR(Y1053/$AC1053,0)</f>
        <v>0</v>
      </c>
      <c r="AA1053" s="38"/>
      <c r="AB1053" s="36">
        <f>IFERROR(AA1053/$AD1053,0)</f>
        <v>0</v>
      </c>
      <c r="AC1053" s="35"/>
      <c r="AD1053" s="38"/>
    </row>
    <row r="1054" spans="1:30" ht="15.75" customHeight="1" x14ac:dyDescent="0.25">
      <c r="A1054" s="37">
        <v>2017</v>
      </c>
      <c r="B1054" s="35">
        <v>171420</v>
      </c>
      <c r="C1054" s="34" t="s">
        <v>151</v>
      </c>
      <c r="D1054" s="34" t="s">
        <v>84</v>
      </c>
      <c r="E1054" s="35"/>
      <c r="F1054" s="36">
        <f>IFERROR(E1054/$AC1054,0)</f>
        <v>0</v>
      </c>
      <c r="G1054" s="38"/>
      <c r="H1054" s="36">
        <f>IFERROR(G1054/$AD1054,0)</f>
        <v>0</v>
      </c>
      <c r="I1054" s="35"/>
      <c r="J1054" s="36">
        <f>IFERROR(I1054/$AC1054,0)</f>
        <v>0</v>
      </c>
      <c r="K1054" s="38"/>
      <c r="L1054" s="36">
        <f>IFERROR(K1054/$AD1054,0)</f>
        <v>0</v>
      </c>
      <c r="M1054" s="35"/>
      <c r="N1054" s="36">
        <f>IFERROR(M1054/$AC1054,0)</f>
        <v>0</v>
      </c>
      <c r="O1054" s="38"/>
      <c r="P1054" s="36">
        <f>IFERROR(O1054/$AD1054,0)</f>
        <v>0</v>
      </c>
      <c r="Q1054" s="35"/>
      <c r="R1054" s="36">
        <f>IFERROR(Q1054/$AC1054,0)</f>
        <v>0</v>
      </c>
      <c r="S1054" s="38"/>
      <c r="T1054" s="36">
        <f>IFERROR(S1054/$AD1054,0)</f>
        <v>0</v>
      </c>
      <c r="U1054" s="35"/>
      <c r="V1054" s="36">
        <f>IFERROR(U1054/$AC1054,0)</f>
        <v>0</v>
      </c>
      <c r="W1054" s="38"/>
      <c r="X1054" s="36">
        <f>IFERROR(W1054/$AD1054,0)</f>
        <v>0</v>
      </c>
      <c r="Y1054" s="35"/>
      <c r="Z1054" s="36">
        <f>IFERROR(Y1054/$AC1054,0)</f>
        <v>0</v>
      </c>
      <c r="AA1054" s="38"/>
      <c r="AB1054" s="36">
        <f>IFERROR(AA1054/$AD1054,0)</f>
        <v>0</v>
      </c>
      <c r="AC1054" s="35"/>
      <c r="AD1054" s="38"/>
    </row>
    <row r="1055" spans="1:30" ht="15.75" customHeight="1" x14ac:dyDescent="0.25">
      <c r="A1055" s="37">
        <v>2017</v>
      </c>
      <c r="B1055" s="35">
        <v>171430</v>
      </c>
      <c r="C1055" s="34" t="s">
        <v>145</v>
      </c>
      <c r="D1055" s="34" t="s">
        <v>85</v>
      </c>
      <c r="E1055" s="35"/>
      <c r="F1055" s="36">
        <f>IFERROR(E1055/$AC1055,0)</f>
        <v>0</v>
      </c>
      <c r="G1055" s="38"/>
      <c r="H1055" s="36">
        <f>IFERROR(G1055/$AD1055,0)</f>
        <v>0</v>
      </c>
      <c r="I1055" s="35"/>
      <c r="J1055" s="36">
        <f>IFERROR(I1055/$AC1055,0)</f>
        <v>0</v>
      </c>
      <c r="K1055" s="38"/>
      <c r="L1055" s="36">
        <f>IFERROR(K1055/$AD1055,0)</f>
        <v>0</v>
      </c>
      <c r="M1055" s="35"/>
      <c r="N1055" s="36">
        <f>IFERROR(M1055/$AC1055,0)</f>
        <v>0</v>
      </c>
      <c r="O1055" s="38"/>
      <c r="P1055" s="36">
        <f>IFERROR(O1055/$AD1055,0)</f>
        <v>0</v>
      </c>
      <c r="Q1055" s="35"/>
      <c r="R1055" s="36">
        <f>IFERROR(Q1055/$AC1055,0)</f>
        <v>0</v>
      </c>
      <c r="S1055" s="38"/>
      <c r="T1055" s="36">
        <f>IFERROR(S1055/$AD1055,0)</f>
        <v>0</v>
      </c>
      <c r="U1055" s="35"/>
      <c r="V1055" s="36">
        <f>IFERROR(U1055/$AC1055,0)</f>
        <v>0</v>
      </c>
      <c r="W1055" s="38"/>
      <c r="X1055" s="36">
        <f>IFERROR(W1055/$AD1055,0)</f>
        <v>0</v>
      </c>
      <c r="Y1055" s="35"/>
      <c r="Z1055" s="36">
        <f>IFERROR(Y1055/$AC1055,0)</f>
        <v>0</v>
      </c>
      <c r="AA1055" s="38"/>
      <c r="AB1055" s="36">
        <f>IFERROR(AA1055/$AD1055,0)</f>
        <v>0</v>
      </c>
      <c r="AC1055" s="35"/>
      <c r="AD1055" s="38"/>
    </row>
    <row r="1056" spans="1:30" ht="15.75" customHeight="1" x14ac:dyDescent="0.25">
      <c r="A1056" s="37">
        <v>2017</v>
      </c>
      <c r="B1056" s="35">
        <v>171488</v>
      </c>
      <c r="C1056" s="34" t="s">
        <v>149</v>
      </c>
      <c r="D1056" s="34" t="s">
        <v>86</v>
      </c>
      <c r="E1056" s="35"/>
      <c r="F1056" s="36">
        <f>IFERROR(E1056/$AC1056,0)</f>
        <v>0</v>
      </c>
      <c r="G1056" s="38"/>
      <c r="H1056" s="36">
        <f>IFERROR(G1056/$AD1056,0)</f>
        <v>0</v>
      </c>
      <c r="I1056" s="35"/>
      <c r="J1056" s="36">
        <f>IFERROR(I1056/$AC1056,0)</f>
        <v>0</v>
      </c>
      <c r="K1056" s="38"/>
      <c r="L1056" s="36">
        <f>IFERROR(K1056/$AD1056,0)</f>
        <v>0</v>
      </c>
      <c r="M1056" s="35"/>
      <c r="N1056" s="36">
        <f>IFERROR(M1056/$AC1056,0)</f>
        <v>0</v>
      </c>
      <c r="O1056" s="38"/>
      <c r="P1056" s="36">
        <f>IFERROR(O1056/$AD1056,0)</f>
        <v>0</v>
      </c>
      <c r="Q1056" s="35"/>
      <c r="R1056" s="36">
        <f>IFERROR(Q1056/$AC1056,0)</f>
        <v>0</v>
      </c>
      <c r="S1056" s="38"/>
      <c r="T1056" s="36">
        <f>IFERROR(S1056/$AD1056,0)</f>
        <v>0</v>
      </c>
      <c r="U1056" s="35"/>
      <c r="V1056" s="36">
        <f>IFERROR(U1056/$AC1056,0)</f>
        <v>0</v>
      </c>
      <c r="W1056" s="38"/>
      <c r="X1056" s="36">
        <f>IFERROR(W1056/$AD1056,0)</f>
        <v>0</v>
      </c>
      <c r="Y1056" s="35"/>
      <c r="Z1056" s="36">
        <f>IFERROR(Y1056/$AC1056,0)</f>
        <v>0</v>
      </c>
      <c r="AA1056" s="38"/>
      <c r="AB1056" s="36">
        <f>IFERROR(AA1056/$AD1056,0)</f>
        <v>0</v>
      </c>
      <c r="AC1056" s="35"/>
      <c r="AD1056" s="38"/>
    </row>
    <row r="1057" spans="1:30" ht="15.75" customHeight="1" x14ac:dyDescent="0.25">
      <c r="A1057" s="37">
        <v>2017</v>
      </c>
      <c r="B1057" s="35">
        <v>171500</v>
      </c>
      <c r="C1057" s="34" t="s">
        <v>144</v>
      </c>
      <c r="D1057" s="34" t="s">
        <v>87</v>
      </c>
      <c r="E1057" s="35"/>
      <c r="F1057" s="36">
        <f>IFERROR(E1057/$AC1057,0)</f>
        <v>0</v>
      </c>
      <c r="G1057" s="38"/>
      <c r="H1057" s="36">
        <f>IFERROR(G1057/$AD1057,0)</f>
        <v>0</v>
      </c>
      <c r="I1057" s="35"/>
      <c r="J1057" s="36">
        <f>IFERROR(I1057/$AC1057,0)</f>
        <v>0</v>
      </c>
      <c r="K1057" s="38"/>
      <c r="L1057" s="36">
        <f>IFERROR(K1057/$AD1057,0)</f>
        <v>0</v>
      </c>
      <c r="M1057" s="35"/>
      <c r="N1057" s="36">
        <f>IFERROR(M1057/$AC1057,0)</f>
        <v>0</v>
      </c>
      <c r="O1057" s="38"/>
      <c r="P1057" s="36">
        <f>IFERROR(O1057/$AD1057,0)</f>
        <v>0</v>
      </c>
      <c r="Q1057" s="35"/>
      <c r="R1057" s="36">
        <f>IFERROR(Q1057/$AC1057,0)</f>
        <v>0</v>
      </c>
      <c r="S1057" s="38"/>
      <c r="T1057" s="36">
        <f>IFERROR(S1057/$AD1057,0)</f>
        <v>0</v>
      </c>
      <c r="U1057" s="35"/>
      <c r="V1057" s="36">
        <f>IFERROR(U1057/$AC1057,0)</f>
        <v>0</v>
      </c>
      <c r="W1057" s="38"/>
      <c r="X1057" s="36">
        <f>IFERROR(W1057/$AD1057,0)</f>
        <v>0</v>
      </c>
      <c r="Y1057" s="35"/>
      <c r="Z1057" s="36">
        <f>IFERROR(Y1057/$AC1057,0)</f>
        <v>0</v>
      </c>
      <c r="AA1057" s="38"/>
      <c r="AB1057" s="36">
        <f>IFERROR(AA1057/$AD1057,0)</f>
        <v>0</v>
      </c>
      <c r="AC1057" s="35"/>
      <c r="AD1057" s="38"/>
    </row>
    <row r="1058" spans="1:30" ht="15.75" customHeight="1" x14ac:dyDescent="0.25">
      <c r="A1058" s="37">
        <v>2017</v>
      </c>
      <c r="B1058" s="35">
        <v>171510</v>
      </c>
      <c r="C1058" s="34" t="s">
        <v>148</v>
      </c>
      <c r="D1058" s="34" t="s">
        <v>88</v>
      </c>
      <c r="E1058" s="35"/>
      <c r="F1058" s="36">
        <f>IFERROR(E1058/$AC1058,0)</f>
        <v>0</v>
      </c>
      <c r="G1058" s="38"/>
      <c r="H1058" s="36">
        <f>IFERROR(G1058/$AD1058,0)</f>
        <v>0</v>
      </c>
      <c r="I1058" s="35"/>
      <c r="J1058" s="36">
        <f>IFERROR(I1058/$AC1058,0)</f>
        <v>0</v>
      </c>
      <c r="K1058" s="38"/>
      <c r="L1058" s="36">
        <f>IFERROR(K1058/$AD1058,0)</f>
        <v>0</v>
      </c>
      <c r="M1058" s="35"/>
      <c r="N1058" s="36">
        <f>IFERROR(M1058/$AC1058,0)</f>
        <v>0</v>
      </c>
      <c r="O1058" s="38"/>
      <c r="P1058" s="36">
        <f>IFERROR(O1058/$AD1058,0)</f>
        <v>0</v>
      </c>
      <c r="Q1058" s="35"/>
      <c r="R1058" s="36">
        <f>IFERROR(Q1058/$AC1058,0)</f>
        <v>0</v>
      </c>
      <c r="S1058" s="38"/>
      <c r="T1058" s="36">
        <f>IFERROR(S1058/$AD1058,0)</f>
        <v>0</v>
      </c>
      <c r="U1058" s="35"/>
      <c r="V1058" s="36">
        <f>IFERROR(U1058/$AC1058,0)</f>
        <v>0</v>
      </c>
      <c r="W1058" s="38"/>
      <c r="X1058" s="36">
        <f>IFERROR(W1058/$AD1058,0)</f>
        <v>0</v>
      </c>
      <c r="Y1058" s="35"/>
      <c r="Z1058" s="36">
        <f>IFERROR(Y1058/$AC1058,0)</f>
        <v>0</v>
      </c>
      <c r="AA1058" s="38"/>
      <c r="AB1058" s="36">
        <f>IFERROR(AA1058/$AD1058,0)</f>
        <v>0</v>
      </c>
      <c r="AC1058" s="35"/>
      <c r="AD1058" s="38"/>
    </row>
    <row r="1059" spans="1:30" ht="15.75" customHeight="1" x14ac:dyDescent="0.25">
      <c r="A1059" s="37">
        <v>2017</v>
      </c>
      <c r="B1059" s="35">
        <v>171515</v>
      </c>
      <c r="C1059" s="34" t="s">
        <v>147</v>
      </c>
      <c r="D1059" s="34" t="s">
        <v>89</v>
      </c>
      <c r="E1059" s="35"/>
      <c r="F1059" s="36">
        <f>IFERROR(E1059/$AC1059,0)</f>
        <v>0</v>
      </c>
      <c r="G1059" s="38"/>
      <c r="H1059" s="36">
        <f>IFERROR(G1059/$AD1059,0)</f>
        <v>0</v>
      </c>
      <c r="I1059" s="35"/>
      <c r="J1059" s="36">
        <f>IFERROR(I1059/$AC1059,0)</f>
        <v>0</v>
      </c>
      <c r="K1059" s="38"/>
      <c r="L1059" s="36">
        <f>IFERROR(K1059/$AD1059,0)</f>
        <v>0</v>
      </c>
      <c r="M1059" s="35"/>
      <c r="N1059" s="36">
        <f>IFERROR(M1059/$AC1059,0)</f>
        <v>0</v>
      </c>
      <c r="O1059" s="38"/>
      <c r="P1059" s="36">
        <f>IFERROR(O1059/$AD1059,0)</f>
        <v>0</v>
      </c>
      <c r="Q1059" s="35"/>
      <c r="R1059" s="36">
        <f>IFERROR(Q1059/$AC1059,0)</f>
        <v>0</v>
      </c>
      <c r="S1059" s="38"/>
      <c r="T1059" s="36">
        <f>IFERROR(S1059/$AD1059,0)</f>
        <v>0</v>
      </c>
      <c r="U1059" s="35"/>
      <c r="V1059" s="36">
        <f>IFERROR(U1059/$AC1059,0)</f>
        <v>0</v>
      </c>
      <c r="W1059" s="38"/>
      <c r="X1059" s="36">
        <f>IFERROR(W1059/$AD1059,0)</f>
        <v>0</v>
      </c>
      <c r="Y1059" s="35"/>
      <c r="Z1059" s="36">
        <f>IFERROR(Y1059/$AC1059,0)</f>
        <v>0</v>
      </c>
      <c r="AA1059" s="38"/>
      <c r="AB1059" s="36">
        <f>IFERROR(AA1059/$AD1059,0)</f>
        <v>0</v>
      </c>
      <c r="AC1059" s="35"/>
      <c r="AD1059" s="38"/>
    </row>
    <row r="1060" spans="1:30" ht="15.75" customHeight="1" x14ac:dyDescent="0.25">
      <c r="A1060" s="37">
        <v>2017</v>
      </c>
      <c r="B1060" s="35">
        <v>171525</v>
      </c>
      <c r="C1060" s="34" t="s">
        <v>147</v>
      </c>
      <c r="D1060" s="34" t="s">
        <v>90</v>
      </c>
      <c r="E1060" s="35"/>
      <c r="F1060" s="36">
        <f>IFERROR(E1060/$AC1060,0)</f>
        <v>0</v>
      </c>
      <c r="G1060" s="38"/>
      <c r="H1060" s="36">
        <f>IFERROR(G1060/$AD1060,0)</f>
        <v>0</v>
      </c>
      <c r="I1060" s="35"/>
      <c r="J1060" s="36">
        <f>IFERROR(I1060/$AC1060,0)</f>
        <v>0</v>
      </c>
      <c r="K1060" s="38"/>
      <c r="L1060" s="36">
        <f>IFERROR(K1060/$AD1060,0)</f>
        <v>0</v>
      </c>
      <c r="M1060" s="35"/>
      <c r="N1060" s="36">
        <f>IFERROR(M1060/$AC1060,0)</f>
        <v>0</v>
      </c>
      <c r="O1060" s="38"/>
      <c r="P1060" s="36">
        <f>IFERROR(O1060/$AD1060,0)</f>
        <v>0</v>
      </c>
      <c r="Q1060" s="35"/>
      <c r="R1060" s="36">
        <f>IFERROR(Q1060/$AC1060,0)</f>
        <v>0</v>
      </c>
      <c r="S1060" s="38"/>
      <c r="T1060" s="36">
        <f>IFERROR(S1060/$AD1060,0)</f>
        <v>0</v>
      </c>
      <c r="U1060" s="35"/>
      <c r="V1060" s="36">
        <f>IFERROR(U1060/$AC1060,0)</f>
        <v>0</v>
      </c>
      <c r="W1060" s="38"/>
      <c r="X1060" s="36">
        <f>IFERROR(W1060/$AD1060,0)</f>
        <v>0</v>
      </c>
      <c r="Y1060" s="35"/>
      <c r="Z1060" s="36">
        <f>IFERROR(Y1060/$AC1060,0)</f>
        <v>0</v>
      </c>
      <c r="AA1060" s="38"/>
      <c r="AB1060" s="36">
        <f>IFERROR(AA1060/$AD1060,0)</f>
        <v>0</v>
      </c>
      <c r="AC1060" s="35"/>
      <c r="AD1060" s="38"/>
    </row>
    <row r="1061" spans="1:30" ht="15.75" customHeight="1" x14ac:dyDescent="0.25">
      <c r="A1061" s="37">
        <v>2017</v>
      </c>
      <c r="B1061" s="35">
        <v>171550</v>
      </c>
      <c r="C1061" s="34" t="s">
        <v>151</v>
      </c>
      <c r="D1061" s="34" t="s">
        <v>91</v>
      </c>
      <c r="E1061" s="35"/>
      <c r="F1061" s="36">
        <f>IFERROR(E1061/$AC1061,0)</f>
        <v>0</v>
      </c>
      <c r="G1061" s="38"/>
      <c r="H1061" s="36">
        <f>IFERROR(G1061/$AD1061,0)</f>
        <v>0</v>
      </c>
      <c r="I1061" s="35"/>
      <c r="J1061" s="36">
        <f>IFERROR(I1061/$AC1061,0)</f>
        <v>0</v>
      </c>
      <c r="K1061" s="38"/>
      <c r="L1061" s="36">
        <f>IFERROR(K1061/$AD1061,0)</f>
        <v>0</v>
      </c>
      <c r="M1061" s="35"/>
      <c r="N1061" s="36">
        <f>IFERROR(M1061/$AC1061,0)</f>
        <v>0</v>
      </c>
      <c r="O1061" s="38"/>
      <c r="P1061" s="36">
        <f>IFERROR(O1061/$AD1061,0)</f>
        <v>0</v>
      </c>
      <c r="Q1061" s="35"/>
      <c r="R1061" s="36">
        <f>IFERROR(Q1061/$AC1061,0)</f>
        <v>0</v>
      </c>
      <c r="S1061" s="38"/>
      <c r="T1061" s="36">
        <f>IFERROR(S1061/$AD1061,0)</f>
        <v>0</v>
      </c>
      <c r="U1061" s="35"/>
      <c r="V1061" s="36">
        <f>IFERROR(U1061/$AC1061,0)</f>
        <v>0</v>
      </c>
      <c r="W1061" s="38"/>
      <c r="X1061" s="36">
        <f>IFERROR(W1061/$AD1061,0)</f>
        <v>0</v>
      </c>
      <c r="Y1061" s="35"/>
      <c r="Z1061" s="36">
        <f>IFERROR(Y1061/$AC1061,0)</f>
        <v>0</v>
      </c>
      <c r="AA1061" s="38"/>
      <c r="AB1061" s="36">
        <f>IFERROR(AA1061/$AD1061,0)</f>
        <v>0</v>
      </c>
      <c r="AC1061" s="35"/>
      <c r="AD1061" s="38"/>
    </row>
    <row r="1062" spans="1:30" ht="15.75" customHeight="1" x14ac:dyDescent="0.25">
      <c r="A1062" s="37">
        <v>2017</v>
      </c>
      <c r="B1062" s="35">
        <v>172100</v>
      </c>
      <c r="C1062" s="34" t="s">
        <v>148</v>
      </c>
      <c r="D1062" s="34" t="s">
        <v>92</v>
      </c>
      <c r="E1062" s="35"/>
      <c r="F1062" s="36">
        <f>IFERROR(E1062/$AC1062,0)</f>
        <v>0</v>
      </c>
      <c r="G1062" s="38"/>
      <c r="H1062" s="36">
        <f>IFERROR(G1062/$AD1062,0)</f>
        <v>0</v>
      </c>
      <c r="I1062" s="35"/>
      <c r="J1062" s="36">
        <f>IFERROR(I1062/$AC1062,0)</f>
        <v>0</v>
      </c>
      <c r="K1062" s="38"/>
      <c r="L1062" s="36">
        <f>IFERROR(K1062/$AD1062,0)</f>
        <v>0</v>
      </c>
      <c r="M1062" s="35"/>
      <c r="N1062" s="36">
        <f>IFERROR(M1062/$AC1062,0)</f>
        <v>0</v>
      </c>
      <c r="O1062" s="39"/>
      <c r="P1062" s="36">
        <f>IFERROR(O1062/$AD1062,0)</f>
        <v>0</v>
      </c>
      <c r="Q1062" s="35"/>
      <c r="R1062" s="36">
        <f>IFERROR(Q1062/$AC1062,0)</f>
        <v>0</v>
      </c>
      <c r="S1062" s="38"/>
      <c r="T1062" s="36">
        <f>IFERROR(S1062/$AD1062,0)</f>
        <v>0</v>
      </c>
      <c r="U1062" s="35"/>
      <c r="V1062" s="36">
        <f>IFERROR(U1062/$AC1062,0)</f>
        <v>0</v>
      </c>
      <c r="W1062" s="38"/>
      <c r="X1062" s="36">
        <f>IFERROR(W1062/$AD1062,0)</f>
        <v>0</v>
      </c>
      <c r="Y1062" s="35"/>
      <c r="Z1062" s="36">
        <f>IFERROR(Y1062/$AC1062,0)</f>
        <v>0</v>
      </c>
      <c r="AA1062" s="39"/>
      <c r="AB1062" s="36">
        <f>IFERROR(AA1062/$AD1062,0)</f>
        <v>0</v>
      </c>
      <c r="AC1062" s="35"/>
      <c r="AD1062" s="39"/>
    </row>
    <row r="1063" spans="1:30" ht="15.75" customHeight="1" x14ac:dyDescent="0.25">
      <c r="A1063" s="37">
        <v>2017</v>
      </c>
      <c r="B1063" s="35">
        <v>171570</v>
      </c>
      <c r="C1063" s="34" t="s">
        <v>150</v>
      </c>
      <c r="D1063" s="34" t="s">
        <v>93</v>
      </c>
      <c r="E1063" s="35"/>
      <c r="F1063" s="36">
        <f>IFERROR(E1063/$AC1063,0)</f>
        <v>0</v>
      </c>
      <c r="G1063" s="38"/>
      <c r="H1063" s="36">
        <f>IFERROR(G1063/$AD1063,0)</f>
        <v>0</v>
      </c>
      <c r="I1063" s="35"/>
      <c r="J1063" s="36">
        <f>IFERROR(I1063/$AC1063,0)</f>
        <v>0</v>
      </c>
      <c r="K1063" s="38"/>
      <c r="L1063" s="36">
        <f>IFERROR(K1063/$AD1063,0)</f>
        <v>0</v>
      </c>
      <c r="M1063" s="35"/>
      <c r="N1063" s="36">
        <f>IFERROR(M1063/$AC1063,0)</f>
        <v>0</v>
      </c>
      <c r="O1063" s="38"/>
      <c r="P1063" s="36">
        <f>IFERROR(O1063/$AD1063,0)</f>
        <v>0</v>
      </c>
      <c r="Q1063" s="35"/>
      <c r="R1063" s="36">
        <f>IFERROR(Q1063/$AC1063,0)</f>
        <v>0</v>
      </c>
      <c r="S1063" s="38"/>
      <c r="T1063" s="36">
        <f>IFERROR(S1063/$AD1063,0)</f>
        <v>0</v>
      </c>
      <c r="U1063" s="35"/>
      <c r="V1063" s="36">
        <f>IFERROR(U1063/$AC1063,0)</f>
        <v>0</v>
      </c>
      <c r="W1063" s="38"/>
      <c r="X1063" s="36">
        <f>IFERROR(W1063/$AD1063,0)</f>
        <v>0</v>
      </c>
      <c r="Y1063" s="35"/>
      <c r="Z1063" s="36">
        <f>IFERROR(Y1063/$AC1063,0)</f>
        <v>0</v>
      </c>
      <c r="AA1063" s="38"/>
      <c r="AB1063" s="36">
        <f>IFERROR(AA1063/$AD1063,0)</f>
        <v>0</v>
      </c>
      <c r="AC1063" s="35"/>
      <c r="AD1063" s="38"/>
    </row>
    <row r="1064" spans="1:30" ht="15.75" customHeight="1" x14ac:dyDescent="0.25">
      <c r="A1064" s="37">
        <v>2017</v>
      </c>
      <c r="B1064" s="35">
        <v>171380</v>
      </c>
      <c r="C1064" s="34" t="s">
        <v>145</v>
      </c>
      <c r="D1064" s="34" t="s">
        <v>94</v>
      </c>
      <c r="E1064" s="35"/>
      <c r="F1064" s="36">
        <f>IFERROR(E1064/$AC1064,0)</f>
        <v>0</v>
      </c>
      <c r="G1064" s="38"/>
      <c r="H1064" s="36">
        <f>IFERROR(G1064/$AD1064,0)</f>
        <v>0</v>
      </c>
      <c r="I1064" s="35"/>
      <c r="J1064" s="36">
        <f>IFERROR(I1064/$AC1064,0)</f>
        <v>0</v>
      </c>
      <c r="K1064" s="38"/>
      <c r="L1064" s="36">
        <f>IFERROR(K1064/$AD1064,0)</f>
        <v>0</v>
      </c>
      <c r="M1064" s="35"/>
      <c r="N1064" s="36">
        <f>IFERROR(M1064/$AC1064,0)</f>
        <v>0</v>
      </c>
      <c r="O1064" s="38"/>
      <c r="P1064" s="36">
        <f>IFERROR(O1064/$AD1064,0)</f>
        <v>0</v>
      </c>
      <c r="Q1064" s="35"/>
      <c r="R1064" s="36">
        <f>IFERROR(Q1064/$AC1064,0)</f>
        <v>0</v>
      </c>
      <c r="S1064" s="38"/>
      <c r="T1064" s="36">
        <f>IFERROR(S1064/$AD1064,0)</f>
        <v>0</v>
      </c>
      <c r="U1064" s="35"/>
      <c r="V1064" s="36">
        <f>IFERROR(U1064/$AC1064,0)</f>
        <v>0</v>
      </c>
      <c r="W1064" s="38"/>
      <c r="X1064" s="36">
        <f>IFERROR(W1064/$AD1064,0)</f>
        <v>0</v>
      </c>
      <c r="Y1064" s="35"/>
      <c r="Z1064" s="36">
        <f>IFERROR(Y1064/$AC1064,0)</f>
        <v>0</v>
      </c>
      <c r="AA1064" s="38"/>
      <c r="AB1064" s="36">
        <f>IFERROR(AA1064/$AD1064,0)</f>
        <v>0</v>
      </c>
      <c r="AC1064" s="35"/>
      <c r="AD1064" s="38"/>
    </row>
    <row r="1065" spans="1:30" ht="15.75" customHeight="1" x14ac:dyDescent="0.25">
      <c r="A1065" s="37">
        <v>2017</v>
      </c>
      <c r="B1065" s="35">
        <v>171575</v>
      </c>
      <c r="C1065" s="34" t="s">
        <v>146</v>
      </c>
      <c r="D1065" s="34" t="s">
        <v>95</v>
      </c>
      <c r="E1065" s="35"/>
      <c r="F1065" s="36">
        <f>IFERROR(E1065/$AC1065,0)</f>
        <v>0</v>
      </c>
      <c r="G1065" s="38"/>
      <c r="H1065" s="36">
        <f>IFERROR(G1065/$AD1065,0)</f>
        <v>0</v>
      </c>
      <c r="I1065" s="35"/>
      <c r="J1065" s="36">
        <f>IFERROR(I1065/$AC1065,0)</f>
        <v>0</v>
      </c>
      <c r="K1065" s="38"/>
      <c r="L1065" s="36">
        <f>IFERROR(K1065/$AD1065,0)</f>
        <v>0</v>
      </c>
      <c r="M1065" s="35"/>
      <c r="N1065" s="36">
        <f>IFERROR(M1065/$AC1065,0)</f>
        <v>0</v>
      </c>
      <c r="O1065" s="38"/>
      <c r="P1065" s="36">
        <f>IFERROR(O1065/$AD1065,0)</f>
        <v>0</v>
      </c>
      <c r="Q1065" s="35"/>
      <c r="R1065" s="36">
        <f>IFERROR(Q1065/$AC1065,0)</f>
        <v>0</v>
      </c>
      <c r="S1065" s="38"/>
      <c r="T1065" s="36">
        <f>IFERROR(S1065/$AD1065,0)</f>
        <v>0</v>
      </c>
      <c r="U1065" s="35"/>
      <c r="V1065" s="36">
        <f>IFERROR(U1065/$AC1065,0)</f>
        <v>0</v>
      </c>
      <c r="W1065" s="38"/>
      <c r="X1065" s="36">
        <f>IFERROR(W1065/$AD1065,0)</f>
        <v>0</v>
      </c>
      <c r="Y1065" s="35"/>
      <c r="Z1065" s="36">
        <f>IFERROR(Y1065/$AC1065,0)</f>
        <v>0</v>
      </c>
      <c r="AA1065" s="38"/>
      <c r="AB1065" s="36">
        <f>IFERROR(AA1065/$AD1065,0)</f>
        <v>0</v>
      </c>
      <c r="AC1065" s="35"/>
      <c r="AD1065" s="38"/>
    </row>
    <row r="1066" spans="1:30" ht="15.75" customHeight="1" x14ac:dyDescent="0.25">
      <c r="A1066" s="37">
        <v>2017</v>
      </c>
      <c r="B1066" s="35">
        <v>171610</v>
      </c>
      <c r="C1066" s="34" t="s">
        <v>144</v>
      </c>
      <c r="D1066" s="34" t="s">
        <v>96</v>
      </c>
      <c r="E1066" s="35"/>
      <c r="F1066" s="36">
        <f>IFERROR(E1066/$AC1066,0)</f>
        <v>0</v>
      </c>
      <c r="G1066" s="38"/>
      <c r="H1066" s="36">
        <f>IFERROR(G1066/$AD1066,0)</f>
        <v>0</v>
      </c>
      <c r="I1066" s="35"/>
      <c r="J1066" s="36">
        <f>IFERROR(I1066/$AC1066,0)</f>
        <v>0</v>
      </c>
      <c r="K1066" s="38"/>
      <c r="L1066" s="36">
        <f>IFERROR(K1066/$AD1066,0)</f>
        <v>0</v>
      </c>
      <c r="M1066" s="35"/>
      <c r="N1066" s="36">
        <f>IFERROR(M1066/$AC1066,0)</f>
        <v>0</v>
      </c>
      <c r="O1066" s="38"/>
      <c r="P1066" s="36">
        <f>IFERROR(O1066/$AD1066,0)</f>
        <v>0</v>
      </c>
      <c r="Q1066" s="35"/>
      <c r="R1066" s="36">
        <f>IFERROR(Q1066/$AC1066,0)</f>
        <v>0</v>
      </c>
      <c r="S1066" s="38"/>
      <c r="T1066" s="36">
        <f>IFERROR(S1066/$AD1066,0)</f>
        <v>0</v>
      </c>
      <c r="U1066" s="35"/>
      <c r="V1066" s="36">
        <f>IFERROR(U1066/$AC1066,0)</f>
        <v>0</v>
      </c>
      <c r="W1066" s="38"/>
      <c r="X1066" s="36">
        <f>IFERROR(W1066/$AD1066,0)</f>
        <v>0</v>
      </c>
      <c r="Y1066" s="35"/>
      <c r="Z1066" s="36">
        <f>IFERROR(Y1066/$AC1066,0)</f>
        <v>0</v>
      </c>
      <c r="AA1066" s="38"/>
      <c r="AB1066" s="36">
        <f>IFERROR(AA1066/$AD1066,0)</f>
        <v>0</v>
      </c>
      <c r="AC1066" s="35"/>
      <c r="AD1066" s="38"/>
    </row>
    <row r="1067" spans="1:30" ht="15.75" customHeight="1" x14ac:dyDescent="0.25">
      <c r="A1067" s="37">
        <v>2017</v>
      </c>
      <c r="B1067" s="35">
        <v>171620</v>
      </c>
      <c r="C1067" s="34" t="s">
        <v>147</v>
      </c>
      <c r="D1067" s="34" t="s">
        <v>97</v>
      </c>
      <c r="E1067" s="35"/>
      <c r="F1067" s="36">
        <f>IFERROR(E1067/$AC1067,0)</f>
        <v>0</v>
      </c>
      <c r="G1067" s="38"/>
      <c r="H1067" s="36">
        <f>IFERROR(G1067/$AD1067,0)</f>
        <v>0</v>
      </c>
      <c r="I1067" s="35"/>
      <c r="J1067" s="36">
        <f>IFERROR(I1067/$AC1067,0)</f>
        <v>0</v>
      </c>
      <c r="K1067" s="38"/>
      <c r="L1067" s="36">
        <f>IFERROR(K1067/$AD1067,0)</f>
        <v>0</v>
      </c>
      <c r="M1067" s="35"/>
      <c r="N1067" s="36">
        <f>IFERROR(M1067/$AC1067,0)</f>
        <v>0</v>
      </c>
      <c r="O1067" s="38"/>
      <c r="P1067" s="36">
        <f>IFERROR(O1067/$AD1067,0)</f>
        <v>0</v>
      </c>
      <c r="Q1067" s="35"/>
      <c r="R1067" s="36">
        <f>IFERROR(Q1067/$AC1067,0)</f>
        <v>0</v>
      </c>
      <c r="S1067" s="38"/>
      <c r="T1067" s="36">
        <f>IFERROR(S1067/$AD1067,0)</f>
        <v>0</v>
      </c>
      <c r="U1067" s="35"/>
      <c r="V1067" s="36">
        <f>IFERROR(U1067/$AC1067,0)</f>
        <v>0</v>
      </c>
      <c r="W1067" s="38"/>
      <c r="X1067" s="36">
        <f>IFERROR(W1067/$AD1067,0)</f>
        <v>0</v>
      </c>
      <c r="Y1067" s="35"/>
      <c r="Z1067" s="36">
        <f>IFERROR(Y1067/$AC1067,0)</f>
        <v>0</v>
      </c>
      <c r="AA1067" s="38"/>
      <c r="AB1067" s="36">
        <f>IFERROR(AA1067/$AD1067,0)</f>
        <v>0</v>
      </c>
      <c r="AC1067" s="35"/>
      <c r="AD1067" s="38"/>
    </row>
    <row r="1068" spans="1:30" ht="15.75" customHeight="1" x14ac:dyDescent="0.25">
      <c r="A1068" s="37">
        <v>2017</v>
      </c>
      <c r="B1068" s="35">
        <v>171630</v>
      </c>
      <c r="C1068" s="34" t="s">
        <v>149</v>
      </c>
      <c r="D1068" s="34" t="s">
        <v>98</v>
      </c>
      <c r="E1068" s="35"/>
      <c r="F1068" s="36">
        <f>IFERROR(E1068/$AC1068,0)</f>
        <v>0</v>
      </c>
      <c r="G1068" s="38"/>
      <c r="H1068" s="36">
        <f>IFERROR(G1068/$AD1068,0)</f>
        <v>0</v>
      </c>
      <c r="I1068" s="35"/>
      <c r="J1068" s="36">
        <f>IFERROR(I1068/$AC1068,0)</f>
        <v>0</v>
      </c>
      <c r="K1068" s="38"/>
      <c r="L1068" s="36">
        <f>IFERROR(K1068/$AD1068,0)</f>
        <v>0</v>
      </c>
      <c r="M1068" s="35"/>
      <c r="N1068" s="36">
        <f>IFERROR(M1068/$AC1068,0)</f>
        <v>0</v>
      </c>
      <c r="O1068" s="38"/>
      <c r="P1068" s="36">
        <f>IFERROR(O1068/$AD1068,0)</f>
        <v>0</v>
      </c>
      <c r="Q1068" s="35"/>
      <c r="R1068" s="36">
        <f>IFERROR(Q1068/$AC1068,0)</f>
        <v>0</v>
      </c>
      <c r="S1068" s="38"/>
      <c r="T1068" s="36">
        <f>IFERROR(S1068/$AD1068,0)</f>
        <v>0</v>
      </c>
      <c r="U1068" s="35"/>
      <c r="V1068" s="36">
        <f>IFERROR(U1068/$AC1068,0)</f>
        <v>0</v>
      </c>
      <c r="W1068" s="38"/>
      <c r="X1068" s="36">
        <f>IFERROR(W1068/$AD1068,0)</f>
        <v>0</v>
      </c>
      <c r="Y1068" s="35"/>
      <c r="Z1068" s="36">
        <f>IFERROR(Y1068/$AC1068,0)</f>
        <v>0</v>
      </c>
      <c r="AA1068" s="38"/>
      <c r="AB1068" s="36">
        <f>IFERROR(AA1068/$AD1068,0)</f>
        <v>0</v>
      </c>
      <c r="AC1068" s="35"/>
      <c r="AD1068" s="38"/>
    </row>
    <row r="1069" spans="1:30" ht="15.75" customHeight="1" x14ac:dyDescent="0.25">
      <c r="A1069" s="37">
        <v>2017</v>
      </c>
      <c r="B1069" s="35">
        <v>171650</v>
      </c>
      <c r="C1069" s="34" t="s">
        <v>150</v>
      </c>
      <c r="D1069" s="34" t="s">
        <v>99</v>
      </c>
      <c r="E1069" s="35"/>
      <c r="F1069" s="36">
        <f>IFERROR(E1069/$AC1069,0)</f>
        <v>0</v>
      </c>
      <c r="G1069" s="38"/>
      <c r="H1069" s="36">
        <f>IFERROR(G1069/$AD1069,0)</f>
        <v>0</v>
      </c>
      <c r="I1069" s="35"/>
      <c r="J1069" s="36">
        <f>IFERROR(I1069/$AC1069,0)</f>
        <v>0</v>
      </c>
      <c r="K1069" s="38"/>
      <c r="L1069" s="36">
        <f>IFERROR(K1069/$AD1069,0)</f>
        <v>0</v>
      </c>
      <c r="M1069" s="35"/>
      <c r="N1069" s="36">
        <f>IFERROR(M1069/$AC1069,0)</f>
        <v>0</v>
      </c>
      <c r="O1069" s="38"/>
      <c r="P1069" s="36">
        <f>IFERROR(O1069/$AD1069,0)</f>
        <v>0</v>
      </c>
      <c r="Q1069" s="35"/>
      <c r="R1069" s="36">
        <f>IFERROR(Q1069/$AC1069,0)</f>
        <v>0</v>
      </c>
      <c r="S1069" s="38"/>
      <c r="T1069" s="36">
        <f>IFERROR(S1069/$AD1069,0)</f>
        <v>0</v>
      </c>
      <c r="U1069" s="35"/>
      <c r="V1069" s="36">
        <f>IFERROR(U1069/$AC1069,0)</f>
        <v>0</v>
      </c>
      <c r="W1069" s="38"/>
      <c r="X1069" s="36">
        <f>IFERROR(W1069/$AD1069,0)</f>
        <v>0</v>
      </c>
      <c r="Y1069" s="35"/>
      <c r="Z1069" s="36">
        <f>IFERROR(Y1069/$AC1069,0)</f>
        <v>0</v>
      </c>
      <c r="AA1069" s="38"/>
      <c r="AB1069" s="36">
        <f>IFERROR(AA1069/$AD1069,0)</f>
        <v>0</v>
      </c>
      <c r="AC1069" s="35"/>
      <c r="AD1069" s="38"/>
    </row>
    <row r="1070" spans="1:30" ht="15.75" customHeight="1" x14ac:dyDescent="0.25">
      <c r="A1070" s="37">
        <v>2017</v>
      </c>
      <c r="B1070" s="35">
        <v>171660</v>
      </c>
      <c r="C1070" s="34" t="s">
        <v>146</v>
      </c>
      <c r="D1070" s="34" t="s">
        <v>100</v>
      </c>
      <c r="E1070" s="35"/>
      <c r="F1070" s="36">
        <f>IFERROR(E1070/$AC1070,0)</f>
        <v>0</v>
      </c>
      <c r="G1070" s="38"/>
      <c r="H1070" s="36">
        <f>IFERROR(G1070/$AD1070,0)</f>
        <v>0</v>
      </c>
      <c r="I1070" s="35"/>
      <c r="J1070" s="36">
        <f>IFERROR(I1070/$AC1070,0)</f>
        <v>0</v>
      </c>
      <c r="K1070" s="38"/>
      <c r="L1070" s="36">
        <f>IFERROR(K1070/$AD1070,0)</f>
        <v>0</v>
      </c>
      <c r="M1070" s="35"/>
      <c r="N1070" s="36">
        <f>IFERROR(M1070/$AC1070,0)</f>
        <v>0</v>
      </c>
      <c r="O1070" s="38"/>
      <c r="P1070" s="36">
        <f>IFERROR(O1070/$AD1070,0)</f>
        <v>0</v>
      </c>
      <c r="Q1070" s="35"/>
      <c r="R1070" s="36">
        <f>IFERROR(Q1070/$AC1070,0)</f>
        <v>0</v>
      </c>
      <c r="S1070" s="38"/>
      <c r="T1070" s="36">
        <f>IFERROR(S1070/$AD1070,0)</f>
        <v>0</v>
      </c>
      <c r="U1070" s="35"/>
      <c r="V1070" s="36">
        <f>IFERROR(U1070/$AC1070,0)</f>
        <v>0</v>
      </c>
      <c r="W1070" s="38"/>
      <c r="X1070" s="36">
        <f>IFERROR(W1070/$AD1070,0)</f>
        <v>0</v>
      </c>
      <c r="Y1070" s="35"/>
      <c r="Z1070" s="36">
        <f>IFERROR(Y1070/$AC1070,0)</f>
        <v>0</v>
      </c>
      <c r="AA1070" s="38"/>
      <c r="AB1070" s="36">
        <f>IFERROR(AA1070/$AD1070,0)</f>
        <v>0</v>
      </c>
      <c r="AC1070" s="35"/>
      <c r="AD1070" s="38"/>
    </row>
    <row r="1071" spans="1:30" ht="15.75" customHeight="1" x14ac:dyDescent="0.25">
      <c r="A1071" s="37">
        <v>2017</v>
      </c>
      <c r="B1071" s="35">
        <v>171665</v>
      </c>
      <c r="C1071" s="34" t="s">
        <v>150</v>
      </c>
      <c r="D1071" s="34" t="s">
        <v>101</v>
      </c>
      <c r="E1071" s="35"/>
      <c r="F1071" s="36">
        <f>IFERROR(E1071/$AC1071,0)</f>
        <v>0</v>
      </c>
      <c r="G1071" s="38"/>
      <c r="H1071" s="36">
        <f>IFERROR(G1071/$AD1071,0)</f>
        <v>0</v>
      </c>
      <c r="I1071" s="35"/>
      <c r="J1071" s="36">
        <f>IFERROR(I1071/$AC1071,0)</f>
        <v>0</v>
      </c>
      <c r="K1071" s="38"/>
      <c r="L1071" s="36">
        <f>IFERROR(K1071/$AD1071,0)</f>
        <v>0</v>
      </c>
      <c r="M1071" s="35"/>
      <c r="N1071" s="36">
        <f>IFERROR(M1071/$AC1071,0)</f>
        <v>0</v>
      </c>
      <c r="O1071" s="38"/>
      <c r="P1071" s="36">
        <f>IFERROR(O1071/$AD1071,0)</f>
        <v>0</v>
      </c>
      <c r="Q1071" s="35"/>
      <c r="R1071" s="36">
        <f>IFERROR(Q1071/$AC1071,0)</f>
        <v>0</v>
      </c>
      <c r="S1071" s="38"/>
      <c r="T1071" s="36">
        <f>IFERROR(S1071/$AD1071,0)</f>
        <v>0</v>
      </c>
      <c r="U1071" s="35"/>
      <c r="V1071" s="36">
        <f>IFERROR(U1071/$AC1071,0)</f>
        <v>0</v>
      </c>
      <c r="W1071" s="38"/>
      <c r="X1071" s="36">
        <f>IFERROR(W1071/$AD1071,0)</f>
        <v>0</v>
      </c>
      <c r="Y1071" s="35"/>
      <c r="Z1071" s="36">
        <f>IFERROR(Y1071/$AC1071,0)</f>
        <v>0</v>
      </c>
      <c r="AA1071" s="38"/>
      <c r="AB1071" s="36">
        <f>IFERROR(AA1071/$AD1071,0)</f>
        <v>0</v>
      </c>
      <c r="AC1071" s="35"/>
      <c r="AD1071" s="38"/>
    </row>
    <row r="1072" spans="1:30" ht="15.75" customHeight="1" x14ac:dyDescent="0.25">
      <c r="A1072" s="37">
        <v>2017</v>
      </c>
      <c r="B1072" s="35">
        <v>171700</v>
      </c>
      <c r="C1072" s="34" t="s">
        <v>151</v>
      </c>
      <c r="D1072" s="34" t="s">
        <v>102</v>
      </c>
      <c r="E1072" s="35"/>
      <c r="F1072" s="36">
        <f>IFERROR(E1072/$AC1072,0)</f>
        <v>0</v>
      </c>
      <c r="G1072" s="38"/>
      <c r="H1072" s="36">
        <f>IFERROR(G1072/$AD1072,0)</f>
        <v>0</v>
      </c>
      <c r="I1072" s="35"/>
      <c r="J1072" s="36">
        <f>IFERROR(I1072/$AC1072,0)</f>
        <v>0</v>
      </c>
      <c r="K1072" s="38"/>
      <c r="L1072" s="36">
        <f>IFERROR(K1072/$AD1072,0)</f>
        <v>0</v>
      </c>
      <c r="M1072" s="35"/>
      <c r="N1072" s="36">
        <f>IFERROR(M1072/$AC1072,0)</f>
        <v>0</v>
      </c>
      <c r="O1072" s="38"/>
      <c r="P1072" s="36">
        <f>IFERROR(O1072/$AD1072,0)</f>
        <v>0</v>
      </c>
      <c r="Q1072" s="35"/>
      <c r="R1072" s="36">
        <f>IFERROR(Q1072/$AC1072,0)</f>
        <v>0</v>
      </c>
      <c r="S1072" s="38"/>
      <c r="T1072" s="36">
        <f>IFERROR(S1072/$AD1072,0)</f>
        <v>0</v>
      </c>
      <c r="U1072" s="35"/>
      <c r="V1072" s="36">
        <f>IFERROR(U1072/$AC1072,0)</f>
        <v>0</v>
      </c>
      <c r="W1072" s="38"/>
      <c r="X1072" s="36">
        <f>IFERROR(W1072/$AD1072,0)</f>
        <v>0</v>
      </c>
      <c r="Y1072" s="35"/>
      <c r="Z1072" s="36">
        <f>IFERROR(Y1072/$AC1072,0)</f>
        <v>0</v>
      </c>
      <c r="AA1072" s="38"/>
      <c r="AB1072" s="36">
        <f>IFERROR(AA1072/$AD1072,0)</f>
        <v>0</v>
      </c>
      <c r="AC1072" s="35"/>
      <c r="AD1072" s="38"/>
    </row>
    <row r="1073" spans="1:30" ht="15.75" customHeight="1" x14ac:dyDescent="0.25">
      <c r="A1073" s="37">
        <v>2017</v>
      </c>
      <c r="B1073" s="35">
        <v>171720</v>
      </c>
      <c r="C1073" s="34" t="s">
        <v>149</v>
      </c>
      <c r="D1073" s="34" t="s">
        <v>103</v>
      </c>
      <c r="E1073" s="35"/>
      <c r="F1073" s="36">
        <f>IFERROR(E1073/$AC1073,0)</f>
        <v>0</v>
      </c>
      <c r="G1073" s="38"/>
      <c r="H1073" s="36">
        <f>IFERROR(G1073/$AD1073,0)</f>
        <v>0</v>
      </c>
      <c r="I1073" s="35"/>
      <c r="J1073" s="36">
        <f>IFERROR(I1073/$AC1073,0)</f>
        <v>0</v>
      </c>
      <c r="K1073" s="38"/>
      <c r="L1073" s="36">
        <f>IFERROR(K1073/$AD1073,0)</f>
        <v>0</v>
      </c>
      <c r="M1073" s="35"/>
      <c r="N1073" s="36">
        <f>IFERROR(M1073/$AC1073,0)</f>
        <v>0</v>
      </c>
      <c r="O1073" s="38"/>
      <c r="P1073" s="36">
        <f>IFERROR(O1073/$AD1073,0)</f>
        <v>0</v>
      </c>
      <c r="Q1073" s="35"/>
      <c r="R1073" s="36">
        <f>IFERROR(Q1073/$AC1073,0)</f>
        <v>0</v>
      </c>
      <c r="S1073" s="38"/>
      <c r="T1073" s="36">
        <f>IFERROR(S1073/$AD1073,0)</f>
        <v>0</v>
      </c>
      <c r="U1073" s="35"/>
      <c r="V1073" s="36">
        <f>IFERROR(U1073/$AC1073,0)</f>
        <v>0</v>
      </c>
      <c r="W1073" s="38"/>
      <c r="X1073" s="36">
        <f>IFERROR(W1073/$AD1073,0)</f>
        <v>0</v>
      </c>
      <c r="Y1073" s="35"/>
      <c r="Z1073" s="36">
        <f>IFERROR(Y1073/$AC1073,0)</f>
        <v>0</v>
      </c>
      <c r="AA1073" s="38"/>
      <c r="AB1073" s="36">
        <f>IFERROR(AA1073/$AD1073,0)</f>
        <v>0</v>
      </c>
      <c r="AC1073" s="35"/>
      <c r="AD1073" s="38"/>
    </row>
    <row r="1074" spans="1:30" ht="15.75" customHeight="1" x14ac:dyDescent="0.25">
      <c r="A1074" s="37">
        <v>2017</v>
      </c>
      <c r="B1074" s="35">
        <v>171750</v>
      </c>
      <c r="C1074" s="34" t="s">
        <v>144</v>
      </c>
      <c r="D1074" s="34" t="s">
        <v>104</v>
      </c>
      <c r="E1074" s="35"/>
      <c r="F1074" s="36">
        <f>IFERROR(E1074/$AC1074,0)</f>
        <v>0</v>
      </c>
      <c r="G1074" s="38"/>
      <c r="H1074" s="36">
        <f>IFERROR(G1074/$AD1074,0)</f>
        <v>0</v>
      </c>
      <c r="I1074" s="35"/>
      <c r="J1074" s="36">
        <f>IFERROR(I1074/$AC1074,0)</f>
        <v>0</v>
      </c>
      <c r="K1074" s="38"/>
      <c r="L1074" s="36">
        <f>IFERROR(K1074/$AD1074,0)</f>
        <v>0</v>
      </c>
      <c r="M1074" s="35"/>
      <c r="N1074" s="36">
        <f>IFERROR(M1074/$AC1074,0)</f>
        <v>0</v>
      </c>
      <c r="O1074" s="38"/>
      <c r="P1074" s="36">
        <f>IFERROR(O1074/$AD1074,0)</f>
        <v>0</v>
      </c>
      <c r="Q1074" s="35"/>
      <c r="R1074" s="36">
        <f>IFERROR(Q1074/$AC1074,0)</f>
        <v>0</v>
      </c>
      <c r="S1074" s="38"/>
      <c r="T1074" s="36">
        <f>IFERROR(S1074/$AD1074,0)</f>
        <v>0</v>
      </c>
      <c r="U1074" s="35"/>
      <c r="V1074" s="36">
        <f>IFERROR(U1074/$AC1074,0)</f>
        <v>0</v>
      </c>
      <c r="W1074" s="38"/>
      <c r="X1074" s="36">
        <f>IFERROR(W1074/$AD1074,0)</f>
        <v>0</v>
      </c>
      <c r="Y1074" s="35"/>
      <c r="Z1074" s="36">
        <f>IFERROR(Y1074/$AC1074,0)</f>
        <v>0</v>
      </c>
      <c r="AA1074" s="38"/>
      <c r="AB1074" s="36">
        <f>IFERROR(AA1074/$AD1074,0)</f>
        <v>0</v>
      </c>
      <c r="AC1074" s="35"/>
      <c r="AD1074" s="38"/>
    </row>
    <row r="1075" spans="1:30" ht="15.75" customHeight="1" x14ac:dyDescent="0.25">
      <c r="A1075" s="37">
        <v>2017</v>
      </c>
      <c r="B1075" s="35">
        <v>171780</v>
      </c>
      <c r="C1075" s="34" t="s">
        <v>147</v>
      </c>
      <c r="D1075" s="34" t="s">
        <v>105</v>
      </c>
      <c r="E1075" s="35"/>
      <c r="F1075" s="36">
        <f>IFERROR(E1075/$AC1075,0)</f>
        <v>0</v>
      </c>
      <c r="G1075" s="38"/>
      <c r="H1075" s="36">
        <f>IFERROR(G1075/$AD1075,0)</f>
        <v>0</v>
      </c>
      <c r="I1075" s="35"/>
      <c r="J1075" s="36">
        <f>IFERROR(I1075/$AC1075,0)</f>
        <v>0</v>
      </c>
      <c r="K1075" s="38"/>
      <c r="L1075" s="36">
        <f>IFERROR(K1075/$AD1075,0)</f>
        <v>0</v>
      </c>
      <c r="M1075" s="35"/>
      <c r="N1075" s="36">
        <f>IFERROR(M1075/$AC1075,0)</f>
        <v>0</v>
      </c>
      <c r="O1075" s="38"/>
      <c r="P1075" s="36">
        <f>IFERROR(O1075/$AD1075,0)</f>
        <v>0</v>
      </c>
      <c r="Q1075" s="35"/>
      <c r="R1075" s="36">
        <f>IFERROR(Q1075/$AC1075,0)</f>
        <v>0</v>
      </c>
      <c r="S1075" s="38"/>
      <c r="T1075" s="36">
        <f>IFERROR(S1075/$AD1075,0)</f>
        <v>0</v>
      </c>
      <c r="U1075" s="35"/>
      <c r="V1075" s="36">
        <f>IFERROR(U1075/$AC1075,0)</f>
        <v>0</v>
      </c>
      <c r="W1075" s="38"/>
      <c r="X1075" s="36">
        <f>IFERROR(W1075/$AD1075,0)</f>
        <v>0</v>
      </c>
      <c r="Y1075" s="35"/>
      <c r="Z1075" s="36">
        <f>IFERROR(Y1075/$AC1075,0)</f>
        <v>0</v>
      </c>
      <c r="AA1075" s="38"/>
      <c r="AB1075" s="36">
        <f>IFERROR(AA1075/$AD1075,0)</f>
        <v>0</v>
      </c>
      <c r="AC1075" s="35"/>
      <c r="AD1075" s="38"/>
    </row>
    <row r="1076" spans="1:30" ht="15.75" customHeight="1" x14ac:dyDescent="0.25">
      <c r="A1076" s="37">
        <v>2017</v>
      </c>
      <c r="B1076" s="35">
        <v>171790</v>
      </c>
      <c r="C1076" s="34" t="s">
        <v>151</v>
      </c>
      <c r="D1076" s="34" t="s">
        <v>106</v>
      </c>
      <c r="E1076" s="35"/>
      <c r="F1076" s="36">
        <f>IFERROR(E1076/$AC1076,0)</f>
        <v>0</v>
      </c>
      <c r="G1076" s="38"/>
      <c r="H1076" s="36">
        <f>IFERROR(G1076/$AD1076,0)</f>
        <v>0</v>
      </c>
      <c r="I1076" s="35"/>
      <c r="J1076" s="36">
        <f>IFERROR(I1076/$AC1076,0)</f>
        <v>0</v>
      </c>
      <c r="K1076" s="38"/>
      <c r="L1076" s="36">
        <f>IFERROR(K1076/$AD1076,0)</f>
        <v>0</v>
      </c>
      <c r="M1076" s="35"/>
      <c r="N1076" s="36">
        <f>IFERROR(M1076/$AC1076,0)</f>
        <v>0</v>
      </c>
      <c r="O1076" s="38"/>
      <c r="P1076" s="36">
        <f>IFERROR(O1076/$AD1076,0)</f>
        <v>0</v>
      </c>
      <c r="Q1076" s="35"/>
      <c r="R1076" s="36">
        <f>IFERROR(Q1076/$AC1076,0)</f>
        <v>0</v>
      </c>
      <c r="S1076" s="38"/>
      <c r="T1076" s="36">
        <f>IFERROR(S1076/$AD1076,0)</f>
        <v>0</v>
      </c>
      <c r="U1076" s="35"/>
      <c r="V1076" s="36">
        <f>IFERROR(U1076/$AC1076,0)</f>
        <v>0</v>
      </c>
      <c r="W1076" s="38"/>
      <c r="X1076" s="36">
        <f>IFERROR(W1076/$AD1076,0)</f>
        <v>0</v>
      </c>
      <c r="Y1076" s="35"/>
      <c r="Z1076" s="36">
        <f>IFERROR(Y1076/$AC1076,0)</f>
        <v>0</v>
      </c>
      <c r="AA1076" s="38"/>
      <c r="AB1076" s="36">
        <f>IFERROR(AA1076/$AD1076,0)</f>
        <v>0</v>
      </c>
      <c r="AC1076" s="35"/>
      <c r="AD1076" s="38"/>
    </row>
    <row r="1077" spans="1:30" ht="15.75" customHeight="1" x14ac:dyDescent="0.25">
      <c r="A1077" s="37">
        <v>2017</v>
      </c>
      <c r="B1077" s="35">
        <v>171800</v>
      </c>
      <c r="C1077" s="34" t="s">
        <v>147</v>
      </c>
      <c r="D1077" s="34" t="s">
        <v>107</v>
      </c>
      <c r="E1077" s="35"/>
      <c r="F1077" s="36">
        <f>IFERROR(E1077/$AC1077,0)</f>
        <v>0</v>
      </c>
      <c r="G1077" s="38"/>
      <c r="H1077" s="36">
        <f>IFERROR(G1077/$AD1077,0)</f>
        <v>0</v>
      </c>
      <c r="I1077" s="35"/>
      <c r="J1077" s="36">
        <f>IFERROR(I1077/$AC1077,0)</f>
        <v>0</v>
      </c>
      <c r="K1077" s="38"/>
      <c r="L1077" s="36">
        <f>IFERROR(K1077/$AD1077,0)</f>
        <v>0</v>
      </c>
      <c r="M1077" s="35"/>
      <c r="N1077" s="36">
        <f>IFERROR(M1077/$AC1077,0)</f>
        <v>0</v>
      </c>
      <c r="O1077" s="38"/>
      <c r="P1077" s="36">
        <f>IFERROR(O1077/$AD1077,0)</f>
        <v>0</v>
      </c>
      <c r="Q1077" s="35"/>
      <c r="R1077" s="36">
        <f>IFERROR(Q1077/$AC1077,0)</f>
        <v>0</v>
      </c>
      <c r="S1077" s="38"/>
      <c r="T1077" s="36">
        <f>IFERROR(S1077/$AD1077,0)</f>
        <v>0</v>
      </c>
      <c r="U1077" s="35"/>
      <c r="V1077" s="36">
        <f>IFERROR(U1077/$AC1077,0)</f>
        <v>0</v>
      </c>
      <c r="W1077" s="38"/>
      <c r="X1077" s="36">
        <f>IFERROR(W1077/$AD1077,0)</f>
        <v>0</v>
      </c>
      <c r="Y1077" s="35"/>
      <c r="Z1077" s="36">
        <f>IFERROR(Y1077/$AC1077,0)</f>
        <v>0</v>
      </c>
      <c r="AA1077" s="38"/>
      <c r="AB1077" s="36">
        <f>IFERROR(AA1077/$AD1077,0)</f>
        <v>0</v>
      </c>
      <c r="AC1077" s="35"/>
      <c r="AD1077" s="38"/>
    </row>
    <row r="1078" spans="1:30" ht="15.75" customHeight="1" x14ac:dyDescent="0.25">
      <c r="A1078" s="37">
        <v>2017</v>
      </c>
      <c r="B1078" s="35">
        <v>171820</v>
      </c>
      <c r="C1078" s="34" t="s">
        <v>151</v>
      </c>
      <c r="D1078" s="34" t="s">
        <v>108</v>
      </c>
      <c r="E1078" s="35"/>
      <c r="F1078" s="36">
        <f>IFERROR(E1078/$AC1078,0)</f>
        <v>0</v>
      </c>
      <c r="G1078" s="38"/>
      <c r="H1078" s="36">
        <f>IFERROR(G1078/$AD1078,0)</f>
        <v>0</v>
      </c>
      <c r="I1078" s="35"/>
      <c r="J1078" s="36">
        <f>IFERROR(I1078/$AC1078,0)</f>
        <v>0</v>
      </c>
      <c r="K1078" s="38"/>
      <c r="L1078" s="36">
        <f>IFERROR(K1078/$AD1078,0)</f>
        <v>0</v>
      </c>
      <c r="M1078" s="35"/>
      <c r="N1078" s="36">
        <f>IFERROR(M1078/$AC1078,0)</f>
        <v>0</v>
      </c>
      <c r="O1078" s="39"/>
      <c r="P1078" s="36">
        <f>IFERROR(O1078/$AD1078,0)</f>
        <v>0</v>
      </c>
      <c r="Q1078" s="35"/>
      <c r="R1078" s="36">
        <f>IFERROR(Q1078/$AC1078,0)</f>
        <v>0</v>
      </c>
      <c r="S1078" s="38"/>
      <c r="T1078" s="36">
        <f>IFERROR(S1078/$AD1078,0)</f>
        <v>0</v>
      </c>
      <c r="U1078" s="35"/>
      <c r="V1078" s="36">
        <f>IFERROR(U1078/$AC1078,0)</f>
        <v>0</v>
      </c>
      <c r="W1078" s="38"/>
      <c r="X1078" s="36">
        <f>IFERROR(W1078/$AD1078,0)</f>
        <v>0</v>
      </c>
      <c r="Y1078" s="35"/>
      <c r="Z1078" s="36">
        <f>IFERROR(Y1078/$AC1078,0)</f>
        <v>0</v>
      </c>
      <c r="AA1078" s="38"/>
      <c r="AB1078" s="36">
        <f>IFERROR(AA1078/$AD1078,0)</f>
        <v>0</v>
      </c>
      <c r="AC1078" s="35"/>
      <c r="AD1078" s="39"/>
    </row>
    <row r="1079" spans="1:30" ht="15.75" customHeight="1" x14ac:dyDescent="0.25">
      <c r="A1079" s="37">
        <v>2017</v>
      </c>
      <c r="B1079" s="35">
        <v>171830</v>
      </c>
      <c r="C1079" s="34" t="s">
        <v>145</v>
      </c>
      <c r="D1079" s="34" t="s">
        <v>109</v>
      </c>
      <c r="E1079" s="35"/>
      <c r="F1079" s="36">
        <f>IFERROR(E1079/$AC1079,0)</f>
        <v>0</v>
      </c>
      <c r="G1079" s="38"/>
      <c r="H1079" s="36">
        <f>IFERROR(G1079/$AD1079,0)</f>
        <v>0</v>
      </c>
      <c r="I1079" s="35"/>
      <c r="J1079" s="36">
        <f>IFERROR(I1079/$AC1079,0)</f>
        <v>0</v>
      </c>
      <c r="K1079" s="38"/>
      <c r="L1079" s="36">
        <f>IFERROR(K1079/$AD1079,0)</f>
        <v>0</v>
      </c>
      <c r="M1079" s="35"/>
      <c r="N1079" s="36">
        <f>IFERROR(M1079/$AC1079,0)</f>
        <v>0</v>
      </c>
      <c r="O1079" s="38"/>
      <c r="P1079" s="36">
        <f>IFERROR(O1079/$AD1079,0)</f>
        <v>0</v>
      </c>
      <c r="Q1079" s="35"/>
      <c r="R1079" s="36">
        <f>IFERROR(Q1079/$AC1079,0)</f>
        <v>0</v>
      </c>
      <c r="S1079" s="38"/>
      <c r="T1079" s="36">
        <f>IFERROR(S1079/$AD1079,0)</f>
        <v>0</v>
      </c>
      <c r="U1079" s="35"/>
      <c r="V1079" s="36">
        <f>IFERROR(U1079/$AC1079,0)</f>
        <v>0</v>
      </c>
      <c r="W1079" s="38"/>
      <c r="X1079" s="36">
        <f>IFERROR(W1079/$AD1079,0)</f>
        <v>0</v>
      </c>
      <c r="Y1079" s="35"/>
      <c r="Z1079" s="36">
        <f>IFERROR(Y1079/$AC1079,0)</f>
        <v>0</v>
      </c>
      <c r="AA1079" s="38"/>
      <c r="AB1079" s="36">
        <f>IFERROR(AA1079/$AD1079,0)</f>
        <v>0</v>
      </c>
      <c r="AC1079" s="35"/>
      <c r="AD1079" s="38"/>
    </row>
    <row r="1080" spans="1:30" ht="15.75" customHeight="1" x14ac:dyDescent="0.25">
      <c r="A1080" s="37">
        <v>2017</v>
      </c>
      <c r="B1080" s="35">
        <v>171840</v>
      </c>
      <c r="C1080" s="34" t="s">
        <v>150</v>
      </c>
      <c r="D1080" s="34" t="s">
        <v>110</v>
      </c>
      <c r="E1080" s="35"/>
      <c r="F1080" s="36">
        <f>IFERROR(E1080/$AC1080,0)</f>
        <v>0</v>
      </c>
      <c r="G1080" s="38"/>
      <c r="H1080" s="36">
        <f>IFERROR(G1080/$AD1080,0)</f>
        <v>0</v>
      </c>
      <c r="I1080" s="35"/>
      <c r="J1080" s="36">
        <f>IFERROR(I1080/$AC1080,0)</f>
        <v>0</v>
      </c>
      <c r="K1080" s="38"/>
      <c r="L1080" s="36">
        <f>IFERROR(K1080/$AD1080,0)</f>
        <v>0</v>
      </c>
      <c r="M1080" s="35"/>
      <c r="N1080" s="36">
        <f>IFERROR(M1080/$AC1080,0)</f>
        <v>0</v>
      </c>
      <c r="O1080" s="38"/>
      <c r="P1080" s="36">
        <f>IFERROR(O1080/$AD1080,0)</f>
        <v>0</v>
      </c>
      <c r="Q1080" s="35"/>
      <c r="R1080" s="36">
        <f>IFERROR(Q1080/$AC1080,0)</f>
        <v>0</v>
      </c>
      <c r="S1080" s="38"/>
      <c r="T1080" s="36">
        <f>IFERROR(S1080/$AD1080,0)</f>
        <v>0</v>
      </c>
      <c r="U1080" s="35"/>
      <c r="V1080" s="36">
        <f>IFERROR(U1080/$AC1080,0)</f>
        <v>0</v>
      </c>
      <c r="W1080" s="38"/>
      <c r="X1080" s="36">
        <f>IFERROR(W1080/$AD1080,0)</f>
        <v>0</v>
      </c>
      <c r="Y1080" s="35"/>
      <c r="Z1080" s="36">
        <f>IFERROR(Y1080/$AC1080,0)</f>
        <v>0</v>
      </c>
      <c r="AA1080" s="38"/>
      <c r="AB1080" s="36">
        <f>IFERROR(AA1080/$AD1080,0)</f>
        <v>0</v>
      </c>
      <c r="AC1080" s="35"/>
      <c r="AD1080" s="38"/>
    </row>
    <row r="1081" spans="1:30" ht="15.75" customHeight="1" x14ac:dyDescent="0.25">
      <c r="A1081" s="37">
        <v>2017</v>
      </c>
      <c r="B1081" s="35">
        <v>171845</v>
      </c>
      <c r="C1081" s="34" t="s">
        <v>144</v>
      </c>
      <c r="D1081" s="34" t="s">
        <v>111</v>
      </c>
      <c r="E1081" s="35"/>
      <c r="F1081" s="36">
        <f>IFERROR(E1081/$AC1081,0)</f>
        <v>0</v>
      </c>
      <c r="G1081" s="38"/>
      <c r="H1081" s="36">
        <f>IFERROR(G1081/$AD1081,0)</f>
        <v>0</v>
      </c>
      <c r="I1081" s="35"/>
      <c r="J1081" s="36">
        <f>IFERROR(I1081/$AC1081,0)</f>
        <v>0</v>
      </c>
      <c r="K1081" s="38"/>
      <c r="L1081" s="36">
        <f>IFERROR(K1081/$AD1081,0)</f>
        <v>0</v>
      </c>
      <c r="M1081" s="35"/>
      <c r="N1081" s="36">
        <f>IFERROR(M1081/$AC1081,0)</f>
        <v>0</v>
      </c>
      <c r="O1081" s="38"/>
      <c r="P1081" s="36">
        <f>IFERROR(O1081/$AD1081,0)</f>
        <v>0</v>
      </c>
      <c r="Q1081" s="35"/>
      <c r="R1081" s="36">
        <f>IFERROR(Q1081/$AC1081,0)</f>
        <v>0</v>
      </c>
      <c r="S1081" s="38"/>
      <c r="T1081" s="36">
        <f>IFERROR(S1081/$AD1081,0)</f>
        <v>0</v>
      </c>
      <c r="U1081" s="35"/>
      <c r="V1081" s="36">
        <f>IFERROR(U1081/$AC1081,0)</f>
        <v>0</v>
      </c>
      <c r="W1081" s="38"/>
      <c r="X1081" s="36">
        <f>IFERROR(W1081/$AD1081,0)</f>
        <v>0</v>
      </c>
      <c r="Y1081" s="35"/>
      <c r="Z1081" s="36">
        <f>IFERROR(Y1081/$AC1081,0)</f>
        <v>0</v>
      </c>
      <c r="AA1081" s="38"/>
      <c r="AB1081" s="36">
        <f>IFERROR(AA1081/$AD1081,0)</f>
        <v>0</v>
      </c>
      <c r="AC1081" s="35"/>
      <c r="AD1081" s="38"/>
    </row>
    <row r="1082" spans="1:30" ht="15.75" customHeight="1" x14ac:dyDescent="0.25">
      <c r="A1082" s="37">
        <v>2017</v>
      </c>
      <c r="B1082" s="35">
        <v>171850</v>
      </c>
      <c r="C1082" s="34" t="s">
        <v>150</v>
      </c>
      <c r="D1082" s="34" t="s">
        <v>112</v>
      </c>
      <c r="E1082" s="35"/>
      <c r="F1082" s="36">
        <f>IFERROR(E1082/$AC1082,0)</f>
        <v>0</v>
      </c>
      <c r="G1082" s="38"/>
      <c r="H1082" s="36">
        <f>IFERROR(G1082/$AD1082,0)</f>
        <v>0</v>
      </c>
      <c r="I1082" s="35"/>
      <c r="J1082" s="36">
        <f>IFERROR(I1082/$AC1082,0)</f>
        <v>0</v>
      </c>
      <c r="K1082" s="38"/>
      <c r="L1082" s="36">
        <f>IFERROR(K1082/$AD1082,0)</f>
        <v>0</v>
      </c>
      <c r="M1082" s="35"/>
      <c r="N1082" s="36">
        <f>IFERROR(M1082/$AC1082,0)</f>
        <v>0</v>
      </c>
      <c r="O1082" s="38"/>
      <c r="P1082" s="36">
        <f>IFERROR(O1082/$AD1082,0)</f>
        <v>0</v>
      </c>
      <c r="Q1082" s="35"/>
      <c r="R1082" s="36">
        <f>IFERROR(Q1082/$AC1082,0)</f>
        <v>0</v>
      </c>
      <c r="S1082" s="38"/>
      <c r="T1082" s="36">
        <f>IFERROR(S1082/$AD1082,0)</f>
        <v>0</v>
      </c>
      <c r="U1082" s="35"/>
      <c r="V1082" s="36">
        <f>IFERROR(U1082/$AC1082,0)</f>
        <v>0</v>
      </c>
      <c r="W1082" s="38"/>
      <c r="X1082" s="36">
        <f>IFERROR(W1082/$AD1082,0)</f>
        <v>0</v>
      </c>
      <c r="Y1082" s="35"/>
      <c r="Z1082" s="36">
        <f>IFERROR(Y1082/$AC1082,0)</f>
        <v>0</v>
      </c>
      <c r="AA1082" s="38"/>
      <c r="AB1082" s="36">
        <f>IFERROR(AA1082/$AD1082,0)</f>
        <v>0</v>
      </c>
      <c r="AC1082" s="35"/>
      <c r="AD1082" s="38"/>
    </row>
    <row r="1083" spans="1:30" ht="15.75" customHeight="1" x14ac:dyDescent="0.25">
      <c r="A1083" s="37">
        <v>2017</v>
      </c>
      <c r="B1083" s="35">
        <v>171855</v>
      </c>
      <c r="C1083" s="34" t="s">
        <v>145</v>
      </c>
      <c r="D1083" s="34" t="s">
        <v>113</v>
      </c>
      <c r="E1083" s="35"/>
      <c r="F1083" s="36">
        <f>IFERROR(E1083/$AC1083,0)</f>
        <v>0</v>
      </c>
      <c r="G1083" s="38"/>
      <c r="H1083" s="36">
        <f>IFERROR(G1083/$AD1083,0)</f>
        <v>0</v>
      </c>
      <c r="I1083" s="35"/>
      <c r="J1083" s="36">
        <f>IFERROR(I1083/$AC1083,0)</f>
        <v>0</v>
      </c>
      <c r="K1083" s="38"/>
      <c r="L1083" s="36">
        <f>IFERROR(K1083/$AD1083,0)</f>
        <v>0</v>
      </c>
      <c r="M1083" s="35"/>
      <c r="N1083" s="36">
        <f>IFERROR(M1083/$AC1083,0)</f>
        <v>0</v>
      </c>
      <c r="O1083" s="38"/>
      <c r="P1083" s="36">
        <f>IFERROR(O1083/$AD1083,0)</f>
        <v>0</v>
      </c>
      <c r="Q1083" s="35"/>
      <c r="R1083" s="36">
        <f>IFERROR(Q1083/$AC1083,0)</f>
        <v>0</v>
      </c>
      <c r="S1083" s="38"/>
      <c r="T1083" s="36">
        <f>IFERROR(S1083/$AD1083,0)</f>
        <v>0</v>
      </c>
      <c r="U1083" s="35"/>
      <c r="V1083" s="36">
        <f>IFERROR(U1083/$AC1083,0)</f>
        <v>0</v>
      </c>
      <c r="W1083" s="38"/>
      <c r="X1083" s="36">
        <f>IFERROR(W1083/$AD1083,0)</f>
        <v>0</v>
      </c>
      <c r="Y1083" s="35"/>
      <c r="Z1083" s="36">
        <f>IFERROR(Y1083/$AC1083,0)</f>
        <v>0</v>
      </c>
      <c r="AA1083" s="38"/>
      <c r="AB1083" s="36">
        <f>IFERROR(AA1083/$AD1083,0)</f>
        <v>0</v>
      </c>
      <c r="AC1083" s="35"/>
      <c r="AD1083" s="38"/>
    </row>
    <row r="1084" spans="1:30" ht="15.75" customHeight="1" x14ac:dyDescent="0.25">
      <c r="A1084" s="37">
        <v>2017</v>
      </c>
      <c r="B1084" s="35">
        <v>171865</v>
      </c>
      <c r="C1084" s="34" t="s">
        <v>147</v>
      </c>
      <c r="D1084" s="34" t="s">
        <v>114</v>
      </c>
      <c r="E1084" s="35"/>
      <c r="F1084" s="36">
        <f>IFERROR(E1084/$AC1084,0)</f>
        <v>0</v>
      </c>
      <c r="G1084" s="38"/>
      <c r="H1084" s="36">
        <f>IFERROR(G1084/$AD1084,0)</f>
        <v>0</v>
      </c>
      <c r="I1084" s="35"/>
      <c r="J1084" s="36">
        <f>IFERROR(I1084/$AC1084,0)</f>
        <v>0</v>
      </c>
      <c r="K1084" s="38"/>
      <c r="L1084" s="36">
        <f>IFERROR(K1084/$AD1084,0)</f>
        <v>0</v>
      </c>
      <c r="M1084" s="35"/>
      <c r="N1084" s="36">
        <f>IFERROR(M1084/$AC1084,0)</f>
        <v>0</v>
      </c>
      <c r="O1084" s="38"/>
      <c r="P1084" s="36">
        <f>IFERROR(O1084/$AD1084,0)</f>
        <v>0</v>
      </c>
      <c r="Q1084" s="35"/>
      <c r="R1084" s="36">
        <f>IFERROR(Q1084/$AC1084,0)</f>
        <v>0</v>
      </c>
      <c r="S1084" s="38"/>
      <c r="T1084" s="36">
        <f>IFERROR(S1084/$AD1084,0)</f>
        <v>0</v>
      </c>
      <c r="U1084" s="35"/>
      <c r="V1084" s="36">
        <f>IFERROR(U1084/$AC1084,0)</f>
        <v>0</v>
      </c>
      <c r="W1084" s="38"/>
      <c r="X1084" s="36">
        <f>IFERROR(W1084/$AD1084,0)</f>
        <v>0</v>
      </c>
      <c r="Y1084" s="35"/>
      <c r="Z1084" s="36">
        <f>IFERROR(Y1084/$AC1084,0)</f>
        <v>0</v>
      </c>
      <c r="AA1084" s="38"/>
      <c r="AB1084" s="36">
        <f>IFERROR(AA1084/$AD1084,0)</f>
        <v>0</v>
      </c>
      <c r="AC1084" s="35"/>
      <c r="AD1084" s="38"/>
    </row>
    <row r="1085" spans="1:30" ht="15.75" customHeight="1" x14ac:dyDescent="0.25">
      <c r="A1085" s="37">
        <v>2017</v>
      </c>
      <c r="B1085" s="35">
        <v>171870</v>
      </c>
      <c r="C1085" s="34" t="s">
        <v>148</v>
      </c>
      <c r="D1085" s="34" t="s">
        <v>115</v>
      </c>
      <c r="E1085" s="35"/>
      <c r="F1085" s="36">
        <f>IFERROR(E1085/$AC1085,0)</f>
        <v>0</v>
      </c>
      <c r="G1085" s="38"/>
      <c r="H1085" s="36">
        <f>IFERROR(G1085/$AD1085,0)</f>
        <v>0</v>
      </c>
      <c r="I1085" s="35"/>
      <c r="J1085" s="36">
        <f>IFERROR(I1085/$AC1085,0)</f>
        <v>0</v>
      </c>
      <c r="K1085" s="38"/>
      <c r="L1085" s="36">
        <f>IFERROR(K1085/$AD1085,0)</f>
        <v>0</v>
      </c>
      <c r="M1085" s="35"/>
      <c r="N1085" s="36">
        <f>IFERROR(M1085/$AC1085,0)</f>
        <v>0</v>
      </c>
      <c r="O1085" s="38"/>
      <c r="P1085" s="36">
        <f>IFERROR(O1085/$AD1085,0)</f>
        <v>0</v>
      </c>
      <c r="Q1085" s="35"/>
      <c r="R1085" s="36">
        <f>IFERROR(Q1085/$AC1085,0)</f>
        <v>0</v>
      </c>
      <c r="S1085" s="38"/>
      <c r="T1085" s="36">
        <f>IFERROR(S1085/$AD1085,0)</f>
        <v>0</v>
      </c>
      <c r="U1085" s="35"/>
      <c r="V1085" s="36">
        <f>IFERROR(U1085/$AC1085,0)</f>
        <v>0</v>
      </c>
      <c r="W1085" s="38"/>
      <c r="X1085" s="36">
        <f>IFERROR(W1085/$AD1085,0)</f>
        <v>0</v>
      </c>
      <c r="Y1085" s="35"/>
      <c r="Z1085" s="36">
        <f>IFERROR(Y1085/$AC1085,0)</f>
        <v>0</v>
      </c>
      <c r="AA1085" s="38"/>
      <c r="AB1085" s="36">
        <f>IFERROR(AA1085/$AD1085,0)</f>
        <v>0</v>
      </c>
      <c r="AC1085" s="35"/>
      <c r="AD1085" s="38"/>
    </row>
    <row r="1086" spans="1:30" ht="15.75" customHeight="1" x14ac:dyDescent="0.25">
      <c r="A1086" s="37">
        <v>2017</v>
      </c>
      <c r="B1086" s="35">
        <v>171875</v>
      </c>
      <c r="C1086" s="34" t="s">
        <v>148</v>
      </c>
      <c r="D1086" s="34" t="s">
        <v>116</v>
      </c>
      <c r="E1086" s="35"/>
      <c r="F1086" s="36">
        <f>IFERROR(E1086/$AC1086,0)</f>
        <v>0</v>
      </c>
      <c r="G1086" s="38"/>
      <c r="H1086" s="36">
        <f>IFERROR(G1086/$AD1086,0)</f>
        <v>0</v>
      </c>
      <c r="I1086" s="35"/>
      <c r="J1086" s="36">
        <f>IFERROR(I1086/$AC1086,0)</f>
        <v>0</v>
      </c>
      <c r="K1086" s="38"/>
      <c r="L1086" s="36">
        <f>IFERROR(K1086/$AD1086,0)</f>
        <v>0</v>
      </c>
      <c r="M1086" s="35"/>
      <c r="N1086" s="36">
        <f>IFERROR(M1086/$AC1086,0)</f>
        <v>0</v>
      </c>
      <c r="O1086" s="38"/>
      <c r="P1086" s="36">
        <f>IFERROR(O1086/$AD1086,0)</f>
        <v>0</v>
      </c>
      <c r="Q1086" s="35"/>
      <c r="R1086" s="36">
        <f>IFERROR(Q1086/$AC1086,0)</f>
        <v>0</v>
      </c>
      <c r="S1086" s="38"/>
      <c r="T1086" s="36">
        <f>IFERROR(S1086/$AD1086,0)</f>
        <v>0</v>
      </c>
      <c r="U1086" s="35"/>
      <c r="V1086" s="36">
        <f>IFERROR(U1086/$AC1086,0)</f>
        <v>0</v>
      </c>
      <c r="W1086" s="38"/>
      <c r="X1086" s="36">
        <f>IFERROR(W1086/$AD1086,0)</f>
        <v>0</v>
      </c>
      <c r="Y1086" s="35"/>
      <c r="Z1086" s="36">
        <f>IFERROR(Y1086/$AC1086,0)</f>
        <v>0</v>
      </c>
      <c r="AA1086" s="38"/>
      <c r="AB1086" s="36">
        <f>IFERROR(AA1086/$AD1086,0)</f>
        <v>0</v>
      </c>
      <c r="AC1086" s="35"/>
      <c r="AD1086" s="38"/>
    </row>
    <row r="1087" spans="1:30" ht="15.75" customHeight="1" x14ac:dyDescent="0.25">
      <c r="A1087" s="37">
        <v>2017</v>
      </c>
      <c r="B1087" s="35">
        <v>171880</v>
      </c>
      <c r="C1087" s="34" t="s">
        <v>145</v>
      </c>
      <c r="D1087" s="34" t="s">
        <v>117</v>
      </c>
      <c r="E1087" s="35"/>
      <c r="F1087" s="36">
        <f>IFERROR(E1087/$AC1087,0)</f>
        <v>0</v>
      </c>
      <c r="G1087" s="38"/>
      <c r="H1087" s="36">
        <f>IFERROR(G1087/$AD1087,0)</f>
        <v>0</v>
      </c>
      <c r="I1087" s="35"/>
      <c r="J1087" s="36">
        <f>IFERROR(I1087/$AC1087,0)</f>
        <v>0</v>
      </c>
      <c r="K1087" s="38"/>
      <c r="L1087" s="36">
        <f>IFERROR(K1087/$AD1087,0)</f>
        <v>0</v>
      </c>
      <c r="M1087" s="35"/>
      <c r="N1087" s="36">
        <f>IFERROR(M1087/$AC1087,0)</f>
        <v>0</v>
      </c>
      <c r="O1087" s="38"/>
      <c r="P1087" s="36">
        <f>IFERROR(O1087/$AD1087,0)</f>
        <v>0</v>
      </c>
      <c r="Q1087" s="35"/>
      <c r="R1087" s="36">
        <f>IFERROR(Q1087/$AC1087,0)</f>
        <v>0</v>
      </c>
      <c r="S1087" s="38"/>
      <c r="T1087" s="36">
        <f>IFERROR(S1087/$AD1087,0)</f>
        <v>0</v>
      </c>
      <c r="U1087" s="35"/>
      <c r="V1087" s="36">
        <f>IFERROR(U1087/$AC1087,0)</f>
        <v>0</v>
      </c>
      <c r="W1087" s="38"/>
      <c r="X1087" s="36">
        <f>IFERROR(W1087/$AD1087,0)</f>
        <v>0</v>
      </c>
      <c r="Y1087" s="35"/>
      <c r="Z1087" s="36">
        <f>IFERROR(Y1087/$AC1087,0)</f>
        <v>0</v>
      </c>
      <c r="AA1087" s="38"/>
      <c r="AB1087" s="36">
        <f>IFERROR(AA1087/$AD1087,0)</f>
        <v>0</v>
      </c>
      <c r="AC1087" s="35"/>
      <c r="AD1087" s="38"/>
    </row>
    <row r="1088" spans="1:30" ht="15.75" customHeight="1" x14ac:dyDescent="0.25">
      <c r="A1088" s="37">
        <v>2017</v>
      </c>
      <c r="B1088" s="35">
        <v>171884</v>
      </c>
      <c r="C1088" s="34" t="s">
        <v>146</v>
      </c>
      <c r="D1088" s="34" t="s">
        <v>118</v>
      </c>
      <c r="E1088" s="35"/>
      <c r="F1088" s="36">
        <f>IFERROR(E1088/$AC1088,0)</f>
        <v>0</v>
      </c>
      <c r="G1088" s="38"/>
      <c r="H1088" s="36">
        <f>IFERROR(G1088/$AD1088,0)</f>
        <v>0</v>
      </c>
      <c r="I1088" s="35"/>
      <c r="J1088" s="36">
        <f>IFERROR(I1088/$AC1088,0)</f>
        <v>0</v>
      </c>
      <c r="K1088" s="38"/>
      <c r="L1088" s="36">
        <f>IFERROR(K1088/$AD1088,0)</f>
        <v>0</v>
      </c>
      <c r="M1088" s="35"/>
      <c r="N1088" s="36">
        <f>IFERROR(M1088/$AC1088,0)</f>
        <v>0</v>
      </c>
      <c r="O1088" s="38"/>
      <c r="P1088" s="36">
        <f>IFERROR(O1088/$AD1088,0)</f>
        <v>0</v>
      </c>
      <c r="Q1088" s="35"/>
      <c r="R1088" s="36">
        <f>IFERROR(Q1088/$AC1088,0)</f>
        <v>0</v>
      </c>
      <c r="S1088" s="38"/>
      <c r="T1088" s="36">
        <f>IFERROR(S1088/$AD1088,0)</f>
        <v>0</v>
      </c>
      <c r="U1088" s="35"/>
      <c r="V1088" s="36">
        <f>IFERROR(U1088/$AC1088,0)</f>
        <v>0</v>
      </c>
      <c r="W1088" s="38"/>
      <c r="X1088" s="36">
        <f>IFERROR(W1088/$AD1088,0)</f>
        <v>0</v>
      </c>
      <c r="Y1088" s="35"/>
      <c r="Z1088" s="36">
        <f>IFERROR(Y1088/$AC1088,0)</f>
        <v>0</v>
      </c>
      <c r="AA1088" s="38"/>
      <c r="AB1088" s="36">
        <f>IFERROR(AA1088/$AD1088,0)</f>
        <v>0</v>
      </c>
      <c r="AC1088" s="35"/>
      <c r="AD1088" s="38"/>
    </row>
    <row r="1089" spans="1:30" ht="15.75" customHeight="1" x14ac:dyDescent="0.25">
      <c r="A1089" s="37">
        <v>2017</v>
      </c>
      <c r="B1089" s="35">
        <v>171886</v>
      </c>
      <c r="C1089" s="34" t="s">
        <v>149</v>
      </c>
      <c r="D1089" s="34" t="s">
        <v>119</v>
      </c>
      <c r="E1089" s="35"/>
      <c r="F1089" s="36">
        <f>IFERROR(E1089/$AC1089,0)</f>
        <v>0</v>
      </c>
      <c r="G1089" s="38"/>
      <c r="H1089" s="36">
        <f>IFERROR(G1089/$AD1089,0)</f>
        <v>0</v>
      </c>
      <c r="I1089" s="35"/>
      <c r="J1089" s="36">
        <f>IFERROR(I1089/$AC1089,0)</f>
        <v>0</v>
      </c>
      <c r="K1089" s="38"/>
      <c r="L1089" s="36">
        <f>IFERROR(K1089/$AD1089,0)</f>
        <v>0</v>
      </c>
      <c r="M1089" s="35"/>
      <c r="N1089" s="36">
        <f>IFERROR(M1089/$AC1089,0)</f>
        <v>0</v>
      </c>
      <c r="O1089" s="38"/>
      <c r="P1089" s="36">
        <f>IFERROR(O1089/$AD1089,0)</f>
        <v>0</v>
      </c>
      <c r="Q1089" s="35"/>
      <c r="R1089" s="36">
        <f>IFERROR(Q1089/$AC1089,0)</f>
        <v>0</v>
      </c>
      <c r="S1089" s="38"/>
      <c r="T1089" s="36">
        <f>IFERROR(S1089/$AD1089,0)</f>
        <v>0</v>
      </c>
      <c r="U1089" s="35"/>
      <c r="V1089" s="36">
        <f>IFERROR(U1089/$AC1089,0)</f>
        <v>0</v>
      </c>
      <c r="W1089" s="38"/>
      <c r="X1089" s="36">
        <f>IFERROR(W1089/$AD1089,0)</f>
        <v>0</v>
      </c>
      <c r="Y1089" s="35"/>
      <c r="Z1089" s="36">
        <f>IFERROR(Y1089/$AC1089,0)</f>
        <v>0</v>
      </c>
      <c r="AA1089" s="38"/>
      <c r="AB1089" s="36">
        <f>IFERROR(AA1089/$AD1089,0)</f>
        <v>0</v>
      </c>
      <c r="AC1089" s="35"/>
      <c r="AD1089" s="38"/>
    </row>
    <row r="1090" spans="1:30" ht="15.75" customHeight="1" x14ac:dyDescent="0.25">
      <c r="A1090" s="37">
        <v>2017</v>
      </c>
      <c r="B1090" s="35">
        <v>171888</v>
      </c>
      <c r="C1090" s="34" t="s">
        <v>150</v>
      </c>
      <c r="D1090" s="34" t="s">
        <v>120</v>
      </c>
      <c r="E1090" s="35"/>
      <c r="F1090" s="36">
        <f>IFERROR(E1090/$AC1090,0)</f>
        <v>0</v>
      </c>
      <c r="G1090" s="38"/>
      <c r="H1090" s="36">
        <f>IFERROR(G1090/$AD1090,0)</f>
        <v>0</v>
      </c>
      <c r="I1090" s="35"/>
      <c r="J1090" s="36">
        <f>IFERROR(I1090/$AC1090,0)</f>
        <v>0</v>
      </c>
      <c r="K1090" s="38"/>
      <c r="L1090" s="36">
        <f>IFERROR(K1090/$AD1090,0)</f>
        <v>0</v>
      </c>
      <c r="M1090" s="35"/>
      <c r="N1090" s="36">
        <f>IFERROR(M1090/$AC1090,0)</f>
        <v>0</v>
      </c>
      <c r="O1090" s="38"/>
      <c r="P1090" s="36">
        <f>IFERROR(O1090/$AD1090,0)</f>
        <v>0</v>
      </c>
      <c r="Q1090" s="35"/>
      <c r="R1090" s="36">
        <f>IFERROR(Q1090/$AC1090,0)</f>
        <v>0</v>
      </c>
      <c r="S1090" s="38"/>
      <c r="T1090" s="36">
        <f>IFERROR(S1090/$AD1090,0)</f>
        <v>0</v>
      </c>
      <c r="U1090" s="35"/>
      <c r="V1090" s="36">
        <f>IFERROR(U1090/$AC1090,0)</f>
        <v>0</v>
      </c>
      <c r="W1090" s="38"/>
      <c r="X1090" s="36">
        <f>IFERROR(W1090/$AD1090,0)</f>
        <v>0</v>
      </c>
      <c r="Y1090" s="35"/>
      <c r="Z1090" s="36">
        <f>IFERROR(Y1090/$AC1090,0)</f>
        <v>0</v>
      </c>
      <c r="AA1090" s="38"/>
      <c r="AB1090" s="36">
        <f>IFERROR(AA1090/$AD1090,0)</f>
        <v>0</v>
      </c>
      <c r="AC1090" s="35"/>
      <c r="AD1090" s="38"/>
    </row>
    <row r="1091" spans="1:30" ht="15.75" customHeight="1" x14ac:dyDescent="0.25">
      <c r="A1091" s="37">
        <v>2017</v>
      </c>
      <c r="B1091" s="35">
        <v>171889</v>
      </c>
      <c r="C1091" s="34" t="s">
        <v>146</v>
      </c>
      <c r="D1091" s="34" t="s">
        <v>121</v>
      </c>
      <c r="E1091" s="35"/>
      <c r="F1091" s="36">
        <f>IFERROR(E1091/$AC1091,0)</f>
        <v>0</v>
      </c>
      <c r="G1091" s="38"/>
      <c r="H1091" s="36">
        <f>IFERROR(G1091/$AD1091,0)</f>
        <v>0</v>
      </c>
      <c r="I1091" s="35"/>
      <c r="J1091" s="36">
        <f>IFERROR(I1091/$AC1091,0)</f>
        <v>0</v>
      </c>
      <c r="K1091" s="38"/>
      <c r="L1091" s="36">
        <f>IFERROR(K1091/$AD1091,0)</f>
        <v>0</v>
      </c>
      <c r="M1091" s="35"/>
      <c r="N1091" s="36">
        <f>IFERROR(M1091/$AC1091,0)</f>
        <v>0</v>
      </c>
      <c r="O1091" s="38"/>
      <c r="P1091" s="36">
        <f>IFERROR(O1091/$AD1091,0)</f>
        <v>0</v>
      </c>
      <c r="Q1091" s="35"/>
      <c r="R1091" s="36">
        <f>IFERROR(Q1091/$AC1091,0)</f>
        <v>0</v>
      </c>
      <c r="S1091" s="38"/>
      <c r="T1091" s="36">
        <f>IFERROR(S1091/$AD1091,0)</f>
        <v>0</v>
      </c>
      <c r="U1091" s="35"/>
      <c r="V1091" s="36">
        <f>IFERROR(U1091/$AC1091,0)</f>
        <v>0</v>
      </c>
      <c r="W1091" s="38"/>
      <c r="X1091" s="36">
        <f>IFERROR(W1091/$AD1091,0)</f>
        <v>0</v>
      </c>
      <c r="Y1091" s="35"/>
      <c r="Z1091" s="36">
        <f>IFERROR(Y1091/$AC1091,0)</f>
        <v>0</v>
      </c>
      <c r="AA1091" s="38"/>
      <c r="AB1091" s="36">
        <f>IFERROR(AA1091/$AD1091,0)</f>
        <v>0</v>
      </c>
      <c r="AC1091" s="35"/>
      <c r="AD1091" s="38"/>
    </row>
    <row r="1092" spans="1:30" ht="15.75" customHeight="1" x14ac:dyDescent="0.25">
      <c r="A1092" s="37">
        <v>2017</v>
      </c>
      <c r="B1092" s="35">
        <v>171890</v>
      </c>
      <c r="C1092" s="34" t="s">
        <v>151</v>
      </c>
      <c r="D1092" s="34" t="s">
        <v>122</v>
      </c>
      <c r="E1092" s="35"/>
      <c r="F1092" s="36">
        <f>IFERROR(E1092/$AC1092,0)</f>
        <v>0</v>
      </c>
      <c r="G1092" s="38"/>
      <c r="H1092" s="36">
        <f>IFERROR(G1092/$AD1092,0)</f>
        <v>0</v>
      </c>
      <c r="I1092" s="35"/>
      <c r="J1092" s="36">
        <f>IFERROR(I1092/$AC1092,0)</f>
        <v>0</v>
      </c>
      <c r="K1092" s="38"/>
      <c r="L1092" s="36">
        <f>IFERROR(K1092/$AD1092,0)</f>
        <v>0</v>
      </c>
      <c r="M1092" s="35"/>
      <c r="N1092" s="36">
        <f>IFERROR(M1092/$AC1092,0)</f>
        <v>0</v>
      </c>
      <c r="O1092" s="38"/>
      <c r="P1092" s="36">
        <f>IFERROR(O1092/$AD1092,0)</f>
        <v>0</v>
      </c>
      <c r="Q1092" s="35"/>
      <c r="R1092" s="36">
        <f>IFERROR(Q1092/$AC1092,0)</f>
        <v>0</v>
      </c>
      <c r="S1092" s="38"/>
      <c r="T1092" s="36">
        <f>IFERROR(S1092/$AD1092,0)</f>
        <v>0</v>
      </c>
      <c r="U1092" s="35"/>
      <c r="V1092" s="36">
        <f>IFERROR(U1092/$AC1092,0)</f>
        <v>0</v>
      </c>
      <c r="W1092" s="38"/>
      <c r="X1092" s="36">
        <f>IFERROR(W1092/$AD1092,0)</f>
        <v>0</v>
      </c>
      <c r="Y1092" s="35"/>
      <c r="Z1092" s="36">
        <f>IFERROR(Y1092/$AC1092,0)</f>
        <v>0</v>
      </c>
      <c r="AA1092" s="38"/>
      <c r="AB1092" s="36">
        <f>IFERROR(AA1092/$AD1092,0)</f>
        <v>0</v>
      </c>
      <c r="AC1092" s="35"/>
      <c r="AD1092" s="38"/>
    </row>
    <row r="1093" spans="1:30" ht="15.75" customHeight="1" x14ac:dyDescent="0.25">
      <c r="A1093" s="37">
        <v>2017</v>
      </c>
      <c r="B1093" s="35">
        <v>171900</v>
      </c>
      <c r="C1093" s="34" t="s">
        <v>148</v>
      </c>
      <c r="D1093" s="34" t="s">
        <v>123</v>
      </c>
      <c r="E1093" s="35"/>
      <c r="F1093" s="36">
        <f>IFERROR(E1093/$AC1093,0)</f>
        <v>0</v>
      </c>
      <c r="G1093" s="38"/>
      <c r="H1093" s="36">
        <f>IFERROR(G1093/$AD1093,0)</f>
        <v>0</v>
      </c>
      <c r="I1093" s="35"/>
      <c r="J1093" s="36">
        <f>IFERROR(I1093/$AC1093,0)</f>
        <v>0</v>
      </c>
      <c r="K1093" s="38"/>
      <c r="L1093" s="36">
        <f>IFERROR(K1093/$AD1093,0)</f>
        <v>0</v>
      </c>
      <c r="M1093" s="35"/>
      <c r="N1093" s="36">
        <f>IFERROR(M1093/$AC1093,0)</f>
        <v>0</v>
      </c>
      <c r="O1093" s="38"/>
      <c r="P1093" s="36">
        <f>IFERROR(O1093/$AD1093,0)</f>
        <v>0</v>
      </c>
      <c r="Q1093" s="35"/>
      <c r="R1093" s="36">
        <f>IFERROR(Q1093/$AC1093,0)</f>
        <v>0</v>
      </c>
      <c r="S1093" s="38"/>
      <c r="T1093" s="36">
        <f>IFERROR(S1093/$AD1093,0)</f>
        <v>0</v>
      </c>
      <c r="U1093" s="35"/>
      <c r="V1093" s="36">
        <f>IFERROR(U1093/$AC1093,0)</f>
        <v>0</v>
      </c>
      <c r="W1093" s="38"/>
      <c r="X1093" s="36">
        <f>IFERROR(W1093/$AD1093,0)</f>
        <v>0</v>
      </c>
      <c r="Y1093" s="35"/>
      <c r="Z1093" s="36">
        <f>IFERROR(Y1093/$AC1093,0)</f>
        <v>0</v>
      </c>
      <c r="AA1093" s="38"/>
      <c r="AB1093" s="36">
        <f>IFERROR(AA1093/$AD1093,0)</f>
        <v>0</v>
      </c>
      <c r="AC1093" s="35"/>
      <c r="AD1093" s="38"/>
    </row>
    <row r="1094" spans="1:30" ht="15.75" customHeight="1" x14ac:dyDescent="0.25">
      <c r="A1094" s="37">
        <v>2017</v>
      </c>
      <c r="B1094" s="35">
        <v>172000</v>
      </c>
      <c r="C1094" s="34" t="s">
        <v>145</v>
      </c>
      <c r="D1094" s="34" t="s">
        <v>124</v>
      </c>
      <c r="E1094" s="35"/>
      <c r="F1094" s="36">
        <f>IFERROR(E1094/$AC1094,0)</f>
        <v>0</v>
      </c>
      <c r="G1094" s="38"/>
      <c r="H1094" s="36">
        <f>IFERROR(G1094/$AD1094,0)</f>
        <v>0</v>
      </c>
      <c r="I1094" s="35"/>
      <c r="J1094" s="36">
        <f>IFERROR(I1094/$AC1094,0)</f>
        <v>0</v>
      </c>
      <c r="K1094" s="38"/>
      <c r="L1094" s="36">
        <f>IFERROR(K1094/$AD1094,0)</f>
        <v>0</v>
      </c>
      <c r="M1094" s="35"/>
      <c r="N1094" s="36">
        <f>IFERROR(M1094/$AC1094,0)</f>
        <v>0</v>
      </c>
      <c r="O1094" s="38"/>
      <c r="P1094" s="36">
        <f>IFERROR(O1094/$AD1094,0)</f>
        <v>0</v>
      </c>
      <c r="Q1094" s="35"/>
      <c r="R1094" s="36">
        <f>IFERROR(Q1094/$AC1094,0)</f>
        <v>0</v>
      </c>
      <c r="S1094" s="38"/>
      <c r="T1094" s="36">
        <f>IFERROR(S1094/$AD1094,0)</f>
        <v>0</v>
      </c>
      <c r="U1094" s="35"/>
      <c r="V1094" s="36">
        <f>IFERROR(U1094/$AC1094,0)</f>
        <v>0</v>
      </c>
      <c r="W1094" s="38"/>
      <c r="X1094" s="36">
        <f>IFERROR(W1094/$AD1094,0)</f>
        <v>0</v>
      </c>
      <c r="Y1094" s="35"/>
      <c r="Z1094" s="36">
        <f>IFERROR(Y1094/$AC1094,0)</f>
        <v>0</v>
      </c>
      <c r="AA1094" s="38"/>
      <c r="AB1094" s="36">
        <f>IFERROR(AA1094/$AD1094,0)</f>
        <v>0</v>
      </c>
      <c r="AC1094" s="35"/>
      <c r="AD1094" s="38"/>
    </row>
    <row r="1095" spans="1:30" ht="15.75" customHeight="1" x14ac:dyDescent="0.25">
      <c r="A1095" s="37">
        <v>2017</v>
      </c>
      <c r="B1095" s="35">
        <v>172010</v>
      </c>
      <c r="C1095" s="34" t="s">
        <v>145</v>
      </c>
      <c r="D1095" s="34" t="s">
        <v>125</v>
      </c>
      <c r="E1095" s="35"/>
      <c r="F1095" s="36">
        <f>IFERROR(E1095/$AC1095,0)</f>
        <v>0</v>
      </c>
      <c r="G1095" s="38"/>
      <c r="H1095" s="36">
        <f>IFERROR(G1095/$AD1095,0)</f>
        <v>0</v>
      </c>
      <c r="I1095" s="35"/>
      <c r="J1095" s="36">
        <f>IFERROR(I1095/$AC1095,0)</f>
        <v>0</v>
      </c>
      <c r="K1095" s="38"/>
      <c r="L1095" s="36">
        <f>IFERROR(K1095/$AD1095,0)</f>
        <v>0</v>
      </c>
      <c r="M1095" s="35"/>
      <c r="N1095" s="36">
        <f>IFERROR(M1095/$AC1095,0)</f>
        <v>0</v>
      </c>
      <c r="O1095" s="38"/>
      <c r="P1095" s="36">
        <f>IFERROR(O1095/$AD1095,0)</f>
        <v>0</v>
      </c>
      <c r="Q1095" s="35"/>
      <c r="R1095" s="36">
        <f>IFERROR(Q1095/$AC1095,0)</f>
        <v>0</v>
      </c>
      <c r="S1095" s="38"/>
      <c r="T1095" s="36">
        <f>IFERROR(S1095/$AD1095,0)</f>
        <v>0</v>
      </c>
      <c r="U1095" s="35"/>
      <c r="V1095" s="36">
        <f>IFERROR(U1095/$AC1095,0)</f>
        <v>0</v>
      </c>
      <c r="W1095" s="38"/>
      <c r="X1095" s="36">
        <f>IFERROR(W1095/$AD1095,0)</f>
        <v>0</v>
      </c>
      <c r="Y1095" s="35"/>
      <c r="Z1095" s="36">
        <f>IFERROR(Y1095/$AC1095,0)</f>
        <v>0</v>
      </c>
      <c r="AA1095" s="38"/>
      <c r="AB1095" s="36">
        <f>IFERROR(AA1095/$AD1095,0)</f>
        <v>0</v>
      </c>
      <c r="AC1095" s="35"/>
      <c r="AD1095" s="38"/>
    </row>
    <row r="1096" spans="1:30" ht="15.75" customHeight="1" x14ac:dyDescent="0.25">
      <c r="A1096" s="37">
        <v>2017</v>
      </c>
      <c r="B1096" s="35">
        <v>172015</v>
      </c>
      <c r="C1096" s="34" t="s">
        <v>148</v>
      </c>
      <c r="D1096" s="34" t="s">
        <v>126</v>
      </c>
      <c r="E1096" s="35"/>
      <c r="F1096" s="36">
        <f>IFERROR(E1096/$AC1096,0)</f>
        <v>0</v>
      </c>
      <c r="G1096" s="38"/>
      <c r="H1096" s="36">
        <f>IFERROR(G1096/$AD1096,0)</f>
        <v>0</v>
      </c>
      <c r="I1096" s="35"/>
      <c r="J1096" s="36">
        <f>IFERROR(I1096/$AC1096,0)</f>
        <v>0</v>
      </c>
      <c r="K1096" s="38"/>
      <c r="L1096" s="36">
        <f>IFERROR(K1096/$AD1096,0)</f>
        <v>0</v>
      </c>
      <c r="M1096" s="35"/>
      <c r="N1096" s="36">
        <f>IFERROR(M1096/$AC1096,0)</f>
        <v>0</v>
      </c>
      <c r="O1096" s="38"/>
      <c r="P1096" s="36">
        <f>IFERROR(O1096/$AD1096,0)</f>
        <v>0</v>
      </c>
      <c r="Q1096" s="35"/>
      <c r="R1096" s="36">
        <f>IFERROR(Q1096/$AC1096,0)</f>
        <v>0</v>
      </c>
      <c r="S1096" s="38"/>
      <c r="T1096" s="36">
        <f>IFERROR(S1096/$AD1096,0)</f>
        <v>0</v>
      </c>
      <c r="U1096" s="35"/>
      <c r="V1096" s="36">
        <f>IFERROR(U1096/$AC1096,0)</f>
        <v>0</v>
      </c>
      <c r="W1096" s="38"/>
      <c r="X1096" s="36">
        <f>IFERROR(W1096/$AD1096,0)</f>
        <v>0</v>
      </c>
      <c r="Y1096" s="35"/>
      <c r="Z1096" s="36">
        <f>IFERROR(Y1096/$AC1096,0)</f>
        <v>0</v>
      </c>
      <c r="AA1096" s="38"/>
      <c r="AB1096" s="36">
        <f>IFERROR(AA1096/$AD1096,0)</f>
        <v>0</v>
      </c>
      <c r="AC1096" s="35"/>
      <c r="AD1096" s="38"/>
    </row>
    <row r="1097" spans="1:30" ht="15.75" customHeight="1" x14ac:dyDescent="0.25">
      <c r="A1097" s="37">
        <v>2017</v>
      </c>
      <c r="B1097" s="35">
        <v>172020</v>
      </c>
      <c r="C1097" s="34" t="s">
        <v>145</v>
      </c>
      <c r="D1097" s="34" t="s">
        <v>127</v>
      </c>
      <c r="E1097" s="35"/>
      <c r="F1097" s="36">
        <f>IFERROR(E1097/$AC1097,0)</f>
        <v>0</v>
      </c>
      <c r="G1097" s="38"/>
      <c r="H1097" s="36">
        <f>IFERROR(G1097/$AD1097,0)</f>
        <v>0</v>
      </c>
      <c r="I1097" s="35"/>
      <c r="J1097" s="36">
        <f>IFERROR(I1097/$AC1097,0)</f>
        <v>0</v>
      </c>
      <c r="K1097" s="38"/>
      <c r="L1097" s="36">
        <f>IFERROR(K1097/$AD1097,0)</f>
        <v>0</v>
      </c>
      <c r="M1097" s="35"/>
      <c r="N1097" s="36">
        <f>IFERROR(M1097/$AC1097,0)</f>
        <v>0</v>
      </c>
      <c r="O1097" s="38"/>
      <c r="P1097" s="36">
        <f>IFERROR(O1097/$AD1097,0)</f>
        <v>0</v>
      </c>
      <c r="Q1097" s="35"/>
      <c r="R1097" s="36">
        <f>IFERROR(Q1097/$AC1097,0)</f>
        <v>0</v>
      </c>
      <c r="S1097" s="38"/>
      <c r="T1097" s="36">
        <f>IFERROR(S1097/$AD1097,0)</f>
        <v>0</v>
      </c>
      <c r="U1097" s="35"/>
      <c r="V1097" s="36">
        <f>IFERROR(U1097/$AC1097,0)</f>
        <v>0</v>
      </c>
      <c r="W1097" s="38"/>
      <c r="X1097" s="36">
        <f>IFERROR(W1097/$AD1097,0)</f>
        <v>0</v>
      </c>
      <c r="Y1097" s="35"/>
      <c r="Z1097" s="36">
        <f>IFERROR(Y1097/$AC1097,0)</f>
        <v>0</v>
      </c>
      <c r="AA1097" s="38"/>
      <c r="AB1097" s="36">
        <f>IFERROR(AA1097/$AD1097,0)</f>
        <v>0</v>
      </c>
      <c r="AC1097" s="35"/>
      <c r="AD1097" s="38"/>
    </row>
    <row r="1098" spans="1:30" ht="15.75" customHeight="1" x14ac:dyDescent="0.25">
      <c r="A1098" s="37">
        <v>2017</v>
      </c>
      <c r="B1098" s="35">
        <v>172025</v>
      </c>
      <c r="C1098" s="34" t="s">
        <v>146</v>
      </c>
      <c r="D1098" s="34" t="s">
        <v>128</v>
      </c>
      <c r="E1098" s="35"/>
      <c r="F1098" s="36">
        <f>IFERROR(E1098/$AC1098,0)</f>
        <v>0</v>
      </c>
      <c r="G1098" s="38"/>
      <c r="H1098" s="36">
        <f>IFERROR(G1098/$AD1098,0)</f>
        <v>0</v>
      </c>
      <c r="I1098" s="35"/>
      <c r="J1098" s="36">
        <f>IFERROR(I1098/$AC1098,0)</f>
        <v>0</v>
      </c>
      <c r="K1098" s="38"/>
      <c r="L1098" s="36">
        <f>IFERROR(K1098/$AD1098,0)</f>
        <v>0</v>
      </c>
      <c r="M1098" s="35"/>
      <c r="N1098" s="36">
        <f>IFERROR(M1098/$AC1098,0)</f>
        <v>0</v>
      </c>
      <c r="O1098" s="38"/>
      <c r="P1098" s="36">
        <f>IFERROR(O1098/$AD1098,0)</f>
        <v>0</v>
      </c>
      <c r="Q1098" s="35"/>
      <c r="R1098" s="36">
        <f>IFERROR(Q1098/$AC1098,0)</f>
        <v>0</v>
      </c>
      <c r="S1098" s="38"/>
      <c r="T1098" s="36">
        <f>IFERROR(S1098/$AD1098,0)</f>
        <v>0</v>
      </c>
      <c r="U1098" s="35"/>
      <c r="V1098" s="36">
        <f>IFERROR(U1098/$AC1098,0)</f>
        <v>0</v>
      </c>
      <c r="W1098" s="38"/>
      <c r="X1098" s="36">
        <f>IFERROR(W1098/$AD1098,0)</f>
        <v>0</v>
      </c>
      <c r="Y1098" s="35"/>
      <c r="Z1098" s="36">
        <f>IFERROR(Y1098/$AC1098,0)</f>
        <v>0</v>
      </c>
      <c r="AA1098" s="38"/>
      <c r="AB1098" s="36">
        <f>IFERROR(AA1098/$AD1098,0)</f>
        <v>0</v>
      </c>
      <c r="AC1098" s="35"/>
      <c r="AD1098" s="38"/>
    </row>
    <row r="1099" spans="1:30" ht="15.75" customHeight="1" x14ac:dyDescent="0.25">
      <c r="A1099" s="37">
        <v>2017</v>
      </c>
      <c r="B1099" s="35">
        <v>172030</v>
      </c>
      <c r="C1099" s="34" t="s">
        <v>145</v>
      </c>
      <c r="D1099" s="34" t="s">
        <v>129</v>
      </c>
      <c r="E1099" s="35"/>
      <c r="F1099" s="36">
        <f>IFERROR(E1099/$AC1099,0)</f>
        <v>0</v>
      </c>
      <c r="G1099" s="38"/>
      <c r="H1099" s="36">
        <f>IFERROR(G1099/$AD1099,0)</f>
        <v>0</v>
      </c>
      <c r="I1099" s="35"/>
      <c r="J1099" s="36">
        <f>IFERROR(I1099/$AC1099,0)</f>
        <v>0</v>
      </c>
      <c r="K1099" s="38"/>
      <c r="L1099" s="36">
        <f>IFERROR(K1099/$AD1099,0)</f>
        <v>0</v>
      </c>
      <c r="M1099" s="35"/>
      <c r="N1099" s="36">
        <f>IFERROR(M1099/$AC1099,0)</f>
        <v>0</v>
      </c>
      <c r="O1099" s="38"/>
      <c r="P1099" s="36">
        <f>IFERROR(O1099/$AD1099,0)</f>
        <v>0</v>
      </c>
      <c r="Q1099" s="35"/>
      <c r="R1099" s="36">
        <f>IFERROR(Q1099/$AC1099,0)</f>
        <v>0</v>
      </c>
      <c r="S1099" s="38"/>
      <c r="T1099" s="36">
        <f>IFERROR(S1099/$AD1099,0)</f>
        <v>0</v>
      </c>
      <c r="U1099" s="35"/>
      <c r="V1099" s="36">
        <f>IFERROR(U1099/$AC1099,0)</f>
        <v>0</v>
      </c>
      <c r="W1099" s="38"/>
      <c r="X1099" s="36">
        <f>IFERROR(W1099/$AD1099,0)</f>
        <v>0</v>
      </c>
      <c r="Y1099" s="35"/>
      <c r="Z1099" s="36">
        <f>IFERROR(Y1099/$AC1099,0)</f>
        <v>0</v>
      </c>
      <c r="AA1099" s="38"/>
      <c r="AB1099" s="36">
        <f>IFERROR(AA1099/$AD1099,0)</f>
        <v>0</v>
      </c>
      <c r="AC1099" s="35"/>
      <c r="AD1099" s="38"/>
    </row>
    <row r="1100" spans="1:30" ht="15.75" customHeight="1" x14ac:dyDescent="0.25">
      <c r="A1100" s="37">
        <v>2017</v>
      </c>
      <c r="B1100" s="35">
        <v>172049</v>
      </c>
      <c r="C1100" s="34" t="s">
        <v>146</v>
      </c>
      <c r="D1100" s="34" t="s">
        <v>130</v>
      </c>
      <c r="E1100" s="35"/>
      <c r="F1100" s="36">
        <f>IFERROR(E1100/$AC1100,0)</f>
        <v>0</v>
      </c>
      <c r="G1100" s="38"/>
      <c r="H1100" s="36">
        <f>IFERROR(G1100/$AD1100,0)</f>
        <v>0</v>
      </c>
      <c r="I1100" s="35"/>
      <c r="J1100" s="36">
        <f>IFERROR(I1100/$AC1100,0)</f>
        <v>0</v>
      </c>
      <c r="K1100" s="38"/>
      <c r="L1100" s="36">
        <f>IFERROR(K1100/$AD1100,0)</f>
        <v>0</v>
      </c>
      <c r="M1100" s="35"/>
      <c r="N1100" s="36">
        <f>IFERROR(M1100/$AC1100,0)</f>
        <v>0</v>
      </c>
      <c r="O1100" s="38"/>
      <c r="P1100" s="36">
        <f>IFERROR(O1100/$AD1100,0)</f>
        <v>0</v>
      </c>
      <c r="Q1100" s="35"/>
      <c r="R1100" s="36">
        <f>IFERROR(Q1100/$AC1100,0)</f>
        <v>0</v>
      </c>
      <c r="S1100" s="38"/>
      <c r="T1100" s="36">
        <f>IFERROR(S1100/$AD1100,0)</f>
        <v>0</v>
      </c>
      <c r="U1100" s="35"/>
      <c r="V1100" s="36">
        <f>IFERROR(U1100/$AC1100,0)</f>
        <v>0</v>
      </c>
      <c r="W1100" s="38"/>
      <c r="X1100" s="36">
        <f>IFERROR(W1100/$AD1100,0)</f>
        <v>0</v>
      </c>
      <c r="Y1100" s="35"/>
      <c r="Z1100" s="36">
        <f>IFERROR(Y1100/$AC1100,0)</f>
        <v>0</v>
      </c>
      <c r="AA1100" s="38"/>
      <c r="AB1100" s="36">
        <f>IFERROR(AA1100/$AD1100,0)</f>
        <v>0</v>
      </c>
      <c r="AC1100" s="35"/>
      <c r="AD1100" s="38"/>
    </row>
    <row r="1101" spans="1:30" ht="15.75" customHeight="1" x14ac:dyDescent="0.25">
      <c r="A1101" s="37">
        <v>2017</v>
      </c>
      <c r="B1101" s="35">
        <v>172065</v>
      </c>
      <c r="C1101" s="34" t="s">
        <v>151</v>
      </c>
      <c r="D1101" s="34" t="s">
        <v>131</v>
      </c>
      <c r="E1101" s="35"/>
      <c r="F1101" s="36">
        <f>IFERROR(E1101/$AC1101,0)</f>
        <v>0</v>
      </c>
      <c r="G1101" s="38"/>
      <c r="H1101" s="36">
        <f>IFERROR(G1101/$AD1101,0)</f>
        <v>0</v>
      </c>
      <c r="I1101" s="35"/>
      <c r="J1101" s="36">
        <f>IFERROR(I1101/$AC1101,0)</f>
        <v>0</v>
      </c>
      <c r="K1101" s="38"/>
      <c r="L1101" s="36">
        <f>IFERROR(K1101/$AD1101,0)</f>
        <v>0</v>
      </c>
      <c r="M1101" s="35"/>
      <c r="N1101" s="36">
        <f>IFERROR(M1101/$AC1101,0)</f>
        <v>0</v>
      </c>
      <c r="O1101" s="38"/>
      <c r="P1101" s="36">
        <f>IFERROR(O1101/$AD1101,0)</f>
        <v>0</v>
      </c>
      <c r="Q1101" s="35"/>
      <c r="R1101" s="36">
        <f>IFERROR(Q1101/$AC1101,0)</f>
        <v>0</v>
      </c>
      <c r="S1101" s="38"/>
      <c r="T1101" s="36">
        <f>IFERROR(S1101/$AD1101,0)</f>
        <v>0</v>
      </c>
      <c r="U1101" s="35"/>
      <c r="V1101" s="36">
        <f>IFERROR(U1101/$AC1101,0)</f>
        <v>0</v>
      </c>
      <c r="W1101" s="38"/>
      <c r="X1101" s="36">
        <f>IFERROR(W1101/$AD1101,0)</f>
        <v>0</v>
      </c>
      <c r="Y1101" s="35"/>
      <c r="Z1101" s="36">
        <f>IFERROR(Y1101/$AC1101,0)</f>
        <v>0</v>
      </c>
      <c r="AA1101" s="38"/>
      <c r="AB1101" s="36">
        <f>IFERROR(AA1101/$AD1101,0)</f>
        <v>0</v>
      </c>
      <c r="AC1101" s="35"/>
      <c r="AD1101" s="38"/>
    </row>
    <row r="1102" spans="1:30" ht="15.75" customHeight="1" x14ac:dyDescent="0.25">
      <c r="A1102" s="37">
        <v>2017</v>
      </c>
      <c r="B1102" s="35">
        <v>172080</v>
      </c>
      <c r="C1102" s="34" t="s">
        <v>145</v>
      </c>
      <c r="D1102" s="34" t="s">
        <v>132</v>
      </c>
      <c r="E1102" s="35"/>
      <c r="F1102" s="36">
        <f>IFERROR(E1102/$AC1102,0)</f>
        <v>0</v>
      </c>
      <c r="G1102" s="38"/>
      <c r="H1102" s="36">
        <f>IFERROR(G1102/$AD1102,0)</f>
        <v>0</v>
      </c>
      <c r="I1102" s="35"/>
      <c r="J1102" s="36">
        <f>IFERROR(I1102/$AC1102,0)</f>
        <v>0</v>
      </c>
      <c r="K1102" s="38"/>
      <c r="L1102" s="36">
        <f>IFERROR(K1102/$AD1102,0)</f>
        <v>0</v>
      </c>
      <c r="M1102" s="35"/>
      <c r="N1102" s="36">
        <f>IFERROR(M1102/$AC1102,0)</f>
        <v>0</v>
      </c>
      <c r="O1102" s="38"/>
      <c r="P1102" s="36">
        <f>IFERROR(O1102/$AD1102,0)</f>
        <v>0</v>
      </c>
      <c r="Q1102" s="35"/>
      <c r="R1102" s="36">
        <f>IFERROR(Q1102/$AC1102,0)</f>
        <v>0</v>
      </c>
      <c r="S1102" s="38"/>
      <c r="T1102" s="36">
        <f>IFERROR(S1102/$AD1102,0)</f>
        <v>0</v>
      </c>
      <c r="U1102" s="35"/>
      <c r="V1102" s="36">
        <f>IFERROR(U1102/$AC1102,0)</f>
        <v>0</v>
      </c>
      <c r="W1102" s="38"/>
      <c r="X1102" s="36">
        <f>IFERROR(W1102/$AD1102,0)</f>
        <v>0</v>
      </c>
      <c r="Y1102" s="35"/>
      <c r="Z1102" s="36">
        <f>IFERROR(Y1102/$AC1102,0)</f>
        <v>0</v>
      </c>
      <c r="AA1102" s="38"/>
      <c r="AB1102" s="36">
        <f>IFERROR(AA1102/$AD1102,0)</f>
        <v>0</v>
      </c>
      <c r="AC1102" s="35"/>
      <c r="AD1102" s="38"/>
    </row>
    <row r="1103" spans="1:30" ht="15.75" customHeight="1" x14ac:dyDescent="0.25">
      <c r="A1103" s="37">
        <v>2017</v>
      </c>
      <c r="B1103" s="35">
        <v>172085</v>
      </c>
      <c r="C1103" s="34" t="s">
        <v>146</v>
      </c>
      <c r="D1103" s="34" t="s">
        <v>133</v>
      </c>
      <c r="E1103" s="35"/>
      <c r="F1103" s="36">
        <f>IFERROR(E1103/$AC1103,0)</f>
        <v>0</v>
      </c>
      <c r="G1103" s="38"/>
      <c r="H1103" s="36">
        <f>IFERROR(G1103/$AD1103,0)</f>
        <v>0</v>
      </c>
      <c r="I1103" s="35"/>
      <c r="J1103" s="36">
        <f>IFERROR(I1103/$AC1103,0)</f>
        <v>0</v>
      </c>
      <c r="K1103" s="38"/>
      <c r="L1103" s="36">
        <f>IFERROR(K1103/$AD1103,0)</f>
        <v>0</v>
      </c>
      <c r="M1103" s="35"/>
      <c r="N1103" s="36">
        <f>IFERROR(M1103/$AC1103,0)</f>
        <v>0</v>
      </c>
      <c r="O1103" s="38"/>
      <c r="P1103" s="36">
        <f>IFERROR(O1103/$AD1103,0)</f>
        <v>0</v>
      </c>
      <c r="Q1103" s="35"/>
      <c r="R1103" s="36">
        <f>IFERROR(Q1103/$AC1103,0)</f>
        <v>0</v>
      </c>
      <c r="S1103" s="38"/>
      <c r="T1103" s="36">
        <f>IFERROR(S1103/$AD1103,0)</f>
        <v>0</v>
      </c>
      <c r="U1103" s="35"/>
      <c r="V1103" s="36">
        <f>IFERROR(U1103/$AC1103,0)</f>
        <v>0</v>
      </c>
      <c r="W1103" s="38"/>
      <c r="X1103" s="36">
        <f>IFERROR(W1103/$AD1103,0)</f>
        <v>0</v>
      </c>
      <c r="Y1103" s="35"/>
      <c r="Z1103" s="36">
        <f>IFERROR(Y1103/$AC1103,0)</f>
        <v>0</v>
      </c>
      <c r="AA1103" s="38"/>
      <c r="AB1103" s="36">
        <f>IFERROR(AA1103/$AD1103,0)</f>
        <v>0</v>
      </c>
      <c r="AC1103" s="35"/>
      <c r="AD1103" s="38"/>
    </row>
    <row r="1104" spans="1:30" ht="15.75" customHeight="1" x14ac:dyDescent="0.25">
      <c r="A1104" s="37">
        <v>2017</v>
      </c>
      <c r="B1104" s="35">
        <v>170825</v>
      </c>
      <c r="C1104" s="34" t="s">
        <v>148</v>
      </c>
      <c r="D1104" s="34" t="s">
        <v>134</v>
      </c>
      <c r="E1104" s="35"/>
      <c r="F1104" s="36">
        <f>IFERROR(E1104/$AC1104,0)</f>
        <v>0</v>
      </c>
      <c r="G1104" s="38"/>
      <c r="H1104" s="36">
        <f>IFERROR(G1104/$AD1104,0)</f>
        <v>0</v>
      </c>
      <c r="I1104" s="35"/>
      <c r="J1104" s="36">
        <f>IFERROR(I1104/$AC1104,0)</f>
        <v>0</v>
      </c>
      <c r="K1104" s="38"/>
      <c r="L1104" s="36">
        <f>IFERROR(K1104/$AD1104,0)</f>
        <v>0</v>
      </c>
      <c r="M1104" s="35"/>
      <c r="N1104" s="36">
        <f>IFERROR(M1104/$AC1104,0)</f>
        <v>0</v>
      </c>
      <c r="O1104" s="38"/>
      <c r="P1104" s="36">
        <f>IFERROR(O1104/$AD1104,0)</f>
        <v>0</v>
      </c>
      <c r="Q1104" s="35"/>
      <c r="R1104" s="36">
        <f>IFERROR(Q1104/$AC1104,0)</f>
        <v>0</v>
      </c>
      <c r="S1104" s="38"/>
      <c r="T1104" s="36">
        <f>IFERROR(S1104/$AD1104,0)</f>
        <v>0</v>
      </c>
      <c r="U1104" s="35"/>
      <c r="V1104" s="36">
        <f>IFERROR(U1104/$AC1104,0)</f>
        <v>0</v>
      </c>
      <c r="W1104" s="38"/>
      <c r="X1104" s="36">
        <f>IFERROR(W1104/$AD1104,0)</f>
        <v>0</v>
      </c>
      <c r="Y1104" s="35"/>
      <c r="Z1104" s="36">
        <f>IFERROR(Y1104/$AC1104,0)</f>
        <v>0</v>
      </c>
      <c r="AA1104" s="38"/>
      <c r="AB1104" s="36">
        <f>IFERROR(AA1104/$AD1104,0)</f>
        <v>0</v>
      </c>
      <c r="AC1104" s="35"/>
      <c r="AD1104" s="38"/>
    </row>
    <row r="1105" spans="1:30" ht="15.75" customHeight="1" x14ac:dyDescent="0.25">
      <c r="A1105" s="37">
        <v>2017</v>
      </c>
      <c r="B1105" s="35">
        <v>172090</v>
      </c>
      <c r="C1105" s="34" t="s">
        <v>147</v>
      </c>
      <c r="D1105" s="34" t="s">
        <v>135</v>
      </c>
      <c r="E1105" s="35"/>
      <c r="F1105" s="36">
        <f>IFERROR(E1105/$AC1105,0)</f>
        <v>0</v>
      </c>
      <c r="G1105" s="38"/>
      <c r="H1105" s="36">
        <f>IFERROR(G1105/$AD1105,0)</f>
        <v>0</v>
      </c>
      <c r="I1105" s="35"/>
      <c r="J1105" s="36">
        <f>IFERROR(I1105/$AC1105,0)</f>
        <v>0</v>
      </c>
      <c r="K1105" s="38"/>
      <c r="L1105" s="36">
        <f>IFERROR(K1105/$AD1105,0)</f>
        <v>0</v>
      </c>
      <c r="M1105" s="35"/>
      <c r="N1105" s="36">
        <f>IFERROR(M1105/$AC1105,0)</f>
        <v>0</v>
      </c>
      <c r="O1105" s="38"/>
      <c r="P1105" s="36">
        <f>IFERROR(O1105/$AD1105,0)</f>
        <v>0</v>
      </c>
      <c r="Q1105" s="35"/>
      <c r="R1105" s="36">
        <f>IFERROR(Q1105/$AC1105,0)</f>
        <v>0</v>
      </c>
      <c r="S1105" s="38"/>
      <c r="T1105" s="36">
        <f>IFERROR(S1105/$AD1105,0)</f>
        <v>0</v>
      </c>
      <c r="U1105" s="35"/>
      <c r="V1105" s="36">
        <f>IFERROR(U1105/$AC1105,0)</f>
        <v>0</v>
      </c>
      <c r="W1105" s="38"/>
      <c r="X1105" s="36">
        <f>IFERROR(W1105/$AD1105,0)</f>
        <v>0</v>
      </c>
      <c r="Y1105" s="35"/>
      <c r="Z1105" s="36">
        <f>IFERROR(Y1105/$AC1105,0)</f>
        <v>0</v>
      </c>
      <c r="AA1105" s="38"/>
      <c r="AB1105" s="36">
        <f>IFERROR(AA1105/$AD1105,0)</f>
        <v>0</v>
      </c>
      <c r="AC1105" s="35"/>
      <c r="AD1105" s="38"/>
    </row>
    <row r="1106" spans="1:30" ht="15.75" customHeight="1" x14ac:dyDescent="0.25">
      <c r="A1106" s="37">
        <v>2017</v>
      </c>
      <c r="B1106" s="35">
        <v>172093</v>
      </c>
      <c r="C1106" s="34" t="s">
        <v>147</v>
      </c>
      <c r="D1106" s="34" t="s">
        <v>136</v>
      </c>
      <c r="E1106" s="35"/>
      <c r="F1106" s="36">
        <f>IFERROR(E1106/$AC1106,0)</f>
        <v>0</v>
      </c>
      <c r="G1106" s="38"/>
      <c r="H1106" s="36">
        <f>IFERROR(G1106/$AD1106,0)</f>
        <v>0</v>
      </c>
      <c r="I1106" s="35"/>
      <c r="J1106" s="36">
        <f>IFERROR(I1106/$AC1106,0)</f>
        <v>0</v>
      </c>
      <c r="K1106" s="38"/>
      <c r="L1106" s="36">
        <f>IFERROR(K1106/$AD1106,0)</f>
        <v>0</v>
      </c>
      <c r="M1106" s="35"/>
      <c r="N1106" s="36">
        <f>IFERROR(M1106/$AC1106,0)</f>
        <v>0</v>
      </c>
      <c r="O1106" s="38"/>
      <c r="P1106" s="36">
        <f>IFERROR(O1106/$AD1106,0)</f>
        <v>0</v>
      </c>
      <c r="Q1106" s="35"/>
      <c r="R1106" s="36">
        <f>IFERROR(Q1106/$AC1106,0)</f>
        <v>0</v>
      </c>
      <c r="S1106" s="38"/>
      <c r="T1106" s="36">
        <f>IFERROR(S1106/$AD1106,0)</f>
        <v>0</v>
      </c>
      <c r="U1106" s="35"/>
      <c r="V1106" s="36">
        <f>IFERROR(U1106/$AC1106,0)</f>
        <v>0</v>
      </c>
      <c r="W1106" s="38"/>
      <c r="X1106" s="36">
        <f>IFERROR(W1106/$AD1106,0)</f>
        <v>0</v>
      </c>
      <c r="Y1106" s="35"/>
      <c r="Z1106" s="36">
        <f>IFERROR(Y1106/$AC1106,0)</f>
        <v>0</v>
      </c>
      <c r="AA1106" s="38"/>
      <c r="AB1106" s="36">
        <f>IFERROR(AA1106/$AD1106,0)</f>
        <v>0</v>
      </c>
      <c r="AC1106" s="35"/>
      <c r="AD1106" s="38"/>
    </row>
    <row r="1107" spans="1:30" ht="15.75" customHeight="1" x14ac:dyDescent="0.25">
      <c r="A1107" s="37">
        <v>2017</v>
      </c>
      <c r="B1107" s="35">
        <v>172097</v>
      </c>
      <c r="C1107" s="34" t="s">
        <v>146</v>
      </c>
      <c r="D1107" s="34" t="s">
        <v>137</v>
      </c>
      <c r="E1107" s="35"/>
      <c r="F1107" s="36">
        <f>IFERROR(E1107/$AC1107,0)</f>
        <v>0</v>
      </c>
      <c r="G1107" s="38"/>
      <c r="H1107" s="36">
        <f>IFERROR(G1107/$AD1107,0)</f>
        <v>0</v>
      </c>
      <c r="I1107" s="35"/>
      <c r="J1107" s="36">
        <f>IFERROR(I1107/$AC1107,0)</f>
        <v>0</v>
      </c>
      <c r="K1107" s="38"/>
      <c r="L1107" s="36">
        <f>IFERROR(K1107/$AD1107,0)</f>
        <v>0</v>
      </c>
      <c r="M1107" s="35"/>
      <c r="N1107" s="36">
        <f>IFERROR(M1107/$AC1107,0)</f>
        <v>0</v>
      </c>
      <c r="O1107" s="38"/>
      <c r="P1107" s="36">
        <f>IFERROR(O1107/$AD1107,0)</f>
        <v>0</v>
      </c>
      <c r="Q1107" s="35"/>
      <c r="R1107" s="36">
        <f>IFERROR(Q1107/$AC1107,0)</f>
        <v>0</v>
      </c>
      <c r="S1107" s="38"/>
      <c r="T1107" s="36">
        <f>IFERROR(S1107/$AD1107,0)</f>
        <v>0</v>
      </c>
      <c r="U1107" s="35"/>
      <c r="V1107" s="36">
        <f>IFERROR(U1107/$AC1107,0)</f>
        <v>0</v>
      </c>
      <c r="W1107" s="38"/>
      <c r="X1107" s="36">
        <f>IFERROR(W1107/$AD1107,0)</f>
        <v>0</v>
      </c>
      <c r="Y1107" s="35"/>
      <c r="Z1107" s="36">
        <f>IFERROR(Y1107/$AC1107,0)</f>
        <v>0</v>
      </c>
      <c r="AA1107" s="38"/>
      <c r="AB1107" s="36">
        <f>IFERROR(AA1107/$AD1107,0)</f>
        <v>0</v>
      </c>
      <c r="AC1107" s="35"/>
      <c r="AD1107" s="38"/>
    </row>
    <row r="1108" spans="1:30" ht="15.75" customHeight="1" x14ac:dyDescent="0.25">
      <c r="A1108" s="37">
        <v>2017</v>
      </c>
      <c r="B1108" s="35">
        <v>172110</v>
      </c>
      <c r="C1108" s="34" t="s">
        <v>148</v>
      </c>
      <c r="D1108" s="34" t="s">
        <v>138</v>
      </c>
      <c r="E1108" s="35"/>
      <c r="F1108" s="36">
        <f>IFERROR(E1108/$AC1108,0)</f>
        <v>0</v>
      </c>
      <c r="G1108" s="38"/>
      <c r="H1108" s="36">
        <f>IFERROR(G1108/$AD1108,0)</f>
        <v>0</v>
      </c>
      <c r="I1108" s="35"/>
      <c r="J1108" s="36">
        <f>IFERROR(I1108/$AC1108,0)</f>
        <v>0</v>
      </c>
      <c r="K1108" s="38"/>
      <c r="L1108" s="36">
        <f>IFERROR(K1108/$AD1108,0)</f>
        <v>0</v>
      </c>
      <c r="M1108" s="35"/>
      <c r="N1108" s="36">
        <f>IFERROR(M1108/$AC1108,0)</f>
        <v>0</v>
      </c>
      <c r="O1108" s="38"/>
      <c r="P1108" s="36">
        <f>IFERROR(O1108/$AD1108,0)</f>
        <v>0</v>
      </c>
      <c r="Q1108" s="35"/>
      <c r="R1108" s="36">
        <f>IFERROR(Q1108/$AC1108,0)</f>
        <v>0</v>
      </c>
      <c r="S1108" s="38"/>
      <c r="T1108" s="36">
        <f>IFERROR(S1108/$AD1108,0)</f>
        <v>0</v>
      </c>
      <c r="U1108" s="35"/>
      <c r="V1108" s="36">
        <f>IFERROR(U1108/$AC1108,0)</f>
        <v>0</v>
      </c>
      <c r="W1108" s="38"/>
      <c r="X1108" s="36">
        <f>IFERROR(W1108/$AD1108,0)</f>
        <v>0</v>
      </c>
      <c r="Y1108" s="35"/>
      <c r="Z1108" s="36">
        <f>IFERROR(Y1108/$AC1108,0)</f>
        <v>0</v>
      </c>
      <c r="AA1108" s="38"/>
      <c r="AB1108" s="36">
        <f>IFERROR(AA1108/$AD1108,0)</f>
        <v>0</v>
      </c>
      <c r="AC1108" s="35"/>
      <c r="AD1108" s="38"/>
    </row>
    <row r="1109" spans="1:30" ht="15.75" customHeight="1" x14ac:dyDescent="0.25">
      <c r="A1109" s="37">
        <v>2017</v>
      </c>
      <c r="B1109" s="35">
        <v>172120</v>
      </c>
      <c r="C1109" s="34" t="s">
        <v>145</v>
      </c>
      <c r="D1109" s="34" t="s">
        <v>139</v>
      </c>
      <c r="E1109" s="35"/>
      <c r="F1109" s="36">
        <f>IFERROR(E1109/$AC1109,0)</f>
        <v>0</v>
      </c>
      <c r="G1109" s="38"/>
      <c r="H1109" s="36">
        <f>IFERROR(G1109/$AD1109,0)</f>
        <v>0</v>
      </c>
      <c r="I1109" s="35"/>
      <c r="J1109" s="36">
        <f>IFERROR(I1109/$AC1109,0)</f>
        <v>0</v>
      </c>
      <c r="K1109" s="38"/>
      <c r="L1109" s="36">
        <f>IFERROR(K1109/$AD1109,0)</f>
        <v>0</v>
      </c>
      <c r="M1109" s="35"/>
      <c r="N1109" s="36">
        <f>IFERROR(M1109/$AC1109,0)</f>
        <v>0</v>
      </c>
      <c r="O1109" s="38"/>
      <c r="P1109" s="36">
        <f>IFERROR(O1109/$AD1109,0)</f>
        <v>0</v>
      </c>
      <c r="Q1109" s="35"/>
      <c r="R1109" s="36">
        <f>IFERROR(Q1109/$AC1109,0)</f>
        <v>0</v>
      </c>
      <c r="S1109" s="38"/>
      <c r="T1109" s="36">
        <f>IFERROR(S1109/$AD1109,0)</f>
        <v>0</v>
      </c>
      <c r="U1109" s="35"/>
      <c r="V1109" s="36">
        <f>IFERROR(U1109/$AC1109,0)</f>
        <v>0</v>
      </c>
      <c r="W1109" s="38"/>
      <c r="X1109" s="36">
        <f>IFERROR(W1109/$AD1109,0)</f>
        <v>0</v>
      </c>
      <c r="Y1109" s="35"/>
      <c r="Z1109" s="36">
        <f>IFERROR(Y1109/$AC1109,0)</f>
        <v>0</v>
      </c>
      <c r="AA1109" s="38"/>
      <c r="AB1109" s="36">
        <f>IFERROR(AA1109/$AD1109,0)</f>
        <v>0</v>
      </c>
      <c r="AC1109" s="35"/>
      <c r="AD1109" s="38"/>
    </row>
    <row r="1110" spans="1:30" ht="15.75" customHeight="1" x14ac:dyDescent="0.25">
      <c r="A1110" s="37">
        <v>2017</v>
      </c>
      <c r="B1110" s="35">
        <v>172125</v>
      </c>
      <c r="C1110" s="34" t="s">
        <v>150</v>
      </c>
      <c r="D1110" s="34" t="s">
        <v>140</v>
      </c>
      <c r="E1110" s="35"/>
      <c r="F1110" s="36">
        <f>IFERROR(E1110/$AC1110,0)</f>
        <v>0</v>
      </c>
      <c r="G1110" s="38"/>
      <c r="H1110" s="36">
        <f>IFERROR(G1110/$AD1110,0)</f>
        <v>0</v>
      </c>
      <c r="I1110" s="35"/>
      <c r="J1110" s="36">
        <f>IFERROR(I1110/$AC1110,0)</f>
        <v>0</v>
      </c>
      <c r="K1110" s="38"/>
      <c r="L1110" s="36">
        <f>IFERROR(K1110/$AD1110,0)</f>
        <v>0</v>
      </c>
      <c r="M1110" s="35"/>
      <c r="N1110" s="36">
        <f>IFERROR(M1110/$AC1110,0)</f>
        <v>0</v>
      </c>
      <c r="O1110" s="38"/>
      <c r="P1110" s="36">
        <f>IFERROR(O1110/$AD1110,0)</f>
        <v>0</v>
      </c>
      <c r="Q1110" s="35"/>
      <c r="R1110" s="36">
        <f>IFERROR(Q1110/$AC1110,0)</f>
        <v>0</v>
      </c>
      <c r="S1110" s="38"/>
      <c r="T1110" s="36">
        <f>IFERROR(S1110/$AD1110,0)</f>
        <v>0</v>
      </c>
      <c r="U1110" s="35"/>
      <c r="V1110" s="36">
        <f>IFERROR(U1110/$AC1110,0)</f>
        <v>0</v>
      </c>
      <c r="W1110" s="38"/>
      <c r="X1110" s="36">
        <f>IFERROR(W1110/$AD1110,0)</f>
        <v>0</v>
      </c>
      <c r="Y1110" s="35"/>
      <c r="Z1110" s="36">
        <f>IFERROR(Y1110/$AC1110,0)</f>
        <v>0</v>
      </c>
      <c r="AA1110" s="38"/>
      <c r="AB1110" s="36">
        <f>IFERROR(AA1110/$AD1110,0)</f>
        <v>0</v>
      </c>
      <c r="AC1110" s="35"/>
      <c r="AD1110" s="38"/>
    </row>
    <row r="1111" spans="1:30" ht="15.75" customHeight="1" x14ac:dyDescent="0.25">
      <c r="A1111" s="37">
        <v>2017</v>
      </c>
      <c r="B1111" s="35">
        <v>172130</v>
      </c>
      <c r="C1111" s="34" t="s">
        <v>150</v>
      </c>
      <c r="D1111" s="34" t="s">
        <v>141</v>
      </c>
      <c r="E1111" s="35"/>
      <c r="F1111" s="36">
        <f>IFERROR(E1111/$AC1111,0)</f>
        <v>0</v>
      </c>
      <c r="G1111" s="38"/>
      <c r="H1111" s="36">
        <f>IFERROR(G1111/$AD1111,0)</f>
        <v>0</v>
      </c>
      <c r="I1111" s="35"/>
      <c r="J1111" s="36">
        <f>IFERROR(I1111/$AC1111,0)</f>
        <v>0</v>
      </c>
      <c r="K1111" s="38"/>
      <c r="L1111" s="36">
        <f>IFERROR(K1111/$AD1111,0)</f>
        <v>0</v>
      </c>
      <c r="M1111" s="35"/>
      <c r="N1111" s="36">
        <f>IFERROR(M1111/$AC1111,0)</f>
        <v>0</v>
      </c>
      <c r="O1111" s="38"/>
      <c r="P1111" s="36">
        <f>IFERROR(O1111/$AD1111,0)</f>
        <v>0</v>
      </c>
      <c r="Q1111" s="35"/>
      <c r="R1111" s="36">
        <f>IFERROR(Q1111/$AC1111,0)</f>
        <v>0</v>
      </c>
      <c r="S1111" s="38"/>
      <c r="T1111" s="36">
        <f>IFERROR(S1111/$AD1111,0)</f>
        <v>0</v>
      </c>
      <c r="U1111" s="35"/>
      <c r="V1111" s="36">
        <f>IFERROR(U1111/$AC1111,0)</f>
        <v>0</v>
      </c>
      <c r="W1111" s="38"/>
      <c r="X1111" s="36">
        <f>IFERROR(W1111/$AD1111,0)</f>
        <v>0</v>
      </c>
      <c r="Y1111" s="35"/>
      <c r="Z1111" s="36">
        <f>IFERROR(Y1111/$AC1111,0)</f>
        <v>0</v>
      </c>
      <c r="AA1111" s="38"/>
      <c r="AB1111" s="36">
        <f>IFERROR(AA1111/$AD1111,0)</f>
        <v>0</v>
      </c>
      <c r="AC1111" s="35"/>
      <c r="AD1111" s="38"/>
    </row>
    <row r="1112" spans="1:30" ht="15.75" customHeight="1" x14ac:dyDescent="0.25">
      <c r="A1112" s="37">
        <v>2017</v>
      </c>
      <c r="B1112" s="35">
        <v>172208</v>
      </c>
      <c r="C1112" s="34" t="s">
        <v>149</v>
      </c>
      <c r="D1112" s="34" t="s">
        <v>142</v>
      </c>
      <c r="E1112" s="35"/>
      <c r="F1112" s="36">
        <f>IFERROR(E1112/$AC1112,0)</f>
        <v>0</v>
      </c>
      <c r="G1112" s="38"/>
      <c r="H1112" s="36">
        <f>IFERROR(G1112/$AD1112,0)</f>
        <v>0</v>
      </c>
      <c r="I1112" s="35"/>
      <c r="J1112" s="36">
        <f>IFERROR(I1112/$AC1112,0)</f>
        <v>0</v>
      </c>
      <c r="K1112" s="38"/>
      <c r="L1112" s="36">
        <f>IFERROR(K1112/$AD1112,0)</f>
        <v>0</v>
      </c>
      <c r="M1112" s="35"/>
      <c r="N1112" s="36">
        <f>IFERROR(M1112/$AC1112,0)</f>
        <v>0</v>
      </c>
      <c r="O1112" s="38"/>
      <c r="P1112" s="36">
        <f>IFERROR(O1112/$AD1112,0)</f>
        <v>0</v>
      </c>
      <c r="Q1112" s="35"/>
      <c r="R1112" s="36">
        <f>IFERROR(Q1112/$AC1112,0)</f>
        <v>0</v>
      </c>
      <c r="S1112" s="38"/>
      <c r="T1112" s="36">
        <f>IFERROR(S1112/$AD1112,0)</f>
        <v>0</v>
      </c>
      <c r="U1112" s="35"/>
      <c r="V1112" s="36">
        <f>IFERROR(U1112/$AC1112,0)</f>
        <v>0</v>
      </c>
      <c r="W1112" s="38"/>
      <c r="X1112" s="36">
        <f>IFERROR(W1112/$AD1112,0)</f>
        <v>0</v>
      </c>
      <c r="Y1112" s="35"/>
      <c r="Z1112" s="36">
        <f>IFERROR(Y1112/$AC1112,0)</f>
        <v>0</v>
      </c>
      <c r="AA1112" s="38"/>
      <c r="AB1112" s="36">
        <f>IFERROR(AA1112/$AD1112,0)</f>
        <v>0</v>
      </c>
      <c r="AC1112" s="35"/>
      <c r="AD1112" s="38"/>
    </row>
    <row r="1113" spans="1:30" ht="15.75" customHeight="1" x14ac:dyDescent="0.25">
      <c r="A1113" s="37">
        <v>2017</v>
      </c>
      <c r="B1113" s="35">
        <v>172210</v>
      </c>
      <c r="C1113" s="34" t="s">
        <v>149</v>
      </c>
      <c r="D1113" s="34" t="s">
        <v>143</v>
      </c>
      <c r="E1113" s="35"/>
      <c r="F1113" s="36">
        <f>IFERROR(E1113/$AC1113,0)</f>
        <v>0</v>
      </c>
      <c r="G1113" s="38"/>
      <c r="H1113" s="36">
        <f>IFERROR(G1113/$AD1113,0)</f>
        <v>0</v>
      </c>
      <c r="I1113" s="35"/>
      <c r="J1113" s="36">
        <f>IFERROR(I1113/$AC1113,0)</f>
        <v>0</v>
      </c>
      <c r="K1113" s="38"/>
      <c r="L1113" s="36">
        <f>IFERROR(K1113/$AD1113,0)</f>
        <v>0</v>
      </c>
      <c r="M1113" s="35"/>
      <c r="N1113" s="36">
        <f>IFERROR(M1113/$AC1113,0)</f>
        <v>0</v>
      </c>
      <c r="O1113" s="38"/>
      <c r="P1113" s="36">
        <f>IFERROR(O1113/$AD1113,0)</f>
        <v>0</v>
      </c>
      <c r="Q1113" s="35"/>
      <c r="R1113" s="36">
        <f>IFERROR(Q1113/$AC1113,0)</f>
        <v>0</v>
      </c>
      <c r="S1113" s="38"/>
      <c r="T1113" s="36">
        <f>IFERROR(S1113/$AD1113,0)</f>
        <v>0</v>
      </c>
      <c r="U1113" s="35"/>
      <c r="V1113" s="36">
        <f>IFERROR(U1113/$AC1113,0)</f>
        <v>0</v>
      </c>
      <c r="W1113" s="38"/>
      <c r="X1113" s="36">
        <f>IFERROR(W1113/$AD1113,0)</f>
        <v>0</v>
      </c>
      <c r="Y1113" s="35"/>
      <c r="Z1113" s="36">
        <f>IFERROR(Y1113/$AC1113,0)</f>
        <v>0</v>
      </c>
      <c r="AA1113" s="38"/>
      <c r="AB1113" s="36">
        <f>IFERROR(AA1113/$AD1113,0)</f>
        <v>0</v>
      </c>
      <c r="AC1113" s="35"/>
      <c r="AD1113" s="38"/>
    </row>
    <row r="1114" spans="1:30" ht="15.75" customHeight="1" x14ac:dyDescent="0.25">
      <c r="A1114" s="37">
        <v>2016</v>
      </c>
      <c r="B1114" s="35">
        <v>170025</v>
      </c>
      <c r="C1114" s="34" t="s">
        <v>144</v>
      </c>
      <c r="D1114" s="34" t="s">
        <v>5</v>
      </c>
      <c r="E1114" s="35"/>
      <c r="F1114" s="36">
        <f>IFERROR(E1114/$AC1114,0)</f>
        <v>0</v>
      </c>
      <c r="G1114" s="38"/>
      <c r="H1114" s="36">
        <f>IFERROR(G1114/$AD1114,0)</f>
        <v>0</v>
      </c>
      <c r="I1114" s="35"/>
      <c r="J1114" s="36">
        <f>IFERROR(I1114/$AC1114,0)</f>
        <v>0</v>
      </c>
      <c r="K1114" s="38"/>
      <c r="L1114" s="36">
        <f>IFERROR(K1114/$AD1114,0)</f>
        <v>0</v>
      </c>
      <c r="M1114" s="35"/>
      <c r="N1114" s="36">
        <f>IFERROR(M1114/$AC1114,0)</f>
        <v>0</v>
      </c>
      <c r="O1114" s="38"/>
      <c r="P1114" s="36">
        <f>IFERROR(O1114/$AD1114,0)</f>
        <v>0</v>
      </c>
      <c r="Q1114" s="35"/>
      <c r="R1114" s="36">
        <f>IFERROR(Q1114/$AC1114,0)</f>
        <v>0</v>
      </c>
      <c r="S1114" s="38"/>
      <c r="T1114" s="36">
        <f>IFERROR(S1114/$AD1114,0)</f>
        <v>0</v>
      </c>
      <c r="U1114" s="35"/>
      <c r="V1114" s="36">
        <f>IFERROR(U1114/$AC1114,0)</f>
        <v>0</v>
      </c>
      <c r="W1114" s="38"/>
      <c r="X1114" s="36">
        <f>IFERROR(W1114/$AD1114,0)</f>
        <v>0</v>
      </c>
      <c r="Y1114" s="35"/>
      <c r="Z1114" s="36">
        <f>IFERROR(Y1114/$AC1114,0)</f>
        <v>0</v>
      </c>
      <c r="AA1114" s="38"/>
      <c r="AB1114" s="36">
        <f>IFERROR(AA1114/$AD1114,0)</f>
        <v>0</v>
      </c>
      <c r="AC1114" s="35"/>
      <c r="AD1114" s="38"/>
    </row>
    <row r="1115" spans="1:30" ht="15.75" customHeight="1" x14ac:dyDescent="0.25">
      <c r="A1115" s="37">
        <v>2016</v>
      </c>
      <c r="B1115" s="35">
        <v>170030</v>
      </c>
      <c r="C1115" s="34" t="s">
        <v>145</v>
      </c>
      <c r="D1115" s="34" t="s">
        <v>6</v>
      </c>
      <c r="E1115" s="35"/>
      <c r="F1115" s="36">
        <f>IFERROR(E1115/$AC1115,0)</f>
        <v>0</v>
      </c>
      <c r="G1115" s="38"/>
      <c r="H1115" s="36">
        <f>IFERROR(G1115/$AD1115,0)</f>
        <v>0</v>
      </c>
      <c r="I1115" s="35"/>
      <c r="J1115" s="36">
        <f>IFERROR(I1115/$AC1115,0)</f>
        <v>0</v>
      </c>
      <c r="K1115" s="38"/>
      <c r="L1115" s="36">
        <f>IFERROR(K1115/$AD1115,0)</f>
        <v>0</v>
      </c>
      <c r="M1115" s="35"/>
      <c r="N1115" s="36">
        <f>IFERROR(M1115/$AC1115,0)</f>
        <v>0</v>
      </c>
      <c r="O1115" s="38"/>
      <c r="P1115" s="36">
        <f>IFERROR(O1115/$AD1115,0)</f>
        <v>0</v>
      </c>
      <c r="Q1115" s="35"/>
      <c r="R1115" s="36">
        <f>IFERROR(Q1115/$AC1115,0)</f>
        <v>0</v>
      </c>
      <c r="S1115" s="38"/>
      <c r="T1115" s="36">
        <f>IFERROR(S1115/$AD1115,0)</f>
        <v>0</v>
      </c>
      <c r="U1115" s="35"/>
      <c r="V1115" s="36">
        <f>IFERROR(U1115/$AC1115,0)</f>
        <v>0</v>
      </c>
      <c r="W1115" s="38"/>
      <c r="X1115" s="36">
        <f>IFERROR(W1115/$AD1115,0)</f>
        <v>0</v>
      </c>
      <c r="Y1115" s="35"/>
      <c r="Z1115" s="36">
        <f>IFERROR(Y1115/$AC1115,0)</f>
        <v>0</v>
      </c>
      <c r="AA1115" s="38"/>
      <c r="AB1115" s="36">
        <f>IFERROR(AA1115/$AD1115,0)</f>
        <v>0</v>
      </c>
      <c r="AC1115" s="35"/>
      <c r="AD1115" s="38"/>
    </row>
    <row r="1116" spans="1:30" ht="15.75" customHeight="1" x14ac:dyDescent="0.25">
      <c r="A1116" s="37">
        <v>2016</v>
      </c>
      <c r="B1116" s="35">
        <v>170035</v>
      </c>
      <c r="C1116" s="34" t="s">
        <v>146</v>
      </c>
      <c r="D1116" s="34" t="s">
        <v>7</v>
      </c>
      <c r="E1116" s="35"/>
      <c r="F1116" s="36">
        <f>IFERROR(E1116/$AC1116,0)</f>
        <v>0</v>
      </c>
      <c r="G1116" s="38"/>
      <c r="H1116" s="36">
        <f>IFERROR(G1116/$AD1116,0)</f>
        <v>0</v>
      </c>
      <c r="I1116" s="35"/>
      <c r="J1116" s="36">
        <f>IFERROR(I1116/$AC1116,0)</f>
        <v>0</v>
      </c>
      <c r="K1116" s="38"/>
      <c r="L1116" s="36">
        <f>IFERROR(K1116/$AD1116,0)</f>
        <v>0</v>
      </c>
      <c r="M1116" s="35"/>
      <c r="N1116" s="36">
        <f>IFERROR(M1116/$AC1116,0)</f>
        <v>0</v>
      </c>
      <c r="O1116" s="38"/>
      <c r="P1116" s="36">
        <f>IFERROR(O1116/$AD1116,0)</f>
        <v>0</v>
      </c>
      <c r="Q1116" s="35"/>
      <c r="R1116" s="36">
        <f>IFERROR(Q1116/$AC1116,0)</f>
        <v>0</v>
      </c>
      <c r="S1116" s="38"/>
      <c r="T1116" s="36">
        <f>IFERROR(S1116/$AD1116,0)</f>
        <v>0</v>
      </c>
      <c r="U1116" s="35"/>
      <c r="V1116" s="36">
        <f>IFERROR(U1116/$AC1116,0)</f>
        <v>0</v>
      </c>
      <c r="W1116" s="38"/>
      <c r="X1116" s="36">
        <f>IFERROR(W1116/$AD1116,0)</f>
        <v>0</v>
      </c>
      <c r="Y1116" s="35"/>
      <c r="Z1116" s="36">
        <f>IFERROR(Y1116/$AC1116,0)</f>
        <v>0</v>
      </c>
      <c r="AA1116" s="38"/>
      <c r="AB1116" s="36">
        <f>IFERROR(AA1116/$AD1116,0)</f>
        <v>0</v>
      </c>
      <c r="AC1116" s="35"/>
      <c r="AD1116" s="38"/>
    </row>
    <row r="1117" spans="1:30" ht="15.75" customHeight="1" x14ac:dyDescent="0.25">
      <c r="A1117" s="37">
        <v>2016</v>
      </c>
      <c r="B1117" s="35">
        <v>170040</v>
      </c>
      <c r="C1117" s="34" t="s">
        <v>147</v>
      </c>
      <c r="D1117" s="34" t="s">
        <v>8</v>
      </c>
      <c r="E1117" s="35"/>
      <c r="F1117" s="36">
        <f>IFERROR(E1117/$AC1117,0)</f>
        <v>0</v>
      </c>
      <c r="G1117" s="38"/>
      <c r="H1117" s="36">
        <f>IFERROR(G1117/$AD1117,0)</f>
        <v>0</v>
      </c>
      <c r="I1117" s="35"/>
      <c r="J1117" s="36">
        <f>IFERROR(I1117/$AC1117,0)</f>
        <v>0</v>
      </c>
      <c r="K1117" s="38"/>
      <c r="L1117" s="36">
        <f>IFERROR(K1117/$AD1117,0)</f>
        <v>0</v>
      </c>
      <c r="M1117" s="35"/>
      <c r="N1117" s="36">
        <f>IFERROR(M1117/$AC1117,0)</f>
        <v>0</v>
      </c>
      <c r="O1117" s="38"/>
      <c r="P1117" s="36">
        <f>IFERROR(O1117/$AD1117,0)</f>
        <v>0</v>
      </c>
      <c r="Q1117" s="35"/>
      <c r="R1117" s="36">
        <f>IFERROR(Q1117/$AC1117,0)</f>
        <v>0</v>
      </c>
      <c r="S1117" s="38"/>
      <c r="T1117" s="36">
        <f>IFERROR(S1117/$AD1117,0)</f>
        <v>0</v>
      </c>
      <c r="U1117" s="35"/>
      <c r="V1117" s="36">
        <f>IFERROR(U1117/$AC1117,0)</f>
        <v>0</v>
      </c>
      <c r="W1117" s="38"/>
      <c r="X1117" s="36">
        <f>IFERROR(W1117/$AD1117,0)</f>
        <v>0</v>
      </c>
      <c r="Y1117" s="35"/>
      <c r="Z1117" s="36">
        <f>IFERROR(Y1117/$AC1117,0)</f>
        <v>0</v>
      </c>
      <c r="AA1117" s="38"/>
      <c r="AB1117" s="36">
        <f>IFERROR(AA1117/$AD1117,0)</f>
        <v>0</v>
      </c>
      <c r="AC1117" s="35"/>
      <c r="AD1117" s="38"/>
    </row>
    <row r="1118" spans="1:30" ht="15.75" customHeight="1" x14ac:dyDescent="0.25">
      <c r="A1118" s="37">
        <v>2016</v>
      </c>
      <c r="B1118" s="35">
        <v>170070</v>
      </c>
      <c r="C1118" s="34" t="s">
        <v>146</v>
      </c>
      <c r="D1118" s="34" t="s">
        <v>9</v>
      </c>
      <c r="E1118" s="35"/>
      <c r="F1118" s="36">
        <f>IFERROR(E1118/$AC1118,0)</f>
        <v>0</v>
      </c>
      <c r="G1118" s="38"/>
      <c r="H1118" s="36">
        <f>IFERROR(G1118/$AD1118,0)</f>
        <v>0</v>
      </c>
      <c r="I1118" s="35"/>
      <c r="J1118" s="36">
        <f>IFERROR(I1118/$AC1118,0)</f>
        <v>0</v>
      </c>
      <c r="K1118" s="38"/>
      <c r="L1118" s="36">
        <f>IFERROR(K1118/$AD1118,0)</f>
        <v>0</v>
      </c>
      <c r="M1118" s="35"/>
      <c r="N1118" s="36">
        <f>IFERROR(M1118/$AC1118,0)</f>
        <v>0</v>
      </c>
      <c r="O1118" s="38"/>
      <c r="P1118" s="36">
        <f>IFERROR(O1118/$AD1118,0)</f>
        <v>0</v>
      </c>
      <c r="Q1118" s="35"/>
      <c r="R1118" s="36">
        <f>IFERROR(Q1118/$AC1118,0)</f>
        <v>0</v>
      </c>
      <c r="S1118" s="38"/>
      <c r="T1118" s="36">
        <f>IFERROR(S1118/$AD1118,0)</f>
        <v>0</v>
      </c>
      <c r="U1118" s="35"/>
      <c r="V1118" s="36">
        <f>IFERROR(U1118/$AC1118,0)</f>
        <v>0</v>
      </c>
      <c r="W1118" s="38"/>
      <c r="X1118" s="36">
        <f>IFERROR(W1118/$AD1118,0)</f>
        <v>0</v>
      </c>
      <c r="Y1118" s="35"/>
      <c r="Z1118" s="36">
        <f>IFERROR(Y1118/$AC1118,0)</f>
        <v>0</v>
      </c>
      <c r="AA1118" s="38"/>
      <c r="AB1118" s="36">
        <f>IFERROR(AA1118/$AD1118,0)</f>
        <v>0</v>
      </c>
      <c r="AC1118" s="35"/>
      <c r="AD1118" s="38"/>
    </row>
    <row r="1119" spans="1:30" ht="15.75" customHeight="1" x14ac:dyDescent="0.25">
      <c r="A1119" s="37">
        <v>2016</v>
      </c>
      <c r="B1119" s="35">
        <v>170100</v>
      </c>
      <c r="C1119" s="34" t="s">
        <v>145</v>
      </c>
      <c r="D1119" s="34" t="s">
        <v>10</v>
      </c>
      <c r="E1119" s="35"/>
      <c r="F1119" s="36">
        <f>IFERROR(E1119/$AC1119,0)</f>
        <v>0</v>
      </c>
      <c r="G1119" s="38"/>
      <c r="H1119" s="36">
        <f>IFERROR(G1119/$AD1119,0)</f>
        <v>0</v>
      </c>
      <c r="I1119" s="35"/>
      <c r="J1119" s="36">
        <f>IFERROR(I1119/$AC1119,0)</f>
        <v>0</v>
      </c>
      <c r="K1119" s="38"/>
      <c r="L1119" s="36">
        <f>IFERROR(K1119/$AD1119,0)</f>
        <v>0</v>
      </c>
      <c r="M1119" s="35"/>
      <c r="N1119" s="36">
        <f>IFERROR(M1119/$AC1119,0)</f>
        <v>0</v>
      </c>
      <c r="O1119" s="38"/>
      <c r="P1119" s="36">
        <f>IFERROR(O1119/$AD1119,0)</f>
        <v>0</v>
      </c>
      <c r="Q1119" s="35"/>
      <c r="R1119" s="36">
        <f>IFERROR(Q1119/$AC1119,0)</f>
        <v>0</v>
      </c>
      <c r="S1119" s="38"/>
      <c r="T1119" s="36">
        <f>IFERROR(S1119/$AD1119,0)</f>
        <v>0</v>
      </c>
      <c r="U1119" s="35"/>
      <c r="V1119" s="36">
        <f>IFERROR(U1119/$AC1119,0)</f>
        <v>0</v>
      </c>
      <c r="W1119" s="38"/>
      <c r="X1119" s="36">
        <f>IFERROR(W1119/$AD1119,0)</f>
        <v>0</v>
      </c>
      <c r="Y1119" s="35"/>
      <c r="Z1119" s="36">
        <f>IFERROR(Y1119/$AC1119,0)</f>
        <v>0</v>
      </c>
      <c r="AA1119" s="38"/>
      <c r="AB1119" s="36">
        <f>IFERROR(AA1119/$AD1119,0)</f>
        <v>0</v>
      </c>
      <c r="AC1119" s="35"/>
      <c r="AD1119" s="38"/>
    </row>
    <row r="1120" spans="1:30" ht="15.75" customHeight="1" x14ac:dyDescent="0.25">
      <c r="A1120" s="37">
        <v>2016</v>
      </c>
      <c r="B1120" s="35">
        <v>170105</v>
      </c>
      <c r="C1120" s="34" t="s">
        <v>145</v>
      </c>
      <c r="D1120" s="34" t="s">
        <v>11</v>
      </c>
      <c r="E1120" s="35"/>
      <c r="F1120" s="36">
        <f>IFERROR(E1120/$AC1120,0)</f>
        <v>0</v>
      </c>
      <c r="G1120" s="38"/>
      <c r="H1120" s="36">
        <f>IFERROR(G1120/$AD1120,0)</f>
        <v>0</v>
      </c>
      <c r="I1120" s="35"/>
      <c r="J1120" s="36">
        <f>IFERROR(I1120/$AC1120,0)</f>
        <v>0</v>
      </c>
      <c r="K1120" s="38"/>
      <c r="L1120" s="36">
        <f>IFERROR(K1120/$AD1120,0)</f>
        <v>0</v>
      </c>
      <c r="M1120" s="35"/>
      <c r="N1120" s="36">
        <f>IFERROR(M1120/$AC1120,0)</f>
        <v>0</v>
      </c>
      <c r="O1120" s="38"/>
      <c r="P1120" s="36">
        <f>IFERROR(O1120/$AD1120,0)</f>
        <v>0</v>
      </c>
      <c r="Q1120" s="35"/>
      <c r="R1120" s="36">
        <f>IFERROR(Q1120/$AC1120,0)</f>
        <v>0</v>
      </c>
      <c r="S1120" s="38"/>
      <c r="T1120" s="36">
        <f>IFERROR(S1120/$AD1120,0)</f>
        <v>0</v>
      </c>
      <c r="U1120" s="35"/>
      <c r="V1120" s="36">
        <f>IFERROR(U1120/$AC1120,0)</f>
        <v>0</v>
      </c>
      <c r="W1120" s="38"/>
      <c r="X1120" s="36">
        <f>IFERROR(W1120/$AD1120,0)</f>
        <v>0</v>
      </c>
      <c r="Y1120" s="35"/>
      <c r="Z1120" s="36">
        <f>IFERROR(Y1120/$AC1120,0)</f>
        <v>0</v>
      </c>
      <c r="AA1120" s="38"/>
      <c r="AB1120" s="36">
        <f>IFERROR(AA1120/$AD1120,0)</f>
        <v>0</v>
      </c>
      <c r="AC1120" s="35"/>
      <c r="AD1120" s="38"/>
    </row>
    <row r="1121" spans="1:30" ht="15.75" customHeight="1" x14ac:dyDescent="0.25">
      <c r="A1121" s="37">
        <v>2016</v>
      </c>
      <c r="B1121" s="35">
        <v>170110</v>
      </c>
      <c r="C1121" s="34" t="s">
        <v>148</v>
      </c>
      <c r="D1121" s="34" t="s">
        <v>12</v>
      </c>
      <c r="E1121" s="35"/>
      <c r="F1121" s="36">
        <f>IFERROR(E1121/$AC1121,0)</f>
        <v>0</v>
      </c>
      <c r="G1121" s="38"/>
      <c r="H1121" s="36">
        <f>IFERROR(G1121/$AD1121,0)</f>
        <v>0</v>
      </c>
      <c r="I1121" s="35"/>
      <c r="J1121" s="36">
        <f>IFERROR(I1121/$AC1121,0)</f>
        <v>0</v>
      </c>
      <c r="K1121" s="38"/>
      <c r="L1121" s="36">
        <f>IFERROR(K1121/$AD1121,0)</f>
        <v>0</v>
      </c>
      <c r="M1121" s="35"/>
      <c r="N1121" s="36">
        <f>IFERROR(M1121/$AC1121,0)</f>
        <v>0</v>
      </c>
      <c r="O1121" s="38"/>
      <c r="P1121" s="36">
        <f>IFERROR(O1121/$AD1121,0)</f>
        <v>0</v>
      </c>
      <c r="Q1121" s="35"/>
      <c r="R1121" s="36">
        <f>IFERROR(Q1121/$AC1121,0)</f>
        <v>0</v>
      </c>
      <c r="S1121" s="38"/>
      <c r="T1121" s="36">
        <f>IFERROR(S1121/$AD1121,0)</f>
        <v>0</v>
      </c>
      <c r="U1121" s="35"/>
      <c r="V1121" s="36">
        <f>IFERROR(U1121/$AC1121,0)</f>
        <v>0</v>
      </c>
      <c r="W1121" s="38"/>
      <c r="X1121" s="36">
        <f>IFERROR(W1121/$AD1121,0)</f>
        <v>0</v>
      </c>
      <c r="Y1121" s="35"/>
      <c r="Z1121" s="36">
        <f>IFERROR(Y1121/$AC1121,0)</f>
        <v>0</v>
      </c>
      <c r="AA1121" s="38"/>
      <c r="AB1121" s="36">
        <f>IFERROR(AA1121/$AD1121,0)</f>
        <v>0</v>
      </c>
      <c r="AC1121" s="35"/>
      <c r="AD1121" s="38"/>
    </row>
    <row r="1122" spans="1:30" ht="15.75" customHeight="1" x14ac:dyDescent="0.25">
      <c r="A1122" s="37">
        <v>2016</v>
      </c>
      <c r="B1122" s="35">
        <v>170130</v>
      </c>
      <c r="C1122" s="34" t="s">
        <v>149</v>
      </c>
      <c r="D1122" s="34" t="s">
        <v>13</v>
      </c>
      <c r="E1122" s="35"/>
      <c r="F1122" s="36">
        <f>IFERROR(E1122/$AC1122,0)</f>
        <v>0</v>
      </c>
      <c r="G1122" s="38"/>
      <c r="H1122" s="36">
        <f>IFERROR(G1122/$AD1122,0)</f>
        <v>0</v>
      </c>
      <c r="I1122" s="35"/>
      <c r="J1122" s="36">
        <f>IFERROR(I1122/$AC1122,0)</f>
        <v>0</v>
      </c>
      <c r="K1122" s="38"/>
      <c r="L1122" s="36">
        <f>IFERROR(K1122/$AD1122,0)</f>
        <v>0</v>
      </c>
      <c r="M1122" s="35"/>
      <c r="N1122" s="36">
        <f>IFERROR(M1122/$AC1122,0)</f>
        <v>0</v>
      </c>
      <c r="O1122" s="38"/>
      <c r="P1122" s="36">
        <f>IFERROR(O1122/$AD1122,0)</f>
        <v>0</v>
      </c>
      <c r="Q1122" s="35"/>
      <c r="R1122" s="36">
        <f>IFERROR(Q1122/$AC1122,0)</f>
        <v>0</v>
      </c>
      <c r="S1122" s="38"/>
      <c r="T1122" s="36">
        <f>IFERROR(S1122/$AD1122,0)</f>
        <v>0</v>
      </c>
      <c r="U1122" s="35"/>
      <c r="V1122" s="36">
        <f>IFERROR(U1122/$AC1122,0)</f>
        <v>0</v>
      </c>
      <c r="W1122" s="38"/>
      <c r="X1122" s="36">
        <f>IFERROR(W1122/$AD1122,0)</f>
        <v>0</v>
      </c>
      <c r="Y1122" s="35"/>
      <c r="Z1122" s="36">
        <f>IFERROR(Y1122/$AC1122,0)</f>
        <v>0</v>
      </c>
      <c r="AA1122" s="38"/>
      <c r="AB1122" s="36">
        <f>IFERROR(AA1122/$AD1122,0)</f>
        <v>0</v>
      </c>
      <c r="AC1122" s="35"/>
      <c r="AD1122" s="38"/>
    </row>
    <row r="1123" spans="1:30" ht="15.75" customHeight="1" x14ac:dyDescent="0.25">
      <c r="A1123" s="37">
        <v>2016</v>
      </c>
      <c r="B1123" s="35">
        <v>170190</v>
      </c>
      <c r="C1123" s="34" t="s">
        <v>144</v>
      </c>
      <c r="D1123" s="34" t="s">
        <v>14</v>
      </c>
      <c r="E1123" s="35"/>
      <c r="F1123" s="36">
        <f>IFERROR(E1123/$AC1123,0)</f>
        <v>0</v>
      </c>
      <c r="G1123" s="38"/>
      <c r="H1123" s="36">
        <f>IFERROR(G1123/$AD1123,0)</f>
        <v>0</v>
      </c>
      <c r="I1123" s="35"/>
      <c r="J1123" s="36">
        <f>IFERROR(I1123/$AC1123,0)</f>
        <v>0</v>
      </c>
      <c r="K1123" s="38"/>
      <c r="L1123" s="36">
        <f>IFERROR(K1123/$AD1123,0)</f>
        <v>0</v>
      </c>
      <c r="M1123" s="35"/>
      <c r="N1123" s="36">
        <f>IFERROR(M1123/$AC1123,0)</f>
        <v>0</v>
      </c>
      <c r="O1123" s="38"/>
      <c r="P1123" s="36">
        <f>IFERROR(O1123/$AD1123,0)</f>
        <v>0</v>
      </c>
      <c r="Q1123" s="35"/>
      <c r="R1123" s="36">
        <f>IFERROR(Q1123/$AC1123,0)</f>
        <v>0</v>
      </c>
      <c r="S1123" s="38"/>
      <c r="T1123" s="36">
        <f>IFERROR(S1123/$AD1123,0)</f>
        <v>0</v>
      </c>
      <c r="U1123" s="35"/>
      <c r="V1123" s="36">
        <f>IFERROR(U1123/$AC1123,0)</f>
        <v>0</v>
      </c>
      <c r="W1123" s="38"/>
      <c r="X1123" s="36">
        <f>IFERROR(W1123/$AD1123,0)</f>
        <v>0</v>
      </c>
      <c r="Y1123" s="35"/>
      <c r="Z1123" s="36">
        <f>IFERROR(Y1123/$AC1123,0)</f>
        <v>0</v>
      </c>
      <c r="AA1123" s="38"/>
      <c r="AB1123" s="36">
        <f>IFERROR(AA1123/$AD1123,0)</f>
        <v>0</v>
      </c>
      <c r="AC1123" s="35"/>
      <c r="AD1123" s="38"/>
    </row>
    <row r="1124" spans="1:30" ht="15.75" customHeight="1" x14ac:dyDescent="0.25">
      <c r="A1124" s="37">
        <v>2016</v>
      </c>
      <c r="B1124" s="35">
        <v>170200</v>
      </c>
      <c r="C1124" s="34" t="s">
        <v>146</v>
      </c>
      <c r="D1124" s="34" t="s">
        <v>15</v>
      </c>
      <c r="E1124" s="35"/>
      <c r="F1124" s="36">
        <f>IFERROR(E1124/$AC1124,0)</f>
        <v>0</v>
      </c>
      <c r="G1124" s="38"/>
      <c r="H1124" s="36">
        <f>IFERROR(G1124/$AD1124,0)</f>
        <v>0</v>
      </c>
      <c r="I1124" s="35"/>
      <c r="J1124" s="36">
        <f>IFERROR(I1124/$AC1124,0)</f>
        <v>0</v>
      </c>
      <c r="K1124" s="38"/>
      <c r="L1124" s="36">
        <f>IFERROR(K1124/$AD1124,0)</f>
        <v>0</v>
      </c>
      <c r="M1124" s="35"/>
      <c r="N1124" s="36">
        <f>IFERROR(M1124/$AC1124,0)</f>
        <v>0</v>
      </c>
      <c r="O1124" s="38"/>
      <c r="P1124" s="36">
        <f>IFERROR(O1124/$AD1124,0)</f>
        <v>0</v>
      </c>
      <c r="Q1124" s="35"/>
      <c r="R1124" s="36">
        <f>IFERROR(Q1124/$AC1124,0)</f>
        <v>0</v>
      </c>
      <c r="S1124" s="38"/>
      <c r="T1124" s="36">
        <f>IFERROR(S1124/$AD1124,0)</f>
        <v>0</v>
      </c>
      <c r="U1124" s="35"/>
      <c r="V1124" s="36">
        <f>IFERROR(U1124/$AC1124,0)</f>
        <v>0</v>
      </c>
      <c r="W1124" s="38"/>
      <c r="X1124" s="36">
        <f>IFERROR(W1124/$AD1124,0)</f>
        <v>0</v>
      </c>
      <c r="Y1124" s="35"/>
      <c r="Z1124" s="36">
        <f>IFERROR(Y1124/$AC1124,0)</f>
        <v>0</v>
      </c>
      <c r="AA1124" s="38"/>
      <c r="AB1124" s="36">
        <f>IFERROR(AA1124/$AD1124,0)</f>
        <v>0</v>
      </c>
      <c r="AC1124" s="35"/>
      <c r="AD1124" s="38"/>
    </row>
    <row r="1125" spans="1:30" ht="15.75" customHeight="1" x14ac:dyDescent="0.25">
      <c r="A1125" s="37">
        <v>2016</v>
      </c>
      <c r="B1125" s="35">
        <v>170210</v>
      </c>
      <c r="C1125" s="34" t="s">
        <v>149</v>
      </c>
      <c r="D1125" s="34" t="s">
        <v>16</v>
      </c>
      <c r="E1125" s="35"/>
      <c r="F1125" s="36">
        <f>IFERROR(E1125/$AC1125,0)</f>
        <v>0</v>
      </c>
      <c r="G1125" s="38"/>
      <c r="H1125" s="36">
        <f>IFERROR(G1125/$AD1125,0)</f>
        <v>0</v>
      </c>
      <c r="I1125" s="35"/>
      <c r="J1125" s="36">
        <f>IFERROR(I1125/$AC1125,0)</f>
        <v>0</v>
      </c>
      <c r="K1125" s="38"/>
      <c r="L1125" s="36">
        <f>IFERROR(K1125/$AD1125,0)</f>
        <v>0</v>
      </c>
      <c r="M1125" s="35"/>
      <c r="N1125" s="36">
        <f>IFERROR(M1125/$AC1125,0)</f>
        <v>0</v>
      </c>
      <c r="O1125" s="39"/>
      <c r="P1125" s="36">
        <f>IFERROR(O1125/$AD1125,0)</f>
        <v>0</v>
      </c>
      <c r="Q1125" s="35"/>
      <c r="R1125" s="36">
        <f>IFERROR(Q1125/$AC1125,0)</f>
        <v>0</v>
      </c>
      <c r="S1125" s="38"/>
      <c r="T1125" s="36">
        <f>IFERROR(S1125/$AD1125,0)</f>
        <v>0</v>
      </c>
      <c r="U1125" s="35"/>
      <c r="V1125" s="36">
        <f>IFERROR(U1125/$AC1125,0)</f>
        <v>0</v>
      </c>
      <c r="W1125" s="38"/>
      <c r="X1125" s="36">
        <f>IFERROR(W1125/$AD1125,0)</f>
        <v>0</v>
      </c>
      <c r="Y1125" s="35"/>
      <c r="Z1125" s="36">
        <f>IFERROR(Y1125/$AC1125,0)</f>
        <v>0</v>
      </c>
      <c r="AA1125" s="39"/>
      <c r="AB1125" s="36">
        <f>IFERROR(AA1125/$AD1125,0)</f>
        <v>0</v>
      </c>
      <c r="AC1125" s="35"/>
      <c r="AD1125" s="39"/>
    </row>
    <row r="1126" spans="1:30" ht="15.75" customHeight="1" x14ac:dyDescent="0.25">
      <c r="A1126" s="37">
        <v>2016</v>
      </c>
      <c r="B1126" s="35">
        <v>170215</v>
      </c>
      <c r="C1126" s="34" t="s">
        <v>149</v>
      </c>
      <c r="D1126" s="34" t="s">
        <v>17</v>
      </c>
      <c r="E1126" s="35"/>
      <c r="F1126" s="36">
        <f>IFERROR(E1126/$AC1126,0)</f>
        <v>0</v>
      </c>
      <c r="G1126" s="38"/>
      <c r="H1126" s="36">
        <f>IFERROR(G1126/$AD1126,0)</f>
        <v>0</v>
      </c>
      <c r="I1126" s="35"/>
      <c r="J1126" s="36">
        <f>IFERROR(I1126/$AC1126,0)</f>
        <v>0</v>
      </c>
      <c r="K1126" s="38"/>
      <c r="L1126" s="36">
        <f>IFERROR(K1126/$AD1126,0)</f>
        <v>0</v>
      </c>
      <c r="M1126" s="35"/>
      <c r="N1126" s="36">
        <f>IFERROR(M1126/$AC1126,0)</f>
        <v>0</v>
      </c>
      <c r="O1126" s="38"/>
      <c r="P1126" s="36">
        <f>IFERROR(O1126/$AD1126,0)</f>
        <v>0</v>
      </c>
      <c r="Q1126" s="35"/>
      <c r="R1126" s="36">
        <f>IFERROR(Q1126/$AC1126,0)</f>
        <v>0</v>
      </c>
      <c r="S1126" s="38"/>
      <c r="T1126" s="36">
        <f>IFERROR(S1126/$AD1126,0)</f>
        <v>0</v>
      </c>
      <c r="U1126" s="35"/>
      <c r="V1126" s="36">
        <f>IFERROR(U1126/$AC1126,0)</f>
        <v>0</v>
      </c>
      <c r="W1126" s="38"/>
      <c r="X1126" s="36">
        <f>IFERROR(W1126/$AD1126,0)</f>
        <v>0</v>
      </c>
      <c r="Y1126" s="35"/>
      <c r="Z1126" s="36">
        <f>IFERROR(Y1126/$AC1126,0)</f>
        <v>0</v>
      </c>
      <c r="AA1126" s="38"/>
      <c r="AB1126" s="36">
        <f>IFERROR(AA1126/$AD1126,0)</f>
        <v>0</v>
      </c>
      <c r="AC1126" s="35"/>
      <c r="AD1126" s="38"/>
    </row>
    <row r="1127" spans="1:30" ht="15.75" customHeight="1" x14ac:dyDescent="0.25">
      <c r="A1127" s="37">
        <v>2016</v>
      </c>
      <c r="B1127" s="35">
        <v>170220</v>
      </c>
      <c r="C1127" s="34" t="s">
        <v>145</v>
      </c>
      <c r="D1127" s="34" t="s">
        <v>18</v>
      </c>
      <c r="E1127" s="35"/>
      <c r="F1127" s="36">
        <f>IFERROR(E1127/$AC1127,0)</f>
        <v>0</v>
      </c>
      <c r="G1127" s="38"/>
      <c r="H1127" s="36">
        <f>IFERROR(G1127/$AD1127,0)</f>
        <v>0</v>
      </c>
      <c r="I1127" s="35"/>
      <c r="J1127" s="36">
        <f>IFERROR(I1127/$AC1127,0)</f>
        <v>0</v>
      </c>
      <c r="K1127" s="38"/>
      <c r="L1127" s="36">
        <f>IFERROR(K1127/$AD1127,0)</f>
        <v>0</v>
      </c>
      <c r="M1127" s="35"/>
      <c r="N1127" s="36">
        <f>IFERROR(M1127/$AC1127,0)</f>
        <v>0</v>
      </c>
      <c r="O1127" s="39"/>
      <c r="P1127" s="36">
        <f>IFERROR(O1127/$AD1127,0)</f>
        <v>0</v>
      </c>
      <c r="Q1127" s="35"/>
      <c r="R1127" s="36">
        <f>IFERROR(Q1127/$AC1127,0)</f>
        <v>0</v>
      </c>
      <c r="S1127" s="38"/>
      <c r="T1127" s="36">
        <f>IFERROR(S1127/$AD1127,0)</f>
        <v>0</v>
      </c>
      <c r="U1127" s="35"/>
      <c r="V1127" s="36">
        <f>IFERROR(U1127/$AC1127,0)</f>
        <v>0</v>
      </c>
      <c r="W1127" s="38"/>
      <c r="X1127" s="36">
        <f>IFERROR(W1127/$AD1127,0)</f>
        <v>0</v>
      </c>
      <c r="Y1127" s="35"/>
      <c r="Z1127" s="36">
        <f>IFERROR(Y1127/$AC1127,0)</f>
        <v>0</v>
      </c>
      <c r="AA1127" s="38"/>
      <c r="AB1127" s="36">
        <f>IFERROR(AA1127/$AD1127,0)</f>
        <v>0</v>
      </c>
      <c r="AC1127" s="35"/>
      <c r="AD1127" s="39"/>
    </row>
    <row r="1128" spans="1:30" ht="15.75" customHeight="1" x14ac:dyDescent="0.25">
      <c r="A1128" s="37">
        <v>2016</v>
      </c>
      <c r="B1128" s="35">
        <v>170230</v>
      </c>
      <c r="C1128" s="34" t="s">
        <v>150</v>
      </c>
      <c r="D1128" s="34" t="s">
        <v>19</v>
      </c>
      <c r="E1128" s="35"/>
      <c r="F1128" s="36">
        <f>IFERROR(E1128/$AC1128,0)</f>
        <v>0</v>
      </c>
      <c r="G1128" s="38"/>
      <c r="H1128" s="36">
        <f>IFERROR(G1128/$AD1128,0)</f>
        <v>0</v>
      </c>
      <c r="I1128" s="35"/>
      <c r="J1128" s="36">
        <f>IFERROR(I1128/$AC1128,0)</f>
        <v>0</v>
      </c>
      <c r="K1128" s="38"/>
      <c r="L1128" s="36">
        <f>IFERROR(K1128/$AD1128,0)</f>
        <v>0</v>
      </c>
      <c r="M1128" s="35"/>
      <c r="N1128" s="36">
        <f>IFERROR(M1128/$AC1128,0)</f>
        <v>0</v>
      </c>
      <c r="O1128" s="38"/>
      <c r="P1128" s="36">
        <f>IFERROR(O1128/$AD1128,0)</f>
        <v>0</v>
      </c>
      <c r="Q1128" s="35"/>
      <c r="R1128" s="36">
        <f>IFERROR(Q1128/$AC1128,0)</f>
        <v>0</v>
      </c>
      <c r="S1128" s="38"/>
      <c r="T1128" s="36">
        <f>IFERROR(S1128/$AD1128,0)</f>
        <v>0</v>
      </c>
      <c r="U1128" s="35"/>
      <c r="V1128" s="36">
        <f>IFERROR(U1128/$AC1128,0)</f>
        <v>0</v>
      </c>
      <c r="W1128" s="38"/>
      <c r="X1128" s="36">
        <f>IFERROR(W1128/$AD1128,0)</f>
        <v>0</v>
      </c>
      <c r="Y1128" s="35"/>
      <c r="Z1128" s="36">
        <f>IFERROR(Y1128/$AC1128,0)</f>
        <v>0</v>
      </c>
      <c r="AA1128" s="38"/>
      <c r="AB1128" s="36">
        <f>IFERROR(AA1128/$AD1128,0)</f>
        <v>0</v>
      </c>
      <c r="AC1128" s="35"/>
      <c r="AD1128" s="38"/>
    </row>
    <row r="1129" spans="1:30" ht="15.75" customHeight="1" x14ac:dyDescent="0.25">
      <c r="A1129" s="37">
        <v>2016</v>
      </c>
      <c r="B1129" s="35">
        <v>170240</v>
      </c>
      <c r="C1129" s="34" t="s">
        <v>147</v>
      </c>
      <c r="D1129" s="34" t="s">
        <v>20</v>
      </c>
      <c r="E1129" s="35"/>
      <c r="F1129" s="36">
        <f>IFERROR(E1129/$AC1129,0)</f>
        <v>0</v>
      </c>
      <c r="G1129" s="38"/>
      <c r="H1129" s="36">
        <f>IFERROR(G1129/$AD1129,0)</f>
        <v>0</v>
      </c>
      <c r="I1129" s="35"/>
      <c r="J1129" s="36">
        <f>IFERROR(I1129/$AC1129,0)</f>
        <v>0</v>
      </c>
      <c r="K1129" s="38"/>
      <c r="L1129" s="36">
        <f>IFERROR(K1129/$AD1129,0)</f>
        <v>0</v>
      </c>
      <c r="M1129" s="35"/>
      <c r="N1129" s="36">
        <f>IFERROR(M1129/$AC1129,0)</f>
        <v>0</v>
      </c>
      <c r="O1129" s="38"/>
      <c r="P1129" s="36">
        <f>IFERROR(O1129/$AD1129,0)</f>
        <v>0</v>
      </c>
      <c r="Q1129" s="35"/>
      <c r="R1129" s="36">
        <f>IFERROR(Q1129/$AC1129,0)</f>
        <v>0</v>
      </c>
      <c r="S1129" s="38"/>
      <c r="T1129" s="36">
        <f>IFERROR(S1129/$AD1129,0)</f>
        <v>0</v>
      </c>
      <c r="U1129" s="35"/>
      <c r="V1129" s="36">
        <f>IFERROR(U1129/$AC1129,0)</f>
        <v>0</v>
      </c>
      <c r="W1129" s="38"/>
      <c r="X1129" s="36">
        <f>IFERROR(W1129/$AD1129,0)</f>
        <v>0</v>
      </c>
      <c r="Y1129" s="35"/>
      <c r="Z1129" s="36">
        <f>IFERROR(Y1129/$AC1129,0)</f>
        <v>0</v>
      </c>
      <c r="AA1129" s="38"/>
      <c r="AB1129" s="36">
        <f>IFERROR(AA1129/$AD1129,0)</f>
        <v>0</v>
      </c>
      <c r="AC1129" s="35"/>
      <c r="AD1129" s="38"/>
    </row>
    <row r="1130" spans="1:30" ht="15.75" customHeight="1" x14ac:dyDescent="0.25">
      <c r="A1130" s="37">
        <v>2016</v>
      </c>
      <c r="B1130" s="35">
        <v>170255</v>
      </c>
      <c r="C1130" s="34" t="s">
        <v>145</v>
      </c>
      <c r="D1130" s="34" t="s">
        <v>21</v>
      </c>
      <c r="E1130" s="35"/>
      <c r="F1130" s="36">
        <f>IFERROR(E1130/$AC1130,0)</f>
        <v>0</v>
      </c>
      <c r="G1130" s="38"/>
      <c r="H1130" s="36">
        <f>IFERROR(G1130/$AD1130,0)</f>
        <v>0</v>
      </c>
      <c r="I1130" s="35"/>
      <c r="J1130" s="36">
        <f>IFERROR(I1130/$AC1130,0)</f>
        <v>0</v>
      </c>
      <c r="K1130" s="38"/>
      <c r="L1130" s="36">
        <f>IFERROR(K1130/$AD1130,0)</f>
        <v>0</v>
      </c>
      <c r="M1130" s="35"/>
      <c r="N1130" s="36">
        <f>IFERROR(M1130/$AC1130,0)</f>
        <v>0</v>
      </c>
      <c r="O1130" s="38"/>
      <c r="P1130" s="36">
        <f>IFERROR(O1130/$AD1130,0)</f>
        <v>0</v>
      </c>
      <c r="Q1130" s="35"/>
      <c r="R1130" s="36">
        <f>IFERROR(Q1130/$AC1130,0)</f>
        <v>0</v>
      </c>
      <c r="S1130" s="38"/>
      <c r="T1130" s="36">
        <f>IFERROR(S1130/$AD1130,0)</f>
        <v>0</v>
      </c>
      <c r="U1130" s="35"/>
      <c r="V1130" s="36">
        <f>IFERROR(U1130/$AC1130,0)</f>
        <v>0</v>
      </c>
      <c r="W1130" s="38"/>
      <c r="X1130" s="36">
        <f>IFERROR(W1130/$AD1130,0)</f>
        <v>0</v>
      </c>
      <c r="Y1130" s="35"/>
      <c r="Z1130" s="36">
        <f>IFERROR(Y1130/$AC1130,0)</f>
        <v>0</v>
      </c>
      <c r="AA1130" s="38"/>
      <c r="AB1130" s="36">
        <f>IFERROR(AA1130/$AD1130,0)</f>
        <v>0</v>
      </c>
      <c r="AC1130" s="35"/>
      <c r="AD1130" s="38"/>
    </row>
    <row r="1131" spans="1:30" ht="15.75" customHeight="1" x14ac:dyDescent="0.25">
      <c r="A1131" s="37">
        <v>2016</v>
      </c>
      <c r="B1131" s="35">
        <v>170270</v>
      </c>
      <c r="C1131" s="34" t="s">
        <v>147</v>
      </c>
      <c r="D1131" s="34" t="s">
        <v>22</v>
      </c>
      <c r="E1131" s="35"/>
      <c r="F1131" s="36">
        <f>IFERROR(E1131/$AC1131,0)</f>
        <v>0</v>
      </c>
      <c r="G1131" s="38"/>
      <c r="H1131" s="36">
        <f>IFERROR(G1131/$AD1131,0)</f>
        <v>0</v>
      </c>
      <c r="I1131" s="35"/>
      <c r="J1131" s="36">
        <f>IFERROR(I1131/$AC1131,0)</f>
        <v>0</v>
      </c>
      <c r="K1131" s="38"/>
      <c r="L1131" s="36">
        <f>IFERROR(K1131/$AD1131,0)</f>
        <v>0</v>
      </c>
      <c r="M1131" s="35"/>
      <c r="N1131" s="36">
        <f>IFERROR(M1131/$AC1131,0)</f>
        <v>0</v>
      </c>
      <c r="O1131" s="38"/>
      <c r="P1131" s="36">
        <f>IFERROR(O1131/$AD1131,0)</f>
        <v>0</v>
      </c>
      <c r="Q1131" s="35"/>
      <c r="R1131" s="36">
        <f>IFERROR(Q1131/$AC1131,0)</f>
        <v>0</v>
      </c>
      <c r="S1131" s="38"/>
      <c r="T1131" s="36">
        <f>IFERROR(S1131/$AD1131,0)</f>
        <v>0</v>
      </c>
      <c r="U1131" s="35"/>
      <c r="V1131" s="36">
        <f>IFERROR(U1131/$AC1131,0)</f>
        <v>0</v>
      </c>
      <c r="W1131" s="38"/>
      <c r="X1131" s="36">
        <f>IFERROR(W1131/$AD1131,0)</f>
        <v>0</v>
      </c>
      <c r="Y1131" s="35"/>
      <c r="Z1131" s="36">
        <f>IFERROR(Y1131/$AC1131,0)</f>
        <v>0</v>
      </c>
      <c r="AA1131" s="38"/>
      <c r="AB1131" s="36">
        <f>IFERROR(AA1131/$AD1131,0)</f>
        <v>0</v>
      </c>
      <c r="AC1131" s="35"/>
      <c r="AD1131" s="38"/>
    </row>
    <row r="1132" spans="1:30" ht="15.75" customHeight="1" x14ac:dyDescent="0.25">
      <c r="A1132" s="37">
        <v>2016</v>
      </c>
      <c r="B1132" s="35">
        <v>170290</v>
      </c>
      <c r="C1132" s="34" t="s">
        <v>145</v>
      </c>
      <c r="D1132" s="34" t="s">
        <v>23</v>
      </c>
      <c r="E1132" s="35"/>
      <c r="F1132" s="36">
        <f>IFERROR(E1132/$AC1132,0)</f>
        <v>0</v>
      </c>
      <c r="G1132" s="38"/>
      <c r="H1132" s="36">
        <f>IFERROR(G1132/$AD1132,0)</f>
        <v>0</v>
      </c>
      <c r="I1132" s="35"/>
      <c r="J1132" s="36">
        <f>IFERROR(I1132/$AC1132,0)</f>
        <v>0</v>
      </c>
      <c r="K1132" s="38"/>
      <c r="L1132" s="36">
        <f>IFERROR(K1132/$AD1132,0)</f>
        <v>0</v>
      </c>
      <c r="M1132" s="35"/>
      <c r="N1132" s="36">
        <f>IFERROR(M1132/$AC1132,0)</f>
        <v>0</v>
      </c>
      <c r="O1132" s="38"/>
      <c r="P1132" s="36">
        <f>IFERROR(O1132/$AD1132,0)</f>
        <v>0</v>
      </c>
      <c r="Q1132" s="35"/>
      <c r="R1132" s="36">
        <f>IFERROR(Q1132/$AC1132,0)</f>
        <v>0</v>
      </c>
      <c r="S1132" s="38"/>
      <c r="T1132" s="36">
        <f>IFERROR(S1132/$AD1132,0)</f>
        <v>0</v>
      </c>
      <c r="U1132" s="35"/>
      <c r="V1132" s="36">
        <f>IFERROR(U1132/$AC1132,0)</f>
        <v>0</v>
      </c>
      <c r="W1132" s="38"/>
      <c r="X1132" s="36">
        <f>IFERROR(W1132/$AD1132,0)</f>
        <v>0</v>
      </c>
      <c r="Y1132" s="35"/>
      <c r="Z1132" s="36">
        <f>IFERROR(Y1132/$AC1132,0)</f>
        <v>0</v>
      </c>
      <c r="AA1132" s="38"/>
      <c r="AB1132" s="36">
        <f>IFERROR(AA1132/$AD1132,0)</f>
        <v>0</v>
      </c>
      <c r="AC1132" s="35"/>
      <c r="AD1132" s="38"/>
    </row>
    <row r="1133" spans="1:30" ht="15.75" customHeight="1" x14ac:dyDescent="0.25">
      <c r="A1133" s="37">
        <v>2016</v>
      </c>
      <c r="B1133" s="35">
        <v>170300</v>
      </c>
      <c r="C1133" s="34" t="s">
        <v>149</v>
      </c>
      <c r="D1133" s="34" t="s">
        <v>24</v>
      </c>
      <c r="E1133" s="35"/>
      <c r="F1133" s="36">
        <f>IFERROR(E1133/$AC1133,0)</f>
        <v>0</v>
      </c>
      <c r="G1133" s="38"/>
      <c r="H1133" s="36">
        <f>IFERROR(G1133/$AD1133,0)</f>
        <v>0</v>
      </c>
      <c r="I1133" s="35"/>
      <c r="J1133" s="36">
        <f>IFERROR(I1133/$AC1133,0)</f>
        <v>0</v>
      </c>
      <c r="K1133" s="38"/>
      <c r="L1133" s="36">
        <f>IFERROR(K1133/$AD1133,0)</f>
        <v>0</v>
      </c>
      <c r="M1133" s="35"/>
      <c r="N1133" s="36">
        <f>IFERROR(M1133/$AC1133,0)</f>
        <v>0</v>
      </c>
      <c r="O1133" s="38"/>
      <c r="P1133" s="36">
        <f>IFERROR(O1133/$AD1133,0)</f>
        <v>0</v>
      </c>
      <c r="Q1133" s="35"/>
      <c r="R1133" s="36">
        <f>IFERROR(Q1133/$AC1133,0)</f>
        <v>0</v>
      </c>
      <c r="S1133" s="38"/>
      <c r="T1133" s="36">
        <f>IFERROR(S1133/$AD1133,0)</f>
        <v>0</v>
      </c>
      <c r="U1133" s="35"/>
      <c r="V1133" s="36">
        <f>IFERROR(U1133/$AC1133,0)</f>
        <v>0</v>
      </c>
      <c r="W1133" s="38"/>
      <c r="X1133" s="36">
        <f>IFERROR(W1133/$AD1133,0)</f>
        <v>0</v>
      </c>
      <c r="Y1133" s="35"/>
      <c r="Z1133" s="36">
        <f>IFERROR(Y1133/$AC1133,0)</f>
        <v>0</v>
      </c>
      <c r="AA1133" s="38"/>
      <c r="AB1133" s="36">
        <f>IFERROR(AA1133/$AD1133,0)</f>
        <v>0</v>
      </c>
      <c r="AC1133" s="35"/>
      <c r="AD1133" s="38"/>
    </row>
    <row r="1134" spans="1:30" ht="15.75" customHeight="1" x14ac:dyDescent="0.25">
      <c r="A1134" s="37">
        <v>2016</v>
      </c>
      <c r="B1134" s="35">
        <v>170305</v>
      </c>
      <c r="C1134" s="34" t="s">
        <v>150</v>
      </c>
      <c r="D1134" s="34" t="s">
        <v>25</v>
      </c>
      <c r="E1134" s="35"/>
      <c r="F1134" s="36">
        <f>IFERROR(E1134/$AC1134,0)</f>
        <v>0</v>
      </c>
      <c r="G1134" s="38"/>
      <c r="H1134" s="36">
        <f>IFERROR(G1134/$AD1134,0)</f>
        <v>0</v>
      </c>
      <c r="I1134" s="35"/>
      <c r="J1134" s="36">
        <f>IFERROR(I1134/$AC1134,0)</f>
        <v>0</v>
      </c>
      <c r="K1134" s="38"/>
      <c r="L1134" s="36">
        <f>IFERROR(K1134/$AD1134,0)</f>
        <v>0</v>
      </c>
      <c r="M1134" s="35"/>
      <c r="N1134" s="36">
        <f>IFERROR(M1134/$AC1134,0)</f>
        <v>0</v>
      </c>
      <c r="O1134" s="38"/>
      <c r="P1134" s="36">
        <f>IFERROR(O1134/$AD1134,0)</f>
        <v>0</v>
      </c>
      <c r="Q1134" s="35"/>
      <c r="R1134" s="36">
        <f>IFERROR(Q1134/$AC1134,0)</f>
        <v>0</v>
      </c>
      <c r="S1134" s="38"/>
      <c r="T1134" s="36">
        <f>IFERROR(S1134/$AD1134,0)</f>
        <v>0</v>
      </c>
      <c r="U1134" s="35"/>
      <c r="V1134" s="36">
        <f>IFERROR(U1134/$AC1134,0)</f>
        <v>0</v>
      </c>
      <c r="W1134" s="38"/>
      <c r="X1134" s="36">
        <f>IFERROR(W1134/$AD1134,0)</f>
        <v>0</v>
      </c>
      <c r="Y1134" s="35"/>
      <c r="Z1134" s="36">
        <f>IFERROR(Y1134/$AC1134,0)</f>
        <v>0</v>
      </c>
      <c r="AA1134" s="38"/>
      <c r="AB1134" s="36">
        <f>IFERROR(AA1134/$AD1134,0)</f>
        <v>0</v>
      </c>
      <c r="AC1134" s="35"/>
      <c r="AD1134" s="38"/>
    </row>
    <row r="1135" spans="1:30" ht="15.75" customHeight="1" x14ac:dyDescent="0.25">
      <c r="A1135" s="37">
        <v>2016</v>
      </c>
      <c r="B1135" s="35">
        <v>170307</v>
      </c>
      <c r="C1135" s="34" t="s">
        <v>149</v>
      </c>
      <c r="D1135" s="34" t="s">
        <v>26</v>
      </c>
      <c r="E1135" s="35"/>
      <c r="F1135" s="36">
        <f>IFERROR(E1135/$AC1135,0)</f>
        <v>0</v>
      </c>
      <c r="G1135" s="38"/>
      <c r="H1135" s="36">
        <f>IFERROR(G1135/$AD1135,0)</f>
        <v>0</v>
      </c>
      <c r="I1135" s="35"/>
      <c r="J1135" s="36">
        <f>IFERROR(I1135/$AC1135,0)</f>
        <v>0</v>
      </c>
      <c r="K1135" s="38"/>
      <c r="L1135" s="36">
        <f>IFERROR(K1135/$AD1135,0)</f>
        <v>0</v>
      </c>
      <c r="M1135" s="35"/>
      <c r="N1135" s="36">
        <f>IFERROR(M1135/$AC1135,0)</f>
        <v>0</v>
      </c>
      <c r="O1135" s="38"/>
      <c r="P1135" s="36">
        <f>IFERROR(O1135/$AD1135,0)</f>
        <v>0</v>
      </c>
      <c r="Q1135" s="35"/>
      <c r="R1135" s="36">
        <f>IFERROR(Q1135/$AC1135,0)</f>
        <v>0</v>
      </c>
      <c r="S1135" s="38"/>
      <c r="T1135" s="36">
        <f>IFERROR(S1135/$AD1135,0)</f>
        <v>0</v>
      </c>
      <c r="U1135" s="35"/>
      <c r="V1135" s="36">
        <f>IFERROR(U1135/$AC1135,0)</f>
        <v>0</v>
      </c>
      <c r="W1135" s="38"/>
      <c r="X1135" s="36">
        <f>IFERROR(W1135/$AD1135,0)</f>
        <v>0</v>
      </c>
      <c r="Y1135" s="35"/>
      <c r="Z1135" s="36">
        <f>IFERROR(Y1135/$AC1135,0)</f>
        <v>0</v>
      </c>
      <c r="AA1135" s="38"/>
      <c r="AB1135" s="36">
        <f>IFERROR(AA1135/$AD1135,0)</f>
        <v>0</v>
      </c>
      <c r="AC1135" s="35"/>
      <c r="AD1135" s="38"/>
    </row>
    <row r="1136" spans="1:30" ht="15.75" customHeight="1" x14ac:dyDescent="0.25">
      <c r="A1136" s="37">
        <v>2016</v>
      </c>
      <c r="B1136" s="35">
        <v>170310</v>
      </c>
      <c r="C1136" s="34" t="s">
        <v>144</v>
      </c>
      <c r="D1136" s="34" t="s">
        <v>27</v>
      </c>
      <c r="E1136" s="35"/>
      <c r="F1136" s="36">
        <f>IFERROR(E1136/$AC1136,0)</f>
        <v>0</v>
      </c>
      <c r="G1136" s="38"/>
      <c r="H1136" s="36">
        <f>IFERROR(G1136/$AD1136,0)</f>
        <v>0</v>
      </c>
      <c r="I1136" s="35"/>
      <c r="J1136" s="36">
        <f>IFERROR(I1136/$AC1136,0)</f>
        <v>0</v>
      </c>
      <c r="K1136" s="38"/>
      <c r="L1136" s="36">
        <f>IFERROR(K1136/$AD1136,0)</f>
        <v>0</v>
      </c>
      <c r="M1136" s="35"/>
      <c r="N1136" s="36">
        <f>IFERROR(M1136/$AC1136,0)</f>
        <v>0</v>
      </c>
      <c r="O1136" s="38"/>
      <c r="P1136" s="36">
        <f>IFERROR(O1136/$AD1136,0)</f>
        <v>0</v>
      </c>
      <c r="Q1136" s="35"/>
      <c r="R1136" s="36">
        <f>IFERROR(Q1136/$AC1136,0)</f>
        <v>0</v>
      </c>
      <c r="S1136" s="38"/>
      <c r="T1136" s="36">
        <f>IFERROR(S1136/$AD1136,0)</f>
        <v>0</v>
      </c>
      <c r="U1136" s="35"/>
      <c r="V1136" s="36">
        <f>IFERROR(U1136/$AC1136,0)</f>
        <v>0</v>
      </c>
      <c r="W1136" s="38"/>
      <c r="X1136" s="36">
        <f>IFERROR(W1136/$AD1136,0)</f>
        <v>0</v>
      </c>
      <c r="Y1136" s="35"/>
      <c r="Z1136" s="36">
        <f>IFERROR(Y1136/$AC1136,0)</f>
        <v>0</v>
      </c>
      <c r="AA1136" s="38"/>
      <c r="AB1136" s="36">
        <f>IFERROR(AA1136/$AD1136,0)</f>
        <v>0</v>
      </c>
      <c r="AC1136" s="35"/>
      <c r="AD1136" s="38"/>
    </row>
    <row r="1137" spans="1:30" ht="15.75" customHeight="1" x14ac:dyDescent="0.25">
      <c r="A1137" s="37">
        <v>2016</v>
      </c>
      <c r="B1137" s="35">
        <v>170320</v>
      </c>
      <c r="C1137" s="34" t="s">
        <v>150</v>
      </c>
      <c r="D1137" s="34" t="s">
        <v>28</v>
      </c>
      <c r="E1137" s="35"/>
      <c r="F1137" s="36">
        <f>IFERROR(E1137/$AC1137,0)</f>
        <v>0</v>
      </c>
      <c r="G1137" s="38"/>
      <c r="H1137" s="36">
        <f>IFERROR(G1137/$AD1137,0)</f>
        <v>0</v>
      </c>
      <c r="I1137" s="35"/>
      <c r="J1137" s="36">
        <f>IFERROR(I1137/$AC1137,0)</f>
        <v>0</v>
      </c>
      <c r="K1137" s="38"/>
      <c r="L1137" s="36">
        <f>IFERROR(K1137/$AD1137,0)</f>
        <v>0</v>
      </c>
      <c r="M1137" s="35"/>
      <c r="N1137" s="36">
        <f>IFERROR(M1137/$AC1137,0)</f>
        <v>0</v>
      </c>
      <c r="O1137" s="38"/>
      <c r="P1137" s="36">
        <f>IFERROR(O1137/$AD1137,0)</f>
        <v>0</v>
      </c>
      <c r="Q1137" s="35"/>
      <c r="R1137" s="36">
        <f>IFERROR(Q1137/$AC1137,0)</f>
        <v>0</v>
      </c>
      <c r="S1137" s="38"/>
      <c r="T1137" s="36">
        <f>IFERROR(S1137/$AD1137,0)</f>
        <v>0</v>
      </c>
      <c r="U1137" s="35"/>
      <c r="V1137" s="36">
        <f>IFERROR(U1137/$AC1137,0)</f>
        <v>0</v>
      </c>
      <c r="W1137" s="38"/>
      <c r="X1137" s="36">
        <f>IFERROR(W1137/$AD1137,0)</f>
        <v>0</v>
      </c>
      <c r="Y1137" s="35"/>
      <c r="Z1137" s="36">
        <f>IFERROR(Y1137/$AC1137,0)</f>
        <v>0</v>
      </c>
      <c r="AA1137" s="38"/>
      <c r="AB1137" s="36">
        <f>IFERROR(AA1137/$AD1137,0)</f>
        <v>0</v>
      </c>
      <c r="AC1137" s="35"/>
      <c r="AD1137" s="38"/>
    </row>
    <row r="1138" spans="1:30" ht="15.75" customHeight="1" x14ac:dyDescent="0.25">
      <c r="A1138" s="37">
        <v>2016</v>
      </c>
      <c r="B1138" s="35">
        <v>170330</v>
      </c>
      <c r="C1138" s="34" t="s">
        <v>150</v>
      </c>
      <c r="D1138" s="34" t="s">
        <v>29</v>
      </c>
      <c r="E1138" s="35"/>
      <c r="F1138" s="36">
        <f>IFERROR(E1138/$AC1138,0)</f>
        <v>0</v>
      </c>
      <c r="G1138" s="38"/>
      <c r="H1138" s="36">
        <f>IFERROR(G1138/$AD1138,0)</f>
        <v>0</v>
      </c>
      <c r="I1138" s="35"/>
      <c r="J1138" s="36">
        <f>IFERROR(I1138/$AC1138,0)</f>
        <v>0</v>
      </c>
      <c r="K1138" s="38"/>
      <c r="L1138" s="36">
        <f>IFERROR(K1138/$AD1138,0)</f>
        <v>0</v>
      </c>
      <c r="M1138" s="35"/>
      <c r="N1138" s="36">
        <f>IFERROR(M1138/$AC1138,0)</f>
        <v>0</v>
      </c>
      <c r="O1138" s="38"/>
      <c r="P1138" s="36">
        <f>IFERROR(O1138/$AD1138,0)</f>
        <v>0</v>
      </c>
      <c r="Q1138" s="35"/>
      <c r="R1138" s="36">
        <f>IFERROR(Q1138/$AC1138,0)</f>
        <v>0</v>
      </c>
      <c r="S1138" s="38"/>
      <c r="T1138" s="36">
        <f>IFERROR(S1138/$AD1138,0)</f>
        <v>0</v>
      </c>
      <c r="U1138" s="35"/>
      <c r="V1138" s="36">
        <f>IFERROR(U1138/$AC1138,0)</f>
        <v>0</v>
      </c>
      <c r="W1138" s="38"/>
      <c r="X1138" s="36">
        <f>IFERROR(W1138/$AD1138,0)</f>
        <v>0</v>
      </c>
      <c r="Y1138" s="35"/>
      <c r="Z1138" s="36">
        <f>IFERROR(Y1138/$AC1138,0)</f>
        <v>0</v>
      </c>
      <c r="AA1138" s="38"/>
      <c r="AB1138" s="36">
        <f>IFERROR(AA1138/$AD1138,0)</f>
        <v>0</v>
      </c>
      <c r="AC1138" s="35"/>
      <c r="AD1138" s="38"/>
    </row>
    <row r="1139" spans="1:30" ht="15.75" customHeight="1" x14ac:dyDescent="0.25">
      <c r="A1139" s="37">
        <v>2016</v>
      </c>
      <c r="B1139" s="35">
        <v>170360</v>
      </c>
      <c r="C1139" s="34" t="s">
        <v>150</v>
      </c>
      <c r="D1139" s="34" t="s">
        <v>30</v>
      </c>
      <c r="E1139" s="35"/>
      <c r="F1139" s="36">
        <f>IFERROR(E1139/$AC1139,0)</f>
        <v>0</v>
      </c>
      <c r="G1139" s="38"/>
      <c r="H1139" s="36">
        <f>IFERROR(G1139/$AD1139,0)</f>
        <v>0</v>
      </c>
      <c r="I1139" s="35"/>
      <c r="J1139" s="36">
        <f>IFERROR(I1139/$AC1139,0)</f>
        <v>0</v>
      </c>
      <c r="K1139" s="38"/>
      <c r="L1139" s="36">
        <f>IFERROR(K1139/$AD1139,0)</f>
        <v>0</v>
      </c>
      <c r="M1139" s="35"/>
      <c r="N1139" s="36">
        <f>IFERROR(M1139/$AC1139,0)</f>
        <v>0</v>
      </c>
      <c r="O1139" s="38"/>
      <c r="P1139" s="36">
        <f>IFERROR(O1139/$AD1139,0)</f>
        <v>0</v>
      </c>
      <c r="Q1139" s="35"/>
      <c r="R1139" s="36">
        <f>IFERROR(Q1139/$AC1139,0)</f>
        <v>0</v>
      </c>
      <c r="S1139" s="38"/>
      <c r="T1139" s="36">
        <f>IFERROR(S1139/$AD1139,0)</f>
        <v>0</v>
      </c>
      <c r="U1139" s="35"/>
      <c r="V1139" s="36">
        <f>IFERROR(U1139/$AC1139,0)</f>
        <v>0</v>
      </c>
      <c r="W1139" s="38"/>
      <c r="X1139" s="36">
        <f>IFERROR(W1139/$AD1139,0)</f>
        <v>0</v>
      </c>
      <c r="Y1139" s="35"/>
      <c r="Z1139" s="36">
        <f>IFERROR(Y1139/$AC1139,0)</f>
        <v>0</v>
      </c>
      <c r="AA1139" s="38"/>
      <c r="AB1139" s="36">
        <f>IFERROR(AA1139/$AD1139,0)</f>
        <v>0</v>
      </c>
      <c r="AC1139" s="35"/>
      <c r="AD1139" s="38"/>
    </row>
    <row r="1140" spans="1:30" ht="15.75" customHeight="1" x14ac:dyDescent="0.25">
      <c r="A1140" s="37">
        <v>2016</v>
      </c>
      <c r="B1140" s="35">
        <v>170370</v>
      </c>
      <c r="C1140" s="34" t="s">
        <v>151</v>
      </c>
      <c r="D1140" s="34" t="s">
        <v>31</v>
      </c>
      <c r="E1140" s="35"/>
      <c r="F1140" s="36">
        <f>IFERROR(E1140/$AC1140,0)</f>
        <v>0</v>
      </c>
      <c r="G1140" s="38"/>
      <c r="H1140" s="36">
        <f>IFERROR(G1140/$AD1140,0)</f>
        <v>0</v>
      </c>
      <c r="I1140" s="35"/>
      <c r="J1140" s="36">
        <f>IFERROR(I1140/$AC1140,0)</f>
        <v>0</v>
      </c>
      <c r="K1140" s="38"/>
      <c r="L1140" s="36">
        <f>IFERROR(K1140/$AD1140,0)</f>
        <v>0</v>
      </c>
      <c r="M1140" s="35"/>
      <c r="N1140" s="36">
        <f>IFERROR(M1140/$AC1140,0)</f>
        <v>0</v>
      </c>
      <c r="O1140" s="38"/>
      <c r="P1140" s="36">
        <f>IFERROR(O1140/$AD1140,0)</f>
        <v>0</v>
      </c>
      <c r="Q1140" s="35"/>
      <c r="R1140" s="36">
        <f>IFERROR(Q1140/$AC1140,0)</f>
        <v>0</v>
      </c>
      <c r="S1140" s="38"/>
      <c r="T1140" s="36">
        <f>IFERROR(S1140/$AD1140,0)</f>
        <v>0</v>
      </c>
      <c r="U1140" s="35"/>
      <c r="V1140" s="36">
        <f>IFERROR(U1140/$AC1140,0)</f>
        <v>0</v>
      </c>
      <c r="W1140" s="38"/>
      <c r="X1140" s="36">
        <f>IFERROR(W1140/$AD1140,0)</f>
        <v>0</v>
      </c>
      <c r="Y1140" s="35"/>
      <c r="Z1140" s="36">
        <f>IFERROR(Y1140/$AC1140,0)</f>
        <v>0</v>
      </c>
      <c r="AA1140" s="38"/>
      <c r="AB1140" s="36">
        <f>IFERROR(AA1140/$AD1140,0)</f>
        <v>0</v>
      </c>
      <c r="AC1140" s="35"/>
      <c r="AD1140" s="38"/>
    </row>
    <row r="1141" spans="1:30" ht="15.75" customHeight="1" x14ac:dyDescent="0.25">
      <c r="A1141" s="37">
        <v>2016</v>
      </c>
      <c r="B1141" s="35">
        <v>170380</v>
      </c>
      <c r="C1141" s="34" t="s">
        <v>145</v>
      </c>
      <c r="D1141" s="34" t="s">
        <v>32</v>
      </c>
      <c r="E1141" s="35"/>
      <c r="F1141" s="36">
        <f>IFERROR(E1141/$AC1141,0)</f>
        <v>0</v>
      </c>
      <c r="G1141" s="38"/>
      <c r="H1141" s="36">
        <f>IFERROR(G1141/$AD1141,0)</f>
        <v>0</v>
      </c>
      <c r="I1141" s="35"/>
      <c r="J1141" s="36">
        <f>IFERROR(I1141/$AC1141,0)</f>
        <v>0</v>
      </c>
      <c r="K1141" s="38"/>
      <c r="L1141" s="36">
        <f>IFERROR(K1141/$AD1141,0)</f>
        <v>0</v>
      </c>
      <c r="M1141" s="35"/>
      <c r="N1141" s="36">
        <f>IFERROR(M1141/$AC1141,0)</f>
        <v>0</v>
      </c>
      <c r="O1141" s="38"/>
      <c r="P1141" s="36">
        <f>IFERROR(O1141/$AD1141,0)</f>
        <v>0</v>
      </c>
      <c r="Q1141" s="35"/>
      <c r="R1141" s="36">
        <f>IFERROR(Q1141/$AC1141,0)</f>
        <v>0</v>
      </c>
      <c r="S1141" s="38"/>
      <c r="T1141" s="36">
        <f>IFERROR(S1141/$AD1141,0)</f>
        <v>0</v>
      </c>
      <c r="U1141" s="35"/>
      <c r="V1141" s="36">
        <f>IFERROR(U1141/$AC1141,0)</f>
        <v>0</v>
      </c>
      <c r="W1141" s="38"/>
      <c r="X1141" s="36">
        <f>IFERROR(W1141/$AD1141,0)</f>
        <v>0</v>
      </c>
      <c r="Y1141" s="35"/>
      <c r="Z1141" s="36">
        <f>IFERROR(Y1141/$AC1141,0)</f>
        <v>0</v>
      </c>
      <c r="AA1141" s="38"/>
      <c r="AB1141" s="36">
        <f>IFERROR(AA1141/$AD1141,0)</f>
        <v>0</v>
      </c>
      <c r="AC1141" s="35"/>
      <c r="AD1141" s="38"/>
    </row>
    <row r="1142" spans="1:30" ht="15.75" customHeight="1" x14ac:dyDescent="0.25">
      <c r="A1142" s="37">
        <v>2016</v>
      </c>
      <c r="B1142" s="35">
        <v>170382</v>
      </c>
      <c r="C1142" s="34" t="s">
        <v>145</v>
      </c>
      <c r="D1142" s="34" t="s">
        <v>33</v>
      </c>
      <c r="E1142" s="35"/>
      <c r="F1142" s="36">
        <f>IFERROR(E1142/$AC1142,0)</f>
        <v>0</v>
      </c>
      <c r="G1142" s="38"/>
      <c r="H1142" s="36">
        <f>IFERROR(G1142/$AD1142,0)</f>
        <v>0</v>
      </c>
      <c r="I1142" s="35"/>
      <c r="J1142" s="36">
        <f>IFERROR(I1142/$AC1142,0)</f>
        <v>0</v>
      </c>
      <c r="K1142" s="38"/>
      <c r="L1142" s="36">
        <f>IFERROR(K1142/$AD1142,0)</f>
        <v>0</v>
      </c>
      <c r="M1142" s="35"/>
      <c r="N1142" s="36">
        <f>IFERROR(M1142/$AC1142,0)</f>
        <v>0</v>
      </c>
      <c r="O1142" s="38"/>
      <c r="P1142" s="36">
        <f>IFERROR(O1142/$AD1142,0)</f>
        <v>0</v>
      </c>
      <c r="Q1142" s="35"/>
      <c r="R1142" s="36">
        <f>IFERROR(Q1142/$AC1142,0)</f>
        <v>0</v>
      </c>
      <c r="S1142" s="38"/>
      <c r="T1142" s="36">
        <f>IFERROR(S1142/$AD1142,0)</f>
        <v>0</v>
      </c>
      <c r="U1142" s="35"/>
      <c r="V1142" s="36">
        <f>IFERROR(U1142/$AC1142,0)</f>
        <v>0</v>
      </c>
      <c r="W1142" s="38"/>
      <c r="X1142" s="36">
        <f>IFERROR(W1142/$AD1142,0)</f>
        <v>0</v>
      </c>
      <c r="Y1142" s="35"/>
      <c r="Z1142" s="36">
        <f>IFERROR(Y1142/$AC1142,0)</f>
        <v>0</v>
      </c>
      <c r="AA1142" s="38"/>
      <c r="AB1142" s="36">
        <f>IFERROR(AA1142/$AD1142,0)</f>
        <v>0</v>
      </c>
      <c r="AC1142" s="35"/>
      <c r="AD1142" s="38"/>
    </row>
    <row r="1143" spans="1:30" ht="15.75" customHeight="1" x14ac:dyDescent="0.25">
      <c r="A1143" s="37">
        <v>2016</v>
      </c>
      <c r="B1143" s="35">
        <v>170384</v>
      </c>
      <c r="C1143" s="34" t="s">
        <v>149</v>
      </c>
      <c r="D1143" s="34" t="s">
        <v>34</v>
      </c>
      <c r="E1143" s="35"/>
      <c r="F1143" s="36">
        <f>IFERROR(E1143/$AC1143,0)</f>
        <v>0</v>
      </c>
      <c r="G1143" s="38"/>
      <c r="H1143" s="36">
        <f>IFERROR(G1143/$AD1143,0)</f>
        <v>0</v>
      </c>
      <c r="I1143" s="35"/>
      <c r="J1143" s="36">
        <f>IFERROR(I1143/$AC1143,0)</f>
        <v>0</v>
      </c>
      <c r="K1143" s="38"/>
      <c r="L1143" s="36">
        <f>IFERROR(K1143/$AD1143,0)</f>
        <v>0</v>
      </c>
      <c r="M1143" s="35"/>
      <c r="N1143" s="36">
        <f>IFERROR(M1143/$AC1143,0)</f>
        <v>0</v>
      </c>
      <c r="O1143" s="38"/>
      <c r="P1143" s="36">
        <f>IFERROR(O1143/$AD1143,0)</f>
        <v>0</v>
      </c>
      <c r="Q1143" s="35"/>
      <c r="R1143" s="36">
        <f>IFERROR(Q1143/$AC1143,0)</f>
        <v>0</v>
      </c>
      <c r="S1143" s="38"/>
      <c r="T1143" s="36">
        <f>IFERROR(S1143/$AD1143,0)</f>
        <v>0</v>
      </c>
      <c r="U1143" s="35"/>
      <c r="V1143" s="36">
        <f>IFERROR(U1143/$AC1143,0)</f>
        <v>0</v>
      </c>
      <c r="W1143" s="38"/>
      <c r="X1143" s="36">
        <f>IFERROR(W1143/$AD1143,0)</f>
        <v>0</v>
      </c>
      <c r="Y1143" s="35"/>
      <c r="Z1143" s="36">
        <f>IFERROR(Y1143/$AC1143,0)</f>
        <v>0</v>
      </c>
      <c r="AA1143" s="38"/>
      <c r="AB1143" s="36">
        <f>IFERROR(AA1143/$AD1143,0)</f>
        <v>0</v>
      </c>
      <c r="AC1143" s="35"/>
      <c r="AD1143" s="38"/>
    </row>
    <row r="1144" spans="1:30" ht="15.75" customHeight="1" x14ac:dyDescent="0.25">
      <c r="A1144" s="37">
        <v>2016</v>
      </c>
      <c r="B1144" s="35">
        <v>170386</v>
      </c>
      <c r="C1144" s="34" t="s">
        <v>146</v>
      </c>
      <c r="D1144" s="34" t="s">
        <v>35</v>
      </c>
      <c r="E1144" s="35"/>
      <c r="F1144" s="36">
        <f>IFERROR(E1144/$AC1144,0)</f>
        <v>0</v>
      </c>
      <c r="G1144" s="38"/>
      <c r="H1144" s="36">
        <f>IFERROR(G1144/$AD1144,0)</f>
        <v>0</v>
      </c>
      <c r="I1144" s="35"/>
      <c r="J1144" s="36">
        <f>IFERROR(I1144/$AC1144,0)</f>
        <v>0</v>
      </c>
      <c r="K1144" s="38"/>
      <c r="L1144" s="36">
        <f>IFERROR(K1144/$AD1144,0)</f>
        <v>0</v>
      </c>
      <c r="M1144" s="35"/>
      <c r="N1144" s="36">
        <f>IFERROR(M1144/$AC1144,0)</f>
        <v>0</v>
      </c>
      <c r="O1144" s="38"/>
      <c r="P1144" s="36">
        <f>IFERROR(O1144/$AD1144,0)</f>
        <v>0</v>
      </c>
      <c r="Q1144" s="35"/>
      <c r="R1144" s="36">
        <f>IFERROR(Q1144/$AC1144,0)</f>
        <v>0</v>
      </c>
      <c r="S1144" s="38"/>
      <c r="T1144" s="36">
        <f>IFERROR(S1144/$AD1144,0)</f>
        <v>0</v>
      </c>
      <c r="U1144" s="35"/>
      <c r="V1144" s="36">
        <f>IFERROR(U1144/$AC1144,0)</f>
        <v>0</v>
      </c>
      <c r="W1144" s="38"/>
      <c r="X1144" s="36">
        <f>IFERROR(W1144/$AD1144,0)</f>
        <v>0</v>
      </c>
      <c r="Y1144" s="35"/>
      <c r="Z1144" s="36">
        <f>IFERROR(Y1144/$AC1144,0)</f>
        <v>0</v>
      </c>
      <c r="AA1144" s="38"/>
      <c r="AB1144" s="36">
        <f>IFERROR(AA1144/$AD1144,0)</f>
        <v>0</v>
      </c>
      <c r="AC1144" s="35"/>
      <c r="AD1144" s="38"/>
    </row>
    <row r="1145" spans="1:30" ht="15.75" customHeight="1" x14ac:dyDescent="0.25">
      <c r="A1145" s="37">
        <v>2016</v>
      </c>
      <c r="B1145" s="35">
        <v>170388</v>
      </c>
      <c r="C1145" s="34" t="s">
        <v>149</v>
      </c>
      <c r="D1145" s="34" t="s">
        <v>36</v>
      </c>
      <c r="E1145" s="35"/>
      <c r="F1145" s="36">
        <f>IFERROR(E1145/$AC1145,0)</f>
        <v>0</v>
      </c>
      <c r="G1145" s="38"/>
      <c r="H1145" s="36">
        <f>IFERROR(G1145/$AD1145,0)</f>
        <v>0</v>
      </c>
      <c r="I1145" s="35"/>
      <c r="J1145" s="36">
        <f>IFERROR(I1145/$AC1145,0)</f>
        <v>0</v>
      </c>
      <c r="K1145" s="38"/>
      <c r="L1145" s="36">
        <f>IFERROR(K1145/$AD1145,0)</f>
        <v>0</v>
      </c>
      <c r="M1145" s="35"/>
      <c r="N1145" s="36">
        <f>IFERROR(M1145/$AC1145,0)</f>
        <v>0</v>
      </c>
      <c r="O1145" s="38"/>
      <c r="P1145" s="36">
        <f>IFERROR(O1145/$AD1145,0)</f>
        <v>0</v>
      </c>
      <c r="Q1145" s="35"/>
      <c r="R1145" s="36">
        <f>IFERROR(Q1145/$AC1145,0)</f>
        <v>0</v>
      </c>
      <c r="S1145" s="38"/>
      <c r="T1145" s="36">
        <f>IFERROR(S1145/$AD1145,0)</f>
        <v>0</v>
      </c>
      <c r="U1145" s="35"/>
      <c r="V1145" s="36">
        <f>IFERROR(U1145/$AC1145,0)</f>
        <v>0</v>
      </c>
      <c r="W1145" s="38"/>
      <c r="X1145" s="36">
        <f>IFERROR(W1145/$AD1145,0)</f>
        <v>0</v>
      </c>
      <c r="Y1145" s="35"/>
      <c r="Z1145" s="36">
        <f>IFERROR(Y1145/$AC1145,0)</f>
        <v>0</v>
      </c>
      <c r="AA1145" s="38"/>
      <c r="AB1145" s="36">
        <f>IFERROR(AA1145/$AD1145,0)</f>
        <v>0</v>
      </c>
      <c r="AC1145" s="35"/>
      <c r="AD1145" s="38"/>
    </row>
    <row r="1146" spans="1:30" ht="15.75" customHeight="1" x14ac:dyDescent="0.25">
      <c r="A1146" s="37">
        <v>2016</v>
      </c>
      <c r="B1146" s="35">
        <v>170389</v>
      </c>
      <c r="C1146" s="34" t="s">
        <v>145</v>
      </c>
      <c r="D1146" s="34" t="s">
        <v>37</v>
      </c>
      <c r="E1146" s="35"/>
      <c r="F1146" s="36">
        <f>IFERROR(E1146/$AC1146,0)</f>
        <v>0</v>
      </c>
      <c r="G1146" s="38"/>
      <c r="H1146" s="36">
        <f>IFERROR(G1146/$AD1146,0)</f>
        <v>0</v>
      </c>
      <c r="I1146" s="35"/>
      <c r="J1146" s="36">
        <f>IFERROR(I1146/$AC1146,0)</f>
        <v>0</v>
      </c>
      <c r="K1146" s="38"/>
      <c r="L1146" s="36">
        <f>IFERROR(K1146/$AD1146,0)</f>
        <v>0</v>
      </c>
      <c r="M1146" s="35"/>
      <c r="N1146" s="36">
        <f>IFERROR(M1146/$AC1146,0)</f>
        <v>0</v>
      </c>
      <c r="O1146" s="38"/>
      <c r="P1146" s="36">
        <f>IFERROR(O1146/$AD1146,0)</f>
        <v>0</v>
      </c>
      <c r="Q1146" s="35"/>
      <c r="R1146" s="36">
        <f>IFERROR(Q1146/$AC1146,0)</f>
        <v>0</v>
      </c>
      <c r="S1146" s="38"/>
      <c r="T1146" s="36">
        <f>IFERROR(S1146/$AD1146,0)</f>
        <v>0</v>
      </c>
      <c r="U1146" s="35"/>
      <c r="V1146" s="36">
        <f>IFERROR(U1146/$AC1146,0)</f>
        <v>0</v>
      </c>
      <c r="W1146" s="38"/>
      <c r="X1146" s="36">
        <f>IFERROR(W1146/$AD1146,0)</f>
        <v>0</v>
      </c>
      <c r="Y1146" s="35"/>
      <c r="Z1146" s="36">
        <f>IFERROR(Y1146/$AC1146,0)</f>
        <v>0</v>
      </c>
      <c r="AA1146" s="38"/>
      <c r="AB1146" s="36">
        <f>IFERROR(AA1146/$AD1146,0)</f>
        <v>0</v>
      </c>
      <c r="AC1146" s="35"/>
      <c r="AD1146" s="38"/>
    </row>
    <row r="1147" spans="1:30" ht="15.75" customHeight="1" x14ac:dyDescent="0.25">
      <c r="A1147" s="37">
        <v>2016</v>
      </c>
      <c r="B1147" s="35">
        <v>170390</v>
      </c>
      <c r="C1147" s="34" t="s">
        <v>144</v>
      </c>
      <c r="D1147" s="34" t="s">
        <v>38</v>
      </c>
      <c r="E1147" s="35"/>
      <c r="F1147" s="36">
        <f>IFERROR(E1147/$AC1147,0)</f>
        <v>0</v>
      </c>
      <c r="G1147" s="38"/>
      <c r="H1147" s="36">
        <f>IFERROR(G1147/$AD1147,0)</f>
        <v>0</v>
      </c>
      <c r="I1147" s="35"/>
      <c r="J1147" s="36">
        <f>IFERROR(I1147/$AC1147,0)</f>
        <v>0</v>
      </c>
      <c r="K1147" s="38"/>
      <c r="L1147" s="36">
        <f>IFERROR(K1147/$AD1147,0)</f>
        <v>0</v>
      </c>
      <c r="M1147" s="35"/>
      <c r="N1147" s="36">
        <f>IFERROR(M1147/$AC1147,0)</f>
        <v>0</v>
      </c>
      <c r="O1147" s="38"/>
      <c r="P1147" s="36">
        <f>IFERROR(O1147/$AD1147,0)</f>
        <v>0</v>
      </c>
      <c r="Q1147" s="35"/>
      <c r="R1147" s="36">
        <f>IFERROR(Q1147/$AC1147,0)</f>
        <v>0</v>
      </c>
      <c r="S1147" s="38"/>
      <c r="T1147" s="36">
        <f>IFERROR(S1147/$AD1147,0)</f>
        <v>0</v>
      </c>
      <c r="U1147" s="35"/>
      <c r="V1147" s="36">
        <f>IFERROR(U1147/$AC1147,0)</f>
        <v>0</v>
      </c>
      <c r="W1147" s="38"/>
      <c r="X1147" s="36">
        <f>IFERROR(W1147/$AD1147,0)</f>
        <v>0</v>
      </c>
      <c r="Y1147" s="35"/>
      <c r="Z1147" s="36">
        <f>IFERROR(Y1147/$AC1147,0)</f>
        <v>0</v>
      </c>
      <c r="AA1147" s="38"/>
      <c r="AB1147" s="36">
        <f>IFERROR(AA1147/$AD1147,0)</f>
        <v>0</v>
      </c>
      <c r="AC1147" s="35"/>
      <c r="AD1147" s="38"/>
    </row>
    <row r="1148" spans="1:30" ht="15.75" customHeight="1" x14ac:dyDescent="0.25">
      <c r="A1148" s="37">
        <v>2016</v>
      </c>
      <c r="B1148" s="35">
        <v>170410</v>
      </c>
      <c r="C1148" s="34" t="s">
        <v>150</v>
      </c>
      <c r="D1148" s="34" t="s">
        <v>39</v>
      </c>
      <c r="E1148" s="35"/>
      <c r="F1148" s="36">
        <f>IFERROR(E1148/$AC1148,0)</f>
        <v>0</v>
      </c>
      <c r="G1148" s="38"/>
      <c r="H1148" s="36">
        <f>IFERROR(G1148/$AD1148,0)</f>
        <v>0</v>
      </c>
      <c r="I1148" s="35"/>
      <c r="J1148" s="36">
        <f>IFERROR(I1148/$AC1148,0)</f>
        <v>0</v>
      </c>
      <c r="K1148" s="38"/>
      <c r="L1148" s="36">
        <f>IFERROR(K1148/$AD1148,0)</f>
        <v>0</v>
      </c>
      <c r="M1148" s="35"/>
      <c r="N1148" s="36">
        <f>IFERROR(M1148/$AC1148,0)</f>
        <v>0</v>
      </c>
      <c r="O1148" s="38"/>
      <c r="P1148" s="36">
        <f>IFERROR(O1148/$AD1148,0)</f>
        <v>0</v>
      </c>
      <c r="Q1148" s="35"/>
      <c r="R1148" s="36">
        <f>IFERROR(Q1148/$AC1148,0)</f>
        <v>0</v>
      </c>
      <c r="S1148" s="38"/>
      <c r="T1148" s="36">
        <f>IFERROR(S1148/$AD1148,0)</f>
        <v>0</v>
      </c>
      <c r="U1148" s="35"/>
      <c r="V1148" s="36">
        <f>IFERROR(U1148/$AC1148,0)</f>
        <v>0</v>
      </c>
      <c r="W1148" s="38"/>
      <c r="X1148" s="36">
        <f>IFERROR(W1148/$AD1148,0)</f>
        <v>0</v>
      </c>
      <c r="Y1148" s="35"/>
      <c r="Z1148" s="36">
        <f>IFERROR(Y1148/$AC1148,0)</f>
        <v>0</v>
      </c>
      <c r="AA1148" s="38"/>
      <c r="AB1148" s="36">
        <f>IFERROR(AA1148/$AD1148,0)</f>
        <v>0</v>
      </c>
      <c r="AC1148" s="35"/>
      <c r="AD1148" s="38"/>
    </row>
    <row r="1149" spans="1:30" ht="15.75" customHeight="1" x14ac:dyDescent="0.25">
      <c r="A1149" s="37">
        <v>2016</v>
      </c>
      <c r="B1149" s="35">
        <v>170510</v>
      </c>
      <c r="C1149" s="34" t="s">
        <v>151</v>
      </c>
      <c r="D1149" s="34" t="s">
        <v>40</v>
      </c>
      <c r="E1149" s="35"/>
      <c r="F1149" s="36">
        <f>IFERROR(E1149/$AC1149,0)</f>
        <v>0</v>
      </c>
      <c r="G1149" s="38"/>
      <c r="H1149" s="36">
        <f>IFERROR(G1149/$AD1149,0)</f>
        <v>0</v>
      </c>
      <c r="I1149" s="35"/>
      <c r="J1149" s="36">
        <f>IFERROR(I1149/$AC1149,0)</f>
        <v>0</v>
      </c>
      <c r="K1149" s="38"/>
      <c r="L1149" s="36">
        <f>IFERROR(K1149/$AD1149,0)</f>
        <v>0</v>
      </c>
      <c r="M1149" s="35"/>
      <c r="N1149" s="36">
        <f>IFERROR(M1149/$AC1149,0)</f>
        <v>0</v>
      </c>
      <c r="O1149" s="38"/>
      <c r="P1149" s="36">
        <f>IFERROR(O1149/$AD1149,0)</f>
        <v>0</v>
      </c>
      <c r="Q1149" s="35"/>
      <c r="R1149" s="36">
        <f>IFERROR(Q1149/$AC1149,0)</f>
        <v>0</v>
      </c>
      <c r="S1149" s="38"/>
      <c r="T1149" s="36">
        <f>IFERROR(S1149/$AD1149,0)</f>
        <v>0</v>
      </c>
      <c r="U1149" s="35"/>
      <c r="V1149" s="36">
        <f>IFERROR(U1149/$AC1149,0)</f>
        <v>0</v>
      </c>
      <c r="W1149" s="38"/>
      <c r="X1149" s="36">
        <f>IFERROR(W1149/$AD1149,0)</f>
        <v>0</v>
      </c>
      <c r="Y1149" s="35"/>
      <c r="Z1149" s="36">
        <f>IFERROR(Y1149/$AC1149,0)</f>
        <v>0</v>
      </c>
      <c r="AA1149" s="38"/>
      <c r="AB1149" s="36">
        <f>IFERROR(AA1149/$AD1149,0)</f>
        <v>0</v>
      </c>
      <c r="AC1149" s="35"/>
      <c r="AD1149" s="38"/>
    </row>
    <row r="1150" spans="1:30" ht="15.75" customHeight="1" x14ac:dyDescent="0.25">
      <c r="A1150" s="37">
        <v>2016</v>
      </c>
      <c r="B1150" s="35">
        <v>170460</v>
      </c>
      <c r="C1150" s="34" t="s">
        <v>144</v>
      </c>
      <c r="D1150" s="34" t="s">
        <v>41</v>
      </c>
      <c r="E1150" s="35"/>
      <c r="F1150" s="36">
        <f>IFERROR(E1150/$AC1150,0)</f>
        <v>0</v>
      </c>
      <c r="G1150" s="38"/>
      <c r="H1150" s="36">
        <f>IFERROR(G1150/$AD1150,0)</f>
        <v>0</v>
      </c>
      <c r="I1150" s="35"/>
      <c r="J1150" s="36">
        <f>IFERROR(I1150/$AC1150,0)</f>
        <v>0</v>
      </c>
      <c r="K1150" s="38"/>
      <c r="L1150" s="36">
        <f>IFERROR(K1150/$AD1150,0)</f>
        <v>0</v>
      </c>
      <c r="M1150" s="35"/>
      <c r="N1150" s="36">
        <f>IFERROR(M1150/$AC1150,0)</f>
        <v>0</v>
      </c>
      <c r="O1150" s="38"/>
      <c r="P1150" s="36">
        <f>IFERROR(O1150/$AD1150,0)</f>
        <v>0</v>
      </c>
      <c r="Q1150" s="35"/>
      <c r="R1150" s="36">
        <f>IFERROR(Q1150/$AC1150,0)</f>
        <v>0</v>
      </c>
      <c r="S1150" s="38"/>
      <c r="T1150" s="36">
        <f>IFERROR(S1150/$AD1150,0)</f>
        <v>0</v>
      </c>
      <c r="U1150" s="35"/>
      <c r="V1150" s="36">
        <f>IFERROR(U1150/$AC1150,0)</f>
        <v>0</v>
      </c>
      <c r="W1150" s="38"/>
      <c r="X1150" s="36">
        <f>IFERROR(W1150/$AD1150,0)</f>
        <v>0</v>
      </c>
      <c r="Y1150" s="35"/>
      <c r="Z1150" s="36">
        <f>IFERROR(Y1150/$AC1150,0)</f>
        <v>0</v>
      </c>
      <c r="AA1150" s="38"/>
      <c r="AB1150" s="36">
        <f>IFERROR(AA1150/$AD1150,0)</f>
        <v>0</v>
      </c>
      <c r="AC1150" s="35"/>
      <c r="AD1150" s="38"/>
    </row>
    <row r="1151" spans="1:30" ht="15.75" customHeight="1" x14ac:dyDescent="0.25">
      <c r="A1151" s="37">
        <v>2016</v>
      </c>
      <c r="B1151" s="35">
        <v>170550</v>
      </c>
      <c r="C1151" s="34" t="s">
        <v>150</v>
      </c>
      <c r="D1151" s="34" t="s">
        <v>42</v>
      </c>
      <c r="E1151" s="35"/>
      <c r="F1151" s="36">
        <f>IFERROR(E1151/$AC1151,0)</f>
        <v>0</v>
      </c>
      <c r="G1151" s="38"/>
      <c r="H1151" s="36">
        <f>IFERROR(G1151/$AD1151,0)</f>
        <v>0</v>
      </c>
      <c r="I1151" s="35"/>
      <c r="J1151" s="36">
        <f>IFERROR(I1151/$AC1151,0)</f>
        <v>0</v>
      </c>
      <c r="K1151" s="38"/>
      <c r="L1151" s="36">
        <f>IFERROR(K1151/$AD1151,0)</f>
        <v>0</v>
      </c>
      <c r="M1151" s="35"/>
      <c r="N1151" s="36">
        <f>IFERROR(M1151/$AC1151,0)</f>
        <v>0</v>
      </c>
      <c r="O1151" s="38"/>
      <c r="P1151" s="36">
        <f>IFERROR(O1151/$AD1151,0)</f>
        <v>0</v>
      </c>
      <c r="Q1151" s="35"/>
      <c r="R1151" s="36">
        <f>IFERROR(Q1151/$AC1151,0)</f>
        <v>0</v>
      </c>
      <c r="S1151" s="38"/>
      <c r="T1151" s="36">
        <f>IFERROR(S1151/$AD1151,0)</f>
        <v>0</v>
      </c>
      <c r="U1151" s="35"/>
      <c r="V1151" s="36">
        <f>IFERROR(U1151/$AC1151,0)</f>
        <v>0</v>
      </c>
      <c r="W1151" s="38"/>
      <c r="X1151" s="36">
        <f>IFERROR(W1151/$AD1151,0)</f>
        <v>0</v>
      </c>
      <c r="Y1151" s="35"/>
      <c r="Z1151" s="36">
        <f>IFERROR(Y1151/$AC1151,0)</f>
        <v>0</v>
      </c>
      <c r="AA1151" s="38"/>
      <c r="AB1151" s="36">
        <f>IFERROR(AA1151/$AD1151,0)</f>
        <v>0</v>
      </c>
      <c r="AC1151" s="35"/>
      <c r="AD1151" s="38"/>
    </row>
    <row r="1152" spans="1:30" ht="15.75" customHeight="1" x14ac:dyDescent="0.25">
      <c r="A1152" s="37">
        <v>2016</v>
      </c>
      <c r="B1152" s="35">
        <v>171670</v>
      </c>
      <c r="C1152" s="34" t="s">
        <v>150</v>
      </c>
      <c r="D1152" s="34" t="s">
        <v>43</v>
      </c>
      <c r="E1152" s="35"/>
      <c r="F1152" s="36">
        <f>IFERROR(E1152/$AC1152,0)</f>
        <v>0</v>
      </c>
      <c r="G1152" s="38"/>
      <c r="H1152" s="36">
        <f>IFERROR(G1152/$AD1152,0)</f>
        <v>0</v>
      </c>
      <c r="I1152" s="35"/>
      <c r="J1152" s="36">
        <f>IFERROR(I1152/$AC1152,0)</f>
        <v>0</v>
      </c>
      <c r="K1152" s="38"/>
      <c r="L1152" s="36">
        <f>IFERROR(K1152/$AD1152,0)</f>
        <v>0</v>
      </c>
      <c r="M1152" s="35"/>
      <c r="N1152" s="36">
        <f>IFERROR(M1152/$AC1152,0)</f>
        <v>0</v>
      </c>
      <c r="O1152" s="38"/>
      <c r="P1152" s="36">
        <f>IFERROR(O1152/$AD1152,0)</f>
        <v>0</v>
      </c>
      <c r="Q1152" s="35"/>
      <c r="R1152" s="36">
        <f>IFERROR(Q1152/$AC1152,0)</f>
        <v>0</v>
      </c>
      <c r="S1152" s="38"/>
      <c r="T1152" s="36">
        <f>IFERROR(S1152/$AD1152,0)</f>
        <v>0</v>
      </c>
      <c r="U1152" s="35"/>
      <c r="V1152" s="36">
        <f>IFERROR(U1152/$AC1152,0)</f>
        <v>0</v>
      </c>
      <c r="W1152" s="38"/>
      <c r="X1152" s="36">
        <f>IFERROR(W1152/$AD1152,0)</f>
        <v>0</v>
      </c>
      <c r="Y1152" s="35"/>
      <c r="Z1152" s="36">
        <f>IFERROR(Y1152/$AC1152,0)</f>
        <v>0</v>
      </c>
      <c r="AA1152" s="38"/>
      <c r="AB1152" s="36">
        <f>IFERROR(AA1152/$AD1152,0)</f>
        <v>0</v>
      </c>
      <c r="AC1152" s="35"/>
      <c r="AD1152" s="38"/>
    </row>
    <row r="1153" spans="1:30" ht="15.75" customHeight="1" x14ac:dyDescent="0.25">
      <c r="A1153" s="37">
        <v>2016</v>
      </c>
      <c r="B1153" s="35">
        <v>170555</v>
      </c>
      <c r="C1153" s="34" t="s">
        <v>147</v>
      </c>
      <c r="D1153" s="34" t="s">
        <v>44</v>
      </c>
      <c r="E1153" s="35"/>
      <c r="F1153" s="36">
        <f>IFERROR(E1153/$AC1153,0)</f>
        <v>0</v>
      </c>
      <c r="G1153" s="38"/>
      <c r="H1153" s="36">
        <f>IFERROR(G1153/$AD1153,0)</f>
        <v>0</v>
      </c>
      <c r="I1153" s="35"/>
      <c r="J1153" s="36">
        <f>IFERROR(I1153/$AC1153,0)</f>
        <v>0</v>
      </c>
      <c r="K1153" s="38"/>
      <c r="L1153" s="36">
        <f>IFERROR(K1153/$AD1153,0)</f>
        <v>0</v>
      </c>
      <c r="M1153" s="35"/>
      <c r="N1153" s="36">
        <f>IFERROR(M1153/$AC1153,0)</f>
        <v>0</v>
      </c>
      <c r="O1153" s="38"/>
      <c r="P1153" s="36">
        <f>IFERROR(O1153/$AD1153,0)</f>
        <v>0</v>
      </c>
      <c r="Q1153" s="35"/>
      <c r="R1153" s="36">
        <f>IFERROR(Q1153/$AC1153,0)</f>
        <v>0</v>
      </c>
      <c r="S1153" s="38"/>
      <c r="T1153" s="36">
        <f>IFERROR(S1153/$AD1153,0)</f>
        <v>0</v>
      </c>
      <c r="U1153" s="35"/>
      <c r="V1153" s="36">
        <f>IFERROR(U1153/$AC1153,0)</f>
        <v>0</v>
      </c>
      <c r="W1153" s="38"/>
      <c r="X1153" s="36">
        <f>IFERROR(W1153/$AD1153,0)</f>
        <v>0</v>
      </c>
      <c r="Y1153" s="35"/>
      <c r="Z1153" s="36">
        <f>IFERROR(Y1153/$AC1153,0)</f>
        <v>0</v>
      </c>
      <c r="AA1153" s="38"/>
      <c r="AB1153" s="36">
        <f>IFERROR(AA1153/$AD1153,0)</f>
        <v>0</v>
      </c>
      <c r="AC1153" s="35"/>
      <c r="AD1153" s="38"/>
    </row>
    <row r="1154" spans="1:30" ht="15.75" customHeight="1" x14ac:dyDescent="0.25">
      <c r="A1154" s="37">
        <v>2016</v>
      </c>
      <c r="B1154" s="35">
        <v>170560</v>
      </c>
      <c r="C1154" s="34" t="s">
        <v>147</v>
      </c>
      <c r="D1154" s="34" t="s">
        <v>45</v>
      </c>
      <c r="E1154" s="35"/>
      <c r="F1154" s="36">
        <f>IFERROR(E1154/$AC1154,0)</f>
        <v>0</v>
      </c>
      <c r="G1154" s="38"/>
      <c r="H1154" s="36">
        <f>IFERROR(G1154/$AD1154,0)</f>
        <v>0</v>
      </c>
      <c r="I1154" s="35"/>
      <c r="J1154" s="36">
        <f>IFERROR(I1154/$AC1154,0)</f>
        <v>0</v>
      </c>
      <c r="K1154" s="38"/>
      <c r="L1154" s="36">
        <f>IFERROR(K1154/$AD1154,0)</f>
        <v>0</v>
      </c>
      <c r="M1154" s="35"/>
      <c r="N1154" s="36">
        <f>IFERROR(M1154/$AC1154,0)</f>
        <v>0</v>
      </c>
      <c r="O1154" s="38"/>
      <c r="P1154" s="36">
        <f>IFERROR(O1154/$AD1154,0)</f>
        <v>0</v>
      </c>
      <c r="Q1154" s="35"/>
      <c r="R1154" s="36">
        <f>IFERROR(Q1154/$AC1154,0)</f>
        <v>0</v>
      </c>
      <c r="S1154" s="38"/>
      <c r="T1154" s="36">
        <f>IFERROR(S1154/$AD1154,0)</f>
        <v>0</v>
      </c>
      <c r="U1154" s="35"/>
      <c r="V1154" s="36">
        <f>IFERROR(U1154/$AC1154,0)</f>
        <v>0</v>
      </c>
      <c r="W1154" s="38"/>
      <c r="X1154" s="36">
        <f>IFERROR(W1154/$AD1154,0)</f>
        <v>0</v>
      </c>
      <c r="Y1154" s="35"/>
      <c r="Z1154" s="36">
        <f>IFERROR(Y1154/$AC1154,0)</f>
        <v>0</v>
      </c>
      <c r="AA1154" s="38"/>
      <c r="AB1154" s="36">
        <f>IFERROR(AA1154/$AD1154,0)</f>
        <v>0</v>
      </c>
      <c r="AC1154" s="35"/>
      <c r="AD1154" s="38"/>
    </row>
    <row r="1155" spans="1:30" ht="15.75" customHeight="1" x14ac:dyDescent="0.25">
      <c r="A1155" s="37">
        <v>2016</v>
      </c>
      <c r="B1155" s="35">
        <v>170600</v>
      </c>
      <c r="C1155" s="34" t="s">
        <v>150</v>
      </c>
      <c r="D1155" s="34" t="s">
        <v>46</v>
      </c>
      <c r="E1155" s="35"/>
      <c r="F1155" s="36">
        <f>IFERROR(E1155/$AC1155,0)</f>
        <v>0</v>
      </c>
      <c r="G1155" s="38"/>
      <c r="H1155" s="36">
        <f>IFERROR(G1155/$AD1155,0)</f>
        <v>0</v>
      </c>
      <c r="I1155" s="35"/>
      <c r="J1155" s="36">
        <f>IFERROR(I1155/$AC1155,0)</f>
        <v>0</v>
      </c>
      <c r="K1155" s="38"/>
      <c r="L1155" s="36">
        <f>IFERROR(K1155/$AD1155,0)</f>
        <v>0</v>
      </c>
      <c r="M1155" s="35"/>
      <c r="N1155" s="36">
        <f>IFERROR(M1155/$AC1155,0)</f>
        <v>0</v>
      </c>
      <c r="O1155" s="38"/>
      <c r="P1155" s="36">
        <f>IFERROR(O1155/$AD1155,0)</f>
        <v>0</v>
      </c>
      <c r="Q1155" s="35"/>
      <c r="R1155" s="36">
        <f>IFERROR(Q1155/$AC1155,0)</f>
        <v>0</v>
      </c>
      <c r="S1155" s="38"/>
      <c r="T1155" s="36">
        <f>IFERROR(S1155/$AD1155,0)</f>
        <v>0</v>
      </c>
      <c r="U1155" s="35"/>
      <c r="V1155" s="36">
        <f>IFERROR(U1155/$AC1155,0)</f>
        <v>0</v>
      </c>
      <c r="W1155" s="38"/>
      <c r="X1155" s="36">
        <f>IFERROR(W1155/$AD1155,0)</f>
        <v>0</v>
      </c>
      <c r="Y1155" s="35"/>
      <c r="Z1155" s="36">
        <f>IFERROR(Y1155/$AC1155,0)</f>
        <v>0</v>
      </c>
      <c r="AA1155" s="38"/>
      <c r="AB1155" s="36">
        <f>IFERROR(AA1155/$AD1155,0)</f>
        <v>0</v>
      </c>
      <c r="AC1155" s="35"/>
      <c r="AD1155" s="38"/>
    </row>
    <row r="1156" spans="1:30" ht="15.75" customHeight="1" x14ac:dyDescent="0.25">
      <c r="A1156" s="37">
        <v>2016</v>
      </c>
      <c r="B1156" s="35">
        <v>170610</v>
      </c>
      <c r="C1156" s="34" t="s">
        <v>144</v>
      </c>
      <c r="D1156" s="34" t="s">
        <v>47</v>
      </c>
      <c r="E1156" s="35"/>
      <c r="F1156" s="36">
        <f>IFERROR(E1156/$AC1156,0)</f>
        <v>0</v>
      </c>
      <c r="G1156" s="38"/>
      <c r="H1156" s="36">
        <f>IFERROR(G1156/$AD1156,0)</f>
        <v>0</v>
      </c>
      <c r="I1156" s="35"/>
      <c r="J1156" s="36">
        <f>IFERROR(I1156/$AC1156,0)</f>
        <v>0</v>
      </c>
      <c r="K1156" s="38"/>
      <c r="L1156" s="36">
        <f>IFERROR(K1156/$AD1156,0)</f>
        <v>0</v>
      </c>
      <c r="M1156" s="35"/>
      <c r="N1156" s="36">
        <f>IFERROR(M1156/$AC1156,0)</f>
        <v>0</v>
      </c>
      <c r="O1156" s="38"/>
      <c r="P1156" s="36">
        <f>IFERROR(O1156/$AD1156,0)</f>
        <v>0</v>
      </c>
      <c r="Q1156" s="35"/>
      <c r="R1156" s="36">
        <f>IFERROR(Q1156/$AC1156,0)</f>
        <v>0</v>
      </c>
      <c r="S1156" s="38"/>
      <c r="T1156" s="36">
        <f>IFERROR(S1156/$AD1156,0)</f>
        <v>0</v>
      </c>
      <c r="U1156" s="35"/>
      <c r="V1156" s="36">
        <f>IFERROR(U1156/$AC1156,0)</f>
        <v>0</v>
      </c>
      <c r="W1156" s="38"/>
      <c r="X1156" s="36">
        <f>IFERROR(W1156/$AD1156,0)</f>
        <v>0</v>
      </c>
      <c r="Y1156" s="35"/>
      <c r="Z1156" s="36">
        <f>IFERROR(Y1156/$AC1156,0)</f>
        <v>0</v>
      </c>
      <c r="AA1156" s="38"/>
      <c r="AB1156" s="36">
        <f>IFERROR(AA1156/$AD1156,0)</f>
        <v>0</v>
      </c>
      <c r="AC1156" s="35"/>
      <c r="AD1156" s="38"/>
    </row>
    <row r="1157" spans="1:30" ht="15.75" customHeight="1" x14ac:dyDescent="0.25">
      <c r="A1157" s="37">
        <v>2016</v>
      </c>
      <c r="B1157" s="35">
        <v>170625</v>
      </c>
      <c r="C1157" s="34" t="s">
        <v>146</v>
      </c>
      <c r="D1157" s="34" t="s">
        <v>48</v>
      </c>
      <c r="E1157" s="35"/>
      <c r="F1157" s="36">
        <f>IFERROR(E1157/$AC1157,0)</f>
        <v>0</v>
      </c>
      <c r="G1157" s="38"/>
      <c r="H1157" s="36">
        <f>IFERROR(G1157/$AD1157,0)</f>
        <v>0</v>
      </c>
      <c r="I1157" s="35"/>
      <c r="J1157" s="36">
        <f>IFERROR(I1157/$AC1157,0)</f>
        <v>0</v>
      </c>
      <c r="K1157" s="38"/>
      <c r="L1157" s="36">
        <f>IFERROR(K1157/$AD1157,0)</f>
        <v>0</v>
      </c>
      <c r="M1157" s="35"/>
      <c r="N1157" s="36">
        <f>IFERROR(M1157/$AC1157,0)</f>
        <v>0</v>
      </c>
      <c r="O1157" s="38"/>
      <c r="P1157" s="36">
        <f>IFERROR(O1157/$AD1157,0)</f>
        <v>0</v>
      </c>
      <c r="Q1157" s="35"/>
      <c r="R1157" s="36">
        <f>IFERROR(Q1157/$AC1157,0)</f>
        <v>0</v>
      </c>
      <c r="S1157" s="38"/>
      <c r="T1157" s="36">
        <f>IFERROR(S1157/$AD1157,0)</f>
        <v>0</v>
      </c>
      <c r="U1157" s="35"/>
      <c r="V1157" s="36">
        <f>IFERROR(U1157/$AC1157,0)</f>
        <v>0</v>
      </c>
      <c r="W1157" s="38"/>
      <c r="X1157" s="36">
        <f>IFERROR(W1157/$AD1157,0)</f>
        <v>0</v>
      </c>
      <c r="Y1157" s="35"/>
      <c r="Z1157" s="36">
        <f>IFERROR(Y1157/$AC1157,0)</f>
        <v>0</v>
      </c>
      <c r="AA1157" s="38"/>
      <c r="AB1157" s="36">
        <f>IFERROR(AA1157/$AD1157,0)</f>
        <v>0</v>
      </c>
      <c r="AC1157" s="35"/>
      <c r="AD1157" s="38"/>
    </row>
    <row r="1158" spans="1:30" ht="15.75" customHeight="1" x14ac:dyDescent="0.25">
      <c r="A1158" s="37">
        <v>2016</v>
      </c>
      <c r="B1158" s="35">
        <v>170650</v>
      </c>
      <c r="C1158" s="34" t="s">
        <v>149</v>
      </c>
      <c r="D1158" s="34" t="s">
        <v>49</v>
      </c>
      <c r="E1158" s="35"/>
      <c r="F1158" s="36">
        <f>IFERROR(E1158/$AC1158,0)</f>
        <v>0</v>
      </c>
      <c r="G1158" s="38"/>
      <c r="H1158" s="36">
        <f>IFERROR(G1158/$AD1158,0)</f>
        <v>0</v>
      </c>
      <c r="I1158" s="35"/>
      <c r="J1158" s="36">
        <f>IFERROR(I1158/$AC1158,0)</f>
        <v>0</v>
      </c>
      <c r="K1158" s="38"/>
      <c r="L1158" s="36">
        <f>IFERROR(K1158/$AD1158,0)</f>
        <v>0</v>
      </c>
      <c r="M1158" s="35"/>
      <c r="N1158" s="36">
        <f>IFERROR(M1158/$AC1158,0)</f>
        <v>0</v>
      </c>
      <c r="O1158" s="38"/>
      <c r="P1158" s="36">
        <f>IFERROR(O1158/$AD1158,0)</f>
        <v>0</v>
      </c>
      <c r="Q1158" s="35"/>
      <c r="R1158" s="36">
        <f>IFERROR(Q1158/$AC1158,0)</f>
        <v>0</v>
      </c>
      <c r="S1158" s="38"/>
      <c r="T1158" s="36">
        <f>IFERROR(S1158/$AD1158,0)</f>
        <v>0</v>
      </c>
      <c r="U1158" s="35"/>
      <c r="V1158" s="36">
        <f>IFERROR(U1158/$AC1158,0)</f>
        <v>0</v>
      </c>
      <c r="W1158" s="38"/>
      <c r="X1158" s="36">
        <f>IFERROR(W1158/$AD1158,0)</f>
        <v>0</v>
      </c>
      <c r="Y1158" s="35"/>
      <c r="Z1158" s="36">
        <f>IFERROR(Y1158/$AC1158,0)</f>
        <v>0</v>
      </c>
      <c r="AA1158" s="38"/>
      <c r="AB1158" s="36">
        <f>IFERROR(AA1158/$AD1158,0)</f>
        <v>0</v>
      </c>
      <c r="AC1158" s="35"/>
      <c r="AD1158" s="38"/>
    </row>
    <row r="1159" spans="1:30" ht="15.75" customHeight="1" x14ac:dyDescent="0.25">
      <c r="A1159" s="37">
        <v>2016</v>
      </c>
      <c r="B1159" s="35">
        <v>170700</v>
      </c>
      <c r="C1159" s="34" t="s">
        <v>147</v>
      </c>
      <c r="D1159" s="34" t="s">
        <v>50</v>
      </c>
      <c r="E1159" s="35"/>
      <c r="F1159" s="36">
        <f>IFERROR(E1159/$AC1159,0)</f>
        <v>0</v>
      </c>
      <c r="G1159" s="38"/>
      <c r="H1159" s="36">
        <f>IFERROR(G1159/$AD1159,0)</f>
        <v>0</v>
      </c>
      <c r="I1159" s="35"/>
      <c r="J1159" s="36">
        <f>IFERROR(I1159/$AC1159,0)</f>
        <v>0</v>
      </c>
      <c r="K1159" s="38"/>
      <c r="L1159" s="36">
        <f>IFERROR(K1159/$AD1159,0)</f>
        <v>0</v>
      </c>
      <c r="M1159" s="35"/>
      <c r="N1159" s="36">
        <f>IFERROR(M1159/$AC1159,0)</f>
        <v>0</v>
      </c>
      <c r="O1159" s="38"/>
      <c r="P1159" s="36">
        <f>IFERROR(O1159/$AD1159,0)</f>
        <v>0</v>
      </c>
      <c r="Q1159" s="35"/>
      <c r="R1159" s="36">
        <f>IFERROR(Q1159/$AC1159,0)</f>
        <v>0</v>
      </c>
      <c r="S1159" s="38"/>
      <c r="T1159" s="36">
        <f>IFERROR(S1159/$AD1159,0)</f>
        <v>0</v>
      </c>
      <c r="U1159" s="35"/>
      <c r="V1159" s="36">
        <f>IFERROR(U1159/$AC1159,0)</f>
        <v>0</v>
      </c>
      <c r="W1159" s="38"/>
      <c r="X1159" s="36">
        <f>IFERROR(W1159/$AD1159,0)</f>
        <v>0</v>
      </c>
      <c r="Y1159" s="35"/>
      <c r="Z1159" s="36">
        <f>IFERROR(Y1159/$AC1159,0)</f>
        <v>0</v>
      </c>
      <c r="AA1159" s="38"/>
      <c r="AB1159" s="36">
        <f>IFERROR(AA1159/$AD1159,0)</f>
        <v>0</v>
      </c>
      <c r="AC1159" s="35"/>
      <c r="AD1159" s="38"/>
    </row>
    <row r="1160" spans="1:30" ht="15.75" customHeight="1" x14ac:dyDescent="0.25">
      <c r="A1160" s="37">
        <v>2016</v>
      </c>
      <c r="B1160" s="35">
        <v>170710</v>
      </c>
      <c r="C1160" s="34" t="s">
        <v>144</v>
      </c>
      <c r="D1160" s="34" t="s">
        <v>51</v>
      </c>
      <c r="E1160" s="35"/>
      <c r="F1160" s="36">
        <f>IFERROR(E1160/$AC1160,0)</f>
        <v>0</v>
      </c>
      <c r="G1160" s="38"/>
      <c r="H1160" s="36">
        <f>IFERROR(G1160/$AD1160,0)</f>
        <v>0</v>
      </c>
      <c r="I1160" s="35"/>
      <c r="J1160" s="36">
        <f>IFERROR(I1160/$AC1160,0)</f>
        <v>0</v>
      </c>
      <c r="K1160" s="38"/>
      <c r="L1160" s="36">
        <f>IFERROR(K1160/$AD1160,0)</f>
        <v>0</v>
      </c>
      <c r="M1160" s="35"/>
      <c r="N1160" s="36">
        <f>IFERROR(M1160/$AC1160,0)</f>
        <v>0</v>
      </c>
      <c r="O1160" s="38"/>
      <c r="P1160" s="36">
        <f>IFERROR(O1160/$AD1160,0)</f>
        <v>0</v>
      </c>
      <c r="Q1160" s="35"/>
      <c r="R1160" s="36">
        <f>IFERROR(Q1160/$AC1160,0)</f>
        <v>0</v>
      </c>
      <c r="S1160" s="38"/>
      <c r="T1160" s="36">
        <f>IFERROR(S1160/$AD1160,0)</f>
        <v>0</v>
      </c>
      <c r="U1160" s="35"/>
      <c r="V1160" s="36">
        <f>IFERROR(U1160/$AC1160,0)</f>
        <v>0</v>
      </c>
      <c r="W1160" s="38"/>
      <c r="X1160" s="36">
        <f>IFERROR(W1160/$AD1160,0)</f>
        <v>0</v>
      </c>
      <c r="Y1160" s="35"/>
      <c r="Z1160" s="36">
        <f>IFERROR(Y1160/$AC1160,0)</f>
        <v>0</v>
      </c>
      <c r="AA1160" s="38"/>
      <c r="AB1160" s="36">
        <f>IFERROR(AA1160/$AD1160,0)</f>
        <v>0</v>
      </c>
      <c r="AC1160" s="35"/>
      <c r="AD1160" s="38"/>
    </row>
    <row r="1161" spans="1:30" ht="15.75" customHeight="1" x14ac:dyDescent="0.25">
      <c r="A1161" s="37">
        <v>2016</v>
      </c>
      <c r="B1161" s="35">
        <v>170720</v>
      </c>
      <c r="C1161" s="34" t="s">
        <v>144</v>
      </c>
      <c r="D1161" s="34" t="s">
        <v>52</v>
      </c>
      <c r="E1161" s="35"/>
      <c r="F1161" s="36">
        <f>IFERROR(E1161/$AC1161,0)</f>
        <v>0</v>
      </c>
      <c r="G1161" s="38"/>
      <c r="H1161" s="36">
        <f>IFERROR(G1161/$AD1161,0)</f>
        <v>0</v>
      </c>
      <c r="I1161" s="35"/>
      <c r="J1161" s="36">
        <f>IFERROR(I1161/$AC1161,0)</f>
        <v>0</v>
      </c>
      <c r="K1161" s="38"/>
      <c r="L1161" s="36">
        <f>IFERROR(K1161/$AD1161,0)</f>
        <v>0</v>
      </c>
      <c r="M1161" s="35"/>
      <c r="N1161" s="36">
        <f>IFERROR(M1161/$AC1161,0)</f>
        <v>0</v>
      </c>
      <c r="O1161" s="38"/>
      <c r="P1161" s="36">
        <f>IFERROR(O1161/$AD1161,0)</f>
        <v>0</v>
      </c>
      <c r="Q1161" s="35"/>
      <c r="R1161" s="36">
        <f>IFERROR(Q1161/$AC1161,0)</f>
        <v>0</v>
      </c>
      <c r="S1161" s="38"/>
      <c r="T1161" s="36">
        <f>IFERROR(S1161/$AD1161,0)</f>
        <v>0</v>
      </c>
      <c r="U1161" s="35"/>
      <c r="V1161" s="36">
        <f>IFERROR(U1161/$AC1161,0)</f>
        <v>0</v>
      </c>
      <c r="W1161" s="38"/>
      <c r="X1161" s="36">
        <f>IFERROR(W1161/$AD1161,0)</f>
        <v>0</v>
      </c>
      <c r="Y1161" s="35"/>
      <c r="Z1161" s="36">
        <f>IFERROR(Y1161/$AC1161,0)</f>
        <v>0</v>
      </c>
      <c r="AA1161" s="38"/>
      <c r="AB1161" s="36">
        <f>IFERROR(AA1161/$AD1161,0)</f>
        <v>0</v>
      </c>
      <c r="AC1161" s="35"/>
      <c r="AD1161" s="38"/>
    </row>
    <row r="1162" spans="1:30" ht="15.75" customHeight="1" x14ac:dyDescent="0.25">
      <c r="A1162" s="37">
        <v>2016</v>
      </c>
      <c r="B1162" s="35">
        <v>170730</v>
      </c>
      <c r="C1162" s="34" t="s">
        <v>146</v>
      </c>
      <c r="D1162" s="34" t="s">
        <v>53</v>
      </c>
      <c r="E1162" s="35"/>
      <c r="F1162" s="36">
        <f>IFERROR(E1162/$AC1162,0)</f>
        <v>0</v>
      </c>
      <c r="G1162" s="38"/>
      <c r="H1162" s="36">
        <f>IFERROR(G1162/$AD1162,0)</f>
        <v>0</v>
      </c>
      <c r="I1162" s="35"/>
      <c r="J1162" s="36">
        <f>IFERROR(I1162/$AC1162,0)</f>
        <v>0</v>
      </c>
      <c r="K1162" s="38"/>
      <c r="L1162" s="36">
        <f>IFERROR(K1162/$AD1162,0)</f>
        <v>0</v>
      </c>
      <c r="M1162" s="35"/>
      <c r="N1162" s="36">
        <f>IFERROR(M1162/$AC1162,0)</f>
        <v>0</v>
      </c>
      <c r="O1162" s="38"/>
      <c r="P1162" s="36">
        <f>IFERROR(O1162/$AD1162,0)</f>
        <v>0</v>
      </c>
      <c r="Q1162" s="35"/>
      <c r="R1162" s="36">
        <f>IFERROR(Q1162/$AC1162,0)</f>
        <v>0</v>
      </c>
      <c r="S1162" s="38"/>
      <c r="T1162" s="36">
        <f>IFERROR(S1162/$AD1162,0)</f>
        <v>0</v>
      </c>
      <c r="U1162" s="35"/>
      <c r="V1162" s="36">
        <f>IFERROR(U1162/$AC1162,0)</f>
        <v>0</v>
      </c>
      <c r="W1162" s="38"/>
      <c r="X1162" s="36">
        <f>IFERROR(W1162/$AD1162,0)</f>
        <v>0</v>
      </c>
      <c r="Y1162" s="35"/>
      <c r="Z1162" s="36">
        <f>IFERROR(Y1162/$AC1162,0)</f>
        <v>0</v>
      </c>
      <c r="AA1162" s="38"/>
      <c r="AB1162" s="36">
        <f>IFERROR(AA1162/$AD1162,0)</f>
        <v>0</v>
      </c>
      <c r="AC1162" s="35"/>
      <c r="AD1162" s="38"/>
    </row>
    <row r="1163" spans="1:30" ht="15.75" customHeight="1" x14ac:dyDescent="0.25">
      <c r="A1163" s="37">
        <v>2016</v>
      </c>
      <c r="B1163" s="35">
        <v>170740</v>
      </c>
      <c r="C1163" s="34" t="s">
        <v>145</v>
      </c>
      <c r="D1163" s="34" t="s">
        <v>54</v>
      </c>
      <c r="E1163" s="35"/>
      <c r="F1163" s="36">
        <f>IFERROR(E1163/$AC1163,0)</f>
        <v>0</v>
      </c>
      <c r="G1163" s="38"/>
      <c r="H1163" s="36">
        <f>IFERROR(G1163/$AD1163,0)</f>
        <v>0</v>
      </c>
      <c r="I1163" s="35"/>
      <c r="J1163" s="36">
        <f>IFERROR(I1163/$AC1163,0)</f>
        <v>0</v>
      </c>
      <c r="K1163" s="38"/>
      <c r="L1163" s="36">
        <f>IFERROR(K1163/$AD1163,0)</f>
        <v>0</v>
      </c>
      <c r="M1163" s="35"/>
      <c r="N1163" s="36">
        <f>IFERROR(M1163/$AC1163,0)</f>
        <v>0</v>
      </c>
      <c r="O1163" s="38"/>
      <c r="P1163" s="36">
        <f>IFERROR(O1163/$AD1163,0)</f>
        <v>0</v>
      </c>
      <c r="Q1163" s="35"/>
      <c r="R1163" s="36">
        <f>IFERROR(Q1163/$AC1163,0)</f>
        <v>0</v>
      </c>
      <c r="S1163" s="38"/>
      <c r="T1163" s="36">
        <f>IFERROR(S1163/$AD1163,0)</f>
        <v>0</v>
      </c>
      <c r="U1163" s="35"/>
      <c r="V1163" s="36">
        <f>IFERROR(U1163/$AC1163,0)</f>
        <v>0</v>
      </c>
      <c r="W1163" s="38"/>
      <c r="X1163" s="36">
        <f>IFERROR(W1163/$AD1163,0)</f>
        <v>0</v>
      </c>
      <c r="Y1163" s="35"/>
      <c r="Z1163" s="36">
        <f>IFERROR(Y1163/$AC1163,0)</f>
        <v>0</v>
      </c>
      <c r="AA1163" s="38"/>
      <c r="AB1163" s="36">
        <f>IFERROR(AA1163/$AD1163,0)</f>
        <v>0</v>
      </c>
      <c r="AC1163" s="35"/>
      <c r="AD1163" s="38"/>
    </row>
    <row r="1164" spans="1:30" ht="15.75" customHeight="1" x14ac:dyDescent="0.25">
      <c r="A1164" s="37">
        <v>2016</v>
      </c>
      <c r="B1164" s="35">
        <v>170755</v>
      </c>
      <c r="C1164" s="34" t="s">
        <v>151</v>
      </c>
      <c r="D1164" s="34" t="s">
        <v>55</v>
      </c>
      <c r="E1164" s="35"/>
      <c r="F1164" s="36">
        <f>IFERROR(E1164/$AC1164,0)</f>
        <v>0</v>
      </c>
      <c r="G1164" s="38"/>
      <c r="H1164" s="36">
        <f>IFERROR(G1164/$AD1164,0)</f>
        <v>0</v>
      </c>
      <c r="I1164" s="35"/>
      <c r="J1164" s="36">
        <f>IFERROR(I1164/$AC1164,0)</f>
        <v>0</v>
      </c>
      <c r="K1164" s="38"/>
      <c r="L1164" s="36">
        <f>IFERROR(K1164/$AD1164,0)</f>
        <v>0</v>
      </c>
      <c r="M1164" s="35"/>
      <c r="N1164" s="36">
        <f>IFERROR(M1164/$AC1164,0)</f>
        <v>0</v>
      </c>
      <c r="O1164" s="38"/>
      <c r="P1164" s="36">
        <f>IFERROR(O1164/$AD1164,0)</f>
        <v>0</v>
      </c>
      <c r="Q1164" s="35"/>
      <c r="R1164" s="36">
        <f>IFERROR(Q1164/$AC1164,0)</f>
        <v>0</v>
      </c>
      <c r="S1164" s="38"/>
      <c r="T1164" s="36">
        <f>IFERROR(S1164/$AD1164,0)</f>
        <v>0</v>
      </c>
      <c r="U1164" s="35"/>
      <c r="V1164" s="36">
        <f>IFERROR(U1164/$AC1164,0)</f>
        <v>0</v>
      </c>
      <c r="W1164" s="38"/>
      <c r="X1164" s="36">
        <f>IFERROR(W1164/$AD1164,0)</f>
        <v>0</v>
      </c>
      <c r="Y1164" s="35"/>
      <c r="Z1164" s="36">
        <f>IFERROR(Y1164/$AC1164,0)</f>
        <v>0</v>
      </c>
      <c r="AA1164" s="38"/>
      <c r="AB1164" s="36">
        <f>IFERROR(AA1164/$AD1164,0)</f>
        <v>0</v>
      </c>
      <c r="AC1164" s="35"/>
      <c r="AD1164" s="38"/>
    </row>
    <row r="1165" spans="1:30" ht="15.75" customHeight="1" x14ac:dyDescent="0.25">
      <c r="A1165" s="37">
        <v>2016</v>
      </c>
      <c r="B1165" s="35">
        <v>170765</v>
      </c>
      <c r="C1165" s="34" t="s">
        <v>146</v>
      </c>
      <c r="D1165" s="34" t="s">
        <v>56</v>
      </c>
      <c r="E1165" s="35"/>
      <c r="F1165" s="36">
        <f>IFERROR(E1165/$AC1165,0)</f>
        <v>0</v>
      </c>
      <c r="G1165" s="38"/>
      <c r="H1165" s="36">
        <f>IFERROR(G1165/$AD1165,0)</f>
        <v>0</v>
      </c>
      <c r="I1165" s="35"/>
      <c r="J1165" s="36">
        <f>IFERROR(I1165/$AC1165,0)</f>
        <v>0</v>
      </c>
      <c r="K1165" s="38"/>
      <c r="L1165" s="36">
        <f>IFERROR(K1165/$AD1165,0)</f>
        <v>0</v>
      </c>
      <c r="M1165" s="35"/>
      <c r="N1165" s="36">
        <f>IFERROR(M1165/$AC1165,0)</f>
        <v>0</v>
      </c>
      <c r="O1165" s="38"/>
      <c r="P1165" s="36">
        <f>IFERROR(O1165/$AD1165,0)</f>
        <v>0</v>
      </c>
      <c r="Q1165" s="35"/>
      <c r="R1165" s="36">
        <f>IFERROR(Q1165/$AC1165,0)</f>
        <v>0</v>
      </c>
      <c r="S1165" s="38"/>
      <c r="T1165" s="36">
        <f>IFERROR(S1165/$AD1165,0)</f>
        <v>0</v>
      </c>
      <c r="U1165" s="35"/>
      <c r="V1165" s="36">
        <f>IFERROR(U1165/$AC1165,0)</f>
        <v>0</v>
      </c>
      <c r="W1165" s="38"/>
      <c r="X1165" s="36">
        <f>IFERROR(W1165/$AD1165,0)</f>
        <v>0</v>
      </c>
      <c r="Y1165" s="35"/>
      <c r="Z1165" s="36">
        <f>IFERROR(Y1165/$AC1165,0)</f>
        <v>0</v>
      </c>
      <c r="AA1165" s="38"/>
      <c r="AB1165" s="36">
        <f>IFERROR(AA1165/$AD1165,0)</f>
        <v>0</v>
      </c>
      <c r="AC1165" s="35"/>
      <c r="AD1165" s="38"/>
    </row>
    <row r="1166" spans="1:30" ht="15.75" customHeight="1" x14ac:dyDescent="0.25">
      <c r="A1166" s="37">
        <v>2016</v>
      </c>
      <c r="B1166" s="35">
        <v>170770</v>
      </c>
      <c r="C1166" s="34" t="s">
        <v>149</v>
      </c>
      <c r="D1166" s="34" t="s">
        <v>57</v>
      </c>
      <c r="E1166" s="35"/>
      <c r="F1166" s="36">
        <f>IFERROR(E1166/$AC1166,0)</f>
        <v>0</v>
      </c>
      <c r="G1166" s="38"/>
      <c r="H1166" s="36">
        <f>IFERROR(G1166/$AD1166,0)</f>
        <v>0</v>
      </c>
      <c r="I1166" s="35"/>
      <c r="J1166" s="36">
        <f>IFERROR(I1166/$AC1166,0)</f>
        <v>0</v>
      </c>
      <c r="K1166" s="38"/>
      <c r="L1166" s="36">
        <f>IFERROR(K1166/$AD1166,0)</f>
        <v>0</v>
      </c>
      <c r="M1166" s="35"/>
      <c r="N1166" s="36">
        <f>IFERROR(M1166/$AC1166,0)</f>
        <v>0</v>
      </c>
      <c r="O1166" s="38"/>
      <c r="P1166" s="36">
        <f>IFERROR(O1166/$AD1166,0)</f>
        <v>0</v>
      </c>
      <c r="Q1166" s="35"/>
      <c r="R1166" s="36">
        <f>IFERROR(Q1166/$AC1166,0)</f>
        <v>0</v>
      </c>
      <c r="S1166" s="38"/>
      <c r="T1166" s="36">
        <f>IFERROR(S1166/$AD1166,0)</f>
        <v>0</v>
      </c>
      <c r="U1166" s="35"/>
      <c r="V1166" s="36">
        <f>IFERROR(U1166/$AC1166,0)</f>
        <v>0</v>
      </c>
      <c r="W1166" s="38"/>
      <c r="X1166" s="36">
        <f>IFERROR(W1166/$AD1166,0)</f>
        <v>0</v>
      </c>
      <c r="Y1166" s="35"/>
      <c r="Z1166" s="36">
        <f>IFERROR(Y1166/$AC1166,0)</f>
        <v>0</v>
      </c>
      <c r="AA1166" s="38"/>
      <c r="AB1166" s="36">
        <f>IFERROR(AA1166/$AD1166,0)</f>
        <v>0</v>
      </c>
      <c r="AC1166" s="35"/>
      <c r="AD1166" s="38"/>
    </row>
    <row r="1167" spans="1:30" ht="15.75" customHeight="1" x14ac:dyDescent="0.25">
      <c r="A1167" s="37">
        <v>2016</v>
      </c>
      <c r="B1167" s="35">
        <v>170820</v>
      </c>
      <c r="C1167" s="34" t="s">
        <v>146</v>
      </c>
      <c r="D1167" s="34" t="s">
        <v>58</v>
      </c>
      <c r="E1167" s="35"/>
      <c r="F1167" s="36">
        <f>IFERROR(E1167/$AC1167,0)</f>
        <v>0</v>
      </c>
      <c r="G1167" s="38"/>
      <c r="H1167" s="36">
        <f>IFERROR(G1167/$AD1167,0)</f>
        <v>0</v>
      </c>
      <c r="I1167" s="35"/>
      <c r="J1167" s="36">
        <f>IFERROR(I1167/$AC1167,0)</f>
        <v>0</v>
      </c>
      <c r="K1167" s="38"/>
      <c r="L1167" s="36">
        <f>IFERROR(K1167/$AD1167,0)</f>
        <v>0</v>
      </c>
      <c r="M1167" s="35"/>
      <c r="N1167" s="36">
        <f>IFERROR(M1167/$AC1167,0)</f>
        <v>0</v>
      </c>
      <c r="O1167" s="38"/>
      <c r="P1167" s="36">
        <f>IFERROR(O1167/$AD1167,0)</f>
        <v>0</v>
      </c>
      <c r="Q1167" s="35"/>
      <c r="R1167" s="36">
        <f>IFERROR(Q1167/$AC1167,0)</f>
        <v>0</v>
      </c>
      <c r="S1167" s="38"/>
      <c r="T1167" s="36">
        <f>IFERROR(S1167/$AD1167,0)</f>
        <v>0</v>
      </c>
      <c r="U1167" s="35"/>
      <c r="V1167" s="36">
        <f>IFERROR(U1167/$AC1167,0)</f>
        <v>0</v>
      </c>
      <c r="W1167" s="38"/>
      <c r="X1167" s="36">
        <f>IFERROR(W1167/$AD1167,0)</f>
        <v>0</v>
      </c>
      <c r="Y1167" s="35"/>
      <c r="Z1167" s="36">
        <f>IFERROR(Y1167/$AC1167,0)</f>
        <v>0</v>
      </c>
      <c r="AA1167" s="38"/>
      <c r="AB1167" s="36">
        <f>IFERROR(AA1167/$AD1167,0)</f>
        <v>0</v>
      </c>
      <c r="AC1167" s="35"/>
      <c r="AD1167" s="38"/>
    </row>
    <row r="1168" spans="1:30" ht="15.75" customHeight="1" x14ac:dyDescent="0.25">
      <c r="A1168" s="37">
        <v>2016</v>
      </c>
      <c r="B1168" s="35">
        <v>170830</v>
      </c>
      <c r="C1168" s="34" t="s">
        <v>150</v>
      </c>
      <c r="D1168" s="34" t="s">
        <v>59</v>
      </c>
      <c r="E1168" s="35"/>
      <c r="F1168" s="36">
        <f>IFERROR(E1168/$AC1168,0)</f>
        <v>0</v>
      </c>
      <c r="G1168" s="38"/>
      <c r="H1168" s="36">
        <f>IFERROR(G1168/$AD1168,0)</f>
        <v>0</v>
      </c>
      <c r="I1168" s="35"/>
      <c r="J1168" s="36">
        <f>IFERROR(I1168/$AC1168,0)</f>
        <v>0</v>
      </c>
      <c r="K1168" s="38"/>
      <c r="L1168" s="36">
        <f>IFERROR(K1168/$AD1168,0)</f>
        <v>0</v>
      </c>
      <c r="M1168" s="35"/>
      <c r="N1168" s="36">
        <f>IFERROR(M1168/$AC1168,0)</f>
        <v>0</v>
      </c>
      <c r="O1168" s="38"/>
      <c r="P1168" s="36">
        <f>IFERROR(O1168/$AD1168,0)</f>
        <v>0</v>
      </c>
      <c r="Q1168" s="35"/>
      <c r="R1168" s="36">
        <f>IFERROR(Q1168/$AC1168,0)</f>
        <v>0</v>
      </c>
      <c r="S1168" s="38"/>
      <c r="T1168" s="36">
        <f>IFERROR(S1168/$AD1168,0)</f>
        <v>0</v>
      </c>
      <c r="U1168" s="35"/>
      <c r="V1168" s="36">
        <f>IFERROR(U1168/$AC1168,0)</f>
        <v>0</v>
      </c>
      <c r="W1168" s="38"/>
      <c r="X1168" s="36">
        <f>IFERROR(W1168/$AD1168,0)</f>
        <v>0</v>
      </c>
      <c r="Y1168" s="35"/>
      <c r="Z1168" s="36">
        <f>IFERROR(Y1168/$AC1168,0)</f>
        <v>0</v>
      </c>
      <c r="AA1168" s="38"/>
      <c r="AB1168" s="36">
        <f>IFERROR(AA1168/$AD1168,0)</f>
        <v>0</v>
      </c>
      <c r="AC1168" s="35"/>
      <c r="AD1168" s="38"/>
    </row>
    <row r="1169" spans="1:30" ht="15.75" customHeight="1" x14ac:dyDescent="0.25">
      <c r="A1169" s="37">
        <v>2016</v>
      </c>
      <c r="B1169" s="35">
        <v>170900</v>
      </c>
      <c r="C1169" s="34" t="s">
        <v>149</v>
      </c>
      <c r="D1169" s="34" t="s">
        <v>60</v>
      </c>
      <c r="E1169" s="35"/>
      <c r="F1169" s="36">
        <f>IFERROR(E1169/$AC1169,0)</f>
        <v>0</v>
      </c>
      <c r="G1169" s="38"/>
      <c r="H1169" s="36">
        <f>IFERROR(G1169/$AD1169,0)</f>
        <v>0</v>
      </c>
      <c r="I1169" s="35"/>
      <c r="J1169" s="36">
        <f>IFERROR(I1169/$AC1169,0)</f>
        <v>0</v>
      </c>
      <c r="K1169" s="38"/>
      <c r="L1169" s="36">
        <f>IFERROR(K1169/$AD1169,0)</f>
        <v>0</v>
      </c>
      <c r="M1169" s="35"/>
      <c r="N1169" s="36">
        <f>IFERROR(M1169/$AC1169,0)</f>
        <v>0</v>
      </c>
      <c r="O1169" s="38"/>
      <c r="P1169" s="36">
        <f>IFERROR(O1169/$AD1169,0)</f>
        <v>0</v>
      </c>
      <c r="Q1169" s="35"/>
      <c r="R1169" s="36">
        <f>IFERROR(Q1169/$AC1169,0)</f>
        <v>0</v>
      </c>
      <c r="S1169" s="38"/>
      <c r="T1169" s="36">
        <f>IFERROR(S1169/$AD1169,0)</f>
        <v>0</v>
      </c>
      <c r="U1169" s="35"/>
      <c r="V1169" s="36">
        <f>IFERROR(U1169/$AC1169,0)</f>
        <v>0</v>
      </c>
      <c r="W1169" s="38"/>
      <c r="X1169" s="36">
        <f>IFERROR(W1169/$AD1169,0)</f>
        <v>0</v>
      </c>
      <c r="Y1169" s="35"/>
      <c r="Z1169" s="36">
        <f>IFERROR(Y1169/$AC1169,0)</f>
        <v>0</v>
      </c>
      <c r="AA1169" s="38"/>
      <c r="AB1169" s="36">
        <f>IFERROR(AA1169/$AD1169,0)</f>
        <v>0</v>
      </c>
      <c r="AC1169" s="35"/>
      <c r="AD1169" s="38"/>
    </row>
    <row r="1170" spans="1:30" ht="15.75" customHeight="1" x14ac:dyDescent="0.25">
      <c r="A1170" s="37">
        <v>2016</v>
      </c>
      <c r="B1170" s="35">
        <v>170930</v>
      </c>
      <c r="C1170" s="34" t="s">
        <v>150</v>
      </c>
      <c r="D1170" s="34" t="s">
        <v>61</v>
      </c>
      <c r="E1170" s="35"/>
      <c r="F1170" s="36">
        <f>IFERROR(E1170/$AC1170,0)</f>
        <v>0</v>
      </c>
      <c r="G1170" s="38"/>
      <c r="H1170" s="36">
        <f>IFERROR(G1170/$AD1170,0)</f>
        <v>0</v>
      </c>
      <c r="I1170" s="35"/>
      <c r="J1170" s="36">
        <f>IFERROR(I1170/$AC1170,0)</f>
        <v>0</v>
      </c>
      <c r="K1170" s="38"/>
      <c r="L1170" s="36">
        <f>IFERROR(K1170/$AD1170,0)</f>
        <v>0</v>
      </c>
      <c r="M1170" s="35"/>
      <c r="N1170" s="36">
        <f>IFERROR(M1170/$AC1170,0)</f>
        <v>0</v>
      </c>
      <c r="O1170" s="38"/>
      <c r="P1170" s="36">
        <f>IFERROR(O1170/$AD1170,0)</f>
        <v>0</v>
      </c>
      <c r="Q1170" s="35"/>
      <c r="R1170" s="36">
        <f>IFERROR(Q1170/$AC1170,0)</f>
        <v>0</v>
      </c>
      <c r="S1170" s="38"/>
      <c r="T1170" s="36">
        <f>IFERROR(S1170/$AD1170,0)</f>
        <v>0</v>
      </c>
      <c r="U1170" s="35"/>
      <c r="V1170" s="36">
        <f>IFERROR(U1170/$AC1170,0)</f>
        <v>0</v>
      </c>
      <c r="W1170" s="38"/>
      <c r="X1170" s="36">
        <f>IFERROR(W1170/$AD1170,0)</f>
        <v>0</v>
      </c>
      <c r="Y1170" s="35"/>
      <c r="Z1170" s="36">
        <f>IFERROR(Y1170/$AC1170,0)</f>
        <v>0</v>
      </c>
      <c r="AA1170" s="38"/>
      <c r="AB1170" s="36">
        <f>IFERROR(AA1170/$AD1170,0)</f>
        <v>0</v>
      </c>
      <c r="AC1170" s="35"/>
      <c r="AD1170" s="38"/>
    </row>
    <row r="1171" spans="1:30" ht="15.75" customHeight="1" x14ac:dyDescent="0.25">
      <c r="A1171" s="37">
        <v>2016</v>
      </c>
      <c r="B1171" s="35">
        <v>170950</v>
      </c>
      <c r="C1171" s="34" t="s">
        <v>146</v>
      </c>
      <c r="D1171" s="34" t="s">
        <v>62</v>
      </c>
      <c r="E1171" s="35"/>
      <c r="F1171" s="36">
        <f>IFERROR(E1171/$AC1171,0)</f>
        <v>0</v>
      </c>
      <c r="G1171" s="38"/>
      <c r="H1171" s="36">
        <f>IFERROR(G1171/$AD1171,0)</f>
        <v>0</v>
      </c>
      <c r="I1171" s="35"/>
      <c r="J1171" s="36">
        <f>IFERROR(I1171/$AC1171,0)</f>
        <v>0</v>
      </c>
      <c r="K1171" s="38"/>
      <c r="L1171" s="36">
        <f>IFERROR(K1171/$AD1171,0)</f>
        <v>0</v>
      </c>
      <c r="M1171" s="35"/>
      <c r="N1171" s="36">
        <f>IFERROR(M1171/$AC1171,0)</f>
        <v>0</v>
      </c>
      <c r="O1171" s="39"/>
      <c r="P1171" s="36">
        <f>IFERROR(O1171/$AD1171,0)</f>
        <v>0</v>
      </c>
      <c r="Q1171" s="35"/>
      <c r="R1171" s="36">
        <f>IFERROR(Q1171/$AC1171,0)</f>
        <v>0</v>
      </c>
      <c r="S1171" s="38"/>
      <c r="T1171" s="36">
        <f>IFERROR(S1171/$AD1171,0)</f>
        <v>0</v>
      </c>
      <c r="U1171" s="35"/>
      <c r="V1171" s="36">
        <f>IFERROR(U1171/$AC1171,0)</f>
        <v>0</v>
      </c>
      <c r="W1171" s="38"/>
      <c r="X1171" s="36">
        <f>IFERROR(W1171/$AD1171,0)</f>
        <v>0</v>
      </c>
      <c r="Y1171" s="35"/>
      <c r="Z1171" s="36">
        <f>IFERROR(Y1171/$AC1171,0)</f>
        <v>0</v>
      </c>
      <c r="AA1171" s="38"/>
      <c r="AB1171" s="36">
        <f>IFERROR(AA1171/$AD1171,0)</f>
        <v>0</v>
      </c>
      <c r="AC1171" s="35"/>
      <c r="AD1171" s="39"/>
    </row>
    <row r="1172" spans="1:30" ht="15.75" customHeight="1" x14ac:dyDescent="0.25">
      <c r="A1172" s="37">
        <v>2016</v>
      </c>
      <c r="B1172" s="35">
        <v>170980</v>
      </c>
      <c r="C1172" s="34" t="s">
        <v>151</v>
      </c>
      <c r="D1172" s="34" t="s">
        <v>63</v>
      </c>
      <c r="E1172" s="35"/>
      <c r="F1172" s="36">
        <f>IFERROR(E1172/$AC1172,0)</f>
        <v>0</v>
      </c>
      <c r="G1172" s="38"/>
      <c r="H1172" s="36">
        <f>IFERROR(G1172/$AD1172,0)</f>
        <v>0</v>
      </c>
      <c r="I1172" s="35"/>
      <c r="J1172" s="36">
        <f>IFERROR(I1172/$AC1172,0)</f>
        <v>0</v>
      </c>
      <c r="K1172" s="38"/>
      <c r="L1172" s="36">
        <f>IFERROR(K1172/$AD1172,0)</f>
        <v>0</v>
      </c>
      <c r="M1172" s="35"/>
      <c r="N1172" s="36">
        <f>IFERROR(M1172/$AC1172,0)</f>
        <v>0</v>
      </c>
      <c r="O1172" s="38"/>
      <c r="P1172" s="36">
        <f>IFERROR(O1172/$AD1172,0)</f>
        <v>0</v>
      </c>
      <c r="Q1172" s="35"/>
      <c r="R1172" s="36">
        <f>IFERROR(Q1172/$AC1172,0)</f>
        <v>0</v>
      </c>
      <c r="S1172" s="38"/>
      <c r="T1172" s="36">
        <f>IFERROR(S1172/$AD1172,0)</f>
        <v>0</v>
      </c>
      <c r="U1172" s="35"/>
      <c r="V1172" s="36">
        <f>IFERROR(U1172/$AC1172,0)</f>
        <v>0</v>
      </c>
      <c r="W1172" s="38"/>
      <c r="X1172" s="36">
        <f>IFERROR(W1172/$AD1172,0)</f>
        <v>0</v>
      </c>
      <c r="Y1172" s="35"/>
      <c r="Z1172" s="36">
        <f>IFERROR(Y1172/$AC1172,0)</f>
        <v>0</v>
      </c>
      <c r="AA1172" s="38"/>
      <c r="AB1172" s="36">
        <f>IFERROR(AA1172/$AD1172,0)</f>
        <v>0</v>
      </c>
      <c r="AC1172" s="35"/>
      <c r="AD1172" s="38"/>
    </row>
    <row r="1173" spans="1:30" ht="15.75" customHeight="1" x14ac:dyDescent="0.25">
      <c r="A1173" s="37">
        <v>2016</v>
      </c>
      <c r="B1173" s="35">
        <v>171050</v>
      </c>
      <c r="C1173" s="34" t="s">
        <v>150</v>
      </c>
      <c r="D1173" s="34" t="s">
        <v>64</v>
      </c>
      <c r="E1173" s="35"/>
      <c r="F1173" s="36">
        <f>IFERROR(E1173/$AC1173,0)</f>
        <v>0</v>
      </c>
      <c r="G1173" s="38"/>
      <c r="H1173" s="36">
        <f>IFERROR(G1173/$AD1173,0)</f>
        <v>0</v>
      </c>
      <c r="I1173" s="35"/>
      <c r="J1173" s="36">
        <f>IFERROR(I1173/$AC1173,0)</f>
        <v>0</v>
      </c>
      <c r="K1173" s="38"/>
      <c r="L1173" s="36">
        <f>IFERROR(K1173/$AD1173,0)</f>
        <v>0</v>
      </c>
      <c r="M1173" s="35"/>
      <c r="N1173" s="36">
        <f>IFERROR(M1173/$AC1173,0)</f>
        <v>0</v>
      </c>
      <c r="O1173" s="38"/>
      <c r="P1173" s="36">
        <f>IFERROR(O1173/$AD1173,0)</f>
        <v>0</v>
      </c>
      <c r="Q1173" s="35"/>
      <c r="R1173" s="36">
        <f>IFERROR(Q1173/$AC1173,0)</f>
        <v>0</v>
      </c>
      <c r="S1173" s="38"/>
      <c r="T1173" s="36">
        <f>IFERROR(S1173/$AD1173,0)</f>
        <v>0</v>
      </c>
      <c r="U1173" s="35"/>
      <c r="V1173" s="36">
        <f>IFERROR(U1173/$AC1173,0)</f>
        <v>0</v>
      </c>
      <c r="W1173" s="38"/>
      <c r="X1173" s="36">
        <f>IFERROR(W1173/$AD1173,0)</f>
        <v>0</v>
      </c>
      <c r="Y1173" s="35"/>
      <c r="Z1173" s="36">
        <f>IFERROR(Y1173/$AC1173,0)</f>
        <v>0</v>
      </c>
      <c r="AA1173" s="38"/>
      <c r="AB1173" s="36">
        <f>IFERROR(AA1173/$AD1173,0)</f>
        <v>0</v>
      </c>
      <c r="AC1173" s="35"/>
      <c r="AD1173" s="38"/>
    </row>
    <row r="1174" spans="1:30" ht="15.75" customHeight="1" x14ac:dyDescent="0.25">
      <c r="A1174" s="37">
        <v>2016</v>
      </c>
      <c r="B1174" s="35">
        <v>171070</v>
      </c>
      <c r="C1174" s="34" t="s">
        <v>145</v>
      </c>
      <c r="D1174" s="34" t="s">
        <v>65</v>
      </c>
      <c r="E1174" s="35"/>
      <c r="F1174" s="36">
        <f>IFERROR(E1174/$AC1174,0)</f>
        <v>0</v>
      </c>
      <c r="G1174" s="38"/>
      <c r="H1174" s="36">
        <f>IFERROR(G1174/$AD1174,0)</f>
        <v>0</v>
      </c>
      <c r="I1174" s="35"/>
      <c r="J1174" s="36">
        <f>IFERROR(I1174/$AC1174,0)</f>
        <v>0</v>
      </c>
      <c r="K1174" s="38"/>
      <c r="L1174" s="36">
        <f>IFERROR(K1174/$AD1174,0)</f>
        <v>0</v>
      </c>
      <c r="M1174" s="35"/>
      <c r="N1174" s="36">
        <f>IFERROR(M1174/$AC1174,0)</f>
        <v>0</v>
      </c>
      <c r="O1174" s="38"/>
      <c r="P1174" s="36">
        <f>IFERROR(O1174/$AD1174,0)</f>
        <v>0</v>
      </c>
      <c r="Q1174" s="35"/>
      <c r="R1174" s="36">
        <f>IFERROR(Q1174/$AC1174,0)</f>
        <v>0</v>
      </c>
      <c r="S1174" s="38"/>
      <c r="T1174" s="36">
        <f>IFERROR(S1174/$AD1174,0)</f>
        <v>0</v>
      </c>
      <c r="U1174" s="35"/>
      <c r="V1174" s="36">
        <f>IFERROR(U1174/$AC1174,0)</f>
        <v>0</v>
      </c>
      <c r="W1174" s="38"/>
      <c r="X1174" s="36">
        <f>IFERROR(W1174/$AD1174,0)</f>
        <v>0</v>
      </c>
      <c r="Y1174" s="35"/>
      <c r="Z1174" s="36">
        <f>IFERROR(Y1174/$AC1174,0)</f>
        <v>0</v>
      </c>
      <c r="AA1174" s="38"/>
      <c r="AB1174" s="36">
        <f>IFERROR(AA1174/$AD1174,0)</f>
        <v>0</v>
      </c>
      <c r="AC1174" s="35"/>
      <c r="AD1174" s="38"/>
    </row>
    <row r="1175" spans="1:30" ht="15.75" customHeight="1" x14ac:dyDescent="0.25">
      <c r="A1175" s="37">
        <v>2016</v>
      </c>
      <c r="B1175" s="35">
        <v>171090</v>
      </c>
      <c r="C1175" s="34" t="s">
        <v>150</v>
      </c>
      <c r="D1175" s="34" t="s">
        <v>66</v>
      </c>
      <c r="E1175" s="35"/>
      <c r="F1175" s="36">
        <f>IFERROR(E1175/$AC1175,0)</f>
        <v>0</v>
      </c>
      <c r="G1175" s="38"/>
      <c r="H1175" s="36">
        <f>IFERROR(G1175/$AD1175,0)</f>
        <v>0</v>
      </c>
      <c r="I1175" s="35"/>
      <c r="J1175" s="36">
        <f>IFERROR(I1175/$AC1175,0)</f>
        <v>0</v>
      </c>
      <c r="K1175" s="38"/>
      <c r="L1175" s="36">
        <f>IFERROR(K1175/$AD1175,0)</f>
        <v>0</v>
      </c>
      <c r="M1175" s="35"/>
      <c r="N1175" s="36">
        <f>IFERROR(M1175/$AC1175,0)</f>
        <v>0</v>
      </c>
      <c r="O1175" s="38"/>
      <c r="P1175" s="36">
        <f>IFERROR(O1175/$AD1175,0)</f>
        <v>0</v>
      </c>
      <c r="Q1175" s="35"/>
      <c r="R1175" s="36">
        <f>IFERROR(Q1175/$AC1175,0)</f>
        <v>0</v>
      </c>
      <c r="S1175" s="38"/>
      <c r="T1175" s="36">
        <f>IFERROR(S1175/$AD1175,0)</f>
        <v>0</v>
      </c>
      <c r="U1175" s="35"/>
      <c r="V1175" s="36">
        <f>IFERROR(U1175/$AC1175,0)</f>
        <v>0</v>
      </c>
      <c r="W1175" s="38"/>
      <c r="X1175" s="36">
        <f>IFERROR(W1175/$AD1175,0)</f>
        <v>0</v>
      </c>
      <c r="Y1175" s="35"/>
      <c r="Z1175" s="36">
        <f>IFERROR(Y1175/$AC1175,0)</f>
        <v>0</v>
      </c>
      <c r="AA1175" s="38"/>
      <c r="AB1175" s="36">
        <f>IFERROR(AA1175/$AD1175,0)</f>
        <v>0</v>
      </c>
      <c r="AC1175" s="35"/>
      <c r="AD1175" s="38"/>
    </row>
    <row r="1176" spans="1:30" ht="15.75" customHeight="1" x14ac:dyDescent="0.25">
      <c r="A1176" s="37">
        <v>2016</v>
      </c>
      <c r="B1176" s="35">
        <v>171110</v>
      </c>
      <c r="C1176" s="34" t="s">
        <v>150</v>
      </c>
      <c r="D1176" s="34" t="s">
        <v>67</v>
      </c>
      <c r="E1176" s="35"/>
      <c r="F1176" s="36">
        <f>IFERROR(E1176/$AC1176,0)</f>
        <v>0</v>
      </c>
      <c r="G1176" s="38"/>
      <c r="H1176" s="36">
        <f>IFERROR(G1176/$AD1176,0)</f>
        <v>0</v>
      </c>
      <c r="I1176" s="35"/>
      <c r="J1176" s="36">
        <f>IFERROR(I1176/$AC1176,0)</f>
        <v>0</v>
      </c>
      <c r="K1176" s="38"/>
      <c r="L1176" s="36">
        <f>IFERROR(K1176/$AD1176,0)</f>
        <v>0</v>
      </c>
      <c r="M1176" s="35"/>
      <c r="N1176" s="36">
        <f>IFERROR(M1176/$AC1176,0)</f>
        <v>0</v>
      </c>
      <c r="O1176" s="38"/>
      <c r="P1176" s="36">
        <f>IFERROR(O1176/$AD1176,0)</f>
        <v>0</v>
      </c>
      <c r="Q1176" s="35"/>
      <c r="R1176" s="36">
        <f>IFERROR(Q1176/$AC1176,0)</f>
        <v>0</v>
      </c>
      <c r="S1176" s="38"/>
      <c r="T1176" s="36">
        <f>IFERROR(S1176/$AD1176,0)</f>
        <v>0</v>
      </c>
      <c r="U1176" s="35"/>
      <c r="V1176" s="36">
        <f>IFERROR(U1176/$AC1176,0)</f>
        <v>0</v>
      </c>
      <c r="W1176" s="38"/>
      <c r="X1176" s="36">
        <f>IFERROR(W1176/$AD1176,0)</f>
        <v>0</v>
      </c>
      <c r="Y1176" s="35"/>
      <c r="Z1176" s="36">
        <f>IFERROR(Y1176/$AC1176,0)</f>
        <v>0</v>
      </c>
      <c r="AA1176" s="38"/>
      <c r="AB1176" s="36">
        <f>IFERROR(AA1176/$AD1176,0)</f>
        <v>0</v>
      </c>
      <c r="AC1176" s="35"/>
      <c r="AD1176" s="38"/>
    </row>
    <row r="1177" spans="1:30" ht="15.75" customHeight="1" x14ac:dyDescent="0.25">
      <c r="A1177" s="37">
        <v>2016</v>
      </c>
      <c r="B1177" s="35">
        <v>171150</v>
      </c>
      <c r="C1177" s="34" t="s">
        <v>146</v>
      </c>
      <c r="D1177" s="34" t="s">
        <v>68</v>
      </c>
      <c r="E1177" s="35"/>
      <c r="F1177" s="36">
        <f>IFERROR(E1177/$AC1177,0)</f>
        <v>0</v>
      </c>
      <c r="G1177" s="38"/>
      <c r="H1177" s="36">
        <f>IFERROR(G1177/$AD1177,0)</f>
        <v>0</v>
      </c>
      <c r="I1177" s="35"/>
      <c r="J1177" s="36">
        <f>IFERROR(I1177/$AC1177,0)</f>
        <v>0</v>
      </c>
      <c r="K1177" s="38"/>
      <c r="L1177" s="36">
        <f>IFERROR(K1177/$AD1177,0)</f>
        <v>0</v>
      </c>
      <c r="M1177" s="35"/>
      <c r="N1177" s="36">
        <f>IFERROR(M1177/$AC1177,0)</f>
        <v>0</v>
      </c>
      <c r="O1177" s="38"/>
      <c r="P1177" s="36">
        <f>IFERROR(O1177/$AD1177,0)</f>
        <v>0</v>
      </c>
      <c r="Q1177" s="35"/>
      <c r="R1177" s="36">
        <f>IFERROR(Q1177/$AC1177,0)</f>
        <v>0</v>
      </c>
      <c r="S1177" s="38"/>
      <c r="T1177" s="36">
        <f>IFERROR(S1177/$AD1177,0)</f>
        <v>0</v>
      </c>
      <c r="U1177" s="35"/>
      <c r="V1177" s="36">
        <f>IFERROR(U1177/$AC1177,0)</f>
        <v>0</v>
      </c>
      <c r="W1177" s="38"/>
      <c r="X1177" s="36">
        <f>IFERROR(W1177/$AD1177,0)</f>
        <v>0</v>
      </c>
      <c r="Y1177" s="35"/>
      <c r="Z1177" s="36">
        <f>IFERROR(Y1177/$AC1177,0)</f>
        <v>0</v>
      </c>
      <c r="AA1177" s="38"/>
      <c r="AB1177" s="36">
        <f>IFERROR(AA1177/$AD1177,0)</f>
        <v>0</v>
      </c>
      <c r="AC1177" s="35"/>
      <c r="AD1177" s="38"/>
    </row>
    <row r="1178" spans="1:30" ht="15.75" customHeight="1" x14ac:dyDescent="0.25">
      <c r="A1178" s="37">
        <v>2016</v>
      </c>
      <c r="B1178" s="35">
        <v>171180</v>
      </c>
      <c r="C1178" s="34" t="s">
        <v>150</v>
      </c>
      <c r="D1178" s="34" t="s">
        <v>69</v>
      </c>
      <c r="E1178" s="35"/>
      <c r="F1178" s="36">
        <f>IFERROR(E1178/$AC1178,0)</f>
        <v>0</v>
      </c>
      <c r="G1178" s="38"/>
      <c r="H1178" s="36">
        <f>IFERROR(G1178/$AD1178,0)</f>
        <v>0</v>
      </c>
      <c r="I1178" s="35"/>
      <c r="J1178" s="36">
        <f>IFERROR(I1178/$AC1178,0)</f>
        <v>0</v>
      </c>
      <c r="K1178" s="38"/>
      <c r="L1178" s="36">
        <f>IFERROR(K1178/$AD1178,0)</f>
        <v>0</v>
      </c>
      <c r="M1178" s="35"/>
      <c r="N1178" s="36">
        <f>IFERROR(M1178/$AC1178,0)</f>
        <v>0</v>
      </c>
      <c r="O1178" s="38"/>
      <c r="P1178" s="36">
        <f>IFERROR(O1178/$AD1178,0)</f>
        <v>0</v>
      </c>
      <c r="Q1178" s="35"/>
      <c r="R1178" s="36">
        <f>IFERROR(Q1178/$AC1178,0)</f>
        <v>0</v>
      </c>
      <c r="S1178" s="38"/>
      <c r="T1178" s="36">
        <f>IFERROR(S1178/$AD1178,0)</f>
        <v>0</v>
      </c>
      <c r="U1178" s="35"/>
      <c r="V1178" s="36">
        <f>IFERROR(U1178/$AC1178,0)</f>
        <v>0</v>
      </c>
      <c r="W1178" s="38"/>
      <c r="X1178" s="36">
        <f>IFERROR(W1178/$AD1178,0)</f>
        <v>0</v>
      </c>
      <c r="Y1178" s="35"/>
      <c r="Z1178" s="36">
        <f>IFERROR(Y1178/$AC1178,0)</f>
        <v>0</v>
      </c>
      <c r="AA1178" s="38"/>
      <c r="AB1178" s="36">
        <f>IFERROR(AA1178/$AD1178,0)</f>
        <v>0</v>
      </c>
      <c r="AC1178" s="35"/>
      <c r="AD1178" s="38"/>
    </row>
    <row r="1179" spans="1:30" ht="15.75" customHeight="1" x14ac:dyDescent="0.25">
      <c r="A1179" s="37">
        <v>2016</v>
      </c>
      <c r="B1179" s="35">
        <v>171190</v>
      </c>
      <c r="C1179" s="34" t="s">
        <v>144</v>
      </c>
      <c r="D1179" s="34" t="s">
        <v>70</v>
      </c>
      <c r="E1179" s="35"/>
      <c r="F1179" s="36">
        <f>IFERROR(E1179/$AC1179,0)</f>
        <v>0</v>
      </c>
      <c r="G1179" s="38"/>
      <c r="H1179" s="36">
        <f>IFERROR(G1179/$AD1179,0)</f>
        <v>0</v>
      </c>
      <c r="I1179" s="35"/>
      <c r="J1179" s="36">
        <f>IFERROR(I1179/$AC1179,0)</f>
        <v>0</v>
      </c>
      <c r="K1179" s="38"/>
      <c r="L1179" s="36">
        <f>IFERROR(K1179/$AD1179,0)</f>
        <v>0</v>
      </c>
      <c r="M1179" s="35"/>
      <c r="N1179" s="36">
        <f>IFERROR(M1179/$AC1179,0)</f>
        <v>0</v>
      </c>
      <c r="O1179" s="38"/>
      <c r="P1179" s="36">
        <f>IFERROR(O1179/$AD1179,0)</f>
        <v>0</v>
      </c>
      <c r="Q1179" s="35"/>
      <c r="R1179" s="36">
        <f>IFERROR(Q1179/$AC1179,0)</f>
        <v>0</v>
      </c>
      <c r="S1179" s="38"/>
      <c r="T1179" s="36">
        <f>IFERROR(S1179/$AD1179,0)</f>
        <v>0</v>
      </c>
      <c r="U1179" s="35"/>
      <c r="V1179" s="36">
        <f>IFERROR(U1179/$AC1179,0)</f>
        <v>0</v>
      </c>
      <c r="W1179" s="38"/>
      <c r="X1179" s="36">
        <f>IFERROR(W1179/$AD1179,0)</f>
        <v>0</v>
      </c>
      <c r="Y1179" s="35"/>
      <c r="Z1179" s="36">
        <f>IFERROR(Y1179/$AC1179,0)</f>
        <v>0</v>
      </c>
      <c r="AA1179" s="38"/>
      <c r="AB1179" s="36">
        <f>IFERROR(AA1179/$AD1179,0)</f>
        <v>0</v>
      </c>
      <c r="AC1179" s="35"/>
      <c r="AD1179" s="38"/>
    </row>
    <row r="1180" spans="1:30" ht="15.75" customHeight="1" x14ac:dyDescent="0.25">
      <c r="A1180" s="37">
        <v>2016</v>
      </c>
      <c r="B1180" s="35">
        <v>171195</v>
      </c>
      <c r="C1180" s="34" t="s">
        <v>148</v>
      </c>
      <c r="D1180" s="34" t="s">
        <v>71</v>
      </c>
      <c r="E1180" s="35"/>
      <c r="F1180" s="36">
        <f>IFERROR(E1180/$AC1180,0)</f>
        <v>0</v>
      </c>
      <c r="G1180" s="38"/>
      <c r="H1180" s="36">
        <f>IFERROR(G1180/$AD1180,0)</f>
        <v>0</v>
      </c>
      <c r="I1180" s="35"/>
      <c r="J1180" s="36">
        <f>IFERROR(I1180/$AC1180,0)</f>
        <v>0</v>
      </c>
      <c r="K1180" s="38"/>
      <c r="L1180" s="36">
        <f>IFERROR(K1180/$AD1180,0)</f>
        <v>0</v>
      </c>
      <c r="M1180" s="35"/>
      <c r="N1180" s="36">
        <f>IFERROR(M1180/$AC1180,0)</f>
        <v>0</v>
      </c>
      <c r="O1180" s="38"/>
      <c r="P1180" s="36">
        <f>IFERROR(O1180/$AD1180,0)</f>
        <v>0</v>
      </c>
      <c r="Q1180" s="35"/>
      <c r="R1180" s="36">
        <f>IFERROR(Q1180/$AC1180,0)</f>
        <v>0</v>
      </c>
      <c r="S1180" s="38"/>
      <c r="T1180" s="36">
        <f>IFERROR(S1180/$AD1180,0)</f>
        <v>0</v>
      </c>
      <c r="U1180" s="35"/>
      <c r="V1180" s="36">
        <f>IFERROR(U1180/$AC1180,0)</f>
        <v>0</v>
      </c>
      <c r="W1180" s="38"/>
      <c r="X1180" s="36">
        <f>IFERROR(W1180/$AD1180,0)</f>
        <v>0</v>
      </c>
      <c r="Y1180" s="35"/>
      <c r="Z1180" s="36">
        <f>IFERROR(Y1180/$AC1180,0)</f>
        <v>0</v>
      </c>
      <c r="AA1180" s="38"/>
      <c r="AB1180" s="36">
        <f>IFERROR(AA1180/$AD1180,0)</f>
        <v>0</v>
      </c>
      <c r="AC1180" s="35"/>
      <c r="AD1180" s="38"/>
    </row>
    <row r="1181" spans="1:30" ht="15.75" customHeight="1" x14ac:dyDescent="0.25">
      <c r="A1181" s="37">
        <v>2016</v>
      </c>
      <c r="B1181" s="35">
        <v>171200</v>
      </c>
      <c r="C1181" s="34" t="s">
        <v>148</v>
      </c>
      <c r="D1181" s="34" t="s">
        <v>72</v>
      </c>
      <c r="E1181" s="35"/>
      <c r="F1181" s="36">
        <f>IFERROR(E1181/$AC1181,0)</f>
        <v>0</v>
      </c>
      <c r="G1181" s="38"/>
      <c r="H1181" s="36">
        <f>IFERROR(G1181/$AD1181,0)</f>
        <v>0</v>
      </c>
      <c r="I1181" s="35"/>
      <c r="J1181" s="36">
        <f>IFERROR(I1181/$AC1181,0)</f>
        <v>0</v>
      </c>
      <c r="K1181" s="38"/>
      <c r="L1181" s="36">
        <f>IFERROR(K1181/$AD1181,0)</f>
        <v>0</v>
      </c>
      <c r="M1181" s="35"/>
      <c r="N1181" s="36">
        <f>IFERROR(M1181/$AC1181,0)</f>
        <v>0</v>
      </c>
      <c r="O1181" s="38"/>
      <c r="P1181" s="36">
        <f>IFERROR(O1181/$AD1181,0)</f>
        <v>0</v>
      </c>
      <c r="Q1181" s="35"/>
      <c r="R1181" s="36">
        <f>IFERROR(Q1181/$AC1181,0)</f>
        <v>0</v>
      </c>
      <c r="S1181" s="38"/>
      <c r="T1181" s="36">
        <f>IFERROR(S1181/$AD1181,0)</f>
        <v>0</v>
      </c>
      <c r="U1181" s="35"/>
      <c r="V1181" s="36">
        <f>IFERROR(U1181/$AC1181,0)</f>
        <v>0</v>
      </c>
      <c r="W1181" s="38"/>
      <c r="X1181" s="36">
        <f>IFERROR(W1181/$AD1181,0)</f>
        <v>0</v>
      </c>
      <c r="Y1181" s="35"/>
      <c r="Z1181" s="36">
        <f>IFERROR(Y1181/$AC1181,0)</f>
        <v>0</v>
      </c>
      <c r="AA1181" s="38"/>
      <c r="AB1181" s="36">
        <f>IFERROR(AA1181/$AD1181,0)</f>
        <v>0</v>
      </c>
      <c r="AC1181" s="35"/>
      <c r="AD1181" s="38"/>
    </row>
    <row r="1182" spans="1:30" ht="15.75" customHeight="1" x14ac:dyDescent="0.25">
      <c r="A1182" s="37">
        <v>2016</v>
      </c>
      <c r="B1182" s="35">
        <v>171215</v>
      </c>
      <c r="C1182" s="34" t="s">
        <v>147</v>
      </c>
      <c r="D1182" s="34" t="s">
        <v>73</v>
      </c>
      <c r="E1182" s="35"/>
      <c r="F1182" s="36">
        <f>IFERROR(E1182/$AC1182,0)</f>
        <v>0</v>
      </c>
      <c r="G1182" s="38"/>
      <c r="H1182" s="36">
        <f>IFERROR(G1182/$AD1182,0)</f>
        <v>0</v>
      </c>
      <c r="I1182" s="35"/>
      <c r="J1182" s="36">
        <f>IFERROR(I1182/$AC1182,0)</f>
        <v>0</v>
      </c>
      <c r="K1182" s="38"/>
      <c r="L1182" s="36">
        <f>IFERROR(K1182/$AD1182,0)</f>
        <v>0</v>
      </c>
      <c r="M1182" s="35"/>
      <c r="N1182" s="36">
        <f>IFERROR(M1182/$AC1182,0)</f>
        <v>0</v>
      </c>
      <c r="O1182" s="38"/>
      <c r="P1182" s="36">
        <f>IFERROR(O1182/$AD1182,0)</f>
        <v>0</v>
      </c>
      <c r="Q1182" s="35"/>
      <c r="R1182" s="36">
        <f>IFERROR(Q1182/$AC1182,0)</f>
        <v>0</v>
      </c>
      <c r="S1182" s="38"/>
      <c r="T1182" s="36">
        <f>IFERROR(S1182/$AD1182,0)</f>
        <v>0</v>
      </c>
      <c r="U1182" s="35"/>
      <c r="V1182" s="36">
        <f>IFERROR(U1182/$AC1182,0)</f>
        <v>0</v>
      </c>
      <c r="W1182" s="38"/>
      <c r="X1182" s="36">
        <f>IFERROR(W1182/$AD1182,0)</f>
        <v>0</v>
      </c>
      <c r="Y1182" s="35"/>
      <c r="Z1182" s="36">
        <f>IFERROR(Y1182/$AC1182,0)</f>
        <v>0</v>
      </c>
      <c r="AA1182" s="38"/>
      <c r="AB1182" s="36">
        <f>IFERROR(AA1182/$AD1182,0)</f>
        <v>0</v>
      </c>
      <c r="AC1182" s="35"/>
      <c r="AD1182" s="38"/>
    </row>
    <row r="1183" spans="1:30" ht="15.75" customHeight="1" x14ac:dyDescent="0.25">
      <c r="A1183" s="37">
        <v>2016</v>
      </c>
      <c r="B1183" s="35">
        <v>171240</v>
      </c>
      <c r="C1183" s="34" t="s">
        <v>148</v>
      </c>
      <c r="D1183" s="34" t="s">
        <v>74</v>
      </c>
      <c r="E1183" s="35"/>
      <c r="F1183" s="36">
        <f>IFERROR(E1183/$AC1183,0)</f>
        <v>0</v>
      </c>
      <c r="G1183" s="38"/>
      <c r="H1183" s="36">
        <f>IFERROR(G1183/$AD1183,0)</f>
        <v>0</v>
      </c>
      <c r="I1183" s="35"/>
      <c r="J1183" s="36">
        <f>IFERROR(I1183/$AC1183,0)</f>
        <v>0</v>
      </c>
      <c r="K1183" s="38"/>
      <c r="L1183" s="36">
        <f>IFERROR(K1183/$AD1183,0)</f>
        <v>0</v>
      </c>
      <c r="M1183" s="35"/>
      <c r="N1183" s="36">
        <f>IFERROR(M1183/$AC1183,0)</f>
        <v>0</v>
      </c>
      <c r="O1183" s="38"/>
      <c r="P1183" s="36">
        <f>IFERROR(O1183/$AD1183,0)</f>
        <v>0</v>
      </c>
      <c r="Q1183" s="35"/>
      <c r="R1183" s="36">
        <f>IFERROR(Q1183/$AC1183,0)</f>
        <v>0</v>
      </c>
      <c r="S1183" s="38"/>
      <c r="T1183" s="36">
        <f>IFERROR(S1183/$AD1183,0)</f>
        <v>0</v>
      </c>
      <c r="U1183" s="35"/>
      <c r="V1183" s="36">
        <f>IFERROR(U1183/$AC1183,0)</f>
        <v>0</v>
      </c>
      <c r="W1183" s="38"/>
      <c r="X1183" s="36">
        <f>IFERROR(W1183/$AD1183,0)</f>
        <v>0</v>
      </c>
      <c r="Y1183" s="35"/>
      <c r="Z1183" s="36">
        <f>IFERROR(Y1183/$AC1183,0)</f>
        <v>0</v>
      </c>
      <c r="AA1183" s="38"/>
      <c r="AB1183" s="36">
        <f>IFERROR(AA1183/$AD1183,0)</f>
        <v>0</v>
      </c>
      <c r="AC1183" s="35"/>
      <c r="AD1183" s="38"/>
    </row>
    <row r="1184" spans="1:30" ht="15.75" customHeight="1" x14ac:dyDescent="0.25">
      <c r="A1184" s="37">
        <v>2016</v>
      </c>
      <c r="B1184" s="35">
        <v>171245</v>
      </c>
      <c r="C1184" s="34" t="s">
        <v>145</v>
      </c>
      <c r="D1184" s="34" t="s">
        <v>75</v>
      </c>
      <c r="E1184" s="35"/>
      <c r="F1184" s="36">
        <f>IFERROR(E1184/$AC1184,0)</f>
        <v>0</v>
      </c>
      <c r="G1184" s="38"/>
      <c r="H1184" s="36">
        <f>IFERROR(G1184/$AD1184,0)</f>
        <v>0</v>
      </c>
      <c r="I1184" s="35"/>
      <c r="J1184" s="36">
        <f>IFERROR(I1184/$AC1184,0)</f>
        <v>0</v>
      </c>
      <c r="K1184" s="38"/>
      <c r="L1184" s="36">
        <f>IFERROR(K1184/$AD1184,0)</f>
        <v>0</v>
      </c>
      <c r="M1184" s="35"/>
      <c r="N1184" s="36">
        <f>IFERROR(M1184/$AC1184,0)</f>
        <v>0</v>
      </c>
      <c r="O1184" s="38"/>
      <c r="P1184" s="36">
        <f>IFERROR(O1184/$AD1184,0)</f>
        <v>0</v>
      </c>
      <c r="Q1184" s="35"/>
      <c r="R1184" s="36">
        <f>IFERROR(Q1184/$AC1184,0)</f>
        <v>0</v>
      </c>
      <c r="S1184" s="38"/>
      <c r="T1184" s="36">
        <f>IFERROR(S1184/$AD1184,0)</f>
        <v>0</v>
      </c>
      <c r="U1184" s="35"/>
      <c r="V1184" s="36">
        <f>IFERROR(U1184/$AC1184,0)</f>
        <v>0</v>
      </c>
      <c r="W1184" s="38"/>
      <c r="X1184" s="36">
        <f>IFERROR(W1184/$AD1184,0)</f>
        <v>0</v>
      </c>
      <c r="Y1184" s="35"/>
      <c r="Z1184" s="36">
        <f>IFERROR(Y1184/$AC1184,0)</f>
        <v>0</v>
      </c>
      <c r="AA1184" s="38"/>
      <c r="AB1184" s="36">
        <f>IFERROR(AA1184/$AD1184,0)</f>
        <v>0</v>
      </c>
      <c r="AC1184" s="35"/>
      <c r="AD1184" s="38"/>
    </row>
    <row r="1185" spans="1:30" ht="15.75" customHeight="1" x14ac:dyDescent="0.25">
      <c r="A1185" s="37">
        <v>2016</v>
      </c>
      <c r="B1185" s="35">
        <v>171250</v>
      </c>
      <c r="C1185" s="34" t="s">
        <v>144</v>
      </c>
      <c r="D1185" s="34" t="s">
        <v>76</v>
      </c>
      <c r="E1185" s="35"/>
      <c r="F1185" s="36">
        <f>IFERROR(E1185/$AC1185,0)</f>
        <v>0</v>
      </c>
      <c r="G1185" s="38"/>
      <c r="H1185" s="36">
        <f>IFERROR(G1185/$AD1185,0)</f>
        <v>0</v>
      </c>
      <c r="I1185" s="35"/>
      <c r="J1185" s="36">
        <f>IFERROR(I1185/$AC1185,0)</f>
        <v>0</v>
      </c>
      <c r="K1185" s="38"/>
      <c r="L1185" s="36">
        <f>IFERROR(K1185/$AD1185,0)</f>
        <v>0</v>
      </c>
      <c r="M1185" s="35"/>
      <c r="N1185" s="36">
        <f>IFERROR(M1185/$AC1185,0)</f>
        <v>0</v>
      </c>
      <c r="O1185" s="38"/>
      <c r="P1185" s="36">
        <f>IFERROR(O1185/$AD1185,0)</f>
        <v>0</v>
      </c>
      <c r="Q1185" s="35"/>
      <c r="R1185" s="36">
        <f>IFERROR(Q1185/$AC1185,0)</f>
        <v>0</v>
      </c>
      <c r="S1185" s="38"/>
      <c r="T1185" s="36">
        <f>IFERROR(S1185/$AD1185,0)</f>
        <v>0</v>
      </c>
      <c r="U1185" s="35"/>
      <c r="V1185" s="36">
        <f>IFERROR(U1185/$AC1185,0)</f>
        <v>0</v>
      </c>
      <c r="W1185" s="38"/>
      <c r="X1185" s="36">
        <f>IFERROR(W1185/$AD1185,0)</f>
        <v>0</v>
      </c>
      <c r="Y1185" s="35"/>
      <c r="Z1185" s="36">
        <f>IFERROR(Y1185/$AC1185,0)</f>
        <v>0</v>
      </c>
      <c r="AA1185" s="38"/>
      <c r="AB1185" s="36">
        <f>IFERROR(AA1185/$AD1185,0)</f>
        <v>0</v>
      </c>
      <c r="AC1185" s="35"/>
      <c r="AD1185" s="38"/>
    </row>
    <row r="1186" spans="1:30" ht="15.75" customHeight="1" x14ac:dyDescent="0.25">
      <c r="A1186" s="37">
        <v>2016</v>
      </c>
      <c r="B1186" s="35">
        <v>171270</v>
      </c>
      <c r="C1186" s="34" t="s">
        <v>151</v>
      </c>
      <c r="D1186" s="34" t="s">
        <v>77</v>
      </c>
      <c r="E1186" s="35"/>
      <c r="F1186" s="36">
        <f>IFERROR(E1186/$AC1186,0)</f>
        <v>0</v>
      </c>
      <c r="G1186" s="38"/>
      <c r="H1186" s="36">
        <f>IFERROR(G1186/$AD1186,0)</f>
        <v>0</v>
      </c>
      <c r="I1186" s="35"/>
      <c r="J1186" s="36">
        <f>IFERROR(I1186/$AC1186,0)</f>
        <v>0</v>
      </c>
      <c r="K1186" s="38"/>
      <c r="L1186" s="36">
        <f>IFERROR(K1186/$AD1186,0)</f>
        <v>0</v>
      </c>
      <c r="M1186" s="35"/>
      <c r="N1186" s="36">
        <f>IFERROR(M1186/$AC1186,0)</f>
        <v>0</v>
      </c>
      <c r="O1186" s="38"/>
      <c r="P1186" s="36">
        <f>IFERROR(O1186/$AD1186,0)</f>
        <v>0</v>
      </c>
      <c r="Q1186" s="35"/>
      <c r="R1186" s="36">
        <f>IFERROR(Q1186/$AC1186,0)</f>
        <v>0</v>
      </c>
      <c r="S1186" s="38"/>
      <c r="T1186" s="36">
        <f>IFERROR(S1186/$AD1186,0)</f>
        <v>0</v>
      </c>
      <c r="U1186" s="35"/>
      <c r="V1186" s="36">
        <f>IFERROR(U1186/$AC1186,0)</f>
        <v>0</v>
      </c>
      <c r="W1186" s="38"/>
      <c r="X1186" s="36">
        <f>IFERROR(W1186/$AD1186,0)</f>
        <v>0</v>
      </c>
      <c r="Y1186" s="35"/>
      <c r="Z1186" s="36">
        <f>IFERROR(Y1186/$AC1186,0)</f>
        <v>0</v>
      </c>
      <c r="AA1186" s="38"/>
      <c r="AB1186" s="36">
        <f>IFERROR(AA1186/$AD1186,0)</f>
        <v>0</v>
      </c>
      <c r="AC1186" s="35"/>
      <c r="AD1186" s="38"/>
    </row>
    <row r="1187" spans="1:30" ht="15.75" customHeight="1" x14ac:dyDescent="0.25">
      <c r="A1187" s="37">
        <v>2016</v>
      </c>
      <c r="B1187" s="35">
        <v>171280</v>
      </c>
      <c r="C1187" s="34" t="s">
        <v>145</v>
      </c>
      <c r="D1187" s="34" t="s">
        <v>78</v>
      </c>
      <c r="E1187" s="35"/>
      <c r="F1187" s="36">
        <f>IFERROR(E1187/$AC1187,0)</f>
        <v>0</v>
      </c>
      <c r="G1187" s="38"/>
      <c r="H1187" s="36">
        <f>IFERROR(G1187/$AD1187,0)</f>
        <v>0</v>
      </c>
      <c r="I1187" s="35"/>
      <c r="J1187" s="36">
        <f>IFERROR(I1187/$AC1187,0)</f>
        <v>0</v>
      </c>
      <c r="K1187" s="38"/>
      <c r="L1187" s="36">
        <f>IFERROR(K1187/$AD1187,0)</f>
        <v>0</v>
      </c>
      <c r="M1187" s="35"/>
      <c r="N1187" s="36">
        <f>IFERROR(M1187/$AC1187,0)</f>
        <v>0</v>
      </c>
      <c r="O1187" s="38"/>
      <c r="P1187" s="36">
        <f>IFERROR(O1187/$AD1187,0)</f>
        <v>0</v>
      </c>
      <c r="Q1187" s="35"/>
      <c r="R1187" s="36">
        <f>IFERROR(Q1187/$AC1187,0)</f>
        <v>0</v>
      </c>
      <c r="S1187" s="38"/>
      <c r="T1187" s="36">
        <f>IFERROR(S1187/$AD1187,0)</f>
        <v>0</v>
      </c>
      <c r="U1187" s="35"/>
      <c r="V1187" s="36">
        <f>IFERROR(U1187/$AC1187,0)</f>
        <v>0</v>
      </c>
      <c r="W1187" s="38"/>
      <c r="X1187" s="36">
        <f>IFERROR(W1187/$AD1187,0)</f>
        <v>0</v>
      </c>
      <c r="Y1187" s="35"/>
      <c r="Z1187" s="36">
        <f>IFERROR(Y1187/$AC1187,0)</f>
        <v>0</v>
      </c>
      <c r="AA1187" s="38"/>
      <c r="AB1187" s="36">
        <f>IFERROR(AA1187/$AD1187,0)</f>
        <v>0</v>
      </c>
      <c r="AC1187" s="35"/>
      <c r="AD1187" s="38"/>
    </row>
    <row r="1188" spans="1:30" ht="15.75" customHeight="1" x14ac:dyDescent="0.25">
      <c r="A1188" s="37">
        <v>2016</v>
      </c>
      <c r="B1188" s="35">
        <v>171320</v>
      </c>
      <c r="C1188" s="34" t="s">
        <v>148</v>
      </c>
      <c r="D1188" s="34" t="s">
        <v>79</v>
      </c>
      <c r="E1188" s="35"/>
      <c r="F1188" s="36">
        <f>IFERROR(E1188/$AC1188,0)</f>
        <v>0</v>
      </c>
      <c r="G1188" s="38"/>
      <c r="H1188" s="36">
        <f>IFERROR(G1188/$AD1188,0)</f>
        <v>0</v>
      </c>
      <c r="I1188" s="35"/>
      <c r="J1188" s="36">
        <f>IFERROR(I1188/$AC1188,0)</f>
        <v>0</v>
      </c>
      <c r="K1188" s="38"/>
      <c r="L1188" s="36">
        <f>IFERROR(K1188/$AD1188,0)</f>
        <v>0</v>
      </c>
      <c r="M1188" s="35"/>
      <c r="N1188" s="36">
        <f>IFERROR(M1188/$AC1188,0)</f>
        <v>0</v>
      </c>
      <c r="O1188" s="38"/>
      <c r="P1188" s="36">
        <f>IFERROR(O1188/$AD1188,0)</f>
        <v>0</v>
      </c>
      <c r="Q1188" s="35"/>
      <c r="R1188" s="36">
        <f>IFERROR(Q1188/$AC1188,0)</f>
        <v>0</v>
      </c>
      <c r="S1188" s="38"/>
      <c r="T1188" s="36">
        <f>IFERROR(S1188/$AD1188,0)</f>
        <v>0</v>
      </c>
      <c r="U1188" s="35"/>
      <c r="V1188" s="36">
        <f>IFERROR(U1188/$AC1188,0)</f>
        <v>0</v>
      </c>
      <c r="W1188" s="38"/>
      <c r="X1188" s="36">
        <f>IFERROR(W1188/$AD1188,0)</f>
        <v>0</v>
      </c>
      <c r="Y1188" s="35"/>
      <c r="Z1188" s="36">
        <f>IFERROR(Y1188/$AC1188,0)</f>
        <v>0</v>
      </c>
      <c r="AA1188" s="38"/>
      <c r="AB1188" s="36">
        <f>IFERROR(AA1188/$AD1188,0)</f>
        <v>0</v>
      </c>
      <c r="AC1188" s="35"/>
      <c r="AD1188" s="38"/>
    </row>
    <row r="1189" spans="1:30" ht="15.75" customHeight="1" x14ac:dyDescent="0.25">
      <c r="A1189" s="37">
        <v>2016</v>
      </c>
      <c r="B1189" s="35">
        <v>171330</v>
      </c>
      <c r="C1189" s="34" t="s">
        <v>148</v>
      </c>
      <c r="D1189" s="34" t="s">
        <v>80</v>
      </c>
      <c r="E1189" s="35"/>
      <c r="F1189" s="36">
        <f>IFERROR(E1189/$AC1189,0)</f>
        <v>0</v>
      </c>
      <c r="G1189" s="38"/>
      <c r="H1189" s="36">
        <f>IFERROR(G1189/$AD1189,0)</f>
        <v>0</v>
      </c>
      <c r="I1189" s="35"/>
      <c r="J1189" s="36">
        <f>IFERROR(I1189/$AC1189,0)</f>
        <v>0</v>
      </c>
      <c r="K1189" s="38"/>
      <c r="L1189" s="36">
        <f>IFERROR(K1189/$AD1189,0)</f>
        <v>0</v>
      </c>
      <c r="M1189" s="35"/>
      <c r="N1189" s="36">
        <f>IFERROR(M1189/$AC1189,0)</f>
        <v>0</v>
      </c>
      <c r="O1189" s="38"/>
      <c r="P1189" s="36">
        <f>IFERROR(O1189/$AD1189,0)</f>
        <v>0</v>
      </c>
      <c r="Q1189" s="35"/>
      <c r="R1189" s="36">
        <f>IFERROR(Q1189/$AC1189,0)</f>
        <v>0</v>
      </c>
      <c r="S1189" s="38"/>
      <c r="T1189" s="36">
        <f>IFERROR(S1189/$AD1189,0)</f>
        <v>0</v>
      </c>
      <c r="U1189" s="35"/>
      <c r="V1189" s="36">
        <f>IFERROR(U1189/$AC1189,0)</f>
        <v>0</v>
      </c>
      <c r="W1189" s="38"/>
      <c r="X1189" s="36">
        <f>IFERROR(W1189/$AD1189,0)</f>
        <v>0</v>
      </c>
      <c r="Y1189" s="35"/>
      <c r="Z1189" s="36">
        <f>IFERROR(Y1189/$AC1189,0)</f>
        <v>0</v>
      </c>
      <c r="AA1189" s="38"/>
      <c r="AB1189" s="36">
        <f>IFERROR(AA1189/$AD1189,0)</f>
        <v>0</v>
      </c>
      <c r="AC1189" s="35"/>
      <c r="AD1189" s="38"/>
    </row>
    <row r="1190" spans="1:30" ht="15.75" customHeight="1" x14ac:dyDescent="0.25">
      <c r="A1190" s="37">
        <v>2016</v>
      </c>
      <c r="B1190" s="35">
        <v>171360</v>
      </c>
      <c r="C1190" s="34" t="s">
        <v>151</v>
      </c>
      <c r="D1190" s="34" t="s">
        <v>81</v>
      </c>
      <c r="E1190" s="35"/>
      <c r="F1190" s="36">
        <f>IFERROR(E1190/$AC1190,0)</f>
        <v>0</v>
      </c>
      <c r="G1190" s="38"/>
      <c r="H1190" s="36">
        <f>IFERROR(G1190/$AD1190,0)</f>
        <v>0</v>
      </c>
      <c r="I1190" s="35"/>
      <c r="J1190" s="36">
        <f>IFERROR(I1190/$AC1190,0)</f>
        <v>0</v>
      </c>
      <c r="K1190" s="38"/>
      <c r="L1190" s="36">
        <f>IFERROR(K1190/$AD1190,0)</f>
        <v>0</v>
      </c>
      <c r="M1190" s="35"/>
      <c r="N1190" s="36">
        <f>IFERROR(M1190/$AC1190,0)</f>
        <v>0</v>
      </c>
      <c r="O1190" s="38"/>
      <c r="P1190" s="36">
        <f>IFERROR(O1190/$AD1190,0)</f>
        <v>0</v>
      </c>
      <c r="Q1190" s="35"/>
      <c r="R1190" s="36">
        <f>IFERROR(Q1190/$AC1190,0)</f>
        <v>0</v>
      </c>
      <c r="S1190" s="38"/>
      <c r="T1190" s="36">
        <f>IFERROR(S1190/$AD1190,0)</f>
        <v>0</v>
      </c>
      <c r="U1190" s="35"/>
      <c r="V1190" s="36">
        <f>IFERROR(U1190/$AC1190,0)</f>
        <v>0</v>
      </c>
      <c r="W1190" s="38"/>
      <c r="X1190" s="36">
        <f>IFERROR(W1190/$AD1190,0)</f>
        <v>0</v>
      </c>
      <c r="Y1190" s="35"/>
      <c r="Z1190" s="36">
        <f>IFERROR(Y1190/$AC1190,0)</f>
        <v>0</v>
      </c>
      <c r="AA1190" s="38"/>
      <c r="AB1190" s="36">
        <f>IFERROR(AA1190/$AD1190,0)</f>
        <v>0</v>
      </c>
      <c r="AC1190" s="35"/>
      <c r="AD1190" s="38"/>
    </row>
    <row r="1191" spans="1:30" ht="15.75" customHeight="1" x14ac:dyDescent="0.25">
      <c r="A1191" s="37">
        <v>2016</v>
      </c>
      <c r="B1191" s="35">
        <v>171370</v>
      </c>
      <c r="C1191" s="34" t="s">
        <v>144</v>
      </c>
      <c r="D1191" s="34" t="s">
        <v>82</v>
      </c>
      <c r="E1191" s="35"/>
      <c r="F1191" s="36">
        <f>IFERROR(E1191/$AC1191,0)</f>
        <v>0</v>
      </c>
      <c r="G1191" s="38"/>
      <c r="H1191" s="36">
        <f>IFERROR(G1191/$AD1191,0)</f>
        <v>0</v>
      </c>
      <c r="I1191" s="35"/>
      <c r="J1191" s="36">
        <f>IFERROR(I1191/$AC1191,0)</f>
        <v>0</v>
      </c>
      <c r="K1191" s="38"/>
      <c r="L1191" s="36">
        <f>IFERROR(K1191/$AD1191,0)</f>
        <v>0</v>
      </c>
      <c r="M1191" s="35"/>
      <c r="N1191" s="36">
        <f>IFERROR(M1191/$AC1191,0)</f>
        <v>0</v>
      </c>
      <c r="O1191" s="38"/>
      <c r="P1191" s="36">
        <f>IFERROR(O1191/$AD1191,0)</f>
        <v>0</v>
      </c>
      <c r="Q1191" s="35"/>
      <c r="R1191" s="36">
        <f>IFERROR(Q1191/$AC1191,0)</f>
        <v>0</v>
      </c>
      <c r="S1191" s="38"/>
      <c r="T1191" s="36">
        <f>IFERROR(S1191/$AD1191,0)</f>
        <v>0</v>
      </c>
      <c r="U1191" s="35"/>
      <c r="V1191" s="36">
        <f>IFERROR(U1191/$AC1191,0)</f>
        <v>0</v>
      </c>
      <c r="W1191" s="38"/>
      <c r="X1191" s="36">
        <f>IFERROR(W1191/$AD1191,0)</f>
        <v>0</v>
      </c>
      <c r="Y1191" s="35"/>
      <c r="Z1191" s="36">
        <f>IFERROR(Y1191/$AC1191,0)</f>
        <v>0</v>
      </c>
      <c r="AA1191" s="38"/>
      <c r="AB1191" s="36">
        <f>IFERROR(AA1191/$AD1191,0)</f>
        <v>0</v>
      </c>
      <c r="AC1191" s="35"/>
      <c r="AD1191" s="38"/>
    </row>
    <row r="1192" spans="1:30" ht="15.75" customHeight="1" x14ac:dyDescent="0.25">
      <c r="A1192" s="37">
        <v>2016</v>
      </c>
      <c r="B1192" s="35">
        <v>171395</v>
      </c>
      <c r="C1192" s="34" t="s">
        <v>149</v>
      </c>
      <c r="D1192" s="34" t="s">
        <v>83</v>
      </c>
      <c r="E1192" s="35"/>
      <c r="F1192" s="36">
        <f>IFERROR(E1192/$AC1192,0)</f>
        <v>0</v>
      </c>
      <c r="G1192" s="38"/>
      <c r="H1192" s="36">
        <f>IFERROR(G1192/$AD1192,0)</f>
        <v>0</v>
      </c>
      <c r="I1192" s="35"/>
      <c r="J1192" s="36">
        <f>IFERROR(I1192/$AC1192,0)</f>
        <v>0</v>
      </c>
      <c r="K1192" s="38"/>
      <c r="L1192" s="36">
        <f>IFERROR(K1192/$AD1192,0)</f>
        <v>0</v>
      </c>
      <c r="M1192" s="35"/>
      <c r="N1192" s="36">
        <f>IFERROR(M1192/$AC1192,0)</f>
        <v>0</v>
      </c>
      <c r="O1192" s="38"/>
      <c r="P1192" s="36">
        <f>IFERROR(O1192/$AD1192,0)</f>
        <v>0</v>
      </c>
      <c r="Q1192" s="35"/>
      <c r="R1192" s="36">
        <f>IFERROR(Q1192/$AC1192,0)</f>
        <v>0</v>
      </c>
      <c r="S1192" s="38"/>
      <c r="T1192" s="36">
        <f>IFERROR(S1192/$AD1192,0)</f>
        <v>0</v>
      </c>
      <c r="U1192" s="35"/>
      <c r="V1192" s="36">
        <f>IFERROR(U1192/$AC1192,0)</f>
        <v>0</v>
      </c>
      <c r="W1192" s="38"/>
      <c r="X1192" s="36">
        <f>IFERROR(W1192/$AD1192,0)</f>
        <v>0</v>
      </c>
      <c r="Y1192" s="35"/>
      <c r="Z1192" s="36">
        <f>IFERROR(Y1192/$AC1192,0)</f>
        <v>0</v>
      </c>
      <c r="AA1192" s="38"/>
      <c r="AB1192" s="36">
        <f>IFERROR(AA1192/$AD1192,0)</f>
        <v>0</v>
      </c>
      <c r="AC1192" s="35"/>
      <c r="AD1192" s="38"/>
    </row>
    <row r="1193" spans="1:30" ht="15.75" customHeight="1" x14ac:dyDescent="0.25">
      <c r="A1193" s="37">
        <v>2016</v>
      </c>
      <c r="B1193" s="35">
        <v>171420</v>
      </c>
      <c r="C1193" s="34" t="s">
        <v>151</v>
      </c>
      <c r="D1193" s="34" t="s">
        <v>84</v>
      </c>
      <c r="E1193" s="35"/>
      <c r="F1193" s="36">
        <f>IFERROR(E1193/$AC1193,0)</f>
        <v>0</v>
      </c>
      <c r="G1193" s="38"/>
      <c r="H1193" s="36">
        <f>IFERROR(G1193/$AD1193,0)</f>
        <v>0</v>
      </c>
      <c r="I1193" s="35"/>
      <c r="J1193" s="36">
        <f>IFERROR(I1193/$AC1193,0)</f>
        <v>0</v>
      </c>
      <c r="K1193" s="38"/>
      <c r="L1193" s="36">
        <f>IFERROR(K1193/$AD1193,0)</f>
        <v>0</v>
      </c>
      <c r="M1193" s="35"/>
      <c r="N1193" s="36">
        <f>IFERROR(M1193/$AC1193,0)</f>
        <v>0</v>
      </c>
      <c r="O1193" s="38"/>
      <c r="P1193" s="36">
        <f>IFERROR(O1193/$AD1193,0)</f>
        <v>0</v>
      </c>
      <c r="Q1193" s="35"/>
      <c r="R1193" s="36">
        <f>IFERROR(Q1193/$AC1193,0)</f>
        <v>0</v>
      </c>
      <c r="S1193" s="38"/>
      <c r="T1193" s="36">
        <f>IFERROR(S1193/$AD1193,0)</f>
        <v>0</v>
      </c>
      <c r="U1193" s="35"/>
      <c r="V1193" s="36">
        <f>IFERROR(U1193/$AC1193,0)</f>
        <v>0</v>
      </c>
      <c r="W1193" s="38"/>
      <c r="X1193" s="36">
        <f>IFERROR(W1193/$AD1193,0)</f>
        <v>0</v>
      </c>
      <c r="Y1193" s="35"/>
      <c r="Z1193" s="36">
        <f>IFERROR(Y1193/$AC1193,0)</f>
        <v>0</v>
      </c>
      <c r="AA1193" s="38"/>
      <c r="AB1193" s="36">
        <f>IFERROR(AA1193/$AD1193,0)</f>
        <v>0</v>
      </c>
      <c r="AC1193" s="35"/>
      <c r="AD1193" s="38"/>
    </row>
    <row r="1194" spans="1:30" ht="15.75" customHeight="1" x14ac:dyDescent="0.25">
      <c r="A1194" s="37">
        <v>2016</v>
      </c>
      <c r="B1194" s="35">
        <v>171430</v>
      </c>
      <c r="C1194" s="34" t="s">
        <v>145</v>
      </c>
      <c r="D1194" s="34" t="s">
        <v>85</v>
      </c>
      <c r="E1194" s="35"/>
      <c r="F1194" s="36">
        <f>IFERROR(E1194/$AC1194,0)</f>
        <v>0</v>
      </c>
      <c r="G1194" s="38"/>
      <c r="H1194" s="36">
        <f>IFERROR(G1194/$AD1194,0)</f>
        <v>0</v>
      </c>
      <c r="I1194" s="35"/>
      <c r="J1194" s="36">
        <f>IFERROR(I1194/$AC1194,0)</f>
        <v>0</v>
      </c>
      <c r="K1194" s="38"/>
      <c r="L1194" s="36">
        <f>IFERROR(K1194/$AD1194,0)</f>
        <v>0</v>
      </c>
      <c r="M1194" s="35"/>
      <c r="N1194" s="36">
        <f>IFERROR(M1194/$AC1194,0)</f>
        <v>0</v>
      </c>
      <c r="O1194" s="38"/>
      <c r="P1194" s="36">
        <f>IFERROR(O1194/$AD1194,0)</f>
        <v>0</v>
      </c>
      <c r="Q1194" s="35"/>
      <c r="R1194" s="36">
        <f>IFERROR(Q1194/$AC1194,0)</f>
        <v>0</v>
      </c>
      <c r="S1194" s="38"/>
      <c r="T1194" s="36">
        <f>IFERROR(S1194/$AD1194,0)</f>
        <v>0</v>
      </c>
      <c r="U1194" s="35"/>
      <c r="V1194" s="36">
        <f>IFERROR(U1194/$AC1194,0)</f>
        <v>0</v>
      </c>
      <c r="W1194" s="38"/>
      <c r="X1194" s="36">
        <f>IFERROR(W1194/$AD1194,0)</f>
        <v>0</v>
      </c>
      <c r="Y1194" s="35"/>
      <c r="Z1194" s="36">
        <f>IFERROR(Y1194/$AC1194,0)</f>
        <v>0</v>
      </c>
      <c r="AA1194" s="38"/>
      <c r="AB1194" s="36">
        <f>IFERROR(AA1194/$AD1194,0)</f>
        <v>0</v>
      </c>
      <c r="AC1194" s="35"/>
      <c r="AD1194" s="38"/>
    </row>
    <row r="1195" spans="1:30" ht="15.75" customHeight="1" x14ac:dyDescent="0.25">
      <c r="A1195" s="37">
        <v>2016</v>
      </c>
      <c r="B1195" s="35">
        <v>171488</v>
      </c>
      <c r="C1195" s="34" t="s">
        <v>149</v>
      </c>
      <c r="D1195" s="34" t="s">
        <v>86</v>
      </c>
      <c r="E1195" s="35"/>
      <c r="F1195" s="36">
        <f>IFERROR(E1195/$AC1195,0)</f>
        <v>0</v>
      </c>
      <c r="G1195" s="38"/>
      <c r="H1195" s="36">
        <f>IFERROR(G1195/$AD1195,0)</f>
        <v>0</v>
      </c>
      <c r="I1195" s="35"/>
      <c r="J1195" s="36">
        <f>IFERROR(I1195/$AC1195,0)</f>
        <v>0</v>
      </c>
      <c r="K1195" s="38"/>
      <c r="L1195" s="36">
        <f>IFERROR(K1195/$AD1195,0)</f>
        <v>0</v>
      </c>
      <c r="M1195" s="35"/>
      <c r="N1195" s="36">
        <f>IFERROR(M1195/$AC1195,0)</f>
        <v>0</v>
      </c>
      <c r="O1195" s="38"/>
      <c r="P1195" s="36">
        <f>IFERROR(O1195/$AD1195,0)</f>
        <v>0</v>
      </c>
      <c r="Q1195" s="35"/>
      <c r="R1195" s="36">
        <f>IFERROR(Q1195/$AC1195,0)</f>
        <v>0</v>
      </c>
      <c r="S1195" s="38"/>
      <c r="T1195" s="36">
        <f>IFERROR(S1195/$AD1195,0)</f>
        <v>0</v>
      </c>
      <c r="U1195" s="35"/>
      <c r="V1195" s="36">
        <f>IFERROR(U1195/$AC1195,0)</f>
        <v>0</v>
      </c>
      <c r="W1195" s="38"/>
      <c r="X1195" s="36">
        <f>IFERROR(W1195/$AD1195,0)</f>
        <v>0</v>
      </c>
      <c r="Y1195" s="35"/>
      <c r="Z1195" s="36">
        <f>IFERROR(Y1195/$AC1195,0)</f>
        <v>0</v>
      </c>
      <c r="AA1195" s="38"/>
      <c r="AB1195" s="36">
        <f>IFERROR(AA1195/$AD1195,0)</f>
        <v>0</v>
      </c>
      <c r="AC1195" s="35"/>
      <c r="AD1195" s="38"/>
    </row>
    <row r="1196" spans="1:30" ht="15.75" customHeight="1" x14ac:dyDescent="0.25">
      <c r="A1196" s="37">
        <v>2016</v>
      </c>
      <c r="B1196" s="35">
        <v>171500</v>
      </c>
      <c r="C1196" s="34" t="s">
        <v>144</v>
      </c>
      <c r="D1196" s="34" t="s">
        <v>87</v>
      </c>
      <c r="E1196" s="35"/>
      <c r="F1196" s="36">
        <f>IFERROR(E1196/$AC1196,0)</f>
        <v>0</v>
      </c>
      <c r="G1196" s="38"/>
      <c r="H1196" s="36">
        <f>IFERROR(G1196/$AD1196,0)</f>
        <v>0</v>
      </c>
      <c r="I1196" s="35"/>
      <c r="J1196" s="36">
        <f>IFERROR(I1196/$AC1196,0)</f>
        <v>0</v>
      </c>
      <c r="K1196" s="38"/>
      <c r="L1196" s="36">
        <f>IFERROR(K1196/$AD1196,0)</f>
        <v>0</v>
      </c>
      <c r="M1196" s="35"/>
      <c r="N1196" s="36">
        <f>IFERROR(M1196/$AC1196,0)</f>
        <v>0</v>
      </c>
      <c r="O1196" s="38"/>
      <c r="P1196" s="36">
        <f>IFERROR(O1196/$AD1196,0)</f>
        <v>0</v>
      </c>
      <c r="Q1196" s="35"/>
      <c r="R1196" s="36">
        <f>IFERROR(Q1196/$AC1196,0)</f>
        <v>0</v>
      </c>
      <c r="S1196" s="38"/>
      <c r="T1196" s="36">
        <f>IFERROR(S1196/$AD1196,0)</f>
        <v>0</v>
      </c>
      <c r="U1196" s="35"/>
      <c r="V1196" s="36">
        <f>IFERROR(U1196/$AC1196,0)</f>
        <v>0</v>
      </c>
      <c r="W1196" s="38"/>
      <c r="X1196" s="36">
        <f>IFERROR(W1196/$AD1196,0)</f>
        <v>0</v>
      </c>
      <c r="Y1196" s="35"/>
      <c r="Z1196" s="36">
        <f>IFERROR(Y1196/$AC1196,0)</f>
        <v>0</v>
      </c>
      <c r="AA1196" s="38"/>
      <c r="AB1196" s="36">
        <f>IFERROR(AA1196/$AD1196,0)</f>
        <v>0</v>
      </c>
      <c r="AC1196" s="35"/>
      <c r="AD1196" s="38"/>
    </row>
    <row r="1197" spans="1:30" ht="15.75" customHeight="1" x14ac:dyDescent="0.25">
      <c r="A1197" s="37">
        <v>2016</v>
      </c>
      <c r="B1197" s="35">
        <v>171510</v>
      </c>
      <c r="C1197" s="34" t="s">
        <v>148</v>
      </c>
      <c r="D1197" s="34" t="s">
        <v>88</v>
      </c>
      <c r="E1197" s="35"/>
      <c r="F1197" s="36">
        <f>IFERROR(E1197/$AC1197,0)</f>
        <v>0</v>
      </c>
      <c r="G1197" s="38"/>
      <c r="H1197" s="36">
        <f>IFERROR(G1197/$AD1197,0)</f>
        <v>0</v>
      </c>
      <c r="I1197" s="35"/>
      <c r="J1197" s="36">
        <f>IFERROR(I1197/$AC1197,0)</f>
        <v>0</v>
      </c>
      <c r="K1197" s="38"/>
      <c r="L1197" s="36">
        <f>IFERROR(K1197/$AD1197,0)</f>
        <v>0</v>
      </c>
      <c r="M1197" s="35"/>
      <c r="N1197" s="36">
        <f>IFERROR(M1197/$AC1197,0)</f>
        <v>0</v>
      </c>
      <c r="O1197" s="38"/>
      <c r="P1197" s="36">
        <f>IFERROR(O1197/$AD1197,0)</f>
        <v>0</v>
      </c>
      <c r="Q1197" s="35"/>
      <c r="R1197" s="36">
        <f>IFERROR(Q1197/$AC1197,0)</f>
        <v>0</v>
      </c>
      <c r="S1197" s="38"/>
      <c r="T1197" s="36">
        <f>IFERROR(S1197/$AD1197,0)</f>
        <v>0</v>
      </c>
      <c r="U1197" s="35"/>
      <c r="V1197" s="36">
        <f>IFERROR(U1197/$AC1197,0)</f>
        <v>0</v>
      </c>
      <c r="W1197" s="38"/>
      <c r="X1197" s="36">
        <f>IFERROR(W1197/$AD1197,0)</f>
        <v>0</v>
      </c>
      <c r="Y1197" s="35"/>
      <c r="Z1197" s="36">
        <f>IFERROR(Y1197/$AC1197,0)</f>
        <v>0</v>
      </c>
      <c r="AA1197" s="38"/>
      <c r="AB1197" s="36">
        <f>IFERROR(AA1197/$AD1197,0)</f>
        <v>0</v>
      </c>
      <c r="AC1197" s="35"/>
      <c r="AD1197" s="38"/>
    </row>
    <row r="1198" spans="1:30" ht="15.75" customHeight="1" x14ac:dyDescent="0.25">
      <c r="A1198" s="37">
        <v>2016</v>
      </c>
      <c r="B1198" s="35">
        <v>171515</v>
      </c>
      <c r="C1198" s="34" t="s">
        <v>147</v>
      </c>
      <c r="D1198" s="34" t="s">
        <v>89</v>
      </c>
      <c r="E1198" s="35"/>
      <c r="F1198" s="36">
        <f>IFERROR(E1198/$AC1198,0)</f>
        <v>0</v>
      </c>
      <c r="G1198" s="38"/>
      <c r="H1198" s="36">
        <f>IFERROR(G1198/$AD1198,0)</f>
        <v>0</v>
      </c>
      <c r="I1198" s="35"/>
      <c r="J1198" s="36">
        <f>IFERROR(I1198/$AC1198,0)</f>
        <v>0</v>
      </c>
      <c r="K1198" s="38"/>
      <c r="L1198" s="36">
        <f>IFERROR(K1198/$AD1198,0)</f>
        <v>0</v>
      </c>
      <c r="M1198" s="35"/>
      <c r="N1198" s="36">
        <f>IFERROR(M1198/$AC1198,0)</f>
        <v>0</v>
      </c>
      <c r="O1198" s="38"/>
      <c r="P1198" s="36">
        <f>IFERROR(O1198/$AD1198,0)</f>
        <v>0</v>
      </c>
      <c r="Q1198" s="35"/>
      <c r="R1198" s="36">
        <f>IFERROR(Q1198/$AC1198,0)</f>
        <v>0</v>
      </c>
      <c r="S1198" s="38"/>
      <c r="T1198" s="36">
        <f>IFERROR(S1198/$AD1198,0)</f>
        <v>0</v>
      </c>
      <c r="U1198" s="35"/>
      <c r="V1198" s="36">
        <f>IFERROR(U1198/$AC1198,0)</f>
        <v>0</v>
      </c>
      <c r="W1198" s="38"/>
      <c r="X1198" s="36">
        <f>IFERROR(W1198/$AD1198,0)</f>
        <v>0</v>
      </c>
      <c r="Y1198" s="35"/>
      <c r="Z1198" s="36">
        <f>IFERROR(Y1198/$AC1198,0)</f>
        <v>0</v>
      </c>
      <c r="AA1198" s="38"/>
      <c r="AB1198" s="36">
        <f>IFERROR(AA1198/$AD1198,0)</f>
        <v>0</v>
      </c>
      <c r="AC1198" s="35"/>
      <c r="AD1198" s="38"/>
    </row>
    <row r="1199" spans="1:30" ht="15.75" customHeight="1" x14ac:dyDescent="0.25">
      <c r="A1199" s="37">
        <v>2016</v>
      </c>
      <c r="B1199" s="35">
        <v>171525</v>
      </c>
      <c r="C1199" s="34" t="s">
        <v>147</v>
      </c>
      <c r="D1199" s="34" t="s">
        <v>90</v>
      </c>
      <c r="E1199" s="35"/>
      <c r="F1199" s="36">
        <f>IFERROR(E1199/$AC1199,0)</f>
        <v>0</v>
      </c>
      <c r="G1199" s="38"/>
      <c r="H1199" s="36">
        <f>IFERROR(G1199/$AD1199,0)</f>
        <v>0</v>
      </c>
      <c r="I1199" s="35"/>
      <c r="J1199" s="36">
        <f>IFERROR(I1199/$AC1199,0)</f>
        <v>0</v>
      </c>
      <c r="K1199" s="38"/>
      <c r="L1199" s="36">
        <f>IFERROR(K1199/$AD1199,0)</f>
        <v>0</v>
      </c>
      <c r="M1199" s="35"/>
      <c r="N1199" s="36">
        <f>IFERROR(M1199/$AC1199,0)</f>
        <v>0</v>
      </c>
      <c r="O1199" s="38"/>
      <c r="P1199" s="36">
        <f>IFERROR(O1199/$AD1199,0)</f>
        <v>0</v>
      </c>
      <c r="Q1199" s="35"/>
      <c r="R1199" s="36">
        <f>IFERROR(Q1199/$AC1199,0)</f>
        <v>0</v>
      </c>
      <c r="S1199" s="38"/>
      <c r="T1199" s="36">
        <f>IFERROR(S1199/$AD1199,0)</f>
        <v>0</v>
      </c>
      <c r="U1199" s="35"/>
      <c r="V1199" s="36">
        <f>IFERROR(U1199/$AC1199,0)</f>
        <v>0</v>
      </c>
      <c r="W1199" s="38"/>
      <c r="X1199" s="36">
        <f>IFERROR(W1199/$AD1199,0)</f>
        <v>0</v>
      </c>
      <c r="Y1199" s="35"/>
      <c r="Z1199" s="36">
        <f>IFERROR(Y1199/$AC1199,0)</f>
        <v>0</v>
      </c>
      <c r="AA1199" s="38"/>
      <c r="AB1199" s="36">
        <f>IFERROR(AA1199/$AD1199,0)</f>
        <v>0</v>
      </c>
      <c r="AC1199" s="35"/>
      <c r="AD1199" s="38"/>
    </row>
    <row r="1200" spans="1:30" ht="15.75" customHeight="1" x14ac:dyDescent="0.25">
      <c r="A1200" s="37">
        <v>2016</v>
      </c>
      <c r="B1200" s="35">
        <v>171550</v>
      </c>
      <c r="C1200" s="34" t="s">
        <v>151</v>
      </c>
      <c r="D1200" s="34" t="s">
        <v>91</v>
      </c>
      <c r="E1200" s="35"/>
      <c r="F1200" s="36">
        <f>IFERROR(E1200/$AC1200,0)</f>
        <v>0</v>
      </c>
      <c r="G1200" s="38"/>
      <c r="H1200" s="36">
        <f>IFERROR(G1200/$AD1200,0)</f>
        <v>0</v>
      </c>
      <c r="I1200" s="35"/>
      <c r="J1200" s="36">
        <f>IFERROR(I1200/$AC1200,0)</f>
        <v>0</v>
      </c>
      <c r="K1200" s="38"/>
      <c r="L1200" s="36">
        <f>IFERROR(K1200/$AD1200,0)</f>
        <v>0</v>
      </c>
      <c r="M1200" s="35"/>
      <c r="N1200" s="36">
        <f>IFERROR(M1200/$AC1200,0)</f>
        <v>0</v>
      </c>
      <c r="O1200" s="38"/>
      <c r="P1200" s="36">
        <f>IFERROR(O1200/$AD1200,0)</f>
        <v>0</v>
      </c>
      <c r="Q1200" s="35"/>
      <c r="R1200" s="36">
        <f>IFERROR(Q1200/$AC1200,0)</f>
        <v>0</v>
      </c>
      <c r="S1200" s="38"/>
      <c r="T1200" s="36">
        <f>IFERROR(S1200/$AD1200,0)</f>
        <v>0</v>
      </c>
      <c r="U1200" s="35"/>
      <c r="V1200" s="36">
        <f>IFERROR(U1200/$AC1200,0)</f>
        <v>0</v>
      </c>
      <c r="W1200" s="38"/>
      <c r="X1200" s="36">
        <f>IFERROR(W1200/$AD1200,0)</f>
        <v>0</v>
      </c>
      <c r="Y1200" s="35"/>
      <c r="Z1200" s="36">
        <f>IFERROR(Y1200/$AC1200,0)</f>
        <v>0</v>
      </c>
      <c r="AA1200" s="38"/>
      <c r="AB1200" s="36">
        <f>IFERROR(AA1200/$AD1200,0)</f>
        <v>0</v>
      </c>
      <c r="AC1200" s="35"/>
      <c r="AD1200" s="38"/>
    </row>
    <row r="1201" spans="1:30" ht="15.75" customHeight="1" x14ac:dyDescent="0.25">
      <c r="A1201" s="37">
        <v>2016</v>
      </c>
      <c r="B1201" s="35">
        <v>172100</v>
      </c>
      <c r="C1201" s="34" t="s">
        <v>148</v>
      </c>
      <c r="D1201" s="34" t="s">
        <v>92</v>
      </c>
      <c r="E1201" s="35"/>
      <c r="F1201" s="36">
        <f>IFERROR(E1201/$AC1201,0)</f>
        <v>0</v>
      </c>
      <c r="G1201" s="38"/>
      <c r="H1201" s="36">
        <f>IFERROR(G1201/$AD1201,0)</f>
        <v>0</v>
      </c>
      <c r="I1201" s="35"/>
      <c r="J1201" s="36">
        <f>IFERROR(I1201/$AC1201,0)</f>
        <v>0</v>
      </c>
      <c r="K1201" s="38"/>
      <c r="L1201" s="36">
        <f>IFERROR(K1201/$AD1201,0)</f>
        <v>0</v>
      </c>
      <c r="M1201" s="35"/>
      <c r="N1201" s="36">
        <f>IFERROR(M1201/$AC1201,0)</f>
        <v>0</v>
      </c>
      <c r="O1201" s="39"/>
      <c r="P1201" s="36">
        <f>IFERROR(O1201/$AD1201,0)</f>
        <v>0</v>
      </c>
      <c r="Q1201" s="35"/>
      <c r="R1201" s="36">
        <f>IFERROR(Q1201/$AC1201,0)</f>
        <v>0</v>
      </c>
      <c r="S1201" s="38"/>
      <c r="T1201" s="36">
        <f>IFERROR(S1201/$AD1201,0)</f>
        <v>0</v>
      </c>
      <c r="U1201" s="35"/>
      <c r="V1201" s="36">
        <f>IFERROR(U1201/$AC1201,0)</f>
        <v>0</v>
      </c>
      <c r="W1201" s="38"/>
      <c r="X1201" s="36">
        <f>IFERROR(W1201/$AD1201,0)</f>
        <v>0</v>
      </c>
      <c r="Y1201" s="35"/>
      <c r="Z1201" s="36">
        <f>IFERROR(Y1201/$AC1201,0)</f>
        <v>0</v>
      </c>
      <c r="AA1201" s="39"/>
      <c r="AB1201" s="36">
        <f>IFERROR(AA1201/$AD1201,0)</f>
        <v>0</v>
      </c>
      <c r="AC1201" s="35"/>
      <c r="AD1201" s="39"/>
    </row>
    <row r="1202" spans="1:30" ht="15.75" customHeight="1" x14ac:dyDescent="0.25">
      <c r="A1202" s="37">
        <v>2016</v>
      </c>
      <c r="B1202" s="35">
        <v>171570</v>
      </c>
      <c r="C1202" s="34" t="s">
        <v>150</v>
      </c>
      <c r="D1202" s="34" t="s">
        <v>93</v>
      </c>
      <c r="E1202" s="35"/>
      <c r="F1202" s="36">
        <f>IFERROR(E1202/$AC1202,0)</f>
        <v>0</v>
      </c>
      <c r="G1202" s="38"/>
      <c r="H1202" s="36">
        <f>IFERROR(G1202/$AD1202,0)</f>
        <v>0</v>
      </c>
      <c r="I1202" s="35"/>
      <c r="J1202" s="36">
        <f>IFERROR(I1202/$AC1202,0)</f>
        <v>0</v>
      </c>
      <c r="K1202" s="38"/>
      <c r="L1202" s="36">
        <f>IFERROR(K1202/$AD1202,0)</f>
        <v>0</v>
      </c>
      <c r="M1202" s="35"/>
      <c r="N1202" s="36">
        <f>IFERROR(M1202/$AC1202,0)</f>
        <v>0</v>
      </c>
      <c r="O1202" s="38"/>
      <c r="P1202" s="36">
        <f>IFERROR(O1202/$AD1202,0)</f>
        <v>0</v>
      </c>
      <c r="Q1202" s="35"/>
      <c r="R1202" s="36">
        <f>IFERROR(Q1202/$AC1202,0)</f>
        <v>0</v>
      </c>
      <c r="S1202" s="38"/>
      <c r="T1202" s="36">
        <f>IFERROR(S1202/$AD1202,0)</f>
        <v>0</v>
      </c>
      <c r="U1202" s="35"/>
      <c r="V1202" s="36">
        <f>IFERROR(U1202/$AC1202,0)</f>
        <v>0</v>
      </c>
      <c r="W1202" s="38"/>
      <c r="X1202" s="36">
        <f>IFERROR(W1202/$AD1202,0)</f>
        <v>0</v>
      </c>
      <c r="Y1202" s="35"/>
      <c r="Z1202" s="36">
        <f>IFERROR(Y1202/$AC1202,0)</f>
        <v>0</v>
      </c>
      <c r="AA1202" s="38"/>
      <c r="AB1202" s="36">
        <f>IFERROR(AA1202/$AD1202,0)</f>
        <v>0</v>
      </c>
      <c r="AC1202" s="35"/>
      <c r="AD1202" s="38"/>
    </row>
    <row r="1203" spans="1:30" ht="15.75" customHeight="1" x14ac:dyDescent="0.25">
      <c r="A1203" s="37">
        <v>2016</v>
      </c>
      <c r="B1203" s="35">
        <v>171380</v>
      </c>
      <c r="C1203" s="34" t="s">
        <v>145</v>
      </c>
      <c r="D1203" s="34" t="s">
        <v>94</v>
      </c>
      <c r="E1203" s="35"/>
      <c r="F1203" s="36">
        <f>IFERROR(E1203/$AC1203,0)</f>
        <v>0</v>
      </c>
      <c r="G1203" s="38"/>
      <c r="H1203" s="36">
        <f>IFERROR(G1203/$AD1203,0)</f>
        <v>0</v>
      </c>
      <c r="I1203" s="35"/>
      <c r="J1203" s="36">
        <f>IFERROR(I1203/$AC1203,0)</f>
        <v>0</v>
      </c>
      <c r="K1203" s="38"/>
      <c r="L1203" s="36">
        <f>IFERROR(K1203/$AD1203,0)</f>
        <v>0</v>
      </c>
      <c r="M1203" s="35"/>
      <c r="N1203" s="36">
        <f>IFERROR(M1203/$AC1203,0)</f>
        <v>0</v>
      </c>
      <c r="O1203" s="38"/>
      <c r="P1203" s="36">
        <f>IFERROR(O1203/$AD1203,0)</f>
        <v>0</v>
      </c>
      <c r="Q1203" s="35"/>
      <c r="R1203" s="36">
        <f>IFERROR(Q1203/$AC1203,0)</f>
        <v>0</v>
      </c>
      <c r="S1203" s="38"/>
      <c r="T1203" s="36">
        <f>IFERROR(S1203/$AD1203,0)</f>
        <v>0</v>
      </c>
      <c r="U1203" s="35"/>
      <c r="V1203" s="36">
        <f>IFERROR(U1203/$AC1203,0)</f>
        <v>0</v>
      </c>
      <c r="W1203" s="38"/>
      <c r="X1203" s="36">
        <f>IFERROR(W1203/$AD1203,0)</f>
        <v>0</v>
      </c>
      <c r="Y1203" s="35"/>
      <c r="Z1203" s="36">
        <f>IFERROR(Y1203/$AC1203,0)</f>
        <v>0</v>
      </c>
      <c r="AA1203" s="38"/>
      <c r="AB1203" s="36">
        <f>IFERROR(AA1203/$AD1203,0)</f>
        <v>0</v>
      </c>
      <c r="AC1203" s="35"/>
      <c r="AD1203" s="38"/>
    </row>
    <row r="1204" spans="1:30" ht="15.75" customHeight="1" x14ac:dyDescent="0.25">
      <c r="A1204" s="37">
        <v>2016</v>
      </c>
      <c r="B1204" s="35">
        <v>171575</v>
      </c>
      <c r="C1204" s="34" t="s">
        <v>146</v>
      </c>
      <c r="D1204" s="34" t="s">
        <v>95</v>
      </c>
      <c r="E1204" s="35"/>
      <c r="F1204" s="36">
        <f>IFERROR(E1204/$AC1204,0)</f>
        <v>0</v>
      </c>
      <c r="G1204" s="38"/>
      <c r="H1204" s="36">
        <f>IFERROR(G1204/$AD1204,0)</f>
        <v>0</v>
      </c>
      <c r="I1204" s="35"/>
      <c r="J1204" s="36">
        <f>IFERROR(I1204/$AC1204,0)</f>
        <v>0</v>
      </c>
      <c r="K1204" s="38"/>
      <c r="L1204" s="36">
        <f>IFERROR(K1204/$AD1204,0)</f>
        <v>0</v>
      </c>
      <c r="M1204" s="35"/>
      <c r="N1204" s="36">
        <f>IFERROR(M1204/$AC1204,0)</f>
        <v>0</v>
      </c>
      <c r="O1204" s="38"/>
      <c r="P1204" s="36">
        <f>IFERROR(O1204/$AD1204,0)</f>
        <v>0</v>
      </c>
      <c r="Q1204" s="35"/>
      <c r="R1204" s="36">
        <f>IFERROR(Q1204/$AC1204,0)</f>
        <v>0</v>
      </c>
      <c r="S1204" s="38"/>
      <c r="T1204" s="36">
        <f>IFERROR(S1204/$AD1204,0)</f>
        <v>0</v>
      </c>
      <c r="U1204" s="35"/>
      <c r="V1204" s="36">
        <f>IFERROR(U1204/$AC1204,0)</f>
        <v>0</v>
      </c>
      <c r="W1204" s="38"/>
      <c r="X1204" s="36">
        <f>IFERROR(W1204/$AD1204,0)</f>
        <v>0</v>
      </c>
      <c r="Y1204" s="35"/>
      <c r="Z1204" s="36">
        <f>IFERROR(Y1204/$AC1204,0)</f>
        <v>0</v>
      </c>
      <c r="AA1204" s="38"/>
      <c r="AB1204" s="36">
        <f>IFERROR(AA1204/$AD1204,0)</f>
        <v>0</v>
      </c>
      <c r="AC1204" s="35"/>
      <c r="AD1204" s="38"/>
    </row>
    <row r="1205" spans="1:30" ht="15.75" customHeight="1" x14ac:dyDescent="0.25">
      <c r="A1205" s="37">
        <v>2016</v>
      </c>
      <c r="B1205" s="35">
        <v>171610</v>
      </c>
      <c r="C1205" s="34" t="s">
        <v>144</v>
      </c>
      <c r="D1205" s="34" t="s">
        <v>96</v>
      </c>
      <c r="E1205" s="35"/>
      <c r="F1205" s="36">
        <f>IFERROR(E1205/$AC1205,0)</f>
        <v>0</v>
      </c>
      <c r="G1205" s="38"/>
      <c r="H1205" s="36">
        <f>IFERROR(G1205/$AD1205,0)</f>
        <v>0</v>
      </c>
      <c r="I1205" s="35"/>
      <c r="J1205" s="36">
        <f>IFERROR(I1205/$AC1205,0)</f>
        <v>0</v>
      </c>
      <c r="K1205" s="38"/>
      <c r="L1205" s="36">
        <f>IFERROR(K1205/$AD1205,0)</f>
        <v>0</v>
      </c>
      <c r="M1205" s="35"/>
      <c r="N1205" s="36">
        <f>IFERROR(M1205/$AC1205,0)</f>
        <v>0</v>
      </c>
      <c r="O1205" s="38"/>
      <c r="P1205" s="36">
        <f>IFERROR(O1205/$AD1205,0)</f>
        <v>0</v>
      </c>
      <c r="Q1205" s="35"/>
      <c r="R1205" s="36">
        <f>IFERROR(Q1205/$AC1205,0)</f>
        <v>0</v>
      </c>
      <c r="S1205" s="38"/>
      <c r="T1205" s="36">
        <f>IFERROR(S1205/$AD1205,0)</f>
        <v>0</v>
      </c>
      <c r="U1205" s="35"/>
      <c r="V1205" s="36">
        <f>IFERROR(U1205/$AC1205,0)</f>
        <v>0</v>
      </c>
      <c r="W1205" s="38"/>
      <c r="X1205" s="36">
        <f>IFERROR(W1205/$AD1205,0)</f>
        <v>0</v>
      </c>
      <c r="Y1205" s="35"/>
      <c r="Z1205" s="36">
        <f>IFERROR(Y1205/$AC1205,0)</f>
        <v>0</v>
      </c>
      <c r="AA1205" s="38"/>
      <c r="AB1205" s="36">
        <f>IFERROR(AA1205/$AD1205,0)</f>
        <v>0</v>
      </c>
      <c r="AC1205" s="35"/>
      <c r="AD1205" s="38"/>
    </row>
    <row r="1206" spans="1:30" ht="15.75" customHeight="1" x14ac:dyDescent="0.25">
      <c r="A1206" s="37">
        <v>2016</v>
      </c>
      <c r="B1206" s="35">
        <v>171620</v>
      </c>
      <c r="C1206" s="34" t="s">
        <v>147</v>
      </c>
      <c r="D1206" s="34" t="s">
        <v>97</v>
      </c>
      <c r="E1206" s="35"/>
      <c r="F1206" s="36">
        <f>IFERROR(E1206/$AC1206,0)</f>
        <v>0</v>
      </c>
      <c r="G1206" s="38"/>
      <c r="H1206" s="36">
        <f>IFERROR(G1206/$AD1206,0)</f>
        <v>0</v>
      </c>
      <c r="I1206" s="35"/>
      <c r="J1206" s="36">
        <f>IFERROR(I1206/$AC1206,0)</f>
        <v>0</v>
      </c>
      <c r="K1206" s="38"/>
      <c r="L1206" s="36">
        <f>IFERROR(K1206/$AD1206,0)</f>
        <v>0</v>
      </c>
      <c r="M1206" s="35"/>
      <c r="N1206" s="36">
        <f>IFERROR(M1206/$AC1206,0)</f>
        <v>0</v>
      </c>
      <c r="O1206" s="38"/>
      <c r="P1206" s="36">
        <f>IFERROR(O1206/$AD1206,0)</f>
        <v>0</v>
      </c>
      <c r="Q1206" s="35"/>
      <c r="R1206" s="36">
        <f>IFERROR(Q1206/$AC1206,0)</f>
        <v>0</v>
      </c>
      <c r="S1206" s="38"/>
      <c r="T1206" s="36">
        <f>IFERROR(S1206/$AD1206,0)</f>
        <v>0</v>
      </c>
      <c r="U1206" s="35"/>
      <c r="V1206" s="36">
        <f>IFERROR(U1206/$AC1206,0)</f>
        <v>0</v>
      </c>
      <c r="W1206" s="38"/>
      <c r="X1206" s="36">
        <f>IFERROR(W1206/$AD1206,0)</f>
        <v>0</v>
      </c>
      <c r="Y1206" s="35"/>
      <c r="Z1206" s="36">
        <f>IFERROR(Y1206/$AC1206,0)</f>
        <v>0</v>
      </c>
      <c r="AA1206" s="38"/>
      <c r="AB1206" s="36">
        <f>IFERROR(AA1206/$AD1206,0)</f>
        <v>0</v>
      </c>
      <c r="AC1206" s="35"/>
      <c r="AD1206" s="38"/>
    </row>
    <row r="1207" spans="1:30" ht="15.75" customHeight="1" x14ac:dyDescent="0.25">
      <c r="A1207" s="37">
        <v>2016</v>
      </c>
      <c r="B1207" s="35">
        <v>171630</v>
      </c>
      <c r="C1207" s="34" t="s">
        <v>149</v>
      </c>
      <c r="D1207" s="34" t="s">
        <v>98</v>
      </c>
      <c r="E1207" s="35"/>
      <c r="F1207" s="36">
        <f>IFERROR(E1207/$AC1207,0)</f>
        <v>0</v>
      </c>
      <c r="G1207" s="38"/>
      <c r="H1207" s="36">
        <f>IFERROR(G1207/$AD1207,0)</f>
        <v>0</v>
      </c>
      <c r="I1207" s="35"/>
      <c r="J1207" s="36">
        <f>IFERROR(I1207/$AC1207,0)</f>
        <v>0</v>
      </c>
      <c r="K1207" s="38"/>
      <c r="L1207" s="36">
        <f>IFERROR(K1207/$AD1207,0)</f>
        <v>0</v>
      </c>
      <c r="M1207" s="35"/>
      <c r="N1207" s="36">
        <f>IFERROR(M1207/$AC1207,0)</f>
        <v>0</v>
      </c>
      <c r="O1207" s="38"/>
      <c r="P1207" s="36">
        <f>IFERROR(O1207/$AD1207,0)</f>
        <v>0</v>
      </c>
      <c r="Q1207" s="35"/>
      <c r="R1207" s="36">
        <f>IFERROR(Q1207/$AC1207,0)</f>
        <v>0</v>
      </c>
      <c r="S1207" s="38"/>
      <c r="T1207" s="36">
        <f>IFERROR(S1207/$AD1207,0)</f>
        <v>0</v>
      </c>
      <c r="U1207" s="35"/>
      <c r="V1207" s="36">
        <f>IFERROR(U1207/$AC1207,0)</f>
        <v>0</v>
      </c>
      <c r="W1207" s="38"/>
      <c r="X1207" s="36">
        <f>IFERROR(W1207/$AD1207,0)</f>
        <v>0</v>
      </c>
      <c r="Y1207" s="35"/>
      <c r="Z1207" s="36">
        <f>IFERROR(Y1207/$AC1207,0)</f>
        <v>0</v>
      </c>
      <c r="AA1207" s="38"/>
      <c r="AB1207" s="36">
        <f>IFERROR(AA1207/$AD1207,0)</f>
        <v>0</v>
      </c>
      <c r="AC1207" s="35"/>
      <c r="AD1207" s="38"/>
    </row>
    <row r="1208" spans="1:30" ht="15.75" customHeight="1" x14ac:dyDescent="0.25">
      <c r="A1208" s="37">
        <v>2016</v>
      </c>
      <c r="B1208" s="35">
        <v>171650</v>
      </c>
      <c r="C1208" s="34" t="s">
        <v>150</v>
      </c>
      <c r="D1208" s="34" t="s">
        <v>99</v>
      </c>
      <c r="E1208" s="35"/>
      <c r="F1208" s="36">
        <f>IFERROR(E1208/$AC1208,0)</f>
        <v>0</v>
      </c>
      <c r="G1208" s="38"/>
      <c r="H1208" s="36">
        <f>IFERROR(G1208/$AD1208,0)</f>
        <v>0</v>
      </c>
      <c r="I1208" s="35"/>
      <c r="J1208" s="36">
        <f>IFERROR(I1208/$AC1208,0)</f>
        <v>0</v>
      </c>
      <c r="K1208" s="38"/>
      <c r="L1208" s="36">
        <f>IFERROR(K1208/$AD1208,0)</f>
        <v>0</v>
      </c>
      <c r="M1208" s="35"/>
      <c r="N1208" s="36">
        <f>IFERROR(M1208/$AC1208,0)</f>
        <v>0</v>
      </c>
      <c r="O1208" s="38"/>
      <c r="P1208" s="36">
        <f>IFERROR(O1208/$AD1208,0)</f>
        <v>0</v>
      </c>
      <c r="Q1208" s="35"/>
      <c r="R1208" s="36">
        <f>IFERROR(Q1208/$AC1208,0)</f>
        <v>0</v>
      </c>
      <c r="S1208" s="38"/>
      <c r="T1208" s="36">
        <f>IFERROR(S1208/$AD1208,0)</f>
        <v>0</v>
      </c>
      <c r="U1208" s="35"/>
      <c r="V1208" s="36">
        <f>IFERROR(U1208/$AC1208,0)</f>
        <v>0</v>
      </c>
      <c r="W1208" s="38"/>
      <c r="X1208" s="36">
        <f>IFERROR(W1208/$AD1208,0)</f>
        <v>0</v>
      </c>
      <c r="Y1208" s="35"/>
      <c r="Z1208" s="36">
        <f>IFERROR(Y1208/$AC1208,0)</f>
        <v>0</v>
      </c>
      <c r="AA1208" s="38"/>
      <c r="AB1208" s="36">
        <f>IFERROR(AA1208/$AD1208,0)</f>
        <v>0</v>
      </c>
      <c r="AC1208" s="35"/>
      <c r="AD1208" s="38"/>
    </row>
    <row r="1209" spans="1:30" ht="15.75" customHeight="1" x14ac:dyDescent="0.25">
      <c r="A1209" s="37">
        <v>2016</v>
      </c>
      <c r="B1209" s="35">
        <v>171660</v>
      </c>
      <c r="C1209" s="34" t="s">
        <v>146</v>
      </c>
      <c r="D1209" s="34" t="s">
        <v>100</v>
      </c>
      <c r="E1209" s="35"/>
      <c r="F1209" s="36">
        <f>IFERROR(E1209/$AC1209,0)</f>
        <v>0</v>
      </c>
      <c r="G1209" s="38"/>
      <c r="H1209" s="36">
        <f>IFERROR(G1209/$AD1209,0)</f>
        <v>0</v>
      </c>
      <c r="I1209" s="35"/>
      <c r="J1209" s="36">
        <f>IFERROR(I1209/$AC1209,0)</f>
        <v>0</v>
      </c>
      <c r="K1209" s="38"/>
      <c r="L1209" s="36">
        <f>IFERROR(K1209/$AD1209,0)</f>
        <v>0</v>
      </c>
      <c r="M1209" s="35"/>
      <c r="N1209" s="36">
        <f>IFERROR(M1209/$AC1209,0)</f>
        <v>0</v>
      </c>
      <c r="O1209" s="38"/>
      <c r="P1209" s="36">
        <f>IFERROR(O1209/$AD1209,0)</f>
        <v>0</v>
      </c>
      <c r="Q1209" s="35"/>
      <c r="R1209" s="36">
        <f>IFERROR(Q1209/$AC1209,0)</f>
        <v>0</v>
      </c>
      <c r="S1209" s="38"/>
      <c r="T1209" s="36">
        <f>IFERROR(S1209/$AD1209,0)</f>
        <v>0</v>
      </c>
      <c r="U1209" s="35"/>
      <c r="V1209" s="36">
        <f>IFERROR(U1209/$AC1209,0)</f>
        <v>0</v>
      </c>
      <c r="W1209" s="38"/>
      <c r="X1209" s="36">
        <f>IFERROR(W1209/$AD1209,0)</f>
        <v>0</v>
      </c>
      <c r="Y1209" s="35"/>
      <c r="Z1209" s="36">
        <f>IFERROR(Y1209/$AC1209,0)</f>
        <v>0</v>
      </c>
      <c r="AA1209" s="38"/>
      <c r="AB1209" s="36">
        <f>IFERROR(AA1209/$AD1209,0)</f>
        <v>0</v>
      </c>
      <c r="AC1209" s="35"/>
      <c r="AD1209" s="38"/>
    </row>
    <row r="1210" spans="1:30" ht="15.75" customHeight="1" x14ac:dyDescent="0.25">
      <c r="A1210" s="37">
        <v>2016</v>
      </c>
      <c r="B1210" s="35">
        <v>171665</v>
      </c>
      <c r="C1210" s="34" t="s">
        <v>150</v>
      </c>
      <c r="D1210" s="34" t="s">
        <v>101</v>
      </c>
      <c r="E1210" s="35"/>
      <c r="F1210" s="36">
        <f>IFERROR(E1210/$AC1210,0)</f>
        <v>0</v>
      </c>
      <c r="G1210" s="38"/>
      <c r="H1210" s="36">
        <f>IFERROR(G1210/$AD1210,0)</f>
        <v>0</v>
      </c>
      <c r="I1210" s="35"/>
      <c r="J1210" s="36">
        <f>IFERROR(I1210/$AC1210,0)</f>
        <v>0</v>
      </c>
      <c r="K1210" s="38"/>
      <c r="L1210" s="36">
        <f>IFERROR(K1210/$AD1210,0)</f>
        <v>0</v>
      </c>
      <c r="M1210" s="35"/>
      <c r="N1210" s="36">
        <f>IFERROR(M1210/$AC1210,0)</f>
        <v>0</v>
      </c>
      <c r="O1210" s="38"/>
      <c r="P1210" s="36">
        <f>IFERROR(O1210/$AD1210,0)</f>
        <v>0</v>
      </c>
      <c r="Q1210" s="35"/>
      <c r="R1210" s="36">
        <f>IFERROR(Q1210/$AC1210,0)</f>
        <v>0</v>
      </c>
      <c r="S1210" s="38"/>
      <c r="T1210" s="36">
        <f>IFERROR(S1210/$AD1210,0)</f>
        <v>0</v>
      </c>
      <c r="U1210" s="35"/>
      <c r="V1210" s="36">
        <f>IFERROR(U1210/$AC1210,0)</f>
        <v>0</v>
      </c>
      <c r="W1210" s="38"/>
      <c r="X1210" s="36">
        <f>IFERROR(W1210/$AD1210,0)</f>
        <v>0</v>
      </c>
      <c r="Y1210" s="35"/>
      <c r="Z1210" s="36">
        <f>IFERROR(Y1210/$AC1210,0)</f>
        <v>0</v>
      </c>
      <c r="AA1210" s="38"/>
      <c r="AB1210" s="36">
        <f>IFERROR(AA1210/$AD1210,0)</f>
        <v>0</v>
      </c>
      <c r="AC1210" s="35"/>
      <c r="AD1210" s="38"/>
    </row>
    <row r="1211" spans="1:30" ht="15.75" customHeight="1" x14ac:dyDescent="0.25">
      <c r="A1211" s="37">
        <v>2016</v>
      </c>
      <c r="B1211" s="35">
        <v>171700</v>
      </c>
      <c r="C1211" s="34" t="s">
        <v>151</v>
      </c>
      <c r="D1211" s="34" t="s">
        <v>102</v>
      </c>
      <c r="E1211" s="35"/>
      <c r="F1211" s="36">
        <f>IFERROR(E1211/$AC1211,0)</f>
        <v>0</v>
      </c>
      <c r="G1211" s="38"/>
      <c r="H1211" s="36">
        <f>IFERROR(G1211/$AD1211,0)</f>
        <v>0</v>
      </c>
      <c r="I1211" s="35"/>
      <c r="J1211" s="36">
        <f>IFERROR(I1211/$AC1211,0)</f>
        <v>0</v>
      </c>
      <c r="K1211" s="38"/>
      <c r="L1211" s="36">
        <f>IFERROR(K1211/$AD1211,0)</f>
        <v>0</v>
      </c>
      <c r="M1211" s="35"/>
      <c r="N1211" s="36">
        <f>IFERROR(M1211/$AC1211,0)</f>
        <v>0</v>
      </c>
      <c r="O1211" s="38"/>
      <c r="P1211" s="36">
        <f>IFERROR(O1211/$AD1211,0)</f>
        <v>0</v>
      </c>
      <c r="Q1211" s="35"/>
      <c r="R1211" s="36">
        <f>IFERROR(Q1211/$AC1211,0)</f>
        <v>0</v>
      </c>
      <c r="S1211" s="38"/>
      <c r="T1211" s="36">
        <f>IFERROR(S1211/$AD1211,0)</f>
        <v>0</v>
      </c>
      <c r="U1211" s="35"/>
      <c r="V1211" s="36">
        <f>IFERROR(U1211/$AC1211,0)</f>
        <v>0</v>
      </c>
      <c r="W1211" s="38"/>
      <c r="X1211" s="36">
        <f>IFERROR(W1211/$AD1211,0)</f>
        <v>0</v>
      </c>
      <c r="Y1211" s="35"/>
      <c r="Z1211" s="36">
        <f>IFERROR(Y1211/$AC1211,0)</f>
        <v>0</v>
      </c>
      <c r="AA1211" s="38"/>
      <c r="AB1211" s="36">
        <f>IFERROR(AA1211/$AD1211,0)</f>
        <v>0</v>
      </c>
      <c r="AC1211" s="35"/>
      <c r="AD1211" s="38"/>
    </row>
    <row r="1212" spans="1:30" ht="15.75" customHeight="1" x14ac:dyDescent="0.25">
      <c r="A1212" s="37">
        <v>2016</v>
      </c>
      <c r="B1212" s="35">
        <v>171720</v>
      </c>
      <c r="C1212" s="34" t="s">
        <v>149</v>
      </c>
      <c r="D1212" s="34" t="s">
        <v>103</v>
      </c>
      <c r="E1212" s="35"/>
      <c r="F1212" s="36">
        <f>IFERROR(E1212/$AC1212,0)</f>
        <v>0</v>
      </c>
      <c r="G1212" s="38"/>
      <c r="H1212" s="36">
        <f>IFERROR(G1212/$AD1212,0)</f>
        <v>0</v>
      </c>
      <c r="I1212" s="35"/>
      <c r="J1212" s="36">
        <f>IFERROR(I1212/$AC1212,0)</f>
        <v>0</v>
      </c>
      <c r="K1212" s="38"/>
      <c r="L1212" s="36">
        <f>IFERROR(K1212/$AD1212,0)</f>
        <v>0</v>
      </c>
      <c r="M1212" s="35"/>
      <c r="N1212" s="36">
        <f>IFERROR(M1212/$AC1212,0)</f>
        <v>0</v>
      </c>
      <c r="O1212" s="38"/>
      <c r="P1212" s="36">
        <f>IFERROR(O1212/$AD1212,0)</f>
        <v>0</v>
      </c>
      <c r="Q1212" s="35"/>
      <c r="R1212" s="36">
        <f>IFERROR(Q1212/$AC1212,0)</f>
        <v>0</v>
      </c>
      <c r="S1212" s="38"/>
      <c r="T1212" s="36">
        <f>IFERROR(S1212/$AD1212,0)</f>
        <v>0</v>
      </c>
      <c r="U1212" s="35"/>
      <c r="V1212" s="36">
        <f>IFERROR(U1212/$AC1212,0)</f>
        <v>0</v>
      </c>
      <c r="W1212" s="38"/>
      <c r="X1212" s="36">
        <f>IFERROR(W1212/$AD1212,0)</f>
        <v>0</v>
      </c>
      <c r="Y1212" s="35"/>
      <c r="Z1212" s="36">
        <f>IFERROR(Y1212/$AC1212,0)</f>
        <v>0</v>
      </c>
      <c r="AA1212" s="38"/>
      <c r="AB1212" s="36">
        <f>IFERROR(AA1212/$AD1212,0)</f>
        <v>0</v>
      </c>
      <c r="AC1212" s="35"/>
      <c r="AD1212" s="38"/>
    </row>
    <row r="1213" spans="1:30" ht="15.75" customHeight="1" x14ac:dyDescent="0.25">
      <c r="A1213" s="37">
        <v>2016</v>
      </c>
      <c r="B1213" s="35">
        <v>171750</v>
      </c>
      <c r="C1213" s="34" t="s">
        <v>144</v>
      </c>
      <c r="D1213" s="34" t="s">
        <v>104</v>
      </c>
      <c r="E1213" s="35"/>
      <c r="F1213" s="36">
        <f>IFERROR(E1213/$AC1213,0)</f>
        <v>0</v>
      </c>
      <c r="G1213" s="38"/>
      <c r="H1213" s="36">
        <f>IFERROR(G1213/$AD1213,0)</f>
        <v>0</v>
      </c>
      <c r="I1213" s="35"/>
      <c r="J1213" s="36">
        <f>IFERROR(I1213/$AC1213,0)</f>
        <v>0</v>
      </c>
      <c r="K1213" s="38"/>
      <c r="L1213" s="36">
        <f>IFERROR(K1213/$AD1213,0)</f>
        <v>0</v>
      </c>
      <c r="M1213" s="35"/>
      <c r="N1213" s="36">
        <f>IFERROR(M1213/$AC1213,0)</f>
        <v>0</v>
      </c>
      <c r="O1213" s="38"/>
      <c r="P1213" s="36">
        <f>IFERROR(O1213/$AD1213,0)</f>
        <v>0</v>
      </c>
      <c r="Q1213" s="35"/>
      <c r="R1213" s="36">
        <f>IFERROR(Q1213/$AC1213,0)</f>
        <v>0</v>
      </c>
      <c r="S1213" s="38"/>
      <c r="T1213" s="36">
        <f>IFERROR(S1213/$AD1213,0)</f>
        <v>0</v>
      </c>
      <c r="U1213" s="35"/>
      <c r="V1213" s="36">
        <f>IFERROR(U1213/$AC1213,0)</f>
        <v>0</v>
      </c>
      <c r="W1213" s="38"/>
      <c r="X1213" s="36">
        <f>IFERROR(W1213/$AD1213,0)</f>
        <v>0</v>
      </c>
      <c r="Y1213" s="35"/>
      <c r="Z1213" s="36">
        <f>IFERROR(Y1213/$AC1213,0)</f>
        <v>0</v>
      </c>
      <c r="AA1213" s="38"/>
      <c r="AB1213" s="36">
        <f>IFERROR(AA1213/$AD1213,0)</f>
        <v>0</v>
      </c>
      <c r="AC1213" s="35"/>
      <c r="AD1213" s="38"/>
    </row>
    <row r="1214" spans="1:30" ht="15.75" customHeight="1" x14ac:dyDescent="0.25">
      <c r="A1214" s="37">
        <v>2016</v>
      </c>
      <c r="B1214" s="35">
        <v>171780</v>
      </c>
      <c r="C1214" s="34" t="s">
        <v>147</v>
      </c>
      <c r="D1214" s="34" t="s">
        <v>105</v>
      </c>
      <c r="E1214" s="35"/>
      <c r="F1214" s="36">
        <f>IFERROR(E1214/$AC1214,0)</f>
        <v>0</v>
      </c>
      <c r="G1214" s="38"/>
      <c r="H1214" s="36">
        <f>IFERROR(G1214/$AD1214,0)</f>
        <v>0</v>
      </c>
      <c r="I1214" s="35"/>
      <c r="J1214" s="36">
        <f>IFERROR(I1214/$AC1214,0)</f>
        <v>0</v>
      </c>
      <c r="K1214" s="38"/>
      <c r="L1214" s="36">
        <f>IFERROR(K1214/$AD1214,0)</f>
        <v>0</v>
      </c>
      <c r="M1214" s="35"/>
      <c r="N1214" s="36">
        <f>IFERROR(M1214/$AC1214,0)</f>
        <v>0</v>
      </c>
      <c r="O1214" s="38"/>
      <c r="P1214" s="36">
        <f>IFERROR(O1214/$AD1214,0)</f>
        <v>0</v>
      </c>
      <c r="Q1214" s="35"/>
      <c r="R1214" s="36">
        <f>IFERROR(Q1214/$AC1214,0)</f>
        <v>0</v>
      </c>
      <c r="S1214" s="38"/>
      <c r="T1214" s="36">
        <f>IFERROR(S1214/$AD1214,0)</f>
        <v>0</v>
      </c>
      <c r="U1214" s="35"/>
      <c r="V1214" s="36">
        <f>IFERROR(U1214/$AC1214,0)</f>
        <v>0</v>
      </c>
      <c r="W1214" s="38"/>
      <c r="X1214" s="36">
        <f>IFERROR(W1214/$AD1214,0)</f>
        <v>0</v>
      </c>
      <c r="Y1214" s="35"/>
      <c r="Z1214" s="36">
        <f>IFERROR(Y1214/$AC1214,0)</f>
        <v>0</v>
      </c>
      <c r="AA1214" s="38"/>
      <c r="AB1214" s="36">
        <f>IFERROR(AA1214/$AD1214,0)</f>
        <v>0</v>
      </c>
      <c r="AC1214" s="35"/>
      <c r="AD1214" s="38"/>
    </row>
    <row r="1215" spans="1:30" ht="15.75" customHeight="1" x14ac:dyDescent="0.25">
      <c r="A1215" s="37">
        <v>2016</v>
      </c>
      <c r="B1215" s="35">
        <v>171790</v>
      </c>
      <c r="C1215" s="34" t="s">
        <v>151</v>
      </c>
      <c r="D1215" s="34" t="s">
        <v>106</v>
      </c>
      <c r="E1215" s="35"/>
      <c r="F1215" s="36">
        <f>IFERROR(E1215/$AC1215,0)</f>
        <v>0</v>
      </c>
      <c r="G1215" s="38"/>
      <c r="H1215" s="36">
        <f>IFERROR(G1215/$AD1215,0)</f>
        <v>0</v>
      </c>
      <c r="I1215" s="35"/>
      <c r="J1215" s="36">
        <f>IFERROR(I1215/$AC1215,0)</f>
        <v>0</v>
      </c>
      <c r="K1215" s="38"/>
      <c r="L1215" s="36">
        <f>IFERROR(K1215/$AD1215,0)</f>
        <v>0</v>
      </c>
      <c r="M1215" s="35"/>
      <c r="N1215" s="36">
        <f>IFERROR(M1215/$AC1215,0)</f>
        <v>0</v>
      </c>
      <c r="O1215" s="38"/>
      <c r="P1215" s="36">
        <f>IFERROR(O1215/$AD1215,0)</f>
        <v>0</v>
      </c>
      <c r="Q1215" s="35"/>
      <c r="R1215" s="36">
        <f>IFERROR(Q1215/$AC1215,0)</f>
        <v>0</v>
      </c>
      <c r="S1215" s="38"/>
      <c r="T1215" s="36">
        <f>IFERROR(S1215/$AD1215,0)</f>
        <v>0</v>
      </c>
      <c r="U1215" s="35"/>
      <c r="V1215" s="36">
        <f>IFERROR(U1215/$AC1215,0)</f>
        <v>0</v>
      </c>
      <c r="W1215" s="38"/>
      <c r="X1215" s="36">
        <f>IFERROR(W1215/$AD1215,0)</f>
        <v>0</v>
      </c>
      <c r="Y1215" s="35"/>
      <c r="Z1215" s="36">
        <f>IFERROR(Y1215/$AC1215,0)</f>
        <v>0</v>
      </c>
      <c r="AA1215" s="38"/>
      <c r="AB1215" s="36">
        <f>IFERROR(AA1215/$AD1215,0)</f>
        <v>0</v>
      </c>
      <c r="AC1215" s="35"/>
      <c r="AD1215" s="38"/>
    </row>
    <row r="1216" spans="1:30" ht="15.75" customHeight="1" x14ac:dyDescent="0.25">
      <c r="A1216" s="37">
        <v>2016</v>
      </c>
      <c r="B1216" s="35">
        <v>171800</v>
      </c>
      <c r="C1216" s="34" t="s">
        <v>147</v>
      </c>
      <c r="D1216" s="34" t="s">
        <v>107</v>
      </c>
      <c r="E1216" s="35"/>
      <c r="F1216" s="36">
        <f>IFERROR(E1216/$AC1216,0)</f>
        <v>0</v>
      </c>
      <c r="G1216" s="38"/>
      <c r="H1216" s="36">
        <f>IFERROR(G1216/$AD1216,0)</f>
        <v>0</v>
      </c>
      <c r="I1216" s="35"/>
      <c r="J1216" s="36">
        <f>IFERROR(I1216/$AC1216,0)</f>
        <v>0</v>
      </c>
      <c r="K1216" s="38"/>
      <c r="L1216" s="36">
        <f>IFERROR(K1216/$AD1216,0)</f>
        <v>0</v>
      </c>
      <c r="M1216" s="35"/>
      <c r="N1216" s="36">
        <f>IFERROR(M1216/$AC1216,0)</f>
        <v>0</v>
      </c>
      <c r="O1216" s="38"/>
      <c r="P1216" s="36">
        <f>IFERROR(O1216/$AD1216,0)</f>
        <v>0</v>
      </c>
      <c r="Q1216" s="35"/>
      <c r="R1216" s="36">
        <f>IFERROR(Q1216/$AC1216,0)</f>
        <v>0</v>
      </c>
      <c r="S1216" s="38"/>
      <c r="T1216" s="36">
        <f>IFERROR(S1216/$AD1216,0)</f>
        <v>0</v>
      </c>
      <c r="U1216" s="35"/>
      <c r="V1216" s="36">
        <f>IFERROR(U1216/$AC1216,0)</f>
        <v>0</v>
      </c>
      <c r="W1216" s="38"/>
      <c r="X1216" s="36">
        <f>IFERROR(W1216/$AD1216,0)</f>
        <v>0</v>
      </c>
      <c r="Y1216" s="35"/>
      <c r="Z1216" s="36">
        <f>IFERROR(Y1216/$AC1216,0)</f>
        <v>0</v>
      </c>
      <c r="AA1216" s="38"/>
      <c r="AB1216" s="36">
        <f>IFERROR(AA1216/$AD1216,0)</f>
        <v>0</v>
      </c>
      <c r="AC1216" s="35"/>
      <c r="AD1216" s="38"/>
    </row>
    <row r="1217" spans="1:30" ht="15.75" customHeight="1" x14ac:dyDescent="0.25">
      <c r="A1217" s="37">
        <v>2016</v>
      </c>
      <c r="B1217" s="35">
        <v>171820</v>
      </c>
      <c r="C1217" s="34" t="s">
        <v>151</v>
      </c>
      <c r="D1217" s="34" t="s">
        <v>108</v>
      </c>
      <c r="E1217" s="35"/>
      <c r="F1217" s="36">
        <f>IFERROR(E1217/$AC1217,0)</f>
        <v>0</v>
      </c>
      <c r="G1217" s="38"/>
      <c r="H1217" s="36">
        <f>IFERROR(G1217/$AD1217,0)</f>
        <v>0</v>
      </c>
      <c r="I1217" s="35"/>
      <c r="J1217" s="36">
        <f>IFERROR(I1217/$AC1217,0)</f>
        <v>0</v>
      </c>
      <c r="K1217" s="38"/>
      <c r="L1217" s="36">
        <f>IFERROR(K1217/$AD1217,0)</f>
        <v>0</v>
      </c>
      <c r="M1217" s="35"/>
      <c r="N1217" s="36">
        <f>IFERROR(M1217/$AC1217,0)</f>
        <v>0</v>
      </c>
      <c r="O1217" s="38"/>
      <c r="P1217" s="36">
        <f>IFERROR(O1217/$AD1217,0)</f>
        <v>0</v>
      </c>
      <c r="Q1217" s="35"/>
      <c r="R1217" s="36">
        <f>IFERROR(Q1217/$AC1217,0)</f>
        <v>0</v>
      </c>
      <c r="S1217" s="38"/>
      <c r="T1217" s="36">
        <f>IFERROR(S1217/$AD1217,0)</f>
        <v>0</v>
      </c>
      <c r="U1217" s="35"/>
      <c r="V1217" s="36">
        <f>IFERROR(U1217/$AC1217,0)</f>
        <v>0</v>
      </c>
      <c r="W1217" s="38"/>
      <c r="X1217" s="36">
        <f>IFERROR(W1217/$AD1217,0)</f>
        <v>0</v>
      </c>
      <c r="Y1217" s="35"/>
      <c r="Z1217" s="36">
        <f>IFERROR(Y1217/$AC1217,0)</f>
        <v>0</v>
      </c>
      <c r="AA1217" s="38"/>
      <c r="AB1217" s="36">
        <f>IFERROR(AA1217/$AD1217,0)</f>
        <v>0</v>
      </c>
      <c r="AC1217" s="35"/>
      <c r="AD1217" s="38"/>
    </row>
    <row r="1218" spans="1:30" ht="15.75" customHeight="1" x14ac:dyDescent="0.25">
      <c r="A1218" s="37">
        <v>2016</v>
      </c>
      <c r="B1218" s="35">
        <v>171830</v>
      </c>
      <c r="C1218" s="34" t="s">
        <v>145</v>
      </c>
      <c r="D1218" s="34" t="s">
        <v>109</v>
      </c>
      <c r="E1218" s="35"/>
      <c r="F1218" s="36">
        <f>IFERROR(E1218/$AC1218,0)</f>
        <v>0</v>
      </c>
      <c r="G1218" s="38"/>
      <c r="H1218" s="36">
        <f>IFERROR(G1218/$AD1218,0)</f>
        <v>0</v>
      </c>
      <c r="I1218" s="35"/>
      <c r="J1218" s="36">
        <f>IFERROR(I1218/$AC1218,0)</f>
        <v>0</v>
      </c>
      <c r="K1218" s="38"/>
      <c r="L1218" s="36">
        <f>IFERROR(K1218/$AD1218,0)</f>
        <v>0</v>
      </c>
      <c r="M1218" s="35"/>
      <c r="N1218" s="36">
        <f>IFERROR(M1218/$AC1218,0)</f>
        <v>0</v>
      </c>
      <c r="O1218" s="38"/>
      <c r="P1218" s="36">
        <f>IFERROR(O1218/$AD1218,0)</f>
        <v>0</v>
      </c>
      <c r="Q1218" s="35"/>
      <c r="R1218" s="36">
        <f>IFERROR(Q1218/$AC1218,0)</f>
        <v>0</v>
      </c>
      <c r="S1218" s="38"/>
      <c r="T1218" s="36">
        <f>IFERROR(S1218/$AD1218,0)</f>
        <v>0</v>
      </c>
      <c r="U1218" s="35"/>
      <c r="V1218" s="36">
        <f>IFERROR(U1218/$AC1218,0)</f>
        <v>0</v>
      </c>
      <c r="W1218" s="38"/>
      <c r="X1218" s="36">
        <f>IFERROR(W1218/$AD1218,0)</f>
        <v>0</v>
      </c>
      <c r="Y1218" s="35"/>
      <c r="Z1218" s="36">
        <f>IFERROR(Y1218/$AC1218,0)</f>
        <v>0</v>
      </c>
      <c r="AA1218" s="38"/>
      <c r="AB1218" s="36">
        <f>IFERROR(AA1218/$AD1218,0)</f>
        <v>0</v>
      </c>
      <c r="AC1218" s="35"/>
      <c r="AD1218" s="38"/>
    </row>
    <row r="1219" spans="1:30" ht="15.75" customHeight="1" x14ac:dyDescent="0.25">
      <c r="A1219" s="37">
        <v>2016</v>
      </c>
      <c r="B1219" s="35">
        <v>171840</v>
      </c>
      <c r="C1219" s="34" t="s">
        <v>150</v>
      </c>
      <c r="D1219" s="34" t="s">
        <v>110</v>
      </c>
      <c r="E1219" s="35"/>
      <c r="F1219" s="36">
        <f>IFERROR(E1219/$AC1219,0)</f>
        <v>0</v>
      </c>
      <c r="G1219" s="38"/>
      <c r="H1219" s="36">
        <f>IFERROR(G1219/$AD1219,0)</f>
        <v>0</v>
      </c>
      <c r="I1219" s="35"/>
      <c r="J1219" s="36">
        <f>IFERROR(I1219/$AC1219,0)</f>
        <v>0</v>
      </c>
      <c r="K1219" s="38"/>
      <c r="L1219" s="36">
        <f>IFERROR(K1219/$AD1219,0)</f>
        <v>0</v>
      </c>
      <c r="M1219" s="35"/>
      <c r="N1219" s="36">
        <f>IFERROR(M1219/$AC1219,0)</f>
        <v>0</v>
      </c>
      <c r="O1219" s="38"/>
      <c r="P1219" s="36">
        <f>IFERROR(O1219/$AD1219,0)</f>
        <v>0</v>
      </c>
      <c r="Q1219" s="35"/>
      <c r="R1219" s="36">
        <f>IFERROR(Q1219/$AC1219,0)</f>
        <v>0</v>
      </c>
      <c r="S1219" s="38"/>
      <c r="T1219" s="36">
        <f>IFERROR(S1219/$AD1219,0)</f>
        <v>0</v>
      </c>
      <c r="U1219" s="35"/>
      <c r="V1219" s="36">
        <f>IFERROR(U1219/$AC1219,0)</f>
        <v>0</v>
      </c>
      <c r="W1219" s="38"/>
      <c r="X1219" s="36">
        <f>IFERROR(W1219/$AD1219,0)</f>
        <v>0</v>
      </c>
      <c r="Y1219" s="35"/>
      <c r="Z1219" s="36">
        <f>IFERROR(Y1219/$AC1219,0)</f>
        <v>0</v>
      </c>
      <c r="AA1219" s="38"/>
      <c r="AB1219" s="36">
        <f>IFERROR(AA1219/$AD1219,0)</f>
        <v>0</v>
      </c>
      <c r="AC1219" s="35"/>
      <c r="AD1219" s="38"/>
    </row>
    <row r="1220" spans="1:30" ht="15.75" customHeight="1" x14ac:dyDescent="0.25">
      <c r="A1220" s="37">
        <v>2016</v>
      </c>
      <c r="B1220" s="35">
        <v>171845</v>
      </c>
      <c r="C1220" s="34" t="s">
        <v>144</v>
      </c>
      <c r="D1220" s="34" t="s">
        <v>111</v>
      </c>
      <c r="E1220" s="35"/>
      <c r="F1220" s="36">
        <f>IFERROR(E1220/$AC1220,0)</f>
        <v>0</v>
      </c>
      <c r="G1220" s="38"/>
      <c r="H1220" s="36">
        <f>IFERROR(G1220/$AD1220,0)</f>
        <v>0</v>
      </c>
      <c r="I1220" s="35"/>
      <c r="J1220" s="36">
        <f>IFERROR(I1220/$AC1220,0)</f>
        <v>0</v>
      </c>
      <c r="K1220" s="38"/>
      <c r="L1220" s="36">
        <f>IFERROR(K1220/$AD1220,0)</f>
        <v>0</v>
      </c>
      <c r="M1220" s="35"/>
      <c r="N1220" s="36">
        <f>IFERROR(M1220/$AC1220,0)</f>
        <v>0</v>
      </c>
      <c r="O1220" s="38"/>
      <c r="P1220" s="36">
        <f>IFERROR(O1220/$AD1220,0)</f>
        <v>0</v>
      </c>
      <c r="Q1220" s="35"/>
      <c r="R1220" s="36">
        <f>IFERROR(Q1220/$AC1220,0)</f>
        <v>0</v>
      </c>
      <c r="S1220" s="38"/>
      <c r="T1220" s="36">
        <f>IFERROR(S1220/$AD1220,0)</f>
        <v>0</v>
      </c>
      <c r="U1220" s="35"/>
      <c r="V1220" s="36">
        <f>IFERROR(U1220/$AC1220,0)</f>
        <v>0</v>
      </c>
      <c r="W1220" s="38"/>
      <c r="X1220" s="36">
        <f>IFERROR(W1220/$AD1220,0)</f>
        <v>0</v>
      </c>
      <c r="Y1220" s="35"/>
      <c r="Z1220" s="36">
        <f>IFERROR(Y1220/$AC1220,0)</f>
        <v>0</v>
      </c>
      <c r="AA1220" s="38"/>
      <c r="AB1220" s="36">
        <f>IFERROR(AA1220/$AD1220,0)</f>
        <v>0</v>
      </c>
      <c r="AC1220" s="35"/>
      <c r="AD1220" s="38"/>
    </row>
    <row r="1221" spans="1:30" ht="15.75" customHeight="1" x14ac:dyDescent="0.25">
      <c r="A1221" s="37">
        <v>2016</v>
      </c>
      <c r="B1221" s="35">
        <v>171850</v>
      </c>
      <c r="C1221" s="34" t="s">
        <v>150</v>
      </c>
      <c r="D1221" s="34" t="s">
        <v>112</v>
      </c>
      <c r="E1221" s="35"/>
      <c r="F1221" s="36">
        <f>IFERROR(E1221/$AC1221,0)</f>
        <v>0</v>
      </c>
      <c r="G1221" s="38"/>
      <c r="H1221" s="36">
        <f>IFERROR(G1221/$AD1221,0)</f>
        <v>0</v>
      </c>
      <c r="I1221" s="35"/>
      <c r="J1221" s="36">
        <f>IFERROR(I1221/$AC1221,0)</f>
        <v>0</v>
      </c>
      <c r="K1221" s="38"/>
      <c r="L1221" s="36">
        <f>IFERROR(K1221/$AD1221,0)</f>
        <v>0</v>
      </c>
      <c r="M1221" s="35"/>
      <c r="N1221" s="36">
        <f>IFERROR(M1221/$AC1221,0)</f>
        <v>0</v>
      </c>
      <c r="O1221" s="38"/>
      <c r="P1221" s="36">
        <f>IFERROR(O1221/$AD1221,0)</f>
        <v>0</v>
      </c>
      <c r="Q1221" s="35"/>
      <c r="R1221" s="36">
        <f>IFERROR(Q1221/$AC1221,0)</f>
        <v>0</v>
      </c>
      <c r="S1221" s="38"/>
      <c r="T1221" s="36">
        <f>IFERROR(S1221/$AD1221,0)</f>
        <v>0</v>
      </c>
      <c r="U1221" s="35"/>
      <c r="V1221" s="36">
        <f>IFERROR(U1221/$AC1221,0)</f>
        <v>0</v>
      </c>
      <c r="W1221" s="38"/>
      <c r="X1221" s="36">
        <f>IFERROR(W1221/$AD1221,0)</f>
        <v>0</v>
      </c>
      <c r="Y1221" s="35"/>
      <c r="Z1221" s="36">
        <f>IFERROR(Y1221/$AC1221,0)</f>
        <v>0</v>
      </c>
      <c r="AA1221" s="38"/>
      <c r="AB1221" s="36">
        <f>IFERROR(AA1221/$AD1221,0)</f>
        <v>0</v>
      </c>
      <c r="AC1221" s="35"/>
      <c r="AD1221" s="38"/>
    </row>
    <row r="1222" spans="1:30" ht="15.75" customHeight="1" x14ac:dyDescent="0.25">
      <c r="A1222" s="37">
        <v>2016</v>
      </c>
      <c r="B1222" s="35">
        <v>171855</v>
      </c>
      <c r="C1222" s="34" t="s">
        <v>145</v>
      </c>
      <c r="D1222" s="34" t="s">
        <v>113</v>
      </c>
      <c r="E1222" s="35"/>
      <c r="F1222" s="36">
        <f>IFERROR(E1222/$AC1222,0)</f>
        <v>0</v>
      </c>
      <c r="G1222" s="38"/>
      <c r="H1222" s="36">
        <f>IFERROR(G1222/$AD1222,0)</f>
        <v>0</v>
      </c>
      <c r="I1222" s="35"/>
      <c r="J1222" s="36">
        <f>IFERROR(I1222/$AC1222,0)</f>
        <v>0</v>
      </c>
      <c r="K1222" s="38"/>
      <c r="L1222" s="36">
        <f>IFERROR(K1222/$AD1222,0)</f>
        <v>0</v>
      </c>
      <c r="M1222" s="35"/>
      <c r="N1222" s="36">
        <f>IFERROR(M1222/$AC1222,0)</f>
        <v>0</v>
      </c>
      <c r="O1222" s="38"/>
      <c r="P1222" s="36">
        <f>IFERROR(O1222/$AD1222,0)</f>
        <v>0</v>
      </c>
      <c r="Q1222" s="35"/>
      <c r="R1222" s="36">
        <f>IFERROR(Q1222/$AC1222,0)</f>
        <v>0</v>
      </c>
      <c r="S1222" s="38"/>
      <c r="T1222" s="36">
        <f>IFERROR(S1222/$AD1222,0)</f>
        <v>0</v>
      </c>
      <c r="U1222" s="35"/>
      <c r="V1222" s="36">
        <f>IFERROR(U1222/$AC1222,0)</f>
        <v>0</v>
      </c>
      <c r="W1222" s="38"/>
      <c r="X1222" s="36">
        <f>IFERROR(W1222/$AD1222,0)</f>
        <v>0</v>
      </c>
      <c r="Y1222" s="35"/>
      <c r="Z1222" s="36">
        <f>IFERROR(Y1222/$AC1222,0)</f>
        <v>0</v>
      </c>
      <c r="AA1222" s="38"/>
      <c r="AB1222" s="36">
        <f>IFERROR(AA1222/$AD1222,0)</f>
        <v>0</v>
      </c>
      <c r="AC1222" s="35"/>
      <c r="AD1222" s="38"/>
    </row>
    <row r="1223" spans="1:30" ht="15.75" customHeight="1" x14ac:dyDescent="0.25">
      <c r="A1223" s="37">
        <v>2016</v>
      </c>
      <c r="B1223" s="35">
        <v>171865</v>
      </c>
      <c r="C1223" s="34" t="s">
        <v>147</v>
      </c>
      <c r="D1223" s="34" t="s">
        <v>114</v>
      </c>
      <c r="E1223" s="35"/>
      <c r="F1223" s="36">
        <f>IFERROR(E1223/$AC1223,0)</f>
        <v>0</v>
      </c>
      <c r="G1223" s="38"/>
      <c r="H1223" s="36">
        <f>IFERROR(G1223/$AD1223,0)</f>
        <v>0</v>
      </c>
      <c r="I1223" s="35"/>
      <c r="J1223" s="36">
        <f>IFERROR(I1223/$AC1223,0)</f>
        <v>0</v>
      </c>
      <c r="K1223" s="38"/>
      <c r="L1223" s="36">
        <f>IFERROR(K1223/$AD1223,0)</f>
        <v>0</v>
      </c>
      <c r="M1223" s="35"/>
      <c r="N1223" s="36">
        <f>IFERROR(M1223/$AC1223,0)</f>
        <v>0</v>
      </c>
      <c r="O1223" s="38"/>
      <c r="P1223" s="36">
        <f>IFERROR(O1223/$AD1223,0)</f>
        <v>0</v>
      </c>
      <c r="Q1223" s="35"/>
      <c r="R1223" s="36">
        <f>IFERROR(Q1223/$AC1223,0)</f>
        <v>0</v>
      </c>
      <c r="S1223" s="38"/>
      <c r="T1223" s="36">
        <f>IFERROR(S1223/$AD1223,0)</f>
        <v>0</v>
      </c>
      <c r="U1223" s="35"/>
      <c r="V1223" s="36">
        <f>IFERROR(U1223/$AC1223,0)</f>
        <v>0</v>
      </c>
      <c r="W1223" s="38"/>
      <c r="X1223" s="36">
        <f>IFERROR(W1223/$AD1223,0)</f>
        <v>0</v>
      </c>
      <c r="Y1223" s="35"/>
      <c r="Z1223" s="36">
        <f>IFERROR(Y1223/$AC1223,0)</f>
        <v>0</v>
      </c>
      <c r="AA1223" s="38"/>
      <c r="AB1223" s="36">
        <f>IFERROR(AA1223/$AD1223,0)</f>
        <v>0</v>
      </c>
      <c r="AC1223" s="35"/>
      <c r="AD1223" s="38"/>
    </row>
    <row r="1224" spans="1:30" ht="15.75" customHeight="1" x14ac:dyDescent="0.25">
      <c r="A1224" s="37">
        <v>2016</v>
      </c>
      <c r="B1224" s="35">
        <v>171870</v>
      </c>
      <c r="C1224" s="34" t="s">
        <v>148</v>
      </c>
      <c r="D1224" s="34" t="s">
        <v>115</v>
      </c>
      <c r="E1224" s="35"/>
      <c r="F1224" s="36">
        <f>IFERROR(E1224/$AC1224,0)</f>
        <v>0</v>
      </c>
      <c r="G1224" s="38"/>
      <c r="H1224" s="36">
        <f>IFERROR(G1224/$AD1224,0)</f>
        <v>0</v>
      </c>
      <c r="I1224" s="35"/>
      <c r="J1224" s="36">
        <f>IFERROR(I1224/$AC1224,0)</f>
        <v>0</v>
      </c>
      <c r="K1224" s="38"/>
      <c r="L1224" s="36">
        <f>IFERROR(K1224/$AD1224,0)</f>
        <v>0</v>
      </c>
      <c r="M1224" s="35"/>
      <c r="N1224" s="36">
        <f>IFERROR(M1224/$AC1224,0)</f>
        <v>0</v>
      </c>
      <c r="O1224" s="38"/>
      <c r="P1224" s="36">
        <f>IFERROR(O1224/$AD1224,0)</f>
        <v>0</v>
      </c>
      <c r="Q1224" s="35"/>
      <c r="R1224" s="36">
        <f>IFERROR(Q1224/$AC1224,0)</f>
        <v>0</v>
      </c>
      <c r="S1224" s="38"/>
      <c r="T1224" s="36">
        <f>IFERROR(S1224/$AD1224,0)</f>
        <v>0</v>
      </c>
      <c r="U1224" s="35"/>
      <c r="V1224" s="36">
        <f>IFERROR(U1224/$AC1224,0)</f>
        <v>0</v>
      </c>
      <c r="W1224" s="38"/>
      <c r="X1224" s="36">
        <f>IFERROR(W1224/$AD1224,0)</f>
        <v>0</v>
      </c>
      <c r="Y1224" s="35"/>
      <c r="Z1224" s="36">
        <f>IFERROR(Y1224/$AC1224,0)</f>
        <v>0</v>
      </c>
      <c r="AA1224" s="38"/>
      <c r="AB1224" s="36">
        <f>IFERROR(AA1224/$AD1224,0)</f>
        <v>0</v>
      </c>
      <c r="AC1224" s="35"/>
      <c r="AD1224" s="38"/>
    </row>
    <row r="1225" spans="1:30" ht="15.75" customHeight="1" x14ac:dyDescent="0.25">
      <c r="A1225" s="37">
        <v>2016</v>
      </c>
      <c r="B1225" s="35">
        <v>171875</v>
      </c>
      <c r="C1225" s="34" t="s">
        <v>148</v>
      </c>
      <c r="D1225" s="34" t="s">
        <v>116</v>
      </c>
      <c r="E1225" s="35"/>
      <c r="F1225" s="36">
        <f>IFERROR(E1225/$AC1225,0)</f>
        <v>0</v>
      </c>
      <c r="G1225" s="38"/>
      <c r="H1225" s="36">
        <f>IFERROR(G1225/$AD1225,0)</f>
        <v>0</v>
      </c>
      <c r="I1225" s="35"/>
      <c r="J1225" s="36">
        <f>IFERROR(I1225/$AC1225,0)</f>
        <v>0</v>
      </c>
      <c r="K1225" s="38"/>
      <c r="L1225" s="36">
        <f>IFERROR(K1225/$AD1225,0)</f>
        <v>0</v>
      </c>
      <c r="M1225" s="35"/>
      <c r="N1225" s="36">
        <f>IFERROR(M1225/$AC1225,0)</f>
        <v>0</v>
      </c>
      <c r="O1225" s="38"/>
      <c r="P1225" s="36">
        <f>IFERROR(O1225/$AD1225,0)</f>
        <v>0</v>
      </c>
      <c r="Q1225" s="35"/>
      <c r="R1225" s="36">
        <f>IFERROR(Q1225/$AC1225,0)</f>
        <v>0</v>
      </c>
      <c r="S1225" s="38"/>
      <c r="T1225" s="36">
        <f>IFERROR(S1225/$AD1225,0)</f>
        <v>0</v>
      </c>
      <c r="U1225" s="35"/>
      <c r="V1225" s="36">
        <f>IFERROR(U1225/$AC1225,0)</f>
        <v>0</v>
      </c>
      <c r="W1225" s="38"/>
      <c r="X1225" s="36">
        <f>IFERROR(W1225/$AD1225,0)</f>
        <v>0</v>
      </c>
      <c r="Y1225" s="35"/>
      <c r="Z1225" s="36">
        <f>IFERROR(Y1225/$AC1225,0)</f>
        <v>0</v>
      </c>
      <c r="AA1225" s="38"/>
      <c r="AB1225" s="36">
        <f>IFERROR(AA1225/$AD1225,0)</f>
        <v>0</v>
      </c>
      <c r="AC1225" s="35"/>
      <c r="AD1225" s="38"/>
    </row>
    <row r="1226" spans="1:30" ht="15.75" customHeight="1" x14ac:dyDescent="0.25">
      <c r="A1226" s="37">
        <v>2016</v>
      </c>
      <c r="B1226" s="35">
        <v>171880</v>
      </c>
      <c r="C1226" s="34" t="s">
        <v>145</v>
      </c>
      <c r="D1226" s="34" t="s">
        <v>117</v>
      </c>
      <c r="E1226" s="35"/>
      <c r="F1226" s="36">
        <f>IFERROR(E1226/$AC1226,0)</f>
        <v>0</v>
      </c>
      <c r="G1226" s="38"/>
      <c r="H1226" s="36">
        <f>IFERROR(G1226/$AD1226,0)</f>
        <v>0</v>
      </c>
      <c r="I1226" s="35"/>
      <c r="J1226" s="36">
        <f>IFERROR(I1226/$AC1226,0)</f>
        <v>0</v>
      </c>
      <c r="K1226" s="38"/>
      <c r="L1226" s="36">
        <f>IFERROR(K1226/$AD1226,0)</f>
        <v>0</v>
      </c>
      <c r="M1226" s="35"/>
      <c r="N1226" s="36">
        <f>IFERROR(M1226/$AC1226,0)</f>
        <v>0</v>
      </c>
      <c r="O1226" s="38"/>
      <c r="P1226" s="36">
        <f>IFERROR(O1226/$AD1226,0)</f>
        <v>0</v>
      </c>
      <c r="Q1226" s="35"/>
      <c r="R1226" s="36">
        <f>IFERROR(Q1226/$AC1226,0)</f>
        <v>0</v>
      </c>
      <c r="S1226" s="38"/>
      <c r="T1226" s="36">
        <f>IFERROR(S1226/$AD1226,0)</f>
        <v>0</v>
      </c>
      <c r="U1226" s="35"/>
      <c r="V1226" s="36">
        <f>IFERROR(U1226/$AC1226,0)</f>
        <v>0</v>
      </c>
      <c r="W1226" s="38"/>
      <c r="X1226" s="36">
        <f>IFERROR(W1226/$AD1226,0)</f>
        <v>0</v>
      </c>
      <c r="Y1226" s="35"/>
      <c r="Z1226" s="36">
        <f>IFERROR(Y1226/$AC1226,0)</f>
        <v>0</v>
      </c>
      <c r="AA1226" s="38"/>
      <c r="AB1226" s="36">
        <f>IFERROR(AA1226/$AD1226,0)</f>
        <v>0</v>
      </c>
      <c r="AC1226" s="35"/>
      <c r="AD1226" s="38"/>
    </row>
    <row r="1227" spans="1:30" ht="15.75" customHeight="1" x14ac:dyDescent="0.25">
      <c r="A1227" s="37">
        <v>2016</v>
      </c>
      <c r="B1227" s="35">
        <v>171884</v>
      </c>
      <c r="C1227" s="34" t="s">
        <v>146</v>
      </c>
      <c r="D1227" s="34" t="s">
        <v>118</v>
      </c>
      <c r="E1227" s="35"/>
      <c r="F1227" s="36">
        <f>IFERROR(E1227/$AC1227,0)</f>
        <v>0</v>
      </c>
      <c r="G1227" s="38"/>
      <c r="H1227" s="36">
        <f>IFERROR(G1227/$AD1227,0)</f>
        <v>0</v>
      </c>
      <c r="I1227" s="35"/>
      <c r="J1227" s="36">
        <f>IFERROR(I1227/$AC1227,0)</f>
        <v>0</v>
      </c>
      <c r="K1227" s="38"/>
      <c r="L1227" s="36">
        <f>IFERROR(K1227/$AD1227,0)</f>
        <v>0</v>
      </c>
      <c r="M1227" s="35"/>
      <c r="N1227" s="36">
        <f>IFERROR(M1227/$AC1227,0)</f>
        <v>0</v>
      </c>
      <c r="O1227" s="38"/>
      <c r="P1227" s="36">
        <f>IFERROR(O1227/$AD1227,0)</f>
        <v>0</v>
      </c>
      <c r="Q1227" s="35"/>
      <c r="R1227" s="36">
        <f>IFERROR(Q1227/$AC1227,0)</f>
        <v>0</v>
      </c>
      <c r="S1227" s="38"/>
      <c r="T1227" s="36">
        <f>IFERROR(S1227/$AD1227,0)</f>
        <v>0</v>
      </c>
      <c r="U1227" s="35"/>
      <c r="V1227" s="36">
        <f>IFERROR(U1227/$AC1227,0)</f>
        <v>0</v>
      </c>
      <c r="W1227" s="38"/>
      <c r="X1227" s="36">
        <f>IFERROR(W1227/$AD1227,0)</f>
        <v>0</v>
      </c>
      <c r="Y1227" s="35"/>
      <c r="Z1227" s="36">
        <f>IFERROR(Y1227/$AC1227,0)</f>
        <v>0</v>
      </c>
      <c r="AA1227" s="38"/>
      <c r="AB1227" s="36">
        <f>IFERROR(AA1227/$AD1227,0)</f>
        <v>0</v>
      </c>
      <c r="AC1227" s="35"/>
      <c r="AD1227" s="38"/>
    </row>
    <row r="1228" spans="1:30" ht="15.75" customHeight="1" x14ac:dyDescent="0.25">
      <c r="A1228" s="37">
        <v>2016</v>
      </c>
      <c r="B1228" s="35">
        <v>171886</v>
      </c>
      <c r="C1228" s="34" t="s">
        <v>149</v>
      </c>
      <c r="D1228" s="34" t="s">
        <v>119</v>
      </c>
      <c r="E1228" s="35"/>
      <c r="F1228" s="36">
        <f>IFERROR(E1228/$AC1228,0)</f>
        <v>0</v>
      </c>
      <c r="G1228" s="38"/>
      <c r="H1228" s="36">
        <f>IFERROR(G1228/$AD1228,0)</f>
        <v>0</v>
      </c>
      <c r="I1228" s="35"/>
      <c r="J1228" s="36">
        <f>IFERROR(I1228/$AC1228,0)</f>
        <v>0</v>
      </c>
      <c r="K1228" s="38"/>
      <c r="L1228" s="36">
        <f>IFERROR(K1228/$AD1228,0)</f>
        <v>0</v>
      </c>
      <c r="M1228" s="35"/>
      <c r="N1228" s="36">
        <f>IFERROR(M1228/$AC1228,0)</f>
        <v>0</v>
      </c>
      <c r="O1228" s="38"/>
      <c r="P1228" s="36">
        <f>IFERROR(O1228/$AD1228,0)</f>
        <v>0</v>
      </c>
      <c r="Q1228" s="35"/>
      <c r="R1228" s="36">
        <f>IFERROR(Q1228/$AC1228,0)</f>
        <v>0</v>
      </c>
      <c r="S1228" s="38"/>
      <c r="T1228" s="36">
        <f>IFERROR(S1228/$AD1228,0)</f>
        <v>0</v>
      </c>
      <c r="U1228" s="35"/>
      <c r="V1228" s="36">
        <f>IFERROR(U1228/$AC1228,0)</f>
        <v>0</v>
      </c>
      <c r="W1228" s="38"/>
      <c r="X1228" s="36">
        <f>IFERROR(W1228/$AD1228,0)</f>
        <v>0</v>
      </c>
      <c r="Y1228" s="35"/>
      <c r="Z1228" s="36">
        <f>IFERROR(Y1228/$AC1228,0)</f>
        <v>0</v>
      </c>
      <c r="AA1228" s="38"/>
      <c r="AB1228" s="36">
        <f>IFERROR(AA1228/$AD1228,0)</f>
        <v>0</v>
      </c>
      <c r="AC1228" s="35"/>
      <c r="AD1228" s="38"/>
    </row>
    <row r="1229" spans="1:30" ht="15.75" customHeight="1" x14ac:dyDescent="0.25">
      <c r="A1229" s="37">
        <v>2016</v>
      </c>
      <c r="B1229" s="35">
        <v>171888</v>
      </c>
      <c r="C1229" s="34" t="s">
        <v>150</v>
      </c>
      <c r="D1229" s="34" t="s">
        <v>120</v>
      </c>
      <c r="E1229" s="35"/>
      <c r="F1229" s="36">
        <f>IFERROR(E1229/$AC1229,0)</f>
        <v>0</v>
      </c>
      <c r="G1229" s="38"/>
      <c r="H1229" s="36">
        <f>IFERROR(G1229/$AD1229,0)</f>
        <v>0</v>
      </c>
      <c r="I1229" s="35"/>
      <c r="J1229" s="36">
        <f>IFERROR(I1229/$AC1229,0)</f>
        <v>0</v>
      </c>
      <c r="K1229" s="38"/>
      <c r="L1229" s="36">
        <f>IFERROR(K1229/$AD1229,0)</f>
        <v>0</v>
      </c>
      <c r="M1229" s="35"/>
      <c r="N1229" s="36">
        <f>IFERROR(M1229/$AC1229,0)</f>
        <v>0</v>
      </c>
      <c r="O1229" s="38"/>
      <c r="P1229" s="36">
        <f>IFERROR(O1229/$AD1229,0)</f>
        <v>0</v>
      </c>
      <c r="Q1229" s="35"/>
      <c r="R1229" s="36">
        <f>IFERROR(Q1229/$AC1229,0)</f>
        <v>0</v>
      </c>
      <c r="S1229" s="38"/>
      <c r="T1229" s="36">
        <f>IFERROR(S1229/$AD1229,0)</f>
        <v>0</v>
      </c>
      <c r="U1229" s="35"/>
      <c r="V1229" s="36">
        <f>IFERROR(U1229/$AC1229,0)</f>
        <v>0</v>
      </c>
      <c r="W1229" s="38"/>
      <c r="X1229" s="36">
        <f>IFERROR(W1229/$AD1229,0)</f>
        <v>0</v>
      </c>
      <c r="Y1229" s="35"/>
      <c r="Z1229" s="36">
        <f>IFERROR(Y1229/$AC1229,0)</f>
        <v>0</v>
      </c>
      <c r="AA1229" s="38"/>
      <c r="AB1229" s="36">
        <f>IFERROR(AA1229/$AD1229,0)</f>
        <v>0</v>
      </c>
      <c r="AC1229" s="35"/>
      <c r="AD1229" s="38"/>
    </row>
    <row r="1230" spans="1:30" ht="15.75" customHeight="1" x14ac:dyDescent="0.25">
      <c r="A1230" s="37">
        <v>2016</v>
      </c>
      <c r="B1230" s="35">
        <v>171889</v>
      </c>
      <c r="C1230" s="34" t="s">
        <v>146</v>
      </c>
      <c r="D1230" s="34" t="s">
        <v>121</v>
      </c>
      <c r="E1230" s="35"/>
      <c r="F1230" s="36">
        <f>IFERROR(E1230/$AC1230,0)</f>
        <v>0</v>
      </c>
      <c r="G1230" s="38"/>
      <c r="H1230" s="36">
        <f>IFERROR(G1230/$AD1230,0)</f>
        <v>0</v>
      </c>
      <c r="I1230" s="35"/>
      <c r="J1230" s="36">
        <f>IFERROR(I1230/$AC1230,0)</f>
        <v>0</v>
      </c>
      <c r="K1230" s="38"/>
      <c r="L1230" s="36">
        <f>IFERROR(K1230/$AD1230,0)</f>
        <v>0</v>
      </c>
      <c r="M1230" s="35"/>
      <c r="N1230" s="36">
        <f>IFERROR(M1230/$AC1230,0)</f>
        <v>0</v>
      </c>
      <c r="O1230" s="38"/>
      <c r="P1230" s="36">
        <f>IFERROR(O1230/$AD1230,0)</f>
        <v>0</v>
      </c>
      <c r="Q1230" s="35"/>
      <c r="R1230" s="36">
        <f>IFERROR(Q1230/$AC1230,0)</f>
        <v>0</v>
      </c>
      <c r="S1230" s="38"/>
      <c r="T1230" s="36">
        <f>IFERROR(S1230/$AD1230,0)</f>
        <v>0</v>
      </c>
      <c r="U1230" s="35"/>
      <c r="V1230" s="36">
        <f>IFERROR(U1230/$AC1230,0)</f>
        <v>0</v>
      </c>
      <c r="W1230" s="38"/>
      <c r="X1230" s="36">
        <f>IFERROR(W1230/$AD1230,0)</f>
        <v>0</v>
      </c>
      <c r="Y1230" s="35"/>
      <c r="Z1230" s="36">
        <f>IFERROR(Y1230/$AC1230,0)</f>
        <v>0</v>
      </c>
      <c r="AA1230" s="38"/>
      <c r="AB1230" s="36">
        <f>IFERROR(AA1230/$AD1230,0)</f>
        <v>0</v>
      </c>
      <c r="AC1230" s="35"/>
      <c r="AD1230" s="38"/>
    </row>
    <row r="1231" spans="1:30" ht="15.75" customHeight="1" x14ac:dyDescent="0.25">
      <c r="A1231" s="37">
        <v>2016</v>
      </c>
      <c r="B1231" s="35">
        <v>171890</v>
      </c>
      <c r="C1231" s="34" t="s">
        <v>151</v>
      </c>
      <c r="D1231" s="34" t="s">
        <v>122</v>
      </c>
      <c r="E1231" s="35"/>
      <c r="F1231" s="36">
        <f>IFERROR(E1231/$AC1231,0)</f>
        <v>0</v>
      </c>
      <c r="G1231" s="38"/>
      <c r="H1231" s="36">
        <f>IFERROR(G1231/$AD1231,0)</f>
        <v>0</v>
      </c>
      <c r="I1231" s="35"/>
      <c r="J1231" s="36">
        <f>IFERROR(I1231/$AC1231,0)</f>
        <v>0</v>
      </c>
      <c r="K1231" s="38"/>
      <c r="L1231" s="36">
        <f>IFERROR(K1231/$AD1231,0)</f>
        <v>0</v>
      </c>
      <c r="M1231" s="35"/>
      <c r="N1231" s="36">
        <f>IFERROR(M1231/$AC1231,0)</f>
        <v>0</v>
      </c>
      <c r="O1231" s="38"/>
      <c r="P1231" s="36">
        <f>IFERROR(O1231/$AD1231,0)</f>
        <v>0</v>
      </c>
      <c r="Q1231" s="35"/>
      <c r="R1231" s="36">
        <f>IFERROR(Q1231/$AC1231,0)</f>
        <v>0</v>
      </c>
      <c r="S1231" s="38"/>
      <c r="T1231" s="36">
        <f>IFERROR(S1231/$AD1231,0)</f>
        <v>0</v>
      </c>
      <c r="U1231" s="35"/>
      <c r="V1231" s="36">
        <f>IFERROR(U1231/$AC1231,0)</f>
        <v>0</v>
      </c>
      <c r="W1231" s="38"/>
      <c r="X1231" s="36">
        <f>IFERROR(W1231/$AD1231,0)</f>
        <v>0</v>
      </c>
      <c r="Y1231" s="35"/>
      <c r="Z1231" s="36">
        <f>IFERROR(Y1231/$AC1231,0)</f>
        <v>0</v>
      </c>
      <c r="AA1231" s="38"/>
      <c r="AB1231" s="36">
        <f>IFERROR(AA1231/$AD1231,0)</f>
        <v>0</v>
      </c>
      <c r="AC1231" s="35"/>
      <c r="AD1231" s="38"/>
    </row>
    <row r="1232" spans="1:30" ht="15.75" customHeight="1" x14ac:dyDescent="0.25">
      <c r="A1232" s="37">
        <v>2016</v>
      </c>
      <c r="B1232" s="35">
        <v>171900</v>
      </c>
      <c r="C1232" s="34" t="s">
        <v>148</v>
      </c>
      <c r="D1232" s="34" t="s">
        <v>123</v>
      </c>
      <c r="E1232" s="35"/>
      <c r="F1232" s="36">
        <f>IFERROR(E1232/$AC1232,0)</f>
        <v>0</v>
      </c>
      <c r="G1232" s="38"/>
      <c r="H1232" s="36">
        <f>IFERROR(G1232/$AD1232,0)</f>
        <v>0</v>
      </c>
      <c r="I1232" s="35"/>
      <c r="J1232" s="36">
        <f>IFERROR(I1232/$AC1232,0)</f>
        <v>0</v>
      </c>
      <c r="K1232" s="38"/>
      <c r="L1232" s="36">
        <f>IFERROR(K1232/$AD1232,0)</f>
        <v>0</v>
      </c>
      <c r="M1232" s="35"/>
      <c r="N1232" s="36">
        <f>IFERROR(M1232/$AC1232,0)</f>
        <v>0</v>
      </c>
      <c r="O1232" s="38"/>
      <c r="P1232" s="36">
        <f>IFERROR(O1232/$AD1232,0)</f>
        <v>0</v>
      </c>
      <c r="Q1232" s="35"/>
      <c r="R1232" s="36">
        <f>IFERROR(Q1232/$AC1232,0)</f>
        <v>0</v>
      </c>
      <c r="S1232" s="38"/>
      <c r="T1232" s="36">
        <f>IFERROR(S1232/$AD1232,0)</f>
        <v>0</v>
      </c>
      <c r="U1232" s="35"/>
      <c r="V1232" s="36">
        <f>IFERROR(U1232/$AC1232,0)</f>
        <v>0</v>
      </c>
      <c r="W1232" s="38"/>
      <c r="X1232" s="36">
        <f>IFERROR(W1232/$AD1232,0)</f>
        <v>0</v>
      </c>
      <c r="Y1232" s="35"/>
      <c r="Z1232" s="36">
        <f>IFERROR(Y1232/$AC1232,0)</f>
        <v>0</v>
      </c>
      <c r="AA1232" s="38"/>
      <c r="AB1232" s="36">
        <f>IFERROR(AA1232/$AD1232,0)</f>
        <v>0</v>
      </c>
      <c r="AC1232" s="35"/>
      <c r="AD1232" s="38"/>
    </row>
    <row r="1233" spans="1:30" ht="15.75" customHeight="1" x14ac:dyDescent="0.25">
      <c r="A1233" s="37">
        <v>2016</v>
      </c>
      <c r="B1233" s="35">
        <v>172000</v>
      </c>
      <c r="C1233" s="34" t="s">
        <v>145</v>
      </c>
      <c r="D1233" s="34" t="s">
        <v>124</v>
      </c>
      <c r="E1233" s="35"/>
      <c r="F1233" s="36">
        <f>IFERROR(E1233/$AC1233,0)</f>
        <v>0</v>
      </c>
      <c r="G1233" s="38"/>
      <c r="H1233" s="36">
        <f>IFERROR(G1233/$AD1233,0)</f>
        <v>0</v>
      </c>
      <c r="I1233" s="35"/>
      <c r="J1233" s="36">
        <f>IFERROR(I1233/$AC1233,0)</f>
        <v>0</v>
      </c>
      <c r="K1233" s="38"/>
      <c r="L1233" s="36">
        <f>IFERROR(K1233/$AD1233,0)</f>
        <v>0</v>
      </c>
      <c r="M1233" s="35"/>
      <c r="N1233" s="36">
        <f>IFERROR(M1233/$AC1233,0)</f>
        <v>0</v>
      </c>
      <c r="O1233" s="38"/>
      <c r="P1233" s="36">
        <f>IFERROR(O1233/$AD1233,0)</f>
        <v>0</v>
      </c>
      <c r="Q1233" s="35"/>
      <c r="R1233" s="36">
        <f>IFERROR(Q1233/$AC1233,0)</f>
        <v>0</v>
      </c>
      <c r="S1233" s="38"/>
      <c r="T1233" s="36">
        <f>IFERROR(S1233/$AD1233,0)</f>
        <v>0</v>
      </c>
      <c r="U1233" s="35"/>
      <c r="V1233" s="36">
        <f>IFERROR(U1233/$AC1233,0)</f>
        <v>0</v>
      </c>
      <c r="W1233" s="38"/>
      <c r="X1233" s="36">
        <f>IFERROR(W1233/$AD1233,0)</f>
        <v>0</v>
      </c>
      <c r="Y1233" s="35"/>
      <c r="Z1233" s="36">
        <f>IFERROR(Y1233/$AC1233,0)</f>
        <v>0</v>
      </c>
      <c r="AA1233" s="38"/>
      <c r="AB1233" s="36">
        <f>IFERROR(AA1233/$AD1233,0)</f>
        <v>0</v>
      </c>
      <c r="AC1233" s="35"/>
      <c r="AD1233" s="38"/>
    </row>
    <row r="1234" spans="1:30" ht="15.75" customHeight="1" x14ac:dyDescent="0.25">
      <c r="A1234" s="37">
        <v>2016</v>
      </c>
      <c r="B1234" s="35">
        <v>172010</v>
      </c>
      <c r="C1234" s="34" t="s">
        <v>145</v>
      </c>
      <c r="D1234" s="34" t="s">
        <v>125</v>
      </c>
      <c r="E1234" s="35"/>
      <c r="F1234" s="36">
        <f>IFERROR(E1234/$AC1234,0)</f>
        <v>0</v>
      </c>
      <c r="G1234" s="38"/>
      <c r="H1234" s="36">
        <f>IFERROR(G1234/$AD1234,0)</f>
        <v>0</v>
      </c>
      <c r="I1234" s="35"/>
      <c r="J1234" s="36">
        <f>IFERROR(I1234/$AC1234,0)</f>
        <v>0</v>
      </c>
      <c r="K1234" s="38"/>
      <c r="L1234" s="36">
        <f>IFERROR(K1234/$AD1234,0)</f>
        <v>0</v>
      </c>
      <c r="M1234" s="35"/>
      <c r="N1234" s="36">
        <f>IFERROR(M1234/$AC1234,0)</f>
        <v>0</v>
      </c>
      <c r="O1234" s="38"/>
      <c r="P1234" s="36">
        <f>IFERROR(O1234/$AD1234,0)</f>
        <v>0</v>
      </c>
      <c r="Q1234" s="35"/>
      <c r="R1234" s="36">
        <f>IFERROR(Q1234/$AC1234,0)</f>
        <v>0</v>
      </c>
      <c r="S1234" s="38"/>
      <c r="T1234" s="36">
        <f>IFERROR(S1234/$AD1234,0)</f>
        <v>0</v>
      </c>
      <c r="U1234" s="35"/>
      <c r="V1234" s="36">
        <f>IFERROR(U1234/$AC1234,0)</f>
        <v>0</v>
      </c>
      <c r="W1234" s="38"/>
      <c r="X1234" s="36">
        <f>IFERROR(W1234/$AD1234,0)</f>
        <v>0</v>
      </c>
      <c r="Y1234" s="35"/>
      <c r="Z1234" s="36">
        <f>IFERROR(Y1234/$AC1234,0)</f>
        <v>0</v>
      </c>
      <c r="AA1234" s="38"/>
      <c r="AB1234" s="36">
        <f>IFERROR(AA1234/$AD1234,0)</f>
        <v>0</v>
      </c>
      <c r="AC1234" s="35"/>
      <c r="AD1234" s="38"/>
    </row>
    <row r="1235" spans="1:30" ht="15.75" customHeight="1" x14ac:dyDescent="0.25">
      <c r="A1235" s="37">
        <v>2016</v>
      </c>
      <c r="B1235" s="35">
        <v>172015</v>
      </c>
      <c r="C1235" s="34" t="s">
        <v>148</v>
      </c>
      <c r="D1235" s="34" t="s">
        <v>126</v>
      </c>
      <c r="E1235" s="35"/>
      <c r="F1235" s="36">
        <f>IFERROR(E1235/$AC1235,0)</f>
        <v>0</v>
      </c>
      <c r="G1235" s="38"/>
      <c r="H1235" s="36">
        <f>IFERROR(G1235/$AD1235,0)</f>
        <v>0</v>
      </c>
      <c r="I1235" s="35"/>
      <c r="J1235" s="36">
        <f>IFERROR(I1235/$AC1235,0)</f>
        <v>0</v>
      </c>
      <c r="K1235" s="38"/>
      <c r="L1235" s="36">
        <f>IFERROR(K1235/$AD1235,0)</f>
        <v>0</v>
      </c>
      <c r="M1235" s="35"/>
      <c r="N1235" s="36">
        <f>IFERROR(M1235/$AC1235,0)</f>
        <v>0</v>
      </c>
      <c r="O1235" s="38"/>
      <c r="P1235" s="36">
        <f>IFERROR(O1235/$AD1235,0)</f>
        <v>0</v>
      </c>
      <c r="Q1235" s="35"/>
      <c r="R1235" s="36">
        <f>IFERROR(Q1235/$AC1235,0)</f>
        <v>0</v>
      </c>
      <c r="S1235" s="38"/>
      <c r="T1235" s="36">
        <f>IFERROR(S1235/$AD1235,0)</f>
        <v>0</v>
      </c>
      <c r="U1235" s="35"/>
      <c r="V1235" s="36">
        <f>IFERROR(U1235/$AC1235,0)</f>
        <v>0</v>
      </c>
      <c r="W1235" s="38"/>
      <c r="X1235" s="36">
        <f>IFERROR(W1235/$AD1235,0)</f>
        <v>0</v>
      </c>
      <c r="Y1235" s="35"/>
      <c r="Z1235" s="36">
        <f>IFERROR(Y1235/$AC1235,0)</f>
        <v>0</v>
      </c>
      <c r="AA1235" s="38"/>
      <c r="AB1235" s="36">
        <f>IFERROR(AA1235/$AD1235,0)</f>
        <v>0</v>
      </c>
      <c r="AC1235" s="35"/>
      <c r="AD1235" s="38"/>
    </row>
    <row r="1236" spans="1:30" ht="15.75" customHeight="1" x14ac:dyDescent="0.25">
      <c r="A1236" s="37">
        <v>2016</v>
      </c>
      <c r="B1236" s="35">
        <v>172020</v>
      </c>
      <c r="C1236" s="34" t="s">
        <v>145</v>
      </c>
      <c r="D1236" s="34" t="s">
        <v>127</v>
      </c>
      <c r="E1236" s="35"/>
      <c r="F1236" s="36">
        <f>IFERROR(E1236/$AC1236,0)</f>
        <v>0</v>
      </c>
      <c r="G1236" s="38"/>
      <c r="H1236" s="36">
        <f>IFERROR(G1236/$AD1236,0)</f>
        <v>0</v>
      </c>
      <c r="I1236" s="35"/>
      <c r="J1236" s="36">
        <f>IFERROR(I1236/$AC1236,0)</f>
        <v>0</v>
      </c>
      <c r="K1236" s="38"/>
      <c r="L1236" s="36">
        <f>IFERROR(K1236/$AD1236,0)</f>
        <v>0</v>
      </c>
      <c r="M1236" s="35"/>
      <c r="N1236" s="36">
        <f>IFERROR(M1236/$AC1236,0)</f>
        <v>0</v>
      </c>
      <c r="O1236" s="38"/>
      <c r="P1236" s="36">
        <f>IFERROR(O1236/$AD1236,0)</f>
        <v>0</v>
      </c>
      <c r="Q1236" s="35"/>
      <c r="R1236" s="36">
        <f>IFERROR(Q1236/$AC1236,0)</f>
        <v>0</v>
      </c>
      <c r="S1236" s="38"/>
      <c r="T1236" s="36">
        <f>IFERROR(S1236/$AD1236,0)</f>
        <v>0</v>
      </c>
      <c r="U1236" s="35"/>
      <c r="V1236" s="36">
        <f>IFERROR(U1236/$AC1236,0)</f>
        <v>0</v>
      </c>
      <c r="W1236" s="38"/>
      <c r="X1236" s="36">
        <f>IFERROR(W1236/$AD1236,0)</f>
        <v>0</v>
      </c>
      <c r="Y1236" s="35"/>
      <c r="Z1236" s="36">
        <f>IFERROR(Y1236/$AC1236,0)</f>
        <v>0</v>
      </c>
      <c r="AA1236" s="38"/>
      <c r="AB1236" s="36">
        <f>IFERROR(AA1236/$AD1236,0)</f>
        <v>0</v>
      </c>
      <c r="AC1236" s="35"/>
      <c r="AD1236" s="38"/>
    </row>
    <row r="1237" spans="1:30" ht="15.75" customHeight="1" x14ac:dyDescent="0.25">
      <c r="A1237" s="37">
        <v>2016</v>
      </c>
      <c r="B1237" s="35">
        <v>172025</v>
      </c>
      <c r="C1237" s="34" t="s">
        <v>146</v>
      </c>
      <c r="D1237" s="34" t="s">
        <v>128</v>
      </c>
      <c r="E1237" s="35"/>
      <c r="F1237" s="36">
        <f>IFERROR(E1237/$AC1237,0)</f>
        <v>0</v>
      </c>
      <c r="G1237" s="38"/>
      <c r="H1237" s="36">
        <f>IFERROR(G1237/$AD1237,0)</f>
        <v>0</v>
      </c>
      <c r="I1237" s="35"/>
      <c r="J1237" s="36">
        <f>IFERROR(I1237/$AC1237,0)</f>
        <v>0</v>
      </c>
      <c r="K1237" s="38"/>
      <c r="L1237" s="36">
        <f>IFERROR(K1237/$AD1237,0)</f>
        <v>0</v>
      </c>
      <c r="M1237" s="35"/>
      <c r="N1237" s="36">
        <f>IFERROR(M1237/$AC1237,0)</f>
        <v>0</v>
      </c>
      <c r="O1237" s="38"/>
      <c r="P1237" s="36">
        <f>IFERROR(O1237/$AD1237,0)</f>
        <v>0</v>
      </c>
      <c r="Q1237" s="35"/>
      <c r="R1237" s="36">
        <f>IFERROR(Q1237/$AC1237,0)</f>
        <v>0</v>
      </c>
      <c r="S1237" s="38"/>
      <c r="T1237" s="36">
        <f>IFERROR(S1237/$AD1237,0)</f>
        <v>0</v>
      </c>
      <c r="U1237" s="35"/>
      <c r="V1237" s="36">
        <f>IFERROR(U1237/$AC1237,0)</f>
        <v>0</v>
      </c>
      <c r="W1237" s="38"/>
      <c r="X1237" s="36">
        <f>IFERROR(W1237/$AD1237,0)</f>
        <v>0</v>
      </c>
      <c r="Y1237" s="35"/>
      <c r="Z1237" s="36">
        <f>IFERROR(Y1237/$AC1237,0)</f>
        <v>0</v>
      </c>
      <c r="AA1237" s="38"/>
      <c r="AB1237" s="36">
        <f>IFERROR(AA1237/$AD1237,0)</f>
        <v>0</v>
      </c>
      <c r="AC1237" s="35"/>
      <c r="AD1237" s="38"/>
    </row>
    <row r="1238" spans="1:30" ht="15.75" customHeight="1" x14ac:dyDescent="0.25">
      <c r="A1238" s="37">
        <v>2016</v>
      </c>
      <c r="B1238" s="35">
        <v>172030</v>
      </c>
      <c r="C1238" s="34" t="s">
        <v>145</v>
      </c>
      <c r="D1238" s="34" t="s">
        <v>129</v>
      </c>
      <c r="E1238" s="35"/>
      <c r="F1238" s="36">
        <f>IFERROR(E1238/$AC1238,0)</f>
        <v>0</v>
      </c>
      <c r="G1238" s="38"/>
      <c r="H1238" s="36">
        <f>IFERROR(G1238/$AD1238,0)</f>
        <v>0</v>
      </c>
      <c r="I1238" s="35"/>
      <c r="J1238" s="36">
        <f>IFERROR(I1238/$AC1238,0)</f>
        <v>0</v>
      </c>
      <c r="K1238" s="38"/>
      <c r="L1238" s="36">
        <f>IFERROR(K1238/$AD1238,0)</f>
        <v>0</v>
      </c>
      <c r="M1238" s="35"/>
      <c r="N1238" s="36">
        <f>IFERROR(M1238/$AC1238,0)</f>
        <v>0</v>
      </c>
      <c r="O1238" s="38"/>
      <c r="P1238" s="36">
        <f>IFERROR(O1238/$AD1238,0)</f>
        <v>0</v>
      </c>
      <c r="Q1238" s="35"/>
      <c r="R1238" s="36">
        <f>IFERROR(Q1238/$AC1238,0)</f>
        <v>0</v>
      </c>
      <c r="S1238" s="38"/>
      <c r="T1238" s="36">
        <f>IFERROR(S1238/$AD1238,0)</f>
        <v>0</v>
      </c>
      <c r="U1238" s="35"/>
      <c r="V1238" s="36">
        <f>IFERROR(U1238/$AC1238,0)</f>
        <v>0</v>
      </c>
      <c r="W1238" s="38"/>
      <c r="X1238" s="36">
        <f>IFERROR(W1238/$AD1238,0)</f>
        <v>0</v>
      </c>
      <c r="Y1238" s="35"/>
      <c r="Z1238" s="36">
        <f>IFERROR(Y1238/$AC1238,0)</f>
        <v>0</v>
      </c>
      <c r="AA1238" s="38"/>
      <c r="AB1238" s="36">
        <f>IFERROR(AA1238/$AD1238,0)</f>
        <v>0</v>
      </c>
      <c r="AC1238" s="35"/>
      <c r="AD1238" s="38"/>
    </row>
    <row r="1239" spans="1:30" ht="15.75" customHeight="1" x14ac:dyDescent="0.25">
      <c r="A1239" s="37">
        <v>2016</v>
      </c>
      <c r="B1239" s="35">
        <v>172049</v>
      </c>
      <c r="C1239" s="34" t="s">
        <v>146</v>
      </c>
      <c r="D1239" s="34" t="s">
        <v>130</v>
      </c>
      <c r="E1239" s="35"/>
      <c r="F1239" s="36">
        <f>IFERROR(E1239/$AC1239,0)</f>
        <v>0</v>
      </c>
      <c r="G1239" s="38"/>
      <c r="H1239" s="36">
        <f>IFERROR(G1239/$AD1239,0)</f>
        <v>0</v>
      </c>
      <c r="I1239" s="35"/>
      <c r="J1239" s="36">
        <f>IFERROR(I1239/$AC1239,0)</f>
        <v>0</v>
      </c>
      <c r="K1239" s="38"/>
      <c r="L1239" s="36">
        <f>IFERROR(K1239/$AD1239,0)</f>
        <v>0</v>
      </c>
      <c r="M1239" s="35"/>
      <c r="N1239" s="36">
        <f>IFERROR(M1239/$AC1239,0)</f>
        <v>0</v>
      </c>
      <c r="O1239" s="38"/>
      <c r="P1239" s="36">
        <f>IFERROR(O1239/$AD1239,0)</f>
        <v>0</v>
      </c>
      <c r="Q1239" s="35"/>
      <c r="R1239" s="36">
        <f>IFERROR(Q1239/$AC1239,0)</f>
        <v>0</v>
      </c>
      <c r="S1239" s="38"/>
      <c r="T1239" s="36">
        <f>IFERROR(S1239/$AD1239,0)</f>
        <v>0</v>
      </c>
      <c r="U1239" s="35"/>
      <c r="V1239" s="36">
        <f>IFERROR(U1239/$AC1239,0)</f>
        <v>0</v>
      </c>
      <c r="W1239" s="38"/>
      <c r="X1239" s="36">
        <f>IFERROR(W1239/$AD1239,0)</f>
        <v>0</v>
      </c>
      <c r="Y1239" s="35"/>
      <c r="Z1239" s="36">
        <f>IFERROR(Y1239/$AC1239,0)</f>
        <v>0</v>
      </c>
      <c r="AA1239" s="38"/>
      <c r="AB1239" s="36">
        <f>IFERROR(AA1239/$AD1239,0)</f>
        <v>0</v>
      </c>
      <c r="AC1239" s="35"/>
      <c r="AD1239" s="38"/>
    </row>
    <row r="1240" spans="1:30" ht="15.75" customHeight="1" x14ac:dyDescent="0.25">
      <c r="A1240" s="37">
        <v>2016</v>
      </c>
      <c r="B1240" s="35">
        <v>172065</v>
      </c>
      <c r="C1240" s="34" t="s">
        <v>151</v>
      </c>
      <c r="D1240" s="34" t="s">
        <v>131</v>
      </c>
      <c r="E1240" s="35"/>
      <c r="F1240" s="36">
        <f>IFERROR(E1240/$AC1240,0)</f>
        <v>0</v>
      </c>
      <c r="G1240" s="38"/>
      <c r="H1240" s="36">
        <f>IFERROR(G1240/$AD1240,0)</f>
        <v>0</v>
      </c>
      <c r="I1240" s="35"/>
      <c r="J1240" s="36">
        <f>IFERROR(I1240/$AC1240,0)</f>
        <v>0</v>
      </c>
      <c r="K1240" s="38"/>
      <c r="L1240" s="36">
        <f>IFERROR(K1240/$AD1240,0)</f>
        <v>0</v>
      </c>
      <c r="M1240" s="35"/>
      <c r="N1240" s="36">
        <f>IFERROR(M1240/$AC1240,0)</f>
        <v>0</v>
      </c>
      <c r="O1240" s="38"/>
      <c r="P1240" s="36">
        <f>IFERROR(O1240/$AD1240,0)</f>
        <v>0</v>
      </c>
      <c r="Q1240" s="35"/>
      <c r="R1240" s="36">
        <f>IFERROR(Q1240/$AC1240,0)</f>
        <v>0</v>
      </c>
      <c r="S1240" s="38"/>
      <c r="T1240" s="36">
        <f>IFERROR(S1240/$AD1240,0)</f>
        <v>0</v>
      </c>
      <c r="U1240" s="35"/>
      <c r="V1240" s="36">
        <f>IFERROR(U1240/$AC1240,0)</f>
        <v>0</v>
      </c>
      <c r="W1240" s="38"/>
      <c r="X1240" s="36">
        <f>IFERROR(W1240/$AD1240,0)</f>
        <v>0</v>
      </c>
      <c r="Y1240" s="35"/>
      <c r="Z1240" s="36">
        <f>IFERROR(Y1240/$AC1240,0)</f>
        <v>0</v>
      </c>
      <c r="AA1240" s="38"/>
      <c r="AB1240" s="36">
        <f>IFERROR(AA1240/$AD1240,0)</f>
        <v>0</v>
      </c>
      <c r="AC1240" s="35"/>
      <c r="AD1240" s="38"/>
    </row>
    <row r="1241" spans="1:30" ht="15.75" customHeight="1" x14ac:dyDescent="0.25">
      <c r="A1241" s="37">
        <v>2016</v>
      </c>
      <c r="B1241" s="35">
        <v>172080</v>
      </c>
      <c r="C1241" s="34" t="s">
        <v>145</v>
      </c>
      <c r="D1241" s="34" t="s">
        <v>132</v>
      </c>
      <c r="E1241" s="35"/>
      <c r="F1241" s="36">
        <f>IFERROR(E1241/$AC1241,0)</f>
        <v>0</v>
      </c>
      <c r="G1241" s="38"/>
      <c r="H1241" s="36">
        <f>IFERROR(G1241/$AD1241,0)</f>
        <v>0</v>
      </c>
      <c r="I1241" s="35"/>
      <c r="J1241" s="36">
        <f>IFERROR(I1241/$AC1241,0)</f>
        <v>0</v>
      </c>
      <c r="K1241" s="38"/>
      <c r="L1241" s="36">
        <f>IFERROR(K1241/$AD1241,0)</f>
        <v>0</v>
      </c>
      <c r="M1241" s="35"/>
      <c r="N1241" s="36">
        <f>IFERROR(M1241/$AC1241,0)</f>
        <v>0</v>
      </c>
      <c r="O1241" s="38"/>
      <c r="P1241" s="36">
        <f>IFERROR(O1241/$AD1241,0)</f>
        <v>0</v>
      </c>
      <c r="Q1241" s="35"/>
      <c r="R1241" s="36">
        <f>IFERROR(Q1241/$AC1241,0)</f>
        <v>0</v>
      </c>
      <c r="S1241" s="38"/>
      <c r="T1241" s="36">
        <f>IFERROR(S1241/$AD1241,0)</f>
        <v>0</v>
      </c>
      <c r="U1241" s="35"/>
      <c r="V1241" s="36">
        <f>IFERROR(U1241/$AC1241,0)</f>
        <v>0</v>
      </c>
      <c r="W1241" s="38"/>
      <c r="X1241" s="36">
        <f>IFERROR(W1241/$AD1241,0)</f>
        <v>0</v>
      </c>
      <c r="Y1241" s="35"/>
      <c r="Z1241" s="36">
        <f>IFERROR(Y1241/$AC1241,0)</f>
        <v>0</v>
      </c>
      <c r="AA1241" s="38"/>
      <c r="AB1241" s="36">
        <f>IFERROR(AA1241/$AD1241,0)</f>
        <v>0</v>
      </c>
      <c r="AC1241" s="35"/>
      <c r="AD1241" s="38"/>
    </row>
    <row r="1242" spans="1:30" ht="15.75" customHeight="1" x14ac:dyDescent="0.25">
      <c r="A1242" s="37">
        <v>2016</v>
      </c>
      <c r="B1242" s="35">
        <v>172085</v>
      </c>
      <c r="C1242" s="34" t="s">
        <v>146</v>
      </c>
      <c r="D1242" s="34" t="s">
        <v>133</v>
      </c>
      <c r="E1242" s="35"/>
      <c r="F1242" s="36">
        <f>IFERROR(E1242/$AC1242,0)</f>
        <v>0</v>
      </c>
      <c r="G1242" s="38"/>
      <c r="H1242" s="36">
        <f>IFERROR(G1242/$AD1242,0)</f>
        <v>0</v>
      </c>
      <c r="I1242" s="35"/>
      <c r="J1242" s="36">
        <f>IFERROR(I1242/$AC1242,0)</f>
        <v>0</v>
      </c>
      <c r="K1242" s="38"/>
      <c r="L1242" s="36">
        <f>IFERROR(K1242/$AD1242,0)</f>
        <v>0</v>
      </c>
      <c r="M1242" s="35"/>
      <c r="N1242" s="36">
        <f>IFERROR(M1242/$AC1242,0)</f>
        <v>0</v>
      </c>
      <c r="O1242" s="38"/>
      <c r="P1242" s="36">
        <f>IFERROR(O1242/$AD1242,0)</f>
        <v>0</v>
      </c>
      <c r="Q1242" s="35"/>
      <c r="R1242" s="36">
        <f>IFERROR(Q1242/$AC1242,0)</f>
        <v>0</v>
      </c>
      <c r="S1242" s="38"/>
      <c r="T1242" s="36">
        <f>IFERROR(S1242/$AD1242,0)</f>
        <v>0</v>
      </c>
      <c r="U1242" s="35"/>
      <c r="V1242" s="36">
        <f>IFERROR(U1242/$AC1242,0)</f>
        <v>0</v>
      </c>
      <c r="W1242" s="38"/>
      <c r="X1242" s="36">
        <f>IFERROR(W1242/$AD1242,0)</f>
        <v>0</v>
      </c>
      <c r="Y1242" s="35"/>
      <c r="Z1242" s="36">
        <f>IFERROR(Y1242/$AC1242,0)</f>
        <v>0</v>
      </c>
      <c r="AA1242" s="38"/>
      <c r="AB1242" s="36">
        <f>IFERROR(AA1242/$AD1242,0)</f>
        <v>0</v>
      </c>
      <c r="AC1242" s="35"/>
      <c r="AD1242" s="38"/>
    </row>
    <row r="1243" spans="1:30" ht="15.75" customHeight="1" x14ac:dyDescent="0.25">
      <c r="A1243" s="37">
        <v>2016</v>
      </c>
      <c r="B1243" s="35">
        <v>170825</v>
      </c>
      <c r="C1243" s="34" t="s">
        <v>148</v>
      </c>
      <c r="D1243" s="34" t="s">
        <v>134</v>
      </c>
      <c r="E1243" s="35"/>
      <c r="F1243" s="36">
        <f>IFERROR(E1243/$AC1243,0)</f>
        <v>0</v>
      </c>
      <c r="G1243" s="38"/>
      <c r="H1243" s="36">
        <f>IFERROR(G1243/$AD1243,0)</f>
        <v>0</v>
      </c>
      <c r="I1243" s="35"/>
      <c r="J1243" s="36">
        <f>IFERROR(I1243/$AC1243,0)</f>
        <v>0</v>
      </c>
      <c r="K1243" s="38"/>
      <c r="L1243" s="36">
        <f>IFERROR(K1243/$AD1243,0)</f>
        <v>0</v>
      </c>
      <c r="M1243" s="35"/>
      <c r="N1243" s="36">
        <f>IFERROR(M1243/$AC1243,0)</f>
        <v>0</v>
      </c>
      <c r="O1243" s="38"/>
      <c r="P1243" s="36">
        <f>IFERROR(O1243/$AD1243,0)</f>
        <v>0</v>
      </c>
      <c r="Q1243" s="35"/>
      <c r="R1243" s="36">
        <f>IFERROR(Q1243/$AC1243,0)</f>
        <v>0</v>
      </c>
      <c r="S1243" s="38"/>
      <c r="T1243" s="36">
        <f>IFERROR(S1243/$AD1243,0)</f>
        <v>0</v>
      </c>
      <c r="U1243" s="35"/>
      <c r="V1243" s="36">
        <f>IFERROR(U1243/$AC1243,0)</f>
        <v>0</v>
      </c>
      <c r="W1243" s="38"/>
      <c r="X1243" s="36">
        <f>IFERROR(W1243/$AD1243,0)</f>
        <v>0</v>
      </c>
      <c r="Y1243" s="35"/>
      <c r="Z1243" s="36">
        <f>IFERROR(Y1243/$AC1243,0)</f>
        <v>0</v>
      </c>
      <c r="AA1243" s="38"/>
      <c r="AB1243" s="36">
        <f>IFERROR(AA1243/$AD1243,0)</f>
        <v>0</v>
      </c>
      <c r="AC1243" s="35"/>
      <c r="AD1243" s="38"/>
    </row>
    <row r="1244" spans="1:30" ht="15.75" customHeight="1" x14ac:dyDescent="0.25">
      <c r="A1244" s="37">
        <v>2016</v>
      </c>
      <c r="B1244" s="35">
        <v>172090</v>
      </c>
      <c r="C1244" s="34" t="s">
        <v>147</v>
      </c>
      <c r="D1244" s="34" t="s">
        <v>135</v>
      </c>
      <c r="E1244" s="35"/>
      <c r="F1244" s="36">
        <f>IFERROR(E1244/$AC1244,0)</f>
        <v>0</v>
      </c>
      <c r="G1244" s="38"/>
      <c r="H1244" s="36">
        <f>IFERROR(G1244/$AD1244,0)</f>
        <v>0</v>
      </c>
      <c r="I1244" s="35"/>
      <c r="J1244" s="36">
        <f>IFERROR(I1244/$AC1244,0)</f>
        <v>0</v>
      </c>
      <c r="K1244" s="38"/>
      <c r="L1244" s="36">
        <f>IFERROR(K1244/$AD1244,0)</f>
        <v>0</v>
      </c>
      <c r="M1244" s="35"/>
      <c r="N1244" s="36">
        <f>IFERROR(M1244/$AC1244,0)</f>
        <v>0</v>
      </c>
      <c r="O1244" s="38"/>
      <c r="P1244" s="36">
        <f>IFERROR(O1244/$AD1244,0)</f>
        <v>0</v>
      </c>
      <c r="Q1244" s="35"/>
      <c r="R1244" s="36">
        <f>IFERROR(Q1244/$AC1244,0)</f>
        <v>0</v>
      </c>
      <c r="S1244" s="38"/>
      <c r="T1244" s="36">
        <f>IFERROR(S1244/$AD1244,0)</f>
        <v>0</v>
      </c>
      <c r="U1244" s="35"/>
      <c r="V1244" s="36">
        <f>IFERROR(U1244/$AC1244,0)</f>
        <v>0</v>
      </c>
      <c r="W1244" s="38"/>
      <c r="X1244" s="36">
        <f>IFERROR(W1244/$AD1244,0)</f>
        <v>0</v>
      </c>
      <c r="Y1244" s="35"/>
      <c r="Z1244" s="36">
        <f>IFERROR(Y1244/$AC1244,0)</f>
        <v>0</v>
      </c>
      <c r="AA1244" s="38"/>
      <c r="AB1244" s="36">
        <f>IFERROR(AA1244/$AD1244,0)</f>
        <v>0</v>
      </c>
      <c r="AC1244" s="35"/>
      <c r="AD1244" s="38"/>
    </row>
    <row r="1245" spans="1:30" ht="15.75" customHeight="1" x14ac:dyDescent="0.25">
      <c r="A1245" s="37">
        <v>2016</v>
      </c>
      <c r="B1245" s="35">
        <v>172093</v>
      </c>
      <c r="C1245" s="34" t="s">
        <v>147</v>
      </c>
      <c r="D1245" s="34" t="s">
        <v>136</v>
      </c>
      <c r="E1245" s="35"/>
      <c r="F1245" s="36">
        <f>IFERROR(E1245/$AC1245,0)</f>
        <v>0</v>
      </c>
      <c r="G1245" s="38"/>
      <c r="H1245" s="36">
        <f>IFERROR(G1245/$AD1245,0)</f>
        <v>0</v>
      </c>
      <c r="I1245" s="35"/>
      <c r="J1245" s="36">
        <f>IFERROR(I1245/$AC1245,0)</f>
        <v>0</v>
      </c>
      <c r="K1245" s="38"/>
      <c r="L1245" s="36">
        <f>IFERROR(K1245/$AD1245,0)</f>
        <v>0</v>
      </c>
      <c r="M1245" s="35"/>
      <c r="N1245" s="36">
        <f>IFERROR(M1245/$AC1245,0)</f>
        <v>0</v>
      </c>
      <c r="O1245" s="38"/>
      <c r="P1245" s="36">
        <f>IFERROR(O1245/$AD1245,0)</f>
        <v>0</v>
      </c>
      <c r="Q1245" s="35"/>
      <c r="R1245" s="36">
        <f>IFERROR(Q1245/$AC1245,0)</f>
        <v>0</v>
      </c>
      <c r="S1245" s="38"/>
      <c r="T1245" s="36">
        <f>IFERROR(S1245/$AD1245,0)</f>
        <v>0</v>
      </c>
      <c r="U1245" s="35"/>
      <c r="V1245" s="36">
        <f>IFERROR(U1245/$AC1245,0)</f>
        <v>0</v>
      </c>
      <c r="W1245" s="38"/>
      <c r="X1245" s="36">
        <f>IFERROR(W1245/$AD1245,0)</f>
        <v>0</v>
      </c>
      <c r="Y1245" s="35"/>
      <c r="Z1245" s="36">
        <f>IFERROR(Y1245/$AC1245,0)</f>
        <v>0</v>
      </c>
      <c r="AA1245" s="38"/>
      <c r="AB1245" s="36">
        <f>IFERROR(AA1245/$AD1245,0)</f>
        <v>0</v>
      </c>
      <c r="AC1245" s="35"/>
      <c r="AD1245" s="38"/>
    </row>
    <row r="1246" spans="1:30" ht="15.75" customHeight="1" x14ac:dyDescent="0.25">
      <c r="A1246" s="37">
        <v>2016</v>
      </c>
      <c r="B1246" s="35">
        <v>172097</v>
      </c>
      <c r="C1246" s="34" t="s">
        <v>146</v>
      </c>
      <c r="D1246" s="34" t="s">
        <v>137</v>
      </c>
      <c r="E1246" s="35"/>
      <c r="F1246" s="36">
        <f>IFERROR(E1246/$AC1246,0)</f>
        <v>0</v>
      </c>
      <c r="G1246" s="38"/>
      <c r="H1246" s="36">
        <f>IFERROR(G1246/$AD1246,0)</f>
        <v>0</v>
      </c>
      <c r="I1246" s="35"/>
      <c r="J1246" s="36">
        <f>IFERROR(I1246/$AC1246,0)</f>
        <v>0</v>
      </c>
      <c r="K1246" s="38"/>
      <c r="L1246" s="36">
        <f>IFERROR(K1246/$AD1246,0)</f>
        <v>0</v>
      </c>
      <c r="M1246" s="35"/>
      <c r="N1246" s="36">
        <f>IFERROR(M1246/$AC1246,0)</f>
        <v>0</v>
      </c>
      <c r="O1246" s="38"/>
      <c r="P1246" s="36">
        <f>IFERROR(O1246/$AD1246,0)</f>
        <v>0</v>
      </c>
      <c r="Q1246" s="35"/>
      <c r="R1246" s="36">
        <f>IFERROR(Q1246/$AC1246,0)</f>
        <v>0</v>
      </c>
      <c r="S1246" s="38"/>
      <c r="T1246" s="36">
        <f>IFERROR(S1246/$AD1246,0)</f>
        <v>0</v>
      </c>
      <c r="U1246" s="35"/>
      <c r="V1246" s="36">
        <f>IFERROR(U1246/$AC1246,0)</f>
        <v>0</v>
      </c>
      <c r="W1246" s="38"/>
      <c r="X1246" s="36">
        <f>IFERROR(W1246/$AD1246,0)</f>
        <v>0</v>
      </c>
      <c r="Y1246" s="35"/>
      <c r="Z1246" s="36">
        <f>IFERROR(Y1246/$AC1246,0)</f>
        <v>0</v>
      </c>
      <c r="AA1246" s="38"/>
      <c r="AB1246" s="36">
        <f>IFERROR(AA1246/$AD1246,0)</f>
        <v>0</v>
      </c>
      <c r="AC1246" s="35"/>
      <c r="AD1246" s="38"/>
    </row>
    <row r="1247" spans="1:30" ht="15.75" customHeight="1" x14ac:dyDescent="0.25">
      <c r="A1247" s="37">
        <v>2016</v>
      </c>
      <c r="B1247" s="35">
        <v>172110</v>
      </c>
      <c r="C1247" s="34" t="s">
        <v>148</v>
      </c>
      <c r="D1247" s="34" t="s">
        <v>138</v>
      </c>
      <c r="E1247" s="35"/>
      <c r="F1247" s="36">
        <f>IFERROR(E1247/$AC1247,0)</f>
        <v>0</v>
      </c>
      <c r="G1247" s="38"/>
      <c r="H1247" s="36">
        <f>IFERROR(G1247/$AD1247,0)</f>
        <v>0</v>
      </c>
      <c r="I1247" s="35"/>
      <c r="J1247" s="36">
        <f>IFERROR(I1247/$AC1247,0)</f>
        <v>0</v>
      </c>
      <c r="K1247" s="38"/>
      <c r="L1247" s="36">
        <f>IFERROR(K1247/$AD1247,0)</f>
        <v>0</v>
      </c>
      <c r="M1247" s="35"/>
      <c r="N1247" s="36">
        <f>IFERROR(M1247/$AC1247,0)</f>
        <v>0</v>
      </c>
      <c r="O1247" s="38"/>
      <c r="P1247" s="36">
        <f>IFERROR(O1247/$AD1247,0)</f>
        <v>0</v>
      </c>
      <c r="Q1247" s="35"/>
      <c r="R1247" s="36">
        <f>IFERROR(Q1247/$AC1247,0)</f>
        <v>0</v>
      </c>
      <c r="S1247" s="38"/>
      <c r="T1247" s="36">
        <f>IFERROR(S1247/$AD1247,0)</f>
        <v>0</v>
      </c>
      <c r="U1247" s="35"/>
      <c r="V1247" s="36">
        <f>IFERROR(U1247/$AC1247,0)</f>
        <v>0</v>
      </c>
      <c r="W1247" s="38"/>
      <c r="X1247" s="36">
        <f>IFERROR(W1247/$AD1247,0)</f>
        <v>0</v>
      </c>
      <c r="Y1247" s="35"/>
      <c r="Z1247" s="36">
        <f>IFERROR(Y1247/$AC1247,0)</f>
        <v>0</v>
      </c>
      <c r="AA1247" s="38"/>
      <c r="AB1247" s="36">
        <f>IFERROR(AA1247/$AD1247,0)</f>
        <v>0</v>
      </c>
      <c r="AC1247" s="35"/>
      <c r="AD1247" s="38"/>
    </row>
    <row r="1248" spans="1:30" ht="15.75" customHeight="1" x14ac:dyDescent="0.25">
      <c r="A1248" s="37">
        <v>2016</v>
      </c>
      <c r="B1248" s="35">
        <v>172120</v>
      </c>
      <c r="C1248" s="34" t="s">
        <v>145</v>
      </c>
      <c r="D1248" s="34" t="s">
        <v>139</v>
      </c>
      <c r="E1248" s="35"/>
      <c r="F1248" s="36">
        <f>IFERROR(E1248/$AC1248,0)</f>
        <v>0</v>
      </c>
      <c r="G1248" s="38"/>
      <c r="H1248" s="36">
        <f>IFERROR(G1248/$AD1248,0)</f>
        <v>0</v>
      </c>
      <c r="I1248" s="35"/>
      <c r="J1248" s="36">
        <f>IFERROR(I1248/$AC1248,0)</f>
        <v>0</v>
      </c>
      <c r="K1248" s="38"/>
      <c r="L1248" s="36">
        <f>IFERROR(K1248/$AD1248,0)</f>
        <v>0</v>
      </c>
      <c r="M1248" s="35"/>
      <c r="N1248" s="36">
        <f>IFERROR(M1248/$AC1248,0)</f>
        <v>0</v>
      </c>
      <c r="O1248" s="38"/>
      <c r="P1248" s="36">
        <f>IFERROR(O1248/$AD1248,0)</f>
        <v>0</v>
      </c>
      <c r="Q1248" s="35"/>
      <c r="R1248" s="36">
        <f>IFERROR(Q1248/$AC1248,0)</f>
        <v>0</v>
      </c>
      <c r="S1248" s="38"/>
      <c r="T1248" s="36">
        <f>IFERROR(S1248/$AD1248,0)</f>
        <v>0</v>
      </c>
      <c r="U1248" s="35"/>
      <c r="V1248" s="36">
        <f>IFERROR(U1248/$AC1248,0)</f>
        <v>0</v>
      </c>
      <c r="W1248" s="38"/>
      <c r="X1248" s="36">
        <f>IFERROR(W1248/$AD1248,0)</f>
        <v>0</v>
      </c>
      <c r="Y1248" s="35"/>
      <c r="Z1248" s="36">
        <f>IFERROR(Y1248/$AC1248,0)</f>
        <v>0</v>
      </c>
      <c r="AA1248" s="38"/>
      <c r="AB1248" s="36">
        <f>IFERROR(AA1248/$AD1248,0)</f>
        <v>0</v>
      </c>
      <c r="AC1248" s="35"/>
      <c r="AD1248" s="38"/>
    </row>
    <row r="1249" spans="1:30" ht="15.75" customHeight="1" x14ac:dyDescent="0.25">
      <c r="A1249" s="37">
        <v>2016</v>
      </c>
      <c r="B1249" s="35">
        <v>172125</v>
      </c>
      <c r="C1249" s="34" t="s">
        <v>150</v>
      </c>
      <c r="D1249" s="34" t="s">
        <v>140</v>
      </c>
      <c r="E1249" s="35"/>
      <c r="F1249" s="36">
        <f>IFERROR(E1249/$AC1249,0)</f>
        <v>0</v>
      </c>
      <c r="G1249" s="38"/>
      <c r="H1249" s="36">
        <f>IFERROR(G1249/$AD1249,0)</f>
        <v>0</v>
      </c>
      <c r="I1249" s="35"/>
      <c r="J1249" s="36">
        <f>IFERROR(I1249/$AC1249,0)</f>
        <v>0</v>
      </c>
      <c r="K1249" s="38"/>
      <c r="L1249" s="36">
        <f>IFERROR(K1249/$AD1249,0)</f>
        <v>0</v>
      </c>
      <c r="M1249" s="35"/>
      <c r="N1249" s="36">
        <f>IFERROR(M1249/$AC1249,0)</f>
        <v>0</v>
      </c>
      <c r="O1249" s="38"/>
      <c r="P1249" s="36">
        <f>IFERROR(O1249/$AD1249,0)</f>
        <v>0</v>
      </c>
      <c r="Q1249" s="35"/>
      <c r="R1249" s="36">
        <f>IFERROR(Q1249/$AC1249,0)</f>
        <v>0</v>
      </c>
      <c r="S1249" s="38"/>
      <c r="T1249" s="36">
        <f>IFERROR(S1249/$AD1249,0)</f>
        <v>0</v>
      </c>
      <c r="U1249" s="35"/>
      <c r="V1249" s="36">
        <f>IFERROR(U1249/$AC1249,0)</f>
        <v>0</v>
      </c>
      <c r="W1249" s="38"/>
      <c r="X1249" s="36">
        <f>IFERROR(W1249/$AD1249,0)</f>
        <v>0</v>
      </c>
      <c r="Y1249" s="35"/>
      <c r="Z1249" s="36">
        <f>IFERROR(Y1249/$AC1249,0)</f>
        <v>0</v>
      </c>
      <c r="AA1249" s="38"/>
      <c r="AB1249" s="36">
        <f>IFERROR(AA1249/$AD1249,0)</f>
        <v>0</v>
      </c>
      <c r="AC1249" s="35"/>
      <c r="AD1249" s="38"/>
    </row>
    <row r="1250" spans="1:30" ht="15.75" customHeight="1" x14ac:dyDescent="0.25">
      <c r="A1250" s="37">
        <v>2016</v>
      </c>
      <c r="B1250" s="35">
        <v>172130</v>
      </c>
      <c r="C1250" s="34" t="s">
        <v>150</v>
      </c>
      <c r="D1250" s="34" t="s">
        <v>141</v>
      </c>
      <c r="E1250" s="35"/>
      <c r="F1250" s="36">
        <f>IFERROR(E1250/$AC1250,0)</f>
        <v>0</v>
      </c>
      <c r="G1250" s="38"/>
      <c r="H1250" s="36">
        <f>IFERROR(G1250/$AD1250,0)</f>
        <v>0</v>
      </c>
      <c r="I1250" s="35"/>
      <c r="J1250" s="36">
        <f>IFERROR(I1250/$AC1250,0)</f>
        <v>0</v>
      </c>
      <c r="K1250" s="38"/>
      <c r="L1250" s="36">
        <f>IFERROR(K1250/$AD1250,0)</f>
        <v>0</v>
      </c>
      <c r="M1250" s="35"/>
      <c r="N1250" s="36">
        <f>IFERROR(M1250/$AC1250,0)</f>
        <v>0</v>
      </c>
      <c r="O1250" s="38"/>
      <c r="P1250" s="36">
        <f>IFERROR(O1250/$AD1250,0)</f>
        <v>0</v>
      </c>
      <c r="Q1250" s="35"/>
      <c r="R1250" s="36">
        <f>IFERROR(Q1250/$AC1250,0)</f>
        <v>0</v>
      </c>
      <c r="S1250" s="38"/>
      <c r="T1250" s="36">
        <f>IFERROR(S1250/$AD1250,0)</f>
        <v>0</v>
      </c>
      <c r="U1250" s="35"/>
      <c r="V1250" s="36">
        <f>IFERROR(U1250/$AC1250,0)</f>
        <v>0</v>
      </c>
      <c r="W1250" s="38"/>
      <c r="X1250" s="36">
        <f>IFERROR(W1250/$AD1250,0)</f>
        <v>0</v>
      </c>
      <c r="Y1250" s="35"/>
      <c r="Z1250" s="36">
        <f>IFERROR(Y1250/$AC1250,0)</f>
        <v>0</v>
      </c>
      <c r="AA1250" s="38"/>
      <c r="AB1250" s="36">
        <f>IFERROR(AA1250/$AD1250,0)</f>
        <v>0</v>
      </c>
      <c r="AC1250" s="35"/>
      <c r="AD1250" s="38"/>
    </row>
    <row r="1251" spans="1:30" ht="15.75" customHeight="1" x14ac:dyDescent="0.25">
      <c r="A1251" s="37">
        <v>2016</v>
      </c>
      <c r="B1251" s="35">
        <v>172208</v>
      </c>
      <c r="C1251" s="34" t="s">
        <v>149</v>
      </c>
      <c r="D1251" s="34" t="s">
        <v>142</v>
      </c>
      <c r="E1251" s="35"/>
      <c r="F1251" s="36">
        <f>IFERROR(E1251/$AC1251,0)</f>
        <v>0</v>
      </c>
      <c r="G1251" s="38"/>
      <c r="H1251" s="36">
        <f>IFERROR(G1251/$AD1251,0)</f>
        <v>0</v>
      </c>
      <c r="I1251" s="35"/>
      <c r="J1251" s="36">
        <f>IFERROR(I1251/$AC1251,0)</f>
        <v>0</v>
      </c>
      <c r="K1251" s="38"/>
      <c r="L1251" s="36">
        <f>IFERROR(K1251/$AD1251,0)</f>
        <v>0</v>
      </c>
      <c r="M1251" s="35"/>
      <c r="N1251" s="36">
        <f>IFERROR(M1251/$AC1251,0)</f>
        <v>0</v>
      </c>
      <c r="O1251" s="38"/>
      <c r="P1251" s="36">
        <f>IFERROR(O1251/$AD1251,0)</f>
        <v>0</v>
      </c>
      <c r="Q1251" s="35"/>
      <c r="R1251" s="36">
        <f>IFERROR(Q1251/$AC1251,0)</f>
        <v>0</v>
      </c>
      <c r="S1251" s="38"/>
      <c r="T1251" s="36">
        <f>IFERROR(S1251/$AD1251,0)</f>
        <v>0</v>
      </c>
      <c r="U1251" s="35"/>
      <c r="V1251" s="36">
        <f>IFERROR(U1251/$AC1251,0)</f>
        <v>0</v>
      </c>
      <c r="W1251" s="38"/>
      <c r="X1251" s="36">
        <f>IFERROR(W1251/$AD1251,0)</f>
        <v>0</v>
      </c>
      <c r="Y1251" s="35"/>
      <c r="Z1251" s="36">
        <f>IFERROR(Y1251/$AC1251,0)</f>
        <v>0</v>
      </c>
      <c r="AA1251" s="38"/>
      <c r="AB1251" s="36">
        <f>IFERROR(AA1251/$AD1251,0)</f>
        <v>0</v>
      </c>
      <c r="AC1251" s="35"/>
      <c r="AD1251" s="38"/>
    </row>
    <row r="1252" spans="1:30" ht="15.75" customHeight="1" x14ac:dyDescent="0.25">
      <c r="A1252" s="37">
        <v>2016</v>
      </c>
      <c r="B1252" s="35">
        <v>172210</v>
      </c>
      <c r="C1252" s="34" t="s">
        <v>149</v>
      </c>
      <c r="D1252" s="34" t="s">
        <v>143</v>
      </c>
      <c r="E1252" s="35"/>
      <c r="F1252" s="36">
        <f>IFERROR(E1252/$AC1252,0)</f>
        <v>0</v>
      </c>
      <c r="G1252" s="38"/>
      <c r="H1252" s="36">
        <f>IFERROR(G1252/$AD1252,0)</f>
        <v>0</v>
      </c>
      <c r="I1252" s="35"/>
      <c r="J1252" s="36">
        <f>IFERROR(I1252/$AC1252,0)</f>
        <v>0</v>
      </c>
      <c r="K1252" s="38"/>
      <c r="L1252" s="36">
        <f>IFERROR(K1252/$AD1252,0)</f>
        <v>0</v>
      </c>
      <c r="M1252" s="35"/>
      <c r="N1252" s="36">
        <f>IFERROR(M1252/$AC1252,0)</f>
        <v>0</v>
      </c>
      <c r="O1252" s="38"/>
      <c r="P1252" s="36">
        <f>IFERROR(O1252/$AD1252,0)</f>
        <v>0</v>
      </c>
      <c r="Q1252" s="35"/>
      <c r="R1252" s="36">
        <f>IFERROR(Q1252/$AC1252,0)</f>
        <v>0</v>
      </c>
      <c r="S1252" s="38"/>
      <c r="T1252" s="36">
        <f>IFERROR(S1252/$AD1252,0)</f>
        <v>0</v>
      </c>
      <c r="U1252" s="35"/>
      <c r="V1252" s="36">
        <f>IFERROR(U1252/$AC1252,0)</f>
        <v>0</v>
      </c>
      <c r="W1252" s="38"/>
      <c r="X1252" s="36">
        <f>IFERROR(W1252/$AD1252,0)</f>
        <v>0</v>
      </c>
      <c r="Y1252" s="35"/>
      <c r="Z1252" s="36">
        <f>IFERROR(Y1252/$AC1252,0)</f>
        <v>0</v>
      </c>
      <c r="AA1252" s="38"/>
      <c r="AB1252" s="36">
        <f>IFERROR(AA1252/$AD1252,0)</f>
        <v>0</v>
      </c>
      <c r="AC1252" s="35"/>
      <c r="AD1252" s="38"/>
    </row>
    <row r="1253" spans="1:30" ht="15.75" customHeight="1" x14ac:dyDescent="0.25">
      <c r="A1253" s="37">
        <v>2015</v>
      </c>
      <c r="B1253" s="35">
        <v>170025</v>
      </c>
      <c r="C1253" s="34" t="s">
        <v>144</v>
      </c>
      <c r="D1253" s="34" t="s">
        <v>5</v>
      </c>
      <c r="E1253" s="35"/>
      <c r="F1253" s="36">
        <f>IFERROR(E1253/$AC1253,0)</f>
        <v>0</v>
      </c>
      <c r="G1253" s="40"/>
      <c r="H1253" s="36">
        <f>IFERROR(G1253/$AD1253,0)</f>
        <v>0</v>
      </c>
      <c r="I1253" s="35"/>
      <c r="J1253" s="36">
        <f>IFERROR(I1253/$AC1253,0)</f>
        <v>0</v>
      </c>
      <c r="K1253" s="40"/>
      <c r="L1253" s="36">
        <f>IFERROR(K1253/$AD1253,0)</f>
        <v>0</v>
      </c>
      <c r="M1253" s="35"/>
      <c r="N1253" s="36">
        <f>IFERROR(M1253/$AC1253,0)</f>
        <v>0</v>
      </c>
      <c r="O1253" s="40"/>
      <c r="P1253" s="36">
        <f>IFERROR(O1253/$AD1253,0)</f>
        <v>0</v>
      </c>
      <c r="Q1253" s="35"/>
      <c r="R1253" s="36">
        <f>IFERROR(Q1253/$AC1253,0)</f>
        <v>0</v>
      </c>
      <c r="S1253" s="40"/>
      <c r="T1253" s="36">
        <f>IFERROR(S1253/$AD1253,0)</f>
        <v>0</v>
      </c>
      <c r="U1253" s="35"/>
      <c r="V1253" s="36">
        <f>IFERROR(U1253/$AC1253,0)</f>
        <v>0</v>
      </c>
      <c r="W1253" s="40"/>
      <c r="X1253" s="36">
        <f>IFERROR(W1253/$AD1253,0)</f>
        <v>0</v>
      </c>
      <c r="Y1253" s="35"/>
      <c r="Z1253" s="36">
        <f>IFERROR(Y1253/$AC1253,0)</f>
        <v>0</v>
      </c>
      <c r="AA1253" s="40"/>
      <c r="AB1253" s="36">
        <f>IFERROR(AA1253/$AD1253,0)</f>
        <v>0</v>
      </c>
      <c r="AC1253" s="35"/>
      <c r="AD1253" s="40"/>
    </row>
    <row r="1254" spans="1:30" ht="15.75" customHeight="1" x14ac:dyDescent="0.25">
      <c r="A1254" s="37">
        <v>2015</v>
      </c>
      <c r="B1254" s="35">
        <v>170030</v>
      </c>
      <c r="C1254" s="34" t="s">
        <v>145</v>
      </c>
      <c r="D1254" s="34" t="s">
        <v>6</v>
      </c>
      <c r="E1254" s="35"/>
      <c r="F1254" s="36">
        <f>IFERROR(E1254/$AC1254,0)</f>
        <v>0</v>
      </c>
      <c r="G1254" s="40"/>
      <c r="H1254" s="36">
        <f>IFERROR(G1254/$AD1254,0)</f>
        <v>0</v>
      </c>
      <c r="I1254" s="35"/>
      <c r="J1254" s="36">
        <f>IFERROR(I1254/$AC1254,0)</f>
        <v>0</v>
      </c>
      <c r="K1254" s="40"/>
      <c r="L1254" s="36">
        <f>IFERROR(K1254/$AD1254,0)</f>
        <v>0</v>
      </c>
      <c r="M1254" s="35"/>
      <c r="N1254" s="36">
        <f>IFERROR(M1254/$AC1254,0)</f>
        <v>0</v>
      </c>
      <c r="O1254" s="40"/>
      <c r="P1254" s="36">
        <f>IFERROR(O1254/$AD1254,0)</f>
        <v>0</v>
      </c>
      <c r="Q1254" s="35"/>
      <c r="R1254" s="36">
        <f>IFERROR(Q1254/$AC1254,0)</f>
        <v>0</v>
      </c>
      <c r="S1254" s="40"/>
      <c r="T1254" s="36">
        <f>IFERROR(S1254/$AD1254,0)</f>
        <v>0</v>
      </c>
      <c r="U1254" s="35"/>
      <c r="V1254" s="36">
        <f>IFERROR(U1254/$AC1254,0)</f>
        <v>0</v>
      </c>
      <c r="W1254" s="40"/>
      <c r="X1254" s="36">
        <f>IFERROR(W1254/$AD1254,0)</f>
        <v>0</v>
      </c>
      <c r="Y1254" s="35"/>
      <c r="Z1254" s="36">
        <f>IFERROR(Y1254/$AC1254,0)</f>
        <v>0</v>
      </c>
      <c r="AA1254" s="40"/>
      <c r="AB1254" s="36">
        <f>IFERROR(AA1254/$AD1254,0)</f>
        <v>0</v>
      </c>
      <c r="AC1254" s="35"/>
      <c r="AD1254" s="40"/>
    </row>
    <row r="1255" spans="1:30" ht="15.75" customHeight="1" x14ac:dyDescent="0.25">
      <c r="A1255" s="37">
        <v>2015</v>
      </c>
      <c r="B1255" s="35">
        <v>170035</v>
      </c>
      <c r="C1255" s="34" t="s">
        <v>146</v>
      </c>
      <c r="D1255" s="34" t="s">
        <v>7</v>
      </c>
      <c r="E1255" s="35"/>
      <c r="F1255" s="36">
        <f>IFERROR(E1255/$AC1255,0)</f>
        <v>0</v>
      </c>
      <c r="G1255" s="40"/>
      <c r="H1255" s="36">
        <f>IFERROR(G1255/$AD1255,0)</f>
        <v>0</v>
      </c>
      <c r="I1255" s="35"/>
      <c r="J1255" s="36">
        <f>IFERROR(I1255/$AC1255,0)</f>
        <v>0</v>
      </c>
      <c r="K1255" s="40"/>
      <c r="L1255" s="36">
        <f>IFERROR(K1255/$AD1255,0)</f>
        <v>0</v>
      </c>
      <c r="M1255" s="35"/>
      <c r="N1255" s="36">
        <f>IFERROR(M1255/$AC1255,0)</f>
        <v>0</v>
      </c>
      <c r="O1255" s="40"/>
      <c r="P1255" s="36">
        <f>IFERROR(O1255/$AD1255,0)</f>
        <v>0</v>
      </c>
      <c r="Q1255" s="35"/>
      <c r="R1255" s="36">
        <f>IFERROR(Q1255/$AC1255,0)</f>
        <v>0</v>
      </c>
      <c r="S1255" s="40"/>
      <c r="T1255" s="36">
        <f>IFERROR(S1255/$AD1255,0)</f>
        <v>0</v>
      </c>
      <c r="U1255" s="35"/>
      <c r="V1255" s="36">
        <f>IFERROR(U1255/$AC1255,0)</f>
        <v>0</v>
      </c>
      <c r="W1255" s="40"/>
      <c r="X1255" s="36">
        <f>IFERROR(W1255/$AD1255,0)</f>
        <v>0</v>
      </c>
      <c r="Y1255" s="35"/>
      <c r="Z1255" s="36">
        <f>IFERROR(Y1255/$AC1255,0)</f>
        <v>0</v>
      </c>
      <c r="AA1255" s="40"/>
      <c r="AB1255" s="36">
        <f>IFERROR(AA1255/$AD1255,0)</f>
        <v>0</v>
      </c>
      <c r="AC1255" s="35"/>
      <c r="AD1255" s="40"/>
    </row>
    <row r="1256" spans="1:30" ht="15.75" customHeight="1" x14ac:dyDescent="0.25">
      <c r="A1256" s="37">
        <v>2015</v>
      </c>
      <c r="B1256" s="35">
        <v>170040</v>
      </c>
      <c r="C1256" s="34" t="s">
        <v>147</v>
      </c>
      <c r="D1256" s="34" t="s">
        <v>8</v>
      </c>
      <c r="E1256" s="35"/>
      <c r="F1256" s="36">
        <f>IFERROR(E1256/$AC1256,0)</f>
        <v>0</v>
      </c>
      <c r="G1256" s="40"/>
      <c r="H1256" s="36">
        <f>IFERROR(G1256/$AD1256,0)</f>
        <v>0</v>
      </c>
      <c r="I1256" s="35"/>
      <c r="J1256" s="36">
        <f>IFERROR(I1256/$AC1256,0)</f>
        <v>0</v>
      </c>
      <c r="K1256" s="40"/>
      <c r="L1256" s="36">
        <f>IFERROR(K1256/$AD1256,0)</f>
        <v>0</v>
      </c>
      <c r="M1256" s="35"/>
      <c r="N1256" s="36">
        <f>IFERROR(M1256/$AC1256,0)</f>
        <v>0</v>
      </c>
      <c r="O1256" s="40"/>
      <c r="P1256" s="36">
        <f>IFERROR(O1256/$AD1256,0)</f>
        <v>0</v>
      </c>
      <c r="Q1256" s="35"/>
      <c r="R1256" s="36">
        <f>IFERROR(Q1256/$AC1256,0)</f>
        <v>0</v>
      </c>
      <c r="S1256" s="40"/>
      <c r="T1256" s="36">
        <f>IFERROR(S1256/$AD1256,0)</f>
        <v>0</v>
      </c>
      <c r="U1256" s="35"/>
      <c r="V1256" s="36">
        <f>IFERROR(U1256/$AC1256,0)</f>
        <v>0</v>
      </c>
      <c r="W1256" s="40"/>
      <c r="X1256" s="36">
        <f>IFERROR(W1256/$AD1256,0)</f>
        <v>0</v>
      </c>
      <c r="Y1256" s="35"/>
      <c r="Z1256" s="36">
        <f>IFERROR(Y1256/$AC1256,0)</f>
        <v>0</v>
      </c>
      <c r="AA1256" s="40"/>
      <c r="AB1256" s="36">
        <f>IFERROR(AA1256/$AD1256,0)</f>
        <v>0</v>
      </c>
      <c r="AC1256" s="35"/>
      <c r="AD1256" s="40"/>
    </row>
    <row r="1257" spans="1:30" ht="15.75" customHeight="1" x14ac:dyDescent="0.25">
      <c r="A1257" s="37">
        <v>2015</v>
      </c>
      <c r="B1257" s="35">
        <v>170070</v>
      </c>
      <c r="C1257" s="34" t="s">
        <v>146</v>
      </c>
      <c r="D1257" s="34" t="s">
        <v>9</v>
      </c>
      <c r="E1257" s="35"/>
      <c r="F1257" s="36">
        <f>IFERROR(E1257/$AC1257,0)</f>
        <v>0</v>
      </c>
      <c r="G1257" s="40"/>
      <c r="H1257" s="36">
        <f>IFERROR(G1257/$AD1257,0)</f>
        <v>0</v>
      </c>
      <c r="I1257" s="35"/>
      <c r="J1257" s="36">
        <f>IFERROR(I1257/$AC1257,0)</f>
        <v>0</v>
      </c>
      <c r="K1257" s="40"/>
      <c r="L1257" s="36">
        <f>IFERROR(K1257/$AD1257,0)</f>
        <v>0</v>
      </c>
      <c r="M1257" s="35"/>
      <c r="N1257" s="36">
        <f>IFERROR(M1257/$AC1257,0)</f>
        <v>0</v>
      </c>
      <c r="O1257" s="40"/>
      <c r="P1257" s="36">
        <f>IFERROR(O1257/$AD1257,0)</f>
        <v>0</v>
      </c>
      <c r="Q1257" s="35"/>
      <c r="R1257" s="36">
        <f>IFERROR(Q1257/$AC1257,0)</f>
        <v>0</v>
      </c>
      <c r="S1257" s="40"/>
      <c r="T1257" s="36">
        <f>IFERROR(S1257/$AD1257,0)</f>
        <v>0</v>
      </c>
      <c r="U1257" s="35"/>
      <c r="V1257" s="36">
        <f>IFERROR(U1257/$AC1257,0)</f>
        <v>0</v>
      </c>
      <c r="W1257" s="40"/>
      <c r="X1257" s="36">
        <f>IFERROR(W1257/$AD1257,0)</f>
        <v>0</v>
      </c>
      <c r="Y1257" s="35"/>
      <c r="Z1257" s="36">
        <f>IFERROR(Y1257/$AC1257,0)</f>
        <v>0</v>
      </c>
      <c r="AA1257" s="40"/>
      <c r="AB1257" s="36">
        <f>IFERROR(AA1257/$AD1257,0)</f>
        <v>0</v>
      </c>
      <c r="AC1257" s="35"/>
      <c r="AD1257" s="40"/>
    </row>
    <row r="1258" spans="1:30" ht="15.75" customHeight="1" x14ac:dyDescent="0.25">
      <c r="A1258" s="37">
        <v>2015</v>
      </c>
      <c r="B1258" s="35">
        <v>170100</v>
      </c>
      <c r="C1258" s="34" t="s">
        <v>145</v>
      </c>
      <c r="D1258" s="34" t="s">
        <v>10</v>
      </c>
      <c r="E1258" s="35"/>
      <c r="F1258" s="36">
        <f>IFERROR(E1258/$AC1258,0)</f>
        <v>0</v>
      </c>
      <c r="G1258" s="40"/>
      <c r="H1258" s="36">
        <f>IFERROR(G1258/$AD1258,0)</f>
        <v>0</v>
      </c>
      <c r="I1258" s="35"/>
      <c r="J1258" s="36">
        <f>IFERROR(I1258/$AC1258,0)</f>
        <v>0</v>
      </c>
      <c r="K1258" s="40"/>
      <c r="L1258" s="36">
        <f>IFERROR(K1258/$AD1258,0)</f>
        <v>0</v>
      </c>
      <c r="M1258" s="35"/>
      <c r="N1258" s="36">
        <f>IFERROR(M1258/$AC1258,0)</f>
        <v>0</v>
      </c>
      <c r="O1258" s="40"/>
      <c r="P1258" s="36">
        <f>IFERROR(O1258/$AD1258,0)</f>
        <v>0</v>
      </c>
      <c r="Q1258" s="35"/>
      <c r="R1258" s="36">
        <f>IFERROR(Q1258/$AC1258,0)</f>
        <v>0</v>
      </c>
      <c r="S1258" s="40"/>
      <c r="T1258" s="36">
        <f>IFERROR(S1258/$AD1258,0)</f>
        <v>0</v>
      </c>
      <c r="U1258" s="35"/>
      <c r="V1258" s="36">
        <f>IFERROR(U1258/$AC1258,0)</f>
        <v>0</v>
      </c>
      <c r="W1258" s="40"/>
      <c r="X1258" s="36">
        <f>IFERROR(W1258/$AD1258,0)</f>
        <v>0</v>
      </c>
      <c r="Y1258" s="35"/>
      <c r="Z1258" s="36">
        <f>IFERROR(Y1258/$AC1258,0)</f>
        <v>0</v>
      </c>
      <c r="AA1258" s="40"/>
      <c r="AB1258" s="36">
        <f>IFERROR(AA1258/$AD1258,0)</f>
        <v>0</v>
      </c>
      <c r="AC1258" s="35"/>
      <c r="AD1258" s="40"/>
    </row>
    <row r="1259" spans="1:30" ht="15.75" customHeight="1" x14ac:dyDescent="0.25">
      <c r="A1259" s="37">
        <v>2015</v>
      </c>
      <c r="B1259" s="35">
        <v>170105</v>
      </c>
      <c r="C1259" s="34" t="s">
        <v>145</v>
      </c>
      <c r="D1259" s="34" t="s">
        <v>11</v>
      </c>
      <c r="E1259" s="35"/>
      <c r="F1259" s="36">
        <f>IFERROR(E1259/$AC1259,0)</f>
        <v>0</v>
      </c>
      <c r="G1259" s="40"/>
      <c r="H1259" s="36">
        <f>IFERROR(G1259/$AD1259,0)</f>
        <v>0</v>
      </c>
      <c r="I1259" s="35"/>
      <c r="J1259" s="36">
        <f>IFERROR(I1259/$AC1259,0)</f>
        <v>0</v>
      </c>
      <c r="K1259" s="40"/>
      <c r="L1259" s="36">
        <f>IFERROR(K1259/$AD1259,0)</f>
        <v>0</v>
      </c>
      <c r="M1259" s="35"/>
      <c r="N1259" s="36">
        <f>IFERROR(M1259/$AC1259,0)</f>
        <v>0</v>
      </c>
      <c r="O1259" s="40"/>
      <c r="P1259" s="36">
        <f>IFERROR(O1259/$AD1259,0)</f>
        <v>0</v>
      </c>
      <c r="Q1259" s="35"/>
      <c r="R1259" s="36">
        <f>IFERROR(Q1259/$AC1259,0)</f>
        <v>0</v>
      </c>
      <c r="S1259" s="40"/>
      <c r="T1259" s="36">
        <f>IFERROR(S1259/$AD1259,0)</f>
        <v>0</v>
      </c>
      <c r="U1259" s="35"/>
      <c r="V1259" s="36">
        <f>IFERROR(U1259/$AC1259,0)</f>
        <v>0</v>
      </c>
      <c r="W1259" s="40"/>
      <c r="X1259" s="36">
        <f>IFERROR(W1259/$AD1259,0)</f>
        <v>0</v>
      </c>
      <c r="Y1259" s="35"/>
      <c r="Z1259" s="36">
        <f>IFERROR(Y1259/$AC1259,0)</f>
        <v>0</v>
      </c>
      <c r="AA1259" s="40"/>
      <c r="AB1259" s="36">
        <f>IFERROR(AA1259/$AD1259,0)</f>
        <v>0</v>
      </c>
      <c r="AC1259" s="35"/>
      <c r="AD1259" s="40"/>
    </row>
    <row r="1260" spans="1:30" ht="15.75" customHeight="1" x14ac:dyDescent="0.25">
      <c r="A1260" s="37">
        <v>2015</v>
      </c>
      <c r="B1260" s="35">
        <v>170110</v>
      </c>
      <c r="C1260" s="34" t="s">
        <v>148</v>
      </c>
      <c r="D1260" s="34" t="s">
        <v>12</v>
      </c>
      <c r="E1260" s="35"/>
      <c r="F1260" s="36">
        <f>IFERROR(E1260/$AC1260,0)</f>
        <v>0</v>
      </c>
      <c r="G1260" s="40"/>
      <c r="H1260" s="36">
        <f>IFERROR(G1260/$AD1260,0)</f>
        <v>0</v>
      </c>
      <c r="I1260" s="35"/>
      <c r="J1260" s="36">
        <f>IFERROR(I1260/$AC1260,0)</f>
        <v>0</v>
      </c>
      <c r="K1260" s="40"/>
      <c r="L1260" s="36">
        <f>IFERROR(K1260/$AD1260,0)</f>
        <v>0</v>
      </c>
      <c r="M1260" s="35"/>
      <c r="N1260" s="36">
        <f>IFERROR(M1260/$AC1260,0)</f>
        <v>0</v>
      </c>
      <c r="O1260" s="40"/>
      <c r="P1260" s="36">
        <f>IFERROR(O1260/$AD1260,0)</f>
        <v>0</v>
      </c>
      <c r="Q1260" s="35"/>
      <c r="R1260" s="36">
        <f>IFERROR(Q1260/$AC1260,0)</f>
        <v>0</v>
      </c>
      <c r="S1260" s="40"/>
      <c r="T1260" s="36">
        <f>IFERROR(S1260/$AD1260,0)</f>
        <v>0</v>
      </c>
      <c r="U1260" s="35"/>
      <c r="V1260" s="36">
        <f>IFERROR(U1260/$AC1260,0)</f>
        <v>0</v>
      </c>
      <c r="W1260" s="40"/>
      <c r="X1260" s="36">
        <f>IFERROR(W1260/$AD1260,0)</f>
        <v>0</v>
      </c>
      <c r="Y1260" s="35"/>
      <c r="Z1260" s="36">
        <f>IFERROR(Y1260/$AC1260,0)</f>
        <v>0</v>
      </c>
      <c r="AA1260" s="40"/>
      <c r="AB1260" s="36">
        <f>IFERROR(AA1260/$AD1260,0)</f>
        <v>0</v>
      </c>
      <c r="AC1260" s="35"/>
      <c r="AD1260" s="40"/>
    </row>
    <row r="1261" spans="1:30" ht="15.75" customHeight="1" x14ac:dyDescent="0.25">
      <c r="A1261" s="37">
        <v>2015</v>
      </c>
      <c r="B1261" s="35">
        <v>170130</v>
      </c>
      <c r="C1261" s="34" t="s">
        <v>149</v>
      </c>
      <c r="D1261" s="34" t="s">
        <v>13</v>
      </c>
      <c r="E1261" s="35"/>
      <c r="F1261" s="36">
        <f>IFERROR(E1261/$AC1261,0)</f>
        <v>0</v>
      </c>
      <c r="G1261" s="40"/>
      <c r="H1261" s="36">
        <f>IFERROR(G1261/$AD1261,0)</f>
        <v>0</v>
      </c>
      <c r="I1261" s="35"/>
      <c r="J1261" s="36">
        <f>IFERROR(I1261/$AC1261,0)</f>
        <v>0</v>
      </c>
      <c r="K1261" s="40"/>
      <c r="L1261" s="36">
        <f>IFERROR(K1261/$AD1261,0)</f>
        <v>0</v>
      </c>
      <c r="M1261" s="35"/>
      <c r="N1261" s="36">
        <f>IFERROR(M1261/$AC1261,0)</f>
        <v>0</v>
      </c>
      <c r="O1261" s="40"/>
      <c r="P1261" s="36">
        <f>IFERROR(O1261/$AD1261,0)</f>
        <v>0</v>
      </c>
      <c r="Q1261" s="35"/>
      <c r="R1261" s="36">
        <f>IFERROR(Q1261/$AC1261,0)</f>
        <v>0</v>
      </c>
      <c r="S1261" s="40"/>
      <c r="T1261" s="36">
        <f>IFERROR(S1261/$AD1261,0)</f>
        <v>0</v>
      </c>
      <c r="U1261" s="35"/>
      <c r="V1261" s="36">
        <f>IFERROR(U1261/$AC1261,0)</f>
        <v>0</v>
      </c>
      <c r="W1261" s="40"/>
      <c r="X1261" s="36">
        <f>IFERROR(W1261/$AD1261,0)</f>
        <v>0</v>
      </c>
      <c r="Y1261" s="35"/>
      <c r="Z1261" s="36">
        <f>IFERROR(Y1261/$AC1261,0)</f>
        <v>0</v>
      </c>
      <c r="AA1261" s="40"/>
      <c r="AB1261" s="36">
        <f>IFERROR(AA1261/$AD1261,0)</f>
        <v>0</v>
      </c>
      <c r="AC1261" s="35"/>
      <c r="AD1261" s="40"/>
    </row>
    <row r="1262" spans="1:30" ht="15.75" customHeight="1" x14ac:dyDescent="0.25">
      <c r="A1262" s="37">
        <v>2015</v>
      </c>
      <c r="B1262" s="35">
        <v>170190</v>
      </c>
      <c r="C1262" s="34" t="s">
        <v>144</v>
      </c>
      <c r="D1262" s="34" t="s">
        <v>14</v>
      </c>
      <c r="E1262" s="35"/>
      <c r="F1262" s="36">
        <f>IFERROR(E1262/$AC1262,0)</f>
        <v>0</v>
      </c>
      <c r="G1262" s="40"/>
      <c r="H1262" s="36">
        <f>IFERROR(G1262/$AD1262,0)</f>
        <v>0</v>
      </c>
      <c r="I1262" s="35"/>
      <c r="J1262" s="36">
        <f>IFERROR(I1262/$AC1262,0)</f>
        <v>0</v>
      </c>
      <c r="K1262" s="40"/>
      <c r="L1262" s="36">
        <f>IFERROR(K1262/$AD1262,0)</f>
        <v>0</v>
      </c>
      <c r="M1262" s="35"/>
      <c r="N1262" s="36">
        <f>IFERROR(M1262/$AC1262,0)</f>
        <v>0</v>
      </c>
      <c r="O1262" s="40"/>
      <c r="P1262" s="36">
        <f>IFERROR(O1262/$AD1262,0)</f>
        <v>0</v>
      </c>
      <c r="Q1262" s="35"/>
      <c r="R1262" s="36">
        <f>IFERROR(Q1262/$AC1262,0)</f>
        <v>0</v>
      </c>
      <c r="S1262" s="40"/>
      <c r="T1262" s="36">
        <f>IFERROR(S1262/$AD1262,0)</f>
        <v>0</v>
      </c>
      <c r="U1262" s="35"/>
      <c r="V1262" s="36">
        <f>IFERROR(U1262/$AC1262,0)</f>
        <v>0</v>
      </c>
      <c r="W1262" s="40"/>
      <c r="X1262" s="36">
        <f>IFERROR(W1262/$AD1262,0)</f>
        <v>0</v>
      </c>
      <c r="Y1262" s="35"/>
      <c r="Z1262" s="36">
        <f>IFERROR(Y1262/$AC1262,0)</f>
        <v>0</v>
      </c>
      <c r="AA1262" s="40"/>
      <c r="AB1262" s="36">
        <f>IFERROR(AA1262/$AD1262,0)</f>
        <v>0</v>
      </c>
      <c r="AC1262" s="35"/>
      <c r="AD1262" s="40"/>
    </row>
    <row r="1263" spans="1:30" ht="15.75" customHeight="1" x14ac:dyDescent="0.25">
      <c r="A1263" s="37">
        <v>2015</v>
      </c>
      <c r="B1263" s="35">
        <v>170200</v>
      </c>
      <c r="C1263" s="34" t="s">
        <v>146</v>
      </c>
      <c r="D1263" s="34" t="s">
        <v>15</v>
      </c>
      <c r="E1263" s="35"/>
      <c r="F1263" s="36">
        <f>IFERROR(E1263/$AC1263,0)</f>
        <v>0</v>
      </c>
      <c r="G1263" s="40"/>
      <c r="H1263" s="36">
        <f>IFERROR(G1263/$AD1263,0)</f>
        <v>0</v>
      </c>
      <c r="I1263" s="35"/>
      <c r="J1263" s="36">
        <f>IFERROR(I1263/$AC1263,0)</f>
        <v>0</v>
      </c>
      <c r="K1263" s="40"/>
      <c r="L1263" s="36">
        <f>IFERROR(K1263/$AD1263,0)</f>
        <v>0</v>
      </c>
      <c r="M1263" s="35"/>
      <c r="N1263" s="36">
        <f>IFERROR(M1263/$AC1263,0)</f>
        <v>0</v>
      </c>
      <c r="O1263" s="40"/>
      <c r="P1263" s="36">
        <f>IFERROR(O1263/$AD1263,0)</f>
        <v>0</v>
      </c>
      <c r="Q1263" s="35"/>
      <c r="R1263" s="36">
        <f>IFERROR(Q1263/$AC1263,0)</f>
        <v>0</v>
      </c>
      <c r="S1263" s="40"/>
      <c r="T1263" s="36">
        <f>IFERROR(S1263/$AD1263,0)</f>
        <v>0</v>
      </c>
      <c r="U1263" s="35"/>
      <c r="V1263" s="36">
        <f>IFERROR(U1263/$AC1263,0)</f>
        <v>0</v>
      </c>
      <c r="W1263" s="40"/>
      <c r="X1263" s="36">
        <f>IFERROR(W1263/$AD1263,0)</f>
        <v>0</v>
      </c>
      <c r="Y1263" s="35"/>
      <c r="Z1263" s="36">
        <f>IFERROR(Y1263/$AC1263,0)</f>
        <v>0</v>
      </c>
      <c r="AA1263" s="40"/>
      <c r="AB1263" s="36">
        <f>IFERROR(AA1263/$AD1263,0)</f>
        <v>0</v>
      </c>
      <c r="AC1263" s="35"/>
      <c r="AD1263" s="40"/>
    </row>
    <row r="1264" spans="1:30" ht="15.75" customHeight="1" x14ac:dyDescent="0.25">
      <c r="A1264" s="37">
        <v>2015</v>
      </c>
      <c r="B1264" s="35">
        <v>170210</v>
      </c>
      <c r="C1264" s="34" t="s">
        <v>149</v>
      </c>
      <c r="D1264" s="34" t="s">
        <v>16</v>
      </c>
      <c r="E1264" s="35"/>
      <c r="F1264" s="36">
        <f>IFERROR(E1264/$AC1264,0)</f>
        <v>0</v>
      </c>
      <c r="G1264" s="40"/>
      <c r="H1264" s="36">
        <f>IFERROR(G1264/$AD1264,0)</f>
        <v>0</v>
      </c>
      <c r="I1264" s="35"/>
      <c r="J1264" s="36">
        <f>IFERROR(I1264/$AC1264,0)</f>
        <v>0</v>
      </c>
      <c r="K1264" s="40"/>
      <c r="L1264" s="36">
        <f>IFERROR(K1264/$AD1264,0)</f>
        <v>0</v>
      </c>
      <c r="M1264" s="35"/>
      <c r="N1264" s="36">
        <f>IFERROR(M1264/$AC1264,0)</f>
        <v>0</v>
      </c>
      <c r="O1264" s="41"/>
      <c r="P1264" s="36">
        <f>IFERROR(O1264/$AD1264,0)</f>
        <v>0</v>
      </c>
      <c r="Q1264" s="35"/>
      <c r="R1264" s="36">
        <f>IFERROR(Q1264/$AC1264,0)</f>
        <v>0</v>
      </c>
      <c r="S1264" s="40"/>
      <c r="T1264" s="36">
        <f>IFERROR(S1264/$AD1264,0)</f>
        <v>0</v>
      </c>
      <c r="U1264" s="35"/>
      <c r="V1264" s="36">
        <f>IFERROR(U1264/$AC1264,0)</f>
        <v>0</v>
      </c>
      <c r="W1264" s="40"/>
      <c r="X1264" s="36">
        <f>IFERROR(W1264/$AD1264,0)</f>
        <v>0</v>
      </c>
      <c r="Y1264" s="35"/>
      <c r="Z1264" s="36">
        <f>IFERROR(Y1264/$AC1264,0)</f>
        <v>0</v>
      </c>
      <c r="AA1264" s="41"/>
      <c r="AB1264" s="36">
        <f>IFERROR(AA1264/$AD1264,0)</f>
        <v>0</v>
      </c>
      <c r="AC1264" s="35"/>
      <c r="AD1264" s="41"/>
    </row>
    <row r="1265" spans="1:30" ht="15.75" customHeight="1" x14ac:dyDescent="0.25">
      <c r="A1265" s="37">
        <v>2015</v>
      </c>
      <c r="B1265" s="35">
        <v>170215</v>
      </c>
      <c r="C1265" s="34" t="s">
        <v>149</v>
      </c>
      <c r="D1265" s="34" t="s">
        <v>17</v>
      </c>
      <c r="E1265" s="35"/>
      <c r="F1265" s="36">
        <f>IFERROR(E1265/$AC1265,0)</f>
        <v>0</v>
      </c>
      <c r="G1265" s="40"/>
      <c r="H1265" s="36">
        <f>IFERROR(G1265/$AD1265,0)</f>
        <v>0</v>
      </c>
      <c r="I1265" s="35"/>
      <c r="J1265" s="36">
        <f>IFERROR(I1265/$AC1265,0)</f>
        <v>0</v>
      </c>
      <c r="K1265" s="40"/>
      <c r="L1265" s="36">
        <f>IFERROR(K1265/$AD1265,0)</f>
        <v>0</v>
      </c>
      <c r="M1265" s="35"/>
      <c r="N1265" s="36">
        <f>IFERROR(M1265/$AC1265,0)</f>
        <v>0</v>
      </c>
      <c r="O1265" s="40"/>
      <c r="P1265" s="36">
        <f>IFERROR(O1265/$AD1265,0)</f>
        <v>0</v>
      </c>
      <c r="Q1265" s="35"/>
      <c r="R1265" s="36">
        <f>IFERROR(Q1265/$AC1265,0)</f>
        <v>0</v>
      </c>
      <c r="S1265" s="40"/>
      <c r="T1265" s="36">
        <f>IFERROR(S1265/$AD1265,0)</f>
        <v>0</v>
      </c>
      <c r="U1265" s="35"/>
      <c r="V1265" s="36">
        <f>IFERROR(U1265/$AC1265,0)</f>
        <v>0</v>
      </c>
      <c r="W1265" s="40"/>
      <c r="X1265" s="36">
        <f>IFERROR(W1265/$AD1265,0)</f>
        <v>0</v>
      </c>
      <c r="Y1265" s="35"/>
      <c r="Z1265" s="36">
        <f>IFERROR(Y1265/$AC1265,0)</f>
        <v>0</v>
      </c>
      <c r="AA1265" s="40"/>
      <c r="AB1265" s="36">
        <f>IFERROR(AA1265/$AD1265,0)</f>
        <v>0</v>
      </c>
      <c r="AC1265" s="35"/>
      <c r="AD1265" s="40"/>
    </row>
    <row r="1266" spans="1:30" ht="15.75" customHeight="1" x14ac:dyDescent="0.25">
      <c r="A1266" s="37">
        <v>2015</v>
      </c>
      <c r="B1266" s="35">
        <v>170220</v>
      </c>
      <c r="C1266" s="34" t="s">
        <v>145</v>
      </c>
      <c r="D1266" s="34" t="s">
        <v>18</v>
      </c>
      <c r="E1266" s="35"/>
      <c r="F1266" s="36">
        <f>IFERROR(E1266/$AC1266,0)</f>
        <v>0</v>
      </c>
      <c r="G1266" s="40"/>
      <c r="H1266" s="36">
        <f>IFERROR(G1266/$AD1266,0)</f>
        <v>0</v>
      </c>
      <c r="I1266" s="35"/>
      <c r="J1266" s="36">
        <f>IFERROR(I1266/$AC1266,0)</f>
        <v>0</v>
      </c>
      <c r="K1266" s="40"/>
      <c r="L1266" s="36">
        <f>IFERROR(K1266/$AD1266,0)</f>
        <v>0</v>
      </c>
      <c r="M1266" s="35"/>
      <c r="N1266" s="36">
        <f>IFERROR(M1266/$AC1266,0)</f>
        <v>0</v>
      </c>
      <c r="O1266" s="41"/>
      <c r="P1266" s="36">
        <f>IFERROR(O1266/$AD1266,0)</f>
        <v>0</v>
      </c>
      <c r="Q1266" s="35"/>
      <c r="R1266" s="36">
        <f>IFERROR(Q1266/$AC1266,0)</f>
        <v>0</v>
      </c>
      <c r="S1266" s="40"/>
      <c r="T1266" s="36">
        <f>IFERROR(S1266/$AD1266,0)</f>
        <v>0</v>
      </c>
      <c r="U1266" s="35"/>
      <c r="V1266" s="36">
        <f>IFERROR(U1266/$AC1266,0)</f>
        <v>0</v>
      </c>
      <c r="W1266" s="40"/>
      <c r="X1266" s="36">
        <f>IFERROR(W1266/$AD1266,0)</f>
        <v>0</v>
      </c>
      <c r="Y1266" s="35"/>
      <c r="Z1266" s="36">
        <f>IFERROR(Y1266/$AC1266,0)</f>
        <v>0</v>
      </c>
      <c r="AA1266" s="40"/>
      <c r="AB1266" s="36">
        <f>IFERROR(AA1266/$AD1266,0)</f>
        <v>0</v>
      </c>
      <c r="AC1266" s="35"/>
      <c r="AD1266" s="41"/>
    </row>
    <row r="1267" spans="1:30" ht="15.75" customHeight="1" x14ac:dyDescent="0.25">
      <c r="A1267" s="37">
        <v>2015</v>
      </c>
      <c r="B1267" s="35">
        <v>170230</v>
      </c>
      <c r="C1267" s="34" t="s">
        <v>150</v>
      </c>
      <c r="D1267" s="34" t="s">
        <v>19</v>
      </c>
      <c r="E1267" s="35"/>
      <c r="F1267" s="36">
        <f>IFERROR(E1267/$AC1267,0)</f>
        <v>0</v>
      </c>
      <c r="G1267" s="40"/>
      <c r="H1267" s="36">
        <f>IFERROR(G1267/$AD1267,0)</f>
        <v>0</v>
      </c>
      <c r="I1267" s="35"/>
      <c r="J1267" s="36">
        <f>IFERROR(I1267/$AC1267,0)</f>
        <v>0</v>
      </c>
      <c r="K1267" s="40"/>
      <c r="L1267" s="36">
        <f>IFERROR(K1267/$AD1267,0)</f>
        <v>0</v>
      </c>
      <c r="M1267" s="35"/>
      <c r="N1267" s="36">
        <f>IFERROR(M1267/$AC1267,0)</f>
        <v>0</v>
      </c>
      <c r="O1267" s="40"/>
      <c r="P1267" s="36">
        <f>IFERROR(O1267/$AD1267,0)</f>
        <v>0</v>
      </c>
      <c r="Q1267" s="35"/>
      <c r="R1267" s="36">
        <f>IFERROR(Q1267/$AC1267,0)</f>
        <v>0</v>
      </c>
      <c r="S1267" s="40"/>
      <c r="T1267" s="36">
        <f>IFERROR(S1267/$AD1267,0)</f>
        <v>0</v>
      </c>
      <c r="U1267" s="35"/>
      <c r="V1267" s="36">
        <f>IFERROR(U1267/$AC1267,0)</f>
        <v>0</v>
      </c>
      <c r="W1267" s="40"/>
      <c r="X1267" s="36">
        <f>IFERROR(W1267/$AD1267,0)</f>
        <v>0</v>
      </c>
      <c r="Y1267" s="35"/>
      <c r="Z1267" s="36">
        <f>IFERROR(Y1267/$AC1267,0)</f>
        <v>0</v>
      </c>
      <c r="AA1267" s="40"/>
      <c r="AB1267" s="36">
        <f>IFERROR(AA1267/$AD1267,0)</f>
        <v>0</v>
      </c>
      <c r="AC1267" s="35"/>
      <c r="AD1267" s="40"/>
    </row>
    <row r="1268" spans="1:30" ht="15.75" customHeight="1" x14ac:dyDescent="0.25">
      <c r="A1268" s="37">
        <v>2015</v>
      </c>
      <c r="B1268" s="35">
        <v>170240</v>
      </c>
      <c r="C1268" s="34" t="s">
        <v>147</v>
      </c>
      <c r="D1268" s="34" t="s">
        <v>20</v>
      </c>
      <c r="E1268" s="35"/>
      <c r="F1268" s="36">
        <f>IFERROR(E1268/$AC1268,0)</f>
        <v>0</v>
      </c>
      <c r="G1268" s="40"/>
      <c r="H1268" s="36">
        <f>IFERROR(G1268/$AD1268,0)</f>
        <v>0</v>
      </c>
      <c r="I1268" s="35"/>
      <c r="J1268" s="36">
        <f>IFERROR(I1268/$AC1268,0)</f>
        <v>0</v>
      </c>
      <c r="K1268" s="40"/>
      <c r="L1268" s="36">
        <f>IFERROR(K1268/$AD1268,0)</f>
        <v>0</v>
      </c>
      <c r="M1268" s="35"/>
      <c r="N1268" s="36">
        <f>IFERROR(M1268/$AC1268,0)</f>
        <v>0</v>
      </c>
      <c r="O1268" s="40"/>
      <c r="P1268" s="36">
        <f>IFERROR(O1268/$AD1268,0)</f>
        <v>0</v>
      </c>
      <c r="Q1268" s="35"/>
      <c r="R1268" s="36">
        <f>IFERROR(Q1268/$AC1268,0)</f>
        <v>0</v>
      </c>
      <c r="S1268" s="40"/>
      <c r="T1268" s="36">
        <f>IFERROR(S1268/$AD1268,0)</f>
        <v>0</v>
      </c>
      <c r="U1268" s="35"/>
      <c r="V1268" s="36">
        <f>IFERROR(U1268/$AC1268,0)</f>
        <v>0</v>
      </c>
      <c r="W1268" s="40"/>
      <c r="X1268" s="36">
        <f>IFERROR(W1268/$AD1268,0)</f>
        <v>0</v>
      </c>
      <c r="Y1268" s="35"/>
      <c r="Z1268" s="36">
        <f>IFERROR(Y1268/$AC1268,0)</f>
        <v>0</v>
      </c>
      <c r="AA1268" s="40"/>
      <c r="AB1268" s="36">
        <f>IFERROR(AA1268/$AD1268,0)</f>
        <v>0</v>
      </c>
      <c r="AC1268" s="35"/>
      <c r="AD1268" s="40"/>
    </row>
    <row r="1269" spans="1:30" ht="15.75" customHeight="1" x14ac:dyDescent="0.25">
      <c r="A1269" s="37">
        <v>2015</v>
      </c>
      <c r="B1269" s="35">
        <v>170255</v>
      </c>
      <c r="C1269" s="34" t="s">
        <v>145</v>
      </c>
      <c r="D1269" s="34" t="s">
        <v>21</v>
      </c>
      <c r="E1269" s="35"/>
      <c r="F1269" s="36">
        <f>IFERROR(E1269/$AC1269,0)</f>
        <v>0</v>
      </c>
      <c r="G1269" s="40"/>
      <c r="H1269" s="36">
        <f>IFERROR(G1269/$AD1269,0)</f>
        <v>0</v>
      </c>
      <c r="I1269" s="35"/>
      <c r="J1269" s="36">
        <f>IFERROR(I1269/$AC1269,0)</f>
        <v>0</v>
      </c>
      <c r="K1269" s="40"/>
      <c r="L1269" s="36">
        <f>IFERROR(K1269/$AD1269,0)</f>
        <v>0</v>
      </c>
      <c r="M1269" s="35"/>
      <c r="N1269" s="36">
        <f>IFERROR(M1269/$AC1269,0)</f>
        <v>0</v>
      </c>
      <c r="O1269" s="40"/>
      <c r="P1269" s="36">
        <f>IFERROR(O1269/$AD1269,0)</f>
        <v>0</v>
      </c>
      <c r="Q1269" s="35"/>
      <c r="R1269" s="36">
        <f>IFERROR(Q1269/$AC1269,0)</f>
        <v>0</v>
      </c>
      <c r="S1269" s="40"/>
      <c r="T1269" s="36">
        <f>IFERROR(S1269/$AD1269,0)</f>
        <v>0</v>
      </c>
      <c r="U1269" s="35"/>
      <c r="V1269" s="36">
        <f>IFERROR(U1269/$AC1269,0)</f>
        <v>0</v>
      </c>
      <c r="W1269" s="40"/>
      <c r="X1269" s="36">
        <f>IFERROR(W1269/$AD1269,0)</f>
        <v>0</v>
      </c>
      <c r="Y1269" s="35"/>
      <c r="Z1269" s="36">
        <f>IFERROR(Y1269/$AC1269,0)</f>
        <v>0</v>
      </c>
      <c r="AA1269" s="40"/>
      <c r="AB1269" s="36">
        <f>IFERROR(AA1269/$AD1269,0)</f>
        <v>0</v>
      </c>
      <c r="AC1269" s="35"/>
      <c r="AD1269" s="40"/>
    </row>
    <row r="1270" spans="1:30" ht="15.75" customHeight="1" x14ac:dyDescent="0.25">
      <c r="A1270" s="37">
        <v>2015</v>
      </c>
      <c r="B1270" s="35">
        <v>170270</v>
      </c>
      <c r="C1270" s="34" t="s">
        <v>147</v>
      </c>
      <c r="D1270" s="34" t="s">
        <v>22</v>
      </c>
      <c r="E1270" s="35"/>
      <c r="F1270" s="36">
        <f>IFERROR(E1270/$AC1270,0)</f>
        <v>0</v>
      </c>
      <c r="G1270" s="40"/>
      <c r="H1270" s="36">
        <f>IFERROR(G1270/$AD1270,0)</f>
        <v>0</v>
      </c>
      <c r="I1270" s="35"/>
      <c r="J1270" s="36">
        <f>IFERROR(I1270/$AC1270,0)</f>
        <v>0</v>
      </c>
      <c r="K1270" s="40"/>
      <c r="L1270" s="36">
        <f>IFERROR(K1270/$AD1270,0)</f>
        <v>0</v>
      </c>
      <c r="M1270" s="35"/>
      <c r="N1270" s="36">
        <f>IFERROR(M1270/$AC1270,0)</f>
        <v>0</v>
      </c>
      <c r="O1270" s="40"/>
      <c r="P1270" s="36">
        <f>IFERROR(O1270/$AD1270,0)</f>
        <v>0</v>
      </c>
      <c r="Q1270" s="35"/>
      <c r="R1270" s="36">
        <f>IFERROR(Q1270/$AC1270,0)</f>
        <v>0</v>
      </c>
      <c r="S1270" s="40"/>
      <c r="T1270" s="36">
        <f>IFERROR(S1270/$AD1270,0)</f>
        <v>0</v>
      </c>
      <c r="U1270" s="35"/>
      <c r="V1270" s="36">
        <f>IFERROR(U1270/$AC1270,0)</f>
        <v>0</v>
      </c>
      <c r="W1270" s="40"/>
      <c r="X1270" s="36">
        <f>IFERROR(W1270/$AD1270,0)</f>
        <v>0</v>
      </c>
      <c r="Y1270" s="35"/>
      <c r="Z1270" s="36">
        <f>IFERROR(Y1270/$AC1270,0)</f>
        <v>0</v>
      </c>
      <c r="AA1270" s="40"/>
      <c r="AB1270" s="36">
        <f>IFERROR(AA1270/$AD1270,0)</f>
        <v>0</v>
      </c>
      <c r="AC1270" s="35"/>
      <c r="AD1270" s="40"/>
    </row>
    <row r="1271" spans="1:30" ht="15.75" customHeight="1" x14ac:dyDescent="0.25">
      <c r="A1271" s="37">
        <v>2015</v>
      </c>
      <c r="B1271" s="35">
        <v>170290</v>
      </c>
      <c r="C1271" s="34" t="s">
        <v>145</v>
      </c>
      <c r="D1271" s="34" t="s">
        <v>23</v>
      </c>
      <c r="E1271" s="35"/>
      <c r="F1271" s="36">
        <f>IFERROR(E1271/$AC1271,0)</f>
        <v>0</v>
      </c>
      <c r="G1271" s="40"/>
      <c r="H1271" s="36">
        <f>IFERROR(G1271/$AD1271,0)</f>
        <v>0</v>
      </c>
      <c r="I1271" s="35"/>
      <c r="J1271" s="36">
        <f>IFERROR(I1271/$AC1271,0)</f>
        <v>0</v>
      </c>
      <c r="K1271" s="40"/>
      <c r="L1271" s="36">
        <f>IFERROR(K1271/$AD1271,0)</f>
        <v>0</v>
      </c>
      <c r="M1271" s="35"/>
      <c r="N1271" s="36">
        <f>IFERROR(M1271/$AC1271,0)</f>
        <v>0</v>
      </c>
      <c r="O1271" s="40"/>
      <c r="P1271" s="36">
        <f>IFERROR(O1271/$AD1271,0)</f>
        <v>0</v>
      </c>
      <c r="Q1271" s="35"/>
      <c r="R1271" s="36">
        <f>IFERROR(Q1271/$AC1271,0)</f>
        <v>0</v>
      </c>
      <c r="S1271" s="40"/>
      <c r="T1271" s="36">
        <f>IFERROR(S1271/$AD1271,0)</f>
        <v>0</v>
      </c>
      <c r="U1271" s="35"/>
      <c r="V1271" s="36">
        <f>IFERROR(U1271/$AC1271,0)</f>
        <v>0</v>
      </c>
      <c r="W1271" s="40"/>
      <c r="X1271" s="36">
        <f>IFERROR(W1271/$AD1271,0)</f>
        <v>0</v>
      </c>
      <c r="Y1271" s="35"/>
      <c r="Z1271" s="36">
        <f>IFERROR(Y1271/$AC1271,0)</f>
        <v>0</v>
      </c>
      <c r="AA1271" s="40"/>
      <c r="AB1271" s="36">
        <f>IFERROR(AA1271/$AD1271,0)</f>
        <v>0</v>
      </c>
      <c r="AC1271" s="35"/>
      <c r="AD1271" s="40"/>
    </row>
    <row r="1272" spans="1:30" ht="15.75" customHeight="1" x14ac:dyDescent="0.25">
      <c r="A1272" s="37">
        <v>2015</v>
      </c>
      <c r="B1272" s="35">
        <v>170300</v>
      </c>
      <c r="C1272" s="34" t="s">
        <v>149</v>
      </c>
      <c r="D1272" s="34" t="s">
        <v>24</v>
      </c>
      <c r="E1272" s="35"/>
      <c r="F1272" s="36">
        <f>IFERROR(E1272/$AC1272,0)</f>
        <v>0</v>
      </c>
      <c r="G1272" s="40"/>
      <c r="H1272" s="36">
        <f>IFERROR(G1272/$AD1272,0)</f>
        <v>0</v>
      </c>
      <c r="I1272" s="35"/>
      <c r="J1272" s="36">
        <f>IFERROR(I1272/$AC1272,0)</f>
        <v>0</v>
      </c>
      <c r="K1272" s="40"/>
      <c r="L1272" s="36">
        <f>IFERROR(K1272/$AD1272,0)</f>
        <v>0</v>
      </c>
      <c r="M1272" s="35"/>
      <c r="N1272" s="36">
        <f>IFERROR(M1272/$AC1272,0)</f>
        <v>0</v>
      </c>
      <c r="O1272" s="40"/>
      <c r="P1272" s="36">
        <f>IFERROR(O1272/$AD1272,0)</f>
        <v>0</v>
      </c>
      <c r="Q1272" s="35"/>
      <c r="R1272" s="36">
        <f>IFERROR(Q1272/$AC1272,0)</f>
        <v>0</v>
      </c>
      <c r="S1272" s="40"/>
      <c r="T1272" s="36">
        <f>IFERROR(S1272/$AD1272,0)</f>
        <v>0</v>
      </c>
      <c r="U1272" s="35"/>
      <c r="V1272" s="36">
        <f>IFERROR(U1272/$AC1272,0)</f>
        <v>0</v>
      </c>
      <c r="W1272" s="40"/>
      <c r="X1272" s="36">
        <f>IFERROR(W1272/$AD1272,0)</f>
        <v>0</v>
      </c>
      <c r="Y1272" s="35"/>
      <c r="Z1272" s="36">
        <f>IFERROR(Y1272/$AC1272,0)</f>
        <v>0</v>
      </c>
      <c r="AA1272" s="40"/>
      <c r="AB1272" s="36">
        <f>IFERROR(AA1272/$AD1272,0)</f>
        <v>0</v>
      </c>
      <c r="AC1272" s="35"/>
      <c r="AD1272" s="40"/>
    </row>
    <row r="1273" spans="1:30" ht="15.75" customHeight="1" x14ac:dyDescent="0.25">
      <c r="A1273" s="37">
        <v>2015</v>
      </c>
      <c r="B1273" s="35">
        <v>170305</v>
      </c>
      <c r="C1273" s="34" t="s">
        <v>150</v>
      </c>
      <c r="D1273" s="34" t="s">
        <v>25</v>
      </c>
      <c r="E1273" s="35"/>
      <c r="F1273" s="36">
        <f>IFERROR(E1273/$AC1273,0)</f>
        <v>0</v>
      </c>
      <c r="G1273" s="40"/>
      <c r="H1273" s="36">
        <f>IFERROR(G1273/$AD1273,0)</f>
        <v>0</v>
      </c>
      <c r="I1273" s="35"/>
      <c r="J1273" s="36">
        <f>IFERROR(I1273/$AC1273,0)</f>
        <v>0</v>
      </c>
      <c r="K1273" s="40"/>
      <c r="L1273" s="36">
        <f>IFERROR(K1273/$AD1273,0)</f>
        <v>0</v>
      </c>
      <c r="M1273" s="35"/>
      <c r="N1273" s="36">
        <f>IFERROR(M1273/$AC1273,0)</f>
        <v>0</v>
      </c>
      <c r="O1273" s="40"/>
      <c r="P1273" s="36">
        <f>IFERROR(O1273/$AD1273,0)</f>
        <v>0</v>
      </c>
      <c r="Q1273" s="35"/>
      <c r="R1273" s="36">
        <f>IFERROR(Q1273/$AC1273,0)</f>
        <v>0</v>
      </c>
      <c r="S1273" s="40"/>
      <c r="T1273" s="36">
        <f>IFERROR(S1273/$AD1273,0)</f>
        <v>0</v>
      </c>
      <c r="U1273" s="35"/>
      <c r="V1273" s="36">
        <f>IFERROR(U1273/$AC1273,0)</f>
        <v>0</v>
      </c>
      <c r="W1273" s="40"/>
      <c r="X1273" s="36">
        <f>IFERROR(W1273/$AD1273,0)</f>
        <v>0</v>
      </c>
      <c r="Y1273" s="35"/>
      <c r="Z1273" s="36">
        <f>IFERROR(Y1273/$AC1273,0)</f>
        <v>0</v>
      </c>
      <c r="AA1273" s="40"/>
      <c r="AB1273" s="36">
        <f>IFERROR(AA1273/$AD1273,0)</f>
        <v>0</v>
      </c>
      <c r="AC1273" s="35"/>
      <c r="AD1273" s="40"/>
    </row>
    <row r="1274" spans="1:30" ht="15.75" customHeight="1" x14ac:dyDescent="0.25">
      <c r="A1274" s="37">
        <v>2015</v>
      </c>
      <c r="B1274" s="35">
        <v>170307</v>
      </c>
      <c r="C1274" s="34" t="s">
        <v>149</v>
      </c>
      <c r="D1274" s="34" t="s">
        <v>26</v>
      </c>
      <c r="E1274" s="35"/>
      <c r="F1274" s="36">
        <f>IFERROR(E1274/$AC1274,0)</f>
        <v>0</v>
      </c>
      <c r="G1274" s="40"/>
      <c r="H1274" s="36">
        <f>IFERROR(G1274/$AD1274,0)</f>
        <v>0</v>
      </c>
      <c r="I1274" s="35"/>
      <c r="J1274" s="36">
        <f>IFERROR(I1274/$AC1274,0)</f>
        <v>0</v>
      </c>
      <c r="K1274" s="40"/>
      <c r="L1274" s="36">
        <f>IFERROR(K1274/$AD1274,0)</f>
        <v>0</v>
      </c>
      <c r="M1274" s="35"/>
      <c r="N1274" s="36">
        <f>IFERROR(M1274/$AC1274,0)</f>
        <v>0</v>
      </c>
      <c r="O1274" s="40"/>
      <c r="P1274" s="36">
        <f>IFERROR(O1274/$AD1274,0)</f>
        <v>0</v>
      </c>
      <c r="Q1274" s="35"/>
      <c r="R1274" s="36">
        <f>IFERROR(Q1274/$AC1274,0)</f>
        <v>0</v>
      </c>
      <c r="S1274" s="40"/>
      <c r="T1274" s="36">
        <f>IFERROR(S1274/$AD1274,0)</f>
        <v>0</v>
      </c>
      <c r="U1274" s="35"/>
      <c r="V1274" s="36">
        <f>IFERROR(U1274/$AC1274,0)</f>
        <v>0</v>
      </c>
      <c r="W1274" s="40"/>
      <c r="X1274" s="36">
        <f>IFERROR(W1274/$AD1274,0)</f>
        <v>0</v>
      </c>
      <c r="Y1274" s="35"/>
      <c r="Z1274" s="36">
        <f>IFERROR(Y1274/$AC1274,0)</f>
        <v>0</v>
      </c>
      <c r="AA1274" s="40"/>
      <c r="AB1274" s="36">
        <f>IFERROR(AA1274/$AD1274,0)</f>
        <v>0</v>
      </c>
      <c r="AC1274" s="35"/>
      <c r="AD1274" s="40"/>
    </row>
    <row r="1275" spans="1:30" ht="15.75" customHeight="1" x14ac:dyDescent="0.25">
      <c r="A1275" s="37">
        <v>2015</v>
      </c>
      <c r="B1275" s="35">
        <v>170310</v>
      </c>
      <c r="C1275" s="34" t="s">
        <v>144</v>
      </c>
      <c r="D1275" s="34" t="s">
        <v>27</v>
      </c>
      <c r="E1275" s="35"/>
      <c r="F1275" s="36">
        <f>IFERROR(E1275/$AC1275,0)</f>
        <v>0</v>
      </c>
      <c r="G1275" s="40"/>
      <c r="H1275" s="36">
        <f>IFERROR(G1275/$AD1275,0)</f>
        <v>0</v>
      </c>
      <c r="I1275" s="35"/>
      <c r="J1275" s="36">
        <f>IFERROR(I1275/$AC1275,0)</f>
        <v>0</v>
      </c>
      <c r="K1275" s="40"/>
      <c r="L1275" s="36">
        <f>IFERROR(K1275/$AD1275,0)</f>
        <v>0</v>
      </c>
      <c r="M1275" s="35"/>
      <c r="N1275" s="36">
        <f>IFERROR(M1275/$AC1275,0)</f>
        <v>0</v>
      </c>
      <c r="O1275" s="40"/>
      <c r="P1275" s="36">
        <f>IFERROR(O1275/$AD1275,0)</f>
        <v>0</v>
      </c>
      <c r="Q1275" s="35"/>
      <c r="R1275" s="36">
        <f>IFERROR(Q1275/$AC1275,0)</f>
        <v>0</v>
      </c>
      <c r="S1275" s="40"/>
      <c r="T1275" s="36">
        <f>IFERROR(S1275/$AD1275,0)</f>
        <v>0</v>
      </c>
      <c r="U1275" s="35"/>
      <c r="V1275" s="36">
        <f>IFERROR(U1275/$AC1275,0)</f>
        <v>0</v>
      </c>
      <c r="W1275" s="40"/>
      <c r="X1275" s="36">
        <f>IFERROR(W1275/$AD1275,0)</f>
        <v>0</v>
      </c>
      <c r="Y1275" s="35"/>
      <c r="Z1275" s="36">
        <f>IFERROR(Y1275/$AC1275,0)</f>
        <v>0</v>
      </c>
      <c r="AA1275" s="40"/>
      <c r="AB1275" s="36">
        <f>IFERROR(AA1275/$AD1275,0)</f>
        <v>0</v>
      </c>
      <c r="AC1275" s="35"/>
      <c r="AD1275" s="40"/>
    </row>
    <row r="1276" spans="1:30" ht="15.75" customHeight="1" x14ac:dyDescent="0.25">
      <c r="A1276" s="37">
        <v>2015</v>
      </c>
      <c r="B1276" s="35">
        <v>170320</v>
      </c>
      <c r="C1276" s="34" t="s">
        <v>150</v>
      </c>
      <c r="D1276" s="34" t="s">
        <v>28</v>
      </c>
      <c r="E1276" s="35"/>
      <c r="F1276" s="36">
        <f>IFERROR(E1276/$AC1276,0)</f>
        <v>0</v>
      </c>
      <c r="G1276" s="40"/>
      <c r="H1276" s="36">
        <f>IFERROR(G1276/$AD1276,0)</f>
        <v>0</v>
      </c>
      <c r="I1276" s="35"/>
      <c r="J1276" s="36">
        <f>IFERROR(I1276/$AC1276,0)</f>
        <v>0</v>
      </c>
      <c r="K1276" s="40"/>
      <c r="L1276" s="36">
        <f>IFERROR(K1276/$AD1276,0)</f>
        <v>0</v>
      </c>
      <c r="M1276" s="35"/>
      <c r="N1276" s="36">
        <f>IFERROR(M1276/$AC1276,0)</f>
        <v>0</v>
      </c>
      <c r="O1276" s="40"/>
      <c r="P1276" s="36">
        <f>IFERROR(O1276/$AD1276,0)</f>
        <v>0</v>
      </c>
      <c r="Q1276" s="35"/>
      <c r="R1276" s="36">
        <f>IFERROR(Q1276/$AC1276,0)</f>
        <v>0</v>
      </c>
      <c r="S1276" s="40"/>
      <c r="T1276" s="36">
        <f>IFERROR(S1276/$AD1276,0)</f>
        <v>0</v>
      </c>
      <c r="U1276" s="35"/>
      <c r="V1276" s="36">
        <f>IFERROR(U1276/$AC1276,0)</f>
        <v>0</v>
      </c>
      <c r="W1276" s="40"/>
      <c r="X1276" s="36">
        <f>IFERROR(W1276/$AD1276,0)</f>
        <v>0</v>
      </c>
      <c r="Y1276" s="35"/>
      <c r="Z1276" s="36">
        <f>IFERROR(Y1276/$AC1276,0)</f>
        <v>0</v>
      </c>
      <c r="AA1276" s="40"/>
      <c r="AB1276" s="36">
        <f>IFERROR(AA1276/$AD1276,0)</f>
        <v>0</v>
      </c>
      <c r="AC1276" s="35"/>
      <c r="AD1276" s="40"/>
    </row>
    <row r="1277" spans="1:30" ht="15.75" customHeight="1" x14ac:dyDescent="0.25">
      <c r="A1277" s="37">
        <v>2015</v>
      </c>
      <c r="B1277" s="35">
        <v>170330</v>
      </c>
      <c r="C1277" s="34" t="s">
        <v>150</v>
      </c>
      <c r="D1277" s="34" t="s">
        <v>29</v>
      </c>
      <c r="E1277" s="35"/>
      <c r="F1277" s="36">
        <f>IFERROR(E1277/$AC1277,0)</f>
        <v>0</v>
      </c>
      <c r="G1277" s="40"/>
      <c r="H1277" s="36">
        <f>IFERROR(G1277/$AD1277,0)</f>
        <v>0</v>
      </c>
      <c r="I1277" s="35"/>
      <c r="J1277" s="36">
        <f>IFERROR(I1277/$AC1277,0)</f>
        <v>0</v>
      </c>
      <c r="K1277" s="40"/>
      <c r="L1277" s="36">
        <f>IFERROR(K1277/$AD1277,0)</f>
        <v>0</v>
      </c>
      <c r="M1277" s="35"/>
      <c r="N1277" s="36">
        <f>IFERROR(M1277/$AC1277,0)</f>
        <v>0</v>
      </c>
      <c r="O1277" s="40"/>
      <c r="P1277" s="36">
        <f>IFERROR(O1277/$AD1277,0)</f>
        <v>0</v>
      </c>
      <c r="Q1277" s="35"/>
      <c r="R1277" s="36">
        <f>IFERROR(Q1277/$AC1277,0)</f>
        <v>0</v>
      </c>
      <c r="S1277" s="40"/>
      <c r="T1277" s="36">
        <f>IFERROR(S1277/$AD1277,0)</f>
        <v>0</v>
      </c>
      <c r="U1277" s="35"/>
      <c r="V1277" s="36">
        <f>IFERROR(U1277/$AC1277,0)</f>
        <v>0</v>
      </c>
      <c r="W1277" s="40"/>
      <c r="X1277" s="36">
        <f>IFERROR(W1277/$AD1277,0)</f>
        <v>0</v>
      </c>
      <c r="Y1277" s="35"/>
      <c r="Z1277" s="36">
        <f>IFERROR(Y1277/$AC1277,0)</f>
        <v>0</v>
      </c>
      <c r="AA1277" s="40"/>
      <c r="AB1277" s="36">
        <f>IFERROR(AA1277/$AD1277,0)</f>
        <v>0</v>
      </c>
      <c r="AC1277" s="35"/>
      <c r="AD1277" s="40"/>
    </row>
    <row r="1278" spans="1:30" ht="15.75" customHeight="1" x14ac:dyDescent="0.25">
      <c r="A1278" s="37">
        <v>2015</v>
      </c>
      <c r="B1278" s="35">
        <v>170360</v>
      </c>
      <c r="C1278" s="34" t="s">
        <v>150</v>
      </c>
      <c r="D1278" s="34" t="s">
        <v>30</v>
      </c>
      <c r="E1278" s="35"/>
      <c r="F1278" s="36">
        <f>IFERROR(E1278/$AC1278,0)</f>
        <v>0</v>
      </c>
      <c r="G1278" s="40"/>
      <c r="H1278" s="36">
        <f>IFERROR(G1278/$AD1278,0)</f>
        <v>0</v>
      </c>
      <c r="I1278" s="35"/>
      <c r="J1278" s="36">
        <f>IFERROR(I1278/$AC1278,0)</f>
        <v>0</v>
      </c>
      <c r="K1278" s="40"/>
      <c r="L1278" s="36">
        <f>IFERROR(K1278/$AD1278,0)</f>
        <v>0</v>
      </c>
      <c r="M1278" s="35"/>
      <c r="N1278" s="36">
        <f>IFERROR(M1278/$AC1278,0)</f>
        <v>0</v>
      </c>
      <c r="O1278" s="40"/>
      <c r="P1278" s="36">
        <f>IFERROR(O1278/$AD1278,0)</f>
        <v>0</v>
      </c>
      <c r="Q1278" s="35"/>
      <c r="R1278" s="36">
        <f>IFERROR(Q1278/$AC1278,0)</f>
        <v>0</v>
      </c>
      <c r="S1278" s="40"/>
      <c r="T1278" s="36">
        <f>IFERROR(S1278/$AD1278,0)</f>
        <v>0</v>
      </c>
      <c r="U1278" s="35"/>
      <c r="V1278" s="36">
        <f>IFERROR(U1278/$AC1278,0)</f>
        <v>0</v>
      </c>
      <c r="W1278" s="40"/>
      <c r="X1278" s="36">
        <f>IFERROR(W1278/$AD1278,0)</f>
        <v>0</v>
      </c>
      <c r="Y1278" s="35"/>
      <c r="Z1278" s="36">
        <f>IFERROR(Y1278/$AC1278,0)</f>
        <v>0</v>
      </c>
      <c r="AA1278" s="40"/>
      <c r="AB1278" s="36">
        <f>IFERROR(AA1278/$AD1278,0)</f>
        <v>0</v>
      </c>
      <c r="AC1278" s="35"/>
      <c r="AD1278" s="40"/>
    </row>
    <row r="1279" spans="1:30" ht="15.75" customHeight="1" x14ac:dyDescent="0.25">
      <c r="A1279" s="37">
        <v>2015</v>
      </c>
      <c r="B1279" s="35">
        <v>170370</v>
      </c>
      <c r="C1279" s="34" t="s">
        <v>151</v>
      </c>
      <c r="D1279" s="34" t="s">
        <v>31</v>
      </c>
      <c r="E1279" s="35"/>
      <c r="F1279" s="36">
        <f>IFERROR(E1279/$AC1279,0)</f>
        <v>0</v>
      </c>
      <c r="G1279" s="40"/>
      <c r="H1279" s="36">
        <f>IFERROR(G1279/$AD1279,0)</f>
        <v>0</v>
      </c>
      <c r="I1279" s="35"/>
      <c r="J1279" s="36">
        <f>IFERROR(I1279/$AC1279,0)</f>
        <v>0</v>
      </c>
      <c r="K1279" s="40"/>
      <c r="L1279" s="36">
        <f>IFERROR(K1279/$AD1279,0)</f>
        <v>0</v>
      </c>
      <c r="M1279" s="35"/>
      <c r="N1279" s="36">
        <f>IFERROR(M1279/$AC1279,0)</f>
        <v>0</v>
      </c>
      <c r="O1279" s="40"/>
      <c r="P1279" s="36">
        <f>IFERROR(O1279/$AD1279,0)</f>
        <v>0</v>
      </c>
      <c r="Q1279" s="35"/>
      <c r="R1279" s="36">
        <f>IFERROR(Q1279/$AC1279,0)</f>
        <v>0</v>
      </c>
      <c r="S1279" s="40"/>
      <c r="T1279" s="36">
        <f>IFERROR(S1279/$AD1279,0)</f>
        <v>0</v>
      </c>
      <c r="U1279" s="35"/>
      <c r="V1279" s="36">
        <f>IFERROR(U1279/$AC1279,0)</f>
        <v>0</v>
      </c>
      <c r="W1279" s="40"/>
      <c r="X1279" s="36">
        <f>IFERROR(W1279/$AD1279,0)</f>
        <v>0</v>
      </c>
      <c r="Y1279" s="35"/>
      <c r="Z1279" s="36">
        <f>IFERROR(Y1279/$AC1279,0)</f>
        <v>0</v>
      </c>
      <c r="AA1279" s="40"/>
      <c r="AB1279" s="36">
        <f>IFERROR(AA1279/$AD1279,0)</f>
        <v>0</v>
      </c>
      <c r="AC1279" s="35"/>
      <c r="AD1279" s="40"/>
    </row>
    <row r="1280" spans="1:30" ht="15.75" customHeight="1" x14ac:dyDescent="0.25">
      <c r="A1280" s="37">
        <v>2015</v>
      </c>
      <c r="B1280" s="35">
        <v>170380</v>
      </c>
      <c r="C1280" s="34" t="s">
        <v>145</v>
      </c>
      <c r="D1280" s="34" t="s">
        <v>32</v>
      </c>
      <c r="E1280" s="35"/>
      <c r="F1280" s="36">
        <f>IFERROR(E1280/$AC1280,0)</f>
        <v>0</v>
      </c>
      <c r="G1280" s="40"/>
      <c r="H1280" s="36">
        <f>IFERROR(G1280/$AD1280,0)</f>
        <v>0</v>
      </c>
      <c r="I1280" s="35"/>
      <c r="J1280" s="36">
        <f>IFERROR(I1280/$AC1280,0)</f>
        <v>0</v>
      </c>
      <c r="K1280" s="40"/>
      <c r="L1280" s="36">
        <f>IFERROR(K1280/$AD1280,0)</f>
        <v>0</v>
      </c>
      <c r="M1280" s="35"/>
      <c r="N1280" s="36">
        <f>IFERROR(M1280/$AC1280,0)</f>
        <v>0</v>
      </c>
      <c r="O1280" s="40"/>
      <c r="P1280" s="36">
        <f>IFERROR(O1280/$AD1280,0)</f>
        <v>0</v>
      </c>
      <c r="Q1280" s="35"/>
      <c r="R1280" s="36">
        <f>IFERROR(Q1280/$AC1280,0)</f>
        <v>0</v>
      </c>
      <c r="S1280" s="40"/>
      <c r="T1280" s="36">
        <f>IFERROR(S1280/$AD1280,0)</f>
        <v>0</v>
      </c>
      <c r="U1280" s="35"/>
      <c r="V1280" s="36">
        <f>IFERROR(U1280/$AC1280,0)</f>
        <v>0</v>
      </c>
      <c r="W1280" s="40"/>
      <c r="X1280" s="36">
        <f>IFERROR(W1280/$AD1280,0)</f>
        <v>0</v>
      </c>
      <c r="Y1280" s="35"/>
      <c r="Z1280" s="36">
        <f>IFERROR(Y1280/$AC1280,0)</f>
        <v>0</v>
      </c>
      <c r="AA1280" s="40"/>
      <c r="AB1280" s="36">
        <f>IFERROR(AA1280/$AD1280,0)</f>
        <v>0</v>
      </c>
      <c r="AC1280" s="35"/>
      <c r="AD1280" s="40"/>
    </row>
    <row r="1281" spans="1:30" ht="15.75" customHeight="1" x14ac:dyDescent="0.25">
      <c r="A1281" s="37">
        <v>2015</v>
      </c>
      <c r="B1281" s="35">
        <v>170382</v>
      </c>
      <c r="C1281" s="34" t="s">
        <v>145</v>
      </c>
      <c r="D1281" s="34" t="s">
        <v>33</v>
      </c>
      <c r="E1281" s="35"/>
      <c r="F1281" s="36">
        <f>IFERROR(E1281/$AC1281,0)</f>
        <v>0</v>
      </c>
      <c r="G1281" s="40"/>
      <c r="H1281" s="36">
        <f>IFERROR(G1281/$AD1281,0)</f>
        <v>0</v>
      </c>
      <c r="I1281" s="35"/>
      <c r="J1281" s="36">
        <f>IFERROR(I1281/$AC1281,0)</f>
        <v>0</v>
      </c>
      <c r="K1281" s="40"/>
      <c r="L1281" s="36">
        <f>IFERROR(K1281/$AD1281,0)</f>
        <v>0</v>
      </c>
      <c r="M1281" s="35"/>
      <c r="N1281" s="36">
        <f>IFERROR(M1281/$AC1281,0)</f>
        <v>0</v>
      </c>
      <c r="O1281" s="40"/>
      <c r="P1281" s="36">
        <f>IFERROR(O1281/$AD1281,0)</f>
        <v>0</v>
      </c>
      <c r="Q1281" s="35"/>
      <c r="R1281" s="36">
        <f>IFERROR(Q1281/$AC1281,0)</f>
        <v>0</v>
      </c>
      <c r="S1281" s="40"/>
      <c r="T1281" s="36">
        <f>IFERROR(S1281/$AD1281,0)</f>
        <v>0</v>
      </c>
      <c r="U1281" s="35"/>
      <c r="V1281" s="36">
        <f>IFERROR(U1281/$AC1281,0)</f>
        <v>0</v>
      </c>
      <c r="W1281" s="40"/>
      <c r="X1281" s="36">
        <f>IFERROR(W1281/$AD1281,0)</f>
        <v>0</v>
      </c>
      <c r="Y1281" s="35"/>
      <c r="Z1281" s="36">
        <f>IFERROR(Y1281/$AC1281,0)</f>
        <v>0</v>
      </c>
      <c r="AA1281" s="40"/>
      <c r="AB1281" s="36">
        <f>IFERROR(AA1281/$AD1281,0)</f>
        <v>0</v>
      </c>
      <c r="AC1281" s="35"/>
      <c r="AD1281" s="40"/>
    </row>
    <row r="1282" spans="1:30" ht="15.75" customHeight="1" x14ac:dyDescent="0.25">
      <c r="A1282" s="37">
        <v>2015</v>
      </c>
      <c r="B1282" s="35">
        <v>170384</v>
      </c>
      <c r="C1282" s="34" t="s">
        <v>149</v>
      </c>
      <c r="D1282" s="34" t="s">
        <v>34</v>
      </c>
      <c r="E1282" s="35"/>
      <c r="F1282" s="36">
        <f>IFERROR(E1282/$AC1282,0)</f>
        <v>0</v>
      </c>
      <c r="G1282" s="40"/>
      <c r="H1282" s="36">
        <f>IFERROR(G1282/$AD1282,0)</f>
        <v>0</v>
      </c>
      <c r="I1282" s="35"/>
      <c r="J1282" s="36">
        <f>IFERROR(I1282/$AC1282,0)</f>
        <v>0</v>
      </c>
      <c r="K1282" s="40"/>
      <c r="L1282" s="36">
        <f>IFERROR(K1282/$AD1282,0)</f>
        <v>0</v>
      </c>
      <c r="M1282" s="35"/>
      <c r="N1282" s="36">
        <f>IFERROR(M1282/$AC1282,0)</f>
        <v>0</v>
      </c>
      <c r="O1282" s="40"/>
      <c r="P1282" s="36">
        <f>IFERROR(O1282/$AD1282,0)</f>
        <v>0</v>
      </c>
      <c r="Q1282" s="35"/>
      <c r="R1282" s="36">
        <f>IFERROR(Q1282/$AC1282,0)</f>
        <v>0</v>
      </c>
      <c r="S1282" s="40"/>
      <c r="T1282" s="36">
        <f>IFERROR(S1282/$AD1282,0)</f>
        <v>0</v>
      </c>
      <c r="U1282" s="35"/>
      <c r="V1282" s="36">
        <f>IFERROR(U1282/$AC1282,0)</f>
        <v>0</v>
      </c>
      <c r="W1282" s="40"/>
      <c r="X1282" s="36">
        <f>IFERROR(W1282/$AD1282,0)</f>
        <v>0</v>
      </c>
      <c r="Y1282" s="35"/>
      <c r="Z1282" s="36">
        <f>IFERROR(Y1282/$AC1282,0)</f>
        <v>0</v>
      </c>
      <c r="AA1282" s="40"/>
      <c r="AB1282" s="36">
        <f>IFERROR(AA1282/$AD1282,0)</f>
        <v>0</v>
      </c>
      <c r="AC1282" s="35"/>
      <c r="AD1282" s="40"/>
    </row>
    <row r="1283" spans="1:30" ht="15.75" customHeight="1" x14ac:dyDescent="0.25">
      <c r="A1283" s="37">
        <v>2015</v>
      </c>
      <c r="B1283" s="35">
        <v>170386</v>
      </c>
      <c r="C1283" s="34" t="s">
        <v>146</v>
      </c>
      <c r="D1283" s="34" t="s">
        <v>35</v>
      </c>
      <c r="E1283" s="35"/>
      <c r="F1283" s="36">
        <f>IFERROR(E1283/$AC1283,0)</f>
        <v>0</v>
      </c>
      <c r="G1283" s="40"/>
      <c r="H1283" s="36">
        <f>IFERROR(G1283/$AD1283,0)</f>
        <v>0</v>
      </c>
      <c r="I1283" s="35"/>
      <c r="J1283" s="36">
        <f>IFERROR(I1283/$AC1283,0)</f>
        <v>0</v>
      </c>
      <c r="K1283" s="40"/>
      <c r="L1283" s="36">
        <f>IFERROR(K1283/$AD1283,0)</f>
        <v>0</v>
      </c>
      <c r="M1283" s="35"/>
      <c r="N1283" s="36">
        <f>IFERROR(M1283/$AC1283,0)</f>
        <v>0</v>
      </c>
      <c r="O1283" s="40"/>
      <c r="P1283" s="36">
        <f>IFERROR(O1283/$AD1283,0)</f>
        <v>0</v>
      </c>
      <c r="Q1283" s="35"/>
      <c r="R1283" s="36">
        <f>IFERROR(Q1283/$AC1283,0)</f>
        <v>0</v>
      </c>
      <c r="S1283" s="40"/>
      <c r="T1283" s="36">
        <f>IFERROR(S1283/$AD1283,0)</f>
        <v>0</v>
      </c>
      <c r="U1283" s="35"/>
      <c r="V1283" s="36">
        <f>IFERROR(U1283/$AC1283,0)</f>
        <v>0</v>
      </c>
      <c r="W1283" s="40"/>
      <c r="X1283" s="36">
        <f>IFERROR(W1283/$AD1283,0)</f>
        <v>0</v>
      </c>
      <c r="Y1283" s="35"/>
      <c r="Z1283" s="36">
        <f>IFERROR(Y1283/$AC1283,0)</f>
        <v>0</v>
      </c>
      <c r="AA1283" s="40"/>
      <c r="AB1283" s="36">
        <f>IFERROR(AA1283/$AD1283,0)</f>
        <v>0</v>
      </c>
      <c r="AC1283" s="35"/>
      <c r="AD1283" s="40"/>
    </row>
    <row r="1284" spans="1:30" ht="15.75" customHeight="1" x14ac:dyDescent="0.25">
      <c r="A1284" s="37">
        <v>2015</v>
      </c>
      <c r="B1284" s="35">
        <v>170388</v>
      </c>
      <c r="C1284" s="34" t="s">
        <v>149</v>
      </c>
      <c r="D1284" s="34" t="s">
        <v>36</v>
      </c>
      <c r="E1284" s="35"/>
      <c r="F1284" s="36">
        <f>IFERROR(E1284/$AC1284,0)</f>
        <v>0</v>
      </c>
      <c r="G1284" s="40"/>
      <c r="H1284" s="36">
        <f>IFERROR(G1284/$AD1284,0)</f>
        <v>0</v>
      </c>
      <c r="I1284" s="35"/>
      <c r="J1284" s="36">
        <f>IFERROR(I1284/$AC1284,0)</f>
        <v>0</v>
      </c>
      <c r="K1284" s="40"/>
      <c r="L1284" s="36">
        <f>IFERROR(K1284/$AD1284,0)</f>
        <v>0</v>
      </c>
      <c r="M1284" s="35"/>
      <c r="N1284" s="36">
        <f>IFERROR(M1284/$AC1284,0)</f>
        <v>0</v>
      </c>
      <c r="O1284" s="40"/>
      <c r="P1284" s="36">
        <f>IFERROR(O1284/$AD1284,0)</f>
        <v>0</v>
      </c>
      <c r="Q1284" s="35"/>
      <c r="R1284" s="36">
        <f>IFERROR(Q1284/$AC1284,0)</f>
        <v>0</v>
      </c>
      <c r="S1284" s="40"/>
      <c r="T1284" s="36">
        <f>IFERROR(S1284/$AD1284,0)</f>
        <v>0</v>
      </c>
      <c r="U1284" s="35"/>
      <c r="V1284" s="36">
        <f>IFERROR(U1284/$AC1284,0)</f>
        <v>0</v>
      </c>
      <c r="W1284" s="40"/>
      <c r="X1284" s="36">
        <f>IFERROR(W1284/$AD1284,0)</f>
        <v>0</v>
      </c>
      <c r="Y1284" s="35"/>
      <c r="Z1284" s="36">
        <f>IFERROR(Y1284/$AC1284,0)</f>
        <v>0</v>
      </c>
      <c r="AA1284" s="40"/>
      <c r="AB1284" s="36">
        <f>IFERROR(AA1284/$AD1284,0)</f>
        <v>0</v>
      </c>
      <c r="AC1284" s="35"/>
      <c r="AD1284" s="40"/>
    </row>
    <row r="1285" spans="1:30" ht="15.75" customHeight="1" x14ac:dyDescent="0.25">
      <c r="A1285" s="37">
        <v>2015</v>
      </c>
      <c r="B1285" s="35">
        <v>170389</v>
      </c>
      <c r="C1285" s="34" t="s">
        <v>145</v>
      </c>
      <c r="D1285" s="34" t="s">
        <v>37</v>
      </c>
      <c r="E1285" s="35"/>
      <c r="F1285" s="36">
        <f>IFERROR(E1285/$AC1285,0)</f>
        <v>0</v>
      </c>
      <c r="G1285" s="40"/>
      <c r="H1285" s="36">
        <f>IFERROR(G1285/$AD1285,0)</f>
        <v>0</v>
      </c>
      <c r="I1285" s="35"/>
      <c r="J1285" s="36">
        <f>IFERROR(I1285/$AC1285,0)</f>
        <v>0</v>
      </c>
      <c r="K1285" s="40"/>
      <c r="L1285" s="36">
        <f>IFERROR(K1285/$AD1285,0)</f>
        <v>0</v>
      </c>
      <c r="M1285" s="35"/>
      <c r="N1285" s="36">
        <f>IFERROR(M1285/$AC1285,0)</f>
        <v>0</v>
      </c>
      <c r="O1285" s="40"/>
      <c r="P1285" s="36">
        <f>IFERROR(O1285/$AD1285,0)</f>
        <v>0</v>
      </c>
      <c r="Q1285" s="35"/>
      <c r="R1285" s="36">
        <f>IFERROR(Q1285/$AC1285,0)</f>
        <v>0</v>
      </c>
      <c r="S1285" s="40"/>
      <c r="T1285" s="36">
        <f>IFERROR(S1285/$AD1285,0)</f>
        <v>0</v>
      </c>
      <c r="U1285" s="35"/>
      <c r="V1285" s="36">
        <f>IFERROR(U1285/$AC1285,0)</f>
        <v>0</v>
      </c>
      <c r="W1285" s="40"/>
      <c r="X1285" s="36">
        <f>IFERROR(W1285/$AD1285,0)</f>
        <v>0</v>
      </c>
      <c r="Y1285" s="35"/>
      <c r="Z1285" s="36">
        <f>IFERROR(Y1285/$AC1285,0)</f>
        <v>0</v>
      </c>
      <c r="AA1285" s="40"/>
      <c r="AB1285" s="36">
        <f>IFERROR(AA1285/$AD1285,0)</f>
        <v>0</v>
      </c>
      <c r="AC1285" s="35"/>
      <c r="AD1285" s="40"/>
    </row>
    <row r="1286" spans="1:30" ht="15.75" customHeight="1" x14ac:dyDescent="0.25">
      <c r="A1286" s="37">
        <v>2015</v>
      </c>
      <c r="B1286" s="35">
        <v>170390</v>
      </c>
      <c r="C1286" s="34" t="s">
        <v>144</v>
      </c>
      <c r="D1286" s="34" t="s">
        <v>38</v>
      </c>
      <c r="E1286" s="35"/>
      <c r="F1286" s="36">
        <f>IFERROR(E1286/$AC1286,0)</f>
        <v>0</v>
      </c>
      <c r="G1286" s="40"/>
      <c r="H1286" s="36">
        <f>IFERROR(G1286/$AD1286,0)</f>
        <v>0</v>
      </c>
      <c r="I1286" s="35"/>
      <c r="J1286" s="36">
        <f>IFERROR(I1286/$AC1286,0)</f>
        <v>0</v>
      </c>
      <c r="K1286" s="40"/>
      <c r="L1286" s="36">
        <f>IFERROR(K1286/$AD1286,0)</f>
        <v>0</v>
      </c>
      <c r="M1286" s="35"/>
      <c r="N1286" s="36">
        <f>IFERROR(M1286/$AC1286,0)</f>
        <v>0</v>
      </c>
      <c r="O1286" s="40"/>
      <c r="P1286" s="36">
        <f>IFERROR(O1286/$AD1286,0)</f>
        <v>0</v>
      </c>
      <c r="Q1286" s="35"/>
      <c r="R1286" s="36">
        <f>IFERROR(Q1286/$AC1286,0)</f>
        <v>0</v>
      </c>
      <c r="S1286" s="40"/>
      <c r="T1286" s="36">
        <f>IFERROR(S1286/$AD1286,0)</f>
        <v>0</v>
      </c>
      <c r="U1286" s="35"/>
      <c r="V1286" s="36">
        <f>IFERROR(U1286/$AC1286,0)</f>
        <v>0</v>
      </c>
      <c r="W1286" s="40"/>
      <c r="X1286" s="36">
        <f>IFERROR(W1286/$AD1286,0)</f>
        <v>0</v>
      </c>
      <c r="Y1286" s="35"/>
      <c r="Z1286" s="36">
        <f>IFERROR(Y1286/$AC1286,0)</f>
        <v>0</v>
      </c>
      <c r="AA1286" s="40"/>
      <c r="AB1286" s="36">
        <f>IFERROR(AA1286/$AD1286,0)</f>
        <v>0</v>
      </c>
      <c r="AC1286" s="35"/>
      <c r="AD1286" s="40"/>
    </row>
    <row r="1287" spans="1:30" ht="15.75" customHeight="1" x14ac:dyDescent="0.25">
      <c r="A1287" s="37">
        <v>2015</v>
      </c>
      <c r="B1287" s="35">
        <v>170410</v>
      </c>
      <c r="C1287" s="34" t="s">
        <v>150</v>
      </c>
      <c r="D1287" s="34" t="s">
        <v>39</v>
      </c>
      <c r="E1287" s="35"/>
      <c r="F1287" s="36">
        <f>IFERROR(E1287/$AC1287,0)</f>
        <v>0</v>
      </c>
      <c r="G1287" s="40"/>
      <c r="H1287" s="36">
        <f>IFERROR(G1287/$AD1287,0)</f>
        <v>0</v>
      </c>
      <c r="I1287" s="35"/>
      <c r="J1287" s="36">
        <f>IFERROR(I1287/$AC1287,0)</f>
        <v>0</v>
      </c>
      <c r="K1287" s="40"/>
      <c r="L1287" s="36">
        <f>IFERROR(K1287/$AD1287,0)</f>
        <v>0</v>
      </c>
      <c r="M1287" s="35"/>
      <c r="N1287" s="36">
        <f>IFERROR(M1287/$AC1287,0)</f>
        <v>0</v>
      </c>
      <c r="O1287" s="40"/>
      <c r="P1287" s="36">
        <f>IFERROR(O1287/$AD1287,0)</f>
        <v>0</v>
      </c>
      <c r="Q1287" s="35"/>
      <c r="R1287" s="36">
        <f>IFERROR(Q1287/$AC1287,0)</f>
        <v>0</v>
      </c>
      <c r="S1287" s="40"/>
      <c r="T1287" s="36">
        <f>IFERROR(S1287/$AD1287,0)</f>
        <v>0</v>
      </c>
      <c r="U1287" s="35"/>
      <c r="V1287" s="36">
        <f>IFERROR(U1287/$AC1287,0)</f>
        <v>0</v>
      </c>
      <c r="W1287" s="40"/>
      <c r="X1287" s="36">
        <f>IFERROR(W1287/$AD1287,0)</f>
        <v>0</v>
      </c>
      <c r="Y1287" s="35"/>
      <c r="Z1287" s="36">
        <f>IFERROR(Y1287/$AC1287,0)</f>
        <v>0</v>
      </c>
      <c r="AA1287" s="40"/>
      <c r="AB1287" s="36">
        <f>IFERROR(AA1287/$AD1287,0)</f>
        <v>0</v>
      </c>
      <c r="AC1287" s="35"/>
      <c r="AD1287" s="40"/>
    </row>
    <row r="1288" spans="1:30" ht="15.75" customHeight="1" x14ac:dyDescent="0.25">
      <c r="A1288" s="37">
        <v>2015</v>
      </c>
      <c r="B1288" s="35">
        <v>170510</v>
      </c>
      <c r="C1288" s="34" t="s">
        <v>151</v>
      </c>
      <c r="D1288" s="34" t="s">
        <v>40</v>
      </c>
      <c r="E1288" s="35"/>
      <c r="F1288" s="36">
        <f>IFERROR(E1288/$AC1288,0)</f>
        <v>0</v>
      </c>
      <c r="G1288" s="40"/>
      <c r="H1288" s="36">
        <f>IFERROR(G1288/$AD1288,0)</f>
        <v>0</v>
      </c>
      <c r="I1288" s="35"/>
      <c r="J1288" s="36">
        <f>IFERROR(I1288/$AC1288,0)</f>
        <v>0</v>
      </c>
      <c r="K1288" s="40"/>
      <c r="L1288" s="36">
        <f>IFERROR(K1288/$AD1288,0)</f>
        <v>0</v>
      </c>
      <c r="M1288" s="35"/>
      <c r="N1288" s="36">
        <f>IFERROR(M1288/$AC1288,0)</f>
        <v>0</v>
      </c>
      <c r="O1288" s="40"/>
      <c r="P1288" s="36">
        <f>IFERROR(O1288/$AD1288,0)</f>
        <v>0</v>
      </c>
      <c r="Q1288" s="35"/>
      <c r="R1288" s="36">
        <f>IFERROR(Q1288/$AC1288,0)</f>
        <v>0</v>
      </c>
      <c r="S1288" s="40"/>
      <c r="T1288" s="36">
        <f>IFERROR(S1288/$AD1288,0)</f>
        <v>0</v>
      </c>
      <c r="U1288" s="35"/>
      <c r="V1288" s="36">
        <f>IFERROR(U1288/$AC1288,0)</f>
        <v>0</v>
      </c>
      <c r="W1288" s="40"/>
      <c r="X1288" s="36">
        <f>IFERROR(W1288/$AD1288,0)</f>
        <v>0</v>
      </c>
      <c r="Y1288" s="35"/>
      <c r="Z1288" s="36">
        <f>IFERROR(Y1288/$AC1288,0)</f>
        <v>0</v>
      </c>
      <c r="AA1288" s="40"/>
      <c r="AB1288" s="36">
        <f>IFERROR(AA1288/$AD1288,0)</f>
        <v>0</v>
      </c>
      <c r="AC1288" s="35"/>
      <c r="AD1288" s="40"/>
    </row>
    <row r="1289" spans="1:30" ht="15.75" customHeight="1" x14ac:dyDescent="0.25">
      <c r="A1289" s="37">
        <v>2015</v>
      </c>
      <c r="B1289" s="35">
        <v>170460</v>
      </c>
      <c r="C1289" s="34" t="s">
        <v>144</v>
      </c>
      <c r="D1289" s="34" t="s">
        <v>41</v>
      </c>
      <c r="E1289" s="35"/>
      <c r="F1289" s="36">
        <f>IFERROR(E1289/$AC1289,0)</f>
        <v>0</v>
      </c>
      <c r="G1289" s="40"/>
      <c r="H1289" s="36">
        <f>IFERROR(G1289/$AD1289,0)</f>
        <v>0</v>
      </c>
      <c r="I1289" s="35"/>
      <c r="J1289" s="36">
        <f>IFERROR(I1289/$AC1289,0)</f>
        <v>0</v>
      </c>
      <c r="K1289" s="40"/>
      <c r="L1289" s="36">
        <f>IFERROR(K1289/$AD1289,0)</f>
        <v>0</v>
      </c>
      <c r="M1289" s="35"/>
      <c r="N1289" s="36">
        <f>IFERROR(M1289/$AC1289,0)</f>
        <v>0</v>
      </c>
      <c r="O1289" s="40"/>
      <c r="P1289" s="36">
        <f>IFERROR(O1289/$AD1289,0)</f>
        <v>0</v>
      </c>
      <c r="Q1289" s="35"/>
      <c r="R1289" s="36">
        <f>IFERROR(Q1289/$AC1289,0)</f>
        <v>0</v>
      </c>
      <c r="S1289" s="40"/>
      <c r="T1289" s="36">
        <f>IFERROR(S1289/$AD1289,0)</f>
        <v>0</v>
      </c>
      <c r="U1289" s="35"/>
      <c r="V1289" s="36">
        <f>IFERROR(U1289/$AC1289,0)</f>
        <v>0</v>
      </c>
      <c r="W1289" s="40"/>
      <c r="X1289" s="36">
        <f>IFERROR(W1289/$AD1289,0)</f>
        <v>0</v>
      </c>
      <c r="Y1289" s="35"/>
      <c r="Z1289" s="36">
        <f>IFERROR(Y1289/$AC1289,0)</f>
        <v>0</v>
      </c>
      <c r="AA1289" s="40"/>
      <c r="AB1289" s="36">
        <f>IFERROR(AA1289/$AD1289,0)</f>
        <v>0</v>
      </c>
      <c r="AC1289" s="35"/>
      <c r="AD1289" s="40"/>
    </row>
    <row r="1290" spans="1:30" ht="15.75" customHeight="1" x14ac:dyDescent="0.25">
      <c r="A1290" s="37">
        <v>2015</v>
      </c>
      <c r="B1290" s="35">
        <v>170550</v>
      </c>
      <c r="C1290" s="34" t="s">
        <v>150</v>
      </c>
      <c r="D1290" s="34" t="s">
        <v>42</v>
      </c>
      <c r="E1290" s="35"/>
      <c r="F1290" s="36">
        <f>IFERROR(E1290/$AC1290,0)</f>
        <v>0</v>
      </c>
      <c r="G1290" s="40"/>
      <c r="H1290" s="36">
        <f>IFERROR(G1290/$AD1290,0)</f>
        <v>0</v>
      </c>
      <c r="I1290" s="35"/>
      <c r="J1290" s="36">
        <f>IFERROR(I1290/$AC1290,0)</f>
        <v>0</v>
      </c>
      <c r="K1290" s="40"/>
      <c r="L1290" s="36">
        <f>IFERROR(K1290/$AD1290,0)</f>
        <v>0</v>
      </c>
      <c r="M1290" s="35"/>
      <c r="N1290" s="36">
        <f>IFERROR(M1290/$AC1290,0)</f>
        <v>0</v>
      </c>
      <c r="O1290" s="40"/>
      <c r="P1290" s="36">
        <f>IFERROR(O1290/$AD1290,0)</f>
        <v>0</v>
      </c>
      <c r="Q1290" s="35"/>
      <c r="R1290" s="36">
        <f>IFERROR(Q1290/$AC1290,0)</f>
        <v>0</v>
      </c>
      <c r="S1290" s="40"/>
      <c r="T1290" s="36">
        <f>IFERROR(S1290/$AD1290,0)</f>
        <v>0</v>
      </c>
      <c r="U1290" s="35"/>
      <c r="V1290" s="36">
        <f>IFERROR(U1290/$AC1290,0)</f>
        <v>0</v>
      </c>
      <c r="W1290" s="40"/>
      <c r="X1290" s="36">
        <f>IFERROR(W1290/$AD1290,0)</f>
        <v>0</v>
      </c>
      <c r="Y1290" s="35"/>
      <c r="Z1290" s="36">
        <f>IFERROR(Y1290/$AC1290,0)</f>
        <v>0</v>
      </c>
      <c r="AA1290" s="40"/>
      <c r="AB1290" s="36">
        <f>IFERROR(AA1290/$AD1290,0)</f>
        <v>0</v>
      </c>
      <c r="AC1290" s="35"/>
      <c r="AD1290" s="40"/>
    </row>
    <row r="1291" spans="1:30" ht="15.75" customHeight="1" x14ac:dyDescent="0.25">
      <c r="A1291" s="37">
        <v>2015</v>
      </c>
      <c r="B1291" s="35">
        <v>171670</v>
      </c>
      <c r="C1291" s="34" t="s">
        <v>150</v>
      </c>
      <c r="D1291" s="34" t="s">
        <v>43</v>
      </c>
      <c r="E1291" s="35"/>
      <c r="F1291" s="36">
        <f>IFERROR(E1291/$AC1291,0)</f>
        <v>0</v>
      </c>
      <c r="G1291" s="40"/>
      <c r="H1291" s="36">
        <f>IFERROR(G1291/$AD1291,0)</f>
        <v>0</v>
      </c>
      <c r="I1291" s="35"/>
      <c r="J1291" s="36">
        <f>IFERROR(I1291/$AC1291,0)</f>
        <v>0</v>
      </c>
      <c r="K1291" s="40"/>
      <c r="L1291" s="36">
        <f>IFERROR(K1291/$AD1291,0)</f>
        <v>0</v>
      </c>
      <c r="M1291" s="35"/>
      <c r="N1291" s="36">
        <f>IFERROR(M1291/$AC1291,0)</f>
        <v>0</v>
      </c>
      <c r="O1291" s="40"/>
      <c r="P1291" s="36">
        <f>IFERROR(O1291/$AD1291,0)</f>
        <v>0</v>
      </c>
      <c r="Q1291" s="35"/>
      <c r="R1291" s="36">
        <f>IFERROR(Q1291/$AC1291,0)</f>
        <v>0</v>
      </c>
      <c r="S1291" s="40"/>
      <c r="T1291" s="36">
        <f>IFERROR(S1291/$AD1291,0)</f>
        <v>0</v>
      </c>
      <c r="U1291" s="35"/>
      <c r="V1291" s="36">
        <f>IFERROR(U1291/$AC1291,0)</f>
        <v>0</v>
      </c>
      <c r="W1291" s="40"/>
      <c r="X1291" s="36">
        <f>IFERROR(W1291/$AD1291,0)</f>
        <v>0</v>
      </c>
      <c r="Y1291" s="35"/>
      <c r="Z1291" s="36">
        <f>IFERROR(Y1291/$AC1291,0)</f>
        <v>0</v>
      </c>
      <c r="AA1291" s="40"/>
      <c r="AB1291" s="36">
        <f>IFERROR(AA1291/$AD1291,0)</f>
        <v>0</v>
      </c>
      <c r="AC1291" s="35"/>
      <c r="AD1291" s="40"/>
    </row>
    <row r="1292" spans="1:30" ht="15.75" customHeight="1" x14ac:dyDescent="0.25">
      <c r="A1292" s="37">
        <v>2015</v>
      </c>
      <c r="B1292" s="35">
        <v>170555</v>
      </c>
      <c r="C1292" s="34" t="s">
        <v>147</v>
      </c>
      <c r="D1292" s="34" t="s">
        <v>44</v>
      </c>
      <c r="E1292" s="35"/>
      <c r="F1292" s="36">
        <f>IFERROR(E1292/$AC1292,0)</f>
        <v>0</v>
      </c>
      <c r="G1292" s="40"/>
      <c r="H1292" s="36">
        <f>IFERROR(G1292/$AD1292,0)</f>
        <v>0</v>
      </c>
      <c r="I1292" s="35"/>
      <c r="J1292" s="36">
        <f>IFERROR(I1292/$AC1292,0)</f>
        <v>0</v>
      </c>
      <c r="K1292" s="40"/>
      <c r="L1292" s="36">
        <f>IFERROR(K1292/$AD1292,0)</f>
        <v>0</v>
      </c>
      <c r="M1292" s="35"/>
      <c r="N1292" s="36">
        <f>IFERROR(M1292/$AC1292,0)</f>
        <v>0</v>
      </c>
      <c r="O1292" s="40"/>
      <c r="P1292" s="36">
        <f>IFERROR(O1292/$AD1292,0)</f>
        <v>0</v>
      </c>
      <c r="Q1292" s="35"/>
      <c r="R1292" s="36">
        <f>IFERROR(Q1292/$AC1292,0)</f>
        <v>0</v>
      </c>
      <c r="S1292" s="40"/>
      <c r="T1292" s="36">
        <f>IFERROR(S1292/$AD1292,0)</f>
        <v>0</v>
      </c>
      <c r="U1292" s="35"/>
      <c r="V1292" s="36">
        <f>IFERROR(U1292/$AC1292,0)</f>
        <v>0</v>
      </c>
      <c r="W1292" s="40"/>
      <c r="X1292" s="36">
        <f>IFERROR(W1292/$AD1292,0)</f>
        <v>0</v>
      </c>
      <c r="Y1292" s="35"/>
      <c r="Z1292" s="36">
        <f>IFERROR(Y1292/$AC1292,0)</f>
        <v>0</v>
      </c>
      <c r="AA1292" s="40"/>
      <c r="AB1292" s="36">
        <f>IFERROR(AA1292/$AD1292,0)</f>
        <v>0</v>
      </c>
      <c r="AC1292" s="35"/>
      <c r="AD1292" s="40"/>
    </row>
    <row r="1293" spans="1:30" ht="15.75" customHeight="1" x14ac:dyDescent="0.25">
      <c r="A1293" s="37">
        <v>2015</v>
      </c>
      <c r="B1293" s="35">
        <v>170560</v>
      </c>
      <c r="C1293" s="34" t="s">
        <v>147</v>
      </c>
      <c r="D1293" s="34" t="s">
        <v>45</v>
      </c>
      <c r="E1293" s="35"/>
      <c r="F1293" s="36">
        <f>IFERROR(E1293/$AC1293,0)</f>
        <v>0</v>
      </c>
      <c r="G1293" s="40"/>
      <c r="H1293" s="36">
        <f>IFERROR(G1293/$AD1293,0)</f>
        <v>0</v>
      </c>
      <c r="I1293" s="35"/>
      <c r="J1293" s="36">
        <f>IFERROR(I1293/$AC1293,0)</f>
        <v>0</v>
      </c>
      <c r="K1293" s="40"/>
      <c r="L1293" s="36">
        <f>IFERROR(K1293/$AD1293,0)</f>
        <v>0</v>
      </c>
      <c r="M1293" s="35"/>
      <c r="N1293" s="36">
        <f>IFERROR(M1293/$AC1293,0)</f>
        <v>0</v>
      </c>
      <c r="O1293" s="40"/>
      <c r="P1293" s="36">
        <f>IFERROR(O1293/$AD1293,0)</f>
        <v>0</v>
      </c>
      <c r="Q1293" s="35"/>
      <c r="R1293" s="36">
        <f>IFERROR(Q1293/$AC1293,0)</f>
        <v>0</v>
      </c>
      <c r="S1293" s="40"/>
      <c r="T1293" s="36">
        <f>IFERROR(S1293/$AD1293,0)</f>
        <v>0</v>
      </c>
      <c r="U1293" s="35"/>
      <c r="V1293" s="36">
        <f>IFERROR(U1293/$AC1293,0)</f>
        <v>0</v>
      </c>
      <c r="W1293" s="40"/>
      <c r="X1293" s="36">
        <f>IFERROR(W1293/$AD1293,0)</f>
        <v>0</v>
      </c>
      <c r="Y1293" s="35"/>
      <c r="Z1293" s="36">
        <f>IFERROR(Y1293/$AC1293,0)</f>
        <v>0</v>
      </c>
      <c r="AA1293" s="40"/>
      <c r="AB1293" s="36">
        <f>IFERROR(AA1293/$AD1293,0)</f>
        <v>0</v>
      </c>
      <c r="AC1293" s="35"/>
      <c r="AD1293" s="40"/>
    </row>
    <row r="1294" spans="1:30" ht="15.75" customHeight="1" x14ac:dyDescent="0.25">
      <c r="A1294" s="37">
        <v>2015</v>
      </c>
      <c r="B1294" s="35">
        <v>170600</v>
      </c>
      <c r="C1294" s="34" t="s">
        <v>150</v>
      </c>
      <c r="D1294" s="34" t="s">
        <v>46</v>
      </c>
      <c r="E1294" s="35"/>
      <c r="F1294" s="36">
        <f>IFERROR(E1294/$AC1294,0)</f>
        <v>0</v>
      </c>
      <c r="G1294" s="40"/>
      <c r="H1294" s="36">
        <f>IFERROR(G1294/$AD1294,0)</f>
        <v>0</v>
      </c>
      <c r="I1294" s="35"/>
      <c r="J1294" s="36">
        <f>IFERROR(I1294/$AC1294,0)</f>
        <v>0</v>
      </c>
      <c r="K1294" s="40"/>
      <c r="L1294" s="36">
        <f>IFERROR(K1294/$AD1294,0)</f>
        <v>0</v>
      </c>
      <c r="M1294" s="35"/>
      <c r="N1294" s="36">
        <f>IFERROR(M1294/$AC1294,0)</f>
        <v>0</v>
      </c>
      <c r="O1294" s="40"/>
      <c r="P1294" s="36">
        <f>IFERROR(O1294/$AD1294,0)</f>
        <v>0</v>
      </c>
      <c r="Q1294" s="35"/>
      <c r="R1294" s="36">
        <f>IFERROR(Q1294/$AC1294,0)</f>
        <v>0</v>
      </c>
      <c r="S1294" s="40"/>
      <c r="T1294" s="36">
        <f>IFERROR(S1294/$AD1294,0)</f>
        <v>0</v>
      </c>
      <c r="U1294" s="35"/>
      <c r="V1294" s="36">
        <f>IFERROR(U1294/$AC1294,0)</f>
        <v>0</v>
      </c>
      <c r="W1294" s="40"/>
      <c r="X1294" s="36">
        <f>IFERROR(W1294/$AD1294,0)</f>
        <v>0</v>
      </c>
      <c r="Y1294" s="35"/>
      <c r="Z1294" s="36">
        <f>IFERROR(Y1294/$AC1294,0)</f>
        <v>0</v>
      </c>
      <c r="AA1294" s="40"/>
      <c r="AB1294" s="36">
        <f>IFERROR(AA1294/$AD1294,0)</f>
        <v>0</v>
      </c>
      <c r="AC1294" s="35"/>
      <c r="AD1294" s="40"/>
    </row>
    <row r="1295" spans="1:30" ht="15.75" customHeight="1" x14ac:dyDescent="0.25">
      <c r="A1295" s="37">
        <v>2015</v>
      </c>
      <c r="B1295" s="35">
        <v>170610</v>
      </c>
      <c r="C1295" s="34" t="s">
        <v>144</v>
      </c>
      <c r="D1295" s="34" t="s">
        <v>47</v>
      </c>
      <c r="E1295" s="35"/>
      <c r="F1295" s="36">
        <f>IFERROR(E1295/$AC1295,0)</f>
        <v>0</v>
      </c>
      <c r="G1295" s="40"/>
      <c r="H1295" s="36">
        <f>IFERROR(G1295/$AD1295,0)</f>
        <v>0</v>
      </c>
      <c r="I1295" s="35"/>
      <c r="J1295" s="36">
        <f>IFERROR(I1295/$AC1295,0)</f>
        <v>0</v>
      </c>
      <c r="K1295" s="40"/>
      <c r="L1295" s="36">
        <f>IFERROR(K1295/$AD1295,0)</f>
        <v>0</v>
      </c>
      <c r="M1295" s="35"/>
      <c r="N1295" s="36">
        <f>IFERROR(M1295/$AC1295,0)</f>
        <v>0</v>
      </c>
      <c r="O1295" s="40"/>
      <c r="P1295" s="36">
        <f>IFERROR(O1295/$AD1295,0)</f>
        <v>0</v>
      </c>
      <c r="Q1295" s="35"/>
      <c r="R1295" s="36">
        <f>IFERROR(Q1295/$AC1295,0)</f>
        <v>0</v>
      </c>
      <c r="S1295" s="40"/>
      <c r="T1295" s="36">
        <f>IFERROR(S1295/$AD1295,0)</f>
        <v>0</v>
      </c>
      <c r="U1295" s="35"/>
      <c r="V1295" s="36">
        <f>IFERROR(U1295/$AC1295,0)</f>
        <v>0</v>
      </c>
      <c r="W1295" s="40"/>
      <c r="X1295" s="36">
        <f>IFERROR(W1295/$AD1295,0)</f>
        <v>0</v>
      </c>
      <c r="Y1295" s="35"/>
      <c r="Z1295" s="36">
        <f>IFERROR(Y1295/$AC1295,0)</f>
        <v>0</v>
      </c>
      <c r="AA1295" s="40"/>
      <c r="AB1295" s="36">
        <f>IFERROR(AA1295/$AD1295,0)</f>
        <v>0</v>
      </c>
      <c r="AC1295" s="35"/>
      <c r="AD1295" s="40"/>
    </row>
    <row r="1296" spans="1:30" ht="15.75" customHeight="1" x14ac:dyDescent="0.25">
      <c r="A1296" s="37">
        <v>2015</v>
      </c>
      <c r="B1296" s="35">
        <v>170625</v>
      </c>
      <c r="C1296" s="34" t="s">
        <v>146</v>
      </c>
      <c r="D1296" s="34" t="s">
        <v>48</v>
      </c>
      <c r="E1296" s="35"/>
      <c r="F1296" s="36">
        <f>IFERROR(E1296/$AC1296,0)</f>
        <v>0</v>
      </c>
      <c r="G1296" s="40"/>
      <c r="H1296" s="36">
        <f>IFERROR(G1296/$AD1296,0)</f>
        <v>0</v>
      </c>
      <c r="I1296" s="35"/>
      <c r="J1296" s="36">
        <f>IFERROR(I1296/$AC1296,0)</f>
        <v>0</v>
      </c>
      <c r="K1296" s="40"/>
      <c r="L1296" s="36">
        <f>IFERROR(K1296/$AD1296,0)</f>
        <v>0</v>
      </c>
      <c r="M1296" s="35"/>
      <c r="N1296" s="36">
        <f>IFERROR(M1296/$AC1296,0)</f>
        <v>0</v>
      </c>
      <c r="O1296" s="40"/>
      <c r="P1296" s="36">
        <f>IFERROR(O1296/$AD1296,0)</f>
        <v>0</v>
      </c>
      <c r="Q1296" s="35"/>
      <c r="R1296" s="36">
        <f>IFERROR(Q1296/$AC1296,0)</f>
        <v>0</v>
      </c>
      <c r="S1296" s="40"/>
      <c r="T1296" s="36">
        <f>IFERROR(S1296/$AD1296,0)</f>
        <v>0</v>
      </c>
      <c r="U1296" s="35"/>
      <c r="V1296" s="36">
        <f>IFERROR(U1296/$AC1296,0)</f>
        <v>0</v>
      </c>
      <c r="W1296" s="40"/>
      <c r="X1296" s="36">
        <f>IFERROR(W1296/$AD1296,0)</f>
        <v>0</v>
      </c>
      <c r="Y1296" s="35"/>
      <c r="Z1296" s="36">
        <f>IFERROR(Y1296/$AC1296,0)</f>
        <v>0</v>
      </c>
      <c r="AA1296" s="40"/>
      <c r="AB1296" s="36">
        <f>IFERROR(AA1296/$AD1296,0)</f>
        <v>0</v>
      </c>
      <c r="AC1296" s="35"/>
      <c r="AD1296" s="40"/>
    </row>
    <row r="1297" spans="1:30" ht="15.75" customHeight="1" x14ac:dyDescent="0.25">
      <c r="A1297" s="37">
        <v>2015</v>
      </c>
      <c r="B1297" s="35">
        <v>170650</v>
      </c>
      <c r="C1297" s="34" t="s">
        <v>149</v>
      </c>
      <c r="D1297" s="34" t="s">
        <v>49</v>
      </c>
      <c r="E1297" s="35"/>
      <c r="F1297" s="36">
        <f>IFERROR(E1297/$AC1297,0)</f>
        <v>0</v>
      </c>
      <c r="G1297" s="40"/>
      <c r="H1297" s="36">
        <f>IFERROR(G1297/$AD1297,0)</f>
        <v>0</v>
      </c>
      <c r="I1297" s="35"/>
      <c r="J1297" s="36">
        <f>IFERROR(I1297/$AC1297,0)</f>
        <v>0</v>
      </c>
      <c r="K1297" s="40"/>
      <c r="L1297" s="36">
        <f>IFERROR(K1297/$AD1297,0)</f>
        <v>0</v>
      </c>
      <c r="M1297" s="35"/>
      <c r="N1297" s="36">
        <f>IFERROR(M1297/$AC1297,0)</f>
        <v>0</v>
      </c>
      <c r="O1297" s="40"/>
      <c r="P1297" s="36">
        <f>IFERROR(O1297/$AD1297,0)</f>
        <v>0</v>
      </c>
      <c r="Q1297" s="35"/>
      <c r="R1297" s="36">
        <f>IFERROR(Q1297/$AC1297,0)</f>
        <v>0</v>
      </c>
      <c r="S1297" s="40"/>
      <c r="T1297" s="36">
        <f>IFERROR(S1297/$AD1297,0)</f>
        <v>0</v>
      </c>
      <c r="U1297" s="35"/>
      <c r="V1297" s="36">
        <f>IFERROR(U1297/$AC1297,0)</f>
        <v>0</v>
      </c>
      <c r="W1297" s="40"/>
      <c r="X1297" s="36">
        <f>IFERROR(W1297/$AD1297,0)</f>
        <v>0</v>
      </c>
      <c r="Y1297" s="35"/>
      <c r="Z1297" s="36">
        <f>IFERROR(Y1297/$AC1297,0)</f>
        <v>0</v>
      </c>
      <c r="AA1297" s="40"/>
      <c r="AB1297" s="36">
        <f>IFERROR(AA1297/$AD1297,0)</f>
        <v>0</v>
      </c>
      <c r="AC1297" s="35"/>
      <c r="AD1297" s="40"/>
    </row>
    <row r="1298" spans="1:30" ht="15.75" customHeight="1" x14ac:dyDescent="0.25">
      <c r="A1298" s="37">
        <v>2015</v>
      </c>
      <c r="B1298" s="35">
        <v>170700</v>
      </c>
      <c r="C1298" s="34" t="s">
        <v>147</v>
      </c>
      <c r="D1298" s="34" t="s">
        <v>50</v>
      </c>
      <c r="E1298" s="35"/>
      <c r="F1298" s="36">
        <f>IFERROR(E1298/$AC1298,0)</f>
        <v>0</v>
      </c>
      <c r="G1298" s="40"/>
      <c r="H1298" s="36">
        <f>IFERROR(G1298/$AD1298,0)</f>
        <v>0</v>
      </c>
      <c r="I1298" s="35"/>
      <c r="J1298" s="36">
        <f>IFERROR(I1298/$AC1298,0)</f>
        <v>0</v>
      </c>
      <c r="K1298" s="40"/>
      <c r="L1298" s="36">
        <f>IFERROR(K1298/$AD1298,0)</f>
        <v>0</v>
      </c>
      <c r="M1298" s="35"/>
      <c r="N1298" s="36">
        <f>IFERROR(M1298/$AC1298,0)</f>
        <v>0</v>
      </c>
      <c r="O1298" s="40"/>
      <c r="P1298" s="36">
        <f>IFERROR(O1298/$AD1298,0)</f>
        <v>0</v>
      </c>
      <c r="Q1298" s="35"/>
      <c r="R1298" s="36">
        <f>IFERROR(Q1298/$AC1298,0)</f>
        <v>0</v>
      </c>
      <c r="S1298" s="40"/>
      <c r="T1298" s="36">
        <f>IFERROR(S1298/$AD1298,0)</f>
        <v>0</v>
      </c>
      <c r="U1298" s="35"/>
      <c r="V1298" s="36">
        <f>IFERROR(U1298/$AC1298,0)</f>
        <v>0</v>
      </c>
      <c r="W1298" s="40"/>
      <c r="X1298" s="36">
        <f>IFERROR(W1298/$AD1298,0)</f>
        <v>0</v>
      </c>
      <c r="Y1298" s="35"/>
      <c r="Z1298" s="36">
        <f>IFERROR(Y1298/$AC1298,0)</f>
        <v>0</v>
      </c>
      <c r="AA1298" s="40"/>
      <c r="AB1298" s="36">
        <f>IFERROR(AA1298/$AD1298,0)</f>
        <v>0</v>
      </c>
      <c r="AC1298" s="35"/>
      <c r="AD1298" s="40"/>
    </row>
    <row r="1299" spans="1:30" ht="15.75" customHeight="1" x14ac:dyDescent="0.25">
      <c r="A1299" s="37">
        <v>2015</v>
      </c>
      <c r="B1299" s="35">
        <v>170710</v>
      </c>
      <c r="C1299" s="34" t="s">
        <v>144</v>
      </c>
      <c r="D1299" s="34" t="s">
        <v>51</v>
      </c>
      <c r="E1299" s="35"/>
      <c r="F1299" s="36">
        <f>IFERROR(E1299/$AC1299,0)</f>
        <v>0</v>
      </c>
      <c r="G1299" s="40"/>
      <c r="H1299" s="36">
        <f>IFERROR(G1299/$AD1299,0)</f>
        <v>0</v>
      </c>
      <c r="I1299" s="35"/>
      <c r="J1299" s="36">
        <f>IFERROR(I1299/$AC1299,0)</f>
        <v>0</v>
      </c>
      <c r="K1299" s="40"/>
      <c r="L1299" s="36">
        <f>IFERROR(K1299/$AD1299,0)</f>
        <v>0</v>
      </c>
      <c r="M1299" s="35"/>
      <c r="N1299" s="36">
        <f>IFERROR(M1299/$AC1299,0)</f>
        <v>0</v>
      </c>
      <c r="O1299" s="40"/>
      <c r="P1299" s="36">
        <f>IFERROR(O1299/$AD1299,0)</f>
        <v>0</v>
      </c>
      <c r="Q1299" s="35"/>
      <c r="R1299" s="36">
        <f>IFERROR(Q1299/$AC1299,0)</f>
        <v>0</v>
      </c>
      <c r="S1299" s="40"/>
      <c r="T1299" s="36">
        <f>IFERROR(S1299/$AD1299,0)</f>
        <v>0</v>
      </c>
      <c r="U1299" s="35"/>
      <c r="V1299" s="36">
        <f>IFERROR(U1299/$AC1299,0)</f>
        <v>0</v>
      </c>
      <c r="W1299" s="40"/>
      <c r="X1299" s="36">
        <f>IFERROR(W1299/$AD1299,0)</f>
        <v>0</v>
      </c>
      <c r="Y1299" s="35"/>
      <c r="Z1299" s="36">
        <f>IFERROR(Y1299/$AC1299,0)</f>
        <v>0</v>
      </c>
      <c r="AA1299" s="40"/>
      <c r="AB1299" s="36">
        <f>IFERROR(AA1299/$AD1299,0)</f>
        <v>0</v>
      </c>
      <c r="AC1299" s="35"/>
      <c r="AD1299" s="40"/>
    </row>
    <row r="1300" spans="1:30" ht="15.75" customHeight="1" x14ac:dyDescent="0.25">
      <c r="A1300" s="37">
        <v>2015</v>
      </c>
      <c r="B1300" s="35">
        <v>170720</v>
      </c>
      <c r="C1300" s="34" t="s">
        <v>144</v>
      </c>
      <c r="D1300" s="34" t="s">
        <v>52</v>
      </c>
      <c r="E1300" s="35"/>
      <c r="F1300" s="36">
        <f>IFERROR(E1300/$AC1300,0)</f>
        <v>0</v>
      </c>
      <c r="G1300" s="40"/>
      <c r="H1300" s="36">
        <f>IFERROR(G1300/$AD1300,0)</f>
        <v>0</v>
      </c>
      <c r="I1300" s="35"/>
      <c r="J1300" s="36">
        <f>IFERROR(I1300/$AC1300,0)</f>
        <v>0</v>
      </c>
      <c r="K1300" s="40"/>
      <c r="L1300" s="36">
        <f>IFERROR(K1300/$AD1300,0)</f>
        <v>0</v>
      </c>
      <c r="M1300" s="35"/>
      <c r="N1300" s="36">
        <f>IFERROR(M1300/$AC1300,0)</f>
        <v>0</v>
      </c>
      <c r="O1300" s="40"/>
      <c r="P1300" s="36">
        <f>IFERROR(O1300/$AD1300,0)</f>
        <v>0</v>
      </c>
      <c r="Q1300" s="35"/>
      <c r="R1300" s="36">
        <f>IFERROR(Q1300/$AC1300,0)</f>
        <v>0</v>
      </c>
      <c r="S1300" s="40"/>
      <c r="T1300" s="36">
        <f>IFERROR(S1300/$AD1300,0)</f>
        <v>0</v>
      </c>
      <c r="U1300" s="35"/>
      <c r="V1300" s="36">
        <f>IFERROR(U1300/$AC1300,0)</f>
        <v>0</v>
      </c>
      <c r="W1300" s="40"/>
      <c r="X1300" s="36">
        <f>IFERROR(W1300/$AD1300,0)</f>
        <v>0</v>
      </c>
      <c r="Y1300" s="35"/>
      <c r="Z1300" s="36">
        <f>IFERROR(Y1300/$AC1300,0)</f>
        <v>0</v>
      </c>
      <c r="AA1300" s="40"/>
      <c r="AB1300" s="36">
        <f>IFERROR(AA1300/$AD1300,0)</f>
        <v>0</v>
      </c>
      <c r="AC1300" s="35"/>
      <c r="AD1300" s="40"/>
    </row>
    <row r="1301" spans="1:30" ht="15.75" customHeight="1" x14ac:dyDescent="0.25">
      <c r="A1301" s="37">
        <v>2015</v>
      </c>
      <c r="B1301" s="35">
        <v>170730</v>
      </c>
      <c r="C1301" s="34" t="s">
        <v>146</v>
      </c>
      <c r="D1301" s="34" t="s">
        <v>53</v>
      </c>
      <c r="E1301" s="35"/>
      <c r="F1301" s="36">
        <f>IFERROR(E1301/$AC1301,0)</f>
        <v>0</v>
      </c>
      <c r="G1301" s="40"/>
      <c r="H1301" s="36">
        <f>IFERROR(G1301/$AD1301,0)</f>
        <v>0</v>
      </c>
      <c r="I1301" s="35"/>
      <c r="J1301" s="36">
        <f>IFERROR(I1301/$AC1301,0)</f>
        <v>0</v>
      </c>
      <c r="K1301" s="40"/>
      <c r="L1301" s="36">
        <f>IFERROR(K1301/$AD1301,0)</f>
        <v>0</v>
      </c>
      <c r="M1301" s="35"/>
      <c r="N1301" s="36">
        <f>IFERROR(M1301/$AC1301,0)</f>
        <v>0</v>
      </c>
      <c r="O1301" s="40"/>
      <c r="P1301" s="36">
        <f>IFERROR(O1301/$AD1301,0)</f>
        <v>0</v>
      </c>
      <c r="Q1301" s="35"/>
      <c r="R1301" s="36">
        <f>IFERROR(Q1301/$AC1301,0)</f>
        <v>0</v>
      </c>
      <c r="S1301" s="40"/>
      <c r="T1301" s="36">
        <f>IFERROR(S1301/$AD1301,0)</f>
        <v>0</v>
      </c>
      <c r="U1301" s="35"/>
      <c r="V1301" s="36">
        <f>IFERROR(U1301/$AC1301,0)</f>
        <v>0</v>
      </c>
      <c r="W1301" s="40"/>
      <c r="X1301" s="36">
        <f>IFERROR(W1301/$AD1301,0)</f>
        <v>0</v>
      </c>
      <c r="Y1301" s="35"/>
      <c r="Z1301" s="36">
        <f>IFERROR(Y1301/$AC1301,0)</f>
        <v>0</v>
      </c>
      <c r="AA1301" s="40"/>
      <c r="AB1301" s="36">
        <f>IFERROR(AA1301/$AD1301,0)</f>
        <v>0</v>
      </c>
      <c r="AC1301" s="35"/>
      <c r="AD1301" s="40"/>
    </row>
    <row r="1302" spans="1:30" ht="15.75" customHeight="1" x14ac:dyDescent="0.25">
      <c r="A1302" s="37">
        <v>2015</v>
      </c>
      <c r="B1302" s="35">
        <v>170740</v>
      </c>
      <c r="C1302" s="34" t="s">
        <v>145</v>
      </c>
      <c r="D1302" s="34" t="s">
        <v>54</v>
      </c>
      <c r="E1302" s="35"/>
      <c r="F1302" s="36">
        <f>IFERROR(E1302/$AC1302,0)</f>
        <v>0</v>
      </c>
      <c r="G1302" s="40"/>
      <c r="H1302" s="36">
        <f>IFERROR(G1302/$AD1302,0)</f>
        <v>0</v>
      </c>
      <c r="I1302" s="35"/>
      <c r="J1302" s="36">
        <f>IFERROR(I1302/$AC1302,0)</f>
        <v>0</v>
      </c>
      <c r="K1302" s="40"/>
      <c r="L1302" s="36">
        <f>IFERROR(K1302/$AD1302,0)</f>
        <v>0</v>
      </c>
      <c r="M1302" s="35"/>
      <c r="N1302" s="36">
        <f>IFERROR(M1302/$AC1302,0)</f>
        <v>0</v>
      </c>
      <c r="O1302" s="40"/>
      <c r="P1302" s="36">
        <f>IFERROR(O1302/$AD1302,0)</f>
        <v>0</v>
      </c>
      <c r="Q1302" s="35"/>
      <c r="R1302" s="36">
        <f>IFERROR(Q1302/$AC1302,0)</f>
        <v>0</v>
      </c>
      <c r="S1302" s="40"/>
      <c r="T1302" s="36">
        <f>IFERROR(S1302/$AD1302,0)</f>
        <v>0</v>
      </c>
      <c r="U1302" s="35"/>
      <c r="V1302" s="36">
        <f>IFERROR(U1302/$AC1302,0)</f>
        <v>0</v>
      </c>
      <c r="W1302" s="40"/>
      <c r="X1302" s="36">
        <f>IFERROR(W1302/$AD1302,0)</f>
        <v>0</v>
      </c>
      <c r="Y1302" s="35"/>
      <c r="Z1302" s="36">
        <f>IFERROR(Y1302/$AC1302,0)</f>
        <v>0</v>
      </c>
      <c r="AA1302" s="40"/>
      <c r="AB1302" s="36">
        <f>IFERROR(AA1302/$AD1302,0)</f>
        <v>0</v>
      </c>
      <c r="AC1302" s="35"/>
      <c r="AD1302" s="40"/>
    </row>
    <row r="1303" spans="1:30" ht="15.75" customHeight="1" x14ac:dyDescent="0.25">
      <c r="A1303" s="37">
        <v>2015</v>
      </c>
      <c r="B1303" s="35">
        <v>170755</v>
      </c>
      <c r="C1303" s="34" t="s">
        <v>151</v>
      </c>
      <c r="D1303" s="34" t="s">
        <v>55</v>
      </c>
      <c r="E1303" s="35"/>
      <c r="F1303" s="36">
        <f>IFERROR(E1303/$AC1303,0)</f>
        <v>0</v>
      </c>
      <c r="G1303" s="40"/>
      <c r="H1303" s="36">
        <f>IFERROR(G1303/$AD1303,0)</f>
        <v>0</v>
      </c>
      <c r="I1303" s="35"/>
      <c r="J1303" s="36">
        <f>IFERROR(I1303/$AC1303,0)</f>
        <v>0</v>
      </c>
      <c r="K1303" s="40"/>
      <c r="L1303" s="36">
        <f>IFERROR(K1303/$AD1303,0)</f>
        <v>0</v>
      </c>
      <c r="M1303" s="35"/>
      <c r="N1303" s="36">
        <f>IFERROR(M1303/$AC1303,0)</f>
        <v>0</v>
      </c>
      <c r="O1303" s="40"/>
      <c r="P1303" s="36">
        <f>IFERROR(O1303/$AD1303,0)</f>
        <v>0</v>
      </c>
      <c r="Q1303" s="35"/>
      <c r="R1303" s="36">
        <f>IFERROR(Q1303/$AC1303,0)</f>
        <v>0</v>
      </c>
      <c r="S1303" s="40"/>
      <c r="T1303" s="36">
        <f>IFERROR(S1303/$AD1303,0)</f>
        <v>0</v>
      </c>
      <c r="U1303" s="35"/>
      <c r="V1303" s="36">
        <f>IFERROR(U1303/$AC1303,0)</f>
        <v>0</v>
      </c>
      <c r="W1303" s="40"/>
      <c r="X1303" s="36">
        <f>IFERROR(W1303/$AD1303,0)</f>
        <v>0</v>
      </c>
      <c r="Y1303" s="35"/>
      <c r="Z1303" s="36">
        <f>IFERROR(Y1303/$AC1303,0)</f>
        <v>0</v>
      </c>
      <c r="AA1303" s="40"/>
      <c r="AB1303" s="36">
        <f>IFERROR(AA1303/$AD1303,0)</f>
        <v>0</v>
      </c>
      <c r="AC1303" s="35"/>
      <c r="AD1303" s="40"/>
    </row>
    <row r="1304" spans="1:30" ht="15.75" customHeight="1" x14ac:dyDescent="0.25">
      <c r="A1304" s="37">
        <v>2015</v>
      </c>
      <c r="B1304" s="35">
        <v>170765</v>
      </c>
      <c r="C1304" s="34" t="s">
        <v>146</v>
      </c>
      <c r="D1304" s="34" t="s">
        <v>56</v>
      </c>
      <c r="E1304" s="35"/>
      <c r="F1304" s="36">
        <f>IFERROR(E1304/$AC1304,0)</f>
        <v>0</v>
      </c>
      <c r="G1304" s="40"/>
      <c r="H1304" s="36">
        <f>IFERROR(G1304/$AD1304,0)</f>
        <v>0</v>
      </c>
      <c r="I1304" s="35"/>
      <c r="J1304" s="36">
        <f>IFERROR(I1304/$AC1304,0)</f>
        <v>0</v>
      </c>
      <c r="K1304" s="40"/>
      <c r="L1304" s="36">
        <f>IFERROR(K1304/$AD1304,0)</f>
        <v>0</v>
      </c>
      <c r="M1304" s="35"/>
      <c r="N1304" s="36">
        <f>IFERROR(M1304/$AC1304,0)</f>
        <v>0</v>
      </c>
      <c r="O1304" s="40"/>
      <c r="P1304" s="36">
        <f>IFERROR(O1304/$AD1304,0)</f>
        <v>0</v>
      </c>
      <c r="Q1304" s="35"/>
      <c r="R1304" s="36">
        <f>IFERROR(Q1304/$AC1304,0)</f>
        <v>0</v>
      </c>
      <c r="S1304" s="40"/>
      <c r="T1304" s="36">
        <f>IFERROR(S1304/$AD1304,0)</f>
        <v>0</v>
      </c>
      <c r="U1304" s="35"/>
      <c r="V1304" s="36">
        <f>IFERROR(U1304/$AC1304,0)</f>
        <v>0</v>
      </c>
      <c r="W1304" s="40"/>
      <c r="X1304" s="36">
        <f>IFERROR(W1304/$AD1304,0)</f>
        <v>0</v>
      </c>
      <c r="Y1304" s="35"/>
      <c r="Z1304" s="36">
        <f>IFERROR(Y1304/$AC1304,0)</f>
        <v>0</v>
      </c>
      <c r="AA1304" s="40"/>
      <c r="AB1304" s="36">
        <f>IFERROR(AA1304/$AD1304,0)</f>
        <v>0</v>
      </c>
      <c r="AC1304" s="35"/>
      <c r="AD1304" s="40"/>
    </row>
    <row r="1305" spans="1:30" ht="15.75" customHeight="1" x14ac:dyDescent="0.25">
      <c r="A1305" s="37">
        <v>2015</v>
      </c>
      <c r="B1305" s="35">
        <v>170770</v>
      </c>
      <c r="C1305" s="34" t="s">
        <v>149</v>
      </c>
      <c r="D1305" s="34" t="s">
        <v>57</v>
      </c>
      <c r="E1305" s="35"/>
      <c r="F1305" s="36">
        <f>IFERROR(E1305/$AC1305,0)</f>
        <v>0</v>
      </c>
      <c r="G1305" s="40"/>
      <c r="H1305" s="36">
        <f>IFERROR(G1305/$AD1305,0)</f>
        <v>0</v>
      </c>
      <c r="I1305" s="35"/>
      <c r="J1305" s="36">
        <f>IFERROR(I1305/$AC1305,0)</f>
        <v>0</v>
      </c>
      <c r="K1305" s="40"/>
      <c r="L1305" s="36">
        <f>IFERROR(K1305/$AD1305,0)</f>
        <v>0</v>
      </c>
      <c r="M1305" s="35"/>
      <c r="N1305" s="36">
        <f>IFERROR(M1305/$AC1305,0)</f>
        <v>0</v>
      </c>
      <c r="O1305" s="40"/>
      <c r="P1305" s="36">
        <f>IFERROR(O1305/$AD1305,0)</f>
        <v>0</v>
      </c>
      <c r="Q1305" s="35"/>
      <c r="R1305" s="36">
        <f>IFERROR(Q1305/$AC1305,0)</f>
        <v>0</v>
      </c>
      <c r="S1305" s="40"/>
      <c r="T1305" s="36">
        <f>IFERROR(S1305/$AD1305,0)</f>
        <v>0</v>
      </c>
      <c r="U1305" s="35"/>
      <c r="V1305" s="36">
        <f>IFERROR(U1305/$AC1305,0)</f>
        <v>0</v>
      </c>
      <c r="W1305" s="40"/>
      <c r="X1305" s="36">
        <f>IFERROR(W1305/$AD1305,0)</f>
        <v>0</v>
      </c>
      <c r="Y1305" s="35"/>
      <c r="Z1305" s="36">
        <f>IFERROR(Y1305/$AC1305,0)</f>
        <v>0</v>
      </c>
      <c r="AA1305" s="40"/>
      <c r="AB1305" s="36">
        <f>IFERROR(AA1305/$AD1305,0)</f>
        <v>0</v>
      </c>
      <c r="AC1305" s="35"/>
      <c r="AD1305" s="40"/>
    </row>
    <row r="1306" spans="1:30" ht="15.75" customHeight="1" x14ac:dyDescent="0.25">
      <c r="A1306" s="37">
        <v>2015</v>
      </c>
      <c r="B1306" s="35">
        <v>170820</v>
      </c>
      <c r="C1306" s="34" t="s">
        <v>146</v>
      </c>
      <c r="D1306" s="34" t="s">
        <v>58</v>
      </c>
      <c r="E1306" s="35"/>
      <c r="F1306" s="36">
        <f>IFERROR(E1306/$AC1306,0)</f>
        <v>0</v>
      </c>
      <c r="G1306" s="40"/>
      <c r="H1306" s="36">
        <f>IFERROR(G1306/$AD1306,0)</f>
        <v>0</v>
      </c>
      <c r="I1306" s="35"/>
      <c r="J1306" s="36">
        <f>IFERROR(I1306/$AC1306,0)</f>
        <v>0</v>
      </c>
      <c r="K1306" s="40"/>
      <c r="L1306" s="36">
        <f>IFERROR(K1306/$AD1306,0)</f>
        <v>0</v>
      </c>
      <c r="M1306" s="35"/>
      <c r="N1306" s="36">
        <f>IFERROR(M1306/$AC1306,0)</f>
        <v>0</v>
      </c>
      <c r="O1306" s="40"/>
      <c r="P1306" s="36">
        <f>IFERROR(O1306/$AD1306,0)</f>
        <v>0</v>
      </c>
      <c r="Q1306" s="35"/>
      <c r="R1306" s="36">
        <f>IFERROR(Q1306/$AC1306,0)</f>
        <v>0</v>
      </c>
      <c r="S1306" s="40"/>
      <c r="T1306" s="36">
        <f>IFERROR(S1306/$AD1306,0)</f>
        <v>0</v>
      </c>
      <c r="U1306" s="35"/>
      <c r="V1306" s="36">
        <f>IFERROR(U1306/$AC1306,0)</f>
        <v>0</v>
      </c>
      <c r="W1306" s="40"/>
      <c r="X1306" s="36">
        <f>IFERROR(W1306/$AD1306,0)</f>
        <v>0</v>
      </c>
      <c r="Y1306" s="35"/>
      <c r="Z1306" s="36">
        <f>IFERROR(Y1306/$AC1306,0)</f>
        <v>0</v>
      </c>
      <c r="AA1306" s="40"/>
      <c r="AB1306" s="36">
        <f>IFERROR(AA1306/$AD1306,0)</f>
        <v>0</v>
      </c>
      <c r="AC1306" s="35"/>
      <c r="AD1306" s="40"/>
    </row>
    <row r="1307" spans="1:30" ht="15.75" customHeight="1" x14ac:dyDescent="0.25">
      <c r="A1307" s="37">
        <v>2015</v>
      </c>
      <c r="B1307" s="35">
        <v>170830</v>
      </c>
      <c r="C1307" s="34" t="s">
        <v>150</v>
      </c>
      <c r="D1307" s="34" t="s">
        <v>59</v>
      </c>
      <c r="E1307" s="35"/>
      <c r="F1307" s="36">
        <f>IFERROR(E1307/$AC1307,0)</f>
        <v>0</v>
      </c>
      <c r="G1307" s="40"/>
      <c r="H1307" s="36">
        <f>IFERROR(G1307/$AD1307,0)</f>
        <v>0</v>
      </c>
      <c r="I1307" s="35"/>
      <c r="J1307" s="36">
        <f>IFERROR(I1307/$AC1307,0)</f>
        <v>0</v>
      </c>
      <c r="K1307" s="40"/>
      <c r="L1307" s="36">
        <f>IFERROR(K1307/$AD1307,0)</f>
        <v>0</v>
      </c>
      <c r="M1307" s="35"/>
      <c r="N1307" s="36">
        <f>IFERROR(M1307/$AC1307,0)</f>
        <v>0</v>
      </c>
      <c r="O1307" s="40"/>
      <c r="P1307" s="36">
        <f>IFERROR(O1307/$AD1307,0)</f>
        <v>0</v>
      </c>
      <c r="Q1307" s="35"/>
      <c r="R1307" s="36">
        <f>IFERROR(Q1307/$AC1307,0)</f>
        <v>0</v>
      </c>
      <c r="S1307" s="40"/>
      <c r="T1307" s="36">
        <f>IFERROR(S1307/$AD1307,0)</f>
        <v>0</v>
      </c>
      <c r="U1307" s="35"/>
      <c r="V1307" s="36">
        <f>IFERROR(U1307/$AC1307,0)</f>
        <v>0</v>
      </c>
      <c r="W1307" s="40"/>
      <c r="X1307" s="36">
        <f>IFERROR(W1307/$AD1307,0)</f>
        <v>0</v>
      </c>
      <c r="Y1307" s="35"/>
      <c r="Z1307" s="36">
        <f>IFERROR(Y1307/$AC1307,0)</f>
        <v>0</v>
      </c>
      <c r="AA1307" s="40"/>
      <c r="AB1307" s="36">
        <f>IFERROR(AA1307/$AD1307,0)</f>
        <v>0</v>
      </c>
      <c r="AC1307" s="35"/>
      <c r="AD1307" s="40"/>
    </row>
    <row r="1308" spans="1:30" ht="15.75" customHeight="1" x14ac:dyDescent="0.25">
      <c r="A1308" s="37">
        <v>2015</v>
      </c>
      <c r="B1308" s="35">
        <v>170900</v>
      </c>
      <c r="C1308" s="34" t="s">
        <v>149</v>
      </c>
      <c r="D1308" s="34" t="s">
        <v>60</v>
      </c>
      <c r="E1308" s="35"/>
      <c r="F1308" s="36">
        <f>IFERROR(E1308/$AC1308,0)</f>
        <v>0</v>
      </c>
      <c r="G1308" s="40"/>
      <c r="H1308" s="36">
        <f>IFERROR(G1308/$AD1308,0)</f>
        <v>0</v>
      </c>
      <c r="I1308" s="35"/>
      <c r="J1308" s="36">
        <f>IFERROR(I1308/$AC1308,0)</f>
        <v>0</v>
      </c>
      <c r="K1308" s="40"/>
      <c r="L1308" s="36">
        <f>IFERROR(K1308/$AD1308,0)</f>
        <v>0</v>
      </c>
      <c r="M1308" s="35"/>
      <c r="N1308" s="36">
        <f>IFERROR(M1308/$AC1308,0)</f>
        <v>0</v>
      </c>
      <c r="O1308" s="40"/>
      <c r="P1308" s="36">
        <f>IFERROR(O1308/$AD1308,0)</f>
        <v>0</v>
      </c>
      <c r="Q1308" s="35"/>
      <c r="R1308" s="36">
        <f>IFERROR(Q1308/$AC1308,0)</f>
        <v>0</v>
      </c>
      <c r="S1308" s="40"/>
      <c r="T1308" s="36">
        <f>IFERROR(S1308/$AD1308,0)</f>
        <v>0</v>
      </c>
      <c r="U1308" s="35"/>
      <c r="V1308" s="36">
        <f>IFERROR(U1308/$AC1308,0)</f>
        <v>0</v>
      </c>
      <c r="W1308" s="40"/>
      <c r="X1308" s="36">
        <f>IFERROR(W1308/$AD1308,0)</f>
        <v>0</v>
      </c>
      <c r="Y1308" s="35"/>
      <c r="Z1308" s="36">
        <f>IFERROR(Y1308/$AC1308,0)</f>
        <v>0</v>
      </c>
      <c r="AA1308" s="40"/>
      <c r="AB1308" s="36">
        <f>IFERROR(AA1308/$AD1308,0)</f>
        <v>0</v>
      </c>
      <c r="AC1308" s="35"/>
      <c r="AD1308" s="40"/>
    </row>
    <row r="1309" spans="1:30" ht="15.75" customHeight="1" x14ac:dyDescent="0.25">
      <c r="A1309" s="37">
        <v>2015</v>
      </c>
      <c r="B1309" s="35">
        <v>170930</v>
      </c>
      <c r="C1309" s="34" t="s">
        <v>150</v>
      </c>
      <c r="D1309" s="34" t="s">
        <v>61</v>
      </c>
      <c r="E1309" s="35"/>
      <c r="F1309" s="36">
        <f>IFERROR(E1309/$AC1309,0)</f>
        <v>0</v>
      </c>
      <c r="G1309" s="40"/>
      <c r="H1309" s="36">
        <f>IFERROR(G1309/$AD1309,0)</f>
        <v>0</v>
      </c>
      <c r="I1309" s="35"/>
      <c r="J1309" s="36">
        <f>IFERROR(I1309/$AC1309,0)</f>
        <v>0</v>
      </c>
      <c r="K1309" s="40"/>
      <c r="L1309" s="36">
        <f>IFERROR(K1309/$AD1309,0)</f>
        <v>0</v>
      </c>
      <c r="M1309" s="35"/>
      <c r="N1309" s="36">
        <f>IFERROR(M1309/$AC1309,0)</f>
        <v>0</v>
      </c>
      <c r="O1309" s="40"/>
      <c r="P1309" s="36">
        <f>IFERROR(O1309/$AD1309,0)</f>
        <v>0</v>
      </c>
      <c r="Q1309" s="35"/>
      <c r="R1309" s="36">
        <f>IFERROR(Q1309/$AC1309,0)</f>
        <v>0</v>
      </c>
      <c r="S1309" s="40"/>
      <c r="T1309" s="36">
        <f>IFERROR(S1309/$AD1309,0)</f>
        <v>0</v>
      </c>
      <c r="U1309" s="35"/>
      <c r="V1309" s="36">
        <f>IFERROR(U1309/$AC1309,0)</f>
        <v>0</v>
      </c>
      <c r="W1309" s="40"/>
      <c r="X1309" s="36">
        <f>IFERROR(W1309/$AD1309,0)</f>
        <v>0</v>
      </c>
      <c r="Y1309" s="35"/>
      <c r="Z1309" s="36">
        <f>IFERROR(Y1309/$AC1309,0)</f>
        <v>0</v>
      </c>
      <c r="AA1309" s="40"/>
      <c r="AB1309" s="36">
        <f>IFERROR(AA1309/$AD1309,0)</f>
        <v>0</v>
      </c>
      <c r="AC1309" s="35"/>
      <c r="AD1309" s="40"/>
    </row>
    <row r="1310" spans="1:30" ht="15.75" customHeight="1" x14ac:dyDescent="0.25">
      <c r="A1310" s="37">
        <v>2015</v>
      </c>
      <c r="B1310" s="35">
        <v>170950</v>
      </c>
      <c r="C1310" s="34" t="s">
        <v>146</v>
      </c>
      <c r="D1310" s="34" t="s">
        <v>62</v>
      </c>
      <c r="E1310" s="35"/>
      <c r="F1310" s="36">
        <f>IFERROR(E1310/$AC1310,0)</f>
        <v>0</v>
      </c>
      <c r="G1310" s="40"/>
      <c r="H1310" s="36">
        <f>IFERROR(G1310/$AD1310,0)</f>
        <v>0</v>
      </c>
      <c r="I1310" s="35"/>
      <c r="J1310" s="36">
        <f>IFERROR(I1310/$AC1310,0)</f>
        <v>0</v>
      </c>
      <c r="K1310" s="40"/>
      <c r="L1310" s="36">
        <f>IFERROR(K1310/$AD1310,0)</f>
        <v>0</v>
      </c>
      <c r="M1310" s="35"/>
      <c r="N1310" s="36">
        <f>IFERROR(M1310/$AC1310,0)</f>
        <v>0</v>
      </c>
      <c r="O1310" s="41"/>
      <c r="P1310" s="36">
        <f>IFERROR(O1310/$AD1310,0)</f>
        <v>0</v>
      </c>
      <c r="Q1310" s="35"/>
      <c r="R1310" s="36">
        <f>IFERROR(Q1310/$AC1310,0)</f>
        <v>0</v>
      </c>
      <c r="S1310" s="40"/>
      <c r="T1310" s="36">
        <f>IFERROR(S1310/$AD1310,0)</f>
        <v>0</v>
      </c>
      <c r="U1310" s="35"/>
      <c r="V1310" s="36">
        <f>IFERROR(U1310/$AC1310,0)</f>
        <v>0</v>
      </c>
      <c r="W1310" s="40"/>
      <c r="X1310" s="36">
        <f>IFERROR(W1310/$AD1310,0)</f>
        <v>0</v>
      </c>
      <c r="Y1310" s="35"/>
      <c r="Z1310" s="36">
        <f>IFERROR(Y1310/$AC1310,0)</f>
        <v>0</v>
      </c>
      <c r="AA1310" s="41"/>
      <c r="AB1310" s="36">
        <f>IFERROR(AA1310/$AD1310,0)</f>
        <v>0</v>
      </c>
      <c r="AC1310" s="35"/>
      <c r="AD1310" s="41"/>
    </row>
    <row r="1311" spans="1:30" ht="15.75" customHeight="1" x14ac:dyDescent="0.25">
      <c r="A1311" s="37">
        <v>2015</v>
      </c>
      <c r="B1311" s="35">
        <v>170980</v>
      </c>
      <c r="C1311" s="34" t="s">
        <v>151</v>
      </c>
      <c r="D1311" s="34" t="s">
        <v>63</v>
      </c>
      <c r="E1311" s="35"/>
      <c r="F1311" s="36">
        <f>IFERROR(E1311/$AC1311,0)</f>
        <v>0</v>
      </c>
      <c r="G1311" s="40"/>
      <c r="H1311" s="36">
        <f>IFERROR(G1311/$AD1311,0)</f>
        <v>0</v>
      </c>
      <c r="I1311" s="35"/>
      <c r="J1311" s="36">
        <f>IFERROR(I1311/$AC1311,0)</f>
        <v>0</v>
      </c>
      <c r="K1311" s="40"/>
      <c r="L1311" s="36">
        <f>IFERROR(K1311/$AD1311,0)</f>
        <v>0</v>
      </c>
      <c r="M1311" s="35"/>
      <c r="N1311" s="36">
        <f>IFERROR(M1311/$AC1311,0)</f>
        <v>0</v>
      </c>
      <c r="O1311" s="40"/>
      <c r="P1311" s="36">
        <f>IFERROR(O1311/$AD1311,0)</f>
        <v>0</v>
      </c>
      <c r="Q1311" s="35"/>
      <c r="R1311" s="36">
        <f>IFERROR(Q1311/$AC1311,0)</f>
        <v>0</v>
      </c>
      <c r="S1311" s="40"/>
      <c r="T1311" s="36">
        <f>IFERROR(S1311/$AD1311,0)</f>
        <v>0</v>
      </c>
      <c r="U1311" s="35"/>
      <c r="V1311" s="36">
        <f>IFERROR(U1311/$AC1311,0)</f>
        <v>0</v>
      </c>
      <c r="W1311" s="40"/>
      <c r="X1311" s="36">
        <f>IFERROR(W1311/$AD1311,0)</f>
        <v>0</v>
      </c>
      <c r="Y1311" s="35"/>
      <c r="Z1311" s="36">
        <f>IFERROR(Y1311/$AC1311,0)</f>
        <v>0</v>
      </c>
      <c r="AA1311" s="40"/>
      <c r="AB1311" s="36">
        <f>IFERROR(AA1311/$AD1311,0)</f>
        <v>0</v>
      </c>
      <c r="AC1311" s="35"/>
      <c r="AD1311" s="40"/>
    </row>
    <row r="1312" spans="1:30" ht="15.75" customHeight="1" x14ac:dyDescent="0.25">
      <c r="A1312" s="37">
        <v>2015</v>
      </c>
      <c r="B1312" s="35">
        <v>171050</v>
      </c>
      <c r="C1312" s="34" t="s">
        <v>150</v>
      </c>
      <c r="D1312" s="34" t="s">
        <v>64</v>
      </c>
      <c r="E1312" s="35"/>
      <c r="F1312" s="36">
        <f>IFERROR(E1312/$AC1312,0)</f>
        <v>0</v>
      </c>
      <c r="G1312" s="40"/>
      <c r="H1312" s="36">
        <f>IFERROR(G1312/$AD1312,0)</f>
        <v>0</v>
      </c>
      <c r="I1312" s="35"/>
      <c r="J1312" s="36">
        <f>IFERROR(I1312/$AC1312,0)</f>
        <v>0</v>
      </c>
      <c r="K1312" s="40"/>
      <c r="L1312" s="36">
        <f>IFERROR(K1312/$AD1312,0)</f>
        <v>0</v>
      </c>
      <c r="M1312" s="35"/>
      <c r="N1312" s="36">
        <f>IFERROR(M1312/$AC1312,0)</f>
        <v>0</v>
      </c>
      <c r="O1312" s="40"/>
      <c r="P1312" s="36">
        <f>IFERROR(O1312/$AD1312,0)</f>
        <v>0</v>
      </c>
      <c r="Q1312" s="35"/>
      <c r="R1312" s="36">
        <f>IFERROR(Q1312/$AC1312,0)</f>
        <v>0</v>
      </c>
      <c r="S1312" s="40"/>
      <c r="T1312" s="36">
        <f>IFERROR(S1312/$AD1312,0)</f>
        <v>0</v>
      </c>
      <c r="U1312" s="35"/>
      <c r="V1312" s="36">
        <f>IFERROR(U1312/$AC1312,0)</f>
        <v>0</v>
      </c>
      <c r="W1312" s="40"/>
      <c r="X1312" s="36">
        <f>IFERROR(W1312/$AD1312,0)</f>
        <v>0</v>
      </c>
      <c r="Y1312" s="35"/>
      <c r="Z1312" s="36">
        <f>IFERROR(Y1312/$AC1312,0)</f>
        <v>0</v>
      </c>
      <c r="AA1312" s="40"/>
      <c r="AB1312" s="36">
        <f>IFERROR(AA1312/$AD1312,0)</f>
        <v>0</v>
      </c>
      <c r="AC1312" s="35"/>
      <c r="AD1312" s="40"/>
    </row>
    <row r="1313" spans="1:30" ht="15.75" customHeight="1" x14ac:dyDescent="0.25">
      <c r="A1313" s="37">
        <v>2015</v>
      </c>
      <c r="B1313" s="35">
        <v>171070</v>
      </c>
      <c r="C1313" s="34" t="s">
        <v>145</v>
      </c>
      <c r="D1313" s="34" t="s">
        <v>65</v>
      </c>
      <c r="E1313" s="35"/>
      <c r="F1313" s="36">
        <f>IFERROR(E1313/$AC1313,0)</f>
        <v>0</v>
      </c>
      <c r="G1313" s="40"/>
      <c r="H1313" s="36">
        <f>IFERROR(G1313/$AD1313,0)</f>
        <v>0</v>
      </c>
      <c r="I1313" s="35"/>
      <c r="J1313" s="36">
        <f>IFERROR(I1313/$AC1313,0)</f>
        <v>0</v>
      </c>
      <c r="K1313" s="40"/>
      <c r="L1313" s="36">
        <f>IFERROR(K1313/$AD1313,0)</f>
        <v>0</v>
      </c>
      <c r="M1313" s="35"/>
      <c r="N1313" s="36">
        <f>IFERROR(M1313/$AC1313,0)</f>
        <v>0</v>
      </c>
      <c r="O1313" s="40"/>
      <c r="P1313" s="36">
        <f>IFERROR(O1313/$AD1313,0)</f>
        <v>0</v>
      </c>
      <c r="Q1313" s="35"/>
      <c r="R1313" s="36">
        <f>IFERROR(Q1313/$AC1313,0)</f>
        <v>0</v>
      </c>
      <c r="S1313" s="40"/>
      <c r="T1313" s="36">
        <f>IFERROR(S1313/$AD1313,0)</f>
        <v>0</v>
      </c>
      <c r="U1313" s="35"/>
      <c r="V1313" s="36">
        <f>IFERROR(U1313/$AC1313,0)</f>
        <v>0</v>
      </c>
      <c r="W1313" s="40"/>
      <c r="X1313" s="36">
        <f>IFERROR(W1313/$AD1313,0)</f>
        <v>0</v>
      </c>
      <c r="Y1313" s="35"/>
      <c r="Z1313" s="36">
        <f>IFERROR(Y1313/$AC1313,0)</f>
        <v>0</v>
      </c>
      <c r="AA1313" s="40"/>
      <c r="AB1313" s="36">
        <f>IFERROR(AA1313/$AD1313,0)</f>
        <v>0</v>
      </c>
      <c r="AC1313" s="35"/>
      <c r="AD1313" s="40"/>
    </row>
    <row r="1314" spans="1:30" ht="15.75" customHeight="1" x14ac:dyDescent="0.25">
      <c r="A1314" s="37">
        <v>2015</v>
      </c>
      <c r="B1314" s="35">
        <v>171090</v>
      </c>
      <c r="C1314" s="34" t="s">
        <v>150</v>
      </c>
      <c r="D1314" s="34" t="s">
        <v>66</v>
      </c>
      <c r="E1314" s="35"/>
      <c r="F1314" s="36">
        <f>IFERROR(E1314/$AC1314,0)</f>
        <v>0</v>
      </c>
      <c r="G1314" s="40"/>
      <c r="H1314" s="36">
        <f>IFERROR(G1314/$AD1314,0)</f>
        <v>0</v>
      </c>
      <c r="I1314" s="35"/>
      <c r="J1314" s="36">
        <f>IFERROR(I1314/$AC1314,0)</f>
        <v>0</v>
      </c>
      <c r="K1314" s="40"/>
      <c r="L1314" s="36">
        <f>IFERROR(K1314/$AD1314,0)</f>
        <v>0</v>
      </c>
      <c r="M1314" s="35"/>
      <c r="N1314" s="36">
        <f>IFERROR(M1314/$AC1314,0)</f>
        <v>0</v>
      </c>
      <c r="O1314" s="40"/>
      <c r="P1314" s="36">
        <f>IFERROR(O1314/$AD1314,0)</f>
        <v>0</v>
      </c>
      <c r="Q1314" s="35"/>
      <c r="R1314" s="36">
        <f>IFERROR(Q1314/$AC1314,0)</f>
        <v>0</v>
      </c>
      <c r="S1314" s="40"/>
      <c r="T1314" s="36">
        <f>IFERROR(S1314/$AD1314,0)</f>
        <v>0</v>
      </c>
      <c r="U1314" s="35"/>
      <c r="V1314" s="36">
        <f>IFERROR(U1314/$AC1314,0)</f>
        <v>0</v>
      </c>
      <c r="W1314" s="40"/>
      <c r="X1314" s="36">
        <f>IFERROR(W1314/$AD1314,0)</f>
        <v>0</v>
      </c>
      <c r="Y1314" s="35"/>
      <c r="Z1314" s="36">
        <f>IFERROR(Y1314/$AC1314,0)</f>
        <v>0</v>
      </c>
      <c r="AA1314" s="40"/>
      <c r="AB1314" s="36">
        <f>IFERROR(AA1314/$AD1314,0)</f>
        <v>0</v>
      </c>
      <c r="AC1314" s="35"/>
      <c r="AD1314" s="40"/>
    </row>
    <row r="1315" spans="1:30" ht="15.75" customHeight="1" x14ac:dyDescent="0.25">
      <c r="A1315" s="37">
        <v>2015</v>
      </c>
      <c r="B1315" s="35">
        <v>171110</v>
      </c>
      <c r="C1315" s="34" t="s">
        <v>150</v>
      </c>
      <c r="D1315" s="34" t="s">
        <v>67</v>
      </c>
      <c r="E1315" s="35"/>
      <c r="F1315" s="36">
        <f>IFERROR(E1315/$AC1315,0)</f>
        <v>0</v>
      </c>
      <c r="G1315" s="40"/>
      <c r="H1315" s="36">
        <f>IFERROR(G1315/$AD1315,0)</f>
        <v>0</v>
      </c>
      <c r="I1315" s="35"/>
      <c r="J1315" s="36">
        <f>IFERROR(I1315/$AC1315,0)</f>
        <v>0</v>
      </c>
      <c r="K1315" s="40"/>
      <c r="L1315" s="36">
        <f>IFERROR(K1315/$AD1315,0)</f>
        <v>0</v>
      </c>
      <c r="M1315" s="35"/>
      <c r="N1315" s="36">
        <f>IFERROR(M1315/$AC1315,0)</f>
        <v>0</v>
      </c>
      <c r="O1315" s="40"/>
      <c r="P1315" s="36">
        <f>IFERROR(O1315/$AD1315,0)</f>
        <v>0</v>
      </c>
      <c r="Q1315" s="35"/>
      <c r="R1315" s="36">
        <f>IFERROR(Q1315/$AC1315,0)</f>
        <v>0</v>
      </c>
      <c r="S1315" s="40"/>
      <c r="T1315" s="36">
        <f>IFERROR(S1315/$AD1315,0)</f>
        <v>0</v>
      </c>
      <c r="U1315" s="35"/>
      <c r="V1315" s="36">
        <f>IFERROR(U1315/$AC1315,0)</f>
        <v>0</v>
      </c>
      <c r="W1315" s="40"/>
      <c r="X1315" s="36">
        <f>IFERROR(W1315/$AD1315,0)</f>
        <v>0</v>
      </c>
      <c r="Y1315" s="35"/>
      <c r="Z1315" s="36">
        <f>IFERROR(Y1315/$AC1315,0)</f>
        <v>0</v>
      </c>
      <c r="AA1315" s="40"/>
      <c r="AB1315" s="36">
        <f>IFERROR(AA1315/$AD1315,0)</f>
        <v>0</v>
      </c>
      <c r="AC1315" s="35"/>
      <c r="AD1315" s="40"/>
    </row>
    <row r="1316" spans="1:30" ht="15.75" customHeight="1" x14ac:dyDescent="0.25">
      <c r="A1316" s="37">
        <v>2015</v>
      </c>
      <c r="B1316" s="35">
        <v>171150</v>
      </c>
      <c r="C1316" s="34" t="s">
        <v>146</v>
      </c>
      <c r="D1316" s="34" t="s">
        <v>68</v>
      </c>
      <c r="E1316" s="35"/>
      <c r="F1316" s="36">
        <f>IFERROR(E1316/$AC1316,0)</f>
        <v>0</v>
      </c>
      <c r="G1316" s="40"/>
      <c r="H1316" s="36">
        <f>IFERROR(G1316/$AD1316,0)</f>
        <v>0</v>
      </c>
      <c r="I1316" s="35"/>
      <c r="J1316" s="36">
        <f>IFERROR(I1316/$AC1316,0)</f>
        <v>0</v>
      </c>
      <c r="K1316" s="40"/>
      <c r="L1316" s="36">
        <f>IFERROR(K1316/$AD1316,0)</f>
        <v>0</v>
      </c>
      <c r="M1316" s="35"/>
      <c r="N1316" s="36">
        <f>IFERROR(M1316/$AC1316,0)</f>
        <v>0</v>
      </c>
      <c r="O1316" s="40"/>
      <c r="P1316" s="36">
        <f>IFERROR(O1316/$AD1316,0)</f>
        <v>0</v>
      </c>
      <c r="Q1316" s="35"/>
      <c r="R1316" s="36">
        <f>IFERROR(Q1316/$AC1316,0)</f>
        <v>0</v>
      </c>
      <c r="S1316" s="40"/>
      <c r="T1316" s="36">
        <f>IFERROR(S1316/$AD1316,0)</f>
        <v>0</v>
      </c>
      <c r="U1316" s="35"/>
      <c r="V1316" s="36">
        <f>IFERROR(U1316/$AC1316,0)</f>
        <v>0</v>
      </c>
      <c r="W1316" s="40"/>
      <c r="X1316" s="36">
        <f>IFERROR(W1316/$AD1316,0)</f>
        <v>0</v>
      </c>
      <c r="Y1316" s="35"/>
      <c r="Z1316" s="36">
        <f>IFERROR(Y1316/$AC1316,0)</f>
        <v>0</v>
      </c>
      <c r="AA1316" s="40"/>
      <c r="AB1316" s="36">
        <f>IFERROR(AA1316/$AD1316,0)</f>
        <v>0</v>
      </c>
      <c r="AC1316" s="35"/>
      <c r="AD1316" s="40"/>
    </row>
    <row r="1317" spans="1:30" ht="15.75" customHeight="1" x14ac:dyDescent="0.25">
      <c r="A1317" s="37">
        <v>2015</v>
      </c>
      <c r="B1317" s="35">
        <v>171180</v>
      </c>
      <c r="C1317" s="34" t="s">
        <v>150</v>
      </c>
      <c r="D1317" s="34" t="s">
        <v>69</v>
      </c>
      <c r="E1317" s="35"/>
      <c r="F1317" s="36">
        <f>IFERROR(E1317/$AC1317,0)</f>
        <v>0</v>
      </c>
      <c r="G1317" s="40"/>
      <c r="H1317" s="36">
        <f>IFERROR(G1317/$AD1317,0)</f>
        <v>0</v>
      </c>
      <c r="I1317" s="35"/>
      <c r="J1317" s="36">
        <f>IFERROR(I1317/$AC1317,0)</f>
        <v>0</v>
      </c>
      <c r="K1317" s="40"/>
      <c r="L1317" s="36">
        <f>IFERROR(K1317/$AD1317,0)</f>
        <v>0</v>
      </c>
      <c r="M1317" s="35"/>
      <c r="N1317" s="36">
        <f>IFERROR(M1317/$AC1317,0)</f>
        <v>0</v>
      </c>
      <c r="O1317" s="40"/>
      <c r="P1317" s="36">
        <f>IFERROR(O1317/$AD1317,0)</f>
        <v>0</v>
      </c>
      <c r="Q1317" s="35"/>
      <c r="R1317" s="36">
        <f>IFERROR(Q1317/$AC1317,0)</f>
        <v>0</v>
      </c>
      <c r="S1317" s="40"/>
      <c r="T1317" s="36">
        <f>IFERROR(S1317/$AD1317,0)</f>
        <v>0</v>
      </c>
      <c r="U1317" s="35"/>
      <c r="V1317" s="36">
        <f>IFERROR(U1317/$AC1317,0)</f>
        <v>0</v>
      </c>
      <c r="W1317" s="40"/>
      <c r="X1317" s="36">
        <f>IFERROR(W1317/$AD1317,0)</f>
        <v>0</v>
      </c>
      <c r="Y1317" s="35"/>
      <c r="Z1317" s="36">
        <f>IFERROR(Y1317/$AC1317,0)</f>
        <v>0</v>
      </c>
      <c r="AA1317" s="40"/>
      <c r="AB1317" s="36">
        <f>IFERROR(AA1317/$AD1317,0)</f>
        <v>0</v>
      </c>
      <c r="AC1317" s="35"/>
      <c r="AD1317" s="40"/>
    </row>
    <row r="1318" spans="1:30" ht="15.75" customHeight="1" x14ac:dyDescent="0.25">
      <c r="A1318" s="37">
        <v>2015</v>
      </c>
      <c r="B1318" s="35">
        <v>171190</v>
      </c>
      <c r="C1318" s="34" t="s">
        <v>144</v>
      </c>
      <c r="D1318" s="34" t="s">
        <v>70</v>
      </c>
      <c r="E1318" s="35"/>
      <c r="F1318" s="36">
        <f>IFERROR(E1318/$AC1318,0)</f>
        <v>0</v>
      </c>
      <c r="G1318" s="40"/>
      <c r="H1318" s="36">
        <f>IFERROR(G1318/$AD1318,0)</f>
        <v>0</v>
      </c>
      <c r="I1318" s="35"/>
      <c r="J1318" s="36">
        <f>IFERROR(I1318/$AC1318,0)</f>
        <v>0</v>
      </c>
      <c r="K1318" s="40"/>
      <c r="L1318" s="36">
        <f>IFERROR(K1318/$AD1318,0)</f>
        <v>0</v>
      </c>
      <c r="M1318" s="35"/>
      <c r="N1318" s="36">
        <f>IFERROR(M1318/$AC1318,0)</f>
        <v>0</v>
      </c>
      <c r="O1318" s="40"/>
      <c r="P1318" s="36">
        <f>IFERROR(O1318/$AD1318,0)</f>
        <v>0</v>
      </c>
      <c r="Q1318" s="35"/>
      <c r="R1318" s="36">
        <f>IFERROR(Q1318/$AC1318,0)</f>
        <v>0</v>
      </c>
      <c r="S1318" s="40"/>
      <c r="T1318" s="36">
        <f>IFERROR(S1318/$AD1318,0)</f>
        <v>0</v>
      </c>
      <c r="U1318" s="35"/>
      <c r="V1318" s="36">
        <f>IFERROR(U1318/$AC1318,0)</f>
        <v>0</v>
      </c>
      <c r="W1318" s="40"/>
      <c r="X1318" s="36">
        <f>IFERROR(W1318/$AD1318,0)</f>
        <v>0</v>
      </c>
      <c r="Y1318" s="35"/>
      <c r="Z1318" s="36">
        <f>IFERROR(Y1318/$AC1318,0)</f>
        <v>0</v>
      </c>
      <c r="AA1318" s="40"/>
      <c r="AB1318" s="36">
        <f>IFERROR(AA1318/$AD1318,0)</f>
        <v>0</v>
      </c>
      <c r="AC1318" s="35"/>
      <c r="AD1318" s="40"/>
    </row>
    <row r="1319" spans="1:30" ht="15.75" customHeight="1" x14ac:dyDescent="0.25">
      <c r="A1319" s="37">
        <v>2015</v>
      </c>
      <c r="B1319" s="35">
        <v>171195</v>
      </c>
      <c r="C1319" s="34" t="s">
        <v>148</v>
      </c>
      <c r="D1319" s="34" t="s">
        <v>71</v>
      </c>
      <c r="E1319" s="35"/>
      <c r="F1319" s="36">
        <f>IFERROR(E1319/$AC1319,0)</f>
        <v>0</v>
      </c>
      <c r="G1319" s="40"/>
      <c r="H1319" s="36">
        <f>IFERROR(G1319/$AD1319,0)</f>
        <v>0</v>
      </c>
      <c r="I1319" s="35"/>
      <c r="J1319" s="36">
        <f>IFERROR(I1319/$AC1319,0)</f>
        <v>0</v>
      </c>
      <c r="K1319" s="40"/>
      <c r="L1319" s="36">
        <f>IFERROR(K1319/$AD1319,0)</f>
        <v>0</v>
      </c>
      <c r="M1319" s="35"/>
      <c r="N1319" s="36">
        <f>IFERROR(M1319/$AC1319,0)</f>
        <v>0</v>
      </c>
      <c r="O1319" s="40"/>
      <c r="P1319" s="36">
        <f>IFERROR(O1319/$AD1319,0)</f>
        <v>0</v>
      </c>
      <c r="Q1319" s="35"/>
      <c r="R1319" s="36">
        <f>IFERROR(Q1319/$AC1319,0)</f>
        <v>0</v>
      </c>
      <c r="S1319" s="40"/>
      <c r="T1319" s="36">
        <f>IFERROR(S1319/$AD1319,0)</f>
        <v>0</v>
      </c>
      <c r="U1319" s="35"/>
      <c r="V1319" s="36">
        <f>IFERROR(U1319/$AC1319,0)</f>
        <v>0</v>
      </c>
      <c r="W1319" s="40"/>
      <c r="X1319" s="36">
        <f>IFERROR(W1319/$AD1319,0)</f>
        <v>0</v>
      </c>
      <c r="Y1319" s="35"/>
      <c r="Z1319" s="36">
        <f>IFERROR(Y1319/$AC1319,0)</f>
        <v>0</v>
      </c>
      <c r="AA1319" s="40"/>
      <c r="AB1319" s="36">
        <f>IFERROR(AA1319/$AD1319,0)</f>
        <v>0</v>
      </c>
      <c r="AC1319" s="35"/>
      <c r="AD1319" s="40"/>
    </row>
    <row r="1320" spans="1:30" ht="15.75" customHeight="1" x14ac:dyDescent="0.25">
      <c r="A1320" s="37">
        <v>2015</v>
      </c>
      <c r="B1320" s="35">
        <v>171200</v>
      </c>
      <c r="C1320" s="34" t="s">
        <v>148</v>
      </c>
      <c r="D1320" s="34" t="s">
        <v>72</v>
      </c>
      <c r="E1320" s="35"/>
      <c r="F1320" s="36">
        <f>IFERROR(E1320/$AC1320,0)</f>
        <v>0</v>
      </c>
      <c r="G1320" s="40"/>
      <c r="H1320" s="36">
        <f>IFERROR(G1320/$AD1320,0)</f>
        <v>0</v>
      </c>
      <c r="I1320" s="35"/>
      <c r="J1320" s="36">
        <f>IFERROR(I1320/$AC1320,0)</f>
        <v>0</v>
      </c>
      <c r="K1320" s="40"/>
      <c r="L1320" s="36">
        <f>IFERROR(K1320/$AD1320,0)</f>
        <v>0</v>
      </c>
      <c r="M1320" s="35"/>
      <c r="N1320" s="36">
        <f>IFERROR(M1320/$AC1320,0)</f>
        <v>0</v>
      </c>
      <c r="O1320" s="40"/>
      <c r="P1320" s="36">
        <f>IFERROR(O1320/$AD1320,0)</f>
        <v>0</v>
      </c>
      <c r="Q1320" s="35"/>
      <c r="R1320" s="36">
        <f>IFERROR(Q1320/$AC1320,0)</f>
        <v>0</v>
      </c>
      <c r="S1320" s="40"/>
      <c r="T1320" s="36">
        <f>IFERROR(S1320/$AD1320,0)</f>
        <v>0</v>
      </c>
      <c r="U1320" s="35"/>
      <c r="V1320" s="36">
        <f>IFERROR(U1320/$AC1320,0)</f>
        <v>0</v>
      </c>
      <c r="W1320" s="40"/>
      <c r="X1320" s="36">
        <f>IFERROR(W1320/$AD1320,0)</f>
        <v>0</v>
      </c>
      <c r="Y1320" s="35"/>
      <c r="Z1320" s="36">
        <f>IFERROR(Y1320/$AC1320,0)</f>
        <v>0</v>
      </c>
      <c r="AA1320" s="40"/>
      <c r="AB1320" s="36">
        <f>IFERROR(AA1320/$AD1320,0)</f>
        <v>0</v>
      </c>
      <c r="AC1320" s="35"/>
      <c r="AD1320" s="40"/>
    </row>
    <row r="1321" spans="1:30" ht="15.75" customHeight="1" x14ac:dyDescent="0.25">
      <c r="A1321" s="37">
        <v>2015</v>
      </c>
      <c r="B1321" s="35">
        <v>171215</v>
      </c>
      <c r="C1321" s="34" t="s">
        <v>147</v>
      </c>
      <c r="D1321" s="34" t="s">
        <v>73</v>
      </c>
      <c r="E1321" s="35"/>
      <c r="F1321" s="36">
        <f>IFERROR(E1321/$AC1321,0)</f>
        <v>0</v>
      </c>
      <c r="G1321" s="40"/>
      <c r="H1321" s="36">
        <f>IFERROR(G1321/$AD1321,0)</f>
        <v>0</v>
      </c>
      <c r="I1321" s="35"/>
      <c r="J1321" s="36">
        <f>IFERROR(I1321/$AC1321,0)</f>
        <v>0</v>
      </c>
      <c r="K1321" s="40"/>
      <c r="L1321" s="36">
        <f>IFERROR(K1321/$AD1321,0)</f>
        <v>0</v>
      </c>
      <c r="M1321" s="35"/>
      <c r="N1321" s="36">
        <f>IFERROR(M1321/$AC1321,0)</f>
        <v>0</v>
      </c>
      <c r="O1321" s="40"/>
      <c r="P1321" s="36">
        <f>IFERROR(O1321/$AD1321,0)</f>
        <v>0</v>
      </c>
      <c r="Q1321" s="35"/>
      <c r="R1321" s="36">
        <f>IFERROR(Q1321/$AC1321,0)</f>
        <v>0</v>
      </c>
      <c r="S1321" s="40"/>
      <c r="T1321" s="36">
        <f>IFERROR(S1321/$AD1321,0)</f>
        <v>0</v>
      </c>
      <c r="U1321" s="35"/>
      <c r="V1321" s="36">
        <f>IFERROR(U1321/$AC1321,0)</f>
        <v>0</v>
      </c>
      <c r="W1321" s="40"/>
      <c r="X1321" s="36">
        <f>IFERROR(W1321/$AD1321,0)</f>
        <v>0</v>
      </c>
      <c r="Y1321" s="35"/>
      <c r="Z1321" s="36">
        <f>IFERROR(Y1321/$AC1321,0)</f>
        <v>0</v>
      </c>
      <c r="AA1321" s="40"/>
      <c r="AB1321" s="36">
        <f>IFERROR(AA1321/$AD1321,0)</f>
        <v>0</v>
      </c>
      <c r="AC1321" s="35"/>
      <c r="AD1321" s="40"/>
    </row>
    <row r="1322" spans="1:30" ht="15.75" customHeight="1" x14ac:dyDescent="0.25">
      <c r="A1322" s="37">
        <v>2015</v>
      </c>
      <c r="B1322" s="35">
        <v>171240</v>
      </c>
      <c r="C1322" s="34" t="s">
        <v>148</v>
      </c>
      <c r="D1322" s="34" t="s">
        <v>74</v>
      </c>
      <c r="E1322" s="35"/>
      <c r="F1322" s="36">
        <f>IFERROR(E1322/$AC1322,0)</f>
        <v>0</v>
      </c>
      <c r="G1322" s="40"/>
      <c r="H1322" s="36">
        <f>IFERROR(G1322/$AD1322,0)</f>
        <v>0</v>
      </c>
      <c r="I1322" s="35"/>
      <c r="J1322" s="36">
        <f>IFERROR(I1322/$AC1322,0)</f>
        <v>0</v>
      </c>
      <c r="K1322" s="40"/>
      <c r="L1322" s="36">
        <f>IFERROR(K1322/$AD1322,0)</f>
        <v>0</v>
      </c>
      <c r="M1322" s="35"/>
      <c r="N1322" s="36">
        <f>IFERROR(M1322/$AC1322,0)</f>
        <v>0</v>
      </c>
      <c r="O1322" s="40"/>
      <c r="P1322" s="36">
        <f>IFERROR(O1322/$AD1322,0)</f>
        <v>0</v>
      </c>
      <c r="Q1322" s="35"/>
      <c r="R1322" s="36">
        <f>IFERROR(Q1322/$AC1322,0)</f>
        <v>0</v>
      </c>
      <c r="S1322" s="40"/>
      <c r="T1322" s="36">
        <f>IFERROR(S1322/$AD1322,0)</f>
        <v>0</v>
      </c>
      <c r="U1322" s="35"/>
      <c r="V1322" s="36">
        <f>IFERROR(U1322/$AC1322,0)</f>
        <v>0</v>
      </c>
      <c r="W1322" s="40"/>
      <c r="X1322" s="36">
        <f>IFERROR(W1322/$AD1322,0)</f>
        <v>0</v>
      </c>
      <c r="Y1322" s="35"/>
      <c r="Z1322" s="36">
        <f>IFERROR(Y1322/$AC1322,0)</f>
        <v>0</v>
      </c>
      <c r="AA1322" s="40"/>
      <c r="AB1322" s="36">
        <f>IFERROR(AA1322/$AD1322,0)</f>
        <v>0</v>
      </c>
      <c r="AC1322" s="35"/>
      <c r="AD1322" s="40"/>
    </row>
    <row r="1323" spans="1:30" ht="15.75" customHeight="1" x14ac:dyDescent="0.25">
      <c r="A1323" s="37">
        <v>2015</v>
      </c>
      <c r="B1323" s="35">
        <v>171245</v>
      </c>
      <c r="C1323" s="34" t="s">
        <v>145</v>
      </c>
      <c r="D1323" s="34" t="s">
        <v>75</v>
      </c>
      <c r="E1323" s="35"/>
      <c r="F1323" s="36">
        <f>IFERROR(E1323/$AC1323,0)</f>
        <v>0</v>
      </c>
      <c r="G1323" s="40"/>
      <c r="H1323" s="36">
        <f>IFERROR(G1323/$AD1323,0)</f>
        <v>0</v>
      </c>
      <c r="I1323" s="35"/>
      <c r="J1323" s="36">
        <f>IFERROR(I1323/$AC1323,0)</f>
        <v>0</v>
      </c>
      <c r="K1323" s="40"/>
      <c r="L1323" s="36">
        <f>IFERROR(K1323/$AD1323,0)</f>
        <v>0</v>
      </c>
      <c r="M1323" s="35"/>
      <c r="N1323" s="36">
        <f>IFERROR(M1323/$AC1323,0)</f>
        <v>0</v>
      </c>
      <c r="O1323" s="40"/>
      <c r="P1323" s="36">
        <f>IFERROR(O1323/$AD1323,0)</f>
        <v>0</v>
      </c>
      <c r="Q1323" s="35"/>
      <c r="R1323" s="36">
        <f>IFERROR(Q1323/$AC1323,0)</f>
        <v>0</v>
      </c>
      <c r="S1323" s="40"/>
      <c r="T1323" s="36">
        <f>IFERROR(S1323/$AD1323,0)</f>
        <v>0</v>
      </c>
      <c r="U1323" s="35"/>
      <c r="V1323" s="36">
        <f>IFERROR(U1323/$AC1323,0)</f>
        <v>0</v>
      </c>
      <c r="W1323" s="40"/>
      <c r="X1323" s="36">
        <f>IFERROR(W1323/$AD1323,0)</f>
        <v>0</v>
      </c>
      <c r="Y1323" s="35"/>
      <c r="Z1323" s="36">
        <f>IFERROR(Y1323/$AC1323,0)</f>
        <v>0</v>
      </c>
      <c r="AA1323" s="40"/>
      <c r="AB1323" s="36">
        <f>IFERROR(AA1323/$AD1323,0)</f>
        <v>0</v>
      </c>
      <c r="AC1323" s="35"/>
      <c r="AD1323" s="40"/>
    </row>
    <row r="1324" spans="1:30" ht="15.75" customHeight="1" x14ac:dyDescent="0.25">
      <c r="A1324" s="37">
        <v>2015</v>
      </c>
      <c r="B1324" s="35">
        <v>171250</v>
      </c>
      <c r="C1324" s="34" t="s">
        <v>144</v>
      </c>
      <c r="D1324" s="34" t="s">
        <v>76</v>
      </c>
      <c r="E1324" s="35"/>
      <c r="F1324" s="36">
        <f>IFERROR(E1324/$AC1324,0)</f>
        <v>0</v>
      </c>
      <c r="G1324" s="40"/>
      <c r="H1324" s="36">
        <f>IFERROR(G1324/$AD1324,0)</f>
        <v>0</v>
      </c>
      <c r="I1324" s="35"/>
      <c r="J1324" s="36">
        <f>IFERROR(I1324/$AC1324,0)</f>
        <v>0</v>
      </c>
      <c r="K1324" s="40"/>
      <c r="L1324" s="36">
        <f>IFERROR(K1324/$AD1324,0)</f>
        <v>0</v>
      </c>
      <c r="M1324" s="35"/>
      <c r="N1324" s="36">
        <f>IFERROR(M1324/$AC1324,0)</f>
        <v>0</v>
      </c>
      <c r="O1324" s="40"/>
      <c r="P1324" s="36">
        <f>IFERROR(O1324/$AD1324,0)</f>
        <v>0</v>
      </c>
      <c r="Q1324" s="35"/>
      <c r="R1324" s="36">
        <f>IFERROR(Q1324/$AC1324,0)</f>
        <v>0</v>
      </c>
      <c r="S1324" s="40"/>
      <c r="T1324" s="36">
        <f>IFERROR(S1324/$AD1324,0)</f>
        <v>0</v>
      </c>
      <c r="U1324" s="35"/>
      <c r="V1324" s="36">
        <f>IFERROR(U1324/$AC1324,0)</f>
        <v>0</v>
      </c>
      <c r="W1324" s="40"/>
      <c r="X1324" s="36">
        <f>IFERROR(W1324/$AD1324,0)</f>
        <v>0</v>
      </c>
      <c r="Y1324" s="35"/>
      <c r="Z1324" s="36">
        <f>IFERROR(Y1324/$AC1324,0)</f>
        <v>0</v>
      </c>
      <c r="AA1324" s="40"/>
      <c r="AB1324" s="36">
        <f>IFERROR(AA1324/$AD1324,0)</f>
        <v>0</v>
      </c>
      <c r="AC1324" s="35"/>
      <c r="AD1324" s="40"/>
    </row>
    <row r="1325" spans="1:30" ht="15.75" customHeight="1" x14ac:dyDescent="0.25">
      <c r="A1325" s="37">
        <v>2015</v>
      </c>
      <c r="B1325" s="35">
        <v>171270</v>
      </c>
      <c r="C1325" s="34" t="s">
        <v>151</v>
      </c>
      <c r="D1325" s="34" t="s">
        <v>77</v>
      </c>
      <c r="E1325" s="35"/>
      <c r="F1325" s="36">
        <f>IFERROR(E1325/$AC1325,0)</f>
        <v>0</v>
      </c>
      <c r="G1325" s="40"/>
      <c r="H1325" s="36">
        <f>IFERROR(G1325/$AD1325,0)</f>
        <v>0</v>
      </c>
      <c r="I1325" s="35"/>
      <c r="J1325" s="36">
        <f>IFERROR(I1325/$AC1325,0)</f>
        <v>0</v>
      </c>
      <c r="K1325" s="40"/>
      <c r="L1325" s="36">
        <f>IFERROR(K1325/$AD1325,0)</f>
        <v>0</v>
      </c>
      <c r="M1325" s="35"/>
      <c r="N1325" s="36">
        <f>IFERROR(M1325/$AC1325,0)</f>
        <v>0</v>
      </c>
      <c r="O1325" s="40"/>
      <c r="P1325" s="36">
        <f>IFERROR(O1325/$AD1325,0)</f>
        <v>0</v>
      </c>
      <c r="Q1325" s="35"/>
      <c r="R1325" s="36">
        <f>IFERROR(Q1325/$AC1325,0)</f>
        <v>0</v>
      </c>
      <c r="S1325" s="40"/>
      <c r="T1325" s="36">
        <f>IFERROR(S1325/$AD1325,0)</f>
        <v>0</v>
      </c>
      <c r="U1325" s="35"/>
      <c r="V1325" s="36">
        <f>IFERROR(U1325/$AC1325,0)</f>
        <v>0</v>
      </c>
      <c r="W1325" s="40"/>
      <c r="X1325" s="36">
        <f>IFERROR(W1325/$AD1325,0)</f>
        <v>0</v>
      </c>
      <c r="Y1325" s="35"/>
      <c r="Z1325" s="36">
        <f>IFERROR(Y1325/$AC1325,0)</f>
        <v>0</v>
      </c>
      <c r="AA1325" s="40"/>
      <c r="AB1325" s="36">
        <f>IFERROR(AA1325/$AD1325,0)</f>
        <v>0</v>
      </c>
      <c r="AC1325" s="35"/>
      <c r="AD1325" s="40"/>
    </row>
    <row r="1326" spans="1:30" ht="15.75" customHeight="1" x14ac:dyDescent="0.25">
      <c r="A1326" s="37">
        <v>2015</v>
      </c>
      <c r="B1326" s="35">
        <v>171280</v>
      </c>
      <c r="C1326" s="34" t="s">
        <v>145</v>
      </c>
      <c r="D1326" s="34" t="s">
        <v>78</v>
      </c>
      <c r="E1326" s="35"/>
      <c r="F1326" s="36">
        <f>IFERROR(E1326/$AC1326,0)</f>
        <v>0</v>
      </c>
      <c r="G1326" s="40"/>
      <c r="H1326" s="36">
        <f>IFERROR(G1326/$AD1326,0)</f>
        <v>0</v>
      </c>
      <c r="I1326" s="35"/>
      <c r="J1326" s="36">
        <f>IFERROR(I1326/$AC1326,0)</f>
        <v>0</v>
      </c>
      <c r="K1326" s="40"/>
      <c r="L1326" s="36">
        <f>IFERROR(K1326/$AD1326,0)</f>
        <v>0</v>
      </c>
      <c r="M1326" s="35"/>
      <c r="N1326" s="36">
        <f>IFERROR(M1326/$AC1326,0)</f>
        <v>0</v>
      </c>
      <c r="O1326" s="40"/>
      <c r="P1326" s="36">
        <f>IFERROR(O1326/$AD1326,0)</f>
        <v>0</v>
      </c>
      <c r="Q1326" s="35"/>
      <c r="R1326" s="36">
        <f>IFERROR(Q1326/$AC1326,0)</f>
        <v>0</v>
      </c>
      <c r="S1326" s="40"/>
      <c r="T1326" s="36">
        <f>IFERROR(S1326/$AD1326,0)</f>
        <v>0</v>
      </c>
      <c r="U1326" s="35"/>
      <c r="V1326" s="36">
        <f>IFERROR(U1326/$AC1326,0)</f>
        <v>0</v>
      </c>
      <c r="W1326" s="40"/>
      <c r="X1326" s="36">
        <f>IFERROR(W1326/$AD1326,0)</f>
        <v>0</v>
      </c>
      <c r="Y1326" s="35"/>
      <c r="Z1326" s="36">
        <f>IFERROR(Y1326/$AC1326,0)</f>
        <v>0</v>
      </c>
      <c r="AA1326" s="40"/>
      <c r="AB1326" s="36">
        <f>IFERROR(AA1326/$AD1326,0)</f>
        <v>0</v>
      </c>
      <c r="AC1326" s="35"/>
      <c r="AD1326" s="40"/>
    </row>
    <row r="1327" spans="1:30" ht="15.75" customHeight="1" x14ac:dyDescent="0.25">
      <c r="A1327" s="37">
        <v>2015</v>
      </c>
      <c r="B1327" s="35">
        <v>171320</v>
      </c>
      <c r="C1327" s="34" t="s">
        <v>148</v>
      </c>
      <c r="D1327" s="34" t="s">
        <v>79</v>
      </c>
      <c r="E1327" s="35"/>
      <c r="F1327" s="36">
        <f>IFERROR(E1327/$AC1327,0)</f>
        <v>0</v>
      </c>
      <c r="G1327" s="40"/>
      <c r="H1327" s="36">
        <f>IFERROR(G1327/$AD1327,0)</f>
        <v>0</v>
      </c>
      <c r="I1327" s="35"/>
      <c r="J1327" s="36">
        <f>IFERROR(I1327/$AC1327,0)</f>
        <v>0</v>
      </c>
      <c r="K1327" s="40"/>
      <c r="L1327" s="36">
        <f>IFERROR(K1327/$AD1327,0)</f>
        <v>0</v>
      </c>
      <c r="M1327" s="35"/>
      <c r="N1327" s="36">
        <f>IFERROR(M1327/$AC1327,0)</f>
        <v>0</v>
      </c>
      <c r="O1327" s="40"/>
      <c r="P1327" s="36">
        <f>IFERROR(O1327/$AD1327,0)</f>
        <v>0</v>
      </c>
      <c r="Q1327" s="35"/>
      <c r="R1327" s="36">
        <f>IFERROR(Q1327/$AC1327,0)</f>
        <v>0</v>
      </c>
      <c r="S1327" s="40"/>
      <c r="T1327" s="36">
        <f>IFERROR(S1327/$AD1327,0)</f>
        <v>0</v>
      </c>
      <c r="U1327" s="35"/>
      <c r="V1327" s="36">
        <f>IFERROR(U1327/$AC1327,0)</f>
        <v>0</v>
      </c>
      <c r="W1327" s="40"/>
      <c r="X1327" s="36">
        <f>IFERROR(W1327/$AD1327,0)</f>
        <v>0</v>
      </c>
      <c r="Y1327" s="35"/>
      <c r="Z1327" s="36">
        <f>IFERROR(Y1327/$AC1327,0)</f>
        <v>0</v>
      </c>
      <c r="AA1327" s="40"/>
      <c r="AB1327" s="36">
        <f>IFERROR(AA1327/$AD1327,0)</f>
        <v>0</v>
      </c>
      <c r="AC1327" s="35"/>
      <c r="AD1327" s="40"/>
    </row>
    <row r="1328" spans="1:30" ht="15.75" customHeight="1" x14ac:dyDescent="0.25">
      <c r="A1328" s="37">
        <v>2015</v>
      </c>
      <c r="B1328" s="35">
        <v>171330</v>
      </c>
      <c r="C1328" s="34" t="s">
        <v>148</v>
      </c>
      <c r="D1328" s="34" t="s">
        <v>80</v>
      </c>
      <c r="E1328" s="35"/>
      <c r="F1328" s="36">
        <f>IFERROR(E1328/$AC1328,0)</f>
        <v>0</v>
      </c>
      <c r="G1328" s="40"/>
      <c r="H1328" s="36">
        <f>IFERROR(G1328/$AD1328,0)</f>
        <v>0</v>
      </c>
      <c r="I1328" s="35"/>
      <c r="J1328" s="36">
        <f>IFERROR(I1328/$AC1328,0)</f>
        <v>0</v>
      </c>
      <c r="K1328" s="40"/>
      <c r="L1328" s="36">
        <f>IFERROR(K1328/$AD1328,0)</f>
        <v>0</v>
      </c>
      <c r="M1328" s="35"/>
      <c r="N1328" s="36">
        <f>IFERROR(M1328/$AC1328,0)</f>
        <v>0</v>
      </c>
      <c r="O1328" s="40"/>
      <c r="P1328" s="36">
        <f>IFERROR(O1328/$AD1328,0)</f>
        <v>0</v>
      </c>
      <c r="Q1328" s="35"/>
      <c r="R1328" s="36">
        <f>IFERROR(Q1328/$AC1328,0)</f>
        <v>0</v>
      </c>
      <c r="S1328" s="40"/>
      <c r="T1328" s="36">
        <f>IFERROR(S1328/$AD1328,0)</f>
        <v>0</v>
      </c>
      <c r="U1328" s="35"/>
      <c r="V1328" s="36">
        <f>IFERROR(U1328/$AC1328,0)</f>
        <v>0</v>
      </c>
      <c r="W1328" s="40"/>
      <c r="X1328" s="36">
        <f>IFERROR(W1328/$AD1328,0)</f>
        <v>0</v>
      </c>
      <c r="Y1328" s="35"/>
      <c r="Z1328" s="36">
        <f>IFERROR(Y1328/$AC1328,0)</f>
        <v>0</v>
      </c>
      <c r="AA1328" s="40"/>
      <c r="AB1328" s="36">
        <f>IFERROR(AA1328/$AD1328,0)</f>
        <v>0</v>
      </c>
      <c r="AC1328" s="35"/>
      <c r="AD1328" s="40"/>
    </row>
    <row r="1329" spans="1:30" ht="15.75" customHeight="1" x14ac:dyDescent="0.25">
      <c r="A1329" s="37">
        <v>2015</v>
      </c>
      <c r="B1329" s="35">
        <v>171360</v>
      </c>
      <c r="C1329" s="34" t="s">
        <v>151</v>
      </c>
      <c r="D1329" s="34" t="s">
        <v>81</v>
      </c>
      <c r="E1329" s="35"/>
      <c r="F1329" s="36">
        <f>IFERROR(E1329/$AC1329,0)</f>
        <v>0</v>
      </c>
      <c r="G1329" s="40"/>
      <c r="H1329" s="36">
        <f>IFERROR(G1329/$AD1329,0)</f>
        <v>0</v>
      </c>
      <c r="I1329" s="35"/>
      <c r="J1329" s="36">
        <f>IFERROR(I1329/$AC1329,0)</f>
        <v>0</v>
      </c>
      <c r="K1329" s="40"/>
      <c r="L1329" s="36">
        <f>IFERROR(K1329/$AD1329,0)</f>
        <v>0</v>
      </c>
      <c r="M1329" s="35"/>
      <c r="N1329" s="36">
        <f>IFERROR(M1329/$AC1329,0)</f>
        <v>0</v>
      </c>
      <c r="O1329" s="40"/>
      <c r="P1329" s="36">
        <f>IFERROR(O1329/$AD1329,0)</f>
        <v>0</v>
      </c>
      <c r="Q1329" s="35"/>
      <c r="R1329" s="36">
        <f>IFERROR(Q1329/$AC1329,0)</f>
        <v>0</v>
      </c>
      <c r="S1329" s="40"/>
      <c r="T1329" s="36">
        <f>IFERROR(S1329/$AD1329,0)</f>
        <v>0</v>
      </c>
      <c r="U1329" s="35"/>
      <c r="V1329" s="36">
        <f>IFERROR(U1329/$AC1329,0)</f>
        <v>0</v>
      </c>
      <c r="W1329" s="40"/>
      <c r="X1329" s="36">
        <f>IFERROR(W1329/$AD1329,0)</f>
        <v>0</v>
      </c>
      <c r="Y1329" s="35"/>
      <c r="Z1329" s="36">
        <f>IFERROR(Y1329/$AC1329,0)</f>
        <v>0</v>
      </c>
      <c r="AA1329" s="40"/>
      <c r="AB1329" s="36">
        <f>IFERROR(AA1329/$AD1329,0)</f>
        <v>0</v>
      </c>
      <c r="AC1329" s="35"/>
      <c r="AD1329" s="40"/>
    </row>
    <row r="1330" spans="1:30" ht="15.75" customHeight="1" x14ac:dyDescent="0.25">
      <c r="A1330" s="37">
        <v>2015</v>
      </c>
      <c r="B1330" s="35">
        <v>171370</v>
      </c>
      <c r="C1330" s="34" t="s">
        <v>144</v>
      </c>
      <c r="D1330" s="34" t="s">
        <v>82</v>
      </c>
      <c r="E1330" s="35"/>
      <c r="F1330" s="36">
        <f>IFERROR(E1330/$AC1330,0)</f>
        <v>0</v>
      </c>
      <c r="G1330" s="40"/>
      <c r="H1330" s="36">
        <f>IFERROR(G1330/$AD1330,0)</f>
        <v>0</v>
      </c>
      <c r="I1330" s="35"/>
      <c r="J1330" s="36">
        <f>IFERROR(I1330/$AC1330,0)</f>
        <v>0</v>
      </c>
      <c r="K1330" s="40"/>
      <c r="L1330" s="36">
        <f>IFERROR(K1330/$AD1330,0)</f>
        <v>0</v>
      </c>
      <c r="M1330" s="35"/>
      <c r="N1330" s="36">
        <f>IFERROR(M1330/$AC1330,0)</f>
        <v>0</v>
      </c>
      <c r="O1330" s="40"/>
      <c r="P1330" s="36">
        <f>IFERROR(O1330/$AD1330,0)</f>
        <v>0</v>
      </c>
      <c r="Q1330" s="35"/>
      <c r="R1330" s="36">
        <f>IFERROR(Q1330/$AC1330,0)</f>
        <v>0</v>
      </c>
      <c r="S1330" s="40"/>
      <c r="T1330" s="36">
        <f>IFERROR(S1330/$AD1330,0)</f>
        <v>0</v>
      </c>
      <c r="U1330" s="35"/>
      <c r="V1330" s="36">
        <f>IFERROR(U1330/$AC1330,0)</f>
        <v>0</v>
      </c>
      <c r="W1330" s="40"/>
      <c r="X1330" s="36">
        <f>IFERROR(W1330/$AD1330,0)</f>
        <v>0</v>
      </c>
      <c r="Y1330" s="35"/>
      <c r="Z1330" s="36">
        <f>IFERROR(Y1330/$AC1330,0)</f>
        <v>0</v>
      </c>
      <c r="AA1330" s="40"/>
      <c r="AB1330" s="36">
        <f>IFERROR(AA1330/$AD1330,0)</f>
        <v>0</v>
      </c>
      <c r="AC1330" s="35"/>
      <c r="AD1330" s="40"/>
    </row>
    <row r="1331" spans="1:30" ht="15.75" customHeight="1" x14ac:dyDescent="0.25">
      <c r="A1331" s="37">
        <v>2015</v>
      </c>
      <c r="B1331" s="35">
        <v>171395</v>
      </c>
      <c r="C1331" s="34" t="s">
        <v>149</v>
      </c>
      <c r="D1331" s="34" t="s">
        <v>83</v>
      </c>
      <c r="E1331" s="35"/>
      <c r="F1331" s="36">
        <f>IFERROR(E1331/$AC1331,0)</f>
        <v>0</v>
      </c>
      <c r="G1331" s="40"/>
      <c r="H1331" s="36">
        <f>IFERROR(G1331/$AD1331,0)</f>
        <v>0</v>
      </c>
      <c r="I1331" s="35"/>
      <c r="J1331" s="36">
        <f>IFERROR(I1331/$AC1331,0)</f>
        <v>0</v>
      </c>
      <c r="K1331" s="40"/>
      <c r="L1331" s="36">
        <f>IFERROR(K1331/$AD1331,0)</f>
        <v>0</v>
      </c>
      <c r="M1331" s="35"/>
      <c r="N1331" s="36">
        <f>IFERROR(M1331/$AC1331,0)</f>
        <v>0</v>
      </c>
      <c r="O1331" s="40"/>
      <c r="P1331" s="36">
        <f>IFERROR(O1331/$AD1331,0)</f>
        <v>0</v>
      </c>
      <c r="Q1331" s="35"/>
      <c r="R1331" s="36">
        <f>IFERROR(Q1331/$AC1331,0)</f>
        <v>0</v>
      </c>
      <c r="S1331" s="40"/>
      <c r="T1331" s="36">
        <f>IFERROR(S1331/$AD1331,0)</f>
        <v>0</v>
      </c>
      <c r="U1331" s="35"/>
      <c r="V1331" s="36">
        <f>IFERROR(U1331/$AC1331,0)</f>
        <v>0</v>
      </c>
      <c r="W1331" s="40"/>
      <c r="X1331" s="36">
        <f>IFERROR(W1331/$AD1331,0)</f>
        <v>0</v>
      </c>
      <c r="Y1331" s="35"/>
      <c r="Z1331" s="36">
        <f>IFERROR(Y1331/$AC1331,0)</f>
        <v>0</v>
      </c>
      <c r="AA1331" s="40"/>
      <c r="AB1331" s="36">
        <f>IFERROR(AA1331/$AD1331,0)</f>
        <v>0</v>
      </c>
      <c r="AC1331" s="35"/>
      <c r="AD1331" s="40"/>
    </row>
    <row r="1332" spans="1:30" ht="15.75" customHeight="1" x14ac:dyDescent="0.25">
      <c r="A1332" s="37">
        <v>2015</v>
      </c>
      <c r="B1332" s="35">
        <v>171420</v>
      </c>
      <c r="C1332" s="34" t="s">
        <v>151</v>
      </c>
      <c r="D1332" s="34" t="s">
        <v>84</v>
      </c>
      <c r="E1332" s="35"/>
      <c r="F1332" s="36">
        <f>IFERROR(E1332/$AC1332,0)</f>
        <v>0</v>
      </c>
      <c r="G1332" s="40"/>
      <c r="H1332" s="36">
        <f>IFERROR(G1332/$AD1332,0)</f>
        <v>0</v>
      </c>
      <c r="I1332" s="35"/>
      <c r="J1332" s="36">
        <f>IFERROR(I1332/$AC1332,0)</f>
        <v>0</v>
      </c>
      <c r="K1332" s="40"/>
      <c r="L1332" s="36">
        <f>IFERROR(K1332/$AD1332,0)</f>
        <v>0</v>
      </c>
      <c r="M1332" s="35"/>
      <c r="N1332" s="36">
        <f>IFERROR(M1332/$AC1332,0)</f>
        <v>0</v>
      </c>
      <c r="O1332" s="40"/>
      <c r="P1332" s="36">
        <f>IFERROR(O1332/$AD1332,0)</f>
        <v>0</v>
      </c>
      <c r="Q1332" s="35"/>
      <c r="R1332" s="36">
        <f>IFERROR(Q1332/$AC1332,0)</f>
        <v>0</v>
      </c>
      <c r="S1332" s="40"/>
      <c r="T1332" s="36">
        <f>IFERROR(S1332/$AD1332,0)</f>
        <v>0</v>
      </c>
      <c r="U1332" s="35"/>
      <c r="V1332" s="36">
        <f>IFERROR(U1332/$AC1332,0)</f>
        <v>0</v>
      </c>
      <c r="W1332" s="40"/>
      <c r="X1332" s="36">
        <f>IFERROR(W1332/$AD1332,0)</f>
        <v>0</v>
      </c>
      <c r="Y1332" s="35"/>
      <c r="Z1332" s="36">
        <f>IFERROR(Y1332/$AC1332,0)</f>
        <v>0</v>
      </c>
      <c r="AA1332" s="40"/>
      <c r="AB1332" s="36">
        <f>IFERROR(AA1332/$AD1332,0)</f>
        <v>0</v>
      </c>
      <c r="AC1332" s="35"/>
      <c r="AD1332" s="40"/>
    </row>
    <row r="1333" spans="1:30" ht="15.75" customHeight="1" x14ac:dyDescent="0.25">
      <c r="A1333" s="37">
        <v>2015</v>
      </c>
      <c r="B1333" s="35">
        <v>171430</v>
      </c>
      <c r="C1333" s="34" t="s">
        <v>145</v>
      </c>
      <c r="D1333" s="34" t="s">
        <v>85</v>
      </c>
      <c r="E1333" s="35"/>
      <c r="F1333" s="36">
        <f>IFERROR(E1333/$AC1333,0)</f>
        <v>0</v>
      </c>
      <c r="G1333" s="40"/>
      <c r="H1333" s="36">
        <f>IFERROR(G1333/$AD1333,0)</f>
        <v>0</v>
      </c>
      <c r="I1333" s="35"/>
      <c r="J1333" s="36">
        <f>IFERROR(I1333/$AC1333,0)</f>
        <v>0</v>
      </c>
      <c r="K1333" s="40"/>
      <c r="L1333" s="36">
        <f>IFERROR(K1333/$AD1333,0)</f>
        <v>0</v>
      </c>
      <c r="M1333" s="35"/>
      <c r="N1333" s="36">
        <f>IFERROR(M1333/$AC1333,0)</f>
        <v>0</v>
      </c>
      <c r="O1333" s="40"/>
      <c r="P1333" s="36">
        <f>IFERROR(O1333/$AD1333,0)</f>
        <v>0</v>
      </c>
      <c r="Q1333" s="35"/>
      <c r="R1333" s="36">
        <f>IFERROR(Q1333/$AC1333,0)</f>
        <v>0</v>
      </c>
      <c r="S1333" s="40"/>
      <c r="T1333" s="36">
        <f>IFERROR(S1333/$AD1333,0)</f>
        <v>0</v>
      </c>
      <c r="U1333" s="35"/>
      <c r="V1333" s="36">
        <f>IFERROR(U1333/$AC1333,0)</f>
        <v>0</v>
      </c>
      <c r="W1333" s="40"/>
      <c r="X1333" s="36">
        <f>IFERROR(W1333/$AD1333,0)</f>
        <v>0</v>
      </c>
      <c r="Y1333" s="35"/>
      <c r="Z1333" s="36">
        <f>IFERROR(Y1333/$AC1333,0)</f>
        <v>0</v>
      </c>
      <c r="AA1333" s="40"/>
      <c r="AB1333" s="36">
        <f>IFERROR(AA1333/$AD1333,0)</f>
        <v>0</v>
      </c>
      <c r="AC1333" s="35"/>
      <c r="AD1333" s="40"/>
    </row>
    <row r="1334" spans="1:30" ht="15.75" customHeight="1" x14ac:dyDescent="0.25">
      <c r="A1334" s="37">
        <v>2015</v>
      </c>
      <c r="B1334" s="35">
        <v>171488</v>
      </c>
      <c r="C1334" s="34" t="s">
        <v>149</v>
      </c>
      <c r="D1334" s="34" t="s">
        <v>86</v>
      </c>
      <c r="E1334" s="35"/>
      <c r="F1334" s="36">
        <f>IFERROR(E1334/$AC1334,0)</f>
        <v>0</v>
      </c>
      <c r="G1334" s="40"/>
      <c r="H1334" s="36">
        <f>IFERROR(G1334/$AD1334,0)</f>
        <v>0</v>
      </c>
      <c r="I1334" s="35"/>
      <c r="J1334" s="36">
        <f>IFERROR(I1334/$AC1334,0)</f>
        <v>0</v>
      </c>
      <c r="K1334" s="40"/>
      <c r="L1334" s="36">
        <f>IFERROR(K1334/$AD1334,0)</f>
        <v>0</v>
      </c>
      <c r="M1334" s="35"/>
      <c r="N1334" s="36">
        <f>IFERROR(M1334/$AC1334,0)</f>
        <v>0</v>
      </c>
      <c r="O1334" s="40"/>
      <c r="P1334" s="36">
        <f>IFERROR(O1334/$AD1334,0)</f>
        <v>0</v>
      </c>
      <c r="Q1334" s="35"/>
      <c r="R1334" s="36">
        <f>IFERROR(Q1334/$AC1334,0)</f>
        <v>0</v>
      </c>
      <c r="S1334" s="40"/>
      <c r="T1334" s="36">
        <f>IFERROR(S1334/$AD1334,0)</f>
        <v>0</v>
      </c>
      <c r="U1334" s="35"/>
      <c r="V1334" s="36">
        <f>IFERROR(U1334/$AC1334,0)</f>
        <v>0</v>
      </c>
      <c r="W1334" s="40"/>
      <c r="X1334" s="36">
        <f>IFERROR(W1334/$AD1334,0)</f>
        <v>0</v>
      </c>
      <c r="Y1334" s="35"/>
      <c r="Z1334" s="36">
        <f>IFERROR(Y1334/$AC1334,0)</f>
        <v>0</v>
      </c>
      <c r="AA1334" s="40"/>
      <c r="AB1334" s="36">
        <f>IFERROR(AA1334/$AD1334,0)</f>
        <v>0</v>
      </c>
      <c r="AC1334" s="35"/>
      <c r="AD1334" s="40"/>
    </row>
    <row r="1335" spans="1:30" ht="15.75" customHeight="1" x14ac:dyDescent="0.25">
      <c r="A1335" s="37">
        <v>2015</v>
      </c>
      <c r="B1335" s="35">
        <v>171500</v>
      </c>
      <c r="C1335" s="34" t="s">
        <v>144</v>
      </c>
      <c r="D1335" s="34" t="s">
        <v>87</v>
      </c>
      <c r="E1335" s="35"/>
      <c r="F1335" s="36">
        <f>IFERROR(E1335/$AC1335,0)</f>
        <v>0</v>
      </c>
      <c r="G1335" s="40"/>
      <c r="H1335" s="36">
        <f>IFERROR(G1335/$AD1335,0)</f>
        <v>0</v>
      </c>
      <c r="I1335" s="35"/>
      <c r="J1335" s="36">
        <f>IFERROR(I1335/$AC1335,0)</f>
        <v>0</v>
      </c>
      <c r="K1335" s="40"/>
      <c r="L1335" s="36">
        <f>IFERROR(K1335/$AD1335,0)</f>
        <v>0</v>
      </c>
      <c r="M1335" s="35"/>
      <c r="N1335" s="36">
        <f>IFERROR(M1335/$AC1335,0)</f>
        <v>0</v>
      </c>
      <c r="O1335" s="40"/>
      <c r="P1335" s="36">
        <f>IFERROR(O1335/$AD1335,0)</f>
        <v>0</v>
      </c>
      <c r="Q1335" s="35"/>
      <c r="R1335" s="36">
        <f>IFERROR(Q1335/$AC1335,0)</f>
        <v>0</v>
      </c>
      <c r="S1335" s="40"/>
      <c r="T1335" s="36">
        <f>IFERROR(S1335/$AD1335,0)</f>
        <v>0</v>
      </c>
      <c r="U1335" s="35"/>
      <c r="V1335" s="36">
        <f>IFERROR(U1335/$AC1335,0)</f>
        <v>0</v>
      </c>
      <c r="W1335" s="40"/>
      <c r="X1335" s="36">
        <f>IFERROR(W1335/$AD1335,0)</f>
        <v>0</v>
      </c>
      <c r="Y1335" s="35"/>
      <c r="Z1335" s="36">
        <f>IFERROR(Y1335/$AC1335,0)</f>
        <v>0</v>
      </c>
      <c r="AA1335" s="40"/>
      <c r="AB1335" s="36">
        <f>IFERROR(AA1335/$AD1335,0)</f>
        <v>0</v>
      </c>
      <c r="AC1335" s="35"/>
      <c r="AD1335" s="40"/>
    </row>
    <row r="1336" spans="1:30" ht="15.75" customHeight="1" x14ac:dyDescent="0.25">
      <c r="A1336" s="37">
        <v>2015</v>
      </c>
      <c r="B1336" s="35">
        <v>171510</v>
      </c>
      <c r="C1336" s="34" t="s">
        <v>148</v>
      </c>
      <c r="D1336" s="34" t="s">
        <v>88</v>
      </c>
      <c r="E1336" s="35"/>
      <c r="F1336" s="36">
        <f>IFERROR(E1336/$AC1336,0)</f>
        <v>0</v>
      </c>
      <c r="G1336" s="40"/>
      <c r="H1336" s="36">
        <f>IFERROR(G1336/$AD1336,0)</f>
        <v>0</v>
      </c>
      <c r="I1336" s="35"/>
      <c r="J1336" s="36">
        <f>IFERROR(I1336/$AC1336,0)</f>
        <v>0</v>
      </c>
      <c r="K1336" s="40"/>
      <c r="L1336" s="36">
        <f>IFERROR(K1336/$AD1336,0)</f>
        <v>0</v>
      </c>
      <c r="M1336" s="35"/>
      <c r="N1336" s="36">
        <f>IFERROR(M1336/$AC1336,0)</f>
        <v>0</v>
      </c>
      <c r="O1336" s="40"/>
      <c r="P1336" s="36">
        <f>IFERROR(O1336/$AD1336,0)</f>
        <v>0</v>
      </c>
      <c r="Q1336" s="35"/>
      <c r="R1336" s="36">
        <f>IFERROR(Q1336/$AC1336,0)</f>
        <v>0</v>
      </c>
      <c r="S1336" s="40"/>
      <c r="T1336" s="36">
        <f>IFERROR(S1336/$AD1336,0)</f>
        <v>0</v>
      </c>
      <c r="U1336" s="35"/>
      <c r="V1336" s="36">
        <f>IFERROR(U1336/$AC1336,0)</f>
        <v>0</v>
      </c>
      <c r="W1336" s="40"/>
      <c r="X1336" s="36">
        <f>IFERROR(W1336/$AD1336,0)</f>
        <v>0</v>
      </c>
      <c r="Y1336" s="35"/>
      <c r="Z1336" s="36">
        <f>IFERROR(Y1336/$AC1336,0)</f>
        <v>0</v>
      </c>
      <c r="AA1336" s="40"/>
      <c r="AB1336" s="36">
        <f>IFERROR(AA1336/$AD1336,0)</f>
        <v>0</v>
      </c>
      <c r="AC1336" s="35"/>
      <c r="AD1336" s="40"/>
    </row>
    <row r="1337" spans="1:30" ht="15.75" customHeight="1" x14ac:dyDescent="0.25">
      <c r="A1337" s="37">
        <v>2015</v>
      </c>
      <c r="B1337" s="35">
        <v>171515</v>
      </c>
      <c r="C1337" s="34" t="s">
        <v>147</v>
      </c>
      <c r="D1337" s="34" t="s">
        <v>89</v>
      </c>
      <c r="E1337" s="35"/>
      <c r="F1337" s="36">
        <f>IFERROR(E1337/$AC1337,0)</f>
        <v>0</v>
      </c>
      <c r="G1337" s="40"/>
      <c r="H1337" s="36">
        <f>IFERROR(G1337/$AD1337,0)</f>
        <v>0</v>
      </c>
      <c r="I1337" s="35"/>
      <c r="J1337" s="36">
        <f>IFERROR(I1337/$AC1337,0)</f>
        <v>0</v>
      </c>
      <c r="K1337" s="40"/>
      <c r="L1337" s="36">
        <f>IFERROR(K1337/$AD1337,0)</f>
        <v>0</v>
      </c>
      <c r="M1337" s="35"/>
      <c r="N1337" s="36">
        <f>IFERROR(M1337/$AC1337,0)</f>
        <v>0</v>
      </c>
      <c r="O1337" s="40"/>
      <c r="P1337" s="36">
        <f>IFERROR(O1337/$AD1337,0)</f>
        <v>0</v>
      </c>
      <c r="Q1337" s="35"/>
      <c r="R1337" s="36">
        <f>IFERROR(Q1337/$AC1337,0)</f>
        <v>0</v>
      </c>
      <c r="S1337" s="40"/>
      <c r="T1337" s="36">
        <f>IFERROR(S1337/$AD1337,0)</f>
        <v>0</v>
      </c>
      <c r="U1337" s="35"/>
      <c r="V1337" s="36">
        <f>IFERROR(U1337/$AC1337,0)</f>
        <v>0</v>
      </c>
      <c r="W1337" s="40"/>
      <c r="X1337" s="36">
        <f>IFERROR(W1337/$AD1337,0)</f>
        <v>0</v>
      </c>
      <c r="Y1337" s="35"/>
      <c r="Z1337" s="36">
        <f>IFERROR(Y1337/$AC1337,0)</f>
        <v>0</v>
      </c>
      <c r="AA1337" s="40"/>
      <c r="AB1337" s="36">
        <f>IFERROR(AA1337/$AD1337,0)</f>
        <v>0</v>
      </c>
      <c r="AC1337" s="35"/>
      <c r="AD1337" s="40"/>
    </row>
    <row r="1338" spans="1:30" ht="15.75" customHeight="1" x14ac:dyDescent="0.25">
      <c r="A1338" s="37">
        <v>2015</v>
      </c>
      <c r="B1338" s="35">
        <v>171525</v>
      </c>
      <c r="C1338" s="34" t="s">
        <v>147</v>
      </c>
      <c r="D1338" s="34" t="s">
        <v>90</v>
      </c>
      <c r="E1338" s="35"/>
      <c r="F1338" s="36">
        <f>IFERROR(E1338/$AC1338,0)</f>
        <v>0</v>
      </c>
      <c r="G1338" s="40"/>
      <c r="H1338" s="36">
        <f>IFERROR(G1338/$AD1338,0)</f>
        <v>0</v>
      </c>
      <c r="I1338" s="35"/>
      <c r="J1338" s="36">
        <f>IFERROR(I1338/$AC1338,0)</f>
        <v>0</v>
      </c>
      <c r="K1338" s="40"/>
      <c r="L1338" s="36">
        <f>IFERROR(K1338/$AD1338,0)</f>
        <v>0</v>
      </c>
      <c r="M1338" s="35"/>
      <c r="N1338" s="36">
        <f>IFERROR(M1338/$AC1338,0)</f>
        <v>0</v>
      </c>
      <c r="O1338" s="40"/>
      <c r="P1338" s="36">
        <f>IFERROR(O1338/$AD1338,0)</f>
        <v>0</v>
      </c>
      <c r="Q1338" s="35"/>
      <c r="R1338" s="36">
        <f>IFERROR(Q1338/$AC1338,0)</f>
        <v>0</v>
      </c>
      <c r="S1338" s="40"/>
      <c r="T1338" s="36">
        <f>IFERROR(S1338/$AD1338,0)</f>
        <v>0</v>
      </c>
      <c r="U1338" s="35"/>
      <c r="V1338" s="36">
        <f>IFERROR(U1338/$AC1338,0)</f>
        <v>0</v>
      </c>
      <c r="W1338" s="40"/>
      <c r="X1338" s="36">
        <f>IFERROR(W1338/$AD1338,0)</f>
        <v>0</v>
      </c>
      <c r="Y1338" s="35"/>
      <c r="Z1338" s="36">
        <f>IFERROR(Y1338/$AC1338,0)</f>
        <v>0</v>
      </c>
      <c r="AA1338" s="40"/>
      <c r="AB1338" s="36">
        <f>IFERROR(AA1338/$AD1338,0)</f>
        <v>0</v>
      </c>
      <c r="AC1338" s="35"/>
      <c r="AD1338" s="40"/>
    </row>
    <row r="1339" spans="1:30" ht="15.75" customHeight="1" x14ac:dyDescent="0.25">
      <c r="A1339" s="37">
        <v>2015</v>
      </c>
      <c r="B1339" s="35">
        <v>171550</v>
      </c>
      <c r="C1339" s="34" t="s">
        <v>151</v>
      </c>
      <c r="D1339" s="34" t="s">
        <v>91</v>
      </c>
      <c r="E1339" s="35"/>
      <c r="F1339" s="36">
        <f>IFERROR(E1339/$AC1339,0)</f>
        <v>0</v>
      </c>
      <c r="G1339" s="40"/>
      <c r="H1339" s="36">
        <f>IFERROR(G1339/$AD1339,0)</f>
        <v>0</v>
      </c>
      <c r="I1339" s="35"/>
      <c r="J1339" s="36">
        <f>IFERROR(I1339/$AC1339,0)</f>
        <v>0</v>
      </c>
      <c r="K1339" s="40"/>
      <c r="L1339" s="36">
        <f>IFERROR(K1339/$AD1339,0)</f>
        <v>0</v>
      </c>
      <c r="M1339" s="35"/>
      <c r="N1339" s="36">
        <f>IFERROR(M1339/$AC1339,0)</f>
        <v>0</v>
      </c>
      <c r="O1339" s="40"/>
      <c r="P1339" s="36">
        <f>IFERROR(O1339/$AD1339,0)</f>
        <v>0</v>
      </c>
      <c r="Q1339" s="35"/>
      <c r="R1339" s="36">
        <f>IFERROR(Q1339/$AC1339,0)</f>
        <v>0</v>
      </c>
      <c r="S1339" s="40"/>
      <c r="T1339" s="36">
        <f>IFERROR(S1339/$AD1339,0)</f>
        <v>0</v>
      </c>
      <c r="U1339" s="35"/>
      <c r="V1339" s="36">
        <f>IFERROR(U1339/$AC1339,0)</f>
        <v>0</v>
      </c>
      <c r="W1339" s="40"/>
      <c r="X1339" s="36">
        <f>IFERROR(W1339/$AD1339,0)</f>
        <v>0</v>
      </c>
      <c r="Y1339" s="35"/>
      <c r="Z1339" s="36">
        <f>IFERROR(Y1339/$AC1339,0)</f>
        <v>0</v>
      </c>
      <c r="AA1339" s="40"/>
      <c r="AB1339" s="36">
        <f>IFERROR(AA1339/$AD1339,0)</f>
        <v>0</v>
      </c>
      <c r="AC1339" s="35"/>
      <c r="AD1339" s="40"/>
    </row>
    <row r="1340" spans="1:30" ht="15.75" customHeight="1" x14ac:dyDescent="0.25">
      <c r="A1340" s="37">
        <v>2015</v>
      </c>
      <c r="B1340" s="35">
        <v>172100</v>
      </c>
      <c r="C1340" s="34" t="s">
        <v>148</v>
      </c>
      <c r="D1340" s="34" t="s">
        <v>92</v>
      </c>
      <c r="E1340" s="35"/>
      <c r="F1340" s="36">
        <f>IFERROR(E1340/$AC1340,0)</f>
        <v>0</v>
      </c>
      <c r="G1340" s="40"/>
      <c r="H1340" s="36">
        <f>IFERROR(G1340/$AD1340,0)</f>
        <v>0</v>
      </c>
      <c r="I1340" s="35"/>
      <c r="J1340" s="36">
        <f>IFERROR(I1340/$AC1340,0)</f>
        <v>0</v>
      </c>
      <c r="K1340" s="40"/>
      <c r="L1340" s="36">
        <f>IFERROR(K1340/$AD1340,0)</f>
        <v>0</v>
      </c>
      <c r="M1340" s="35"/>
      <c r="N1340" s="36">
        <f>IFERROR(M1340/$AC1340,0)</f>
        <v>0</v>
      </c>
      <c r="O1340" s="41"/>
      <c r="P1340" s="36">
        <f>IFERROR(O1340/$AD1340,0)</f>
        <v>0</v>
      </c>
      <c r="Q1340" s="35"/>
      <c r="R1340" s="36">
        <f>IFERROR(Q1340/$AC1340,0)</f>
        <v>0</v>
      </c>
      <c r="S1340" s="40"/>
      <c r="T1340" s="36">
        <f>IFERROR(S1340/$AD1340,0)</f>
        <v>0</v>
      </c>
      <c r="U1340" s="35"/>
      <c r="V1340" s="36">
        <f>IFERROR(U1340/$AC1340,0)</f>
        <v>0</v>
      </c>
      <c r="W1340" s="40"/>
      <c r="X1340" s="36">
        <f>IFERROR(W1340/$AD1340,0)</f>
        <v>0</v>
      </c>
      <c r="Y1340" s="35"/>
      <c r="Z1340" s="36">
        <f>IFERROR(Y1340/$AC1340,0)</f>
        <v>0</v>
      </c>
      <c r="AA1340" s="41"/>
      <c r="AB1340" s="36">
        <f>IFERROR(AA1340/$AD1340,0)</f>
        <v>0</v>
      </c>
      <c r="AC1340" s="35"/>
      <c r="AD1340" s="41"/>
    </row>
    <row r="1341" spans="1:30" ht="15.75" customHeight="1" x14ac:dyDescent="0.25">
      <c r="A1341" s="37">
        <v>2015</v>
      </c>
      <c r="B1341" s="35">
        <v>171570</v>
      </c>
      <c r="C1341" s="34" t="s">
        <v>150</v>
      </c>
      <c r="D1341" s="34" t="s">
        <v>93</v>
      </c>
      <c r="E1341" s="35"/>
      <c r="F1341" s="36">
        <f>IFERROR(E1341/$AC1341,0)</f>
        <v>0</v>
      </c>
      <c r="G1341" s="40"/>
      <c r="H1341" s="36">
        <f>IFERROR(G1341/$AD1341,0)</f>
        <v>0</v>
      </c>
      <c r="I1341" s="35"/>
      <c r="J1341" s="36">
        <f>IFERROR(I1341/$AC1341,0)</f>
        <v>0</v>
      </c>
      <c r="K1341" s="40"/>
      <c r="L1341" s="36">
        <f>IFERROR(K1341/$AD1341,0)</f>
        <v>0</v>
      </c>
      <c r="M1341" s="35"/>
      <c r="N1341" s="36">
        <f>IFERROR(M1341/$AC1341,0)</f>
        <v>0</v>
      </c>
      <c r="O1341" s="40"/>
      <c r="P1341" s="36">
        <f>IFERROR(O1341/$AD1341,0)</f>
        <v>0</v>
      </c>
      <c r="Q1341" s="35"/>
      <c r="R1341" s="36">
        <f>IFERROR(Q1341/$AC1341,0)</f>
        <v>0</v>
      </c>
      <c r="S1341" s="40"/>
      <c r="T1341" s="36">
        <f>IFERROR(S1341/$AD1341,0)</f>
        <v>0</v>
      </c>
      <c r="U1341" s="35"/>
      <c r="V1341" s="36">
        <f>IFERROR(U1341/$AC1341,0)</f>
        <v>0</v>
      </c>
      <c r="W1341" s="40"/>
      <c r="X1341" s="36">
        <f>IFERROR(W1341/$AD1341,0)</f>
        <v>0</v>
      </c>
      <c r="Y1341" s="35"/>
      <c r="Z1341" s="36">
        <f>IFERROR(Y1341/$AC1341,0)</f>
        <v>0</v>
      </c>
      <c r="AA1341" s="40"/>
      <c r="AB1341" s="36">
        <f>IFERROR(AA1341/$AD1341,0)</f>
        <v>0</v>
      </c>
      <c r="AC1341" s="35"/>
      <c r="AD1341" s="40"/>
    </row>
    <row r="1342" spans="1:30" ht="15.75" customHeight="1" x14ac:dyDescent="0.25">
      <c r="A1342" s="37">
        <v>2015</v>
      </c>
      <c r="B1342" s="35">
        <v>171380</v>
      </c>
      <c r="C1342" s="34" t="s">
        <v>145</v>
      </c>
      <c r="D1342" s="34" t="s">
        <v>94</v>
      </c>
      <c r="E1342" s="35"/>
      <c r="F1342" s="36">
        <f>IFERROR(E1342/$AC1342,0)</f>
        <v>0</v>
      </c>
      <c r="G1342" s="40"/>
      <c r="H1342" s="36">
        <f>IFERROR(G1342/$AD1342,0)</f>
        <v>0</v>
      </c>
      <c r="I1342" s="35"/>
      <c r="J1342" s="36">
        <f>IFERROR(I1342/$AC1342,0)</f>
        <v>0</v>
      </c>
      <c r="K1342" s="40"/>
      <c r="L1342" s="36">
        <f>IFERROR(K1342/$AD1342,0)</f>
        <v>0</v>
      </c>
      <c r="M1342" s="35"/>
      <c r="N1342" s="36">
        <f>IFERROR(M1342/$AC1342,0)</f>
        <v>0</v>
      </c>
      <c r="O1342" s="40"/>
      <c r="P1342" s="36">
        <f>IFERROR(O1342/$AD1342,0)</f>
        <v>0</v>
      </c>
      <c r="Q1342" s="35"/>
      <c r="R1342" s="36">
        <f>IFERROR(Q1342/$AC1342,0)</f>
        <v>0</v>
      </c>
      <c r="S1342" s="40"/>
      <c r="T1342" s="36">
        <f>IFERROR(S1342/$AD1342,0)</f>
        <v>0</v>
      </c>
      <c r="U1342" s="35"/>
      <c r="V1342" s="36">
        <f>IFERROR(U1342/$AC1342,0)</f>
        <v>0</v>
      </c>
      <c r="W1342" s="40"/>
      <c r="X1342" s="36">
        <f>IFERROR(W1342/$AD1342,0)</f>
        <v>0</v>
      </c>
      <c r="Y1342" s="35"/>
      <c r="Z1342" s="36">
        <f>IFERROR(Y1342/$AC1342,0)</f>
        <v>0</v>
      </c>
      <c r="AA1342" s="40"/>
      <c r="AB1342" s="36">
        <f>IFERROR(AA1342/$AD1342,0)</f>
        <v>0</v>
      </c>
      <c r="AC1342" s="35"/>
      <c r="AD1342" s="40"/>
    </row>
    <row r="1343" spans="1:30" ht="15.75" customHeight="1" x14ac:dyDescent="0.25">
      <c r="A1343" s="37">
        <v>2015</v>
      </c>
      <c r="B1343" s="35">
        <v>171575</v>
      </c>
      <c r="C1343" s="34" t="s">
        <v>146</v>
      </c>
      <c r="D1343" s="34" t="s">
        <v>95</v>
      </c>
      <c r="E1343" s="35"/>
      <c r="F1343" s="36">
        <f>IFERROR(E1343/$AC1343,0)</f>
        <v>0</v>
      </c>
      <c r="G1343" s="40"/>
      <c r="H1343" s="36">
        <f>IFERROR(G1343/$AD1343,0)</f>
        <v>0</v>
      </c>
      <c r="I1343" s="35"/>
      <c r="J1343" s="36">
        <f>IFERROR(I1343/$AC1343,0)</f>
        <v>0</v>
      </c>
      <c r="K1343" s="40"/>
      <c r="L1343" s="36">
        <f>IFERROR(K1343/$AD1343,0)</f>
        <v>0</v>
      </c>
      <c r="M1343" s="35"/>
      <c r="N1343" s="36">
        <f>IFERROR(M1343/$AC1343,0)</f>
        <v>0</v>
      </c>
      <c r="O1343" s="40"/>
      <c r="P1343" s="36">
        <f>IFERROR(O1343/$AD1343,0)</f>
        <v>0</v>
      </c>
      <c r="Q1343" s="35"/>
      <c r="R1343" s="36">
        <f>IFERROR(Q1343/$AC1343,0)</f>
        <v>0</v>
      </c>
      <c r="S1343" s="40"/>
      <c r="T1343" s="36">
        <f>IFERROR(S1343/$AD1343,0)</f>
        <v>0</v>
      </c>
      <c r="U1343" s="35"/>
      <c r="V1343" s="36">
        <f>IFERROR(U1343/$AC1343,0)</f>
        <v>0</v>
      </c>
      <c r="W1343" s="40"/>
      <c r="X1343" s="36">
        <f>IFERROR(W1343/$AD1343,0)</f>
        <v>0</v>
      </c>
      <c r="Y1343" s="35"/>
      <c r="Z1343" s="36">
        <f>IFERROR(Y1343/$AC1343,0)</f>
        <v>0</v>
      </c>
      <c r="AA1343" s="40"/>
      <c r="AB1343" s="36">
        <f>IFERROR(AA1343/$AD1343,0)</f>
        <v>0</v>
      </c>
      <c r="AC1343" s="35"/>
      <c r="AD1343" s="40"/>
    </row>
    <row r="1344" spans="1:30" ht="15.75" customHeight="1" x14ac:dyDescent="0.25">
      <c r="A1344" s="37">
        <v>2015</v>
      </c>
      <c r="B1344" s="35">
        <v>171610</v>
      </c>
      <c r="C1344" s="34" t="s">
        <v>144</v>
      </c>
      <c r="D1344" s="34" t="s">
        <v>96</v>
      </c>
      <c r="E1344" s="35"/>
      <c r="F1344" s="36">
        <f>IFERROR(E1344/$AC1344,0)</f>
        <v>0</v>
      </c>
      <c r="G1344" s="40"/>
      <c r="H1344" s="36">
        <f>IFERROR(G1344/$AD1344,0)</f>
        <v>0</v>
      </c>
      <c r="I1344" s="35"/>
      <c r="J1344" s="36">
        <f>IFERROR(I1344/$AC1344,0)</f>
        <v>0</v>
      </c>
      <c r="K1344" s="40"/>
      <c r="L1344" s="36">
        <f>IFERROR(K1344/$AD1344,0)</f>
        <v>0</v>
      </c>
      <c r="M1344" s="35"/>
      <c r="N1344" s="36">
        <f>IFERROR(M1344/$AC1344,0)</f>
        <v>0</v>
      </c>
      <c r="O1344" s="40"/>
      <c r="P1344" s="36">
        <f>IFERROR(O1344/$AD1344,0)</f>
        <v>0</v>
      </c>
      <c r="Q1344" s="35"/>
      <c r="R1344" s="36">
        <f>IFERROR(Q1344/$AC1344,0)</f>
        <v>0</v>
      </c>
      <c r="S1344" s="40"/>
      <c r="T1344" s="36">
        <f>IFERROR(S1344/$AD1344,0)</f>
        <v>0</v>
      </c>
      <c r="U1344" s="35"/>
      <c r="V1344" s="36">
        <f>IFERROR(U1344/$AC1344,0)</f>
        <v>0</v>
      </c>
      <c r="W1344" s="40"/>
      <c r="X1344" s="36">
        <f>IFERROR(W1344/$AD1344,0)</f>
        <v>0</v>
      </c>
      <c r="Y1344" s="35"/>
      <c r="Z1344" s="36">
        <f>IFERROR(Y1344/$AC1344,0)</f>
        <v>0</v>
      </c>
      <c r="AA1344" s="40"/>
      <c r="AB1344" s="36">
        <f>IFERROR(AA1344/$AD1344,0)</f>
        <v>0</v>
      </c>
      <c r="AC1344" s="35"/>
      <c r="AD1344" s="40"/>
    </row>
    <row r="1345" spans="1:30" ht="15.75" customHeight="1" x14ac:dyDescent="0.25">
      <c r="A1345" s="37">
        <v>2015</v>
      </c>
      <c r="B1345" s="35">
        <v>171620</v>
      </c>
      <c r="C1345" s="34" t="s">
        <v>147</v>
      </c>
      <c r="D1345" s="34" t="s">
        <v>97</v>
      </c>
      <c r="E1345" s="35"/>
      <c r="F1345" s="36">
        <f>IFERROR(E1345/$AC1345,0)</f>
        <v>0</v>
      </c>
      <c r="G1345" s="40"/>
      <c r="H1345" s="36">
        <f>IFERROR(G1345/$AD1345,0)</f>
        <v>0</v>
      </c>
      <c r="I1345" s="35"/>
      <c r="J1345" s="36">
        <f>IFERROR(I1345/$AC1345,0)</f>
        <v>0</v>
      </c>
      <c r="K1345" s="40"/>
      <c r="L1345" s="36">
        <f>IFERROR(K1345/$AD1345,0)</f>
        <v>0</v>
      </c>
      <c r="M1345" s="35"/>
      <c r="N1345" s="36">
        <f>IFERROR(M1345/$AC1345,0)</f>
        <v>0</v>
      </c>
      <c r="O1345" s="40"/>
      <c r="P1345" s="36">
        <f>IFERROR(O1345/$AD1345,0)</f>
        <v>0</v>
      </c>
      <c r="Q1345" s="35"/>
      <c r="R1345" s="36">
        <f>IFERROR(Q1345/$AC1345,0)</f>
        <v>0</v>
      </c>
      <c r="S1345" s="40"/>
      <c r="T1345" s="36">
        <f>IFERROR(S1345/$AD1345,0)</f>
        <v>0</v>
      </c>
      <c r="U1345" s="35"/>
      <c r="V1345" s="36">
        <f>IFERROR(U1345/$AC1345,0)</f>
        <v>0</v>
      </c>
      <c r="W1345" s="40"/>
      <c r="X1345" s="36">
        <f>IFERROR(W1345/$AD1345,0)</f>
        <v>0</v>
      </c>
      <c r="Y1345" s="35"/>
      <c r="Z1345" s="36">
        <f>IFERROR(Y1345/$AC1345,0)</f>
        <v>0</v>
      </c>
      <c r="AA1345" s="40"/>
      <c r="AB1345" s="36">
        <f>IFERROR(AA1345/$AD1345,0)</f>
        <v>0</v>
      </c>
      <c r="AC1345" s="35"/>
      <c r="AD1345" s="40"/>
    </row>
    <row r="1346" spans="1:30" ht="15.75" customHeight="1" x14ac:dyDescent="0.25">
      <c r="A1346" s="37">
        <v>2015</v>
      </c>
      <c r="B1346" s="35">
        <v>171630</v>
      </c>
      <c r="C1346" s="34" t="s">
        <v>149</v>
      </c>
      <c r="D1346" s="34" t="s">
        <v>98</v>
      </c>
      <c r="E1346" s="35"/>
      <c r="F1346" s="36">
        <f>IFERROR(E1346/$AC1346,0)</f>
        <v>0</v>
      </c>
      <c r="G1346" s="40"/>
      <c r="H1346" s="36">
        <f>IFERROR(G1346/$AD1346,0)</f>
        <v>0</v>
      </c>
      <c r="I1346" s="35"/>
      <c r="J1346" s="36">
        <f>IFERROR(I1346/$AC1346,0)</f>
        <v>0</v>
      </c>
      <c r="K1346" s="40"/>
      <c r="L1346" s="36">
        <f>IFERROR(K1346/$AD1346,0)</f>
        <v>0</v>
      </c>
      <c r="M1346" s="35"/>
      <c r="N1346" s="36">
        <f>IFERROR(M1346/$AC1346,0)</f>
        <v>0</v>
      </c>
      <c r="O1346" s="40"/>
      <c r="P1346" s="36">
        <f>IFERROR(O1346/$AD1346,0)</f>
        <v>0</v>
      </c>
      <c r="Q1346" s="35"/>
      <c r="R1346" s="36">
        <f>IFERROR(Q1346/$AC1346,0)</f>
        <v>0</v>
      </c>
      <c r="S1346" s="40"/>
      <c r="T1346" s="36">
        <f>IFERROR(S1346/$AD1346,0)</f>
        <v>0</v>
      </c>
      <c r="U1346" s="35"/>
      <c r="V1346" s="36">
        <f>IFERROR(U1346/$AC1346,0)</f>
        <v>0</v>
      </c>
      <c r="W1346" s="40"/>
      <c r="X1346" s="36">
        <f>IFERROR(W1346/$AD1346,0)</f>
        <v>0</v>
      </c>
      <c r="Y1346" s="35"/>
      <c r="Z1346" s="36">
        <f>IFERROR(Y1346/$AC1346,0)</f>
        <v>0</v>
      </c>
      <c r="AA1346" s="40"/>
      <c r="AB1346" s="36">
        <f>IFERROR(AA1346/$AD1346,0)</f>
        <v>0</v>
      </c>
      <c r="AC1346" s="35"/>
      <c r="AD1346" s="40"/>
    </row>
    <row r="1347" spans="1:30" ht="15.75" customHeight="1" x14ac:dyDescent="0.25">
      <c r="A1347" s="37">
        <v>2015</v>
      </c>
      <c r="B1347" s="35">
        <v>171650</v>
      </c>
      <c r="C1347" s="34" t="s">
        <v>150</v>
      </c>
      <c r="D1347" s="34" t="s">
        <v>99</v>
      </c>
      <c r="E1347" s="35"/>
      <c r="F1347" s="36">
        <f>IFERROR(E1347/$AC1347,0)</f>
        <v>0</v>
      </c>
      <c r="G1347" s="40"/>
      <c r="H1347" s="36">
        <f>IFERROR(G1347/$AD1347,0)</f>
        <v>0</v>
      </c>
      <c r="I1347" s="35"/>
      <c r="J1347" s="36">
        <f>IFERROR(I1347/$AC1347,0)</f>
        <v>0</v>
      </c>
      <c r="K1347" s="40"/>
      <c r="L1347" s="36">
        <f>IFERROR(K1347/$AD1347,0)</f>
        <v>0</v>
      </c>
      <c r="M1347" s="35"/>
      <c r="N1347" s="36">
        <f>IFERROR(M1347/$AC1347,0)</f>
        <v>0</v>
      </c>
      <c r="O1347" s="40"/>
      <c r="P1347" s="36">
        <f>IFERROR(O1347/$AD1347,0)</f>
        <v>0</v>
      </c>
      <c r="Q1347" s="35"/>
      <c r="R1347" s="36">
        <f>IFERROR(Q1347/$AC1347,0)</f>
        <v>0</v>
      </c>
      <c r="S1347" s="40"/>
      <c r="T1347" s="36">
        <f>IFERROR(S1347/$AD1347,0)</f>
        <v>0</v>
      </c>
      <c r="U1347" s="35"/>
      <c r="V1347" s="36">
        <f>IFERROR(U1347/$AC1347,0)</f>
        <v>0</v>
      </c>
      <c r="W1347" s="40"/>
      <c r="X1347" s="36">
        <f>IFERROR(W1347/$AD1347,0)</f>
        <v>0</v>
      </c>
      <c r="Y1347" s="35"/>
      <c r="Z1347" s="36">
        <f>IFERROR(Y1347/$AC1347,0)</f>
        <v>0</v>
      </c>
      <c r="AA1347" s="40"/>
      <c r="AB1347" s="36">
        <f>IFERROR(AA1347/$AD1347,0)</f>
        <v>0</v>
      </c>
      <c r="AC1347" s="35"/>
      <c r="AD1347" s="40"/>
    </row>
    <row r="1348" spans="1:30" ht="15.75" customHeight="1" x14ac:dyDescent="0.25">
      <c r="A1348" s="37">
        <v>2015</v>
      </c>
      <c r="B1348" s="35">
        <v>171660</v>
      </c>
      <c r="C1348" s="34" t="s">
        <v>146</v>
      </c>
      <c r="D1348" s="34" t="s">
        <v>100</v>
      </c>
      <c r="E1348" s="35"/>
      <c r="F1348" s="36">
        <f>IFERROR(E1348/$AC1348,0)</f>
        <v>0</v>
      </c>
      <c r="G1348" s="40"/>
      <c r="H1348" s="36">
        <f>IFERROR(G1348/$AD1348,0)</f>
        <v>0</v>
      </c>
      <c r="I1348" s="35"/>
      <c r="J1348" s="36">
        <f>IFERROR(I1348/$AC1348,0)</f>
        <v>0</v>
      </c>
      <c r="K1348" s="40"/>
      <c r="L1348" s="36">
        <f>IFERROR(K1348/$AD1348,0)</f>
        <v>0</v>
      </c>
      <c r="M1348" s="35"/>
      <c r="N1348" s="36">
        <f>IFERROR(M1348/$AC1348,0)</f>
        <v>0</v>
      </c>
      <c r="O1348" s="40"/>
      <c r="P1348" s="36">
        <f>IFERROR(O1348/$AD1348,0)</f>
        <v>0</v>
      </c>
      <c r="Q1348" s="35"/>
      <c r="R1348" s="36">
        <f>IFERROR(Q1348/$AC1348,0)</f>
        <v>0</v>
      </c>
      <c r="S1348" s="40"/>
      <c r="T1348" s="36">
        <f>IFERROR(S1348/$AD1348,0)</f>
        <v>0</v>
      </c>
      <c r="U1348" s="35"/>
      <c r="V1348" s="36">
        <f>IFERROR(U1348/$AC1348,0)</f>
        <v>0</v>
      </c>
      <c r="W1348" s="40"/>
      <c r="X1348" s="36">
        <f>IFERROR(W1348/$AD1348,0)</f>
        <v>0</v>
      </c>
      <c r="Y1348" s="35"/>
      <c r="Z1348" s="36">
        <f>IFERROR(Y1348/$AC1348,0)</f>
        <v>0</v>
      </c>
      <c r="AA1348" s="40"/>
      <c r="AB1348" s="36">
        <f>IFERROR(AA1348/$AD1348,0)</f>
        <v>0</v>
      </c>
      <c r="AC1348" s="35"/>
      <c r="AD1348" s="40"/>
    </row>
    <row r="1349" spans="1:30" ht="15.75" customHeight="1" x14ac:dyDescent="0.25">
      <c r="A1349" s="37">
        <v>2015</v>
      </c>
      <c r="B1349" s="35">
        <v>171665</v>
      </c>
      <c r="C1349" s="34" t="s">
        <v>150</v>
      </c>
      <c r="D1349" s="34" t="s">
        <v>101</v>
      </c>
      <c r="E1349" s="35"/>
      <c r="F1349" s="36">
        <f>IFERROR(E1349/$AC1349,0)</f>
        <v>0</v>
      </c>
      <c r="G1349" s="40"/>
      <c r="H1349" s="36">
        <f>IFERROR(G1349/$AD1349,0)</f>
        <v>0</v>
      </c>
      <c r="I1349" s="35"/>
      <c r="J1349" s="36">
        <f>IFERROR(I1349/$AC1349,0)</f>
        <v>0</v>
      </c>
      <c r="K1349" s="40"/>
      <c r="L1349" s="36">
        <f>IFERROR(K1349/$AD1349,0)</f>
        <v>0</v>
      </c>
      <c r="M1349" s="35"/>
      <c r="N1349" s="36">
        <f>IFERROR(M1349/$AC1349,0)</f>
        <v>0</v>
      </c>
      <c r="O1349" s="40"/>
      <c r="P1349" s="36">
        <f>IFERROR(O1349/$AD1349,0)</f>
        <v>0</v>
      </c>
      <c r="Q1349" s="35"/>
      <c r="R1349" s="36">
        <f>IFERROR(Q1349/$AC1349,0)</f>
        <v>0</v>
      </c>
      <c r="S1349" s="40"/>
      <c r="T1349" s="36">
        <f>IFERROR(S1349/$AD1349,0)</f>
        <v>0</v>
      </c>
      <c r="U1349" s="35"/>
      <c r="V1349" s="36">
        <f>IFERROR(U1349/$AC1349,0)</f>
        <v>0</v>
      </c>
      <c r="W1349" s="40"/>
      <c r="X1349" s="36">
        <f>IFERROR(W1349/$AD1349,0)</f>
        <v>0</v>
      </c>
      <c r="Y1349" s="35"/>
      <c r="Z1349" s="36">
        <f>IFERROR(Y1349/$AC1349,0)</f>
        <v>0</v>
      </c>
      <c r="AA1349" s="40"/>
      <c r="AB1349" s="36">
        <f>IFERROR(AA1349/$AD1349,0)</f>
        <v>0</v>
      </c>
      <c r="AC1349" s="35"/>
      <c r="AD1349" s="40"/>
    </row>
    <row r="1350" spans="1:30" ht="15.75" customHeight="1" x14ac:dyDescent="0.25">
      <c r="A1350" s="37">
        <v>2015</v>
      </c>
      <c r="B1350" s="35">
        <v>171700</v>
      </c>
      <c r="C1350" s="34" t="s">
        <v>151</v>
      </c>
      <c r="D1350" s="34" t="s">
        <v>102</v>
      </c>
      <c r="E1350" s="35"/>
      <c r="F1350" s="36">
        <f>IFERROR(E1350/$AC1350,0)</f>
        <v>0</v>
      </c>
      <c r="G1350" s="40"/>
      <c r="H1350" s="36">
        <f>IFERROR(G1350/$AD1350,0)</f>
        <v>0</v>
      </c>
      <c r="I1350" s="35"/>
      <c r="J1350" s="36">
        <f>IFERROR(I1350/$AC1350,0)</f>
        <v>0</v>
      </c>
      <c r="K1350" s="40"/>
      <c r="L1350" s="36">
        <f>IFERROR(K1350/$AD1350,0)</f>
        <v>0</v>
      </c>
      <c r="M1350" s="35"/>
      <c r="N1350" s="36">
        <f>IFERROR(M1350/$AC1350,0)</f>
        <v>0</v>
      </c>
      <c r="O1350" s="40"/>
      <c r="P1350" s="36">
        <f>IFERROR(O1350/$AD1350,0)</f>
        <v>0</v>
      </c>
      <c r="Q1350" s="35"/>
      <c r="R1350" s="36">
        <f>IFERROR(Q1350/$AC1350,0)</f>
        <v>0</v>
      </c>
      <c r="S1350" s="40"/>
      <c r="T1350" s="36">
        <f>IFERROR(S1350/$AD1350,0)</f>
        <v>0</v>
      </c>
      <c r="U1350" s="35"/>
      <c r="V1350" s="36">
        <f>IFERROR(U1350/$AC1350,0)</f>
        <v>0</v>
      </c>
      <c r="W1350" s="40"/>
      <c r="X1350" s="36">
        <f>IFERROR(W1350/$AD1350,0)</f>
        <v>0</v>
      </c>
      <c r="Y1350" s="35"/>
      <c r="Z1350" s="36">
        <f>IFERROR(Y1350/$AC1350,0)</f>
        <v>0</v>
      </c>
      <c r="AA1350" s="40"/>
      <c r="AB1350" s="36">
        <f>IFERROR(AA1350/$AD1350,0)</f>
        <v>0</v>
      </c>
      <c r="AC1350" s="35"/>
      <c r="AD1350" s="40"/>
    </row>
    <row r="1351" spans="1:30" ht="15.75" customHeight="1" x14ac:dyDescent="0.25">
      <c r="A1351" s="37">
        <v>2015</v>
      </c>
      <c r="B1351" s="35">
        <v>171720</v>
      </c>
      <c r="C1351" s="34" t="s">
        <v>149</v>
      </c>
      <c r="D1351" s="34" t="s">
        <v>103</v>
      </c>
      <c r="E1351" s="35"/>
      <c r="F1351" s="36">
        <f>IFERROR(E1351/$AC1351,0)</f>
        <v>0</v>
      </c>
      <c r="G1351" s="40"/>
      <c r="H1351" s="36">
        <f>IFERROR(G1351/$AD1351,0)</f>
        <v>0</v>
      </c>
      <c r="I1351" s="35"/>
      <c r="J1351" s="36">
        <f>IFERROR(I1351/$AC1351,0)</f>
        <v>0</v>
      </c>
      <c r="K1351" s="40"/>
      <c r="L1351" s="36">
        <f>IFERROR(K1351/$AD1351,0)</f>
        <v>0</v>
      </c>
      <c r="M1351" s="35"/>
      <c r="N1351" s="36">
        <f>IFERROR(M1351/$AC1351,0)</f>
        <v>0</v>
      </c>
      <c r="O1351" s="40"/>
      <c r="P1351" s="36">
        <f>IFERROR(O1351/$AD1351,0)</f>
        <v>0</v>
      </c>
      <c r="Q1351" s="35"/>
      <c r="R1351" s="36">
        <f>IFERROR(Q1351/$AC1351,0)</f>
        <v>0</v>
      </c>
      <c r="S1351" s="40"/>
      <c r="T1351" s="36">
        <f>IFERROR(S1351/$AD1351,0)</f>
        <v>0</v>
      </c>
      <c r="U1351" s="35"/>
      <c r="V1351" s="36">
        <f>IFERROR(U1351/$AC1351,0)</f>
        <v>0</v>
      </c>
      <c r="W1351" s="40"/>
      <c r="X1351" s="36">
        <f>IFERROR(W1351/$AD1351,0)</f>
        <v>0</v>
      </c>
      <c r="Y1351" s="35"/>
      <c r="Z1351" s="36">
        <f>IFERROR(Y1351/$AC1351,0)</f>
        <v>0</v>
      </c>
      <c r="AA1351" s="40"/>
      <c r="AB1351" s="36">
        <f>IFERROR(AA1351/$AD1351,0)</f>
        <v>0</v>
      </c>
      <c r="AC1351" s="35"/>
      <c r="AD1351" s="40"/>
    </row>
    <row r="1352" spans="1:30" ht="15.75" customHeight="1" x14ac:dyDescent="0.25">
      <c r="A1352" s="37">
        <v>2015</v>
      </c>
      <c r="B1352" s="35">
        <v>171750</v>
      </c>
      <c r="C1352" s="34" t="s">
        <v>144</v>
      </c>
      <c r="D1352" s="34" t="s">
        <v>104</v>
      </c>
      <c r="E1352" s="35"/>
      <c r="F1352" s="36">
        <f>IFERROR(E1352/$AC1352,0)</f>
        <v>0</v>
      </c>
      <c r="G1352" s="40"/>
      <c r="H1352" s="36">
        <f>IFERROR(G1352/$AD1352,0)</f>
        <v>0</v>
      </c>
      <c r="I1352" s="35"/>
      <c r="J1352" s="36">
        <f>IFERROR(I1352/$AC1352,0)</f>
        <v>0</v>
      </c>
      <c r="K1352" s="40"/>
      <c r="L1352" s="36">
        <f>IFERROR(K1352/$AD1352,0)</f>
        <v>0</v>
      </c>
      <c r="M1352" s="35"/>
      <c r="N1352" s="36">
        <f>IFERROR(M1352/$AC1352,0)</f>
        <v>0</v>
      </c>
      <c r="O1352" s="40"/>
      <c r="P1352" s="36">
        <f>IFERROR(O1352/$AD1352,0)</f>
        <v>0</v>
      </c>
      <c r="Q1352" s="35"/>
      <c r="R1352" s="36">
        <f>IFERROR(Q1352/$AC1352,0)</f>
        <v>0</v>
      </c>
      <c r="S1352" s="40"/>
      <c r="T1352" s="36">
        <f>IFERROR(S1352/$AD1352,0)</f>
        <v>0</v>
      </c>
      <c r="U1352" s="35"/>
      <c r="V1352" s="36">
        <f>IFERROR(U1352/$AC1352,0)</f>
        <v>0</v>
      </c>
      <c r="W1352" s="40"/>
      <c r="X1352" s="36">
        <f>IFERROR(W1352/$AD1352,0)</f>
        <v>0</v>
      </c>
      <c r="Y1352" s="35"/>
      <c r="Z1352" s="36">
        <f>IFERROR(Y1352/$AC1352,0)</f>
        <v>0</v>
      </c>
      <c r="AA1352" s="40"/>
      <c r="AB1352" s="36">
        <f>IFERROR(AA1352/$AD1352,0)</f>
        <v>0</v>
      </c>
      <c r="AC1352" s="35"/>
      <c r="AD1352" s="40"/>
    </row>
    <row r="1353" spans="1:30" ht="15.75" customHeight="1" x14ac:dyDescent="0.25">
      <c r="A1353" s="37">
        <v>2015</v>
      </c>
      <c r="B1353" s="35">
        <v>171780</v>
      </c>
      <c r="C1353" s="34" t="s">
        <v>147</v>
      </c>
      <c r="D1353" s="34" t="s">
        <v>105</v>
      </c>
      <c r="E1353" s="35"/>
      <c r="F1353" s="36">
        <f>IFERROR(E1353/$AC1353,0)</f>
        <v>0</v>
      </c>
      <c r="G1353" s="40"/>
      <c r="H1353" s="36">
        <f>IFERROR(G1353/$AD1353,0)</f>
        <v>0</v>
      </c>
      <c r="I1353" s="35"/>
      <c r="J1353" s="36">
        <f>IFERROR(I1353/$AC1353,0)</f>
        <v>0</v>
      </c>
      <c r="K1353" s="40"/>
      <c r="L1353" s="36">
        <f>IFERROR(K1353/$AD1353,0)</f>
        <v>0</v>
      </c>
      <c r="M1353" s="35"/>
      <c r="N1353" s="36">
        <f>IFERROR(M1353/$AC1353,0)</f>
        <v>0</v>
      </c>
      <c r="O1353" s="40"/>
      <c r="P1353" s="36">
        <f>IFERROR(O1353/$AD1353,0)</f>
        <v>0</v>
      </c>
      <c r="Q1353" s="35"/>
      <c r="R1353" s="36">
        <f>IFERROR(Q1353/$AC1353,0)</f>
        <v>0</v>
      </c>
      <c r="S1353" s="40"/>
      <c r="T1353" s="36">
        <f>IFERROR(S1353/$AD1353,0)</f>
        <v>0</v>
      </c>
      <c r="U1353" s="35"/>
      <c r="V1353" s="36">
        <f>IFERROR(U1353/$AC1353,0)</f>
        <v>0</v>
      </c>
      <c r="W1353" s="40"/>
      <c r="X1353" s="36">
        <f>IFERROR(W1353/$AD1353,0)</f>
        <v>0</v>
      </c>
      <c r="Y1353" s="35"/>
      <c r="Z1353" s="36">
        <f>IFERROR(Y1353/$AC1353,0)</f>
        <v>0</v>
      </c>
      <c r="AA1353" s="40"/>
      <c r="AB1353" s="36">
        <f>IFERROR(AA1353/$AD1353,0)</f>
        <v>0</v>
      </c>
      <c r="AC1353" s="35"/>
      <c r="AD1353" s="40"/>
    </row>
    <row r="1354" spans="1:30" ht="15.75" customHeight="1" x14ac:dyDescent="0.25">
      <c r="A1354" s="37">
        <v>2015</v>
      </c>
      <c r="B1354" s="35">
        <v>171790</v>
      </c>
      <c r="C1354" s="34" t="s">
        <v>151</v>
      </c>
      <c r="D1354" s="34" t="s">
        <v>106</v>
      </c>
      <c r="E1354" s="35"/>
      <c r="F1354" s="36">
        <f>IFERROR(E1354/$AC1354,0)</f>
        <v>0</v>
      </c>
      <c r="G1354" s="40"/>
      <c r="H1354" s="36">
        <f>IFERROR(G1354/$AD1354,0)</f>
        <v>0</v>
      </c>
      <c r="I1354" s="35"/>
      <c r="J1354" s="36">
        <f>IFERROR(I1354/$AC1354,0)</f>
        <v>0</v>
      </c>
      <c r="K1354" s="40"/>
      <c r="L1354" s="36">
        <f>IFERROR(K1354/$AD1354,0)</f>
        <v>0</v>
      </c>
      <c r="M1354" s="35"/>
      <c r="N1354" s="36">
        <f>IFERROR(M1354/$AC1354,0)</f>
        <v>0</v>
      </c>
      <c r="O1354" s="40"/>
      <c r="P1354" s="36">
        <f>IFERROR(O1354/$AD1354,0)</f>
        <v>0</v>
      </c>
      <c r="Q1354" s="35"/>
      <c r="R1354" s="36">
        <f>IFERROR(Q1354/$AC1354,0)</f>
        <v>0</v>
      </c>
      <c r="S1354" s="40"/>
      <c r="T1354" s="36">
        <f>IFERROR(S1354/$AD1354,0)</f>
        <v>0</v>
      </c>
      <c r="U1354" s="35"/>
      <c r="V1354" s="36">
        <f>IFERROR(U1354/$AC1354,0)</f>
        <v>0</v>
      </c>
      <c r="W1354" s="40"/>
      <c r="X1354" s="36">
        <f>IFERROR(W1354/$AD1354,0)</f>
        <v>0</v>
      </c>
      <c r="Y1354" s="35"/>
      <c r="Z1354" s="36">
        <f>IFERROR(Y1354/$AC1354,0)</f>
        <v>0</v>
      </c>
      <c r="AA1354" s="40"/>
      <c r="AB1354" s="36">
        <f>IFERROR(AA1354/$AD1354,0)</f>
        <v>0</v>
      </c>
      <c r="AC1354" s="35"/>
      <c r="AD1354" s="40"/>
    </row>
    <row r="1355" spans="1:30" ht="15.75" customHeight="1" x14ac:dyDescent="0.25">
      <c r="A1355" s="37">
        <v>2015</v>
      </c>
      <c r="B1355" s="35">
        <v>171800</v>
      </c>
      <c r="C1355" s="34" t="s">
        <v>147</v>
      </c>
      <c r="D1355" s="34" t="s">
        <v>107</v>
      </c>
      <c r="E1355" s="35"/>
      <c r="F1355" s="36">
        <f>IFERROR(E1355/$AC1355,0)</f>
        <v>0</v>
      </c>
      <c r="G1355" s="40"/>
      <c r="H1355" s="36">
        <f>IFERROR(G1355/$AD1355,0)</f>
        <v>0</v>
      </c>
      <c r="I1355" s="35"/>
      <c r="J1355" s="36">
        <f>IFERROR(I1355/$AC1355,0)</f>
        <v>0</v>
      </c>
      <c r="K1355" s="40"/>
      <c r="L1355" s="36">
        <f>IFERROR(K1355/$AD1355,0)</f>
        <v>0</v>
      </c>
      <c r="M1355" s="35"/>
      <c r="N1355" s="36">
        <f>IFERROR(M1355/$AC1355,0)</f>
        <v>0</v>
      </c>
      <c r="O1355" s="40"/>
      <c r="P1355" s="36">
        <f>IFERROR(O1355/$AD1355,0)</f>
        <v>0</v>
      </c>
      <c r="Q1355" s="35"/>
      <c r="R1355" s="36">
        <f>IFERROR(Q1355/$AC1355,0)</f>
        <v>0</v>
      </c>
      <c r="S1355" s="40"/>
      <c r="T1355" s="36">
        <f>IFERROR(S1355/$AD1355,0)</f>
        <v>0</v>
      </c>
      <c r="U1355" s="35"/>
      <c r="V1355" s="36">
        <f>IFERROR(U1355/$AC1355,0)</f>
        <v>0</v>
      </c>
      <c r="W1355" s="40"/>
      <c r="X1355" s="36">
        <f>IFERROR(W1355/$AD1355,0)</f>
        <v>0</v>
      </c>
      <c r="Y1355" s="35"/>
      <c r="Z1355" s="36">
        <f>IFERROR(Y1355/$AC1355,0)</f>
        <v>0</v>
      </c>
      <c r="AA1355" s="40"/>
      <c r="AB1355" s="36">
        <f>IFERROR(AA1355/$AD1355,0)</f>
        <v>0</v>
      </c>
      <c r="AC1355" s="35"/>
      <c r="AD1355" s="40"/>
    </row>
    <row r="1356" spans="1:30" ht="15.75" customHeight="1" x14ac:dyDescent="0.25">
      <c r="A1356" s="37">
        <v>2015</v>
      </c>
      <c r="B1356" s="35">
        <v>171820</v>
      </c>
      <c r="C1356" s="34" t="s">
        <v>151</v>
      </c>
      <c r="D1356" s="34" t="s">
        <v>108</v>
      </c>
      <c r="E1356" s="35"/>
      <c r="F1356" s="36">
        <f>IFERROR(E1356/$AC1356,0)</f>
        <v>0</v>
      </c>
      <c r="G1356" s="40"/>
      <c r="H1356" s="36">
        <f>IFERROR(G1356/$AD1356,0)</f>
        <v>0</v>
      </c>
      <c r="I1356" s="35"/>
      <c r="J1356" s="36">
        <f>IFERROR(I1356/$AC1356,0)</f>
        <v>0</v>
      </c>
      <c r="K1356" s="40"/>
      <c r="L1356" s="36">
        <f>IFERROR(K1356/$AD1356,0)</f>
        <v>0</v>
      </c>
      <c r="M1356" s="35"/>
      <c r="N1356" s="36">
        <f>IFERROR(M1356/$AC1356,0)</f>
        <v>0</v>
      </c>
      <c r="O1356" s="40"/>
      <c r="P1356" s="36">
        <f>IFERROR(O1356/$AD1356,0)</f>
        <v>0</v>
      </c>
      <c r="Q1356" s="35"/>
      <c r="R1356" s="36">
        <f>IFERROR(Q1356/$AC1356,0)</f>
        <v>0</v>
      </c>
      <c r="S1356" s="40"/>
      <c r="T1356" s="36">
        <f>IFERROR(S1356/$AD1356,0)</f>
        <v>0</v>
      </c>
      <c r="U1356" s="35"/>
      <c r="V1356" s="36">
        <f>IFERROR(U1356/$AC1356,0)</f>
        <v>0</v>
      </c>
      <c r="W1356" s="40"/>
      <c r="X1356" s="36">
        <f>IFERROR(W1356/$AD1356,0)</f>
        <v>0</v>
      </c>
      <c r="Y1356" s="35"/>
      <c r="Z1356" s="36">
        <f>IFERROR(Y1356/$AC1356,0)</f>
        <v>0</v>
      </c>
      <c r="AA1356" s="40"/>
      <c r="AB1356" s="36">
        <f>IFERROR(AA1356/$AD1356,0)</f>
        <v>0</v>
      </c>
      <c r="AC1356" s="35"/>
      <c r="AD1356" s="41"/>
    </row>
    <row r="1357" spans="1:30" ht="15.75" customHeight="1" x14ac:dyDescent="0.25">
      <c r="A1357" s="37">
        <v>2015</v>
      </c>
      <c r="B1357" s="35">
        <v>171830</v>
      </c>
      <c r="C1357" s="34" t="s">
        <v>145</v>
      </c>
      <c r="D1357" s="34" t="s">
        <v>109</v>
      </c>
      <c r="E1357" s="35"/>
      <c r="F1357" s="36">
        <f>IFERROR(E1357/$AC1357,0)</f>
        <v>0</v>
      </c>
      <c r="G1357" s="40"/>
      <c r="H1357" s="36">
        <f>IFERROR(G1357/$AD1357,0)</f>
        <v>0</v>
      </c>
      <c r="I1357" s="35"/>
      <c r="J1357" s="36">
        <f>IFERROR(I1357/$AC1357,0)</f>
        <v>0</v>
      </c>
      <c r="K1357" s="40"/>
      <c r="L1357" s="36">
        <f>IFERROR(K1357/$AD1357,0)</f>
        <v>0</v>
      </c>
      <c r="M1357" s="35"/>
      <c r="N1357" s="36">
        <f>IFERROR(M1357/$AC1357,0)</f>
        <v>0</v>
      </c>
      <c r="O1357" s="40"/>
      <c r="P1357" s="36">
        <f>IFERROR(O1357/$AD1357,0)</f>
        <v>0</v>
      </c>
      <c r="Q1357" s="35"/>
      <c r="R1357" s="36">
        <f>IFERROR(Q1357/$AC1357,0)</f>
        <v>0</v>
      </c>
      <c r="S1357" s="40"/>
      <c r="T1357" s="36">
        <f>IFERROR(S1357/$AD1357,0)</f>
        <v>0</v>
      </c>
      <c r="U1357" s="35"/>
      <c r="V1357" s="36">
        <f>IFERROR(U1357/$AC1357,0)</f>
        <v>0</v>
      </c>
      <c r="W1357" s="40"/>
      <c r="X1357" s="36">
        <f>IFERROR(W1357/$AD1357,0)</f>
        <v>0</v>
      </c>
      <c r="Y1357" s="35"/>
      <c r="Z1357" s="36">
        <f>IFERROR(Y1357/$AC1357,0)</f>
        <v>0</v>
      </c>
      <c r="AA1357" s="40"/>
      <c r="AB1357" s="36">
        <f>IFERROR(AA1357/$AD1357,0)</f>
        <v>0</v>
      </c>
      <c r="AC1357" s="35"/>
      <c r="AD1357" s="40"/>
    </row>
    <row r="1358" spans="1:30" ht="15.75" customHeight="1" x14ac:dyDescent="0.25">
      <c r="A1358" s="37">
        <v>2015</v>
      </c>
      <c r="B1358" s="35">
        <v>171840</v>
      </c>
      <c r="C1358" s="34" t="s">
        <v>150</v>
      </c>
      <c r="D1358" s="34" t="s">
        <v>110</v>
      </c>
      <c r="E1358" s="35"/>
      <c r="F1358" s="36">
        <f>IFERROR(E1358/$AC1358,0)</f>
        <v>0</v>
      </c>
      <c r="G1358" s="40"/>
      <c r="H1358" s="36">
        <f>IFERROR(G1358/$AD1358,0)</f>
        <v>0</v>
      </c>
      <c r="I1358" s="35"/>
      <c r="J1358" s="36">
        <f>IFERROR(I1358/$AC1358,0)</f>
        <v>0</v>
      </c>
      <c r="K1358" s="40"/>
      <c r="L1358" s="36">
        <f>IFERROR(K1358/$AD1358,0)</f>
        <v>0</v>
      </c>
      <c r="M1358" s="35"/>
      <c r="N1358" s="36">
        <f>IFERROR(M1358/$AC1358,0)</f>
        <v>0</v>
      </c>
      <c r="O1358" s="40"/>
      <c r="P1358" s="36">
        <f>IFERROR(O1358/$AD1358,0)</f>
        <v>0</v>
      </c>
      <c r="Q1358" s="35"/>
      <c r="R1358" s="36">
        <f>IFERROR(Q1358/$AC1358,0)</f>
        <v>0</v>
      </c>
      <c r="S1358" s="40"/>
      <c r="T1358" s="36">
        <f>IFERROR(S1358/$AD1358,0)</f>
        <v>0</v>
      </c>
      <c r="U1358" s="35"/>
      <c r="V1358" s="36">
        <f>IFERROR(U1358/$AC1358,0)</f>
        <v>0</v>
      </c>
      <c r="W1358" s="40"/>
      <c r="X1358" s="36">
        <f>IFERROR(W1358/$AD1358,0)</f>
        <v>0</v>
      </c>
      <c r="Y1358" s="35"/>
      <c r="Z1358" s="36">
        <f>IFERROR(Y1358/$AC1358,0)</f>
        <v>0</v>
      </c>
      <c r="AA1358" s="40"/>
      <c r="AB1358" s="36">
        <f>IFERROR(AA1358/$AD1358,0)</f>
        <v>0</v>
      </c>
      <c r="AC1358" s="35"/>
      <c r="AD1358" s="40"/>
    </row>
    <row r="1359" spans="1:30" ht="15.75" customHeight="1" x14ac:dyDescent="0.25">
      <c r="A1359" s="37">
        <v>2015</v>
      </c>
      <c r="B1359" s="35">
        <v>171845</v>
      </c>
      <c r="C1359" s="34" t="s">
        <v>144</v>
      </c>
      <c r="D1359" s="34" t="s">
        <v>111</v>
      </c>
      <c r="E1359" s="35"/>
      <c r="F1359" s="36">
        <f>IFERROR(E1359/$AC1359,0)</f>
        <v>0</v>
      </c>
      <c r="G1359" s="40"/>
      <c r="H1359" s="36">
        <f>IFERROR(G1359/$AD1359,0)</f>
        <v>0</v>
      </c>
      <c r="I1359" s="35"/>
      <c r="J1359" s="36">
        <f>IFERROR(I1359/$AC1359,0)</f>
        <v>0</v>
      </c>
      <c r="K1359" s="40"/>
      <c r="L1359" s="36">
        <f>IFERROR(K1359/$AD1359,0)</f>
        <v>0</v>
      </c>
      <c r="M1359" s="35"/>
      <c r="N1359" s="36">
        <f>IFERROR(M1359/$AC1359,0)</f>
        <v>0</v>
      </c>
      <c r="O1359" s="40"/>
      <c r="P1359" s="36">
        <f>IFERROR(O1359/$AD1359,0)</f>
        <v>0</v>
      </c>
      <c r="Q1359" s="35"/>
      <c r="R1359" s="36">
        <f>IFERROR(Q1359/$AC1359,0)</f>
        <v>0</v>
      </c>
      <c r="S1359" s="40"/>
      <c r="T1359" s="36">
        <f>IFERROR(S1359/$AD1359,0)</f>
        <v>0</v>
      </c>
      <c r="U1359" s="35"/>
      <c r="V1359" s="36">
        <f>IFERROR(U1359/$AC1359,0)</f>
        <v>0</v>
      </c>
      <c r="W1359" s="40"/>
      <c r="X1359" s="36">
        <f>IFERROR(W1359/$AD1359,0)</f>
        <v>0</v>
      </c>
      <c r="Y1359" s="35"/>
      <c r="Z1359" s="36">
        <f>IFERROR(Y1359/$AC1359,0)</f>
        <v>0</v>
      </c>
      <c r="AA1359" s="40"/>
      <c r="AB1359" s="36">
        <f>IFERROR(AA1359/$AD1359,0)</f>
        <v>0</v>
      </c>
      <c r="AC1359" s="35"/>
      <c r="AD1359" s="40"/>
    </row>
    <row r="1360" spans="1:30" ht="15.75" customHeight="1" x14ac:dyDescent="0.25">
      <c r="A1360" s="37">
        <v>2015</v>
      </c>
      <c r="B1360" s="35">
        <v>171850</v>
      </c>
      <c r="C1360" s="34" t="s">
        <v>150</v>
      </c>
      <c r="D1360" s="34" t="s">
        <v>112</v>
      </c>
      <c r="E1360" s="35"/>
      <c r="F1360" s="36">
        <f>IFERROR(E1360/$AC1360,0)</f>
        <v>0</v>
      </c>
      <c r="G1360" s="40"/>
      <c r="H1360" s="36">
        <f>IFERROR(G1360/$AD1360,0)</f>
        <v>0</v>
      </c>
      <c r="I1360" s="35"/>
      <c r="J1360" s="36">
        <f>IFERROR(I1360/$AC1360,0)</f>
        <v>0</v>
      </c>
      <c r="K1360" s="40"/>
      <c r="L1360" s="36">
        <f>IFERROR(K1360/$AD1360,0)</f>
        <v>0</v>
      </c>
      <c r="M1360" s="35"/>
      <c r="N1360" s="36">
        <f>IFERROR(M1360/$AC1360,0)</f>
        <v>0</v>
      </c>
      <c r="O1360" s="40"/>
      <c r="P1360" s="36">
        <f>IFERROR(O1360/$AD1360,0)</f>
        <v>0</v>
      </c>
      <c r="Q1360" s="35"/>
      <c r="R1360" s="36">
        <f>IFERROR(Q1360/$AC1360,0)</f>
        <v>0</v>
      </c>
      <c r="S1360" s="40"/>
      <c r="T1360" s="36">
        <f>IFERROR(S1360/$AD1360,0)</f>
        <v>0</v>
      </c>
      <c r="U1360" s="35"/>
      <c r="V1360" s="36">
        <f>IFERROR(U1360/$AC1360,0)</f>
        <v>0</v>
      </c>
      <c r="W1360" s="40"/>
      <c r="X1360" s="36">
        <f>IFERROR(W1360/$AD1360,0)</f>
        <v>0</v>
      </c>
      <c r="Y1360" s="35"/>
      <c r="Z1360" s="36">
        <f>IFERROR(Y1360/$AC1360,0)</f>
        <v>0</v>
      </c>
      <c r="AA1360" s="40"/>
      <c r="AB1360" s="36">
        <f>IFERROR(AA1360/$AD1360,0)</f>
        <v>0</v>
      </c>
      <c r="AC1360" s="35"/>
      <c r="AD1360" s="40"/>
    </row>
    <row r="1361" spans="1:30" ht="15.75" customHeight="1" x14ac:dyDescent="0.25">
      <c r="A1361" s="37">
        <v>2015</v>
      </c>
      <c r="B1361" s="35">
        <v>171855</v>
      </c>
      <c r="C1361" s="34" t="s">
        <v>145</v>
      </c>
      <c r="D1361" s="34" t="s">
        <v>113</v>
      </c>
      <c r="E1361" s="35"/>
      <c r="F1361" s="36">
        <f>IFERROR(E1361/$AC1361,0)</f>
        <v>0</v>
      </c>
      <c r="G1361" s="40"/>
      <c r="H1361" s="36">
        <f>IFERROR(G1361/$AD1361,0)</f>
        <v>0</v>
      </c>
      <c r="I1361" s="35"/>
      <c r="J1361" s="36">
        <f>IFERROR(I1361/$AC1361,0)</f>
        <v>0</v>
      </c>
      <c r="K1361" s="40"/>
      <c r="L1361" s="36">
        <f>IFERROR(K1361/$AD1361,0)</f>
        <v>0</v>
      </c>
      <c r="M1361" s="35"/>
      <c r="N1361" s="36">
        <f>IFERROR(M1361/$AC1361,0)</f>
        <v>0</v>
      </c>
      <c r="O1361" s="40"/>
      <c r="P1361" s="36">
        <f>IFERROR(O1361/$AD1361,0)</f>
        <v>0</v>
      </c>
      <c r="Q1361" s="35"/>
      <c r="R1361" s="36">
        <f>IFERROR(Q1361/$AC1361,0)</f>
        <v>0</v>
      </c>
      <c r="S1361" s="40"/>
      <c r="T1361" s="36">
        <f>IFERROR(S1361/$AD1361,0)</f>
        <v>0</v>
      </c>
      <c r="U1361" s="35"/>
      <c r="V1361" s="36">
        <f>IFERROR(U1361/$AC1361,0)</f>
        <v>0</v>
      </c>
      <c r="W1361" s="40"/>
      <c r="X1361" s="36">
        <f>IFERROR(W1361/$AD1361,0)</f>
        <v>0</v>
      </c>
      <c r="Y1361" s="35"/>
      <c r="Z1361" s="36">
        <f>IFERROR(Y1361/$AC1361,0)</f>
        <v>0</v>
      </c>
      <c r="AA1361" s="40"/>
      <c r="AB1361" s="36">
        <f>IFERROR(AA1361/$AD1361,0)</f>
        <v>0</v>
      </c>
      <c r="AC1361" s="35"/>
      <c r="AD1361" s="40"/>
    </row>
    <row r="1362" spans="1:30" ht="15.75" customHeight="1" x14ac:dyDescent="0.25">
      <c r="A1362" s="37">
        <v>2015</v>
      </c>
      <c r="B1362" s="35">
        <v>171865</v>
      </c>
      <c r="C1362" s="34" t="s">
        <v>147</v>
      </c>
      <c r="D1362" s="34" t="s">
        <v>114</v>
      </c>
      <c r="E1362" s="35"/>
      <c r="F1362" s="36">
        <f>IFERROR(E1362/$AC1362,0)</f>
        <v>0</v>
      </c>
      <c r="G1362" s="40"/>
      <c r="H1362" s="36">
        <f>IFERROR(G1362/$AD1362,0)</f>
        <v>0</v>
      </c>
      <c r="I1362" s="35"/>
      <c r="J1362" s="36">
        <f>IFERROR(I1362/$AC1362,0)</f>
        <v>0</v>
      </c>
      <c r="K1362" s="40"/>
      <c r="L1362" s="36">
        <f>IFERROR(K1362/$AD1362,0)</f>
        <v>0</v>
      </c>
      <c r="M1362" s="35"/>
      <c r="N1362" s="36">
        <f>IFERROR(M1362/$AC1362,0)</f>
        <v>0</v>
      </c>
      <c r="O1362" s="40"/>
      <c r="P1362" s="36">
        <f>IFERROR(O1362/$AD1362,0)</f>
        <v>0</v>
      </c>
      <c r="Q1362" s="35"/>
      <c r="R1362" s="36">
        <f>IFERROR(Q1362/$AC1362,0)</f>
        <v>0</v>
      </c>
      <c r="S1362" s="40"/>
      <c r="T1362" s="36">
        <f>IFERROR(S1362/$AD1362,0)</f>
        <v>0</v>
      </c>
      <c r="U1362" s="35"/>
      <c r="V1362" s="36">
        <f>IFERROR(U1362/$AC1362,0)</f>
        <v>0</v>
      </c>
      <c r="W1362" s="40"/>
      <c r="X1362" s="36">
        <f>IFERROR(W1362/$AD1362,0)</f>
        <v>0</v>
      </c>
      <c r="Y1362" s="35"/>
      <c r="Z1362" s="36">
        <f>IFERROR(Y1362/$AC1362,0)</f>
        <v>0</v>
      </c>
      <c r="AA1362" s="40"/>
      <c r="AB1362" s="36">
        <f>IFERROR(AA1362/$AD1362,0)</f>
        <v>0</v>
      </c>
      <c r="AC1362" s="35"/>
      <c r="AD1362" s="40"/>
    </row>
    <row r="1363" spans="1:30" ht="15.75" customHeight="1" x14ac:dyDescent="0.25">
      <c r="A1363" s="37">
        <v>2015</v>
      </c>
      <c r="B1363" s="35">
        <v>171870</v>
      </c>
      <c r="C1363" s="34" t="s">
        <v>148</v>
      </c>
      <c r="D1363" s="34" t="s">
        <v>115</v>
      </c>
      <c r="E1363" s="35"/>
      <c r="F1363" s="36">
        <f>IFERROR(E1363/$AC1363,0)</f>
        <v>0</v>
      </c>
      <c r="G1363" s="40"/>
      <c r="H1363" s="36">
        <f>IFERROR(G1363/$AD1363,0)</f>
        <v>0</v>
      </c>
      <c r="I1363" s="35"/>
      <c r="J1363" s="36">
        <f>IFERROR(I1363/$AC1363,0)</f>
        <v>0</v>
      </c>
      <c r="K1363" s="40"/>
      <c r="L1363" s="36">
        <f>IFERROR(K1363/$AD1363,0)</f>
        <v>0</v>
      </c>
      <c r="M1363" s="35"/>
      <c r="N1363" s="36">
        <f>IFERROR(M1363/$AC1363,0)</f>
        <v>0</v>
      </c>
      <c r="O1363" s="40"/>
      <c r="P1363" s="36">
        <f>IFERROR(O1363/$AD1363,0)</f>
        <v>0</v>
      </c>
      <c r="Q1363" s="35"/>
      <c r="R1363" s="36">
        <f>IFERROR(Q1363/$AC1363,0)</f>
        <v>0</v>
      </c>
      <c r="S1363" s="40"/>
      <c r="T1363" s="36">
        <f>IFERROR(S1363/$AD1363,0)</f>
        <v>0</v>
      </c>
      <c r="U1363" s="35"/>
      <c r="V1363" s="36">
        <f>IFERROR(U1363/$AC1363,0)</f>
        <v>0</v>
      </c>
      <c r="W1363" s="40"/>
      <c r="X1363" s="36">
        <f>IFERROR(W1363/$AD1363,0)</f>
        <v>0</v>
      </c>
      <c r="Y1363" s="35"/>
      <c r="Z1363" s="36">
        <f>IFERROR(Y1363/$AC1363,0)</f>
        <v>0</v>
      </c>
      <c r="AA1363" s="40"/>
      <c r="AB1363" s="36">
        <f>IFERROR(AA1363/$AD1363,0)</f>
        <v>0</v>
      </c>
      <c r="AC1363" s="35"/>
      <c r="AD1363" s="40"/>
    </row>
    <row r="1364" spans="1:30" ht="15.75" customHeight="1" x14ac:dyDescent="0.25">
      <c r="A1364" s="37">
        <v>2015</v>
      </c>
      <c r="B1364" s="35">
        <v>171875</v>
      </c>
      <c r="C1364" s="34" t="s">
        <v>148</v>
      </c>
      <c r="D1364" s="34" t="s">
        <v>116</v>
      </c>
      <c r="E1364" s="35"/>
      <c r="F1364" s="36">
        <f>IFERROR(E1364/$AC1364,0)</f>
        <v>0</v>
      </c>
      <c r="G1364" s="40"/>
      <c r="H1364" s="36">
        <f>IFERROR(G1364/$AD1364,0)</f>
        <v>0</v>
      </c>
      <c r="I1364" s="35"/>
      <c r="J1364" s="36">
        <f>IFERROR(I1364/$AC1364,0)</f>
        <v>0</v>
      </c>
      <c r="K1364" s="40"/>
      <c r="L1364" s="36">
        <f>IFERROR(K1364/$AD1364,0)</f>
        <v>0</v>
      </c>
      <c r="M1364" s="35"/>
      <c r="N1364" s="36">
        <f>IFERROR(M1364/$AC1364,0)</f>
        <v>0</v>
      </c>
      <c r="O1364" s="40"/>
      <c r="P1364" s="36">
        <f>IFERROR(O1364/$AD1364,0)</f>
        <v>0</v>
      </c>
      <c r="Q1364" s="35"/>
      <c r="R1364" s="36">
        <f>IFERROR(Q1364/$AC1364,0)</f>
        <v>0</v>
      </c>
      <c r="S1364" s="40"/>
      <c r="T1364" s="36">
        <f>IFERROR(S1364/$AD1364,0)</f>
        <v>0</v>
      </c>
      <c r="U1364" s="35"/>
      <c r="V1364" s="36">
        <f>IFERROR(U1364/$AC1364,0)</f>
        <v>0</v>
      </c>
      <c r="W1364" s="40"/>
      <c r="X1364" s="36">
        <f>IFERROR(W1364/$AD1364,0)</f>
        <v>0</v>
      </c>
      <c r="Y1364" s="35"/>
      <c r="Z1364" s="36">
        <f>IFERROR(Y1364/$AC1364,0)</f>
        <v>0</v>
      </c>
      <c r="AA1364" s="40"/>
      <c r="AB1364" s="36">
        <f>IFERROR(AA1364/$AD1364,0)</f>
        <v>0</v>
      </c>
      <c r="AC1364" s="35"/>
      <c r="AD1364" s="40"/>
    </row>
    <row r="1365" spans="1:30" ht="15.75" customHeight="1" x14ac:dyDescent="0.25">
      <c r="A1365" s="37">
        <v>2015</v>
      </c>
      <c r="B1365" s="35">
        <v>171880</v>
      </c>
      <c r="C1365" s="34" t="s">
        <v>145</v>
      </c>
      <c r="D1365" s="34" t="s">
        <v>117</v>
      </c>
      <c r="E1365" s="35"/>
      <c r="F1365" s="36">
        <f>IFERROR(E1365/$AC1365,0)</f>
        <v>0</v>
      </c>
      <c r="G1365" s="40"/>
      <c r="H1365" s="36">
        <f>IFERROR(G1365/$AD1365,0)</f>
        <v>0</v>
      </c>
      <c r="I1365" s="35"/>
      <c r="J1365" s="36">
        <f>IFERROR(I1365/$AC1365,0)</f>
        <v>0</v>
      </c>
      <c r="K1365" s="40"/>
      <c r="L1365" s="36">
        <f>IFERROR(K1365/$AD1365,0)</f>
        <v>0</v>
      </c>
      <c r="M1365" s="35"/>
      <c r="N1365" s="36">
        <f>IFERROR(M1365/$AC1365,0)</f>
        <v>0</v>
      </c>
      <c r="O1365" s="40"/>
      <c r="P1365" s="36">
        <f>IFERROR(O1365/$AD1365,0)</f>
        <v>0</v>
      </c>
      <c r="Q1365" s="35"/>
      <c r="R1365" s="36">
        <f>IFERROR(Q1365/$AC1365,0)</f>
        <v>0</v>
      </c>
      <c r="S1365" s="40"/>
      <c r="T1365" s="36">
        <f>IFERROR(S1365/$AD1365,0)</f>
        <v>0</v>
      </c>
      <c r="U1365" s="35"/>
      <c r="V1365" s="36">
        <f>IFERROR(U1365/$AC1365,0)</f>
        <v>0</v>
      </c>
      <c r="W1365" s="40"/>
      <c r="X1365" s="36">
        <f>IFERROR(W1365/$AD1365,0)</f>
        <v>0</v>
      </c>
      <c r="Y1365" s="35"/>
      <c r="Z1365" s="36">
        <f>IFERROR(Y1365/$AC1365,0)</f>
        <v>0</v>
      </c>
      <c r="AA1365" s="40"/>
      <c r="AB1365" s="36">
        <f>IFERROR(AA1365/$AD1365,0)</f>
        <v>0</v>
      </c>
      <c r="AC1365" s="35"/>
      <c r="AD1365" s="40"/>
    </row>
    <row r="1366" spans="1:30" ht="15.75" customHeight="1" x14ac:dyDescent="0.25">
      <c r="A1366" s="37">
        <v>2015</v>
      </c>
      <c r="B1366" s="35">
        <v>171884</v>
      </c>
      <c r="C1366" s="34" t="s">
        <v>146</v>
      </c>
      <c r="D1366" s="34" t="s">
        <v>118</v>
      </c>
      <c r="E1366" s="35"/>
      <c r="F1366" s="36">
        <f>IFERROR(E1366/$AC1366,0)</f>
        <v>0</v>
      </c>
      <c r="G1366" s="40"/>
      <c r="H1366" s="36">
        <f>IFERROR(G1366/$AD1366,0)</f>
        <v>0</v>
      </c>
      <c r="I1366" s="35"/>
      <c r="J1366" s="36">
        <f>IFERROR(I1366/$AC1366,0)</f>
        <v>0</v>
      </c>
      <c r="K1366" s="40"/>
      <c r="L1366" s="36">
        <f>IFERROR(K1366/$AD1366,0)</f>
        <v>0</v>
      </c>
      <c r="M1366" s="35"/>
      <c r="N1366" s="36">
        <f>IFERROR(M1366/$AC1366,0)</f>
        <v>0</v>
      </c>
      <c r="O1366" s="40"/>
      <c r="P1366" s="36">
        <f>IFERROR(O1366/$AD1366,0)</f>
        <v>0</v>
      </c>
      <c r="Q1366" s="35"/>
      <c r="R1366" s="36">
        <f>IFERROR(Q1366/$AC1366,0)</f>
        <v>0</v>
      </c>
      <c r="S1366" s="40"/>
      <c r="T1366" s="36">
        <f>IFERROR(S1366/$AD1366,0)</f>
        <v>0</v>
      </c>
      <c r="U1366" s="35"/>
      <c r="V1366" s="36">
        <f>IFERROR(U1366/$AC1366,0)</f>
        <v>0</v>
      </c>
      <c r="W1366" s="40"/>
      <c r="X1366" s="36">
        <f>IFERROR(W1366/$AD1366,0)</f>
        <v>0</v>
      </c>
      <c r="Y1366" s="35"/>
      <c r="Z1366" s="36">
        <f>IFERROR(Y1366/$AC1366,0)</f>
        <v>0</v>
      </c>
      <c r="AA1366" s="40"/>
      <c r="AB1366" s="36">
        <f>IFERROR(AA1366/$AD1366,0)</f>
        <v>0</v>
      </c>
      <c r="AC1366" s="35"/>
      <c r="AD1366" s="40"/>
    </row>
    <row r="1367" spans="1:30" ht="15.75" customHeight="1" x14ac:dyDescent="0.25">
      <c r="A1367" s="37">
        <v>2015</v>
      </c>
      <c r="B1367" s="35">
        <v>171886</v>
      </c>
      <c r="C1367" s="34" t="s">
        <v>149</v>
      </c>
      <c r="D1367" s="34" t="s">
        <v>119</v>
      </c>
      <c r="E1367" s="35"/>
      <c r="F1367" s="36">
        <f>IFERROR(E1367/$AC1367,0)</f>
        <v>0</v>
      </c>
      <c r="G1367" s="40"/>
      <c r="H1367" s="36">
        <f>IFERROR(G1367/$AD1367,0)</f>
        <v>0</v>
      </c>
      <c r="I1367" s="35"/>
      <c r="J1367" s="36">
        <f>IFERROR(I1367/$AC1367,0)</f>
        <v>0</v>
      </c>
      <c r="K1367" s="40"/>
      <c r="L1367" s="36">
        <f>IFERROR(K1367/$AD1367,0)</f>
        <v>0</v>
      </c>
      <c r="M1367" s="35"/>
      <c r="N1367" s="36">
        <f>IFERROR(M1367/$AC1367,0)</f>
        <v>0</v>
      </c>
      <c r="O1367" s="40"/>
      <c r="P1367" s="36">
        <f>IFERROR(O1367/$AD1367,0)</f>
        <v>0</v>
      </c>
      <c r="Q1367" s="35"/>
      <c r="R1367" s="36">
        <f>IFERROR(Q1367/$AC1367,0)</f>
        <v>0</v>
      </c>
      <c r="S1367" s="40"/>
      <c r="T1367" s="36">
        <f>IFERROR(S1367/$AD1367,0)</f>
        <v>0</v>
      </c>
      <c r="U1367" s="35"/>
      <c r="V1367" s="36">
        <f>IFERROR(U1367/$AC1367,0)</f>
        <v>0</v>
      </c>
      <c r="W1367" s="40"/>
      <c r="X1367" s="36">
        <f>IFERROR(W1367/$AD1367,0)</f>
        <v>0</v>
      </c>
      <c r="Y1367" s="35"/>
      <c r="Z1367" s="36">
        <f>IFERROR(Y1367/$AC1367,0)</f>
        <v>0</v>
      </c>
      <c r="AA1367" s="40"/>
      <c r="AB1367" s="36">
        <f>IFERROR(AA1367/$AD1367,0)</f>
        <v>0</v>
      </c>
      <c r="AC1367" s="35"/>
      <c r="AD1367" s="40"/>
    </row>
    <row r="1368" spans="1:30" ht="15.75" customHeight="1" x14ac:dyDescent="0.25">
      <c r="A1368" s="37">
        <v>2015</v>
      </c>
      <c r="B1368" s="35">
        <v>171888</v>
      </c>
      <c r="C1368" s="34" t="s">
        <v>150</v>
      </c>
      <c r="D1368" s="34" t="s">
        <v>120</v>
      </c>
      <c r="E1368" s="35"/>
      <c r="F1368" s="36">
        <f>IFERROR(E1368/$AC1368,0)</f>
        <v>0</v>
      </c>
      <c r="G1368" s="40"/>
      <c r="H1368" s="36">
        <f>IFERROR(G1368/$AD1368,0)</f>
        <v>0</v>
      </c>
      <c r="I1368" s="35"/>
      <c r="J1368" s="36">
        <f>IFERROR(I1368/$AC1368,0)</f>
        <v>0</v>
      </c>
      <c r="K1368" s="40"/>
      <c r="L1368" s="36">
        <f>IFERROR(K1368/$AD1368,0)</f>
        <v>0</v>
      </c>
      <c r="M1368" s="35"/>
      <c r="N1368" s="36">
        <f>IFERROR(M1368/$AC1368,0)</f>
        <v>0</v>
      </c>
      <c r="O1368" s="40"/>
      <c r="P1368" s="36">
        <f>IFERROR(O1368/$AD1368,0)</f>
        <v>0</v>
      </c>
      <c r="Q1368" s="35"/>
      <c r="R1368" s="36">
        <f>IFERROR(Q1368/$AC1368,0)</f>
        <v>0</v>
      </c>
      <c r="S1368" s="40"/>
      <c r="T1368" s="36">
        <f>IFERROR(S1368/$AD1368,0)</f>
        <v>0</v>
      </c>
      <c r="U1368" s="35"/>
      <c r="V1368" s="36">
        <f>IFERROR(U1368/$AC1368,0)</f>
        <v>0</v>
      </c>
      <c r="W1368" s="40"/>
      <c r="X1368" s="36">
        <f>IFERROR(W1368/$AD1368,0)</f>
        <v>0</v>
      </c>
      <c r="Y1368" s="35"/>
      <c r="Z1368" s="36">
        <f>IFERROR(Y1368/$AC1368,0)</f>
        <v>0</v>
      </c>
      <c r="AA1368" s="40"/>
      <c r="AB1368" s="36">
        <f>IFERROR(AA1368/$AD1368,0)</f>
        <v>0</v>
      </c>
      <c r="AC1368" s="35"/>
      <c r="AD1368" s="40"/>
    </row>
    <row r="1369" spans="1:30" ht="15.75" customHeight="1" x14ac:dyDescent="0.25">
      <c r="A1369" s="37">
        <v>2015</v>
      </c>
      <c r="B1369" s="35">
        <v>171889</v>
      </c>
      <c r="C1369" s="34" t="s">
        <v>146</v>
      </c>
      <c r="D1369" s="34" t="s">
        <v>121</v>
      </c>
      <c r="E1369" s="35"/>
      <c r="F1369" s="36">
        <f>IFERROR(E1369/$AC1369,0)</f>
        <v>0</v>
      </c>
      <c r="G1369" s="40"/>
      <c r="H1369" s="36">
        <f>IFERROR(G1369/$AD1369,0)</f>
        <v>0</v>
      </c>
      <c r="I1369" s="35"/>
      <c r="J1369" s="36">
        <f>IFERROR(I1369/$AC1369,0)</f>
        <v>0</v>
      </c>
      <c r="K1369" s="40"/>
      <c r="L1369" s="36">
        <f>IFERROR(K1369/$AD1369,0)</f>
        <v>0</v>
      </c>
      <c r="M1369" s="35"/>
      <c r="N1369" s="36">
        <f>IFERROR(M1369/$AC1369,0)</f>
        <v>0</v>
      </c>
      <c r="O1369" s="40"/>
      <c r="P1369" s="36">
        <f>IFERROR(O1369/$AD1369,0)</f>
        <v>0</v>
      </c>
      <c r="Q1369" s="35"/>
      <c r="R1369" s="36">
        <f>IFERROR(Q1369/$AC1369,0)</f>
        <v>0</v>
      </c>
      <c r="S1369" s="40"/>
      <c r="T1369" s="36">
        <f>IFERROR(S1369/$AD1369,0)</f>
        <v>0</v>
      </c>
      <c r="U1369" s="35"/>
      <c r="V1369" s="36">
        <f>IFERROR(U1369/$AC1369,0)</f>
        <v>0</v>
      </c>
      <c r="W1369" s="40"/>
      <c r="X1369" s="36">
        <f>IFERROR(W1369/$AD1369,0)</f>
        <v>0</v>
      </c>
      <c r="Y1369" s="35"/>
      <c r="Z1369" s="36">
        <f>IFERROR(Y1369/$AC1369,0)</f>
        <v>0</v>
      </c>
      <c r="AA1369" s="40"/>
      <c r="AB1369" s="36">
        <f>IFERROR(AA1369/$AD1369,0)</f>
        <v>0</v>
      </c>
      <c r="AC1369" s="35"/>
      <c r="AD1369" s="40"/>
    </row>
    <row r="1370" spans="1:30" ht="15.75" customHeight="1" x14ac:dyDescent="0.25">
      <c r="A1370" s="37">
        <v>2015</v>
      </c>
      <c r="B1370" s="35">
        <v>171890</v>
      </c>
      <c r="C1370" s="34" t="s">
        <v>151</v>
      </c>
      <c r="D1370" s="34" t="s">
        <v>122</v>
      </c>
      <c r="E1370" s="35"/>
      <c r="F1370" s="36">
        <f>IFERROR(E1370/$AC1370,0)</f>
        <v>0</v>
      </c>
      <c r="G1370" s="40"/>
      <c r="H1370" s="36">
        <f>IFERROR(G1370/$AD1370,0)</f>
        <v>0</v>
      </c>
      <c r="I1370" s="35"/>
      <c r="J1370" s="36">
        <f>IFERROR(I1370/$AC1370,0)</f>
        <v>0</v>
      </c>
      <c r="K1370" s="40"/>
      <c r="L1370" s="36">
        <f>IFERROR(K1370/$AD1370,0)</f>
        <v>0</v>
      </c>
      <c r="M1370" s="35"/>
      <c r="N1370" s="36">
        <f>IFERROR(M1370/$AC1370,0)</f>
        <v>0</v>
      </c>
      <c r="O1370" s="40"/>
      <c r="P1370" s="36">
        <f>IFERROR(O1370/$AD1370,0)</f>
        <v>0</v>
      </c>
      <c r="Q1370" s="35"/>
      <c r="R1370" s="36">
        <f>IFERROR(Q1370/$AC1370,0)</f>
        <v>0</v>
      </c>
      <c r="S1370" s="40"/>
      <c r="T1370" s="36">
        <f>IFERROR(S1370/$AD1370,0)</f>
        <v>0</v>
      </c>
      <c r="U1370" s="35"/>
      <c r="V1370" s="36">
        <f>IFERROR(U1370/$AC1370,0)</f>
        <v>0</v>
      </c>
      <c r="W1370" s="40"/>
      <c r="X1370" s="36">
        <f>IFERROR(W1370/$AD1370,0)</f>
        <v>0</v>
      </c>
      <c r="Y1370" s="35"/>
      <c r="Z1370" s="36">
        <f>IFERROR(Y1370/$AC1370,0)</f>
        <v>0</v>
      </c>
      <c r="AA1370" s="40"/>
      <c r="AB1370" s="36">
        <f>IFERROR(AA1370/$AD1370,0)</f>
        <v>0</v>
      </c>
      <c r="AC1370" s="35"/>
      <c r="AD1370" s="40"/>
    </row>
    <row r="1371" spans="1:30" ht="15.75" customHeight="1" x14ac:dyDescent="0.25">
      <c r="A1371" s="37">
        <v>2015</v>
      </c>
      <c r="B1371" s="35">
        <v>171900</v>
      </c>
      <c r="C1371" s="34" t="s">
        <v>148</v>
      </c>
      <c r="D1371" s="34" t="s">
        <v>123</v>
      </c>
      <c r="E1371" s="35"/>
      <c r="F1371" s="36">
        <f>IFERROR(E1371/$AC1371,0)</f>
        <v>0</v>
      </c>
      <c r="G1371" s="40"/>
      <c r="H1371" s="36">
        <f>IFERROR(G1371/$AD1371,0)</f>
        <v>0</v>
      </c>
      <c r="I1371" s="35"/>
      <c r="J1371" s="36">
        <f>IFERROR(I1371/$AC1371,0)</f>
        <v>0</v>
      </c>
      <c r="K1371" s="40"/>
      <c r="L1371" s="36">
        <f>IFERROR(K1371/$AD1371,0)</f>
        <v>0</v>
      </c>
      <c r="M1371" s="35"/>
      <c r="N1371" s="36">
        <f>IFERROR(M1371/$AC1371,0)</f>
        <v>0</v>
      </c>
      <c r="O1371" s="40"/>
      <c r="P1371" s="36">
        <f>IFERROR(O1371/$AD1371,0)</f>
        <v>0</v>
      </c>
      <c r="Q1371" s="35"/>
      <c r="R1371" s="36">
        <f>IFERROR(Q1371/$AC1371,0)</f>
        <v>0</v>
      </c>
      <c r="S1371" s="40"/>
      <c r="T1371" s="36">
        <f>IFERROR(S1371/$AD1371,0)</f>
        <v>0</v>
      </c>
      <c r="U1371" s="35"/>
      <c r="V1371" s="36">
        <f>IFERROR(U1371/$AC1371,0)</f>
        <v>0</v>
      </c>
      <c r="W1371" s="40"/>
      <c r="X1371" s="36">
        <f>IFERROR(W1371/$AD1371,0)</f>
        <v>0</v>
      </c>
      <c r="Y1371" s="35"/>
      <c r="Z1371" s="36">
        <f>IFERROR(Y1371/$AC1371,0)</f>
        <v>0</v>
      </c>
      <c r="AA1371" s="40"/>
      <c r="AB1371" s="36">
        <f>IFERROR(AA1371/$AD1371,0)</f>
        <v>0</v>
      </c>
      <c r="AC1371" s="35"/>
      <c r="AD1371" s="40"/>
    </row>
    <row r="1372" spans="1:30" ht="15.75" customHeight="1" x14ac:dyDescent="0.25">
      <c r="A1372" s="37">
        <v>2015</v>
      </c>
      <c r="B1372" s="35">
        <v>172000</v>
      </c>
      <c r="C1372" s="34" t="s">
        <v>145</v>
      </c>
      <c r="D1372" s="34" t="s">
        <v>124</v>
      </c>
      <c r="E1372" s="35"/>
      <c r="F1372" s="36">
        <f>IFERROR(E1372/$AC1372,0)</f>
        <v>0</v>
      </c>
      <c r="G1372" s="40"/>
      <c r="H1372" s="36">
        <f>IFERROR(G1372/$AD1372,0)</f>
        <v>0</v>
      </c>
      <c r="I1372" s="35"/>
      <c r="J1372" s="36">
        <f>IFERROR(I1372/$AC1372,0)</f>
        <v>0</v>
      </c>
      <c r="K1372" s="40"/>
      <c r="L1372" s="36">
        <f>IFERROR(K1372/$AD1372,0)</f>
        <v>0</v>
      </c>
      <c r="M1372" s="35"/>
      <c r="N1372" s="36">
        <f>IFERROR(M1372/$AC1372,0)</f>
        <v>0</v>
      </c>
      <c r="O1372" s="40"/>
      <c r="P1372" s="36">
        <f>IFERROR(O1372/$AD1372,0)</f>
        <v>0</v>
      </c>
      <c r="Q1372" s="35"/>
      <c r="R1372" s="36">
        <f>IFERROR(Q1372/$AC1372,0)</f>
        <v>0</v>
      </c>
      <c r="S1372" s="40"/>
      <c r="T1372" s="36">
        <f>IFERROR(S1372/$AD1372,0)</f>
        <v>0</v>
      </c>
      <c r="U1372" s="35"/>
      <c r="V1372" s="36">
        <f>IFERROR(U1372/$AC1372,0)</f>
        <v>0</v>
      </c>
      <c r="W1372" s="40"/>
      <c r="X1372" s="36">
        <f>IFERROR(W1372/$AD1372,0)</f>
        <v>0</v>
      </c>
      <c r="Y1372" s="35"/>
      <c r="Z1372" s="36">
        <f>IFERROR(Y1372/$AC1372,0)</f>
        <v>0</v>
      </c>
      <c r="AA1372" s="40"/>
      <c r="AB1372" s="36">
        <f>IFERROR(AA1372/$AD1372,0)</f>
        <v>0</v>
      </c>
      <c r="AC1372" s="35"/>
      <c r="AD1372" s="40"/>
    </row>
    <row r="1373" spans="1:30" ht="15.75" customHeight="1" x14ac:dyDescent="0.25">
      <c r="A1373" s="37">
        <v>2015</v>
      </c>
      <c r="B1373" s="35">
        <v>172010</v>
      </c>
      <c r="C1373" s="34" t="s">
        <v>145</v>
      </c>
      <c r="D1373" s="34" t="s">
        <v>125</v>
      </c>
      <c r="E1373" s="35"/>
      <c r="F1373" s="36">
        <f>IFERROR(E1373/$AC1373,0)</f>
        <v>0</v>
      </c>
      <c r="G1373" s="40"/>
      <c r="H1373" s="36">
        <f>IFERROR(G1373/$AD1373,0)</f>
        <v>0</v>
      </c>
      <c r="I1373" s="35"/>
      <c r="J1373" s="36">
        <f>IFERROR(I1373/$AC1373,0)</f>
        <v>0</v>
      </c>
      <c r="K1373" s="40"/>
      <c r="L1373" s="36">
        <f>IFERROR(K1373/$AD1373,0)</f>
        <v>0</v>
      </c>
      <c r="M1373" s="35"/>
      <c r="N1373" s="36">
        <f>IFERROR(M1373/$AC1373,0)</f>
        <v>0</v>
      </c>
      <c r="O1373" s="40"/>
      <c r="P1373" s="36">
        <f>IFERROR(O1373/$AD1373,0)</f>
        <v>0</v>
      </c>
      <c r="Q1373" s="35"/>
      <c r="R1373" s="36">
        <f>IFERROR(Q1373/$AC1373,0)</f>
        <v>0</v>
      </c>
      <c r="S1373" s="40"/>
      <c r="T1373" s="36">
        <f>IFERROR(S1373/$AD1373,0)</f>
        <v>0</v>
      </c>
      <c r="U1373" s="35"/>
      <c r="V1373" s="36">
        <f>IFERROR(U1373/$AC1373,0)</f>
        <v>0</v>
      </c>
      <c r="W1373" s="40"/>
      <c r="X1373" s="36">
        <f>IFERROR(W1373/$AD1373,0)</f>
        <v>0</v>
      </c>
      <c r="Y1373" s="35"/>
      <c r="Z1373" s="36">
        <f>IFERROR(Y1373/$AC1373,0)</f>
        <v>0</v>
      </c>
      <c r="AA1373" s="40"/>
      <c r="AB1373" s="36">
        <f>IFERROR(AA1373/$AD1373,0)</f>
        <v>0</v>
      </c>
      <c r="AC1373" s="35"/>
      <c r="AD1373" s="40"/>
    </row>
    <row r="1374" spans="1:30" ht="15.75" customHeight="1" x14ac:dyDescent="0.25">
      <c r="A1374" s="37">
        <v>2015</v>
      </c>
      <c r="B1374" s="35">
        <v>172015</v>
      </c>
      <c r="C1374" s="34" t="s">
        <v>148</v>
      </c>
      <c r="D1374" s="34" t="s">
        <v>126</v>
      </c>
      <c r="E1374" s="35"/>
      <c r="F1374" s="36">
        <f>IFERROR(E1374/$AC1374,0)</f>
        <v>0</v>
      </c>
      <c r="G1374" s="40"/>
      <c r="H1374" s="36">
        <f>IFERROR(G1374/$AD1374,0)</f>
        <v>0</v>
      </c>
      <c r="I1374" s="35"/>
      <c r="J1374" s="36">
        <f>IFERROR(I1374/$AC1374,0)</f>
        <v>0</v>
      </c>
      <c r="K1374" s="40"/>
      <c r="L1374" s="36">
        <f>IFERROR(K1374/$AD1374,0)</f>
        <v>0</v>
      </c>
      <c r="M1374" s="35"/>
      <c r="N1374" s="36">
        <f>IFERROR(M1374/$AC1374,0)</f>
        <v>0</v>
      </c>
      <c r="O1374" s="40"/>
      <c r="P1374" s="36">
        <f>IFERROR(O1374/$AD1374,0)</f>
        <v>0</v>
      </c>
      <c r="Q1374" s="35"/>
      <c r="R1374" s="36">
        <f>IFERROR(Q1374/$AC1374,0)</f>
        <v>0</v>
      </c>
      <c r="S1374" s="40"/>
      <c r="T1374" s="36">
        <f>IFERROR(S1374/$AD1374,0)</f>
        <v>0</v>
      </c>
      <c r="U1374" s="35"/>
      <c r="V1374" s="36">
        <f>IFERROR(U1374/$AC1374,0)</f>
        <v>0</v>
      </c>
      <c r="W1374" s="40"/>
      <c r="X1374" s="36">
        <f>IFERROR(W1374/$AD1374,0)</f>
        <v>0</v>
      </c>
      <c r="Y1374" s="35"/>
      <c r="Z1374" s="36">
        <f>IFERROR(Y1374/$AC1374,0)</f>
        <v>0</v>
      </c>
      <c r="AA1374" s="40"/>
      <c r="AB1374" s="36">
        <f>IFERROR(AA1374/$AD1374,0)</f>
        <v>0</v>
      </c>
      <c r="AC1374" s="35"/>
      <c r="AD1374" s="40"/>
    </row>
    <row r="1375" spans="1:30" ht="15.75" customHeight="1" x14ac:dyDescent="0.25">
      <c r="A1375" s="37">
        <v>2015</v>
      </c>
      <c r="B1375" s="35">
        <v>172020</v>
      </c>
      <c r="C1375" s="34" t="s">
        <v>145</v>
      </c>
      <c r="D1375" s="34" t="s">
        <v>127</v>
      </c>
      <c r="E1375" s="35"/>
      <c r="F1375" s="36">
        <f>IFERROR(E1375/$AC1375,0)</f>
        <v>0</v>
      </c>
      <c r="G1375" s="40"/>
      <c r="H1375" s="36">
        <f>IFERROR(G1375/$AD1375,0)</f>
        <v>0</v>
      </c>
      <c r="I1375" s="35"/>
      <c r="J1375" s="36">
        <f>IFERROR(I1375/$AC1375,0)</f>
        <v>0</v>
      </c>
      <c r="K1375" s="40"/>
      <c r="L1375" s="36">
        <f>IFERROR(K1375/$AD1375,0)</f>
        <v>0</v>
      </c>
      <c r="M1375" s="35"/>
      <c r="N1375" s="36">
        <f>IFERROR(M1375/$AC1375,0)</f>
        <v>0</v>
      </c>
      <c r="O1375" s="40"/>
      <c r="P1375" s="36">
        <f>IFERROR(O1375/$AD1375,0)</f>
        <v>0</v>
      </c>
      <c r="Q1375" s="35"/>
      <c r="R1375" s="36">
        <f>IFERROR(Q1375/$AC1375,0)</f>
        <v>0</v>
      </c>
      <c r="S1375" s="40"/>
      <c r="T1375" s="36">
        <f>IFERROR(S1375/$AD1375,0)</f>
        <v>0</v>
      </c>
      <c r="U1375" s="35"/>
      <c r="V1375" s="36">
        <f>IFERROR(U1375/$AC1375,0)</f>
        <v>0</v>
      </c>
      <c r="W1375" s="40"/>
      <c r="X1375" s="36">
        <f>IFERROR(W1375/$AD1375,0)</f>
        <v>0</v>
      </c>
      <c r="Y1375" s="35"/>
      <c r="Z1375" s="36">
        <f>IFERROR(Y1375/$AC1375,0)</f>
        <v>0</v>
      </c>
      <c r="AA1375" s="40"/>
      <c r="AB1375" s="36">
        <f>IFERROR(AA1375/$AD1375,0)</f>
        <v>0</v>
      </c>
      <c r="AC1375" s="35"/>
      <c r="AD1375" s="40"/>
    </row>
    <row r="1376" spans="1:30" ht="15.75" customHeight="1" x14ac:dyDescent="0.25">
      <c r="A1376" s="37">
        <v>2015</v>
      </c>
      <c r="B1376" s="35">
        <v>172025</v>
      </c>
      <c r="C1376" s="34" t="s">
        <v>146</v>
      </c>
      <c r="D1376" s="34" t="s">
        <v>128</v>
      </c>
      <c r="E1376" s="35"/>
      <c r="F1376" s="36">
        <f>IFERROR(E1376/$AC1376,0)</f>
        <v>0</v>
      </c>
      <c r="G1376" s="40"/>
      <c r="H1376" s="36">
        <f>IFERROR(G1376/$AD1376,0)</f>
        <v>0</v>
      </c>
      <c r="I1376" s="35"/>
      <c r="J1376" s="36">
        <f>IFERROR(I1376/$AC1376,0)</f>
        <v>0</v>
      </c>
      <c r="K1376" s="40"/>
      <c r="L1376" s="36">
        <f>IFERROR(K1376/$AD1376,0)</f>
        <v>0</v>
      </c>
      <c r="M1376" s="35"/>
      <c r="N1376" s="36">
        <f>IFERROR(M1376/$AC1376,0)</f>
        <v>0</v>
      </c>
      <c r="O1376" s="40"/>
      <c r="P1376" s="36">
        <f>IFERROR(O1376/$AD1376,0)</f>
        <v>0</v>
      </c>
      <c r="Q1376" s="35"/>
      <c r="R1376" s="36">
        <f>IFERROR(Q1376/$AC1376,0)</f>
        <v>0</v>
      </c>
      <c r="S1376" s="40"/>
      <c r="T1376" s="36">
        <f>IFERROR(S1376/$AD1376,0)</f>
        <v>0</v>
      </c>
      <c r="U1376" s="35"/>
      <c r="V1376" s="36">
        <f>IFERROR(U1376/$AC1376,0)</f>
        <v>0</v>
      </c>
      <c r="W1376" s="40"/>
      <c r="X1376" s="36">
        <f>IFERROR(W1376/$AD1376,0)</f>
        <v>0</v>
      </c>
      <c r="Y1376" s="35"/>
      <c r="Z1376" s="36">
        <f>IFERROR(Y1376/$AC1376,0)</f>
        <v>0</v>
      </c>
      <c r="AA1376" s="40"/>
      <c r="AB1376" s="36">
        <f>IFERROR(AA1376/$AD1376,0)</f>
        <v>0</v>
      </c>
      <c r="AC1376" s="35"/>
      <c r="AD1376" s="40"/>
    </row>
    <row r="1377" spans="1:30" ht="15.75" customHeight="1" x14ac:dyDescent="0.25">
      <c r="A1377" s="37">
        <v>2015</v>
      </c>
      <c r="B1377" s="35">
        <v>172030</v>
      </c>
      <c r="C1377" s="34" t="s">
        <v>145</v>
      </c>
      <c r="D1377" s="34" t="s">
        <v>129</v>
      </c>
      <c r="E1377" s="35"/>
      <c r="F1377" s="36">
        <f>IFERROR(E1377/$AC1377,0)</f>
        <v>0</v>
      </c>
      <c r="G1377" s="40"/>
      <c r="H1377" s="36">
        <f>IFERROR(G1377/$AD1377,0)</f>
        <v>0</v>
      </c>
      <c r="I1377" s="35"/>
      <c r="J1377" s="36">
        <f>IFERROR(I1377/$AC1377,0)</f>
        <v>0</v>
      </c>
      <c r="K1377" s="40"/>
      <c r="L1377" s="36">
        <f>IFERROR(K1377/$AD1377,0)</f>
        <v>0</v>
      </c>
      <c r="M1377" s="35"/>
      <c r="N1377" s="36">
        <f>IFERROR(M1377/$AC1377,0)</f>
        <v>0</v>
      </c>
      <c r="O1377" s="40"/>
      <c r="P1377" s="36">
        <f>IFERROR(O1377/$AD1377,0)</f>
        <v>0</v>
      </c>
      <c r="Q1377" s="35"/>
      <c r="R1377" s="36">
        <f>IFERROR(Q1377/$AC1377,0)</f>
        <v>0</v>
      </c>
      <c r="S1377" s="40"/>
      <c r="T1377" s="36">
        <f>IFERROR(S1377/$AD1377,0)</f>
        <v>0</v>
      </c>
      <c r="U1377" s="35"/>
      <c r="V1377" s="36">
        <f>IFERROR(U1377/$AC1377,0)</f>
        <v>0</v>
      </c>
      <c r="W1377" s="40"/>
      <c r="X1377" s="36">
        <f>IFERROR(W1377/$AD1377,0)</f>
        <v>0</v>
      </c>
      <c r="Y1377" s="35"/>
      <c r="Z1377" s="36">
        <f>IFERROR(Y1377/$AC1377,0)</f>
        <v>0</v>
      </c>
      <c r="AA1377" s="40"/>
      <c r="AB1377" s="36">
        <f>IFERROR(AA1377/$AD1377,0)</f>
        <v>0</v>
      </c>
      <c r="AC1377" s="35"/>
      <c r="AD1377" s="40"/>
    </row>
    <row r="1378" spans="1:30" ht="15.75" customHeight="1" x14ac:dyDescent="0.25">
      <c r="A1378" s="37">
        <v>2015</v>
      </c>
      <c r="B1378" s="35">
        <v>172049</v>
      </c>
      <c r="C1378" s="34" t="s">
        <v>146</v>
      </c>
      <c r="D1378" s="34" t="s">
        <v>130</v>
      </c>
      <c r="E1378" s="35"/>
      <c r="F1378" s="36">
        <f>IFERROR(E1378/$AC1378,0)</f>
        <v>0</v>
      </c>
      <c r="G1378" s="40"/>
      <c r="H1378" s="36">
        <f>IFERROR(G1378/$AD1378,0)</f>
        <v>0</v>
      </c>
      <c r="I1378" s="35"/>
      <c r="J1378" s="36">
        <f>IFERROR(I1378/$AC1378,0)</f>
        <v>0</v>
      </c>
      <c r="K1378" s="40"/>
      <c r="L1378" s="36">
        <f>IFERROR(K1378/$AD1378,0)</f>
        <v>0</v>
      </c>
      <c r="M1378" s="35"/>
      <c r="N1378" s="36">
        <f>IFERROR(M1378/$AC1378,0)</f>
        <v>0</v>
      </c>
      <c r="O1378" s="40"/>
      <c r="P1378" s="36">
        <f>IFERROR(O1378/$AD1378,0)</f>
        <v>0</v>
      </c>
      <c r="Q1378" s="35"/>
      <c r="R1378" s="36">
        <f>IFERROR(Q1378/$AC1378,0)</f>
        <v>0</v>
      </c>
      <c r="S1378" s="40"/>
      <c r="T1378" s="36">
        <f>IFERROR(S1378/$AD1378,0)</f>
        <v>0</v>
      </c>
      <c r="U1378" s="35"/>
      <c r="V1378" s="36">
        <f>IFERROR(U1378/$AC1378,0)</f>
        <v>0</v>
      </c>
      <c r="W1378" s="40"/>
      <c r="X1378" s="36">
        <f>IFERROR(W1378/$AD1378,0)</f>
        <v>0</v>
      </c>
      <c r="Y1378" s="35"/>
      <c r="Z1378" s="36">
        <f>IFERROR(Y1378/$AC1378,0)</f>
        <v>0</v>
      </c>
      <c r="AA1378" s="40"/>
      <c r="AB1378" s="36">
        <f>IFERROR(AA1378/$AD1378,0)</f>
        <v>0</v>
      </c>
      <c r="AC1378" s="35"/>
      <c r="AD1378" s="40"/>
    </row>
    <row r="1379" spans="1:30" ht="15.75" customHeight="1" x14ac:dyDescent="0.25">
      <c r="A1379" s="37">
        <v>2015</v>
      </c>
      <c r="B1379" s="35">
        <v>172065</v>
      </c>
      <c r="C1379" s="34" t="s">
        <v>151</v>
      </c>
      <c r="D1379" s="34" t="s">
        <v>131</v>
      </c>
      <c r="E1379" s="35"/>
      <c r="F1379" s="36">
        <f>IFERROR(E1379/$AC1379,0)</f>
        <v>0</v>
      </c>
      <c r="G1379" s="40"/>
      <c r="H1379" s="36">
        <f>IFERROR(G1379/$AD1379,0)</f>
        <v>0</v>
      </c>
      <c r="I1379" s="35"/>
      <c r="J1379" s="36">
        <f>IFERROR(I1379/$AC1379,0)</f>
        <v>0</v>
      </c>
      <c r="K1379" s="40"/>
      <c r="L1379" s="36">
        <f>IFERROR(K1379/$AD1379,0)</f>
        <v>0</v>
      </c>
      <c r="M1379" s="35"/>
      <c r="N1379" s="36">
        <f>IFERROR(M1379/$AC1379,0)</f>
        <v>0</v>
      </c>
      <c r="O1379" s="40"/>
      <c r="P1379" s="36">
        <f>IFERROR(O1379/$AD1379,0)</f>
        <v>0</v>
      </c>
      <c r="Q1379" s="35"/>
      <c r="R1379" s="36">
        <f>IFERROR(Q1379/$AC1379,0)</f>
        <v>0</v>
      </c>
      <c r="S1379" s="40"/>
      <c r="T1379" s="36">
        <f>IFERROR(S1379/$AD1379,0)</f>
        <v>0</v>
      </c>
      <c r="U1379" s="35"/>
      <c r="V1379" s="36">
        <f>IFERROR(U1379/$AC1379,0)</f>
        <v>0</v>
      </c>
      <c r="W1379" s="40"/>
      <c r="X1379" s="36">
        <f>IFERROR(W1379/$AD1379,0)</f>
        <v>0</v>
      </c>
      <c r="Y1379" s="35"/>
      <c r="Z1379" s="36">
        <f>IFERROR(Y1379/$AC1379,0)</f>
        <v>0</v>
      </c>
      <c r="AA1379" s="40"/>
      <c r="AB1379" s="36">
        <f>IFERROR(AA1379/$AD1379,0)</f>
        <v>0</v>
      </c>
      <c r="AC1379" s="35"/>
      <c r="AD1379" s="40"/>
    </row>
    <row r="1380" spans="1:30" ht="15.75" customHeight="1" x14ac:dyDescent="0.25">
      <c r="A1380" s="37">
        <v>2015</v>
      </c>
      <c r="B1380" s="35">
        <v>172080</v>
      </c>
      <c r="C1380" s="34" t="s">
        <v>145</v>
      </c>
      <c r="D1380" s="34" t="s">
        <v>132</v>
      </c>
      <c r="E1380" s="35"/>
      <c r="F1380" s="36">
        <f>IFERROR(E1380/$AC1380,0)</f>
        <v>0</v>
      </c>
      <c r="G1380" s="40"/>
      <c r="H1380" s="36">
        <f>IFERROR(G1380/$AD1380,0)</f>
        <v>0</v>
      </c>
      <c r="I1380" s="35"/>
      <c r="J1380" s="36">
        <f>IFERROR(I1380/$AC1380,0)</f>
        <v>0</v>
      </c>
      <c r="K1380" s="40"/>
      <c r="L1380" s="36">
        <f>IFERROR(K1380/$AD1380,0)</f>
        <v>0</v>
      </c>
      <c r="M1380" s="35"/>
      <c r="N1380" s="36">
        <f>IFERROR(M1380/$AC1380,0)</f>
        <v>0</v>
      </c>
      <c r="O1380" s="40"/>
      <c r="P1380" s="36">
        <f>IFERROR(O1380/$AD1380,0)</f>
        <v>0</v>
      </c>
      <c r="Q1380" s="35"/>
      <c r="R1380" s="36">
        <f>IFERROR(Q1380/$AC1380,0)</f>
        <v>0</v>
      </c>
      <c r="S1380" s="40"/>
      <c r="T1380" s="36">
        <f>IFERROR(S1380/$AD1380,0)</f>
        <v>0</v>
      </c>
      <c r="U1380" s="35"/>
      <c r="V1380" s="36">
        <f>IFERROR(U1380/$AC1380,0)</f>
        <v>0</v>
      </c>
      <c r="W1380" s="40"/>
      <c r="X1380" s="36">
        <f>IFERROR(W1380/$AD1380,0)</f>
        <v>0</v>
      </c>
      <c r="Y1380" s="35"/>
      <c r="Z1380" s="36">
        <f>IFERROR(Y1380/$AC1380,0)</f>
        <v>0</v>
      </c>
      <c r="AA1380" s="40"/>
      <c r="AB1380" s="36">
        <f>IFERROR(AA1380/$AD1380,0)</f>
        <v>0</v>
      </c>
      <c r="AC1380" s="35"/>
      <c r="AD1380" s="40"/>
    </row>
    <row r="1381" spans="1:30" ht="15.75" customHeight="1" x14ac:dyDescent="0.25">
      <c r="A1381" s="37">
        <v>2015</v>
      </c>
      <c r="B1381" s="35">
        <v>172085</v>
      </c>
      <c r="C1381" s="34" t="s">
        <v>146</v>
      </c>
      <c r="D1381" s="34" t="s">
        <v>133</v>
      </c>
      <c r="E1381" s="35"/>
      <c r="F1381" s="36">
        <f>IFERROR(E1381/$AC1381,0)</f>
        <v>0</v>
      </c>
      <c r="G1381" s="40"/>
      <c r="H1381" s="36">
        <f>IFERROR(G1381/$AD1381,0)</f>
        <v>0</v>
      </c>
      <c r="I1381" s="35"/>
      <c r="J1381" s="36">
        <f>IFERROR(I1381/$AC1381,0)</f>
        <v>0</v>
      </c>
      <c r="K1381" s="40"/>
      <c r="L1381" s="36">
        <f>IFERROR(K1381/$AD1381,0)</f>
        <v>0</v>
      </c>
      <c r="M1381" s="35"/>
      <c r="N1381" s="36">
        <f>IFERROR(M1381/$AC1381,0)</f>
        <v>0</v>
      </c>
      <c r="O1381" s="40"/>
      <c r="P1381" s="36">
        <f>IFERROR(O1381/$AD1381,0)</f>
        <v>0</v>
      </c>
      <c r="Q1381" s="35"/>
      <c r="R1381" s="36">
        <f>IFERROR(Q1381/$AC1381,0)</f>
        <v>0</v>
      </c>
      <c r="S1381" s="40"/>
      <c r="T1381" s="36">
        <f>IFERROR(S1381/$AD1381,0)</f>
        <v>0</v>
      </c>
      <c r="U1381" s="35"/>
      <c r="V1381" s="36">
        <f>IFERROR(U1381/$AC1381,0)</f>
        <v>0</v>
      </c>
      <c r="W1381" s="40"/>
      <c r="X1381" s="36">
        <f>IFERROR(W1381/$AD1381,0)</f>
        <v>0</v>
      </c>
      <c r="Y1381" s="35"/>
      <c r="Z1381" s="36">
        <f>IFERROR(Y1381/$AC1381,0)</f>
        <v>0</v>
      </c>
      <c r="AA1381" s="40"/>
      <c r="AB1381" s="36">
        <f>IFERROR(AA1381/$AD1381,0)</f>
        <v>0</v>
      </c>
      <c r="AC1381" s="35"/>
      <c r="AD1381" s="40"/>
    </row>
    <row r="1382" spans="1:30" ht="15.75" customHeight="1" x14ac:dyDescent="0.25">
      <c r="A1382" s="37">
        <v>2015</v>
      </c>
      <c r="B1382" s="35">
        <v>170825</v>
      </c>
      <c r="C1382" s="34" t="s">
        <v>148</v>
      </c>
      <c r="D1382" s="34" t="s">
        <v>134</v>
      </c>
      <c r="E1382" s="35"/>
      <c r="F1382" s="36">
        <f>IFERROR(E1382/$AC1382,0)</f>
        <v>0</v>
      </c>
      <c r="G1382" s="40"/>
      <c r="H1382" s="36">
        <f>IFERROR(G1382/$AD1382,0)</f>
        <v>0</v>
      </c>
      <c r="I1382" s="35"/>
      <c r="J1382" s="36">
        <f>IFERROR(I1382/$AC1382,0)</f>
        <v>0</v>
      </c>
      <c r="K1382" s="40"/>
      <c r="L1382" s="36">
        <f>IFERROR(K1382/$AD1382,0)</f>
        <v>0</v>
      </c>
      <c r="M1382" s="35"/>
      <c r="N1382" s="36">
        <f>IFERROR(M1382/$AC1382,0)</f>
        <v>0</v>
      </c>
      <c r="O1382" s="40"/>
      <c r="P1382" s="36">
        <f>IFERROR(O1382/$AD1382,0)</f>
        <v>0</v>
      </c>
      <c r="Q1382" s="35"/>
      <c r="R1382" s="36">
        <f>IFERROR(Q1382/$AC1382,0)</f>
        <v>0</v>
      </c>
      <c r="S1382" s="40"/>
      <c r="T1382" s="36">
        <f>IFERROR(S1382/$AD1382,0)</f>
        <v>0</v>
      </c>
      <c r="U1382" s="35"/>
      <c r="V1382" s="36">
        <f>IFERROR(U1382/$AC1382,0)</f>
        <v>0</v>
      </c>
      <c r="W1382" s="40"/>
      <c r="X1382" s="36">
        <f>IFERROR(W1382/$AD1382,0)</f>
        <v>0</v>
      </c>
      <c r="Y1382" s="35"/>
      <c r="Z1382" s="36">
        <f>IFERROR(Y1382/$AC1382,0)</f>
        <v>0</v>
      </c>
      <c r="AA1382" s="40"/>
      <c r="AB1382" s="36">
        <f>IFERROR(AA1382/$AD1382,0)</f>
        <v>0</v>
      </c>
      <c r="AC1382" s="35"/>
      <c r="AD1382" s="40"/>
    </row>
    <row r="1383" spans="1:30" ht="15.75" customHeight="1" x14ac:dyDescent="0.25">
      <c r="A1383" s="37">
        <v>2015</v>
      </c>
      <c r="B1383" s="35">
        <v>172090</v>
      </c>
      <c r="C1383" s="34" t="s">
        <v>147</v>
      </c>
      <c r="D1383" s="34" t="s">
        <v>135</v>
      </c>
      <c r="E1383" s="35"/>
      <c r="F1383" s="36">
        <f>IFERROR(E1383/$AC1383,0)</f>
        <v>0</v>
      </c>
      <c r="G1383" s="40"/>
      <c r="H1383" s="36">
        <f>IFERROR(G1383/$AD1383,0)</f>
        <v>0</v>
      </c>
      <c r="I1383" s="35"/>
      <c r="J1383" s="36">
        <f>IFERROR(I1383/$AC1383,0)</f>
        <v>0</v>
      </c>
      <c r="K1383" s="40"/>
      <c r="L1383" s="36">
        <f>IFERROR(K1383/$AD1383,0)</f>
        <v>0</v>
      </c>
      <c r="M1383" s="35"/>
      <c r="N1383" s="36">
        <f>IFERROR(M1383/$AC1383,0)</f>
        <v>0</v>
      </c>
      <c r="O1383" s="40"/>
      <c r="P1383" s="36">
        <f>IFERROR(O1383/$AD1383,0)</f>
        <v>0</v>
      </c>
      <c r="Q1383" s="35"/>
      <c r="R1383" s="36">
        <f>IFERROR(Q1383/$AC1383,0)</f>
        <v>0</v>
      </c>
      <c r="S1383" s="40"/>
      <c r="T1383" s="36">
        <f>IFERROR(S1383/$AD1383,0)</f>
        <v>0</v>
      </c>
      <c r="U1383" s="35"/>
      <c r="V1383" s="36">
        <f>IFERROR(U1383/$AC1383,0)</f>
        <v>0</v>
      </c>
      <c r="W1383" s="40"/>
      <c r="X1383" s="36">
        <f>IFERROR(W1383/$AD1383,0)</f>
        <v>0</v>
      </c>
      <c r="Y1383" s="35"/>
      <c r="Z1383" s="36">
        <f>IFERROR(Y1383/$AC1383,0)</f>
        <v>0</v>
      </c>
      <c r="AA1383" s="40"/>
      <c r="AB1383" s="36">
        <f>IFERROR(AA1383/$AD1383,0)</f>
        <v>0</v>
      </c>
      <c r="AC1383" s="35"/>
      <c r="AD1383" s="40"/>
    </row>
    <row r="1384" spans="1:30" ht="15.75" customHeight="1" x14ac:dyDescent="0.25">
      <c r="A1384" s="37">
        <v>2015</v>
      </c>
      <c r="B1384" s="35">
        <v>172093</v>
      </c>
      <c r="C1384" s="34" t="s">
        <v>147</v>
      </c>
      <c r="D1384" s="34" t="s">
        <v>136</v>
      </c>
      <c r="E1384" s="35"/>
      <c r="F1384" s="36">
        <f>IFERROR(E1384/$AC1384,0)</f>
        <v>0</v>
      </c>
      <c r="G1384" s="40"/>
      <c r="H1384" s="36">
        <f>IFERROR(G1384/$AD1384,0)</f>
        <v>0</v>
      </c>
      <c r="I1384" s="35"/>
      <c r="J1384" s="36">
        <f>IFERROR(I1384/$AC1384,0)</f>
        <v>0</v>
      </c>
      <c r="K1384" s="40"/>
      <c r="L1384" s="36">
        <f>IFERROR(K1384/$AD1384,0)</f>
        <v>0</v>
      </c>
      <c r="M1384" s="35"/>
      <c r="N1384" s="36">
        <f>IFERROR(M1384/$AC1384,0)</f>
        <v>0</v>
      </c>
      <c r="O1384" s="40"/>
      <c r="P1384" s="36">
        <f>IFERROR(O1384/$AD1384,0)</f>
        <v>0</v>
      </c>
      <c r="Q1384" s="35"/>
      <c r="R1384" s="36">
        <f>IFERROR(Q1384/$AC1384,0)</f>
        <v>0</v>
      </c>
      <c r="S1384" s="40"/>
      <c r="T1384" s="36">
        <f>IFERROR(S1384/$AD1384,0)</f>
        <v>0</v>
      </c>
      <c r="U1384" s="35"/>
      <c r="V1384" s="36">
        <f>IFERROR(U1384/$AC1384,0)</f>
        <v>0</v>
      </c>
      <c r="W1384" s="40"/>
      <c r="X1384" s="36">
        <f>IFERROR(W1384/$AD1384,0)</f>
        <v>0</v>
      </c>
      <c r="Y1384" s="35"/>
      <c r="Z1384" s="36">
        <f>IFERROR(Y1384/$AC1384,0)</f>
        <v>0</v>
      </c>
      <c r="AA1384" s="40"/>
      <c r="AB1384" s="36">
        <f>IFERROR(AA1384/$AD1384,0)</f>
        <v>0</v>
      </c>
      <c r="AC1384" s="35"/>
      <c r="AD1384" s="40"/>
    </row>
    <row r="1385" spans="1:30" ht="15.75" customHeight="1" x14ac:dyDescent="0.25">
      <c r="A1385" s="37">
        <v>2015</v>
      </c>
      <c r="B1385" s="35">
        <v>172097</v>
      </c>
      <c r="C1385" s="34" t="s">
        <v>146</v>
      </c>
      <c r="D1385" s="34" t="s">
        <v>137</v>
      </c>
      <c r="E1385" s="35"/>
      <c r="F1385" s="36">
        <f>IFERROR(E1385/$AC1385,0)</f>
        <v>0</v>
      </c>
      <c r="G1385" s="40"/>
      <c r="H1385" s="36">
        <f>IFERROR(G1385/$AD1385,0)</f>
        <v>0</v>
      </c>
      <c r="I1385" s="35"/>
      <c r="J1385" s="36">
        <f>IFERROR(I1385/$AC1385,0)</f>
        <v>0</v>
      </c>
      <c r="K1385" s="40"/>
      <c r="L1385" s="36">
        <f>IFERROR(K1385/$AD1385,0)</f>
        <v>0</v>
      </c>
      <c r="M1385" s="35"/>
      <c r="N1385" s="36">
        <f>IFERROR(M1385/$AC1385,0)</f>
        <v>0</v>
      </c>
      <c r="O1385" s="40"/>
      <c r="P1385" s="36">
        <f>IFERROR(O1385/$AD1385,0)</f>
        <v>0</v>
      </c>
      <c r="Q1385" s="35"/>
      <c r="R1385" s="36">
        <f>IFERROR(Q1385/$AC1385,0)</f>
        <v>0</v>
      </c>
      <c r="S1385" s="40"/>
      <c r="T1385" s="36">
        <f>IFERROR(S1385/$AD1385,0)</f>
        <v>0</v>
      </c>
      <c r="U1385" s="35"/>
      <c r="V1385" s="36">
        <f>IFERROR(U1385/$AC1385,0)</f>
        <v>0</v>
      </c>
      <c r="W1385" s="40"/>
      <c r="X1385" s="36">
        <f>IFERROR(W1385/$AD1385,0)</f>
        <v>0</v>
      </c>
      <c r="Y1385" s="35"/>
      <c r="Z1385" s="36">
        <f>IFERROR(Y1385/$AC1385,0)</f>
        <v>0</v>
      </c>
      <c r="AA1385" s="40"/>
      <c r="AB1385" s="36">
        <f>IFERROR(AA1385/$AD1385,0)</f>
        <v>0</v>
      </c>
      <c r="AC1385" s="35"/>
      <c r="AD1385" s="40"/>
    </row>
    <row r="1386" spans="1:30" ht="15.75" customHeight="1" x14ac:dyDescent="0.25">
      <c r="A1386" s="37">
        <v>2015</v>
      </c>
      <c r="B1386" s="35">
        <v>172110</v>
      </c>
      <c r="C1386" s="34" t="s">
        <v>148</v>
      </c>
      <c r="D1386" s="34" t="s">
        <v>138</v>
      </c>
      <c r="E1386" s="35"/>
      <c r="F1386" s="36">
        <f>IFERROR(E1386/$AC1386,0)</f>
        <v>0</v>
      </c>
      <c r="G1386" s="40"/>
      <c r="H1386" s="36">
        <f>IFERROR(G1386/$AD1386,0)</f>
        <v>0</v>
      </c>
      <c r="I1386" s="35"/>
      <c r="J1386" s="36">
        <f>IFERROR(I1386/$AC1386,0)</f>
        <v>0</v>
      </c>
      <c r="K1386" s="40"/>
      <c r="L1386" s="36">
        <f>IFERROR(K1386/$AD1386,0)</f>
        <v>0</v>
      </c>
      <c r="M1386" s="35"/>
      <c r="N1386" s="36">
        <f>IFERROR(M1386/$AC1386,0)</f>
        <v>0</v>
      </c>
      <c r="O1386" s="40"/>
      <c r="P1386" s="36">
        <f>IFERROR(O1386/$AD1386,0)</f>
        <v>0</v>
      </c>
      <c r="Q1386" s="35"/>
      <c r="R1386" s="36">
        <f>IFERROR(Q1386/$AC1386,0)</f>
        <v>0</v>
      </c>
      <c r="S1386" s="40"/>
      <c r="T1386" s="36">
        <f>IFERROR(S1386/$AD1386,0)</f>
        <v>0</v>
      </c>
      <c r="U1386" s="35"/>
      <c r="V1386" s="36">
        <f>IFERROR(U1386/$AC1386,0)</f>
        <v>0</v>
      </c>
      <c r="W1386" s="40"/>
      <c r="X1386" s="36">
        <f>IFERROR(W1386/$AD1386,0)</f>
        <v>0</v>
      </c>
      <c r="Y1386" s="35"/>
      <c r="Z1386" s="36">
        <f>IFERROR(Y1386/$AC1386,0)</f>
        <v>0</v>
      </c>
      <c r="AA1386" s="40"/>
      <c r="AB1386" s="36">
        <f>IFERROR(AA1386/$AD1386,0)</f>
        <v>0</v>
      </c>
      <c r="AC1386" s="35"/>
      <c r="AD1386" s="40"/>
    </row>
    <row r="1387" spans="1:30" ht="15.75" customHeight="1" x14ac:dyDescent="0.25">
      <c r="A1387" s="37">
        <v>2015</v>
      </c>
      <c r="B1387" s="35">
        <v>172120</v>
      </c>
      <c r="C1387" s="34" t="s">
        <v>145</v>
      </c>
      <c r="D1387" s="34" t="s">
        <v>139</v>
      </c>
      <c r="E1387" s="35"/>
      <c r="F1387" s="36">
        <f>IFERROR(E1387/$AC1387,0)</f>
        <v>0</v>
      </c>
      <c r="G1387" s="40"/>
      <c r="H1387" s="36">
        <f>IFERROR(G1387/$AD1387,0)</f>
        <v>0</v>
      </c>
      <c r="I1387" s="35"/>
      <c r="J1387" s="36">
        <f>IFERROR(I1387/$AC1387,0)</f>
        <v>0</v>
      </c>
      <c r="K1387" s="40"/>
      <c r="L1387" s="36">
        <f>IFERROR(K1387/$AD1387,0)</f>
        <v>0</v>
      </c>
      <c r="M1387" s="35"/>
      <c r="N1387" s="36">
        <f>IFERROR(M1387/$AC1387,0)</f>
        <v>0</v>
      </c>
      <c r="O1387" s="40"/>
      <c r="P1387" s="36">
        <f>IFERROR(O1387/$AD1387,0)</f>
        <v>0</v>
      </c>
      <c r="Q1387" s="35"/>
      <c r="R1387" s="36">
        <f>IFERROR(Q1387/$AC1387,0)</f>
        <v>0</v>
      </c>
      <c r="S1387" s="40"/>
      <c r="T1387" s="36">
        <f>IFERROR(S1387/$AD1387,0)</f>
        <v>0</v>
      </c>
      <c r="U1387" s="35"/>
      <c r="V1387" s="36">
        <f>IFERROR(U1387/$AC1387,0)</f>
        <v>0</v>
      </c>
      <c r="W1387" s="40"/>
      <c r="X1387" s="36">
        <f>IFERROR(W1387/$AD1387,0)</f>
        <v>0</v>
      </c>
      <c r="Y1387" s="35"/>
      <c r="Z1387" s="36">
        <f>IFERROR(Y1387/$AC1387,0)</f>
        <v>0</v>
      </c>
      <c r="AA1387" s="40"/>
      <c r="AB1387" s="36">
        <f>IFERROR(AA1387/$AD1387,0)</f>
        <v>0</v>
      </c>
      <c r="AC1387" s="35"/>
      <c r="AD1387" s="40"/>
    </row>
    <row r="1388" spans="1:30" ht="15.75" customHeight="1" x14ac:dyDescent="0.25">
      <c r="A1388" s="37">
        <v>2015</v>
      </c>
      <c r="B1388" s="35">
        <v>172125</v>
      </c>
      <c r="C1388" s="34" t="s">
        <v>150</v>
      </c>
      <c r="D1388" s="34" t="s">
        <v>140</v>
      </c>
      <c r="E1388" s="35"/>
      <c r="F1388" s="36">
        <f>IFERROR(E1388/$AC1388,0)</f>
        <v>0</v>
      </c>
      <c r="G1388" s="40"/>
      <c r="H1388" s="36">
        <f>IFERROR(G1388/$AD1388,0)</f>
        <v>0</v>
      </c>
      <c r="I1388" s="35"/>
      <c r="J1388" s="36">
        <f>IFERROR(I1388/$AC1388,0)</f>
        <v>0</v>
      </c>
      <c r="K1388" s="40"/>
      <c r="L1388" s="36">
        <f>IFERROR(K1388/$AD1388,0)</f>
        <v>0</v>
      </c>
      <c r="M1388" s="35"/>
      <c r="N1388" s="36">
        <f>IFERROR(M1388/$AC1388,0)</f>
        <v>0</v>
      </c>
      <c r="O1388" s="40"/>
      <c r="P1388" s="36">
        <f>IFERROR(O1388/$AD1388,0)</f>
        <v>0</v>
      </c>
      <c r="Q1388" s="35"/>
      <c r="R1388" s="36">
        <f>IFERROR(Q1388/$AC1388,0)</f>
        <v>0</v>
      </c>
      <c r="S1388" s="40"/>
      <c r="T1388" s="36">
        <f>IFERROR(S1388/$AD1388,0)</f>
        <v>0</v>
      </c>
      <c r="U1388" s="35"/>
      <c r="V1388" s="36">
        <f>IFERROR(U1388/$AC1388,0)</f>
        <v>0</v>
      </c>
      <c r="W1388" s="40"/>
      <c r="X1388" s="36">
        <f>IFERROR(W1388/$AD1388,0)</f>
        <v>0</v>
      </c>
      <c r="Y1388" s="35"/>
      <c r="Z1388" s="36">
        <f>IFERROR(Y1388/$AC1388,0)</f>
        <v>0</v>
      </c>
      <c r="AA1388" s="40"/>
      <c r="AB1388" s="36">
        <f>IFERROR(AA1388/$AD1388,0)</f>
        <v>0</v>
      </c>
      <c r="AC1388" s="35"/>
      <c r="AD1388" s="40"/>
    </row>
    <row r="1389" spans="1:30" ht="15.75" customHeight="1" x14ac:dyDescent="0.25">
      <c r="A1389" s="37">
        <v>2015</v>
      </c>
      <c r="B1389" s="35">
        <v>172130</v>
      </c>
      <c r="C1389" s="34" t="s">
        <v>150</v>
      </c>
      <c r="D1389" s="34" t="s">
        <v>141</v>
      </c>
      <c r="E1389" s="35"/>
      <c r="F1389" s="36">
        <f>IFERROR(E1389/$AC1389,0)</f>
        <v>0</v>
      </c>
      <c r="G1389" s="40"/>
      <c r="H1389" s="36">
        <f>IFERROR(G1389/$AD1389,0)</f>
        <v>0</v>
      </c>
      <c r="I1389" s="35"/>
      <c r="J1389" s="36">
        <f>IFERROR(I1389/$AC1389,0)</f>
        <v>0</v>
      </c>
      <c r="K1389" s="40"/>
      <c r="L1389" s="36">
        <f>IFERROR(K1389/$AD1389,0)</f>
        <v>0</v>
      </c>
      <c r="M1389" s="35"/>
      <c r="N1389" s="36">
        <f>IFERROR(M1389/$AC1389,0)</f>
        <v>0</v>
      </c>
      <c r="O1389" s="40"/>
      <c r="P1389" s="36">
        <f>IFERROR(O1389/$AD1389,0)</f>
        <v>0</v>
      </c>
      <c r="Q1389" s="35"/>
      <c r="R1389" s="36">
        <f>IFERROR(Q1389/$AC1389,0)</f>
        <v>0</v>
      </c>
      <c r="S1389" s="40"/>
      <c r="T1389" s="36">
        <f>IFERROR(S1389/$AD1389,0)</f>
        <v>0</v>
      </c>
      <c r="U1389" s="35"/>
      <c r="V1389" s="36">
        <f>IFERROR(U1389/$AC1389,0)</f>
        <v>0</v>
      </c>
      <c r="W1389" s="40"/>
      <c r="X1389" s="36">
        <f>IFERROR(W1389/$AD1389,0)</f>
        <v>0</v>
      </c>
      <c r="Y1389" s="35"/>
      <c r="Z1389" s="36">
        <f>IFERROR(Y1389/$AC1389,0)</f>
        <v>0</v>
      </c>
      <c r="AA1389" s="40"/>
      <c r="AB1389" s="36">
        <f>IFERROR(AA1389/$AD1389,0)</f>
        <v>0</v>
      </c>
      <c r="AC1389" s="35"/>
      <c r="AD1389" s="40"/>
    </row>
    <row r="1390" spans="1:30" ht="15.75" customHeight="1" x14ac:dyDescent="0.25">
      <c r="A1390" s="37">
        <v>2015</v>
      </c>
      <c r="B1390" s="35">
        <v>172208</v>
      </c>
      <c r="C1390" s="34" t="s">
        <v>149</v>
      </c>
      <c r="D1390" s="34" t="s">
        <v>142</v>
      </c>
      <c r="E1390" s="35"/>
      <c r="F1390" s="36">
        <f>IFERROR(E1390/$AC1390,0)</f>
        <v>0</v>
      </c>
      <c r="G1390" s="40"/>
      <c r="H1390" s="36">
        <f>IFERROR(G1390/$AD1390,0)</f>
        <v>0</v>
      </c>
      <c r="I1390" s="35"/>
      <c r="J1390" s="36">
        <f>IFERROR(I1390/$AC1390,0)</f>
        <v>0</v>
      </c>
      <c r="K1390" s="40"/>
      <c r="L1390" s="36">
        <f>IFERROR(K1390/$AD1390,0)</f>
        <v>0</v>
      </c>
      <c r="M1390" s="35"/>
      <c r="N1390" s="36">
        <f>IFERROR(M1390/$AC1390,0)</f>
        <v>0</v>
      </c>
      <c r="O1390" s="40"/>
      <c r="P1390" s="36">
        <f>IFERROR(O1390/$AD1390,0)</f>
        <v>0</v>
      </c>
      <c r="Q1390" s="35"/>
      <c r="R1390" s="36">
        <f>IFERROR(Q1390/$AC1390,0)</f>
        <v>0</v>
      </c>
      <c r="S1390" s="40"/>
      <c r="T1390" s="36">
        <f>IFERROR(S1390/$AD1390,0)</f>
        <v>0</v>
      </c>
      <c r="U1390" s="35"/>
      <c r="V1390" s="36">
        <f>IFERROR(U1390/$AC1390,0)</f>
        <v>0</v>
      </c>
      <c r="W1390" s="40"/>
      <c r="X1390" s="36">
        <f>IFERROR(W1390/$AD1390,0)</f>
        <v>0</v>
      </c>
      <c r="Y1390" s="35"/>
      <c r="Z1390" s="36">
        <f>IFERROR(Y1390/$AC1390,0)</f>
        <v>0</v>
      </c>
      <c r="AA1390" s="40"/>
      <c r="AB1390" s="36">
        <f>IFERROR(AA1390/$AD1390,0)</f>
        <v>0</v>
      </c>
      <c r="AC1390" s="35"/>
      <c r="AD1390" s="40"/>
    </row>
    <row r="1391" spans="1:30" ht="15.75" customHeight="1" x14ac:dyDescent="0.25">
      <c r="A1391" s="37">
        <v>2015</v>
      </c>
      <c r="B1391" s="35">
        <v>172210</v>
      </c>
      <c r="C1391" s="34" t="s">
        <v>149</v>
      </c>
      <c r="D1391" s="34" t="s">
        <v>143</v>
      </c>
      <c r="E1391" s="35"/>
      <c r="F1391" s="36">
        <f>IFERROR(E1391/$AC1391,0)</f>
        <v>0</v>
      </c>
      <c r="G1391" s="40"/>
      <c r="H1391" s="36">
        <f>IFERROR(G1391/$AD1391,0)</f>
        <v>0</v>
      </c>
      <c r="I1391" s="35"/>
      <c r="J1391" s="36">
        <f>IFERROR(I1391/$AC1391,0)</f>
        <v>0</v>
      </c>
      <c r="K1391" s="40"/>
      <c r="L1391" s="36">
        <f>IFERROR(K1391/$AD1391,0)</f>
        <v>0</v>
      </c>
      <c r="M1391" s="35"/>
      <c r="N1391" s="36">
        <f>IFERROR(M1391/$AC1391,0)</f>
        <v>0</v>
      </c>
      <c r="O1391" s="40"/>
      <c r="P1391" s="36">
        <f>IFERROR(O1391/$AD1391,0)</f>
        <v>0</v>
      </c>
      <c r="Q1391" s="35"/>
      <c r="R1391" s="36">
        <f>IFERROR(Q1391/$AC1391,0)</f>
        <v>0</v>
      </c>
      <c r="S1391" s="40"/>
      <c r="T1391" s="36">
        <f>IFERROR(S1391/$AD1391,0)</f>
        <v>0</v>
      </c>
      <c r="U1391" s="35"/>
      <c r="V1391" s="36">
        <f>IFERROR(U1391/$AC1391,0)</f>
        <v>0</v>
      </c>
      <c r="W1391" s="40"/>
      <c r="X1391" s="36">
        <f>IFERROR(W1391/$AD1391,0)</f>
        <v>0</v>
      </c>
      <c r="Y1391" s="35"/>
      <c r="Z1391" s="36">
        <f>IFERROR(Y1391/$AC1391,0)</f>
        <v>0</v>
      </c>
      <c r="AA1391" s="40"/>
      <c r="AB1391" s="36">
        <f>IFERROR(AA1391/$AD1391,0)</f>
        <v>0</v>
      </c>
      <c r="AC1391" s="35"/>
      <c r="AD1391" s="40"/>
    </row>
    <row r="1392" spans="1:30" ht="15.75" customHeight="1" x14ac:dyDescent="0.25">
      <c r="A1392" s="9"/>
      <c r="C1392" s="43"/>
      <c r="D1392" s="43"/>
    </row>
    <row r="1393" spans="1:4" ht="15.75" customHeight="1" x14ac:dyDescent="0.25">
      <c r="A1393" s="9"/>
      <c r="C1393" s="43"/>
      <c r="D1393" s="43"/>
    </row>
    <row r="1394" spans="1:4" ht="15.75" customHeight="1" x14ac:dyDescent="0.25">
      <c r="A1394" s="9"/>
      <c r="C1394" s="43"/>
      <c r="D1394" s="43"/>
    </row>
    <row r="1395" spans="1:4" ht="15.75" customHeight="1" x14ac:dyDescent="0.25">
      <c r="A1395" s="9"/>
      <c r="C1395" s="43"/>
      <c r="D1395" s="43"/>
    </row>
    <row r="1396" spans="1:4" ht="15.75" customHeight="1" x14ac:dyDescent="0.25">
      <c r="A1396" s="9"/>
      <c r="C1396" s="43"/>
      <c r="D1396" s="43"/>
    </row>
    <row r="1397" spans="1:4" ht="15.75" customHeight="1" x14ac:dyDescent="0.25">
      <c r="A1397" s="9"/>
      <c r="C1397" s="43"/>
      <c r="D1397" s="43"/>
    </row>
    <row r="1398" spans="1:4" ht="15.75" customHeight="1" x14ac:dyDescent="0.25">
      <c r="A1398" s="9"/>
      <c r="C1398" s="43"/>
      <c r="D1398" s="43"/>
    </row>
    <row r="1399" spans="1:4" ht="15.75" customHeight="1" x14ac:dyDescent="0.25">
      <c r="A1399" s="9"/>
      <c r="C1399" s="43"/>
      <c r="D1399" s="43"/>
    </row>
    <row r="1400" spans="1:4" ht="15.75" customHeight="1" x14ac:dyDescent="0.25">
      <c r="A1400" s="9"/>
      <c r="C1400" s="43"/>
      <c r="D1400" s="43"/>
    </row>
    <row r="1401" spans="1:4" ht="15.75" customHeight="1" x14ac:dyDescent="0.25">
      <c r="A1401" s="9"/>
      <c r="C1401" s="43"/>
      <c r="D1401" s="43"/>
    </row>
    <row r="1402" spans="1:4" ht="15.75" customHeight="1" x14ac:dyDescent="0.25">
      <c r="A1402" s="9"/>
      <c r="C1402" s="43"/>
      <c r="D1402" s="43"/>
    </row>
    <row r="1403" spans="1:4" ht="15.75" customHeight="1" x14ac:dyDescent="0.25">
      <c r="A1403" s="9"/>
      <c r="C1403" s="43"/>
      <c r="D1403" s="43"/>
    </row>
    <row r="1404" spans="1:4" ht="15.75" customHeight="1" x14ac:dyDescent="0.25">
      <c r="A1404" s="9"/>
      <c r="C1404" s="43"/>
      <c r="D1404" s="43"/>
    </row>
    <row r="1405" spans="1:4" ht="15.75" customHeight="1" x14ac:dyDescent="0.25">
      <c r="A1405" s="9"/>
      <c r="C1405" s="43"/>
      <c r="D1405" s="43"/>
    </row>
    <row r="1406" spans="1:4" ht="15.75" customHeight="1" x14ac:dyDescent="0.25">
      <c r="A1406" s="9"/>
      <c r="C1406" s="43"/>
      <c r="D1406" s="43"/>
    </row>
    <row r="1407" spans="1:4" ht="15.75" customHeight="1" x14ac:dyDescent="0.25">
      <c r="A1407" s="9"/>
      <c r="C1407" s="43"/>
      <c r="D1407" s="43"/>
    </row>
    <row r="1408" spans="1:4" ht="15.75" customHeight="1" x14ac:dyDescent="0.25">
      <c r="A1408" s="9"/>
      <c r="C1408" s="43"/>
      <c r="D1408" s="43"/>
    </row>
    <row r="1409" spans="1:4" ht="15.75" customHeight="1" x14ac:dyDescent="0.25">
      <c r="A1409" s="9"/>
      <c r="C1409" s="43"/>
      <c r="D1409" s="43"/>
    </row>
    <row r="1410" spans="1:4" ht="15.75" customHeight="1" x14ac:dyDescent="0.25">
      <c r="A1410" s="9"/>
      <c r="C1410" s="43"/>
      <c r="D1410" s="43"/>
    </row>
    <row r="1411" spans="1:4" ht="15.75" customHeight="1" x14ac:dyDescent="0.25">
      <c r="A1411" s="9"/>
      <c r="C1411" s="43"/>
      <c r="D1411" s="43"/>
    </row>
    <row r="1412" spans="1:4" ht="15.75" customHeight="1" x14ac:dyDescent="0.25">
      <c r="A1412" s="9"/>
      <c r="C1412" s="43"/>
      <c r="D1412" s="43"/>
    </row>
    <row r="1413" spans="1:4" ht="15.75" customHeight="1" x14ac:dyDescent="0.25">
      <c r="A1413" s="9"/>
      <c r="C1413" s="43"/>
      <c r="D1413" s="43"/>
    </row>
    <row r="1414" spans="1:4" ht="15.75" customHeight="1" x14ac:dyDescent="0.25">
      <c r="A1414" s="9"/>
      <c r="C1414" s="43"/>
      <c r="D1414" s="43"/>
    </row>
    <row r="1415" spans="1:4" ht="15.75" customHeight="1" x14ac:dyDescent="0.25">
      <c r="A1415" s="9"/>
      <c r="C1415" s="43"/>
      <c r="D1415" s="43"/>
    </row>
    <row r="1416" spans="1:4" ht="15.75" customHeight="1" x14ac:dyDescent="0.25">
      <c r="A1416" s="9"/>
      <c r="C1416" s="43"/>
      <c r="D1416" s="43"/>
    </row>
    <row r="1417" spans="1:4" ht="15.75" customHeight="1" x14ac:dyDescent="0.25">
      <c r="A1417" s="9"/>
      <c r="C1417" s="43"/>
      <c r="D1417" s="43"/>
    </row>
    <row r="1418" spans="1:4" ht="15.75" customHeight="1" x14ac:dyDescent="0.25">
      <c r="A1418" s="9"/>
      <c r="C1418" s="43"/>
      <c r="D1418" s="43"/>
    </row>
    <row r="1419" spans="1:4" ht="15.75" customHeight="1" x14ac:dyDescent="0.25">
      <c r="A1419" s="9"/>
      <c r="C1419" s="43"/>
      <c r="D1419" s="43"/>
    </row>
    <row r="1420" spans="1:4" ht="15.75" customHeight="1" x14ac:dyDescent="0.25">
      <c r="A1420" s="9"/>
      <c r="C1420" s="43"/>
      <c r="D1420" s="43"/>
    </row>
    <row r="1421" spans="1:4" ht="15.75" customHeight="1" x14ac:dyDescent="0.25">
      <c r="A1421" s="9"/>
      <c r="C1421" s="43"/>
      <c r="D1421" s="43"/>
    </row>
    <row r="1422" spans="1:4" ht="15.75" customHeight="1" x14ac:dyDescent="0.25">
      <c r="A1422" s="9"/>
      <c r="C1422" s="43"/>
      <c r="D1422" s="43"/>
    </row>
    <row r="1423" spans="1:4" ht="15.75" customHeight="1" x14ac:dyDescent="0.25">
      <c r="A1423" s="9"/>
      <c r="C1423" s="43"/>
      <c r="D1423" s="43"/>
    </row>
    <row r="1424" spans="1:4" ht="15.75" customHeight="1" x14ac:dyDescent="0.25">
      <c r="A1424" s="9"/>
      <c r="C1424" s="43"/>
      <c r="D1424" s="43"/>
    </row>
    <row r="1425" spans="1:4" ht="15.75" customHeight="1" x14ac:dyDescent="0.25">
      <c r="A1425" s="9"/>
      <c r="C1425" s="43"/>
      <c r="D1425" s="43"/>
    </row>
    <row r="1426" spans="1:4" ht="15.75" customHeight="1" x14ac:dyDescent="0.25">
      <c r="A1426" s="9"/>
      <c r="C1426" s="43"/>
      <c r="D1426" s="43"/>
    </row>
    <row r="1427" spans="1:4" ht="15.75" customHeight="1" x14ac:dyDescent="0.25">
      <c r="A1427" s="9"/>
      <c r="C1427" s="43"/>
      <c r="D1427" s="43"/>
    </row>
    <row r="1428" spans="1:4" ht="15.75" customHeight="1" x14ac:dyDescent="0.25">
      <c r="A1428" s="9"/>
      <c r="C1428" s="43"/>
      <c r="D1428" s="43"/>
    </row>
    <row r="1429" spans="1:4" ht="15.75" customHeight="1" x14ac:dyDescent="0.25">
      <c r="A1429" s="9"/>
      <c r="C1429" s="43"/>
      <c r="D1429" s="43"/>
    </row>
    <row r="1430" spans="1:4" ht="15.75" customHeight="1" x14ac:dyDescent="0.25">
      <c r="A1430" s="9"/>
      <c r="C1430" s="43"/>
      <c r="D1430" s="43"/>
    </row>
    <row r="1431" spans="1:4" ht="15.75" customHeight="1" x14ac:dyDescent="0.25">
      <c r="A1431" s="9"/>
      <c r="C1431" s="43"/>
      <c r="D1431" s="43"/>
    </row>
    <row r="1432" spans="1:4" ht="15.75" customHeight="1" x14ac:dyDescent="0.25">
      <c r="A1432" s="9"/>
      <c r="C1432" s="43"/>
      <c r="D1432" s="43"/>
    </row>
    <row r="1433" spans="1:4" ht="15.75" customHeight="1" x14ac:dyDescent="0.25">
      <c r="A1433" s="9"/>
      <c r="C1433" s="43"/>
      <c r="D1433" s="43"/>
    </row>
    <row r="1434" spans="1:4" ht="15.75" customHeight="1" x14ac:dyDescent="0.25">
      <c r="A1434" s="9"/>
      <c r="C1434" s="43"/>
      <c r="D1434" s="43"/>
    </row>
    <row r="1435" spans="1:4" ht="15.75" customHeight="1" x14ac:dyDescent="0.25">
      <c r="A1435" s="9"/>
      <c r="C1435" s="43"/>
      <c r="D1435" s="43"/>
    </row>
    <row r="1436" spans="1:4" ht="15.75" customHeight="1" x14ac:dyDescent="0.25">
      <c r="A1436" s="9"/>
      <c r="C1436" s="43"/>
      <c r="D1436" s="43"/>
    </row>
    <row r="1437" spans="1:4" ht="15.75" customHeight="1" x14ac:dyDescent="0.25">
      <c r="A1437" s="9"/>
      <c r="C1437" s="43"/>
      <c r="D1437" s="43"/>
    </row>
    <row r="1438" spans="1:4" ht="15.75" customHeight="1" x14ac:dyDescent="0.25">
      <c r="A1438" s="9"/>
      <c r="C1438" s="43"/>
      <c r="D1438" s="43"/>
    </row>
    <row r="1439" spans="1:4" ht="15.75" customHeight="1" x14ac:dyDescent="0.25">
      <c r="A1439" s="9"/>
      <c r="C1439" s="43"/>
      <c r="D1439" s="43"/>
    </row>
    <row r="1440" spans="1:4" ht="15.75" customHeight="1" x14ac:dyDescent="0.25">
      <c r="A1440" s="9"/>
      <c r="C1440" s="43"/>
      <c r="D1440" s="43"/>
    </row>
    <row r="1441" spans="1:4" ht="15.75" customHeight="1" x14ac:dyDescent="0.25">
      <c r="A1441" s="9"/>
      <c r="C1441" s="43"/>
      <c r="D1441" s="43"/>
    </row>
    <row r="1442" spans="1:4" ht="15.75" customHeight="1" x14ac:dyDescent="0.25">
      <c r="A1442" s="9"/>
      <c r="C1442" s="43"/>
      <c r="D1442" s="43"/>
    </row>
    <row r="1443" spans="1:4" ht="15.75" customHeight="1" x14ac:dyDescent="0.25">
      <c r="A1443" s="9"/>
      <c r="C1443" s="43"/>
      <c r="D1443" s="43"/>
    </row>
    <row r="1444" spans="1:4" ht="15.75" customHeight="1" x14ac:dyDescent="0.25">
      <c r="A1444" s="9"/>
      <c r="C1444" s="43"/>
      <c r="D1444" s="43"/>
    </row>
    <row r="1445" spans="1:4" ht="15.75" customHeight="1" x14ac:dyDescent="0.25">
      <c r="A1445" s="9"/>
      <c r="C1445" s="43"/>
      <c r="D1445" s="43"/>
    </row>
    <row r="1446" spans="1:4" ht="15.75" customHeight="1" x14ac:dyDescent="0.25">
      <c r="A1446" s="9"/>
      <c r="C1446" s="43"/>
      <c r="D1446" s="43"/>
    </row>
    <row r="1447" spans="1:4" ht="15.75" customHeight="1" x14ac:dyDescent="0.25">
      <c r="A1447" s="9"/>
      <c r="C1447" s="43"/>
      <c r="D1447" s="43"/>
    </row>
    <row r="1448" spans="1:4" ht="15.75" customHeight="1" x14ac:dyDescent="0.25">
      <c r="A1448" s="9"/>
      <c r="C1448" s="43"/>
      <c r="D1448" s="43"/>
    </row>
    <row r="1449" spans="1:4" ht="15.75" customHeight="1" x14ac:dyDescent="0.25">
      <c r="A1449" s="9"/>
      <c r="C1449" s="43"/>
      <c r="D1449" s="43"/>
    </row>
    <row r="1450" spans="1:4" ht="15.75" customHeight="1" x14ac:dyDescent="0.25">
      <c r="A1450" s="9"/>
      <c r="C1450" s="43"/>
      <c r="D1450" s="43"/>
    </row>
    <row r="1451" spans="1:4" ht="15.75" customHeight="1" x14ac:dyDescent="0.25">
      <c r="A1451" s="9"/>
      <c r="C1451" s="43"/>
      <c r="D1451" s="43"/>
    </row>
    <row r="1452" spans="1:4" ht="15.75" customHeight="1" x14ac:dyDescent="0.25">
      <c r="A1452" s="9"/>
      <c r="C1452" s="43"/>
      <c r="D1452" s="43"/>
    </row>
    <row r="1453" spans="1:4" ht="15.75" customHeight="1" x14ac:dyDescent="0.25">
      <c r="A1453" s="9"/>
      <c r="C1453" s="43"/>
      <c r="D1453" s="43"/>
    </row>
    <row r="1454" spans="1:4" ht="15.75" customHeight="1" x14ac:dyDescent="0.25">
      <c r="A1454" s="9"/>
      <c r="C1454" s="43"/>
      <c r="D1454" s="43"/>
    </row>
    <row r="1455" spans="1:4" ht="15.75" customHeight="1" x14ac:dyDescent="0.25">
      <c r="A1455" s="9"/>
      <c r="C1455" s="43"/>
      <c r="D1455" s="43"/>
    </row>
    <row r="1456" spans="1:4" ht="15.75" customHeight="1" x14ac:dyDescent="0.25">
      <c r="A1456" s="9"/>
      <c r="C1456" s="43"/>
      <c r="D1456" s="43"/>
    </row>
    <row r="1457" spans="1:4" ht="15.75" customHeight="1" x14ac:dyDescent="0.25">
      <c r="A1457" s="9"/>
      <c r="C1457" s="43"/>
      <c r="D1457" s="43"/>
    </row>
    <row r="1458" spans="1:4" ht="15.75" customHeight="1" x14ac:dyDescent="0.25">
      <c r="A1458" s="9"/>
      <c r="C1458" s="43"/>
      <c r="D1458" s="43"/>
    </row>
    <row r="1459" spans="1:4" ht="15.75" customHeight="1" x14ac:dyDescent="0.25">
      <c r="A1459" s="9"/>
      <c r="C1459" s="43"/>
      <c r="D1459" s="43"/>
    </row>
    <row r="1460" spans="1:4" ht="15.75" customHeight="1" x14ac:dyDescent="0.25">
      <c r="A1460" s="9"/>
      <c r="C1460" s="43"/>
      <c r="D1460" s="43"/>
    </row>
    <row r="1461" spans="1:4" ht="15.75" customHeight="1" x14ac:dyDescent="0.25">
      <c r="A1461" s="9"/>
      <c r="C1461" s="43"/>
      <c r="D1461" s="43"/>
    </row>
    <row r="1462" spans="1:4" ht="15.75" customHeight="1" x14ac:dyDescent="0.25">
      <c r="A1462" s="9"/>
      <c r="C1462" s="43"/>
      <c r="D1462" s="43"/>
    </row>
    <row r="1463" spans="1:4" ht="15.75" customHeight="1" x14ac:dyDescent="0.25">
      <c r="A1463" s="9"/>
      <c r="C1463" s="43"/>
      <c r="D1463" s="43"/>
    </row>
    <row r="1464" spans="1:4" ht="15.75" customHeight="1" x14ac:dyDescent="0.25">
      <c r="A1464" s="9"/>
      <c r="C1464" s="43"/>
      <c r="D1464" s="43"/>
    </row>
    <row r="1465" spans="1:4" ht="15.75" customHeight="1" x14ac:dyDescent="0.25">
      <c r="A1465" s="9"/>
      <c r="C1465" s="43"/>
      <c r="D1465" s="43"/>
    </row>
    <row r="1466" spans="1:4" ht="15.75" customHeight="1" x14ac:dyDescent="0.25">
      <c r="A1466" s="9"/>
      <c r="C1466" s="43"/>
      <c r="D1466" s="43"/>
    </row>
    <row r="1467" spans="1:4" ht="15.75" customHeight="1" x14ac:dyDescent="0.25">
      <c r="A1467" s="9"/>
      <c r="C1467" s="43"/>
      <c r="D1467" s="43"/>
    </row>
    <row r="1468" spans="1:4" ht="15.75" customHeight="1" x14ac:dyDescent="0.25">
      <c r="A1468" s="9"/>
      <c r="C1468" s="43"/>
      <c r="D1468" s="43"/>
    </row>
    <row r="1469" spans="1:4" ht="15.75" customHeight="1" x14ac:dyDescent="0.25">
      <c r="A1469" s="9"/>
      <c r="C1469" s="43"/>
      <c r="D1469" s="43"/>
    </row>
    <row r="1470" spans="1:4" ht="15.75" customHeight="1" x14ac:dyDescent="0.25">
      <c r="A1470" s="9"/>
      <c r="C1470" s="43"/>
      <c r="D1470" s="43"/>
    </row>
    <row r="1471" spans="1:4" ht="15.75" customHeight="1" x14ac:dyDescent="0.25">
      <c r="A1471" s="9"/>
      <c r="C1471" s="43"/>
      <c r="D1471" s="43"/>
    </row>
    <row r="1472" spans="1:4" ht="15.75" customHeight="1" x14ac:dyDescent="0.25">
      <c r="A1472" s="9"/>
      <c r="C1472" s="43"/>
      <c r="D1472" s="43"/>
    </row>
    <row r="1473" spans="1:4" ht="15.75" customHeight="1" x14ac:dyDescent="0.25">
      <c r="A1473" s="9"/>
      <c r="C1473" s="43"/>
      <c r="D1473" s="43"/>
    </row>
    <row r="1474" spans="1:4" ht="15.75" customHeight="1" x14ac:dyDescent="0.25">
      <c r="A1474" s="9"/>
      <c r="C1474" s="43"/>
      <c r="D1474" s="43"/>
    </row>
    <row r="1475" spans="1:4" ht="15.75" customHeight="1" x14ac:dyDescent="0.25">
      <c r="A1475" s="9"/>
      <c r="C1475" s="43"/>
      <c r="D1475" s="43"/>
    </row>
    <row r="1476" spans="1:4" ht="15.75" customHeight="1" x14ac:dyDescent="0.25">
      <c r="A1476" s="9"/>
      <c r="C1476" s="43"/>
      <c r="D1476" s="43"/>
    </row>
    <row r="1477" spans="1:4" ht="15.75" customHeight="1" x14ac:dyDescent="0.25">
      <c r="A1477" s="9"/>
      <c r="C1477" s="43"/>
      <c r="D1477" s="43"/>
    </row>
    <row r="1478" spans="1:4" ht="15.75" customHeight="1" x14ac:dyDescent="0.25">
      <c r="A1478" s="9"/>
      <c r="C1478" s="43"/>
      <c r="D1478" s="43"/>
    </row>
    <row r="1479" spans="1:4" ht="15.75" customHeight="1" x14ac:dyDescent="0.25">
      <c r="A1479" s="9"/>
      <c r="C1479" s="43"/>
      <c r="D1479" s="43"/>
    </row>
    <row r="1480" spans="1:4" ht="15.75" customHeight="1" x14ac:dyDescent="0.25">
      <c r="A1480" s="9"/>
      <c r="C1480" s="43"/>
      <c r="D1480" s="43"/>
    </row>
    <row r="1481" spans="1:4" ht="15.75" customHeight="1" x14ac:dyDescent="0.25">
      <c r="A1481" s="9"/>
      <c r="C1481" s="43"/>
      <c r="D1481" s="43"/>
    </row>
    <row r="1482" spans="1:4" ht="15.75" customHeight="1" x14ac:dyDescent="0.25">
      <c r="A1482" s="9"/>
      <c r="C1482" s="43"/>
      <c r="D1482" s="43"/>
    </row>
    <row r="1483" spans="1:4" ht="15.75" customHeight="1" x14ac:dyDescent="0.25">
      <c r="A1483" s="9"/>
      <c r="C1483" s="43"/>
      <c r="D1483" s="43"/>
    </row>
    <row r="1484" spans="1:4" ht="15.75" customHeight="1" x14ac:dyDescent="0.25">
      <c r="A1484" s="9"/>
      <c r="C1484" s="43"/>
      <c r="D1484" s="43"/>
    </row>
    <row r="1485" spans="1:4" ht="15.75" customHeight="1" x14ac:dyDescent="0.25">
      <c r="A1485" s="9"/>
      <c r="C1485" s="43"/>
      <c r="D1485" s="43"/>
    </row>
    <row r="1486" spans="1:4" ht="15.75" customHeight="1" x14ac:dyDescent="0.25">
      <c r="A1486" s="9"/>
      <c r="C1486" s="43"/>
      <c r="D1486" s="43"/>
    </row>
    <row r="1487" spans="1:4" ht="15.75" customHeight="1" x14ac:dyDescent="0.25">
      <c r="A1487" s="9"/>
      <c r="C1487" s="43"/>
      <c r="D1487" s="43"/>
    </row>
    <row r="1488" spans="1:4" ht="15.75" customHeight="1" x14ac:dyDescent="0.25">
      <c r="A1488" s="9"/>
      <c r="C1488" s="43"/>
      <c r="D1488" s="43"/>
    </row>
    <row r="1489" spans="1:4" ht="15.75" customHeight="1" x14ac:dyDescent="0.25">
      <c r="A1489" s="9"/>
      <c r="C1489" s="43"/>
      <c r="D1489" s="43"/>
    </row>
    <row r="1490" spans="1:4" ht="15.75" customHeight="1" x14ac:dyDescent="0.25">
      <c r="A1490" s="9"/>
      <c r="C1490" s="43"/>
      <c r="D1490" s="43"/>
    </row>
    <row r="1491" spans="1:4" ht="15.75" customHeight="1" x14ac:dyDescent="0.25">
      <c r="A1491" s="9"/>
      <c r="C1491" s="43"/>
      <c r="D1491" s="43"/>
    </row>
    <row r="1492" spans="1:4" ht="15.75" customHeight="1" x14ac:dyDescent="0.25">
      <c r="A1492" s="9"/>
      <c r="C1492" s="43"/>
      <c r="D1492" s="43"/>
    </row>
    <row r="1493" spans="1:4" ht="15.75" customHeight="1" x14ac:dyDescent="0.25">
      <c r="A1493" s="9"/>
      <c r="C1493" s="43"/>
      <c r="D1493" s="43"/>
    </row>
    <row r="1494" spans="1:4" ht="15.75" customHeight="1" x14ac:dyDescent="0.25">
      <c r="A1494" s="9"/>
      <c r="C1494" s="43"/>
      <c r="D1494" s="43"/>
    </row>
    <row r="1495" spans="1:4" ht="15.75" customHeight="1" x14ac:dyDescent="0.25">
      <c r="A1495" s="9"/>
      <c r="C1495" s="43"/>
      <c r="D1495" s="43"/>
    </row>
    <row r="1496" spans="1:4" ht="15.75" customHeight="1" x14ac:dyDescent="0.25">
      <c r="A1496" s="9"/>
      <c r="C1496" s="43"/>
      <c r="D1496" s="43"/>
    </row>
    <row r="1497" spans="1:4" ht="15.75" customHeight="1" x14ac:dyDescent="0.25">
      <c r="A1497" s="9"/>
      <c r="C1497" s="43"/>
      <c r="D1497" s="43"/>
    </row>
    <row r="1498" spans="1:4" ht="15.75" customHeight="1" x14ac:dyDescent="0.25">
      <c r="A1498" s="9"/>
      <c r="C1498" s="43"/>
      <c r="D1498" s="43"/>
    </row>
    <row r="1499" spans="1:4" ht="15.75" customHeight="1" x14ac:dyDescent="0.25">
      <c r="A1499" s="9"/>
      <c r="C1499" s="43"/>
      <c r="D1499" s="43"/>
    </row>
    <row r="1500" spans="1:4" ht="15.75" customHeight="1" x14ac:dyDescent="0.25">
      <c r="A1500" s="9"/>
      <c r="C1500" s="43"/>
      <c r="D1500" s="43"/>
    </row>
    <row r="1501" spans="1:4" ht="15.75" customHeight="1" x14ac:dyDescent="0.25">
      <c r="A1501" s="9"/>
      <c r="C1501" s="43"/>
      <c r="D1501" s="43"/>
    </row>
    <row r="1502" spans="1:4" ht="15.75" customHeight="1" x14ac:dyDescent="0.25">
      <c r="A1502" s="9"/>
      <c r="C1502" s="43"/>
      <c r="D1502" s="43"/>
    </row>
    <row r="1503" spans="1:4" ht="15.75" customHeight="1" x14ac:dyDescent="0.25">
      <c r="A1503" s="9"/>
      <c r="C1503" s="43"/>
      <c r="D1503" s="43"/>
    </row>
    <row r="1504" spans="1:4" ht="15.75" customHeight="1" x14ac:dyDescent="0.25">
      <c r="A1504" s="9"/>
      <c r="C1504" s="43"/>
      <c r="D1504" s="43"/>
    </row>
    <row r="1505" spans="1:4" ht="15.75" customHeight="1" x14ac:dyDescent="0.25">
      <c r="A1505" s="9"/>
      <c r="C1505" s="43"/>
      <c r="D1505" s="43"/>
    </row>
    <row r="1506" spans="1:4" ht="15.75" customHeight="1" x14ac:dyDescent="0.25">
      <c r="A1506" s="9"/>
      <c r="C1506" s="43"/>
      <c r="D1506" s="43"/>
    </row>
    <row r="1507" spans="1:4" ht="15.75" customHeight="1" x14ac:dyDescent="0.25">
      <c r="A1507" s="9"/>
      <c r="C1507" s="43"/>
      <c r="D1507" s="43"/>
    </row>
    <row r="1508" spans="1:4" ht="15.75" customHeight="1" x14ac:dyDescent="0.25">
      <c r="A1508" s="9"/>
      <c r="C1508" s="43"/>
      <c r="D1508" s="43"/>
    </row>
    <row r="1509" spans="1:4" ht="15.75" customHeight="1" x14ac:dyDescent="0.25">
      <c r="A1509" s="9"/>
      <c r="C1509" s="43"/>
      <c r="D1509" s="43"/>
    </row>
    <row r="1510" spans="1:4" ht="15.75" customHeight="1" x14ac:dyDescent="0.25">
      <c r="A1510" s="9"/>
      <c r="C1510" s="43"/>
      <c r="D1510" s="43"/>
    </row>
    <row r="1511" spans="1:4" ht="15.75" customHeight="1" x14ac:dyDescent="0.25">
      <c r="A1511" s="9"/>
      <c r="C1511" s="43"/>
      <c r="D1511" s="43"/>
    </row>
    <row r="1512" spans="1:4" ht="15.75" customHeight="1" x14ac:dyDescent="0.25">
      <c r="A1512" s="9"/>
      <c r="C1512" s="43"/>
      <c r="D1512" s="43"/>
    </row>
    <row r="1513" spans="1:4" ht="15.75" customHeight="1" x14ac:dyDescent="0.25">
      <c r="A1513" s="9"/>
      <c r="C1513" s="43"/>
      <c r="D1513" s="43"/>
    </row>
    <row r="1514" spans="1:4" ht="15.75" customHeight="1" x14ac:dyDescent="0.25">
      <c r="A1514" s="9"/>
      <c r="C1514" s="43"/>
      <c r="D1514" s="43"/>
    </row>
    <row r="1515" spans="1:4" ht="15.75" customHeight="1" x14ac:dyDescent="0.25">
      <c r="A1515" s="9"/>
      <c r="C1515" s="43"/>
      <c r="D1515" s="43"/>
    </row>
    <row r="1516" spans="1:4" ht="15.75" customHeight="1" x14ac:dyDescent="0.25">
      <c r="A1516" s="9"/>
      <c r="C1516" s="43"/>
      <c r="D1516" s="43"/>
    </row>
    <row r="1517" spans="1:4" ht="15.75" customHeight="1" x14ac:dyDescent="0.25">
      <c r="A1517" s="9"/>
      <c r="C1517" s="43"/>
      <c r="D1517" s="43"/>
    </row>
    <row r="1518" spans="1:4" ht="15.75" customHeight="1" x14ac:dyDescent="0.25">
      <c r="A1518" s="9"/>
      <c r="C1518" s="43"/>
      <c r="D1518" s="43"/>
    </row>
    <row r="1519" spans="1:4" ht="15.75" customHeight="1" x14ac:dyDescent="0.25">
      <c r="A1519" s="9"/>
      <c r="C1519" s="43"/>
      <c r="D1519" s="43"/>
    </row>
    <row r="1520" spans="1:4" ht="15.75" customHeight="1" x14ac:dyDescent="0.25">
      <c r="A1520" s="9"/>
      <c r="C1520" s="43"/>
      <c r="D1520" s="43"/>
    </row>
    <row r="1521" spans="1:4" ht="15.75" customHeight="1" x14ac:dyDescent="0.25">
      <c r="A1521" s="9"/>
      <c r="C1521" s="43"/>
      <c r="D1521" s="43"/>
    </row>
    <row r="1522" spans="1:4" ht="15.75" customHeight="1" x14ac:dyDescent="0.25">
      <c r="A1522" s="9"/>
      <c r="C1522" s="43"/>
      <c r="D1522" s="43"/>
    </row>
    <row r="1523" spans="1:4" ht="15.75" customHeight="1" x14ac:dyDescent="0.25">
      <c r="A1523" s="9"/>
      <c r="C1523" s="43"/>
      <c r="D1523" s="43"/>
    </row>
    <row r="1524" spans="1:4" ht="15.75" customHeight="1" x14ac:dyDescent="0.25">
      <c r="A1524" s="9"/>
      <c r="C1524" s="43"/>
      <c r="D1524" s="43"/>
    </row>
    <row r="1525" spans="1:4" ht="15.75" customHeight="1" x14ac:dyDescent="0.25">
      <c r="A1525" s="9"/>
      <c r="C1525" s="43"/>
      <c r="D1525" s="43"/>
    </row>
    <row r="1526" spans="1:4" ht="15.75" customHeight="1" x14ac:dyDescent="0.25">
      <c r="A1526" s="9"/>
      <c r="C1526" s="43"/>
      <c r="D1526" s="43"/>
    </row>
    <row r="1527" spans="1:4" ht="15.75" customHeight="1" x14ac:dyDescent="0.25">
      <c r="A1527" s="9"/>
      <c r="C1527" s="43"/>
      <c r="D1527" s="43"/>
    </row>
    <row r="1528" spans="1:4" ht="15.75" customHeight="1" x14ac:dyDescent="0.25">
      <c r="A1528" s="9"/>
      <c r="C1528" s="43"/>
      <c r="D1528" s="43"/>
    </row>
    <row r="1529" spans="1:4" ht="15.75" customHeight="1" x14ac:dyDescent="0.25">
      <c r="A1529" s="9"/>
      <c r="C1529" s="43"/>
      <c r="D1529" s="43"/>
    </row>
    <row r="1530" spans="1:4" ht="15.75" customHeight="1" x14ac:dyDescent="0.25">
      <c r="A1530" s="9"/>
      <c r="C1530" s="43"/>
      <c r="D1530" s="43"/>
    </row>
    <row r="1531" spans="1:4" ht="15.75" customHeight="1" x14ac:dyDescent="0.25">
      <c r="A1531" s="9"/>
      <c r="C1531" s="43"/>
      <c r="D1531" s="43"/>
    </row>
    <row r="1532" spans="1:4" ht="15.75" customHeight="1" x14ac:dyDescent="0.25">
      <c r="A1532" s="9"/>
      <c r="C1532" s="43"/>
      <c r="D1532" s="43"/>
    </row>
    <row r="1533" spans="1:4" ht="15.75" customHeight="1" x14ac:dyDescent="0.25">
      <c r="A1533" s="9"/>
      <c r="C1533" s="43"/>
      <c r="D1533" s="43"/>
    </row>
    <row r="1534" spans="1:4" ht="15.75" customHeight="1" x14ac:dyDescent="0.25">
      <c r="A1534" s="9"/>
      <c r="C1534" s="43"/>
      <c r="D1534" s="43"/>
    </row>
    <row r="1535" spans="1:4" ht="15.75" customHeight="1" x14ac:dyDescent="0.25">
      <c r="A1535" s="9"/>
      <c r="C1535" s="43"/>
      <c r="D1535" s="43"/>
    </row>
    <row r="1536" spans="1:4" ht="15.75" customHeight="1" x14ac:dyDescent="0.25">
      <c r="A1536" s="9"/>
      <c r="C1536" s="43"/>
      <c r="D1536" s="43"/>
    </row>
    <row r="1537" spans="1:4" ht="15.75" customHeight="1" x14ac:dyDescent="0.25">
      <c r="A1537" s="9"/>
      <c r="C1537" s="43"/>
      <c r="D1537" s="43"/>
    </row>
    <row r="1538" spans="1:4" ht="15.75" customHeight="1" x14ac:dyDescent="0.25">
      <c r="A1538" s="9"/>
      <c r="C1538" s="43"/>
      <c r="D1538" s="43"/>
    </row>
    <row r="1539" spans="1:4" ht="15.75" customHeight="1" x14ac:dyDescent="0.25">
      <c r="A1539" s="9"/>
      <c r="C1539" s="43"/>
      <c r="D1539" s="43"/>
    </row>
    <row r="1540" spans="1:4" ht="15.75" customHeight="1" x14ac:dyDescent="0.25">
      <c r="A1540" s="9"/>
      <c r="C1540" s="43"/>
      <c r="D1540" s="43"/>
    </row>
    <row r="1541" spans="1:4" ht="15.75" customHeight="1" x14ac:dyDescent="0.25">
      <c r="A1541" s="9"/>
      <c r="C1541" s="43"/>
      <c r="D1541" s="43"/>
    </row>
    <row r="1542" spans="1:4" ht="15.75" customHeight="1" x14ac:dyDescent="0.25">
      <c r="A1542" s="9"/>
      <c r="C1542" s="43"/>
      <c r="D1542" s="43"/>
    </row>
    <row r="1543" spans="1:4" ht="15.75" customHeight="1" x14ac:dyDescent="0.25">
      <c r="A1543" s="9"/>
      <c r="C1543" s="43"/>
      <c r="D1543" s="43"/>
    </row>
    <row r="1544" spans="1:4" ht="15.75" customHeight="1" x14ac:dyDescent="0.25">
      <c r="A1544" s="9"/>
      <c r="C1544" s="43"/>
      <c r="D1544" s="43"/>
    </row>
    <row r="1545" spans="1:4" ht="15.75" customHeight="1" x14ac:dyDescent="0.25">
      <c r="A1545" s="9"/>
      <c r="C1545" s="43"/>
      <c r="D1545" s="43"/>
    </row>
    <row r="1546" spans="1:4" ht="15.75" customHeight="1" x14ac:dyDescent="0.25">
      <c r="A1546" s="9"/>
      <c r="C1546" s="43"/>
      <c r="D1546" s="43"/>
    </row>
    <row r="1547" spans="1:4" ht="15.75" customHeight="1" x14ac:dyDescent="0.25">
      <c r="A1547" s="9"/>
      <c r="C1547" s="43"/>
      <c r="D1547" s="43"/>
    </row>
    <row r="1548" spans="1:4" ht="15.75" customHeight="1" x14ac:dyDescent="0.25">
      <c r="A1548" s="9"/>
      <c r="C1548" s="43"/>
      <c r="D1548" s="43"/>
    </row>
    <row r="1549" spans="1:4" ht="15.75" customHeight="1" x14ac:dyDescent="0.25">
      <c r="A1549" s="9"/>
      <c r="C1549" s="43"/>
      <c r="D1549" s="43"/>
    </row>
    <row r="1550" spans="1:4" ht="15.75" customHeight="1" x14ac:dyDescent="0.25">
      <c r="A1550" s="9"/>
      <c r="C1550" s="43"/>
      <c r="D1550" s="43"/>
    </row>
    <row r="1551" spans="1:4" ht="15.75" customHeight="1" x14ac:dyDescent="0.25">
      <c r="A1551" s="9"/>
      <c r="C1551" s="43"/>
      <c r="D1551" s="43"/>
    </row>
    <row r="1552" spans="1:4" ht="15.75" customHeight="1" x14ac:dyDescent="0.25">
      <c r="A1552" s="9"/>
      <c r="C1552" s="43"/>
      <c r="D1552" s="43"/>
    </row>
    <row r="1553" spans="1:4" ht="15.75" customHeight="1" x14ac:dyDescent="0.25">
      <c r="A1553" s="9"/>
      <c r="C1553" s="43"/>
      <c r="D1553" s="43"/>
    </row>
    <row r="1554" spans="1:4" ht="15.75" customHeight="1" x14ac:dyDescent="0.25">
      <c r="A1554" s="9"/>
      <c r="C1554" s="43"/>
      <c r="D1554" s="43"/>
    </row>
    <row r="1555" spans="1:4" ht="15.75" customHeight="1" x14ac:dyDescent="0.25">
      <c r="A1555" s="9"/>
      <c r="C1555" s="43"/>
      <c r="D1555" s="43"/>
    </row>
    <row r="1556" spans="1:4" ht="15.75" customHeight="1" x14ac:dyDescent="0.25">
      <c r="A1556" s="9"/>
      <c r="C1556" s="43"/>
      <c r="D1556" s="43"/>
    </row>
    <row r="1557" spans="1:4" ht="15.75" customHeight="1" x14ac:dyDescent="0.25">
      <c r="A1557" s="9"/>
      <c r="C1557" s="43"/>
      <c r="D1557" s="43"/>
    </row>
    <row r="1558" spans="1:4" ht="15.75" customHeight="1" x14ac:dyDescent="0.25">
      <c r="A1558" s="9"/>
      <c r="C1558" s="43"/>
      <c r="D1558" s="43"/>
    </row>
    <row r="1559" spans="1:4" ht="15.75" customHeight="1" x14ac:dyDescent="0.25">
      <c r="A1559" s="9"/>
      <c r="C1559" s="43"/>
      <c r="D1559" s="43"/>
    </row>
    <row r="1560" spans="1:4" ht="15.75" customHeight="1" x14ac:dyDescent="0.25">
      <c r="A1560" s="9"/>
      <c r="C1560" s="43"/>
      <c r="D1560" s="43"/>
    </row>
    <row r="1561" spans="1:4" ht="15.75" customHeight="1" x14ac:dyDescent="0.25">
      <c r="A1561" s="9"/>
      <c r="C1561" s="43"/>
      <c r="D1561" s="43"/>
    </row>
    <row r="1562" spans="1:4" ht="15.75" customHeight="1" x14ac:dyDescent="0.25">
      <c r="A1562" s="9"/>
      <c r="C1562" s="43"/>
      <c r="D1562" s="43"/>
    </row>
    <row r="1563" spans="1:4" ht="15.75" customHeight="1" x14ac:dyDescent="0.25">
      <c r="A1563" s="9"/>
      <c r="C1563" s="43"/>
      <c r="D1563" s="43"/>
    </row>
    <row r="1564" spans="1:4" ht="15.75" customHeight="1" x14ac:dyDescent="0.25">
      <c r="A1564" s="9"/>
      <c r="C1564" s="43"/>
      <c r="D1564" s="43"/>
    </row>
    <row r="1565" spans="1:4" ht="15.75" customHeight="1" x14ac:dyDescent="0.25">
      <c r="A1565" s="9"/>
      <c r="C1565" s="43"/>
      <c r="D1565" s="43"/>
    </row>
    <row r="1566" spans="1:4" ht="15.75" customHeight="1" x14ac:dyDescent="0.25">
      <c r="A1566" s="9"/>
      <c r="C1566" s="43"/>
      <c r="D1566" s="43"/>
    </row>
    <row r="1567" spans="1:4" ht="15.75" customHeight="1" x14ac:dyDescent="0.25">
      <c r="A1567" s="9"/>
      <c r="C1567" s="43"/>
      <c r="D1567" s="43"/>
    </row>
    <row r="1568" spans="1:4" ht="15.75" customHeight="1" x14ac:dyDescent="0.25">
      <c r="A1568" s="9"/>
      <c r="C1568" s="43"/>
      <c r="D1568" s="43"/>
    </row>
    <row r="1569" spans="1:4" ht="15.75" customHeight="1" x14ac:dyDescent="0.25">
      <c r="A1569" s="9"/>
      <c r="C1569" s="43"/>
      <c r="D1569" s="43"/>
    </row>
    <row r="1570" spans="1:4" ht="15.75" customHeight="1" x14ac:dyDescent="0.25">
      <c r="A1570" s="9"/>
      <c r="C1570" s="43"/>
      <c r="D1570" s="43"/>
    </row>
    <row r="1571" spans="1:4" ht="15.75" customHeight="1" x14ac:dyDescent="0.25">
      <c r="A1571" s="9"/>
      <c r="C1571" s="43"/>
      <c r="D1571" s="43"/>
    </row>
    <row r="1572" spans="1:4" ht="15.75" customHeight="1" x14ac:dyDescent="0.25">
      <c r="A1572" s="9"/>
      <c r="C1572" s="43"/>
      <c r="D1572" s="43"/>
    </row>
    <row r="1573" spans="1:4" ht="15.75" customHeight="1" x14ac:dyDescent="0.25">
      <c r="A1573" s="9"/>
      <c r="C1573" s="43"/>
      <c r="D1573" s="43"/>
    </row>
    <row r="1574" spans="1:4" ht="15.75" customHeight="1" x14ac:dyDescent="0.25">
      <c r="A1574" s="9"/>
      <c r="C1574" s="43"/>
      <c r="D1574" s="43"/>
    </row>
    <row r="1575" spans="1:4" ht="15.75" customHeight="1" x14ac:dyDescent="0.25">
      <c r="A1575" s="9"/>
      <c r="C1575" s="43"/>
      <c r="D1575" s="43"/>
    </row>
    <row r="1576" spans="1:4" ht="15.75" customHeight="1" x14ac:dyDescent="0.25">
      <c r="A1576" s="9"/>
      <c r="C1576" s="43"/>
      <c r="D1576" s="43"/>
    </row>
    <row r="1577" spans="1:4" ht="15.75" customHeight="1" x14ac:dyDescent="0.25">
      <c r="A1577" s="9"/>
      <c r="C1577" s="43"/>
      <c r="D1577" s="43"/>
    </row>
    <row r="1578" spans="1:4" ht="15.75" customHeight="1" x14ac:dyDescent="0.25">
      <c r="A1578" s="9"/>
      <c r="C1578" s="43"/>
      <c r="D1578" s="43"/>
    </row>
    <row r="1579" spans="1:4" ht="15.75" customHeight="1" x14ac:dyDescent="0.25">
      <c r="A1579" s="9"/>
      <c r="C1579" s="43"/>
      <c r="D1579" s="43"/>
    </row>
    <row r="1580" spans="1:4" ht="15.75" customHeight="1" x14ac:dyDescent="0.25">
      <c r="A1580" s="9"/>
      <c r="C1580" s="43"/>
      <c r="D1580" s="43"/>
    </row>
    <row r="1581" spans="1:4" ht="15.75" customHeight="1" x14ac:dyDescent="0.25">
      <c r="A1581" s="9"/>
      <c r="C1581" s="43"/>
      <c r="D1581" s="43"/>
    </row>
    <row r="1582" spans="1:4" ht="15.75" customHeight="1" x14ac:dyDescent="0.25">
      <c r="A1582" s="9"/>
      <c r="C1582" s="43"/>
      <c r="D1582" s="43"/>
    </row>
    <row r="1583" spans="1:4" ht="15.75" customHeight="1" x14ac:dyDescent="0.25">
      <c r="A1583" s="9"/>
      <c r="C1583" s="43"/>
      <c r="D1583" s="43"/>
    </row>
    <row r="1584" spans="1:4" ht="15.75" customHeight="1" x14ac:dyDescent="0.25">
      <c r="A1584" s="9"/>
      <c r="C1584" s="43"/>
      <c r="D1584" s="43"/>
    </row>
    <row r="1585" spans="1:4" ht="15.75" customHeight="1" x14ac:dyDescent="0.25">
      <c r="A1585" s="9"/>
      <c r="C1585" s="43"/>
      <c r="D1585" s="43"/>
    </row>
    <row r="1586" spans="1:4" ht="15.75" customHeight="1" x14ac:dyDescent="0.25">
      <c r="A1586" s="9"/>
      <c r="C1586" s="43"/>
      <c r="D1586" s="43"/>
    </row>
    <row r="1587" spans="1:4" ht="15.75" customHeight="1" x14ac:dyDescent="0.25">
      <c r="A1587" s="9"/>
      <c r="C1587" s="43"/>
      <c r="D1587" s="43"/>
    </row>
    <row r="1588" spans="1:4" ht="15.75" customHeight="1" x14ac:dyDescent="0.25">
      <c r="A1588" s="9"/>
      <c r="C1588" s="43"/>
      <c r="D1588" s="43"/>
    </row>
    <row r="1589" spans="1:4" ht="15.75" customHeight="1" x14ac:dyDescent="0.25">
      <c r="A1589" s="9"/>
      <c r="C1589" s="43"/>
      <c r="D1589" s="43"/>
    </row>
    <row r="1590" spans="1:4" ht="15.75" customHeight="1" x14ac:dyDescent="0.25">
      <c r="A1590" s="9"/>
      <c r="C1590" s="43"/>
      <c r="D1590" s="43"/>
    </row>
    <row r="1591" spans="1:4" ht="15.75" customHeight="1" x14ac:dyDescent="0.25">
      <c r="A1591" s="9"/>
      <c r="C1591" s="43"/>
      <c r="D1591" s="43"/>
    </row>
    <row r="1592" spans="1:4" ht="15.75" customHeight="1" x14ac:dyDescent="0.25">
      <c r="A1592" s="9"/>
      <c r="C1592" s="43"/>
      <c r="D1592" s="43"/>
    </row>
    <row r="1593" spans="1:4" ht="15.75" customHeight="1" x14ac:dyDescent="0.25">
      <c r="A1593" s="9"/>
      <c r="C1593" s="43"/>
      <c r="D1593" s="43"/>
    </row>
    <row r="1594" spans="1:4" ht="15.75" customHeight="1" x14ac:dyDescent="0.25">
      <c r="A1594" s="9"/>
      <c r="C1594" s="43"/>
      <c r="D1594" s="43"/>
    </row>
    <row r="1595" spans="1:4" ht="15.75" customHeight="1" x14ac:dyDescent="0.25">
      <c r="A1595" s="9"/>
      <c r="C1595" s="43"/>
      <c r="D1595" s="43"/>
    </row>
    <row r="1596" spans="1:4" ht="15.75" customHeight="1" x14ac:dyDescent="0.25">
      <c r="A1596" s="9"/>
      <c r="C1596" s="43"/>
      <c r="D1596" s="43"/>
    </row>
    <row r="1597" spans="1:4" ht="15.75" customHeight="1" x14ac:dyDescent="0.25">
      <c r="A1597" s="9"/>
      <c r="C1597" s="43"/>
      <c r="D1597" s="43"/>
    </row>
    <row r="1598" spans="1:4" ht="15.75" customHeight="1" x14ac:dyDescent="0.25">
      <c r="A1598" s="9"/>
      <c r="C1598" s="43"/>
      <c r="D1598" s="43"/>
    </row>
    <row r="1599" spans="1:4" ht="15.75" customHeight="1" x14ac:dyDescent="0.25">
      <c r="A1599" s="9"/>
      <c r="C1599" s="43"/>
      <c r="D1599" s="43"/>
    </row>
    <row r="1600" spans="1:4" ht="15.75" customHeight="1" x14ac:dyDescent="0.25">
      <c r="A1600" s="9"/>
      <c r="C1600" s="43"/>
      <c r="D1600" s="43"/>
    </row>
    <row r="1601" spans="1:4" ht="15.75" customHeight="1" x14ac:dyDescent="0.25">
      <c r="A1601" s="9"/>
      <c r="C1601" s="43"/>
      <c r="D1601" s="43"/>
    </row>
    <row r="1602" spans="1:4" ht="15.75" customHeight="1" x14ac:dyDescent="0.25">
      <c r="A1602" s="9"/>
      <c r="C1602" s="43"/>
      <c r="D1602" s="43"/>
    </row>
    <row r="1603" spans="1:4" ht="15.75" customHeight="1" x14ac:dyDescent="0.25">
      <c r="A1603" s="9"/>
      <c r="C1603" s="43"/>
      <c r="D1603" s="43"/>
    </row>
    <row r="1604" spans="1:4" ht="15.75" customHeight="1" x14ac:dyDescent="0.25">
      <c r="A1604" s="9"/>
      <c r="C1604" s="43"/>
      <c r="D1604" s="43"/>
    </row>
    <row r="1605" spans="1:4" ht="15.75" customHeight="1" x14ac:dyDescent="0.25">
      <c r="A1605" s="9"/>
      <c r="C1605" s="43"/>
      <c r="D1605" s="43"/>
    </row>
    <row r="1606" spans="1:4" ht="15.75" customHeight="1" x14ac:dyDescent="0.25">
      <c r="A1606" s="9"/>
      <c r="C1606" s="43"/>
      <c r="D1606" s="43"/>
    </row>
    <row r="1607" spans="1:4" ht="15.75" customHeight="1" x14ac:dyDescent="0.25">
      <c r="A1607" s="9"/>
      <c r="C1607" s="43"/>
      <c r="D1607" s="43"/>
    </row>
    <row r="1608" spans="1:4" ht="15.75" customHeight="1" x14ac:dyDescent="0.25">
      <c r="A1608" s="9"/>
      <c r="C1608" s="43"/>
      <c r="D1608" s="43"/>
    </row>
    <row r="1609" spans="1:4" ht="15.75" customHeight="1" x14ac:dyDescent="0.25">
      <c r="A1609" s="9"/>
      <c r="C1609" s="43"/>
      <c r="D1609" s="43"/>
    </row>
    <row r="1610" spans="1:4" ht="15.75" customHeight="1" x14ac:dyDescent="0.25">
      <c r="A1610" s="9"/>
      <c r="C1610" s="43"/>
      <c r="D1610" s="43"/>
    </row>
    <row r="1611" spans="1:4" ht="15.75" customHeight="1" x14ac:dyDescent="0.25">
      <c r="A1611" s="9"/>
      <c r="C1611" s="43"/>
      <c r="D1611" s="43"/>
    </row>
    <row r="1612" spans="1:4" ht="15.75" customHeight="1" x14ac:dyDescent="0.25">
      <c r="A1612" s="9"/>
      <c r="C1612" s="43"/>
      <c r="D1612" s="43"/>
    </row>
    <row r="1613" spans="1:4" ht="15.75" customHeight="1" x14ac:dyDescent="0.25">
      <c r="A1613" s="9"/>
      <c r="C1613" s="43"/>
      <c r="D1613" s="43"/>
    </row>
    <row r="1614" spans="1:4" ht="15.75" customHeight="1" x14ac:dyDescent="0.25">
      <c r="A1614" s="9"/>
      <c r="C1614" s="43"/>
      <c r="D1614" s="43"/>
    </row>
    <row r="1615" spans="1:4" ht="15.75" customHeight="1" x14ac:dyDescent="0.25">
      <c r="A1615" s="9"/>
      <c r="C1615" s="43"/>
      <c r="D1615" s="43"/>
    </row>
    <row r="1616" spans="1:4" ht="15.75" customHeight="1" x14ac:dyDescent="0.25">
      <c r="A1616" s="9"/>
      <c r="C1616" s="43"/>
      <c r="D1616" s="43"/>
    </row>
    <row r="1617" spans="1:4" ht="15.75" customHeight="1" x14ac:dyDescent="0.25">
      <c r="A1617" s="9"/>
      <c r="C1617" s="43"/>
      <c r="D1617" s="43"/>
    </row>
    <row r="1618" spans="1:4" ht="15.75" customHeight="1" x14ac:dyDescent="0.25">
      <c r="A1618" s="9"/>
      <c r="C1618" s="43"/>
      <c r="D1618" s="43"/>
    </row>
    <row r="1619" spans="1:4" ht="15.75" customHeight="1" x14ac:dyDescent="0.25">
      <c r="A1619" s="9"/>
      <c r="C1619" s="43"/>
      <c r="D1619" s="43"/>
    </row>
    <row r="1620" spans="1:4" ht="15.75" customHeight="1" x14ac:dyDescent="0.25">
      <c r="A1620" s="9"/>
      <c r="C1620" s="43"/>
      <c r="D1620" s="43"/>
    </row>
    <row r="1621" spans="1:4" ht="15.75" customHeight="1" x14ac:dyDescent="0.25">
      <c r="A1621" s="9"/>
      <c r="C1621" s="43"/>
      <c r="D1621" s="43"/>
    </row>
    <row r="1622" spans="1:4" ht="15.75" customHeight="1" x14ac:dyDescent="0.25">
      <c r="A1622" s="9"/>
      <c r="C1622" s="43"/>
      <c r="D1622" s="43"/>
    </row>
    <row r="1623" spans="1:4" ht="15.75" customHeight="1" x14ac:dyDescent="0.25">
      <c r="A1623" s="9"/>
      <c r="C1623" s="43"/>
      <c r="D1623" s="43"/>
    </row>
    <row r="1624" spans="1:4" ht="15.75" customHeight="1" x14ac:dyDescent="0.25">
      <c r="A1624" s="9"/>
      <c r="C1624" s="43"/>
      <c r="D1624" s="43"/>
    </row>
    <row r="1625" spans="1:4" ht="15.75" customHeight="1" x14ac:dyDescent="0.25">
      <c r="A1625" s="9"/>
      <c r="C1625" s="43"/>
      <c r="D1625" s="43"/>
    </row>
    <row r="1626" spans="1:4" ht="15.75" customHeight="1" x14ac:dyDescent="0.25">
      <c r="A1626" s="9"/>
      <c r="C1626" s="43"/>
      <c r="D1626" s="43"/>
    </row>
    <row r="1627" spans="1:4" ht="15.75" customHeight="1" x14ac:dyDescent="0.25">
      <c r="A1627" s="9"/>
      <c r="C1627" s="43"/>
      <c r="D1627" s="43"/>
    </row>
    <row r="1628" spans="1:4" ht="15.75" customHeight="1" x14ac:dyDescent="0.25">
      <c r="A1628" s="9"/>
      <c r="C1628" s="43"/>
      <c r="D1628" s="43"/>
    </row>
    <row r="1629" spans="1:4" ht="15.75" customHeight="1" x14ac:dyDescent="0.25">
      <c r="A1629" s="9"/>
      <c r="C1629" s="43"/>
      <c r="D1629" s="43"/>
    </row>
    <row r="1630" spans="1:4" ht="15.75" customHeight="1" x14ac:dyDescent="0.25">
      <c r="A1630" s="9"/>
      <c r="C1630" s="43"/>
      <c r="D1630" s="43"/>
    </row>
    <row r="1631" spans="1:4" ht="15.75" customHeight="1" x14ac:dyDescent="0.25">
      <c r="A1631" s="9"/>
      <c r="C1631" s="43"/>
      <c r="D1631" s="43"/>
    </row>
    <row r="1632" spans="1:4" ht="15.75" customHeight="1" x14ac:dyDescent="0.25">
      <c r="A1632" s="9"/>
      <c r="C1632" s="43"/>
      <c r="D1632" s="43"/>
    </row>
    <row r="1633" spans="1:4" ht="15.75" customHeight="1" x14ac:dyDescent="0.25">
      <c r="A1633" s="9"/>
      <c r="C1633" s="43"/>
      <c r="D1633" s="43"/>
    </row>
    <row r="1634" spans="1:4" ht="15.75" customHeight="1" x14ac:dyDescent="0.25">
      <c r="A1634" s="9"/>
      <c r="C1634" s="43"/>
      <c r="D1634" s="43"/>
    </row>
    <row r="1635" spans="1:4" ht="15.75" customHeight="1" x14ac:dyDescent="0.25">
      <c r="A1635" s="9"/>
      <c r="C1635" s="43"/>
      <c r="D1635" s="43"/>
    </row>
    <row r="1636" spans="1:4" ht="15.75" customHeight="1" x14ac:dyDescent="0.25">
      <c r="A1636" s="9"/>
      <c r="C1636" s="43"/>
      <c r="D1636" s="43"/>
    </row>
    <row r="1637" spans="1:4" ht="15.75" customHeight="1" x14ac:dyDescent="0.25">
      <c r="A1637" s="9"/>
      <c r="C1637" s="43"/>
      <c r="D1637" s="43"/>
    </row>
    <row r="1638" spans="1:4" ht="15.75" customHeight="1" x14ac:dyDescent="0.25">
      <c r="A1638" s="9"/>
      <c r="C1638" s="43"/>
      <c r="D1638" s="43"/>
    </row>
    <row r="1639" spans="1:4" ht="15.75" customHeight="1" x14ac:dyDescent="0.25">
      <c r="A1639" s="9"/>
      <c r="C1639" s="43"/>
      <c r="D1639" s="43"/>
    </row>
    <row r="1640" spans="1:4" ht="15.75" customHeight="1" x14ac:dyDescent="0.25">
      <c r="A1640" s="9"/>
      <c r="C1640" s="43"/>
      <c r="D1640" s="43"/>
    </row>
    <row r="1641" spans="1:4" ht="15.75" customHeight="1" x14ac:dyDescent="0.25">
      <c r="A1641" s="9"/>
      <c r="C1641" s="43"/>
      <c r="D1641" s="43"/>
    </row>
    <row r="1642" spans="1:4" ht="15.75" customHeight="1" x14ac:dyDescent="0.25">
      <c r="A1642" s="9"/>
      <c r="C1642" s="43"/>
      <c r="D1642" s="43"/>
    </row>
    <row r="1643" spans="1:4" ht="15.75" customHeight="1" x14ac:dyDescent="0.25">
      <c r="A1643" s="9"/>
      <c r="C1643" s="43"/>
      <c r="D1643" s="43"/>
    </row>
    <row r="1644" spans="1:4" ht="15.75" customHeight="1" x14ac:dyDescent="0.25">
      <c r="A1644" s="9"/>
      <c r="C1644" s="43"/>
      <c r="D1644" s="43"/>
    </row>
    <row r="1645" spans="1:4" ht="15.75" customHeight="1" x14ac:dyDescent="0.25">
      <c r="A1645" s="9"/>
      <c r="C1645" s="43"/>
      <c r="D1645" s="43"/>
    </row>
    <row r="1646" spans="1:4" ht="15.75" customHeight="1" x14ac:dyDescent="0.25">
      <c r="A1646" s="9"/>
      <c r="C1646" s="43"/>
      <c r="D1646" s="43"/>
    </row>
    <row r="1647" spans="1:4" ht="15.75" customHeight="1" x14ac:dyDescent="0.25">
      <c r="A1647" s="9"/>
      <c r="C1647" s="43"/>
      <c r="D1647" s="43"/>
    </row>
    <row r="1648" spans="1:4" ht="15.75" customHeight="1" x14ac:dyDescent="0.25">
      <c r="A1648" s="9"/>
      <c r="C1648" s="43"/>
      <c r="D1648" s="43"/>
    </row>
    <row r="1649" spans="1:4" ht="15.75" customHeight="1" x14ac:dyDescent="0.25">
      <c r="A1649" s="9"/>
      <c r="C1649" s="43"/>
      <c r="D1649" s="43"/>
    </row>
    <row r="1650" spans="1:4" ht="15.75" customHeight="1" x14ac:dyDescent="0.25">
      <c r="A1650" s="9"/>
      <c r="C1650" s="43"/>
      <c r="D1650" s="43"/>
    </row>
    <row r="1651" spans="1:4" ht="15.75" customHeight="1" x14ac:dyDescent="0.25">
      <c r="A1651" s="9"/>
      <c r="C1651" s="43"/>
      <c r="D1651" s="43"/>
    </row>
    <row r="1652" spans="1:4" ht="15.75" customHeight="1" x14ac:dyDescent="0.25">
      <c r="A1652" s="9"/>
      <c r="C1652" s="43"/>
      <c r="D1652" s="43"/>
    </row>
    <row r="1653" spans="1:4" ht="15.75" customHeight="1" x14ac:dyDescent="0.25">
      <c r="A1653" s="9"/>
      <c r="C1653" s="43"/>
      <c r="D1653" s="43"/>
    </row>
    <row r="1654" spans="1:4" ht="15.75" customHeight="1" x14ac:dyDescent="0.25">
      <c r="A1654" s="9"/>
      <c r="C1654" s="43"/>
      <c r="D1654" s="43"/>
    </row>
    <row r="1655" spans="1:4" ht="15.75" customHeight="1" x14ac:dyDescent="0.25">
      <c r="A1655" s="9"/>
      <c r="C1655" s="43"/>
      <c r="D1655" s="43"/>
    </row>
    <row r="1656" spans="1:4" ht="15.75" customHeight="1" x14ac:dyDescent="0.25">
      <c r="A1656" s="9"/>
      <c r="C1656" s="43"/>
      <c r="D1656" s="43"/>
    </row>
    <row r="1657" spans="1:4" ht="15.75" customHeight="1" x14ac:dyDescent="0.25">
      <c r="A1657" s="9"/>
      <c r="C1657" s="43"/>
      <c r="D1657" s="43"/>
    </row>
    <row r="1658" spans="1:4" ht="15.75" customHeight="1" x14ac:dyDescent="0.25">
      <c r="A1658" s="9"/>
      <c r="C1658" s="43"/>
      <c r="D1658" s="43"/>
    </row>
    <row r="1659" spans="1:4" ht="15.75" customHeight="1" x14ac:dyDescent="0.25">
      <c r="A1659" s="9"/>
      <c r="C1659" s="43"/>
      <c r="D1659" s="43"/>
    </row>
    <row r="1660" spans="1:4" ht="15.75" customHeight="1" x14ac:dyDescent="0.25">
      <c r="A1660" s="9"/>
      <c r="C1660" s="43"/>
      <c r="D1660" s="43"/>
    </row>
    <row r="1661" spans="1:4" ht="15.75" customHeight="1" x14ac:dyDescent="0.25">
      <c r="A1661" s="9"/>
      <c r="C1661" s="43"/>
      <c r="D1661" s="43"/>
    </row>
    <row r="1662" spans="1:4" ht="15.75" customHeight="1" x14ac:dyDescent="0.25">
      <c r="A1662" s="9"/>
      <c r="C1662" s="43"/>
      <c r="D1662" s="43"/>
    </row>
    <row r="1663" spans="1:4" ht="15.75" customHeight="1" x14ac:dyDescent="0.25">
      <c r="A1663" s="9"/>
      <c r="C1663" s="43"/>
      <c r="D1663" s="43"/>
    </row>
    <row r="1664" spans="1:4" ht="15.75" customHeight="1" x14ac:dyDescent="0.25">
      <c r="A1664" s="9"/>
      <c r="C1664" s="43"/>
      <c r="D1664" s="43"/>
    </row>
    <row r="1665" spans="1:4" ht="15.75" customHeight="1" x14ac:dyDescent="0.25">
      <c r="A1665" s="9"/>
      <c r="C1665" s="43"/>
      <c r="D1665" s="43"/>
    </row>
    <row r="1666" spans="1:4" ht="15.75" customHeight="1" x14ac:dyDescent="0.25">
      <c r="A1666" s="9"/>
      <c r="C1666" s="43"/>
      <c r="D1666" s="43"/>
    </row>
    <row r="1667" spans="1:4" ht="15.75" customHeight="1" x14ac:dyDescent="0.25">
      <c r="A1667" s="9"/>
      <c r="C1667" s="43"/>
      <c r="D1667" s="43"/>
    </row>
    <row r="1668" spans="1:4" ht="15.75" customHeight="1" x14ac:dyDescent="0.25">
      <c r="A1668" s="9"/>
      <c r="C1668" s="43"/>
      <c r="D1668" s="43"/>
    </row>
    <row r="1669" spans="1:4" ht="15.75" customHeight="1" x14ac:dyDescent="0.25">
      <c r="A1669" s="9"/>
      <c r="C1669" s="43"/>
      <c r="D1669" s="43"/>
    </row>
    <row r="1670" spans="1:4" ht="15.75" customHeight="1" x14ac:dyDescent="0.25">
      <c r="A1670" s="9"/>
      <c r="C1670" s="43"/>
      <c r="D1670" s="43"/>
    </row>
    <row r="1671" spans="1:4" ht="15.75" customHeight="1" x14ac:dyDescent="0.25">
      <c r="A1671" s="9"/>
      <c r="C1671" s="43"/>
      <c r="D1671" s="43"/>
    </row>
    <row r="1672" spans="1:4" ht="15.75" customHeight="1" x14ac:dyDescent="0.25">
      <c r="A1672" s="9"/>
      <c r="C1672" s="43"/>
      <c r="D1672" s="43"/>
    </row>
    <row r="1673" spans="1:4" ht="15.75" customHeight="1" x14ac:dyDescent="0.25">
      <c r="A1673" s="9"/>
      <c r="C1673" s="43"/>
      <c r="D1673" s="43"/>
    </row>
    <row r="1674" spans="1:4" ht="15.75" customHeight="1" x14ac:dyDescent="0.25">
      <c r="A1674" s="9"/>
      <c r="C1674" s="43"/>
      <c r="D1674" s="43"/>
    </row>
    <row r="1675" spans="1:4" ht="15.75" customHeight="1" x14ac:dyDescent="0.25">
      <c r="A1675" s="9"/>
      <c r="C1675" s="43"/>
      <c r="D1675" s="43"/>
    </row>
    <row r="1676" spans="1:4" ht="15.75" customHeight="1" x14ac:dyDescent="0.25">
      <c r="A1676" s="9"/>
      <c r="C1676" s="43"/>
      <c r="D1676" s="43"/>
    </row>
    <row r="1677" spans="1:4" ht="15.75" customHeight="1" x14ac:dyDescent="0.25">
      <c r="A1677" s="9"/>
      <c r="C1677" s="43"/>
      <c r="D1677" s="43"/>
    </row>
    <row r="1678" spans="1:4" ht="15.75" customHeight="1" x14ac:dyDescent="0.25">
      <c r="A1678" s="9"/>
      <c r="C1678" s="43"/>
      <c r="D1678" s="43"/>
    </row>
    <row r="1679" spans="1:4" ht="15.75" customHeight="1" x14ac:dyDescent="0.25">
      <c r="A1679" s="9"/>
      <c r="C1679" s="43"/>
      <c r="D1679" s="43"/>
    </row>
    <row r="1680" spans="1:4" ht="15.75" customHeight="1" x14ac:dyDescent="0.25">
      <c r="A1680" s="9"/>
      <c r="C1680" s="43"/>
      <c r="D1680" s="43"/>
    </row>
    <row r="1681" spans="1:4" ht="15.75" customHeight="1" x14ac:dyDescent="0.25">
      <c r="A1681" s="9"/>
      <c r="C1681" s="43"/>
      <c r="D1681" s="43"/>
    </row>
    <row r="1682" spans="1:4" ht="15.75" customHeight="1" x14ac:dyDescent="0.25">
      <c r="A1682" s="9"/>
      <c r="C1682" s="43"/>
      <c r="D1682" s="43"/>
    </row>
    <row r="1683" spans="1:4" ht="15.75" customHeight="1" x14ac:dyDescent="0.25">
      <c r="A1683" s="9"/>
      <c r="C1683" s="43"/>
      <c r="D1683" s="43"/>
    </row>
    <row r="1684" spans="1:4" ht="15.75" customHeight="1" x14ac:dyDescent="0.25">
      <c r="A1684" s="9"/>
      <c r="C1684" s="43"/>
      <c r="D1684" s="43"/>
    </row>
    <row r="1685" spans="1:4" ht="15.75" customHeight="1" x14ac:dyDescent="0.25">
      <c r="A1685" s="9"/>
      <c r="C1685" s="43"/>
      <c r="D1685" s="43"/>
    </row>
    <row r="1686" spans="1:4" ht="15.75" customHeight="1" x14ac:dyDescent="0.25">
      <c r="A1686" s="9"/>
      <c r="C1686" s="43"/>
      <c r="D1686" s="43"/>
    </row>
    <row r="1687" spans="1:4" ht="15.75" customHeight="1" x14ac:dyDescent="0.25">
      <c r="A1687" s="9"/>
      <c r="C1687" s="43"/>
      <c r="D1687" s="43"/>
    </row>
    <row r="1688" spans="1:4" ht="15.75" customHeight="1" x14ac:dyDescent="0.25">
      <c r="A1688" s="9"/>
      <c r="C1688" s="43"/>
      <c r="D1688" s="43"/>
    </row>
    <row r="1689" spans="1:4" ht="15.75" customHeight="1" x14ac:dyDescent="0.25">
      <c r="A1689" s="9"/>
      <c r="C1689" s="43"/>
      <c r="D1689" s="43"/>
    </row>
    <row r="1690" spans="1:4" ht="15.75" customHeight="1" x14ac:dyDescent="0.25">
      <c r="A1690" s="9"/>
      <c r="C1690" s="43"/>
      <c r="D1690" s="43"/>
    </row>
    <row r="1691" spans="1:4" ht="15.75" customHeight="1" x14ac:dyDescent="0.25">
      <c r="A1691" s="9"/>
      <c r="C1691" s="43"/>
      <c r="D1691" s="43"/>
    </row>
    <row r="1692" spans="1:4" ht="15.75" customHeight="1" x14ac:dyDescent="0.25">
      <c r="A1692" s="9"/>
      <c r="C1692" s="43"/>
      <c r="D1692" s="43"/>
    </row>
    <row r="1693" spans="1:4" ht="15.75" customHeight="1" x14ac:dyDescent="0.25">
      <c r="A1693" s="9"/>
      <c r="C1693" s="43"/>
      <c r="D1693" s="43"/>
    </row>
    <row r="1694" spans="1:4" ht="15.75" customHeight="1" x14ac:dyDescent="0.25">
      <c r="A1694" s="9"/>
      <c r="C1694" s="43"/>
      <c r="D1694" s="43"/>
    </row>
    <row r="1695" spans="1:4" ht="15.75" customHeight="1" x14ac:dyDescent="0.25">
      <c r="A1695" s="9"/>
      <c r="C1695" s="43"/>
      <c r="D1695" s="43"/>
    </row>
    <row r="1696" spans="1:4" ht="15.75" customHeight="1" x14ac:dyDescent="0.25">
      <c r="A1696" s="9"/>
      <c r="C1696" s="43"/>
      <c r="D1696" s="43"/>
    </row>
    <row r="1697" spans="1:4" ht="15.75" customHeight="1" x14ac:dyDescent="0.25">
      <c r="A1697" s="9"/>
      <c r="C1697" s="43"/>
      <c r="D1697" s="43"/>
    </row>
    <row r="1698" spans="1:4" ht="15.75" customHeight="1" x14ac:dyDescent="0.25">
      <c r="A1698" s="9"/>
      <c r="C1698" s="43"/>
      <c r="D1698" s="43"/>
    </row>
    <row r="1699" spans="1:4" ht="15.75" customHeight="1" x14ac:dyDescent="0.25">
      <c r="A1699" s="9"/>
      <c r="C1699" s="43"/>
      <c r="D1699" s="43"/>
    </row>
    <row r="1700" spans="1:4" ht="15.75" customHeight="1" x14ac:dyDescent="0.25">
      <c r="A1700" s="9"/>
      <c r="C1700" s="43"/>
      <c r="D1700" s="43"/>
    </row>
    <row r="1701" spans="1:4" ht="15.75" customHeight="1" x14ac:dyDescent="0.25">
      <c r="A1701" s="9"/>
      <c r="C1701" s="43"/>
      <c r="D1701" s="43"/>
    </row>
    <row r="1702" spans="1:4" ht="15.75" customHeight="1" x14ac:dyDescent="0.25">
      <c r="A1702" s="9"/>
      <c r="C1702" s="43"/>
      <c r="D1702" s="43"/>
    </row>
    <row r="1703" spans="1:4" ht="15.75" customHeight="1" x14ac:dyDescent="0.25">
      <c r="A1703" s="9"/>
      <c r="C1703" s="43"/>
      <c r="D1703" s="43"/>
    </row>
    <row r="1704" spans="1:4" ht="15.75" customHeight="1" x14ac:dyDescent="0.25">
      <c r="A1704" s="9"/>
      <c r="C1704" s="43"/>
      <c r="D1704" s="43"/>
    </row>
    <row r="1705" spans="1:4" ht="15.75" customHeight="1" x14ac:dyDescent="0.25">
      <c r="A1705" s="9"/>
      <c r="C1705" s="43"/>
      <c r="D1705" s="43"/>
    </row>
    <row r="1706" spans="1:4" ht="15.75" customHeight="1" x14ac:dyDescent="0.25">
      <c r="A1706" s="9"/>
      <c r="C1706" s="43"/>
      <c r="D1706" s="43"/>
    </row>
    <row r="1707" spans="1:4" ht="15.75" customHeight="1" x14ac:dyDescent="0.25">
      <c r="A1707" s="9"/>
      <c r="C1707" s="43"/>
      <c r="D1707" s="43"/>
    </row>
    <row r="1708" spans="1:4" ht="15.75" customHeight="1" x14ac:dyDescent="0.25">
      <c r="A1708" s="9"/>
      <c r="C1708" s="43"/>
      <c r="D1708" s="43"/>
    </row>
    <row r="1709" spans="1:4" ht="15.75" customHeight="1" x14ac:dyDescent="0.25">
      <c r="A1709" s="9"/>
      <c r="C1709" s="43"/>
      <c r="D1709" s="43"/>
    </row>
    <row r="1710" spans="1:4" ht="15.75" customHeight="1" x14ac:dyDescent="0.25">
      <c r="A1710" s="9"/>
      <c r="C1710" s="43"/>
      <c r="D1710" s="43"/>
    </row>
    <row r="1711" spans="1:4" ht="15.75" customHeight="1" x14ac:dyDescent="0.25">
      <c r="A1711" s="9"/>
      <c r="C1711" s="43"/>
      <c r="D1711" s="43"/>
    </row>
    <row r="1712" spans="1:4" ht="15.75" customHeight="1" x14ac:dyDescent="0.25">
      <c r="A1712" s="9"/>
      <c r="C1712" s="43"/>
      <c r="D1712" s="43"/>
    </row>
    <row r="1713" spans="1:4" ht="15.75" customHeight="1" x14ac:dyDescent="0.25">
      <c r="A1713" s="9"/>
      <c r="C1713" s="43"/>
      <c r="D1713" s="43"/>
    </row>
    <row r="1714" spans="1:4" ht="15.75" customHeight="1" x14ac:dyDescent="0.25">
      <c r="A1714" s="9"/>
      <c r="C1714" s="43"/>
      <c r="D1714" s="43"/>
    </row>
    <row r="1715" spans="1:4" ht="15.75" customHeight="1" x14ac:dyDescent="0.25">
      <c r="A1715" s="9"/>
      <c r="C1715" s="43"/>
      <c r="D1715" s="43"/>
    </row>
    <row r="1716" spans="1:4" ht="15.75" customHeight="1" x14ac:dyDescent="0.25">
      <c r="A1716" s="9"/>
      <c r="C1716" s="43"/>
      <c r="D1716" s="43"/>
    </row>
    <row r="1717" spans="1:4" ht="15.75" customHeight="1" x14ac:dyDescent="0.25">
      <c r="A1717" s="9"/>
      <c r="C1717" s="43"/>
      <c r="D1717" s="43"/>
    </row>
    <row r="1718" spans="1:4" ht="15.75" customHeight="1" x14ac:dyDescent="0.25">
      <c r="A1718" s="9"/>
      <c r="C1718" s="43"/>
      <c r="D1718" s="43"/>
    </row>
    <row r="1719" spans="1:4" ht="15.75" customHeight="1" x14ac:dyDescent="0.25">
      <c r="A1719" s="9"/>
      <c r="C1719" s="43"/>
      <c r="D1719" s="43"/>
    </row>
    <row r="1720" spans="1:4" ht="15.75" customHeight="1" x14ac:dyDescent="0.25">
      <c r="A1720" s="9"/>
      <c r="C1720" s="43"/>
      <c r="D1720" s="43"/>
    </row>
    <row r="1721" spans="1:4" ht="15.75" customHeight="1" x14ac:dyDescent="0.25">
      <c r="A1721" s="9"/>
      <c r="C1721" s="43"/>
      <c r="D1721" s="43"/>
    </row>
    <row r="1722" spans="1:4" ht="15.75" customHeight="1" x14ac:dyDescent="0.25">
      <c r="A1722" s="9"/>
      <c r="C1722" s="43"/>
      <c r="D1722" s="43"/>
    </row>
    <row r="1723" spans="1:4" ht="15.75" customHeight="1" x14ac:dyDescent="0.25">
      <c r="A1723" s="9"/>
      <c r="C1723" s="43"/>
      <c r="D1723" s="43"/>
    </row>
    <row r="1724" spans="1:4" ht="15.75" customHeight="1" x14ac:dyDescent="0.25">
      <c r="A1724" s="9"/>
      <c r="C1724" s="43"/>
      <c r="D1724" s="43"/>
    </row>
    <row r="1725" spans="1:4" ht="15.75" customHeight="1" x14ac:dyDescent="0.25">
      <c r="A1725" s="9"/>
      <c r="C1725" s="43"/>
      <c r="D1725" s="43"/>
    </row>
    <row r="1726" spans="1:4" ht="15.75" customHeight="1" x14ac:dyDescent="0.25">
      <c r="A1726" s="9"/>
      <c r="C1726" s="43"/>
      <c r="D1726" s="43"/>
    </row>
    <row r="1727" spans="1:4" ht="15.75" customHeight="1" x14ac:dyDescent="0.25">
      <c r="A1727" s="9"/>
      <c r="C1727" s="43"/>
      <c r="D1727" s="43"/>
    </row>
    <row r="1728" spans="1:4" ht="15.75" customHeight="1" x14ac:dyDescent="0.25">
      <c r="A1728" s="9"/>
      <c r="C1728" s="43"/>
      <c r="D1728" s="43"/>
    </row>
    <row r="1729" spans="1:4" ht="15.75" customHeight="1" x14ac:dyDescent="0.25">
      <c r="A1729" s="9"/>
      <c r="C1729" s="43"/>
      <c r="D1729" s="43"/>
    </row>
    <row r="1730" spans="1:4" ht="15.75" customHeight="1" x14ac:dyDescent="0.25">
      <c r="A1730" s="9"/>
      <c r="C1730" s="43"/>
      <c r="D1730" s="43"/>
    </row>
    <row r="1731" spans="1:4" ht="15.75" customHeight="1" x14ac:dyDescent="0.25">
      <c r="A1731" s="9"/>
      <c r="C1731" s="43"/>
      <c r="D1731" s="43"/>
    </row>
    <row r="1732" spans="1:4" ht="15.75" customHeight="1" x14ac:dyDescent="0.25">
      <c r="A1732" s="9"/>
      <c r="C1732" s="43"/>
      <c r="D1732" s="43"/>
    </row>
    <row r="1733" spans="1:4" ht="15.75" customHeight="1" x14ac:dyDescent="0.25">
      <c r="A1733" s="9"/>
      <c r="C1733" s="43"/>
      <c r="D1733" s="43"/>
    </row>
    <row r="1734" spans="1:4" ht="15.75" customHeight="1" x14ac:dyDescent="0.25">
      <c r="A1734" s="9"/>
      <c r="C1734" s="43"/>
      <c r="D1734" s="43"/>
    </row>
    <row r="1735" spans="1:4" ht="15.75" customHeight="1" x14ac:dyDescent="0.25">
      <c r="A1735" s="9"/>
      <c r="C1735" s="43"/>
      <c r="D1735" s="43"/>
    </row>
    <row r="1736" spans="1:4" ht="15.75" customHeight="1" x14ac:dyDescent="0.25">
      <c r="A1736" s="9"/>
      <c r="C1736" s="43"/>
      <c r="D1736" s="43"/>
    </row>
    <row r="1737" spans="1:4" ht="15.75" customHeight="1" x14ac:dyDescent="0.25">
      <c r="A1737" s="9"/>
      <c r="C1737" s="43"/>
      <c r="D1737" s="43"/>
    </row>
    <row r="1738" spans="1:4" ht="15.75" customHeight="1" x14ac:dyDescent="0.25">
      <c r="A1738" s="9"/>
      <c r="C1738" s="43"/>
      <c r="D1738" s="43"/>
    </row>
    <row r="1739" spans="1:4" ht="15.75" customHeight="1" x14ac:dyDescent="0.25">
      <c r="A1739" s="9"/>
      <c r="C1739" s="43"/>
      <c r="D1739" s="43"/>
    </row>
    <row r="1740" spans="1:4" ht="15.75" customHeight="1" x14ac:dyDescent="0.25">
      <c r="A1740" s="9"/>
      <c r="C1740" s="43"/>
      <c r="D1740" s="43"/>
    </row>
    <row r="1741" spans="1:4" ht="15.75" customHeight="1" x14ac:dyDescent="0.25">
      <c r="A1741" s="9"/>
      <c r="C1741" s="43"/>
      <c r="D1741" s="43"/>
    </row>
    <row r="1742" spans="1:4" ht="15.75" customHeight="1" x14ac:dyDescent="0.25">
      <c r="A1742" s="9"/>
      <c r="C1742" s="43"/>
      <c r="D1742" s="43"/>
    </row>
    <row r="1743" spans="1:4" ht="15.75" customHeight="1" x14ac:dyDescent="0.25">
      <c r="A1743" s="9"/>
      <c r="C1743" s="43"/>
      <c r="D1743" s="43"/>
    </row>
    <row r="1744" spans="1:4" ht="15.75" customHeight="1" x14ac:dyDescent="0.25">
      <c r="A1744" s="9"/>
      <c r="C1744" s="43"/>
      <c r="D1744" s="43"/>
    </row>
    <row r="1745" spans="1:4" ht="15.75" customHeight="1" x14ac:dyDescent="0.25">
      <c r="A1745" s="9"/>
      <c r="C1745" s="43"/>
      <c r="D1745" s="43"/>
    </row>
    <row r="1746" spans="1:4" ht="15.75" customHeight="1" x14ac:dyDescent="0.25">
      <c r="A1746" s="9"/>
      <c r="C1746" s="43"/>
      <c r="D1746" s="43"/>
    </row>
    <row r="1747" spans="1:4" ht="15.75" customHeight="1" x14ac:dyDescent="0.25">
      <c r="A1747" s="9"/>
      <c r="C1747" s="43"/>
      <c r="D1747" s="43"/>
    </row>
    <row r="1748" spans="1:4" ht="15.75" customHeight="1" x14ac:dyDescent="0.25">
      <c r="A1748" s="9"/>
      <c r="C1748" s="43"/>
      <c r="D1748" s="43"/>
    </row>
    <row r="1749" spans="1:4" ht="15.75" customHeight="1" x14ac:dyDescent="0.25">
      <c r="A1749" s="9"/>
      <c r="C1749" s="43"/>
      <c r="D1749" s="43"/>
    </row>
    <row r="1750" spans="1:4" ht="15.75" customHeight="1" x14ac:dyDescent="0.25">
      <c r="A1750" s="9"/>
      <c r="C1750" s="43"/>
      <c r="D1750" s="43"/>
    </row>
    <row r="1751" spans="1:4" ht="15.75" customHeight="1" x14ac:dyDescent="0.25">
      <c r="A1751" s="9"/>
      <c r="C1751" s="43"/>
      <c r="D1751" s="43"/>
    </row>
    <row r="1752" spans="1:4" ht="15.75" customHeight="1" x14ac:dyDescent="0.25">
      <c r="A1752" s="9"/>
      <c r="C1752" s="43"/>
      <c r="D1752" s="43"/>
    </row>
    <row r="1753" spans="1:4" ht="15.75" customHeight="1" x14ac:dyDescent="0.25">
      <c r="A1753" s="9"/>
      <c r="C1753" s="43"/>
      <c r="D1753" s="43"/>
    </row>
    <row r="1754" spans="1:4" ht="15.75" customHeight="1" x14ac:dyDescent="0.25">
      <c r="A1754" s="9"/>
      <c r="C1754" s="43"/>
      <c r="D1754" s="43"/>
    </row>
    <row r="1755" spans="1:4" ht="15.75" customHeight="1" x14ac:dyDescent="0.25">
      <c r="A1755" s="9"/>
      <c r="C1755" s="43"/>
      <c r="D1755" s="43"/>
    </row>
    <row r="1756" spans="1:4" ht="15.75" customHeight="1" x14ac:dyDescent="0.25">
      <c r="A1756" s="9"/>
      <c r="C1756" s="43"/>
      <c r="D1756" s="43"/>
    </row>
    <row r="1757" spans="1:4" ht="15.75" customHeight="1" x14ac:dyDescent="0.25">
      <c r="A1757" s="9"/>
      <c r="C1757" s="43"/>
      <c r="D1757" s="43"/>
    </row>
    <row r="1758" spans="1:4" ht="15.75" customHeight="1" x14ac:dyDescent="0.25">
      <c r="A1758" s="9"/>
      <c r="C1758" s="43"/>
      <c r="D1758" s="43"/>
    </row>
    <row r="1759" spans="1:4" ht="15.75" customHeight="1" x14ac:dyDescent="0.25">
      <c r="A1759" s="9"/>
      <c r="C1759" s="43"/>
      <c r="D1759" s="43"/>
    </row>
    <row r="1760" spans="1:4" ht="15.75" customHeight="1" x14ac:dyDescent="0.25">
      <c r="A1760" s="9"/>
      <c r="C1760" s="43"/>
      <c r="D1760" s="43"/>
    </row>
    <row r="1761" spans="1:4" ht="15.75" customHeight="1" x14ac:dyDescent="0.25">
      <c r="A1761" s="9"/>
      <c r="C1761" s="43"/>
      <c r="D1761" s="43"/>
    </row>
    <row r="1762" spans="1:4" ht="15.75" customHeight="1" x14ac:dyDescent="0.25">
      <c r="A1762" s="9"/>
      <c r="C1762" s="43"/>
      <c r="D1762" s="43"/>
    </row>
    <row r="1763" spans="1:4" ht="15.75" customHeight="1" x14ac:dyDescent="0.25">
      <c r="A1763" s="9"/>
      <c r="C1763" s="43"/>
      <c r="D1763" s="43"/>
    </row>
    <row r="1764" spans="1:4" ht="15.75" customHeight="1" x14ac:dyDescent="0.25">
      <c r="A1764" s="9"/>
      <c r="C1764" s="43"/>
      <c r="D1764" s="43"/>
    </row>
    <row r="1765" spans="1:4" ht="15.75" customHeight="1" x14ac:dyDescent="0.25">
      <c r="A1765" s="9"/>
      <c r="C1765" s="43"/>
      <c r="D1765" s="43"/>
    </row>
    <row r="1766" spans="1:4" ht="15.75" customHeight="1" x14ac:dyDescent="0.25">
      <c r="A1766" s="9"/>
      <c r="C1766" s="43"/>
      <c r="D1766" s="43"/>
    </row>
    <row r="1767" spans="1:4" ht="15.75" customHeight="1" x14ac:dyDescent="0.25">
      <c r="A1767" s="9"/>
      <c r="C1767" s="43"/>
      <c r="D1767" s="43"/>
    </row>
    <row r="1768" spans="1:4" ht="15.75" customHeight="1" x14ac:dyDescent="0.25">
      <c r="A1768" s="9"/>
      <c r="C1768" s="43"/>
      <c r="D1768" s="43"/>
    </row>
    <row r="1769" spans="1:4" ht="15.75" customHeight="1" x14ac:dyDescent="0.25">
      <c r="A1769" s="9"/>
      <c r="C1769" s="43"/>
      <c r="D1769" s="43"/>
    </row>
    <row r="1770" spans="1:4" ht="15.75" customHeight="1" x14ac:dyDescent="0.25">
      <c r="A1770" s="9"/>
      <c r="C1770" s="43"/>
      <c r="D1770" s="43"/>
    </row>
    <row r="1771" spans="1:4" ht="15.75" customHeight="1" x14ac:dyDescent="0.25">
      <c r="A1771" s="9"/>
      <c r="C1771" s="43"/>
      <c r="D1771" s="43"/>
    </row>
    <row r="1772" spans="1:4" ht="15.75" customHeight="1" x14ac:dyDescent="0.25">
      <c r="A1772" s="9"/>
      <c r="C1772" s="43"/>
      <c r="D1772" s="43"/>
    </row>
    <row r="1773" spans="1:4" ht="15.75" customHeight="1" x14ac:dyDescent="0.25">
      <c r="A1773" s="9"/>
      <c r="C1773" s="43"/>
      <c r="D1773" s="43"/>
    </row>
    <row r="1774" spans="1:4" ht="15.75" customHeight="1" x14ac:dyDescent="0.25">
      <c r="A1774" s="9"/>
      <c r="C1774" s="43"/>
      <c r="D1774" s="43"/>
    </row>
    <row r="1775" spans="1:4" ht="15.75" customHeight="1" x14ac:dyDescent="0.25">
      <c r="A1775" s="9"/>
      <c r="C1775" s="43"/>
      <c r="D1775" s="43"/>
    </row>
    <row r="1776" spans="1:4" ht="15.75" customHeight="1" x14ac:dyDescent="0.25">
      <c r="A1776" s="9"/>
      <c r="C1776" s="43"/>
      <c r="D1776" s="43"/>
    </row>
    <row r="1777" spans="1:4" ht="15.75" customHeight="1" x14ac:dyDescent="0.25">
      <c r="A1777" s="9"/>
      <c r="C1777" s="43"/>
      <c r="D1777" s="43"/>
    </row>
    <row r="1778" spans="1:4" ht="15.75" customHeight="1" x14ac:dyDescent="0.25">
      <c r="A1778" s="9"/>
      <c r="C1778" s="43"/>
      <c r="D1778" s="43"/>
    </row>
    <row r="1779" spans="1:4" ht="15.75" customHeight="1" x14ac:dyDescent="0.25">
      <c r="A1779" s="9"/>
      <c r="C1779" s="43"/>
      <c r="D1779" s="43"/>
    </row>
    <row r="1780" spans="1:4" ht="15.75" customHeight="1" x14ac:dyDescent="0.25">
      <c r="A1780" s="9"/>
      <c r="C1780" s="43"/>
      <c r="D1780" s="43"/>
    </row>
    <row r="1781" spans="1:4" ht="15.75" customHeight="1" x14ac:dyDescent="0.25">
      <c r="A1781" s="9"/>
      <c r="C1781" s="43"/>
      <c r="D1781" s="43"/>
    </row>
    <row r="1782" spans="1:4" ht="15.75" customHeight="1" x14ac:dyDescent="0.25">
      <c r="A1782" s="9"/>
      <c r="C1782" s="43"/>
      <c r="D1782" s="43"/>
    </row>
    <row r="1783" spans="1:4" ht="15.75" customHeight="1" x14ac:dyDescent="0.25">
      <c r="A1783" s="9"/>
      <c r="C1783" s="43"/>
      <c r="D1783" s="43"/>
    </row>
    <row r="1784" spans="1:4" ht="15.75" customHeight="1" x14ac:dyDescent="0.25">
      <c r="A1784" s="9"/>
      <c r="C1784" s="43"/>
      <c r="D1784" s="43"/>
    </row>
    <row r="1785" spans="1:4" ht="15.75" customHeight="1" x14ac:dyDescent="0.25">
      <c r="A1785" s="9"/>
      <c r="C1785" s="43"/>
      <c r="D1785" s="43"/>
    </row>
    <row r="1786" spans="1:4" ht="15.75" customHeight="1" x14ac:dyDescent="0.25">
      <c r="A1786" s="9"/>
      <c r="C1786" s="43"/>
      <c r="D1786" s="43"/>
    </row>
    <row r="1787" spans="1:4" ht="15.75" customHeight="1" x14ac:dyDescent="0.25">
      <c r="A1787" s="9"/>
      <c r="C1787" s="43"/>
      <c r="D1787" s="43"/>
    </row>
    <row r="1788" spans="1:4" ht="15.75" customHeight="1" x14ac:dyDescent="0.25">
      <c r="A1788" s="9"/>
      <c r="C1788" s="43"/>
      <c r="D1788" s="43"/>
    </row>
    <row r="1789" spans="1:4" ht="15.75" customHeight="1" x14ac:dyDescent="0.25">
      <c r="A1789" s="9"/>
      <c r="C1789" s="43"/>
      <c r="D1789" s="43"/>
    </row>
    <row r="1790" spans="1:4" ht="15.75" customHeight="1" x14ac:dyDescent="0.25">
      <c r="A1790" s="9"/>
      <c r="C1790" s="43"/>
      <c r="D1790" s="43"/>
    </row>
    <row r="1791" spans="1:4" ht="15.75" customHeight="1" x14ac:dyDescent="0.25">
      <c r="A1791" s="9"/>
      <c r="C1791" s="43"/>
      <c r="D1791" s="43"/>
    </row>
    <row r="1792" spans="1:4" ht="15.75" customHeight="1" x14ac:dyDescent="0.25">
      <c r="A1792" s="9"/>
      <c r="C1792" s="43"/>
      <c r="D1792" s="43"/>
    </row>
    <row r="1793" spans="1:4" ht="15.75" customHeight="1" x14ac:dyDescent="0.25">
      <c r="A1793" s="9"/>
      <c r="C1793" s="43"/>
      <c r="D1793" s="43"/>
    </row>
    <row r="1794" spans="1:4" ht="15.75" customHeight="1" x14ac:dyDescent="0.25">
      <c r="A1794" s="9"/>
      <c r="C1794" s="43"/>
      <c r="D1794" s="43"/>
    </row>
    <row r="1795" spans="1:4" ht="15.75" customHeight="1" x14ac:dyDescent="0.25">
      <c r="A1795" s="9"/>
      <c r="C1795" s="43"/>
      <c r="D1795" s="43"/>
    </row>
    <row r="1796" spans="1:4" ht="15.75" customHeight="1" x14ac:dyDescent="0.25">
      <c r="A1796" s="9"/>
      <c r="C1796" s="43"/>
      <c r="D1796" s="43"/>
    </row>
    <row r="1797" spans="1:4" ht="15.75" customHeight="1" x14ac:dyDescent="0.25">
      <c r="A1797" s="9"/>
      <c r="C1797" s="43"/>
      <c r="D1797" s="43"/>
    </row>
    <row r="1798" spans="1:4" ht="15.75" customHeight="1" x14ac:dyDescent="0.25">
      <c r="A1798" s="9"/>
      <c r="C1798" s="43"/>
      <c r="D1798" s="43"/>
    </row>
    <row r="1799" spans="1:4" ht="15.75" customHeight="1" x14ac:dyDescent="0.25">
      <c r="A1799" s="9"/>
      <c r="C1799" s="43"/>
      <c r="D1799" s="43"/>
    </row>
    <row r="1800" spans="1:4" ht="15.75" customHeight="1" x14ac:dyDescent="0.25">
      <c r="A1800" s="9"/>
      <c r="C1800" s="43"/>
      <c r="D1800" s="43"/>
    </row>
    <row r="1801" spans="1:4" ht="15.75" customHeight="1" x14ac:dyDescent="0.25">
      <c r="A1801" s="9"/>
      <c r="C1801" s="43"/>
      <c r="D1801" s="43"/>
    </row>
    <row r="1802" spans="1:4" ht="15.75" customHeight="1" x14ac:dyDescent="0.25">
      <c r="A1802" s="9"/>
      <c r="C1802" s="43"/>
      <c r="D1802" s="43"/>
    </row>
    <row r="1803" spans="1:4" ht="15.75" customHeight="1" x14ac:dyDescent="0.25">
      <c r="A1803" s="9"/>
      <c r="C1803" s="43"/>
      <c r="D1803" s="43"/>
    </row>
    <row r="1804" spans="1:4" ht="15.75" customHeight="1" x14ac:dyDescent="0.25">
      <c r="A1804" s="9"/>
      <c r="C1804" s="43"/>
      <c r="D1804" s="43"/>
    </row>
    <row r="1805" spans="1:4" ht="15.75" customHeight="1" x14ac:dyDescent="0.25">
      <c r="A1805" s="9"/>
      <c r="C1805" s="43"/>
      <c r="D1805" s="43"/>
    </row>
    <row r="1806" spans="1:4" ht="15.75" customHeight="1" x14ac:dyDescent="0.25">
      <c r="A1806" s="9"/>
      <c r="C1806" s="43"/>
      <c r="D1806" s="43"/>
    </row>
    <row r="1807" spans="1:4" ht="15.75" customHeight="1" x14ac:dyDescent="0.25">
      <c r="A1807" s="9"/>
      <c r="C1807" s="43"/>
      <c r="D1807" s="43"/>
    </row>
    <row r="1808" spans="1:4" ht="15.75" customHeight="1" x14ac:dyDescent="0.25">
      <c r="A1808" s="9"/>
      <c r="C1808" s="43"/>
      <c r="D1808" s="43"/>
    </row>
    <row r="1809" spans="1:4" ht="15.75" customHeight="1" x14ac:dyDescent="0.25">
      <c r="A1809" s="9"/>
      <c r="C1809" s="43"/>
      <c r="D1809" s="43"/>
    </row>
    <row r="1810" spans="1:4" ht="15.75" customHeight="1" x14ac:dyDescent="0.25">
      <c r="A1810" s="9"/>
      <c r="C1810" s="43"/>
      <c r="D1810" s="43"/>
    </row>
    <row r="1811" spans="1:4" ht="15.75" customHeight="1" x14ac:dyDescent="0.25">
      <c r="A1811" s="9"/>
      <c r="C1811" s="43"/>
      <c r="D1811" s="43"/>
    </row>
    <row r="1812" spans="1:4" ht="15.75" customHeight="1" x14ac:dyDescent="0.25">
      <c r="A1812" s="9"/>
      <c r="C1812" s="43"/>
      <c r="D1812" s="43"/>
    </row>
    <row r="1813" spans="1:4" ht="15.75" customHeight="1" x14ac:dyDescent="0.25">
      <c r="A1813" s="9"/>
      <c r="C1813" s="43"/>
      <c r="D1813" s="43"/>
    </row>
    <row r="1814" spans="1:4" ht="15.75" customHeight="1" x14ac:dyDescent="0.25">
      <c r="A1814" s="9"/>
      <c r="C1814" s="43"/>
      <c r="D1814" s="43"/>
    </row>
    <row r="1815" spans="1:4" ht="15.75" customHeight="1" x14ac:dyDescent="0.25">
      <c r="A1815" s="9"/>
      <c r="C1815" s="43"/>
      <c r="D1815" s="43"/>
    </row>
    <row r="1816" spans="1:4" ht="15.75" customHeight="1" x14ac:dyDescent="0.25">
      <c r="A1816" s="9"/>
      <c r="C1816" s="43"/>
      <c r="D1816" s="43"/>
    </row>
    <row r="1817" spans="1:4" ht="15.75" customHeight="1" x14ac:dyDescent="0.25">
      <c r="A1817" s="9"/>
      <c r="C1817" s="43"/>
      <c r="D1817" s="43"/>
    </row>
    <row r="1818" spans="1:4" ht="15.75" customHeight="1" x14ac:dyDescent="0.25">
      <c r="A1818" s="9"/>
      <c r="C1818" s="43"/>
      <c r="D1818" s="43"/>
    </row>
    <row r="1819" spans="1:4" ht="15.75" customHeight="1" x14ac:dyDescent="0.25">
      <c r="A1819" s="9"/>
      <c r="C1819" s="43"/>
      <c r="D1819" s="43"/>
    </row>
    <row r="1820" spans="1:4" ht="15.75" customHeight="1" x14ac:dyDescent="0.25">
      <c r="A1820" s="9"/>
      <c r="C1820" s="43"/>
      <c r="D1820" s="43"/>
    </row>
    <row r="1821" spans="1:4" ht="15.75" customHeight="1" x14ac:dyDescent="0.25">
      <c r="A1821" s="9"/>
      <c r="C1821" s="43"/>
      <c r="D1821" s="43"/>
    </row>
    <row r="1822" spans="1:4" ht="15.75" customHeight="1" x14ac:dyDescent="0.25">
      <c r="A1822" s="9"/>
      <c r="C1822" s="43"/>
      <c r="D1822" s="43"/>
    </row>
    <row r="1823" spans="1:4" ht="15.75" customHeight="1" x14ac:dyDescent="0.25">
      <c r="A1823" s="9"/>
      <c r="C1823" s="43"/>
      <c r="D1823" s="43"/>
    </row>
    <row r="1824" spans="1:4" ht="15.75" customHeight="1" x14ac:dyDescent="0.25">
      <c r="A1824" s="9"/>
      <c r="C1824" s="43"/>
      <c r="D1824" s="43"/>
    </row>
    <row r="1825" spans="1:4" ht="15.75" customHeight="1" x14ac:dyDescent="0.25">
      <c r="A1825" s="9"/>
      <c r="C1825" s="43"/>
      <c r="D1825" s="43"/>
    </row>
    <row r="1826" spans="1:4" ht="15.75" customHeight="1" x14ac:dyDescent="0.25">
      <c r="A1826" s="9"/>
      <c r="C1826" s="43"/>
      <c r="D1826" s="43"/>
    </row>
    <row r="1827" spans="1:4" ht="15.75" customHeight="1" x14ac:dyDescent="0.25">
      <c r="A1827" s="9"/>
      <c r="C1827" s="43"/>
      <c r="D1827" s="43"/>
    </row>
    <row r="1828" spans="1:4" ht="15.75" customHeight="1" x14ac:dyDescent="0.25">
      <c r="A1828" s="9"/>
      <c r="C1828" s="43"/>
      <c r="D1828" s="43"/>
    </row>
    <row r="1829" spans="1:4" ht="15.75" customHeight="1" x14ac:dyDescent="0.25">
      <c r="A1829" s="9"/>
      <c r="C1829" s="43"/>
      <c r="D1829" s="43"/>
    </row>
    <row r="1830" spans="1:4" ht="15.75" customHeight="1" x14ac:dyDescent="0.25">
      <c r="A1830" s="9"/>
      <c r="C1830" s="43"/>
      <c r="D1830" s="43"/>
    </row>
    <row r="1831" spans="1:4" ht="15.75" customHeight="1" x14ac:dyDescent="0.25">
      <c r="A1831" s="9"/>
      <c r="C1831" s="43"/>
      <c r="D1831" s="43"/>
    </row>
    <row r="1832" spans="1:4" ht="15.75" customHeight="1" x14ac:dyDescent="0.25">
      <c r="A1832" s="9"/>
      <c r="C1832" s="43"/>
      <c r="D1832" s="43"/>
    </row>
    <row r="1833" spans="1:4" ht="15.75" customHeight="1" x14ac:dyDescent="0.25">
      <c r="A1833" s="9"/>
      <c r="C1833" s="43"/>
      <c r="D1833" s="43"/>
    </row>
    <row r="1834" spans="1:4" ht="15.75" customHeight="1" x14ac:dyDescent="0.25">
      <c r="A1834" s="9"/>
      <c r="C1834" s="43"/>
      <c r="D1834" s="43"/>
    </row>
    <row r="1835" spans="1:4" ht="15.75" customHeight="1" x14ac:dyDescent="0.25">
      <c r="A1835" s="9"/>
      <c r="C1835" s="43"/>
      <c r="D1835" s="43"/>
    </row>
    <row r="1836" spans="1:4" ht="15.75" customHeight="1" x14ac:dyDescent="0.25">
      <c r="A1836" s="9"/>
      <c r="C1836" s="43"/>
      <c r="D1836" s="43"/>
    </row>
    <row r="1837" spans="1:4" ht="15.75" customHeight="1" x14ac:dyDescent="0.25">
      <c r="A1837" s="9"/>
      <c r="C1837" s="43"/>
      <c r="D1837" s="43"/>
    </row>
    <row r="1838" spans="1:4" ht="15.75" customHeight="1" x14ac:dyDescent="0.25">
      <c r="A1838" s="9"/>
      <c r="C1838" s="43"/>
      <c r="D1838" s="43"/>
    </row>
    <row r="1839" spans="1:4" ht="15.75" customHeight="1" x14ac:dyDescent="0.25">
      <c r="A1839" s="9"/>
      <c r="C1839" s="43"/>
      <c r="D1839" s="43"/>
    </row>
    <row r="1840" spans="1:4" ht="15.75" customHeight="1" x14ac:dyDescent="0.25">
      <c r="A1840" s="9"/>
      <c r="C1840" s="43"/>
      <c r="D1840" s="43"/>
    </row>
    <row r="1841" spans="1:4" ht="15.75" customHeight="1" x14ac:dyDescent="0.25">
      <c r="A1841" s="9"/>
      <c r="C1841" s="43"/>
      <c r="D1841" s="43"/>
    </row>
    <row r="1842" spans="1:4" ht="15.75" customHeight="1" x14ac:dyDescent="0.25">
      <c r="A1842" s="9"/>
      <c r="C1842" s="43"/>
      <c r="D1842" s="43"/>
    </row>
    <row r="1843" spans="1:4" ht="15.75" customHeight="1" x14ac:dyDescent="0.25">
      <c r="A1843" s="9"/>
      <c r="C1843" s="43"/>
      <c r="D1843" s="43"/>
    </row>
    <row r="1844" spans="1:4" ht="15.75" customHeight="1" x14ac:dyDescent="0.25">
      <c r="A1844" s="9"/>
      <c r="C1844" s="43"/>
      <c r="D1844" s="43"/>
    </row>
    <row r="1845" spans="1:4" ht="15.75" customHeight="1" x14ac:dyDescent="0.25">
      <c r="A1845" s="9"/>
      <c r="C1845" s="43"/>
      <c r="D1845" s="43"/>
    </row>
    <row r="1846" spans="1:4" ht="15.75" customHeight="1" x14ac:dyDescent="0.25">
      <c r="A1846" s="9"/>
      <c r="C1846" s="43"/>
      <c r="D1846" s="43"/>
    </row>
    <row r="1847" spans="1:4" ht="15.75" customHeight="1" x14ac:dyDescent="0.25">
      <c r="A1847" s="9"/>
      <c r="C1847" s="43"/>
      <c r="D1847" s="43"/>
    </row>
    <row r="1848" spans="1:4" ht="15.75" customHeight="1" x14ac:dyDescent="0.25">
      <c r="A1848" s="9"/>
      <c r="C1848" s="43"/>
      <c r="D1848" s="43"/>
    </row>
    <row r="1849" spans="1:4" ht="15.75" customHeight="1" x14ac:dyDescent="0.25">
      <c r="A1849" s="9"/>
      <c r="C1849" s="43"/>
      <c r="D1849" s="43"/>
    </row>
    <row r="1850" spans="1:4" ht="15.75" customHeight="1" x14ac:dyDescent="0.25">
      <c r="A1850" s="9"/>
      <c r="C1850" s="43"/>
      <c r="D1850" s="43"/>
    </row>
    <row r="1851" spans="1:4" ht="15.75" customHeight="1" x14ac:dyDescent="0.25">
      <c r="A1851" s="9"/>
      <c r="C1851" s="43"/>
      <c r="D1851" s="43"/>
    </row>
    <row r="1852" spans="1:4" ht="15.75" customHeight="1" x14ac:dyDescent="0.25">
      <c r="A1852" s="9"/>
      <c r="C1852" s="43"/>
      <c r="D1852" s="43"/>
    </row>
    <row r="1853" spans="1:4" ht="15.75" customHeight="1" x14ac:dyDescent="0.25">
      <c r="A1853" s="9"/>
      <c r="C1853" s="43"/>
      <c r="D1853" s="43"/>
    </row>
    <row r="1854" spans="1:4" ht="15.75" customHeight="1" x14ac:dyDescent="0.25">
      <c r="A1854" s="9"/>
      <c r="C1854" s="43"/>
      <c r="D1854" s="43"/>
    </row>
    <row r="1855" spans="1:4" ht="15.75" customHeight="1" x14ac:dyDescent="0.25">
      <c r="A1855" s="9"/>
      <c r="C1855" s="43"/>
      <c r="D1855" s="43"/>
    </row>
    <row r="1856" spans="1:4" ht="15.75" customHeight="1" x14ac:dyDescent="0.25">
      <c r="A1856" s="9"/>
      <c r="C1856" s="43"/>
      <c r="D1856" s="43"/>
    </row>
    <row r="1857" spans="1:4" ht="15.75" customHeight="1" x14ac:dyDescent="0.25">
      <c r="A1857" s="9"/>
      <c r="C1857" s="43"/>
      <c r="D1857" s="43"/>
    </row>
    <row r="1858" spans="1:4" ht="15.75" customHeight="1" x14ac:dyDescent="0.25">
      <c r="A1858" s="9"/>
      <c r="C1858" s="43"/>
      <c r="D1858" s="43"/>
    </row>
    <row r="1859" spans="1:4" ht="15.75" customHeight="1" x14ac:dyDescent="0.25">
      <c r="A1859" s="9"/>
      <c r="C1859" s="43"/>
      <c r="D1859" s="43"/>
    </row>
    <row r="1860" spans="1:4" ht="15.75" customHeight="1" x14ac:dyDescent="0.25">
      <c r="A1860" s="9"/>
      <c r="C1860" s="43"/>
      <c r="D1860" s="43"/>
    </row>
    <row r="1861" spans="1:4" ht="15.75" customHeight="1" x14ac:dyDescent="0.25">
      <c r="A1861" s="9"/>
      <c r="C1861" s="43"/>
      <c r="D1861" s="43"/>
    </row>
    <row r="1862" spans="1:4" ht="15.75" customHeight="1" x14ac:dyDescent="0.25">
      <c r="A1862" s="9"/>
      <c r="C1862" s="43"/>
      <c r="D1862" s="43"/>
    </row>
    <row r="1863" spans="1:4" ht="15.75" customHeight="1" x14ac:dyDescent="0.25">
      <c r="A1863" s="9"/>
      <c r="C1863" s="43"/>
      <c r="D1863" s="43"/>
    </row>
    <row r="1864" spans="1:4" ht="15.75" customHeight="1" x14ac:dyDescent="0.25">
      <c r="A1864" s="9"/>
      <c r="C1864" s="43"/>
      <c r="D1864" s="43"/>
    </row>
    <row r="1865" spans="1:4" ht="15.75" customHeight="1" x14ac:dyDescent="0.25">
      <c r="A1865" s="9"/>
      <c r="C1865" s="43"/>
      <c r="D1865" s="43"/>
    </row>
    <row r="1866" spans="1:4" ht="15.75" customHeight="1" x14ac:dyDescent="0.25">
      <c r="A1866" s="9"/>
      <c r="C1866" s="43"/>
      <c r="D1866" s="43"/>
    </row>
    <row r="1867" spans="1:4" ht="15.75" customHeight="1" x14ac:dyDescent="0.25">
      <c r="A1867" s="9"/>
      <c r="C1867" s="43"/>
      <c r="D1867" s="43"/>
    </row>
    <row r="1868" spans="1:4" ht="15.75" customHeight="1" x14ac:dyDescent="0.25">
      <c r="A1868" s="9"/>
      <c r="C1868" s="43"/>
      <c r="D1868" s="43"/>
    </row>
    <row r="1869" spans="1:4" ht="15.75" customHeight="1" x14ac:dyDescent="0.25">
      <c r="A1869" s="9"/>
      <c r="C1869" s="43"/>
      <c r="D1869" s="43"/>
    </row>
    <row r="1870" spans="1:4" ht="15.75" customHeight="1" x14ac:dyDescent="0.25">
      <c r="A1870" s="9"/>
      <c r="C1870" s="43"/>
      <c r="D1870" s="43"/>
    </row>
    <row r="1871" spans="1:4" ht="15.75" customHeight="1" x14ac:dyDescent="0.25">
      <c r="A1871" s="9"/>
      <c r="C1871" s="43"/>
      <c r="D1871" s="43"/>
    </row>
    <row r="1872" spans="1:4" ht="15.75" customHeight="1" x14ac:dyDescent="0.25">
      <c r="A1872" s="9"/>
      <c r="C1872" s="43"/>
      <c r="D1872" s="43"/>
    </row>
    <row r="1873" spans="1:4" ht="15.75" customHeight="1" x14ac:dyDescent="0.25">
      <c r="A1873" s="9"/>
      <c r="C1873" s="43"/>
      <c r="D1873" s="43"/>
    </row>
    <row r="1874" spans="1:4" ht="15.75" customHeight="1" x14ac:dyDescent="0.25">
      <c r="A1874" s="9"/>
      <c r="C1874" s="43"/>
      <c r="D1874" s="43"/>
    </row>
    <row r="1875" spans="1:4" ht="15.75" customHeight="1" x14ac:dyDescent="0.25">
      <c r="A1875" s="9"/>
      <c r="C1875" s="43"/>
      <c r="D1875" s="43"/>
    </row>
    <row r="1876" spans="1:4" ht="15.75" customHeight="1" x14ac:dyDescent="0.25">
      <c r="A1876" s="9"/>
      <c r="C1876" s="43"/>
      <c r="D1876" s="43"/>
    </row>
    <row r="1877" spans="1:4" ht="15.75" customHeight="1" x14ac:dyDescent="0.25">
      <c r="A1877" s="9"/>
      <c r="C1877" s="43"/>
      <c r="D1877" s="43"/>
    </row>
    <row r="1878" spans="1:4" ht="15.75" customHeight="1" x14ac:dyDescent="0.25">
      <c r="A1878" s="9"/>
      <c r="C1878" s="43"/>
      <c r="D1878" s="43"/>
    </row>
    <row r="1879" spans="1:4" ht="15.75" customHeight="1" x14ac:dyDescent="0.25">
      <c r="A1879" s="9"/>
      <c r="C1879" s="43"/>
      <c r="D1879" s="43"/>
    </row>
    <row r="1880" spans="1:4" ht="15.75" customHeight="1" x14ac:dyDescent="0.25">
      <c r="A1880" s="9"/>
      <c r="C1880" s="43"/>
      <c r="D1880" s="43"/>
    </row>
    <row r="1881" spans="1:4" ht="15.75" customHeight="1" x14ac:dyDescent="0.25">
      <c r="A1881" s="9"/>
      <c r="C1881" s="43"/>
      <c r="D1881" s="43"/>
    </row>
    <row r="1882" spans="1:4" ht="15.75" customHeight="1" x14ac:dyDescent="0.25">
      <c r="A1882" s="9"/>
      <c r="C1882" s="43"/>
      <c r="D1882" s="43"/>
    </row>
    <row r="1883" spans="1:4" ht="15.75" customHeight="1" x14ac:dyDescent="0.25">
      <c r="A1883" s="9"/>
      <c r="C1883" s="43"/>
      <c r="D1883" s="43"/>
    </row>
    <row r="1884" spans="1:4" ht="15.75" customHeight="1" x14ac:dyDescent="0.25">
      <c r="A1884" s="9"/>
      <c r="C1884" s="43"/>
      <c r="D1884" s="43"/>
    </row>
    <row r="1885" spans="1:4" ht="15.75" customHeight="1" x14ac:dyDescent="0.25">
      <c r="A1885" s="9"/>
      <c r="C1885" s="43"/>
      <c r="D1885" s="43"/>
    </row>
    <row r="1886" spans="1:4" ht="15.75" customHeight="1" x14ac:dyDescent="0.25">
      <c r="A1886" s="9"/>
      <c r="C1886" s="43"/>
      <c r="D1886" s="43"/>
    </row>
    <row r="1887" spans="1:4" ht="15.75" customHeight="1" x14ac:dyDescent="0.25">
      <c r="A1887" s="9"/>
      <c r="C1887" s="43"/>
      <c r="D1887" s="43"/>
    </row>
    <row r="1888" spans="1:4" ht="15.75" customHeight="1" x14ac:dyDescent="0.25">
      <c r="A1888" s="9"/>
      <c r="C1888" s="43"/>
      <c r="D1888" s="43"/>
    </row>
    <row r="1889" spans="1:4" ht="15.75" customHeight="1" x14ac:dyDescent="0.25">
      <c r="A1889" s="9"/>
      <c r="C1889" s="43"/>
      <c r="D1889" s="43"/>
    </row>
    <row r="1890" spans="1:4" ht="15.75" customHeight="1" x14ac:dyDescent="0.25">
      <c r="A1890" s="9"/>
      <c r="C1890" s="43"/>
      <c r="D1890" s="43"/>
    </row>
    <row r="1891" spans="1:4" ht="15.75" customHeight="1" x14ac:dyDescent="0.25">
      <c r="A1891" s="9"/>
      <c r="C1891" s="43"/>
      <c r="D1891" s="43"/>
    </row>
    <row r="1892" spans="1:4" ht="15.75" customHeight="1" x14ac:dyDescent="0.25">
      <c r="A1892" s="9"/>
      <c r="C1892" s="43"/>
      <c r="D1892" s="43"/>
    </row>
    <row r="1893" spans="1:4" ht="15.75" customHeight="1" x14ac:dyDescent="0.25">
      <c r="A1893" s="9"/>
      <c r="C1893" s="43"/>
      <c r="D1893" s="43"/>
    </row>
    <row r="1894" spans="1:4" ht="15.75" customHeight="1" x14ac:dyDescent="0.25">
      <c r="A1894" s="9"/>
      <c r="C1894" s="43"/>
      <c r="D1894" s="43"/>
    </row>
    <row r="1895" spans="1:4" ht="15.75" customHeight="1" x14ac:dyDescent="0.25">
      <c r="A1895" s="9"/>
      <c r="C1895" s="43"/>
      <c r="D1895" s="43"/>
    </row>
    <row r="1896" spans="1:4" ht="15.75" customHeight="1" x14ac:dyDescent="0.25">
      <c r="A1896" s="9"/>
      <c r="C1896" s="43"/>
      <c r="D1896" s="43"/>
    </row>
    <row r="1897" spans="1:4" ht="15.75" customHeight="1" x14ac:dyDescent="0.25">
      <c r="A1897" s="9"/>
      <c r="C1897" s="43"/>
      <c r="D1897" s="43"/>
    </row>
    <row r="1898" spans="1:4" ht="15.75" customHeight="1" x14ac:dyDescent="0.25">
      <c r="A1898" s="9"/>
      <c r="C1898" s="43"/>
      <c r="D1898" s="43"/>
    </row>
    <row r="1899" spans="1:4" ht="15.75" customHeight="1" x14ac:dyDescent="0.25">
      <c r="A1899" s="9"/>
      <c r="C1899" s="43"/>
      <c r="D1899" s="43"/>
    </row>
    <row r="1900" spans="1:4" ht="15.75" customHeight="1" x14ac:dyDescent="0.25">
      <c r="A1900" s="9"/>
      <c r="C1900" s="43"/>
      <c r="D1900" s="43"/>
    </row>
    <row r="1901" spans="1:4" ht="15.75" customHeight="1" x14ac:dyDescent="0.25">
      <c r="A1901" s="9"/>
      <c r="C1901" s="43"/>
      <c r="D1901" s="43"/>
    </row>
    <row r="1902" spans="1:4" ht="15.75" customHeight="1" x14ac:dyDescent="0.25">
      <c r="A1902" s="9"/>
      <c r="C1902" s="43"/>
      <c r="D1902" s="43"/>
    </row>
    <row r="1903" spans="1:4" ht="15.75" customHeight="1" x14ac:dyDescent="0.25">
      <c r="A1903" s="9"/>
      <c r="C1903" s="43"/>
      <c r="D1903" s="43"/>
    </row>
    <row r="1904" spans="1:4" ht="15.75" customHeight="1" x14ac:dyDescent="0.25">
      <c r="A1904" s="9"/>
      <c r="C1904" s="43"/>
      <c r="D1904" s="43"/>
    </row>
    <row r="1905" spans="1:4" ht="15.75" customHeight="1" x14ac:dyDescent="0.25">
      <c r="A1905" s="9"/>
      <c r="C1905" s="43"/>
      <c r="D1905" s="43"/>
    </row>
    <row r="1906" spans="1:4" ht="15.75" customHeight="1" x14ac:dyDescent="0.25">
      <c r="A1906" s="9"/>
      <c r="C1906" s="43"/>
      <c r="D1906" s="43"/>
    </row>
    <row r="1907" spans="1:4" ht="15.75" customHeight="1" x14ac:dyDescent="0.25">
      <c r="A1907" s="9"/>
      <c r="C1907" s="43"/>
      <c r="D1907" s="43"/>
    </row>
    <row r="1908" spans="1:4" ht="15.75" customHeight="1" x14ac:dyDescent="0.25">
      <c r="A1908" s="9"/>
      <c r="C1908" s="43"/>
      <c r="D1908" s="43"/>
    </row>
    <row r="1909" spans="1:4" ht="15.75" customHeight="1" x14ac:dyDescent="0.25">
      <c r="A1909" s="9"/>
      <c r="C1909" s="43"/>
      <c r="D1909" s="43"/>
    </row>
    <row r="1910" spans="1:4" ht="15.75" customHeight="1" x14ac:dyDescent="0.25">
      <c r="A1910" s="9"/>
      <c r="C1910" s="43"/>
      <c r="D1910" s="43"/>
    </row>
    <row r="1911" spans="1:4" ht="15.75" customHeight="1" x14ac:dyDescent="0.25">
      <c r="A1911" s="9"/>
      <c r="C1911" s="43"/>
      <c r="D1911" s="43"/>
    </row>
    <row r="1912" spans="1:4" ht="15.75" customHeight="1" x14ac:dyDescent="0.25">
      <c r="A1912" s="9"/>
      <c r="C1912" s="43"/>
      <c r="D1912" s="43"/>
    </row>
    <row r="1913" spans="1:4" ht="15.75" customHeight="1" x14ac:dyDescent="0.25">
      <c r="A1913" s="9"/>
      <c r="C1913" s="43"/>
      <c r="D1913" s="43"/>
    </row>
    <row r="1914" spans="1:4" ht="15.75" customHeight="1" x14ac:dyDescent="0.25">
      <c r="A1914" s="9"/>
      <c r="C1914" s="43"/>
      <c r="D1914" s="43"/>
    </row>
    <row r="1915" spans="1:4" ht="15.75" customHeight="1" x14ac:dyDescent="0.25">
      <c r="A1915" s="9"/>
      <c r="C1915" s="43"/>
      <c r="D1915" s="43"/>
    </row>
    <row r="1916" spans="1:4" ht="15.75" customHeight="1" x14ac:dyDescent="0.25">
      <c r="A1916" s="9"/>
      <c r="C1916" s="43"/>
      <c r="D1916" s="43"/>
    </row>
    <row r="1917" spans="1:4" ht="15.75" customHeight="1" x14ac:dyDescent="0.25">
      <c r="A1917" s="9"/>
      <c r="C1917" s="43"/>
      <c r="D1917" s="43"/>
    </row>
    <row r="1918" spans="1:4" ht="15.75" customHeight="1" x14ac:dyDescent="0.25">
      <c r="A1918" s="9"/>
      <c r="C1918" s="43"/>
      <c r="D1918" s="43"/>
    </row>
    <row r="1919" spans="1:4" ht="15.75" customHeight="1" x14ac:dyDescent="0.25">
      <c r="A1919" s="9"/>
      <c r="C1919" s="43"/>
      <c r="D1919" s="43"/>
    </row>
    <row r="1920" spans="1:4" ht="15.75" customHeight="1" x14ac:dyDescent="0.25">
      <c r="A1920" s="9"/>
      <c r="C1920" s="43"/>
      <c r="D1920" s="43"/>
    </row>
    <row r="1921" spans="1:4" ht="15.75" customHeight="1" x14ac:dyDescent="0.25">
      <c r="A1921" s="9"/>
      <c r="C1921" s="43"/>
      <c r="D1921" s="43"/>
    </row>
    <row r="1922" spans="1:4" ht="15.75" customHeight="1" x14ac:dyDescent="0.25">
      <c r="A1922" s="9"/>
      <c r="C1922" s="43"/>
      <c r="D1922" s="43"/>
    </row>
    <row r="1923" spans="1:4" ht="15.75" customHeight="1" x14ac:dyDescent="0.25">
      <c r="A1923" s="9"/>
      <c r="C1923" s="43"/>
      <c r="D1923" s="43"/>
    </row>
    <row r="1924" spans="1:4" ht="15.75" customHeight="1" x14ac:dyDescent="0.25">
      <c r="A1924" s="9"/>
      <c r="C1924" s="43"/>
      <c r="D1924" s="43"/>
    </row>
    <row r="1925" spans="1:4" ht="15.75" customHeight="1" x14ac:dyDescent="0.25">
      <c r="A1925" s="9"/>
      <c r="C1925" s="43"/>
      <c r="D1925" s="43"/>
    </row>
    <row r="1926" spans="1:4" ht="15.75" customHeight="1" x14ac:dyDescent="0.25">
      <c r="A1926" s="9"/>
      <c r="C1926" s="43"/>
      <c r="D1926" s="43"/>
    </row>
    <row r="1927" spans="1:4" ht="15.75" customHeight="1" x14ac:dyDescent="0.25">
      <c r="A1927" s="9"/>
      <c r="C1927" s="43"/>
      <c r="D1927" s="43"/>
    </row>
    <row r="1928" spans="1:4" ht="15.75" customHeight="1" x14ac:dyDescent="0.25">
      <c r="A1928" s="9"/>
      <c r="C1928" s="43"/>
      <c r="D1928" s="43"/>
    </row>
    <row r="1929" spans="1:4" ht="15.75" customHeight="1" x14ac:dyDescent="0.25">
      <c r="A1929" s="9"/>
      <c r="C1929" s="43"/>
      <c r="D1929" s="43"/>
    </row>
    <row r="1930" spans="1:4" ht="15.75" customHeight="1" x14ac:dyDescent="0.25">
      <c r="A1930" s="9"/>
      <c r="C1930" s="43"/>
      <c r="D1930" s="43"/>
    </row>
    <row r="1931" spans="1:4" ht="15.75" customHeight="1" x14ac:dyDescent="0.25">
      <c r="A1931" s="9"/>
      <c r="C1931" s="43"/>
      <c r="D1931" s="43"/>
    </row>
    <row r="1932" spans="1:4" ht="15.75" customHeight="1" x14ac:dyDescent="0.25">
      <c r="A1932" s="9"/>
      <c r="C1932" s="43"/>
      <c r="D1932" s="43"/>
    </row>
    <row r="1933" spans="1:4" ht="15.75" customHeight="1" x14ac:dyDescent="0.25">
      <c r="A1933" s="9"/>
      <c r="C1933" s="43"/>
      <c r="D1933" s="43"/>
    </row>
    <row r="1934" spans="1:4" ht="15.75" customHeight="1" x14ac:dyDescent="0.25">
      <c r="A1934" s="9"/>
      <c r="C1934" s="43"/>
      <c r="D1934" s="43"/>
    </row>
    <row r="1935" spans="1:4" ht="15.75" customHeight="1" x14ac:dyDescent="0.25">
      <c r="A1935" s="9"/>
      <c r="C1935" s="43"/>
      <c r="D1935" s="43"/>
    </row>
    <row r="1936" spans="1:4" ht="15.75" customHeight="1" x14ac:dyDescent="0.25">
      <c r="A1936" s="9"/>
      <c r="C1936" s="43"/>
      <c r="D1936" s="43"/>
    </row>
    <row r="1937" spans="1:4" ht="15.75" customHeight="1" x14ac:dyDescent="0.25">
      <c r="A1937" s="9"/>
      <c r="C1937" s="43"/>
      <c r="D1937" s="43"/>
    </row>
    <row r="1938" spans="1:4" ht="15.75" customHeight="1" x14ac:dyDescent="0.25">
      <c r="A1938" s="9"/>
      <c r="C1938" s="43"/>
      <c r="D1938" s="43"/>
    </row>
    <row r="1939" spans="1:4" ht="15.75" customHeight="1" x14ac:dyDescent="0.25">
      <c r="A1939" s="9"/>
      <c r="C1939" s="43"/>
      <c r="D1939" s="43"/>
    </row>
    <row r="1940" spans="1:4" ht="15.75" customHeight="1" x14ac:dyDescent="0.25">
      <c r="A1940" s="9"/>
      <c r="C1940" s="43"/>
      <c r="D1940" s="43"/>
    </row>
    <row r="1941" spans="1:4" ht="15.75" customHeight="1" x14ac:dyDescent="0.25">
      <c r="A1941" s="9"/>
      <c r="C1941" s="43"/>
      <c r="D1941" s="43"/>
    </row>
    <row r="1942" spans="1:4" ht="15.75" customHeight="1" x14ac:dyDescent="0.25">
      <c r="A1942" s="9"/>
      <c r="C1942" s="43"/>
      <c r="D1942" s="43"/>
    </row>
    <row r="1943" spans="1:4" ht="15.75" customHeight="1" x14ac:dyDescent="0.25">
      <c r="A1943" s="9"/>
      <c r="C1943" s="43"/>
      <c r="D1943" s="43"/>
    </row>
    <row r="1944" spans="1:4" ht="15.75" customHeight="1" x14ac:dyDescent="0.25">
      <c r="A1944" s="9"/>
      <c r="C1944" s="43"/>
      <c r="D1944" s="43"/>
    </row>
    <row r="1945" spans="1:4" ht="15.75" customHeight="1" x14ac:dyDescent="0.25">
      <c r="A1945" s="9"/>
      <c r="C1945" s="43"/>
      <c r="D1945" s="43"/>
    </row>
    <row r="1946" spans="1:4" ht="15.75" customHeight="1" x14ac:dyDescent="0.25">
      <c r="A1946" s="9"/>
      <c r="C1946" s="43"/>
      <c r="D1946" s="43"/>
    </row>
    <row r="1947" spans="1:4" ht="15.75" customHeight="1" x14ac:dyDescent="0.25">
      <c r="A1947" s="9"/>
      <c r="C1947" s="43"/>
      <c r="D1947" s="43"/>
    </row>
    <row r="1948" spans="1:4" ht="15.75" customHeight="1" x14ac:dyDescent="0.25">
      <c r="A1948" s="9"/>
      <c r="C1948" s="43"/>
      <c r="D1948" s="43"/>
    </row>
    <row r="1949" spans="1:4" ht="15.75" customHeight="1" x14ac:dyDescent="0.25">
      <c r="A1949" s="9"/>
      <c r="C1949" s="43"/>
      <c r="D1949" s="43"/>
    </row>
    <row r="1950" spans="1:4" ht="15.75" customHeight="1" x14ac:dyDescent="0.25">
      <c r="A1950" s="9"/>
      <c r="C1950" s="43"/>
      <c r="D1950" s="43"/>
    </row>
    <row r="1951" spans="1:4" ht="15.75" customHeight="1" x14ac:dyDescent="0.25">
      <c r="A1951" s="9"/>
      <c r="C1951" s="43"/>
      <c r="D1951" s="43"/>
    </row>
    <row r="1952" spans="1:4" ht="15.75" customHeight="1" x14ac:dyDescent="0.25">
      <c r="A1952" s="9"/>
      <c r="C1952" s="43"/>
      <c r="D1952" s="43"/>
    </row>
    <row r="1953" spans="1:4" ht="15.75" customHeight="1" x14ac:dyDescent="0.25">
      <c r="A1953" s="9"/>
      <c r="C1953" s="43"/>
      <c r="D1953" s="43"/>
    </row>
    <row r="1954" spans="1:4" ht="15.75" customHeight="1" x14ac:dyDescent="0.25">
      <c r="A1954" s="9"/>
      <c r="C1954" s="43"/>
      <c r="D1954" s="43"/>
    </row>
    <row r="1955" spans="1:4" ht="15.75" customHeight="1" x14ac:dyDescent="0.25">
      <c r="A1955" s="9"/>
      <c r="C1955" s="43"/>
      <c r="D1955" s="43"/>
    </row>
    <row r="1956" spans="1:4" ht="15.75" customHeight="1" x14ac:dyDescent="0.25">
      <c r="A1956" s="9"/>
      <c r="C1956" s="43"/>
      <c r="D1956" s="43"/>
    </row>
    <row r="1957" spans="1:4" ht="15.75" customHeight="1" x14ac:dyDescent="0.25">
      <c r="A1957" s="9"/>
      <c r="C1957" s="43"/>
      <c r="D1957" s="43"/>
    </row>
    <row r="1958" spans="1:4" ht="15.75" customHeight="1" x14ac:dyDescent="0.25">
      <c r="A1958" s="9"/>
      <c r="C1958" s="43"/>
      <c r="D1958" s="43"/>
    </row>
    <row r="1959" spans="1:4" ht="15.75" customHeight="1" x14ac:dyDescent="0.25">
      <c r="A1959" s="9"/>
      <c r="C1959" s="43"/>
      <c r="D1959" s="43"/>
    </row>
    <row r="1960" spans="1:4" ht="15.75" customHeight="1" x14ac:dyDescent="0.25">
      <c r="A1960" s="9"/>
      <c r="C1960" s="43"/>
      <c r="D1960" s="43"/>
    </row>
    <row r="1961" spans="1:4" ht="15.75" customHeight="1" x14ac:dyDescent="0.25">
      <c r="A1961" s="9"/>
      <c r="C1961" s="43"/>
      <c r="D1961" s="43"/>
    </row>
    <row r="1962" spans="1:4" ht="15.75" customHeight="1" x14ac:dyDescent="0.25">
      <c r="A1962" s="9"/>
      <c r="C1962" s="43"/>
      <c r="D1962" s="43"/>
    </row>
    <row r="1963" spans="1:4" ht="15.75" customHeight="1" x14ac:dyDescent="0.25">
      <c r="A1963" s="9"/>
      <c r="C1963" s="43"/>
      <c r="D1963" s="43"/>
    </row>
    <row r="1964" spans="1:4" ht="15.75" customHeight="1" x14ac:dyDescent="0.25">
      <c r="A1964" s="9"/>
      <c r="C1964" s="43"/>
      <c r="D1964" s="43"/>
    </row>
    <row r="1965" spans="1:4" ht="15.75" customHeight="1" x14ac:dyDescent="0.25">
      <c r="A1965" s="9"/>
      <c r="C1965" s="43"/>
      <c r="D1965" s="43"/>
    </row>
  </sheetData>
  <phoneticPr fontId="25" type="noConversion"/>
  <pageMargins left="0.7" right="0.7" top="0.75" bottom="0.75" header="0" footer="0"/>
  <pageSetup orientation="landscape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142"/>
  <sheetViews>
    <sheetView workbookViewId="0"/>
  </sheetViews>
  <sheetFormatPr defaultColWidth="14.42578125" defaultRowHeight="15" customHeight="1" x14ac:dyDescent="0.25"/>
  <sheetData>
    <row r="1" spans="1:4" x14ac:dyDescent="0.25">
      <c r="A1" s="1" t="s">
        <v>152</v>
      </c>
      <c r="B1" s="2" t="s">
        <v>153</v>
      </c>
      <c r="C1" s="2" t="s">
        <v>154</v>
      </c>
      <c r="D1" s="2" t="s">
        <v>155</v>
      </c>
    </row>
    <row r="2" spans="1:4" x14ac:dyDescent="0.25">
      <c r="A2" s="3">
        <v>170370</v>
      </c>
      <c r="B2" s="4" t="s">
        <v>92</v>
      </c>
      <c r="C2" s="4" t="s">
        <v>156</v>
      </c>
      <c r="D2" s="4" t="s">
        <v>151</v>
      </c>
    </row>
    <row r="3" spans="1:4" x14ac:dyDescent="0.25">
      <c r="A3" s="3">
        <v>170510</v>
      </c>
      <c r="B3" s="4" t="s">
        <v>92</v>
      </c>
      <c r="C3" s="4" t="s">
        <v>157</v>
      </c>
      <c r="D3" s="4" t="s">
        <v>151</v>
      </c>
    </row>
    <row r="4" spans="1:4" x14ac:dyDescent="0.25">
      <c r="A4" s="3">
        <v>170755</v>
      </c>
      <c r="B4" s="4" t="s">
        <v>92</v>
      </c>
      <c r="C4" s="4" t="s">
        <v>158</v>
      </c>
      <c r="D4" s="4" t="s">
        <v>151</v>
      </c>
    </row>
    <row r="5" spans="1:4" x14ac:dyDescent="0.25">
      <c r="A5" s="3">
        <v>170980</v>
      </c>
      <c r="B5" s="4" t="s">
        <v>92</v>
      </c>
      <c r="C5" s="4" t="s">
        <v>159</v>
      </c>
      <c r="D5" s="4" t="s">
        <v>151</v>
      </c>
    </row>
    <row r="6" spans="1:4" x14ac:dyDescent="0.25">
      <c r="A6" s="3">
        <v>171270</v>
      </c>
      <c r="B6" s="4" t="s">
        <v>92</v>
      </c>
      <c r="C6" s="4" t="s">
        <v>160</v>
      </c>
      <c r="D6" s="4" t="s">
        <v>151</v>
      </c>
    </row>
    <row r="7" spans="1:4" x14ac:dyDescent="0.25">
      <c r="A7" s="3">
        <v>171360</v>
      </c>
      <c r="B7" s="4" t="s">
        <v>92</v>
      </c>
      <c r="C7" s="4" t="s">
        <v>161</v>
      </c>
      <c r="D7" s="4" t="s">
        <v>151</v>
      </c>
    </row>
    <row r="8" spans="1:4" x14ac:dyDescent="0.25">
      <c r="A8" s="3">
        <v>171420</v>
      </c>
      <c r="B8" s="4" t="s">
        <v>92</v>
      </c>
      <c r="C8" s="4" t="s">
        <v>162</v>
      </c>
      <c r="D8" s="4" t="s">
        <v>151</v>
      </c>
    </row>
    <row r="9" spans="1:4" x14ac:dyDescent="0.25">
      <c r="A9" s="3">
        <v>171700</v>
      </c>
      <c r="B9" s="4" t="s">
        <v>92</v>
      </c>
      <c r="C9" s="4" t="s">
        <v>163</v>
      </c>
      <c r="D9" s="4" t="s">
        <v>151</v>
      </c>
    </row>
    <row r="10" spans="1:4" x14ac:dyDescent="0.25">
      <c r="A10" s="3">
        <v>171790</v>
      </c>
      <c r="B10" s="4" t="s">
        <v>92</v>
      </c>
      <c r="C10" s="4" t="s">
        <v>164</v>
      </c>
      <c r="D10" s="4" t="s">
        <v>151</v>
      </c>
    </row>
    <row r="11" spans="1:4" x14ac:dyDescent="0.25">
      <c r="A11" s="3">
        <v>171820</v>
      </c>
      <c r="B11" s="4" t="s">
        <v>92</v>
      </c>
      <c r="C11" s="4" t="s">
        <v>165</v>
      </c>
      <c r="D11" s="4" t="s">
        <v>151</v>
      </c>
    </row>
    <row r="12" spans="1:4" x14ac:dyDescent="0.25">
      <c r="A12" s="3">
        <v>171890</v>
      </c>
      <c r="B12" s="4" t="s">
        <v>92</v>
      </c>
      <c r="C12" s="4" t="s">
        <v>166</v>
      </c>
      <c r="D12" s="4" t="s">
        <v>151</v>
      </c>
    </row>
    <row r="13" spans="1:4" x14ac:dyDescent="0.25">
      <c r="A13" s="3">
        <v>172065</v>
      </c>
      <c r="B13" s="4" t="s">
        <v>92</v>
      </c>
      <c r="C13" s="4" t="s">
        <v>167</v>
      </c>
      <c r="D13" s="4" t="s">
        <v>151</v>
      </c>
    </row>
    <row r="14" spans="1:4" x14ac:dyDescent="0.25">
      <c r="A14" s="3">
        <v>171550</v>
      </c>
      <c r="B14" s="4" t="s">
        <v>92</v>
      </c>
      <c r="C14" s="4" t="s">
        <v>168</v>
      </c>
      <c r="D14" s="4" t="s">
        <v>151</v>
      </c>
    </row>
    <row r="15" spans="1:4" x14ac:dyDescent="0.25">
      <c r="A15" s="3">
        <v>170220</v>
      </c>
      <c r="B15" s="4" t="s">
        <v>169</v>
      </c>
      <c r="C15" s="4" t="s">
        <v>170</v>
      </c>
      <c r="D15" s="4" t="s">
        <v>145</v>
      </c>
    </row>
    <row r="16" spans="1:4" x14ac:dyDescent="0.25">
      <c r="A16" s="3">
        <v>170255</v>
      </c>
      <c r="B16" s="4" t="s">
        <v>169</v>
      </c>
      <c r="C16" s="4" t="s">
        <v>171</v>
      </c>
      <c r="D16" s="4" t="s">
        <v>145</v>
      </c>
    </row>
    <row r="17" spans="1:4" x14ac:dyDescent="0.25">
      <c r="A17" s="3">
        <v>170290</v>
      </c>
      <c r="B17" s="4" t="s">
        <v>169</v>
      </c>
      <c r="C17" s="4" t="s">
        <v>172</v>
      </c>
      <c r="D17" s="4" t="s">
        <v>145</v>
      </c>
    </row>
    <row r="18" spans="1:4" x14ac:dyDescent="0.25">
      <c r="A18" s="3">
        <v>170380</v>
      </c>
      <c r="B18" s="4" t="s">
        <v>169</v>
      </c>
      <c r="C18" s="4" t="s">
        <v>173</v>
      </c>
      <c r="D18" s="4" t="s">
        <v>145</v>
      </c>
    </row>
    <row r="19" spans="1:4" x14ac:dyDescent="0.25">
      <c r="A19" s="3">
        <v>170389</v>
      </c>
      <c r="B19" s="4" t="s">
        <v>169</v>
      </c>
      <c r="C19" s="4" t="s">
        <v>174</v>
      </c>
      <c r="D19" s="4" t="s">
        <v>145</v>
      </c>
    </row>
    <row r="20" spans="1:4" x14ac:dyDescent="0.25">
      <c r="A20" s="3">
        <v>170740</v>
      </c>
      <c r="B20" s="4" t="s">
        <v>169</v>
      </c>
      <c r="C20" s="4" t="s">
        <v>175</v>
      </c>
      <c r="D20" s="4" t="s">
        <v>145</v>
      </c>
    </row>
    <row r="21" spans="1:4" x14ac:dyDescent="0.25">
      <c r="A21" s="3">
        <v>171070</v>
      </c>
      <c r="B21" s="4" t="s">
        <v>169</v>
      </c>
      <c r="C21" s="4" t="s">
        <v>176</v>
      </c>
      <c r="D21" s="4" t="s">
        <v>145</v>
      </c>
    </row>
    <row r="22" spans="1:4" x14ac:dyDescent="0.25">
      <c r="A22" s="3">
        <v>171280</v>
      </c>
      <c r="B22" s="4" t="s">
        <v>169</v>
      </c>
      <c r="C22" s="4" t="s">
        <v>177</v>
      </c>
      <c r="D22" s="4" t="s">
        <v>145</v>
      </c>
    </row>
    <row r="23" spans="1:4" x14ac:dyDescent="0.25">
      <c r="A23" s="3">
        <v>171830</v>
      </c>
      <c r="B23" s="4" t="s">
        <v>169</v>
      </c>
      <c r="C23" s="4" t="s">
        <v>178</v>
      </c>
      <c r="D23" s="4" t="s">
        <v>145</v>
      </c>
    </row>
    <row r="24" spans="1:4" x14ac:dyDescent="0.25">
      <c r="A24" s="3">
        <v>171880</v>
      </c>
      <c r="B24" s="4" t="s">
        <v>169</v>
      </c>
      <c r="C24" s="4" t="s">
        <v>179</v>
      </c>
      <c r="D24" s="4" t="s">
        <v>145</v>
      </c>
    </row>
    <row r="25" spans="1:4" x14ac:dyDescent="0.25">
      <c r="A25" s="3">
        <v>172010</v>
      </c>
      <c r="B25" s="4" t="s">
        <v>169</v>
      </c>
      <c r="C25" s="4" t="s">
        <v>180</v>
      </c>
      <c r="D25" s="4" t="s">
        <v>145</v>
      </c>
    </row>
    <row r="26" spans="1:4" x14ac:dyDescent="0.25">
      <c r="A26" s="3">
        <v>172020</v>
      </c>
      <c r="B26" s="4" t="s">
        <v>169</v>
      </c>
      <c r="C26" s="4" t="s">
        <v>181</v>
      </c>
      <c r="D26" s="4" t="s">
        <v>145</v>
      </c>
    </row>
    <row r="27" spans="1:4" x14ac:dyDescent="0.25">
      <c r="A27" s="3">
        <v>172030</v>
      </c>
      <c r="B27" s="4" t="s">
        <v>169</v>
      </c>
      <c r="C27" s="4" t="s">
        <v>182</v>
      </c>
      <c r="D27" s="4" t="s">
        <v>145</v>
      </c>
    </row>
    <row r="28" spans="1:4" x14ac:dyDescent="0.25">
      <c r="A28" s="3">
        <v>172080</v>
      </c>
      <c r="B28" s="4" t="s">
        <v>169</v>
      </c>
      <c r="C28" s="4" t="s">
        <v>183</v>
      </c>
      <c r="D28" s="4" t="s">
        <v>145</v>
      </c>
    </row>
    <row r="29" spans="1:4" x14ac:dyDescent="0.25">
      <c r="A29" s="3">
        <v>170030</v>
      </c>
      <c r="B29" s="4" t="s">
        <v>169</v>
      </c>
      <c r="C29" s="4" t="s">
        <v>184</v>
      </c>
      <c r="D29" s="4" t="s">
        <v>145</v>
      </c>
    </row>
    <row r="30" spans="1:4" x14ac:dyDescent="0.25">
      <c r="A30" s="3">
        <v>171245</v>
      </c>
      <c r="B30" s="4" t="s">
        <v>169</v>
      </c>
      <c r="C30" s="4" t="s">
        <v>185</v>
      </c>
      <c r="D30" s="4" t="s">
        <v>145</v>
      </c>
    </row>
    <row r="31" spans="1:4" x14ac:dyDescent="0.25">
      <c r="A31" s="3">
        <v>171430</v>
      </c>
      <c r="B31" s="4" t="s">
        <v>169</v>
      </c>
      <c r="C31" s="4" t="s">
        <v>186</v>
      </c>
      <c r="D31" s="4" t="s">
        <v>145</v>
      </c>
    </row>
    <row r="32" spans="1:4" x14ac:dyDescent="0.25">
      <c r="A32" s="3">
        <v>171380</v>
      </c>
      <c r="B32" s="4" t="s">
        <v>169</v>
      </c>
      <c r="C32" s="4" t="s">
        <v>187</v>
      </c>
      <c r="D32" s="4" t="s">
        <v>145</v>
      </c>
    </row>
    <row r="33" spans="1:4" x14ac:dyDescent="0.25">
      <c r="A33" s="3">
        <v>172000</v>
      </c>
      <c r="B33" s="4" t="s">
        <v>169</v>
      </c>
      <c r="C33" s="4" t="s">
        <v>188</v>
      </c>
      <c r="D33" s="4" t="s">
        <v>145</v>
      </c>
    </row>
    <row r="34" spans="1:4" x14ac:dyDescent="0.25">
      <c r="A34" s="3">
        <v>172120</v>
      </c>
      <c r="B34" s="4" t="s">
        <v>169</v>
      </c>
      <c r="C34" s="4" t="s">
        <v>189</v>
      </c>
      <c r="D34" s="4" t="s">
        <v>145</v>
      </c>
    </row>
    <row r="35" spans="1:4" x14ac:dyDescent="0.25">
      <c r="A35" s="3">
        <v>170100</v>
      </c>
      <c r="B35" s="4" t="s">
        <v>169</v>
      </c>
      <c r="C35" s="4" t="s">
        <v>190</v>
      </c>
      <c r="D35" s="4" t="s">
        <v>145</v>
      </c>
    </row>
    <row r="36" spans="1:4" x14ac:dyDescent="0.25">
      <c r="A36" s="3">
        <v>170105</v>
      </c>
      <c r="B36" s="4" t="s">
        <v>169</v>
      </c>
      <c r="C36" s="4" t="s">
        <v>191</v>
      </c>
      <c r="D36" s="4" t="s">
        <v>145</v>
      </c>
    </row>
    <row r="37" spans="1:4" x14ac:dyDescent="0.25">
      <c r="A37" s="3">
        <v>170382</v>
      </c>
      <c r="B37" s="4" t="s">
        <v>169</v>
      </c>
      <c r="C37" s="4" t="s">
        <v>192</v>
      </c>
      <c r="D37" s="4" t="s">
        <v>145</v>
      </c>
    </row>
    <row r="38" spans="1:4" x14ac:dyDescent="0.25">
      <c r="A38" s="3">
        <v>171855</v>
      </c>
      <c r="B38" s="4" t="s">
        <v>169</v>
      </c>
      <c r="C38" s="4" t="s">
        <v>193</v>
      </c>
      <c r="D38" s="4" t="s">
        <v>145</v>
      </c>
    </row>
    <row r="39" spans="1:4" x14ac:dyDescent="0.25">
      <c r="A39" s="3">
        <v>170025</v>
      </c>
      <c r="B39" s="4" t="s">
        <v>92</v>
      </c>
      <c r="C39" s="4" t="s">
        <v>194</v>
      </c>
      <c r="D39" s="4" t="s">
        <v>144</v>
      </c>
    </row>
    <row r="40" spans="1:4" x14ac:dyDescent="0.25">
      <c r="A40" s="3">
        <v>170190</v>
      </c>
      <c r="B40" s="4" t="s">
        <v>92</v>
      </c>
      <c r="C40" s="4" t="s">
        <v>195</v>
      </c>
      <c r="D40" s="4" t="s">
        <v>144</v>
      </c>
    </row>
    <row r="41" spans="1:4" x14ac:dyDescent="0.25">
      <c r="A41" s="3">
        <v>170310</v>
      </c>
      <c r="B41" s="4" t="s">
        <v>92</v>
      </c>
      <c r="C41" s="4" t="s">
        <v>196</v>
      </c>
      <c r="D41" s="4" t="s">
        <v>144</v>
      </c>
    </row>
    <row r="42" spans="1:4" x14ac:dyDescent="0.25">
      <c r="A42" s="3">
        <v>170390</v>
      </c>
      <c r="B42" s="4" t="s">
        <v>92</v>
      </c>
      <c r="C42" s="4" t="s">
        <v>197</v>
      </c>
      <c r="D42" s="4" t="s">
        <v>144</v>
      </c>
    </row>
    <row r="43" spans="1:4" x14ac:dyDescent="0.25">
      <c r="A43" s="3">
        <v>170460</v>
      </c>
      <c r="B43" s="4" t="s">
        <v>92</v>
      </c>
      <c r="C43" s="4" t="s">
        <v>198</v>
      </c>
      <c r="D43" s="4" t="s">
        <v>144</v>
      </c>
    </row>
    <row r="44" spans="1:4" x14ac:dyDescent="0.25">
      <c r="A44" s="3">
        <v>170610</v>
      </c>
      <c r="B44" s="4" t="s">
        <v>92</v>
      </c>
      <c r="C44" s="4" t="s">
        <v>199</v>
      </c>
      <c r="D44" s="4" t="s">
        <v>144</v>
      </c>
    </row>
    <row r="45" spans="1:4" x14ac:dyDescent="0.25">
      <c r="A45" s="3">
        <v>170710</v>
      </c>
      <c r="B45" s="4" t="s">
        <v>92</v>
      </c>
      <c r="C45" s="4" t="s">
        <v>200</v>
      </c>
      <c r="D45" s="4" t="s">
        <v>144</v>
      </c>
    </row>
    <row r="46" spans="1:4" x14ac:dyDescent="0.25">
      <c r="A46" s="3">
        <v>170720</v>
      </c>
      <c r="B46" s="4" t="s">
        <v>92</v>
      </c>
      <c r="C46" s="4" t="s">
        <v>201</v>
      </c>
      <c r="D46" s="4" t="s">
        <v>144</v>
      </c>
    </row>
    <row r="47" spans="1:4" x14ac:dyDescent="0.25">
      <c r="A47" s="3">
        <v>171190</v>
      </c>
      <c r="B47" s="4" t="s">
        <v>92</v>
      </c>
      <c r="C47" s="4" t="s">
        <v>202</v>
      </c>
      <c r="D47" s="4" t="s">
        <v>144</v>
      </c>
    </row>
    <row r="48" spans="1:4" x14ac:dyDescent="0.25">
      <c r="A48" s="3">
        <v>171250</v>
      </c>
      <c r="B48" s="4" t="s">
        <v>92</v>
      </c>
      <c r="C48" s="4" t="s">
        <v>203</v>
      </c>
      <c r="D48" s="4" t="s">
        <v>144</v>
      </c>
    </row>
    <row r="49" spans="1:4" x14ac:dyDescent="0.25">
      <c r="A49" s="3">
        <v>171370</v>
      </c>
      <c r="B49" s="4" t="s">
        <v>92</v>
      </c>
      <c r="C49" s="4" t="s">
        <v>204</v>
      </c>
      <c r="D49" s="4" t="s">
        <v>144</v>
      </c>
    </row>
    <row r="50" spans="1:4" x14ac:dyDescent="0.25">
      <c r="A50" s="3">
        <v>171500</v>
      </c>
      <c r="B50" s="4" t="s">
        <v>92</v>
      </c>
      <c r="C50" s="4" t="s">
        <v>205</v>
      </c>
      <c r="D50" s="4" t="s">
        <v>144</v>
      </c>
    </row>
    <row r="51" spans="1:4" x14ac:dyDescent="0.25">
      <c r="A51" s="3">
        <v>171610</v>
      </c>
      <c r="B51" s="4" t="s">
        <v>92</v>
      </c>
      <c r="C51" s="4" t="s">
        <v>206</v>
      </c>
      <c r="D51" s="4" t="s">
        <v>144</v>
      </c>
    </row>
    <row r="52" spans="1:4" x14ac:dyDescent="0.25">
      <c r="A52" s="3">
        <v>171750</v>
      </c>
      <c r="B52" s="4" t="s">
        <v>92</v>
      </c>
      <c r="C52" s="4" t="s">
        <v>207</v>
      </c>
      <c r="D52" s="4" t="s">
        <v>144</v>
      </c>
    </row>
    <row r="53" spans="1:4" x14ac:dyDescent="0.25">
      <c r="A53" s="3">
        <v>171845</v>
      </c>
      <c r="B53" s="4" t="s">
        <v>92</v>
      </c>
      <c r="C53" s="4" t="s">
        <v>208</v>
      </c>
      <c r="D53" s="4" t="s">
        <v>144</v>
      </c>
    </row>
    <row r="54" spans="1:4" x14ac:dyDescent="0.25">
      <c r="A54" s="3">
        <v>170110</v>
      </c>
      <c r="B54" s="4" t="s">
        <v>92</v>
      </c>
      <c r="C54" s="4" t="s">
        <v>209</v>
      </c>
      <c r="D54" s="4" t="s">
        <v>148</v>
      </c>
    </row>
    <row r="55" spans="1:4" x14ac:dyDescent="0.25">
      <c r="A55" s="3">
        <v>171195</v>
      </c>
      <c r="B55" s="4" t="s">
        <v>92</v>
      </c>
      <c r="C55" s="4" t="s">
        <v>210</v>
      </c>
      <c r="D55" s="4" t="s">
        <v>148</v>
      </c>
    </row>
    <row r="56" spans="1:4" x14ac:dyDescent="0.25">
      <c r="A56" s="3">
        <v>171200</v>
      </c>
      <c r="B56" s="4" t="s">
        <v>92</v>
      </c>
      <c r="C56" s="4" t="s">
        <v>211</v>
      </c>
      <c r="D56" s="4" t="s">
        <v>148</v>
      </c>
    </row>
    <row r="57" spans="1:4" x14ac:dyDescent="0.25">
      <c r="A57" s="3">
        <v>171240</v>
      </c>
      <c r="B57" s="4" t="s">
        <v>92</v>
      </c>
      <c r="C57" s="4" t="s">
        <v>212</v>
      </c>
      <c r="D57" s="4" t="s">
        <v>148</v>
      </c>
    </row>
    <row r="58" spans="1:4" x14ac:dyDescent="0.25">
      <c r="A58" s="3">
        <v>171510</v>
      </c>
      <c r="B58" s="4" t="s">
        <v>92</v>
      </c>
      <c r="C58" s="4" t="s">
        <v>213</v>
      </c>
      <c r="D58" s="4" t="s">
        <v>148</v>
      </c>
    </row>
    <row r="59" spans="1:4" x14ac:dyDescent="0.25">
      <c r="A59" s="3">
        <v>172100</v>
      </c>
      <c r="B59" s="4" t="s">
        <v>92</v>
      </c>
      <c r="C59" s="4" t="s">
        <v>214</v>
      </c>
      <c r="D59" s="4" t="s">
        <v>148</v>
      </c>
    </row>
    <row r="60" spans="1:4" x14ac:dyDescent="0.25">
      <c r="A60" s="3">
        <v>171900</v>
      </c>
      <c r="B60" s="4" t="s">
        <v>92</v>
      </c>
      <c r="C60" s="4" t="s">
        <v>215</v>
      </c>
      <c r="D60" s="4" t="s">
        <v>148</v>
      </c>
    </row>
    <row r="61" spans="1:4" x14ac:dyDescent="0.25">
      <c r="A61" s="3">
        <v>172015</v>
      </c>
      <c r="B61" s="4" t="s">
        <v>92</v>
      </c>
      <c r="C61" s="4" t="s">
        <v>216</v>
      </c>
      <c r="D61" s="4" t="s">
        <v>148</v>
      </c>
    </row>
    <row r="62" spans="1:4" x14ac:dyDescent="0.25">
      <c r="A62" s="3">
        <v>171320</v>
      </c>
      <c r="B62" s="4" t="s">
        <v>92</v>
      </c>
      <c r="C62" s="4" t="s">
        <v>217</v>
      </c>
      <c r="D62" s="4" t="s">
        <v>148</v>
      </c>
    </row>
    <row r="63" spans="1:4" x14ac:dyDescent="0.25">
      <c r="A63" s="3">
        <v>171330</v>
      </c>
      <c r="B63" s="4" t="s">
        <v>92</v>
      </c>
      <c r="C63" s="4" t="s">
        <v>218</v>
      </c>
      <c r="D63" s="4" t="s">
        <v>148</v>
      </c>
    </row>
    <row r="64" spans="1:4" x14ac:dyDescent="0.25">
      <c r="A64" s="3">
        <v>171870</v>
      </c>
      <c r="B64" s="4" t="s">
        <v>92</v>
      </c>
      <c r="C64" s="4" t="s">
        <v>219</v>
      </c>
      <c r="D64" s="4" t="s">
        <v>148</v>
      </c>
    </row>
    <row r="65" spans="1:4" x14ac:dyDescent="0.25">
      <c r="A65" s="3">
        <v>171875</v>
      </c>
      <c r="B65" s="4" t="s">
        <v>92</v>
      </c>
      <c r="C65" s="4" t="s">
        <v>220</v>
      </c>
      <c r="D65" s="4" t="s">
        <v>148</v>
      </c>
    </row>
    <row r="66" spans="1:4" x14ac:dyDescent="0.25">
      <c r="A66" s="3">
        <v>172110</v>
      </c>
      <c r="B66" s="4" t="s">
        <v>92</v>
      </c>
      <c r="C66" s="4" t="s">
        <v>221</v>
      </c>
      <c r="D66" s="4" t="s">
        <v>148</v>
      </c>
    </row>
    <row r="67" spans="1:4" x14ac:dyDescent="0.25">
      <c r="A67" s="3">
        <v>170825</v>
      </c>
      <c r="B67" s="4" t="s">
        <v>169</v>
      </c>
      <c r="C67" s="4" t="s">
        <v>310</v>
      </c>
      <c r="D67" s="4" t="s">
        <v>148</v>
      </c>
    </row>
    <row r="68" spans="1:4" x14ac:dyDescent="0.25">
      <c r="A68" s="3">
        <v>170230</v>
      </c>
      <c r="B68" s="4" t="s">
        <v>169</v>
      </c>
      <c r="C68" s="4" t="s">
        <v>222</v>
      </c>
      <c r="D68" s="4" t="s">
        <v>150</v>
      </c>
    </row>
    <row r="69" spans="1:4" x14ac:dyDescent="0.25">
      <c r="A69" s="3">
        <v>170305</v>
      </c>
      <c r="B69" s="4" t="s">
        <v>169</v>
      </c>
      <c r="C69" s="4" t="s">
        <v>223</v>
      </c>
      <c r="D69" s="4" t="s">
        <v>150</v>
      </c>
    </row>
    <row r="70" spans="1:4" x14ac:dyDescent="0.25">
      <c r="A70" s="3">
        <v>170320</v>
      </c>
      <c r="B70" s="4" t="s">
        <v>169</v>
      </c>
      <c r="C70" s="4" t="s">
        <v>224</v>
      </c>
      <c r="D70" s="4" t="s">
        <v>150</v>
      </c>
    </row>
    <row r="71" spans="1:4" x14ac:dyDescent="0.25">
      <c r="A71" s="3">
        <v>170360</v>
      </c>
      <c r="B71" s="4" t="s">
        <v>169</v>
      </c>
      <c r="C71" s="4" t="s">
        <v>225</v>
      </c>
      <c r="D71" s="4" t="s">
        <v>150</v>
      </c>
    </row>
    <row r="72" spans="1:4" x14ac:dyDescent="0.25">
      <c r="A72" s="3">
        <v>170550</v>
      </c>
      <c r="B72" s="4" t="s">
        <v>169</v>
      </c>
      <c r="C72" s="4" t="s">
        <v>226</v>
      </c>
      <c r="D72" s="4" t="s">
        <v>150</v>
      </c>
    </row>
    <row r="73" spans="1:4" x14ac:dyDescent="0.25">
      <c r="A73" s="3">
        <v>171670</v>
      </c>
      <c r="B73" s="4" t="s">
        <v>169</v>
      </c>
      <c r="C73" s="4" t="s">
        <v>227</v>
      </c>
      <c r="D73" s="4" t="s">
        <v>150</v>
      </c>
    </row>
    <row r="74" spans="1:4" x14ac:dyDescent="0.25">
      <c r="A74" s="3">
        <v>170600</v>
      </c>
      <c r="B74" s="4" t="s">
        <v>169</v>
      </c>
      <c r="C74" s="4" t="s">
        <v>228</v>
      </c>
      <c r="D74" s="4" t="s">
        <v>150</v>
      </c>
    </row>
    <row r="75" spans="1:4" x14ac:dyDescent="0.25">
      <c r="A75" s="3">
        <v>171090</v>
      </c>
      <c r="B75" s="4" t="s">
        <v>169</v>
      </c>
      <c r="C75" s="4" t="s">
        <v>229</v>
      </c>
      <c r="D75" s="4" t="s">
        <v>150</v>
      </c>
    </row>
    <row r="76" spans="1:4" x14ac:dyDescent="0.25">
      <c r="A76" s="3">
        <v>171180</v>
      </c>
      <c r="B76" s="4" t="s">
        <v>169</v>
      </c>
      <c r="C76" s="4" t="s">
        <v>230</v>
      </c>
      <c r="D76" s="4" t="s">
        <v>150</v>
      </c>
    </row>
    <row r="77" spans="1:4" x14ac:dyDescent="0.25">
      <c r="A77" s="3">
        <v>171570</v>
      </c>
      <c r="B77" s="4" t="s">
        <v>169</v>
      </c>
      <c r="C77" s="4" t="s">
        <v>231</v>
      </c>
      <c r="D77" s="4" t="s">
        <v>150</v>
      </c>
    </row>
    <row r="78" spans="1:4" x14ac:dyDescent="0.25">
      <c r="A78" s="3">
        <v>172130</v>
      </c>
      <c r="B78" s="4" t="s">
        <v>169</v>
      </c>
      <c r="C78" s="4" t="s">
        <v>232</v>
      </c>
      <c r="D78" s="4" t="s">
        <v>150</v>
      </c>
    </row>
    <row r="79" spans="1:4" x14ac:dyDescent="0.25">
      <c r="A79" s="3">
        <v>171670</v>
      </c>
      <c r="B79" s="4" t="s">
        <v>169</v>
      </c>
      <c r="C79" s="4" t="s">
        <v>227</v>
      </c>
      <c r="D79" s="4" t="s">
        <v>150</v>
      </c>
    </row>
    <row r="80" spans="1:4" x14ac:dyDescent="0.25">
      <c r="A80" s="3">
        <v>170830</v>
      </c>
      <c r="B80" s="4" t="s">
        <v>169</v>
      </c>
      <c r="C80" s="4" t="s">
        <v>233</v>
      </c>
      <c r="D80" s="4" t="s">
        <v>150</v>
      </c>
    </row>
    <row r="81" spans="1:4" x14ac:dyDescent="0.25">
      <c r="A81" s="3">
        <v>170930</v>
      </c>
      <c r="B81" s="4" t="s">
        <v>169</v>
      </c>
      <c r="C81" s="4" t="s">
        <v>234</v>
      </c>
      <c r="D81" s="4" t="s">
        <v>150</v>
      </c>
    </row>
    <row r="82" spans="1:4" x14ac:dyDescent="0.25">
      <c r="A82" s="3">
        <v>171050</v>
      </c>
      <c r="B82" s="4" t="s">
        <v>169</v>
      </c>
      <c r="C82" s="4" t="s">
        <v>235</v>
      </c>
      <c r="D82" s="4" t="s">
        <v>150</v>
      </c>
    </row>
    <row r="83" spans="1:4" x14ac:dyDescent="0.25">
      <c r="A83" s="3">
        <v>171110</v>
      </c>
      <c r="B83" s="4" t="s">
        <v>169</v>
      </c>
      <c r="C83" s="4" t="s">
        <v>236</v>
      </c>
      <c r="D83" s="4" t="s">
        <v>150</v>
      </c>
    </row>
    <row r="84" spans="1:4" x14ac:dyDescent="0.25">
      <c r="A84" s="3">
        <v>171665</v>
      </c>
      <c r="B84" s="4" t="s">
        <v>169</v>
      </c>
      <c r="C84" s="4" t="s">
        <v>237</v>
      </c>
      <c r="D84" s="4" t="s">
        <v>150</v>
      </c>
    </row>
    <row r="85" spans="1:4" x14ac:dyDescent="0.25">
      <c r="A85" s="3">
        <v>171840</v>
      </c>
      <c r="B85" s="4" t="s">
        <v>169</v>
      </c>
      <c r="C85" s="4" t="s">
        <v>238</v>
      </c>
      <c r="D85" s="4" t="s">
        <v>150</v>
      </c>
    </row>
    <row r="86" spans="1:4" x14ac:dyDescent="0.25">
      <c r="A86" s="3">
        <v>170330</v>
      </c>
      <c r="B86" s="4" t="s">
        <v>169</v>
      </c>
      <c r="C86" s="4" t="s">
        <v>239</v>
      </c>
      <c r="D86" s="4" t="s">
        <v>150</v>
      </c>
    </row>
    <row r="87" spans="1:4" x14ac:dyDescent="0.25">
      <c r="A87" s="3">
        <v>170410</v>
      </c>
      <c r="B87" s="4" t="s">
        <v>169</v>
      </c>
      <c r="C87" s="4" t="s">
        <v>240</v>
      </c>
      <c r="D87" s="4" t="s">
        <v>150</v>
      </c>
    </row>
    <row r="88" spans="1:4" x14ac:dyDescent="0.25">
      <c r="A88" s="3">
        <v>171650</v>
      </c>
      <c r="B88" s="4" t="s">
        <v>169</v>
      </c>
      <c r="C88" s="4" t="s">
        <v>241</v>
      </c>
      <c r="D88" s="4" t="s">
        <v>150</v>
      </c>
    </row>
    <row r="89" spans="1:4" x14ac:dyDescent="0.25">
      <c r="A89" s="3">
        <v>171850</v>
      </c>
      <c r="B89" s="4" t="s">
        <v>169</v>
      </c>
      <c r="C89" s="4" t="s">
        <v>242</v>
      </c>
      <c r="D89" s="4" t="s">
        <v>150</v>
      </c>
    </row>
    <row r="90" spans="1:4" x14ac:dyDescent="0.25">
      <c r="A90" s="3">
        <v>171888</v>
      </c>
      <c r="B90" s="4" t="s">
        <v>169</v>
      </c>
      <c r="C90" s="4" t="s">
        <v>243</v>
      </c>
      <c r="D90" s="4" t="s">
        <v>150</v>
      </c>
    </row>
    <row r="91" spans="1:4" x14ac:dyDescent="0.25">
      <c r="A91" s="3">
        <v>172125</v>
      </c>
      <c r="B91" s="4" t="s">
        <v>169</v>
      </c>
      <c r="C91" s="4" t="s">
        <v>244</v>
      </c>
      <c r="D91" s="4" t="s">
        <v>150</v>
      </c>
    </row>
    <row r="92" spans="1:4" x14ac:dyDescent="0.25">
      <c r="A92" s="3">
        <v>0</v>
      </c>
      <c r="B92" s="5">
        <v>0</v>
      </c>
      <c r="C92" s="4" t="s">
        <v>245</v>
      </c>
      <c r="D92" s="4" t="s">
        <v>245</v>
      </c>
    </row>
    <row r="93" spans="1:4" x14ac:dyDescent="0.25">
      <c r="A93" s="3">
        <v>170035</v>
      </c>
      <c r="B93" s="4" t="s">
        <v>92</v>
      </c>
      <c r="C93" s="4" t="s">
        <v>246</v>
      </c>
      <c r="D93" s="4" t="s">
        <v>146</v>
      </c>
    </row>
    <row r="94" spans="1:4" x14ac:dyDescent="0.25">
      <c r="A94" s="3">
        <v>170070</v>
      </c>
      <c r="B94" s="4" t="s">
        <v>92</v>
      </c>
      <c r="C94" s="4" t="s">
        <v>247</v>
      </c>
      <c r="D94" s="4" t="s">
        <v>146</v>
      </c>
    </row>
    <row r="95" spans="1:4" x14ac:dyDescent="0.25">
      <c r="A95" s="3">
        <v>170200</v>
      </c>
      <c r="B95" s="4" t="s">
        <v>92</v>
      </c>
      <c r="C95" s="4" t="s">
        <v>248</v>
      </c>
      <c r="D95" s="4" t="s">
        <v>146</v>
      </c>
    </row>
    <row r="96" spans="1:4" x14ac:dyDescent="0.25">
      <c r="A96" s="3">
        <v>170386</v>
      </c>
      <c r="B96" s="4" t="s">
        <v>92</v>
      </c>
      <c r="C96" s="4" t="s">
        <v>249</v>
      </c>
      <c r="D96" s="4" t="s">
        <v>146</v>
      </c>
    </row>
    <row r="97" spans="1:4" x14ac:dyDescent="0.25">
      <c r="A97" s="3">
        <v>170625</v>
      </c>
      <c r="B97" s="4" t="s">
        <v>92</v>
      </c>
      <c r="C97" s="4" t="s">
        <v>250</v>
      </c>
      <c r="D97" s="4" t="s">
        <v>146</v>
      </c>
    </row>
    <row r="98" spans="1:4" x14ac:dyDescent="0.25">
      <c r="A98" s="3">
        <v>170730</v>
      </c>
      <c r="B98" s="4" t="s">
        <v>92</v>
      </c>
      <c r="C98" s="4" t="s">
        <v>251</v>
      </c>
      <c r="D98" s="4" t="s">
        <v>146</v>
      </c>
    </row>
    <row r="99" spans="1:4" x14ac:dyDescent="0.25">
      <c r="A99" s="3">
        <v>170765</v>
      </c>
      <c r="B99" s="4" t="s">
        <v>92</v>
      </c>
      <c r="C99" s="4" t="s">
        <v>252</v>
      </c>
      <c r="D99" s="4" t="s">
        <v>146</v>
      </c>
    </row>
    <row r="100" spans="1:4" x14ac:dyDescent="0.25">
      <c r="A100" s="3">
        <v>170820</v>
      </c>
      <c r="B100" s="4" t="s">
        <v>92</v>
      </c>
      <c r="C100" s="4" t="s">
        <v>253</v>
      </c>
      <c r="D100" s="4" t="s">
        <v>146</v>
      </c>
    </row>
    <row r="101" spans="1:4" x14ac:dyDescent="0.25">
      <c r="A101" s="3">
        <v>170950</v>
      </c>
      <c r="B101" s="4" t="s">
        <v>92</v>
      </c>
      <c r="C101" s="4" t="s">
        <v>254</v>
      </c>
      <c r="D101" s="4" t="s">
        <v>146</v>
      </c>
    </row>
    <row r="102" spans="1:4" x14ac:dyDescent="0.25">
      <c r="A102" s="3">
        <v>171150</v>
      </c>
      <c r="B102" s="4" t="s">
        <v>92</v>
      </c>
      <c r="C102" s="4" t="s">
        <v>255</v>
      </c>
      <c r="D102" s="4" t="s">
        <v>146</v>
      </c>
    </row>
    <row r="103" spans="1:4" x14ac:dyDescent="0.25">
      <c r="A103" s="3">
        <v>171575</v>
      </c>
      <c r="B103" s="4" t="s">
        <v>92</v>
      </c>
      <c r="C103" s="4" t="s">
        <v>256</v>
      </c>
      <c r="D103" s="4" t="s">
        <v>146</v>
      </c>
    </row>
    <row r="104" spans="1:4" x14ac:dyDescent="0.25">
      <c r="A104" s="3">
        <v>171660</v>
      </c>
      <c r="B104" s="4" t="s">
        <v>92</v>
      </c>
      <c r="C104" s="4" t="s">
        <v>257</v>
      </c>
      <c r="D104" s="4" t="s">
        <v>146</v>
      </c>
    </row>
    <row r="105" spans="1:4" x14ac:dyDescent="0.25">
      <c r="A105" s="3">
        <v>171884</v>
      </c>
      <c r="B105" s="4" t="s">
        <v>92</v>
      </c>
      <c r="C105" s="4" t="s">
        <v>258</v>
      </c>
      <c r="D105" s="4" t="s">
        <v>146</v>
      </c>
    </row>
    <row r="106" spans="1:4" x14ac:dyDescent="0.25">
      <c r="A106" s="3">
        <v>171889</v>
      </c>
      <c r="B106" s="4" t="s">
        <v>92</v>
      </c>
      <c r="C106" s="4" t="s">
        <v>259</v>
      </c>
      <c r="D106" s="4" t="s">
        <v>146</v>
      </c>
    </row>
    <row r="107" spans="1:4" x14ac:dyDescent="0.25">
      <c r="A107" s="3">
        <v>172025</v>
      </c>
      <c r="B107" s="4" t="s">
        <v>92</v>
      </c>
      <c r="C107" s="4" t="s">
        <v>260</v>
      </c>
      <c r="D107" s="4" t="s">
        <v>146</v>
      </c>
    </row>
    <row r="108" spans="1:4" x14ac:dyDescent="0.25">
      <c r="A108" s="3">
        <v>172049</v>
      </c>
      <c r="B108" s="4" t="s">
        <v>92</v>
      </c>
      <c r="C108" s="4" t="s">
        <v>261</v>
      </c>
      <c r="D108" s="4" t="s">
        <v>146</v>
      </c>
    </row>
    <row r="109" spans="1:4" x14ac:dyDescent="0.25">
      <c r="A109" s="3">
        <v>172085</v>
      </c>
      <c r="B109" s="4" t="s">
        <v>92</v>
      </c>
      <c r="C109" s="4" t="s">
        <v>262</v>
      </c>
      <c r="D109" s="4" t="s">
        <v>146</v>
      </c>
    </row>
    <row r="110" spans="1:4" x14ac:dyDescent="0.25">
      <c r="A110" s="3">
        <v>172097</v>
      </c>
      <c r="B110" s="4" t="s">
        <v>92</v>
      </c>
      <c r="C110" s="4" t="s">
        <v>263</v>
      </c>
      <c r="D110" s="4" t="s">
        <v>146</v>
      </c>
    </row>
    <row r="111" spans="1:4" x14ac:dyDescent="0.25">
      <c r="A111" s="3">
        <v>170130</v>
      </c>
      <c r="B111" s="4" t="s">
        <v>169</v>
      </c>
      <c r="C111" s="4" t="s">
        <v>264</v>
      </c>
      <c r="D111" s="4" t="s">
        <v>149</v>
      </c>
    </row>
    <row r="112" spans="1:4" x14ac:dyDescent="0.25">
      <c r="A112" s="3">
        <v>170210</v>
      </c>
      <c r="B112" s="4" t="s">
        <v>169</v>
      </c>
      <c r="C112" s="4" t="s">
        <v>265</v>
      </c>
      <c r="D112" s="4" t="s">
        <v>149</v>
      </c>
    </row>
    <row r="113" spans="1:4" x14ac:dyDescent="0.25">
      <c r="A113" s="3">
        <v>170300</v>
      </c>
      <c r="B113" s="4" t="s">
        <v>169</v>
      </c>
      <c r="C113" s="4" t="s">
        <v>266</v>
      </c>
      <c r="D113" s="4" t="s">
        <v>149</v>
      </c>
    </row>
    <row r="114" spans="1:4" x14ac:dyDescent="0.25">
      <c r="A114" s="3">
        <v>170307</v>
      </c>
      <c r="B114" s="4" t="s">
        <v>169</v>
      </c>
      <c r="C114" s="4" t="s">
        <v>267</v>
      </c>
      <c r="D114" s="4" t="s">
        <v>149</v>
      </c>
    </row>
    <row r="115" spans="1:4" x14ac:dyDescent="0.25">
      <c r="A115" s="3">
        <v>170384</v>
      </c>
      <c r="B115" s="4" t="s">
        <v>169</v>
      </c>
      <c r="C115" s="4" t="s">
        <v>268</v>
      </c>
      <c r="D115" s="4" t="s">
        <v>149</v>
      </c>
    </row>
    <row r="116" spans="1:4" x14ac:dyDescent="0.25">
      <c r="A116" s="3">
        <v>170388</v>
      </c>
      <c r="B116" s="4" t="s">
        <v>169</v>
      </c>
      <c r="C116" s="4" t="s">
        <v>269</v>
      </c>
      <c r="D116" s="4" t="s">
        <v>149</v>
      </c>
    </row>
    <row r="117" spans="1:4" x14ac:dyDescent="0.25">
      <c r="A117" s="3">
        <v>170770</v>
      </c>
      <c r="B117" s="4" t="s">
        <v>169</v>
      </c>
      <c r="C117" s="4" t="s">
        <v>270</v>
      </c>
      <c r="D117" s="4" t="s">
        <v>149</v>
      </c>
    </row>
    <row r="118" spans="1:4" x14ac:dyDescent="0.25">
      <c r="A118" s="3">
        <v>170900</v>
      </c>
      <c r="B118" s="4" t="s">
        <v>169</v>
      </c>
      <c r="C118" s="4" t="s">
        <v>271</v>
      </c>
      <c r="D118" s="4" t="s">
        <v>149</v>
      </c>
    </row>
    <row r="119" spans="1:4" x14ac:dyDescent="0.25">
      <c r="A119" s="3">
        <v>171395</v>
      </c>
      <c r="B119" s="4" t="s">
        <v>169</v>
      </c>
      <c r="C119" s="4" t="s">
        <v>272</v>
      </c>
      <c r="D119" s="4" t="s">
        <v>149</v>
      </c>
    </row>
    <row r="120" spans="1:4" x14ac:dyDescent="0.25">
      <c r="A120" s="3">
        <v>171488</v>
      </c>
      <c r="B120" s="4" t="s">
        <v>169</v>
      </c>
      <c r="C120" s="4" t="s">
        <v>273</v>
      </c>
      <c r="D120" s="4" t="s">
        <v>149</v>
      </c>
    </row>
    <row r="121" spans="1:4" x14ac:dyDescent="0.25">
      <c r="A121" s="3">
        <v>171630</v>
      </c>
      <c r="B121" s="4" t="s">
        <v>169</v>
      </c>
      <c r="C121" s="4" t="s">
        <v>274</v>
      </c>
      <c r="D121" s="4" t="s">
        <v>149</v>
      </c>
    </row>
    <row r="122" spans="1:4" x14ac:dyDescent="0.25">
      <c r="A122" s="3">
        <v>171886</v>
      </c>
      <c r="B122" s="4" t="s">
        <v>169</v>
      </c>
      <c r="C122" s="4" t="s">
        <v>275</v>
      </c>
      <c r="D122" s="4" t="s">
        <v>149</v>
      </c>
    </row>
    <row r="123" spans="1:4" x14ac:dyDescent="0.25">
      <c r="A123" s="3">
        <v>172208</v>
      </c>
      <c r="B123" s="4" t="s">
        <v>169</v>
      </c>
      <c r="C123" s="4" t="s">
        <v>276</v>
      </c>
      <c r="D123" s="4" t="s">
        <v>149</v>
      </c>
    </row>
    <row r="124" spans="1:4" x14ac:dyDescent="0.25">
      <c r="A124" s="3">
        <v>172210</v>
      </c>
      <c r="B124" s="4" t="s">
        <v>169</v>
      </c>
      <c r="C124" s="4" t="s">
        <v>277</v>
      </c>
      <c r="D124" s="4" t="s">
        <v>149</v>
      </c>
    </row>
    <row r="125" spans="1:4" x14ac:dyDescent="0.25">
      <c r="A125" s="3">
        <v>170215</v>
      </c>
      <c r="B125" s="4" t="s">
        <v>169</v>
      </c>
      <c r="C125" s="4" t="s">
        <v>278</v>
      </c>
      <c r="D125" s="4" t="s">
        <v>149</v>
      </c>
    </row>
    <row r="126" spans="1:4" x14ac:dyDescent="0.25">
      <c r="A126" s="3">
        <v>171720</v>
      </c>
      <c r="B126" s="4" t="s">
        <v>169</v>
      </c>
      <c r="C126" s="4" t="s">
        <v>279</v>
      </c>
      <c r="D126" s="4" t="s">
        <v>149</v>
      </c>
    </row>
    <row r="127" spans="1:4" x14ac:dyDescent="0.25">
      <c r="A127" s="3">
        <v>170650</v>
      </c>
      <c r="B127" s="4" t="s">
        <v>169</v>
      </c>
      <c r="C127" s="4" t="s">
        <v>280</v>
      </c>
      <c r="D127" s="4" t="s">
        <v>149</v>
      </c>
    </row>
    <row r="128" spans="1:4" x14ac:dyDescent="0.25">
      <c r="A128" s="3">
        <v>170040</v>
      </c>
      <c r="B128" s="4" t="s">
        <v>92</v>
      </c>
      <c r="C128" s="4" t="s">
        <v>281</v>
      </c>
      <c r="D128" s="4" t="s">
        <v>147</v>
      </c>
    </row>
    <row r="129" spans="1:4" x14ac:dyDescent="0.25">
      <c r="A129" s="3">
        <v>170240</v>
      </c>
      <c r="B129" s="4" t="s">
        <v>92</v>
      </c>
      <c r="C129" s="4" t="s">
        <v>282</v>
      </c>
      <c r="D129" s="4" t="s">
        <v>147</v>
      </c>
    </row>
    <row r="130" spans="1:4" x14ac:dyDescent="0.25">
      <c r="A130" s="3">
        <v>170270</v>
      </c>
      <c r="B130" s="4" t="s">
        <v>92</v>
      </c>
      <c r="C130" s="4" t="s">
        <v>283</v>
      </c>
      <c r="D130" s="4" t="s">
        <v>147</v>
      </c>
    </row>
    <row r="131" spans="1:4" x14ac:dyDescent="0.25">
      <c r="A131" s="3">
        <v>170555</v>
      </c>
      <c r="B131" s="4" t="s">
        <v>92</v>
      </c>
      <c r="C131" s="4" t="s">
        <v>284</v>
      </c>
      <c r="D131" s="4" t="s">
        <v>147</v>
      </c>
    </row>
    <row r="132" spans="1:4" x14ac:dyDescent="0.25">
      <c r="A132" s="3">
        <v>170560</v>
      </c>
      <c r="B132" s="4" t="s">
        <v>92</v>
      </c>
      <c r="C132" s="4" t="s">
        <v>285</v>
      </c>
      <c r="D132" s="4" t="s">
        <v>147</v>
      </c>
    </row>
    <row r="133" spans="1:4" x14ac:dyDescent="0.25">
      <c r="A133" s="3">
        <v>170700</v>
      </c>
      <c r="B133" s="4" t="s">
        <v>92</v>
      </c>
      <c r="C133" s="4" t="s">
        <v>286</v>
      </c>
      <c r="D133" s="4" t="s">
        <v>147</v>
      </c>
    </row>
    <row r="134" spans="1:4" x14ac:dyDescent="0.25">
      <c r="A134" s="3">
        <v>171215</v>
      </c>
      <c r="B134" s="4" t="s">
        <v>92</v>
      </c>
      <c r="C134" s="4" t="s">
        <v>287</v>
      </c>
      <c r="D134" s="4" t="s">
        <v>147</v>
      </c>
    </row>
    <row r="135" spans="1:4" x14ac:dyDescent="0.25">
      <c r="A135" s="3">
        <v>171515</v>
      </c>
      <c r="B135" s="4" t="s">
        <v>92</v>
      </c>
      <c r="C135" s="4" t="s">
        <v>288</v>
      </c>
      <c r="D135" s="4" t="s">
        <v>147</v>
      </c>
    </row>
    <row r="136" spans="1:4" x14ac:dyDescent="0.25">
      <c r="A136" s="3">
        <v>171525</v>
      </c>
      <c r="B136" s="4" t="s">
        <v>92</v>
      </c>
      <c r="C136" s="4" t="s">
        <v>289</v>
      </c>
      <c r="D136" s="4" t="s">
        <v>147</v>
      </c>
    </row>
    <row r="137" spans="1:4" x14ac:dyDescent="0.25">
      <c r="A137" s="3">
        <v>171620</v>
      </c>
      <c r="B137" s="4" t="s">
        <v>92</v>
      </c>
      <c r="C137" s="4" t="s">
        <v>290</v>
      </c>
      <c r="D137" s="4" t="s">
        <v>147</v>
      </c>
    </row>
    <row r="138" spans="1:4" x14ac:dyDescent="0.25">
      <c r="A138" s="3">
        <v>171780</v>
      </c>
      <c r="B138" s="4" t="s">
        <v>92</v>
      </c>
      <c r="C138" s="4" t="s">
        <v>291</v>
      </c>
      <c r="D138" s="4" t="s">
        <v>147</v>
      </c>
    </row>
    <row r="139" spans="1:4" x14ac:dyDescent="0.25">
      <c r="A139" s="3">
        <v>171800</v>
      </c>
      <c r="B139" s="4" t="s">
        <v>92</v>
      </c>
      <c r="C139" s="4" t="s">
        <v>292</v>
      </c>
      <c r="D139" s="4" t="s">
        <v>147</v>
      </c>
    </row>
    <row r="140" spans="1:4" x14ac:dyDescent="0.25">
      <c r="A140" s="3">
        <v>171865</v>
      </c>
      <c r="B140" s="4" t="s">
        <v>92</v>
      </c>
      <c r="C140" s="4" t="s">
        <v>293</v>
      </c>
      <c r="D140" s="4" t="s">
        <v>147</v>
      </c>
    </row>
    <row r="141" spans="1:4" x14ac:dyDescent="0.25">
      <c r="A141" s="3">
        <v>172090</v>
      </c>
      <c r="B141" s="4" t="s">
        <v>92</v>
      </c>
      <c r="C141" s="4" t="s">
        <v>294</v>
      </c>
      <c r="D141" s="4" t="s">
        <v>147</v>
      </c>
    </row>
    <row r="142" spans="1:4" x14ac:dyDescent="0.25">
      <c r="A142" s="6">
        <v>172093</v>
      </c>
      <c r="B142" s="4" t="s">
        <v>92</v>
      </c>
      <c r="C142" s="7" t="s">
        <v>295</v>
      </c>
      <c r="D142" s="4" t="s">
        <v>147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87"/>
  <sheetViews>
    <sheetView zoomScale="85" zoomScaleNormal="85" workbookViewId="0"/>
  </sheetViews>
  <sheetFormatPr defaultRowHeight="15" x14ac:dyDescent="0.25"/>
  <cols>
    <col min="2" max="2" width="25.5703125" bestFit="1" customWidth="1"/>
    <col min="5" max="5" width="12" customWidth="1"/>
    <col min="6" max="6" width="13" customWidth="1"/>
    <col min="9" max="9" width="10.28515625" customWidth="1"/>
    <col min="10" max="10" width="11.28515625" customWidth="1"/>
    <col min="13" max="13" width="10.28515625" customWidth="1"/>
    <col min="14" max="14" width="11.28515625" customWidth="1"/>
    <col min="17" max="17" width="10.28515625" customWidth="1"/>
    <col min="18" max="18" width="11.28515625" customWidth="1"/>
    <col min="22" max="22" width="10.140625" customWidth="1"/>
    <col min="26" max="26" width="9.42578125" customWidth="1"/>
    <col min="28" max="28" width="12.7109375" customWidth="1"/>
  </cols>
  <sheetData>
    <row r="1" spans="1:29" s="8" customFormat="1" ht="15" customHeight="1" x14ac:dyDescent="0.25">
      <c r="A1" s="10" t="s">
        <v>0</v>
      </c>
      <c r="B1" s="10" t="s">
        <v>2</v>
      </c>
      <c r="C1" s="13" t="s">
        <v>329</v>
      </c>
      <c r="D1" s="14" t="s">
        <v>330</v>
      </c>
      <c r="E1" s="14" t="s">
        <v>328</v>
      </c>
      <c r="F1" s="14" t="s">
        <v>331</v>
      </c>
      <c r="G1" s="13" t="s">
        <v>296</v>
      </c>
      <c r="H1" s="14" t="s">
        <v>332</v>
      </c>
      <c r="I1" s="14" t="s">
        <v>298</v>
      </c>
      <c r="J1" s="14" t="s">
        <v>333</v>
      </c>
      <c r="K1" s="13" t="s">
        <v>297</v>
      </c>
      <c r="L1" s="13" t="s">
        <v>334</v>
      </c>
      <c r="M1" s="13" t="s">
        <v>299</v>
      </c>
      <c r="N1" s="13" t="s">
        <v>335</v>
      </c>
      <c r="O1" s="13" t="s">
        <v>327</v>
      </c>
      <c r="P1" s="13" t="s">
        <v>336</v>
      </c>
      <c r="Q1" s="13" t="s">
        <v>326</v>
      </c>
      <c r="R1" s="13" t="s">
        <v>337</v>
      </c>
      <c r="S1" s="13" t="s">
        <v>325</v>
      </c>
      <c r="T1" s="13" t="s">
        <v>338</v>
      </c>
      <c r="U1" s="13" t="s">
        <v>324</v>
      </c>
      <c r="V1" s="13" t="s">
        <v>339</v>
      </c>
      <c r="W1" s="13" t="s">
        <v>323</v>
      </c>
      <c r="X1" s="13" t="s">
        <v>340</v>
      </c>
      <c r="Y1" s="13" t="s">
        <v>322</v>
      </c>
      <c r="Z1" s="13" t="s">
        <v>341</v>
      </c>
      <c r="AA1" s="11" t="s">
        <v>342</v>
      </c>
      <c r="AB1" s="15" t="s">
        <v>343</v>
      </c>
      <c r="AC1" s="24" t="s">
        <v>311</v>
      </c>
    </row>
    <row r="2" spans="1:29" x14ac:dyDescent="0.25">
      <c r="A2" s="19">
        <v>2024</v>
      </c>
      <c r="B2" s="18" t="s">
        <v>151</v>
      </c>
      <c r="C2">
        <f>SUMIFS(banco!E:E,banco!$C:$C,$B2,banco!$A:$A,$A2)</f>
        <v>664</v>
      </c>
      <c r="D2" s="12">
        <f>IFERROR(C2/$AA2,0)</f>
        <v>2.1592091571279916E-2</v>
      </c>
      <c r="E2">
        <f>SUMIFS(banco!G:G,banco!$C:$C,$B2,banco!$A:$A,$A2)</f>
        <v>98</v>
      </c>
      <c r="F2" s="12">
        <f>IFERROR(E2/$AB2,0)</f>
        <v>3.3619210977701541E-2</v>
      </c>
      <c r="G2">
        <f>SUMIFS(banco!I:I,banco!$C:$C,$B2,banco!$A:$A,$A2)</f>
        <v>9593</v>
      </c>
      <c r="H2" s="12">
        <f>IFERROR(G2/$AA2,0)</f>
        <v>0.31194719042663893</v>
      </c>
      <c r="I2">
        <f>SUMIFS(banco!K:K,banco!$C:$C,$B2,banco!$A:$A,$A2)</f>
        <v>877</v>
      </c>
      <c r="J2" s="12">
        <f>IFERROR(I2/$AB2,0)</f>
        <v>0.30085763293310464</v>
      </c>
      <c r="K2">
        <f>SUMIFS(banco!M:M,banco!$C:$C,$B2,banco!$A:$A,$A2)</f>
        <v>10805</v>
      </c>
      <c r="L2" s="12">
        <f>IFERROR(K2/$AA2,0)</f>
        <v>0.35135926118626432</v>
      </c>
      <c r="M2">
        <f>SUMIFS(banco!O:O,banco!$C:$C,$B2,banco!$A:$A,$A2)</f>
        <v>918</v>
      </c>
      <c r="N2" s="12">
        <f>IFERROR(M2/$AB2,0)</f>
        <v>0.3149228130360206</v>
      </c>
      <c r="O2">
        <f>SUMIFS(banco!Q:Q,banco!$C:$C,$B2,banco!$A:$A,$A2)</f>
        <v>6232</v>
      </c>
      <c r="P2" s="12">
        <f>IFERROR(O2/$AA2,0)</f>
        <v>0.2026534859521332</v>
      </c>
      <c r="Q2">
        <f>SUMIFS(banco!S:S,banco!$C:$C,$B2,banco!$A:$A,$A2)</f>
        <v>621</v>
      </c>
      <c r="R2" s="12">
        <f>IFERROR(Q2/$AB2,0)</f>
        <v>0.21303602058319041</v>
      </c>
      <c r="S2">
        <f>SUMIFS(banco!U:U,banco!$C:$C,$B2,banco!$A:$A,$A2)</f>
        <v>2334</v>
      </c>
      <c r="T2" s="12">
        <f>IFERROR(S2/$AA2,0)</f>
        <v>7.589750260145682E-2</v>
      </c>
      <c r="U2">
        <f>SUMIFS(banco!W:W,banco!$C:$C,$B2,banco!$A:$A,$A2)</f>
        <v>264</v>
      </c>
      <c r="V2" s="12">
        <f>IFERROR(U2/$AB2,0)</f>
        <v>9.056603773584905E-2</v>
      </c>
      <c r="W2">
        <f>SUMIFS(banco!Y:Y,banco!$C:$C,$B2,banco!$A:$A,$A2)</f>
        <v>1124</v>
      </c>
      <c r="X2" s="12">
        <f>IFERROR(W2/$AA2,0)</f>
        <v>3.6550468262226847E-2</v>
      </c>
      <c r="Y2">
        <f>SUMIFS(banco!AA:AA,banco!$C:$C,$B2,banco!$A:$A,$A2)</f>
        <v>137</v>
      </c>
      <c r="Z2" s="12">
        <f>IFERROR(Y2/$AB2,0)</f>
        <v>4.699828473413379E-2</v>
      </c>
      <c r="AA2">
        <f>SUMIFS(banco!AC:AC,banco!$C:$C,$B2,banco!$A:$A,$A2)</f>
        <v>30752</v>
      </c>
      <c r="AB2">
        <f>SUMIFS(banco!AD:AD,banco!$C:$C,$B2,banco!$A:$A,$A2)</f>
        <v>2915</v>
      </c>
      <c r="AC2">
        <v>9900</v>
      </c>
    </row>
    <row r="3" spans="1:29" x14ac:dyDescent="0.25">
      <c r="A3" s="19">
        <v>2024</v>
      </c>
      <c r="B3" s="18" t="s">
        <v>145</v>
      </c>
      <c r="C3">
        <f>SUMIFS(banco!E:E,banco!$C:$C,$B3,banco!$A:$A,$A3)</f>
        <v>1277</v>
      </c>
      <c r="D3" s="12">
        <f>IFERROR(C3/$AA3,0)</f>
        <v>2.4650130296303446E-2</v>
      </c>
      <c r="E3">
        <f>SUMIFS(banco!G:G,banco!$C:$C,$B3,banco!$A:$A,$A3)</f>
        <v>241</v>
      </c>
      <c r="F3" s="12">
        <f>IFERROR(E3/$AB3,0)</f>
        <v>3.5233918128654972E-2</v>
      </c>
      <c r="G3">
        <f>SUMIFS(banco!I:I,banco!$C:$C,$B3,banco!$A:$A,$A3)</f>
        <v>18138</v>
      </c>
      <c r="H3" s="12">
        <f>IFERROR(G3/$AA3,0)</f>
        <v>0.3501206447254126</v>
      </c>
      <c r="I3">
        <f>SUMIFS(banco!K:K,banco!$C:$C,$B3,banco!$A:$A,$A3)</f>
        <v>2492</v>
      </c>
      <c r="J3" s="12">
        <f>IFERROR(I3/$AB3,0)</f>
        <v>0.36432748538011694</v>
      </c>
      <c r="K3">
        <f>SUMIFS(banco!M:M,banco!$C:$C,$B3,banco!$A:$A,$A3)</f>
        <v>18469</v>
      </c>
      <c r="L3" s="12">
        <f>IFERROR(K3/$AA3,0)</f>
        <v>0.35650998938326417</v>
      </c>
      <c r="M3">
        <f>SUMIFS(banco!O:O,banco!$C:$C,$B3,banco!$A:$A,$A3)</f>
        <v>2316</v>
      </c>
      <c r="N3" s="12">
        <f>IFERROR(M3/$AB3,0)</f>
        <v>0.33859649122807017</v>
      </c>
      <c r="O3">
        <f>SUMIFS(banco!Q:Q,banco!$C:$C,$B3,banco!$A:$A,$A3)</f>
        <v>9622</v>
      </c>
      <c r="P3" s="12">
        <f>IFERROR(O3/$AA3,0)</f>
        <v>0.18573496766721359</v>
      </c>
      <c r="Q3">
        <f>SUMIFS(banco!S:S,banco!$C:$C,$B3,banco!$A:$A,$A3)</f>
        <v>1201</v>
      </c>
      <c r="R3" s="12">
        <f>IFERROR(Q3/$AB3,0)</f>
        <v>0.17558479532163743</v>
      </c>
      <c r="S3">
        <f>SUMIFS(banco!U:U,banco!$C:$C,$B3,banco!$A:$A,$A3)</f>
        <v>3044</v>
      </c>
      <c r="T3" s="12">
        <f>IFERROR(S3/$AA3,0)</f>
        <v>5.8758807064955121E-2</v>
      </c>
      <c r="U3">
        <f>SUMIFS(banco!W:W,banco!$C:$C,$B3,banco!$A:$A,$A3)</f>
        <v>406</v>
      </c>
      <c r="V3" s="12">
        <f>IFERROR(U3/$AB3,0)</f>
        <v>5.935672514619883E-2</v>
      </c>
      <c r="W3">
        <f>SUMIFS(banco!Y:Y,banco!$C:$C,$B3,banco!$A:$A,$A3)</f>
        <v>1255</v>
      </c>
      <c r="X3" s="12">
        <f>IFERROR(W3/$AA3,0)</f>
        <v>2.4225460862851076E-2</v>
      </c>
      <c r="Y3">
        <f>SUMIFS(banco!AA:AA,banco!$C:$C,$B3,banco!$A:$A,$A3)</f>
        <v>184</v>
      </c>
      <c r="Z3" s="12">
        <f>IFERROR(Y3/$AB3,0)</f>
        <v>2.6900584795321637E-2</v>
      </c>
      <c r="AA3">
        <f>SUMIFS(banco!AC:AC,banco!$C:$C,$B3,banco!$A:$A,$A3)</f>
        <v>51805</v>
      </c>
      <c r="AB3">
        <f>SUMIFS(banco!AD:AD,banco!$C:$C,$B3,banco!$A:$A,$A3)</f>
        <v>6840</v>
      </c>
      <c r="AC3">
        <v>16928</v>
      </c>
    </row>
    <row r="4" spans="1:29" x14ac:dyDescent="0.25">
      <c r="A4" s="19">
        <v>2024</v>
      </c>
      <c r="B4" s="18" t="s">
        <v>144</v>
      </c>
      <c r="C4">
        <f>SUMIFS(banco!E:E,banco!$C:$C,$B4,banco!$A:$A,$A4)</f>
        <v>622</v>
      </c>
      <c r="D4" s="12">
        <f>IFERROR(C4/$AA4,0)</f>
        <v>2.1689099658274636E-2</v>
      </c>
      <c r="E4">
        <f>SUMIFS(banco!G:G,banco!$C:$C,$B4,banco!$A:$A,$A4)</f>
        <v>97</v>
      </c>
      <c r="F4" s="12">
        <f>IFERROR(E4/$AB4,0)</f>
        <v>3.4397163120567377E-2</v>
      </c>
      <c r="G4">
        <f>SUMIFS(banco!I:I,banco!$C:$C,$B4,banco!$A:$A,$A4)</f>
        <v>9023</v>
      </c>
      <c r="H4" s="12">
        <f>IFERROR(G4/$AA4,0)</f>
        <v>0.3146314247855499</v>
      </c>
      <c r="I4">
        <f>SUMIFS(banco!K:K,banco!$C:$C,$B4,banco!$A:$A,$A4)</f>
        <v>932</v>
      </c>
      <c r="J4" s="12">
        <f>IFERROR(I4/$AB4,0)</f>
        <v>0.3304964539007092</v>
      </c>
      <c r="K4">
        <f>SUMIFS(banco!M:M,banco!$C:$C,$B4,banco!$A:$A,$A4)</f>
        <v>10148</v>
      </c>
      <c r="L4" s="12">
        <f>IFERROR(K4/$AA4,0)</f>
        <v>0.3538601018202106</v>
      </c>
      <c r="M4">
        <f>SUMIFS(banco!O:O,banco!$C:$C,$B4,banco!$A:$A,$A4)</f>
        <v>910</v>
      </c>
      <c r="N4" s="12">
        <f>IFERROR(M4/$AB4,0)</f>
        <v>0.32269503546099293</v>
      </c>
      <c r="O4">
        <f>SUMIFS(banco!Q:Q,banco!$C:$C,$B4,banco!$A:$A,$A4)</f>
        <v>5684</v>
      </c>
      <c r="P4" s="12">
        <f>IFERROR(O4/$AA4,0)</f>
        <v>0.19820071134667688</v>
      </c>
      <c r="Q4">
        <f>SUMIFS(banco!S:S,banco!$C:$C,$B4,banco!$A:$A,$A4)</f>
        <v>521</v>
      </c>
      <c r="R4" s="12">
        <f>IFERROR(Q4/$AB4,0)</f>
        <v>0.18475177304964538</v>
      </c>
      <c r="S4">
        <f>SUMIFS(banco!U:U,banco!$C:$C,$B4,banco!$A:$A,$A4)</f>
        <v>2215</v>
      </c>
      <c r="T4" s="12">
        <f>IFERROR(S4/$AA4,0)</f>
        <v>7.7236906339354205E-2</v>
      </c>
      <c r="U4">
        <f>SUMIFS(banco!W:W,banco!$C:$C,$B4,banco!$A:$A,$A4)</f>
        <v>253</v>
      </c>
      <c r="V4" s="12">
        <f>IFERROR(U4/$AB4,0)</f>
        <v>8.9716312056737593E-2</v>
      </c>
      <c r="W4">
        <f>SUMIFS(banco!Y:Y,banco!$C:$C,$B4,banco!$A:$A,$A4)</f>
        <v>986</v>
      </c>
      <c r="X4" s="12">
        <f>IFERROR(W4/$AA4,0)</f>
        <v>3.4381756049933744E-2</v>
      </c>
      <c r="Y4">
        <f>SUMIFS(banco!AA:AA,banco!$C:$C,$B4,banco!$A:$A,$A4)</f>
        <v>107</v>
      </c>
      <c r="Z4" s="12">
        <f>IFERROR(Y4/$AB4,0)</f>
        <v>3.7943262411347517E-2</v>
      </c>
      <c r="AA4">
        <f>SUMIFS(banco!AC:AC,banco!$C:$C,$B4,banco!$A:$A,$A4)</f>
        <v>28678</v>
      </c>
      <c r="AB4">
        <f>SUMIFS(banco!AD:AD,banco!$C:$C,$B4,banco!$A:$A,$A4)</f>
        <v>2820</v>
      </c>
      <c r="AC4">
        <v>10353</v>
      </c>
    </row>
    <row r="5" spans="1:29" x14ac:dyDescent="0.25">
      <c r="A5" s="19">
        <v>2024</v>
      </c>
      <c r="B5" s="18" t="s">
        <v>148</v>
      </c>
      <c r="C5">
        <f>SUMIFS(banco!E:E,banco!$C:$C,$B5,banco!$A:$A,$A5)</f>
        <v>1856</v>
      </c>
      <c r="D5" s="12">
        <f>IFERROR(C5/$AA5,0)</f>
        <v>2.3798533107657588E-2</v>
      </c>
      <c r="E5">
        <f>SUMIFS(banco!G:G,banco!$C:$C,$B5,banco!$A:$A,$A5)</f>
        <v>247</v>
      </c>
      <c r="F5" s="12">
        <f>IFERROR(E5/$AB5,0)</f>
        <v>2.8970208773164439E-2</v>
      </c>
      <c r="G5">
        <f>SUMIFS(banco!I:I,banco!$C:$C,$B5,banco!$A:$A,$A5)</f>
        <v>26426</v>
      </c>
      <c r="H5" s="12">
        <f>IFERROR(G5/$AA5,0)</f>
        <v>0.33884700210288765</v>
      </c>
      <c r="I5">
        <f>SUMIFS(banco!K:K,banco!$C:$C,$B5,banco!$A:$A,$A5)</f>
        <v>3006</v>
      </c>
      <c r="J5" s="12">
        <f>IFERROR(I5/$AB5,0)</f>
        <v>0.35256861365235748</v>
      </c>
      <c r="K5">
        <f>SUMIFS(banco!M:M,banco!$C:$C,$B5,banco!$A:$A,$A5)</f>
        <v>27411</v>
      </c>
      <c r="L5" s="12">
        <f>IFERROR(K5/$AA5,0)</f>
        <v>0.35147715033082011</v>
      </c>
      <c r="M5">
        <f>SUMIFS(banco!O:O,banco!$C:$C,$B5,banco!$A:$A,$A5)</f>
        <v>2817</v>
      </c>
      <c r="N5" s="12">
        <f>IFERROR(M5/$AB5,0)</f>
        <v>0.33040112596762844</v>
      </c>
      <c r="O5">
        <f>SUMIFS(banco!Q:Q,banco!$C:$C,$B5,banco!$A:$A,$A5)</f>
        <v>14727</v>
      </c>
      <c r="P5" s="12">
        <f>IFERROR(O5/$AA5,0)</f>
        <v>0.18883674411447915</v>
      </c>
      <c r="Q5">
        <f>SUMIFS(banco!S:S,banco!$C:$C,$B5,banco!$A:$A,$A5)</f>
        <v>1608</v>
      </c>
      <c r="R5" s="12">
        <f>IFERROR(Q5/$AB5,0)</f>
        <v>0.18859957776213934</v>
      </c>
      <c r="S5">
        <f>SUMIFS(banco!U:U,banco!$C:$C,$B5,banco!$A:$A,$A5)</f>
        <v>5190</v>
      </c>
      <c r="T5" s="12">
        <f>IFERROR(S5/$AA5,0)</f>
        <v>6.6548699799969233E-2</v>
      </c>
      <c r="U5">
        <f>SUMIFS(banco!W:W,banco!$C:$C,$B5,banco!$A:$A,$A5)</f>
        <v>602</v>
      </c>
      <c r="V5" s="12">
        <f>IFERROR(U5/$AB5,0)</f>
        <v>7.0607553366174053E-2</v>
      </c>
      <c r="W5">
        <f>SUMIFS(banco!Y:Y,banco!$C:$C,$B5,banco!$A:$A,$A5)</f>
        <v>2378</v>
      </c>
      <c r="X5" s="12">
        <f>IFERROR(W5/$AA5,0)</f>
        <v>3.0491870544186284E-2</v>
      </c>
      <c r="Y5">
        <f>SUMIFS(banco!AA:AA,banco!$C:$C,$B5,banco!$A:$A,$A5)</f>
        <v>246</v>
      </c>
      <c r="Z5" s="12">
        <f>IFERROR(Y5/$AB5,0)</f>
        <v>2.8852920478536243E-2</v>
      </c>
      <c r="AA5">
        <f>SUMIFS(banco!AC:AC,banco!$C:$C,$B5,banco!$A:$A,$A5)</f>
        <v>77988</v>
      </c>
      <c r="AB5">
        <f>SUMIFS(banco!AD:AD,banco!$C:$C,$B5,banco!$A:$A,$A5)</f>
        <v>8526</v>
      </c>
      <c r="AC5">
        <v>31007</v>
      </c>
    </row>
    <row r="6" spans="1:29" x14ac:dyDescent="0.25">
      <c r="A6" s="19">
        <v>2024</v>
      </c>
      <c r="B6" s="18" t="s">
        <v>150</v>
      </c>
      <c r="C6">
        <f>SUMIFS(banco!E:E,banco!$C:$C,$B6,banco!$A:$A,$A6)</f>
        <v>812</v>
      </c>
      <c r="D6" s="12">
        <f>IFERROR(C6/$AA6,0)</f>
        <v>2.1660842425374131E-2</v>
      </c>
      <c r="E6">
        <f>SUMIFS(banco!G:G,banco!$C:$C,$B6,banco!$A:$A,$A6)</f>
        <v>126</v>
      </c>
      <c r="F6" s="12">
        <f>IFERROR(E6/$AB6,0)</f>
        <v>3.3925686591276254E-2</v>
      </c>
      <c r="G6">
        <f>SUMIFS(banco!I:I,banco!$C:$C,$B6,banco!$A:$A,$A6)</f>
        <v>12268</v>
      </c>
      <c r="H6" s="12">
        <f>IFERROR(G6/$AA6,0)</f>
        <v>0.32726011684050471</v>
      </c>
      <c r="I6">
        <f>SUMIFS(banco!K:K,banco!$C:$C,$B6,banco!$A:$A,$A6)</f>
        <v>1259</v>
      </c>
      <c r="J6" s="12">
        <f>IFERROR(I6/$AB6,0)</f>
        <v>0.33898761443187936</v>
      </c>
      <c r="K6">
        <f>SUMIFS(banco!M:M,banco!$C:$C,$B6,banco!$A:$A,$A6)</f>
        <v>13274</v>
      </c>
      <c r="L6" s="12">
        <f>IFERROR(K6/$AA6,0)</f>
        <v>0.35409608664336972</v>
      </c>
      <c r="M6">
        <f>SUMIFS(banco!O:O,banco!$C:$C,$B6,banco!$A:$A,$A6)</f>
        <v>1200</v>
      </c>
      <c r="N6" s="12">
        <f>IFERROR(M6/$AB6,0)</f>
        <v>0.32310177705977383</v>
      </c>
      <c r="O6">
        <f>SUMIFS(banco!Q:Q,banco!$C:$C,$B6,banco!$A:$A,$A6)</f>
        <v>7291</v>
      </c>
      <c r="P6" s="12">
        <f>IFERROR(O6/$AA6,0)</f>
        <v>0.1944940912849788</v>
      </c>
      <c r="Q6">
        <f>SUMIFS(banco!S:S,banco!$C:$C,$B6,banco!$A:$A,$A6)</f>
        <v>689</v>
      </c>
      <c r="R6" s="12">
        <f>IFERROR(Q6/$AB6,0)</f>
        <v>0.1855142703284868</v>
      </c>
      <c r="S6">
        <f>SUMIFS(banco!U:U,banco!$C:$C,$B6,banco!$A:$A,$A6)</f>
        <v>2634</v>
      </c>
      <c r="T6" s="12">
        <f>IFERROR(S6/$AA6,0)</f>
        <v>7.0264358310881112E-2</v>
      </c>
      <c r="U6">
        <f>SUMIFS(banco!W:W,banco!$C:$C,$B6,banco!$A:$A,$A6)</f>
        <v>279</v>
      </c>
      <c r="V6" s="12">
        <f>IFERROR(U6/$AB6,0)</f>
        <v>7.5121163166397414E-2</v>
      </c>
      <c r="W6">
        <f>SUMIFS(banco!Y:Y,banco!$C:$C,$B6,banco!$A:$A,$A6)</f>
        <v>1208</v>
      </c>
      <c r="X6" s="12">
        <f>IFERROR(W6/$AA6,0)</f>
        <v>3.2224504494891559E-2</v>
      </c>
      <c r="Y6">
        <f>SUMIFS(banco!AA:AA,banco!$C:$C,$B6,banco!$A:$A,$A6)</f>
        <v>161</v>
      </c>
      <c r="Z6" s="12">
        <f>IFERROR(Y6/$AB6,0)</f>
        <v>4.3349488422186319E-2</v>
      </c>
      <c r="AA6">
        <f>SUMIFS(banco!AC:AC,banco!$C:$C,$B6,banco!$A:$A,$A6)</f>
        <v>37487</v>
      </c>
      <c r="AB6">
        <f>SUMIFS(banco!AD:AD,banco!$C:$C,$B6,banco!$A:$A,$A6)</f>
        <v>3714</v>
      </c>
      <c r="AC6">
        <v>11999</v>
      </c>
    </row>
    <row r="7" spans="1:29" x14ac:dyDescent="0.25">
      <c r="A7" s="19">
        <v>2024</v>
      </c>
      <c r="B7" s="18" t="s">
        <v>146</v>
      </c>
      <c r="C7">
        <f>SUMIFS(banco!E:E,banco!$C:$C,$B7,banco!$A:$A,$A7)</f>
        <v>854</v>
      </c>
      <c r="D7" s="12">
        <f>IFERROR(C7/$AA7,0)</f>
        <v>2.06719597211464E-2</v>
      </c>
      <c r="E7">
        <f>SUMIFS(banco!G:G,banco!$C:$C,$B7,banco!$A:$A,$A7)</f>
        <v>110</v>
      </c>
      <c r="F7" s="12">
        <f>IFERROR(E7/$AB7,0)</f>
        <v>2.5652985074626867E-2</v>
      </c>
      <c r="G7">
        <f>SUMIFS(banco!I:I,banco!$C:$C,$B7,banco!$A:$A,$A7)</f>
        <v>12907</v>
      </c>
      <c r="H7" s="12">
        <f>IFERROR(G7/$AA7,0)</f>
        <v>0.31242738187451585</v>
      </c>
      <c r="I7">
        <f>SUMIFS(banco!K:K,banco!$C:$C,$B7,banco!$A:$A,$A7)</f>
        <v>1743</v>
      </c>
      <c r="J7" s="12">
        <f>IFERROR(I7/$AB7,0)</f>
        <v>0.40648320895522388</v>
      </c>
      <c r="K7">
        <f>SUMIFS(banco!M:M,banco!$C:$C,$B7,banco!$A:$A,$A7)</f>
        <v>14136</v>
      </c>
      <c r="L7" s="12">
        <f>IFERROR(K7/$AA7,0)</f>
        <v>0.34217660728117738</v>
      </c>
      <c r="M7">
        <f>SUMIFS(banco!O:O,banco!$C:$C,$B7,banco!$A:$A,$A7)</f>
        <v>1183</v>
      </c>
      <c r="N7" s="12">
        <f>IFERROR(M7/$AB7,0)</f>
        <v>0.27588619402985076</v>
      </c>
      <c r="O7">
        <f>SUMIFS(banco!Q:Q,banco!$C:$C,$B7,banco!$A:$A,$A7)</f>
        <v>8418</v>
      </c>
      <c r="P7" s="12">
        <f>IFERROR(O7/$AA7,0)</f>
        <v>0.20376646010844307</v>
      </c>
      <c r="Q7">
        <f>SUMIFS(banco!S:S,banco!$C:$C,$B7,banco!$A:$A,$A7)</f>
        <v>755</v>
      </c>
      <c r="R7" s="12">
        <f>IFERROR(Q7/$AB7,0)</f>
        <v>0.17607276119402984</v>
      </c>
      <c r="S7">
        <f>SUMIFS(banco!U:U,banco!$C:$C,$B7,banco!$A:$A,$A7)</f>
        <v>3328</v>
      </c>
      <c r="T7" s="12">
        <f>IFERROR(S7/$AA7,0)</f>
        <v>8.0557707203718049E-2</v>
      </c>
      <c r="U7">
        <f>SUMIFS(banco!W:W,banco!$C:$C,$B7,banco!$A:$A,$A7)</f>
        <v>323</v>
      </c>
      <c r="V7" s="12">
        <f>IFERROR(U7/$AB7,0)</f>
        <v>7.5326492537313439E-2</v>
      </c>
      <c r="W7">
        <f>SUMIFS(banco!Y:Y,banco!$C:$C,$B7,banco!$A:$A,$A7)</f>
        <v>1669</v>
      </c>
      <c r="X7" s="12">
        <f>IFERROR(W7/$AA7,0)</f>
        <v>4.0399883810999224E-2</v>
      </c>
      <c r="Y7">
        <f>SUMIFS(banco!AA:AA,banco!$C:$C,$B7,banco!$A:$A,$A7)</f>
        <v>174</v>
      </c>
      <c r="Z7" s="12">
        <f>IFERROR(Y7/$AB7,0)</f>
        <v>4.0578358208955223E-2</v>
      </c>
      <c r="AA7">
        <f>SUMIFS(banco!AC:AC,banco!$C:$C,$B7,banco!$A:$A,$A7)</f>
        <v>41312</v>
      </c>
      <c r="AB7">
        <f>SUMIFS(banco!AD:AD,banco!$C:$C,$B7,banco!$A:$A,$A7)</f>
        <v>4288</v>
      </c>
      <c r="AC7">
        <v>13158</v>
      </c>
    </row>
    <row r="8" spans="1:29" x14ac:dyDescent="0.25">
      <c r="A8" s="19">
        <v>2024</v>
      </c>
      <c r="B8" s="18" t="s">
        <v>149</v>
      </c>
      <c r="C8">
        <f>SUMIFS(banco!E:E,banco!$C:$C,$B8,banco!$A:$A,$A8)</f>
        <v>1533</v>
      </c>
      <c r="D8" s="12">
        <f>IFERROR(C8/$AA8,0)</f>
        <v>2.358570395556718E-2</v>
      </c>
      <c r="E8">
        <f>SUMIFS(banco!G:G,banco!$C:$C,$B8,banco!$A:$A,$A8)</f>
        <v>247</v>
      </c>
      <c r="F8" s="12">
        <f>IFERROR(E8/$AB8,0)</f>
        <v>2.4443344878772883E-2</v>
      </c>
      <c r="G8">
        <f>SUMIFS(banco!I:I,banco!$C:$C,$B8,banco!$A:$A,$A8)</f>
        <v>20592</v>
      </c>
      <c r="H8" s="12">
        <f>IFERROR(G8/$AA8,0)</f>
        <v>0.3168146222133329</v>
      </c>
      <c r="I8">
        <f>SUMIFS(banco!K:K,banco!$C:$C,$B8,banco!$A:$A,$A8)</f>
        <v>3141</v>
      </c>
      <c r="J8" s="12">
        <f>IFERROR(I8/$AB8,0)</f>
        <v>0.31083621969322117</v>
      </c>
      <c r="K8">
        <f>SUMIFS(banco!M:M,banco!$C:$C,$B8,banco!$A:$A,$A8)</f>
        <v>23130</v>
      </c>
      <c r="L8" s="12">
        <f>IFERROR(K8/$AA8,0)</f>
        <v>0.35586257827284334</v>
      </c>
      <c r="M8">
        <f>SUMIFS(banco!O:O,banco!$C:$C,$B8,banco!$A:$A,$A8)</f>
        <v>3790</v>
      </c>
      <c r="N8" s="12">
        <f>IFERROR(M8/$AB8,0)</f>
        <v>0.37506185056902525</v>
      </c>
      <c r="O8">
        <f>SUMIFS(banco!Q:Q,banco!$C:$C,$B8,banco!$A:$A,$A8)</f>
        <v>12826</v>
      </c>
      <c r="P8" s="12">
        <f>IFERROR(O8/$AA8,0)</f>
        <v>0.19733218456236443</v>
      </c>
      <c r="Q8">
        <f>SUMIFS(banco!S:S,banco!$C:$C,$B8,banco!$A:$A,$A8)</f>
        <v>1887</v>
      </c>
      <c r="R8" s="12">
        <f>IFERROR(Q8/$AB8,0)</f>
        <v>0.1867392380009896</v>
      </c>
      <c r="S8">
        <f>SUMIFS(banco!U:U,banco!$C:$C,$B8,banco!$A:$A,$A8)</f>
        <v>4673</v>
      </c>
      <c r="T8" s="12">
        <f>IFERROR(S8/$AA8,0)</f>
        <v>7.189562595196701E-2</v>
      </c>
      <c r="U8">
        <f>SUMIFS(banco!W:W,banco!$C:$C,$B8,banco!$A:$A,$A8)</f>
        <v>703</v>
      </c>
      <c r="V8" s="12">
        <f>IFERROR(U8/$AB8,0)</f>
        <v>6.9569520039584359E-2</v>
      </c>
      <c r="W8">
        <f>SUMIFS(banco!Y:Y,banco!$C:$C,$B8,banco!$A:$A,$A8)</f>
        <v>2243</v>
      </c>
      <c r="X8" s="12">
        <f>IFERROR(W8/$AA8,0)</f>
        <v>3.4509285043925107E-2</v>
      </c>
      <c r="Y8">
        <f>SUMIFS(banco!AA:AA,banco!$C:$C,$B8,banco!$A:$A,$A8)</f>
        <v>337</v>
      </c>
      <c r="Z8" s="12">
        <f>IFERROR(Y8/$AB8,0)</f>
        <v>3.334982681840673E-2</v>
      </c>
      <c r="AA8">
        <f>SUMIFS(banco!AC:AC,banco!$C:$C,$B8,banco!$A:$A,$A8)</f>
        <v>64997</v>
      </c>
      <c r="AB8">
        <f>SUMIFS(banco!AD:AD,banco!$C:$C,$B8,banco!$A:$A,$A8)</f>
        <v>10105</v>
      </c>
      <c r="AC8">
        <v>23300</v>
      </c>
    </row>
    <row r="9" spans="1:29" x14ac:dyDescent="0.25">
      <c r="A9" s="19">
        <v>2024</v>
      </c>
      <c r="B9" s="18" t="s">
        <v>147</v>
      </c>
      <c r="C9">
        <f>SUMIFS(banco!E:E,banco!$C:$C,$B9,banco!$A:$A,$A9)</f>
        <v>570</v>
      </c>
      <c r="D9" s="12">
        <f>IFERROR(C9/$AA9,0)</f>
        <v>2.467212050383067E-2</v>
      </c>
      <c r="E9">
        <f>SUMIFS(banco!G:G,banco!$C:$C,$B9,banco!$A:$A,$A9)</f>
        <v>113</v>
      </c>
      <c r="F9" s="12">
        <f>IFERROR(E9/$AB9,0)</f>
        <v>3.6795831976554866E-2</v>
      </c>
      <c r="G9">
        <f>SUMIFS(banco!I:I,banco!$C:$C,$B9,banco!$A:$A,$A9)</f>
        <v>7745</v>
      </c>
      <c r="H9" s="12">
        <f>IFERROR(G9/$AA9,0)</f>
        <v>0.33523784789854133</v>
      </c>
      <c r="I9">
        <f>SUMIFS(banco!K:K,banco!$C:$C,$B9,banco!$A:$A,$A9)</f>
        <v>1051</v>
      </c>
      <c r="J9" s="12">
        <f>IFERROR(I9/$AB9,0)</f>
        <v>0.34223380006512538</v>
      </c>
      <c r="K9">
        <f>SUMIFS(banco!M:M,banco!$C:$C,$B9,banco!$A:$A,$A9)</f>
        <v>8167</v>
      </c>
      <c r="L9" s="12">
        <f>IFERROR(K9/$AA9,0)</f>
        <v>0.35350387395576333</v>
      </c>
      <c r="M9">
        <f>SUMIFS(banco!O:O,banco!$C:$C,$B9,banco!$A:$A,$A9)</f>
        <v>987</v>
      </c>
      <c r="N9" s="12">
        <f>IFERROR(M9/$AB9,0)</f>
        <v>0.32139368283946596</v>
      </c>
      <c r="O9">
        <f>SUMIFS(banco!Q:Q,banco!$C:$C,$B9,banco!$A:$A,$A9)</f>
        <v>4461</v>
      </c>
      <c r="P9" s="12">
        <f>IFERROR(O9/$AA9,0)</f>
        <v>0.19309180625892741</v>
      </c>
      <c r="Q9">
        <f>SUMIFS(banco!S:S,banco!$C:$C,$B9,banco!$A:$A,$A9)</f>
        <v>598</v>
      </c>
      <c r="R9" s="12">
        <f>IFERROR(Q9/$AB9,0)</f>
        <v>0.19472484532725495</v>
      </c>
      <c r="S9">
        <f>SUMIFS(banco!U:U,banco!$C:$C,$B9,banco!$A:$A,$A9)</f>
        <v>1521</v>
      </c>
      <c r="T9" s="12">
        <f>IFERROR(S9/$AA9,0)</f>
        <v>6.5835605765485E-2</v>
      </c>
      <c r="U9">
        <f>SUMIFS(banco!W:W,banco!$C:$C,$B9,banco!$A:$A,$A9)</f>
        <v>211</v>
      </c>
      <c r="V9" s="12">
        <f>IFERROR(U9/$AB9,0)</f>
        <v>6.8707261478345813E-2</v>
      </c>
      <c r="W9">
        <f>SUMIFS(banco!Y:Y,banco!$C:$C,$B9,banco!$A:$A,$A9)</f>
        <v>639</v>
      </c>
      <c r="X9" s="12">
        <f>IFERROR(W9/$AA9,0)</f>
        <v>2.7658745617452279E-2</v>
      </c>
      <c r="Y9">
        <f>SUMIFS(banco!AA:AA,banco!$C:$C,$B9,banco!$A:$A,$A9)</f>
        <v>111</v>
      </c>
      <c r="Z9" s="12">
        <f>IFERROR(Y9/$AB9,0)</f>
        <v>3.614457831325301E-2</v>
      </c>
      <c r="AA9">
        <f>SUMIFS(banco!AC:AC,banco!$C:$C,$B9,banco!$A:$A,$A9)</f>
        <v>23103</v>
      </c>
      <c r="AB9">
        <f>SUMIFS(banco!AD:AD,banco!$C:$C,$B9,banco!$A:$A,$A9)</f>
        <v>3071</v>
      </c>
      <c r="AC9">
        <v>6725</v>
      </c>
    </row>
    <row r="10" spans="1:29" x14ac:dyDescent="0.25">
      <c r="A10" s="19">
        <v>2023</v>
      </c>
      <c r="B10" s="18" t="s">
        <v>151</v>
      </c>
      <c r="C10">
        <f>SUMIFS(banco!E:E,banco!$C:$C,$B10,banco!$A:$A,$A10)</f>
        <v>631</v>
      </c>
      <c r="D10" s="12">
        <f>IFERROR(C10/$AA10,0)</f>
        <v>2.0723857067787704E-2</v>
      </c>
      <c r="E10">
        <f>SUMIFS(banco!G:G,banco!$C:$C,$B10,banco!$A:$A,$A10)</f>
        <v>80</v>
      </c>
      <c r="F10" s="12">
        <f>IFERROR(E10/$AB10,0)</f>
        <v>2.8030833917309039E-2</v>
      </c>
      <c r="G10">
        <f>SUMIFS(banco!I:I,banco!$C:$C,$B10,banco!$A:$A,$A10)</f>
        <v>9708</v>
      </c>
      <c r="H10" s="12">
        <f>IFERROR(G10/$AA10,0)</f>
        <v>0.31883867577509195</v>
      </c>
      <c r="I10">
        <f>SUMIFS(banco!K:K,banco!$C:$C,$B10,banco!$A:$A,$A10)</f>
        <v>901</v>
      </c>
      <c r="J10" s="12">
        <f>IFERROR(I10/$AB10,0)</f>
        <v>0.31569726699369305</v>
      </c>
      <c r="K10">
        <f>SUMIFS(banco!M:M,banco!$C:$C,$B10,banco!$A:$A,$A10)</f>
        <v>10968</v>
      </c>
      <c r="L10" s="12">
        <f>IFERROR(K10/$AA10,0)</f>
        <v>0.36022070415134</v>
      </c>
      <c r="M10">
        <f>SUMIFS(banco!O:O,banco!$C:$C,$B10,banco!$A:$A,$A10)</f>
        <v>924</v>
      </c>
      <c r="N10" s="12">
        <f>IFERROR(M10/$AB10,0)</f>
        <v>0.32375613174491941</v>
      </c>
      <c r="O10">
        <f>SUMIFS(banco!Q:Q,banco!$C:$C,$B10,banco!$A:$A,$A10)</f>
        <v>5948</v>
      </c>
      <c r="P10" s="12">
        <f>IFERROR(O10/$AA10,0)</f>
        <v>0.19534944823962164</v>
      </c>
      <c r="Q10">
        <f>SUMIFS(banco!S:S,banco!$C:$C,$B10,banco!$A:$A,$A10)</f>
        <v>552</v>
      </c>
      <c r="R10" s="12">
        <f>IFERROR(Q10/$AB10,0)</f>
        <v>0.19341275402943237</v>
      </c>
      <c r="S10">
        <f>SUMIFS(banco!U:U,banco!$C:$C,$B10,banco!$A:$A,$A10)</f>
        <v>2168</v>
      </c>
      <c r="T10" s="12">
        <f>IFERROR(S10/$AA10,0)</f>
        <v>7.1203363110877563E-2</v>
      </c>
      <c r="U10">
        <f>SUMIFS(banco!W:W,banco!$C:$C,$B10,banco!$A:$A,$A10)</f>
        <v>238</v>
      </c>
      <c r="V10" s="12">
        <f>IFERROR(U10/$AB10,0)</f>
        <v>8.339173090399439E-2</v>
      </c>
      <c r="W10">
        <f>SUMIFS(banco!Y:Y,banco!$C:$C,$B10,banco!$A:$A,$A10)</f>
        <v>1025</v>
      </c>
      <c r="X10" s="12">
        <f>IFERROR(W10/$AA10,0)</f>
        <v>3.3663951655281132E-2</v>
      </c>
      <c r="Y10">
        <f>SUMIFS(banco!AA:AA,banco!$C:$C,$B10,banco!$A:$A,$A10)</f>
        <v>159</v>
      </c>
      <c r="Z10" s="12">
        <f>IFERROR(Y10/$AB10,0)</f>
        <v>5.5711282410651715E-2</v>
      </c>
      <c r="AA10">
        <f>SUMIFS(banco!AC:AC,banco!$C:$C,$B10,banco!$A:$A,$A10)</f>
        <v>30448</v>
      </c>
      <c r="AB10">
        <f>SUMIFS(banco!AD:AD,banco!$C:$C,$B10,banco!$A:$A,$A10)</f>
        <v>2854</v>
      </c>
      <c r="AC10">
        <v>9855</v>
      </c>
    </row>
    <row r="11" spans="1:29" x14ac:dyDescent="0.25">
      <c r="A11" s="19">
        <v>2023</v>
      </c>
      <c r="B11" s="18" t="s">
        <v>145</v>
      </c>
      <c r="C11">
        <f>SUMIFS(banco!E:E,banco!$C:$C,$B11,banco!$A:$A,$A11)</f>
        <v>1293</v>
      </c>
      <c r="D11" s="12">
        <f>IFERROR(C11/$AA11,0)</f>
        <v>2.612226756636632E-2</v>
      </c>
      <c r="E11">
        <f>SUMIFS(banco!G:G,banco!$C:$C,$B11,banco!$A:$A,$A11)</f>
        <v>254</v>
      </c>
      <c r="F11" s="12">
        <f>IFERROR(E11/$AB11,0)</f>
        <v>3.8778625954198474E-2</v>
      </c>
      <c r="G11">
        <f>SUMIFS(banco!I:I,banco!$C:$C,$B11,banco!$A:$A,$A11)</f>
        <v>17866</v>
      </c>
      <c r="H11" s="12">
        <f>IFERROR(G11/$AA11,0)</f>
        <v>0.36094387652026344</v>
      </c>
      <c r="I11">
        <f>SUMIFS(banco!K:K,banco!$C:$C,$B11,banco!$A:$A,$A11)</f>
        <v>2540</v>
      </c>
      <c r="J11" s="12">
        <f>IFERROR(I11/$AB11,0)</f>
        <v>0.38778625954198476</v>
      </c>
      <c r="K11">
        <f>SUMIFS(banco!M:M,banco!$C:$C,$B11,banco!$A:$A,$A11)</f>
        <v>17655</v>
      </c>
      <c r="L11" s="12">
        <f>IFERROR(K11/$AA11,0)</f>
        <v>0.35668107802335447</v>
      </c>
      <c r="M11">
        <f>SUMIFS(banco!O:O,banco!$C:$C,$B11,banco!$A:$A,$A11)</f>
        <v>2129</v>
      </c>
      <c r="N11" s="12">
        <f>IFERROR(M11/$AB11,0)</f>
        <v>0.32503816793893131</v>
      </c>
      <c r="O11">
        <f>SUMIFS(banco!Q:Q,banco!$C:$C,$B11,banco!$A:$A,$A11)</f>
        <v>8696</v>
      </c>
      <c r="P11" s="12">
        <f>IFERROR(O11/$AA11,0)</f>
        <v>0.17568386601478847</v>
      </c>
      <c r="Q11">
        <f>SUMIFS(banco!S:S,banco!$C:$C,$B11,banco!$A:$A,$A11)</f>
        <v>1101</v>
      </c>
      <c r="R11" s="12">
        <f>IFERROR(Q11/$AB11,0)</f>
        <v>0.16809160305343512</v>
      </c>
      <c r="S11">
        <f>SUMIFS(banco!U:U,banco!$C:$C,$B11,banco!$A:$A,$A11)</f>
        <v>2906</v>
      </c>
      <c r="T11" s="12">
        <f>IFERROR(S11/$AA11,0)</f>
        <v>5.8709442805769931E-2</v>
      </c>
      <c r="U11">
        <f>SUMIFS(banco!W:W,banco!$C:$C,$B11,banco!$A:$A,$A11)</f>
        <v>385</v>
      </c>
      <c r="V11" s="12">
        <f>IFERROR(U11/$AB11,0)</f>
        <v>5.8778625954198471E-2</v>
      </c>
      <c r="W11">
        <f>SUMIFS(banco!Y:Y,banco!$C:$C,$B11,banco!$A:$A,$A11)</f>
        <v>1082</v>
      </c>
      <c r="X11" s="12">
        <f>IFERROR(W11/$AA11,0)</f>
        <v>2.1859469069457352E-2</v>
      </c>
      <c r="Y11">
        <f>SUMIFS(banco!AA:AA,banco!$C:$C,$B11,banco!$A:$A,$A11)</f>
        <v>141</v>
      </c>
      <c r="Z11" s="12">
        <f>IFERROR(Y11/$AB11,0)</f>
        <v>2.1526717557251909E-2</v>
      </c>
      <c r="AA11">
        <f>SUMIFS(banco!AC:AC,banco!$C:$C,$B11,banco!$A:$A,$A11)</f>
        <v>49498</v>
      </c>
      <c r="AB11">
        <f>SUMIFS(banco!AD:AD,banco!$C:$C,$B11,banco!$A:$A,$A11)</f>
        <v>6550</v>
      </c>
      <c r="AC11">
        <v>17085</v>
      </c>
    </row>
    <row r="12" spans="1:29" x14ac:dyDescent="0.25">
      <c r="A12" s="19">
        <v>2023</v>
      </c>
      <c r="B12" s="18" t="s">
        <v>144</v>
      </c>
      <c r="C12">
        <f>SUMIFS(banco!E:E,banco!$C:$C,$B12,banco!$A:$A,$A12)</f>
        <v>671</v>
      </c>
      <c r="D12" s="12">
        <f>IFERROR(C12/$AA12,0)</f>
        <v>2.2903368945625831E-2</v>
      </c>
      <c r="E12">
        <f>SUMIFS(banco!G:G,banco!$C:$C,$B12,banco!$A:$A,$A12)</f>
        <v>87</v>
      </c>
      <c r="F12" s="12">
        <f>IFERROR(E12/$AB12,0)</f>
        <v>3.6585365853658534E-2</v>
      </c>
      <c r="G12">
        <f>SUMIFS(banco!I:I,banco!$C:$C,$B12,banco!$A:$A,$A12)</f>
        <v>9583</v>
      </c>
      <c r="H12" s="12">
        <f>IFERROR(G12/$AA12,0)</f>
        <v>0.32709833771375907</v>
      </c>
      <c r="I12">
        <f>SUMIFS(banco!K:K,banco!$C:$C,$B12,banco!$A:$A,$A12)</f>
        <v>829</v>
      </c>
      <c r="J12" s="12">
        <f>IFERROR(I12/$AB12,0)</f>
        <v>0.34861227922624055</v>
      </c>
      <c r="K12">
        <f>SUMIFS(banco!M:M,banco!$C:$C,$B12,banco!$A:$A,$A12)</f>
        <v>10347</v>
      </c>
      <c r="L12" s="12">
        <f>IFERROR(K12/$AA12,0)</f>
        <v>0.35317609311533604</v>
      </c>
      <c r="M12">
        <f>SUMIFS(banco!O:O,banco!$C:$C,$B12,banco!$A:$A,$A12)</f>
        <v>773</v>
      </c>
      <c r="N12" s="12">
        <f>IFERROR(M12/$AB12,0)</f>
        <v>0.32506307821698904</v>
      </c>
      <c r="O12">
        <f>SUMIFS(banco!Q:Q,banco!$C:$C,$B12,banco!$A:$A,$A12)</f>
        <v>5692</v>
      </c>
      <c r="P12" s="12">
        <f>IFERROR(O12/$AA12,0)</f>
        <v>0.19428610437928798</v>
      </c>
      <c r="Q12">
        <f>SUMIFS(banco!S:S,banco!$C:$C,$B12,banco!$A:$A,$A12)</f>
        <v>444</v>
      </c>
      <c r="R12" s="12">
        <f>IFERROR(Q12/$AB12,0)</f>
        <v>0.18671152228763668</v>
      </c>
      <c r="S12">
        <f>SUMIFS(banco!U:U,banco!$C:$C,$B12,banco!$A:$A,$A12)</f>
        <v>2066</v>
      </c>
      <c r="T12" s="12">
        <f>IFERROR(S12/$AA12,0)</f>
        <v>7.0519165784892646E-2</v>
      </c>
      <c r="U12">
        <f>SUMIFS(banco!W:W,banco!$C:$C,$B12,banco!$A:$A,$A12)</f>
        <v>159</v>
      </c>
      <c r="V12" s="12">
        <f>IFERROR(U12/$AB12,0)</f>
        <v>6.6862910008410423E-2</v>
      </c>
      <c r="W12">
        <f>SUMIFS(banco!Y:Y,banco!$C:$C,$B12,banco!$A:$A,$A12)</f>
        <v>938</v>
      </c>
      <c r="X12" s="12">
        <f>IFERROR(W12/$AA12,0)</f>
        <v>3.2016930061098403E-2</v>
      </c>
      <c r="Y12">
        <f>SUMIFS(banco!AA:AA,banco!$C:$C,$B12,banco!$A:$A,$A12)</f>
        <v>86</v>
      </c>
      <c r="Z12" s="12">
        <f>IFERROR(Y12/$AB12,0)</f>
        <v>3.6164844407064758E-2</v>
      </c>
      <c r="AA12">
        <f>SUMIFS(banco!AC:AC,banco!$C:$C,$B12,banco!$A:$A,$A12)</f>
        <v>29297</v>
      </c>
      <c r="AB12">
        <f>SUMIFS(banco!AD:AD,banco!$C:$C,$B12,banco!$A:$A,$A12)</f>
        <v>2378</v>
      </c>
      <c r="AC12">
        <v>10271</v>
      </c>
    </row>
    <row r="13" spans="1:29" x14ac:dyDescent="0.25">
      <c r="A13" s="19">
        <v>2023</v>
      </c>
      <c r="B13" s="18" t="s">
        <v>148</v>
      </c>
      <c r="C13">
        <f>SUMIFS(banco!E:E,banco!$C:$C,$B13,banco!$A:$A,$A13)</f>
        <v>1859</v>
      </c>
      <c r="D13" s="12">
        <f>IFERROR(C13/$AA13,0)</f>
        <v>2.4539958286031102E-2</v>
      </c>
      <c r="E13">
        <f>SUMIFS(banco!G:G,banco!$C:$C,$B13,banco!$A:$A,$A13)</f>
        <v>202</v>
      </c>
      <c r="F13" s="12">
        <f>IFERROR(E13/$AB13,0)</f>
        <v>2.9010483986787305E-2</v>
      </c>
      <c r="G13">
        <f>SUMIFS(banco!I:I,banco!$C:$C,$B13,banco!$A:$A,$A13)</f>
        <v>26648</v>
      </c>
      <c r="H13" s="12">
        <f>IFERROR(G13/$AA13,0)</f>
        <v>0.35177020355360772</v>
      </c>
      <c r="I13">
        <f>SUMIFS(banco!K:K,banco!$C:$C,$B13,banco!$A:$A,$A13)</f>
        <v>2546</v>
      </c>
      <c r="J13" s="12">
        <f>IFERROR(I13/$AB13,0)</f>
        <v>0.3656469912394083</v>
      </c>
      <c r="K13">
        <f>SUMIFS(banco!M:M,banco!$C:$C,$B13,banco!$A:$A,$A13)</f>
        <v>26704</v>
      </c>
      <c r="L13" s="12">
        <f>IFERROR(K13/$AA13,0)</f>
        <v>0.35250943844549465</v>
      </c>
      <c r="M13">
        <f>SUMIFS(banco!O:O,banco!$C:$C,$B13,banco!$A:$A,$A13)</f>
        <v>2303</v>
      </c>
      <c r="N13" s="12">
        <f>IFERROR(M13/$AB13,0)</f>
        <v>0.33074824070084735</v>
      </c>
      <c r="O13">
        <f>SUMIFS(banco!Q:Q,banco!$C:$C,$B13,banco!$A:$A,$A13)</f>
        <v>13679</v>
      </c>
      <c r="P13" s="12">
        <f>IFERROR(O13/$AA13,0)</f>
        <v>0.18057132296644401</v>
      </c>
      <c r="Q13">
        <f>SUMIFS(banco!S:S,banco!$C:$C,$B13,banco!$A:$A,$A13)</f>
        <v>1217</v>
      </c>
      <c r="R13" s="12">
        <f>IFERROR(Q13/$AB13,0)</f>
        <v>0.1747809852075255</v>
      </c>
      <c r="S13">
        <f>SUMIFS(banco!U:U,banco!$C:$C,$B13,banco!$A:$A,$A13)</f>
        <v>4773</v>
      </c>
      <c r="T13" s="12">
        <f>IFERROR(S13/$AA13,0)</f>
        <v>6.3006573910288563E-2</v>
      </c>
      <c r="U13">
        <f>SUMIFS(banco!W:W,banco!$C:$C,$B13,banco!$A:$A,$A13)</f>
        <v>491</v>
      </c>
      <c r="V13" s="12">
        <f>IFERROR(U13/$AB13,0)</f>
        <v>7.0515582363923593E-2</v>
      </c>
      <c r="W13">
        <f>SUMIFS(banco!Y:Y,banco!$C:$C,$B13,banco!$A:$A,$A13)</f>
        <v>2091</v>
      </c>
      <c r="X13" s="12">
        <f>IFERROR(W13/$AA13,0)</f>
        <v>2.7602502838133959E-2</v>
      </c>
      <c r="Y13">
        <f>SUMIFS(banco!AA:AA,banco!$C:$C,$B13,banco!$A:$A,$A13)</f>
        <v>204</v>
      </c>
      <c r="Z13" s="12">
        <f>IFERROR(Y13/$AB13,0)</f>
        <v>2.9297716501507972E-2</v>
      </c>
      <c r="AA13">
        <f>SUMIFS(banco!AC:AC,banco!$C:$C,$B13,banco!$A:$A,$A13)</f>
        <v>75754</v>
      </c>
      <c r="AB13">
        <f>SUMIFS(banco!AD:AD,banco!$C:$C,$B13,banco!$A:$A,$A13)</f>
        <v>6963</v>
      </c>
      <c r="AC13">
        <v>30695</v>
      </c>
    </row>
    <row r="14" spans="1:29" x14ac:dyDescent="0.25">
      <c r="A14" s="19">
        <v>2023</v>
      </c>
      <c r="B14" s="18" t="s">
        <v>150</v>
      </c>
      <c r="C14">
        <f>SUMIFS(banco!E:E,banco!$C:$C,$B14,banco!$A:$A,$A14)</f>
        <v>794</v>
      </c>
      <c r="D14" s="12">
        <f>IFERROR(C14/$AA14,0)</f>
        <v>2.1733774943202038E-2</v>
      </c>
      <c r="E14">
        <f>SUMIFS(banco!G:G,banco!$C:$C,$B14,banco!$A:$A,$A14)</f>
        <v>87</v>
      </c>
      <c r="F14" s="12">
        <f>IFERROR(E14/$AB14,0)</f>
        <v>2.6244343891402715E-2</v>
      </c>
      <c r="G14">
        <f>SUMIFS(banco!I:I,banco!$C:$C,$B14,banco!$A:$A,$A14)</f>
        <v>12512</v>
      </c>
      <c r="H14" s="12">
        <f>IFERROR(G14/$AA14,0)</f>
        <v>0.34248487668683109</v>
      </c>
      <c r="I14">
        <f>SUMIFS(banco!K:K,banco!$C:$C,$B14,banco!$A:$A,$A14)</f>
        <v>1277</v>
      </c>
      <c r="J14" s="12">
        <f>IFERROR(I14/$AB14,0)</f>
        <v>0.38521870286576171</v>
      </c>
      <c r="K14">
        <f>SUMIFS(banco!M:M,banco!$C:$C,$B14,banco!$A:$A,$A14)</f>
        <v>12725</v>
      </c>
      <c r="L14" s="12">
        <f>IFERROR(K14/$AA14,0)</f>
        <v>0.34831522185421399</v>
      </c>
      <c r="M14">
        <f>SUMIFS(banco!O:O,banco!$C:$C,$B14,banco!$A:$A,$A14)</f>
        <v>1042</v>
      </c>
      <c r="N14" s="12">
        <f>IFERROR(M14/$AB14,0)</f>
        <v>0.3143288084464555</v>
      </c>
      <c r="O14">
        <f>SUMIFS(banco!Q:Q,banco!$C:$C,$B14,banco!$A:$A,$A14)</f>
        <v>6928</v>
      </c>
      <c r="P14" s="12">
        <f>IFERROR(O14/$AA14,0)</f>
        <v>0.1896367667588208</v>
      </c>
      <c r="Q14">
        <f>SUMIFS(banco!S:S,banco!$C:$C,$B14,banco!$A:$A,$A14)</f>
        <v>601</v>
      </c>
      <c r="R14" s="12">
        <f>IFERROR(Q14/$AB14,0)</f>
        <v>0.1812971342383107</v>
      </c>
      <c r="S14">
        <f>SUMIFS(banco!U:U,banco!$C:$C,$B14,banco!$A:$A,$A14)</f>
        <v>2498</v>
      </c>
      <c r="T14" s="12">
        <f>IFERROR(S14/$AA14,0)</f>
        <v>6.8376536282265352E-2</v>
      </c>
      <c r="U14">
        <f>SUMIFS(banco!W:W,banco!$C:$C,$B14,banco!$A:$A,$A14)</f>
        <v>224</v>
      </c>
      <c r="V14" s="12">
        <f>IFERROR(U14/$AB14,0)</f>
        <v>6.7571644042232273E-2</v>
      </c>
      <c r="W14">
        <f>SUMIFS(banco!Y:Y,banco!$C:$C,$B14,banco!$A:$A,$A14)</f>
        <v>1076</v>
      </c>
      <c r="X14" s="12">
        <f>IFERROR(W14/$AA14,0)</f>
        <v>2.9452823474666739E-2</v>
      </c>
      <c r="Y14">
        <f>SUMIFS(banco!AA:AA,banco!$C:$C,$B14,banco!$A:$A,$A14)</f>
        <v>84</v>
      </c>
      <c r="Z14" s="12">
        <f>IFERROR(Y14/$AB14,0)</f>
        <v>2.5339366515837104E-2</v>
      </c>
      <c r="AA14">
        <f>SUMIFS(banco!AC:AC,banco!$C:$C,$B14,banco!$A:$A,$A14)</f>
        <v>36533</v>
      </c>
      <c r="AB14">
        <f>SUMIFS(banco!AD:AD,banco!$C:$C,$B14,banco!$A:$A,$A14)</f>
        <v>3315</v>
      </c>
      <c r="AC14">
        <v>12010</v>
      </c>
    </row>
    <row r="15" spans="1:29" x14ac:dyDescent="0.25">
      <c r="A15" s="19">
        <v>2023</v>
      </c>
      <c r="B15" s="18" t="s">
        <v>146</v>
      </c>
      <c r="C15">
        <f>SUMIFS(banco!E:E,banco!$C:$C,$B15,banco!$A:$A,$A15)</f>
        <v>829</v>
      </c>
      <c r="D15" s="12">
        <f>IFERROR(C15/$AA15,0)</f>
        <v>2.180374003839983E-2</v>
      </c>
      <c r="E15">
        <f>SUMIFS(banco!G:G,banco!$C:$C,$B15,banco!$A:$A,$A15)</f>
        <v>71</v>
      </c>
      <c r="F15" s="12">
        <f>IFERROR(E15/$AB15,0)</f>
        <v>1.8499218342886922E-2</v>
      </c>
      <c r="G15">
        <f>SUMIFS(banco!I:I,banco!$C:$C,$B15,banco!$A:$A,$A15)</f>
        <v>12474</v>
      </c>
      <c r="H15" s="12">
        <f>IFERROR(G15/$AA15,0)</f>
        <v>0.32808184950422137</v>
      </c>
      <c r="I15">
        <f>SUMIFS(banco!K:K,banco!$C:$C,$B15,banco!$A:$A,$A15)</f>
        <v>2008</v>
      </c>
      <c r="J15" s="12">
        <f>IFERROR(I15/$AB15,0)</f>
        <v>0.52318916102136526</v>
      </c>
      <c r="K15">
        <f>SUMIFS(banco!M:M,banco!$C:$C,$B15,banco!$A:$A,$A15)</f>
        <v>12756</v>
      </c>
      <c r="L15" s="12">
        <f>IFERROR(K15/$AA15,0)</f>
        <v>0.33549880329291709</v>
      </c>
      <c r="M15">
        <f>SUMIFS(banco!O:O,banco!$C:$C,$B15,banco!$A:$A,$A15)</f>
        <v>857</v>
      </c>
      <c r="N15" s="12">
        <f>IFERROR(M15/$AB15,0)</f>
        <v>0.22329338196977591</v>
      </c>
      <c r="O15">
        <f>SUMIFS(banco!Q:Q,banco!$C:$C,$B15,banco!$A:$A,$A15)</f>
        <v>7595</v>
      </c>
      <c r="P15" s="12">
        <f>IFERROR(O15/$AA15,0)</f>
        <v>0.19975802845795745</v>
      </c>
      <c r="Q15">
        <f>SUMIFS(banco!S:S,banco!$C:$C,$B15,banco!$A:$A,$A15)</f>
        <v>540</v>
      </c>
      <c r="R15" s="12">
        <f>IFERROR(Q15/$AB15,0)</f>
        <v>0.14069828035435122</v>
      </c>
      <c r="S15">
        <f>SUMIFS(banco!U:U,banco!$C:$C,$B15,banco!$A:$A,$A15)</f>
        <v>2913</v>
      </c>
      <c r="T15" s="12">
        <f>IFERROR(S15/$AA15,0)</f>
        <v>7.6615554561952612E-2</v>
      </c>
      <c r="U15">
        <f>SUMIFS(banco!W:W,banco!$C:$C,$B15,banco!$A:$A,$A15)</f>
        <v>250</v>
      </c>
      <c r="V15" s="12">
        <f>IFERROR(U15/$AB15,0)</f>
        <v>6.5138092756644089E-2</v>
      </c>
      <c r="W15">
        <f>SUMIFS(banco!Y:Y,banco!$C:$C,$B15,banco!$A:$A,$A15)</f>
        <v>1454</v>
      </c>
      <c r="X15" s="12">
        <f>IFERROR(W15/$AA15,0)</f>
        <v>3.8242024144551696E-2</v>
      </c>
      <c r="Y15">
        <f>SUMIFS(banco!AA:AA,banco!$C:$C,$B15,banco!$A:$A,$A15)</f>
        <v>112</v>
      </c>
      <c r="Z15" s="12">
        <f>IFERROR(Y15/$AB15,0)</f>
        <v>2.9181865554976549E-2</v>
      </c>
      <c r="AA15">
        <f>SUMIFS(banco!AC:AC,banco!$C:$C,$B15,banco!$A:$A,$A15)</f>
        <v>38021</v>
      </c>
      <c r="AB15">
        <f>SUMIFS(banco!AD:AD,banco!$C:$C,$B15,banco!$A:$A,$A15)</f>
        <v>3838</v>
      </c>
      <c r="AC15">
        <v>13128</v>
      </c>
    </row>
    <row r="16" spans="1:29" x14ac:dyDescent="0.25">
      <c r="A16" s="19">
        <v>2023</v>
      </c>
      <c r="B16" s="18" t="s">
        <v>149</v>
      </c>
      <c r="C16">
        <f>SUMIFS(banco!E:E,banco!$C:$C,$B16,banco!$A:$A,$A16)</f>
        <v>1391</v>
      </c>
      <c r="D16" s="12">
        <f>IFERROR(C16/$AA16,0)</f>
        <v>2.2618253955348867E-2</v>
      </c>
      <c r="E16">
        <f>SUMIFS(banco!G:G,banco!$C:$C,$B16,banco!$A:$A,$A16)</f>
        <v>211</v>
      </c>
      <c r="F16" s="12">
        <f>IFERROR(E16/$AB16,0)</f>
        <v>2.2761596548004314E-2</v>
      </c>
      <c r="G16">
        <f>SUMIFS(banco!I:I,banco!$C:$C,$B16,banco!$A:$A,$A16)</f>
        <v>21168</v>
      </c>
      <c r="H16" s="12">
        <f>IFERROR(G16/$AA16,0)</f>
        <v>0.34420071871087332</v>
      </c>
      <c r="I16">
        <f>SUMIFS(banco!K:K,banco!$C:$C,$B16,banco!$A:$A,$A16)</f>
        <v>4065</v>
      </c>
      <c r="J16" s="12">
        <f>IFERROR(I16/$AB16,0)</f>
        <v>0.43851132686084143</v>
      </c>
      <c r="K16">
        <f>SUMIFS(banco!M:M,banco!$C:$C,$B16,banco!$A:$A,$A16)</f>
        <v>21143</v>
      </c>
      <c r="L16" s="12">
        <f>IFERROR(K16/$AA16,0)</f>
        <v>0.34379420803590305</v>
      </c>
      <c r="M16">
        <f>SUMIFS(banco!O:O,banco!$C:$C,$B16,banco!$A:$A,$A16)</f>
        <v>2624</v>
      </c>
      <c r="N16" s="12">
        <f>IFERROR(M16/$AB16,0)</f>
        <v>0.28306364617044227</v>
      </c>
      <c r="O16">
        <f>SUMIFS(banco!Q:Q,banco!$C:$C,$B16,banco!$A:$A,$A16)</f>
        <v>11863</v>
      </c>
      <c r="P16" s="12">
        <f>IFERROR(O16/$AA16,0)</f>
        <v>0.19289744548691848</v>
      </c>
      <c r="Q16">
        <f>SUMIFS(banco!S:S,banco!$C:$C,$B16,banco!$A:$A,$A16)</f>
        <v>1686</v>
      </c>
      <c r="R16" s="12">
        <f>IFERROR(Q16/$AB16,0)</f>
        <v>0.18187702265372169</v>
      </c>
      <c r="S16">
        <f>SUMIFS(banco!U:U,banco!$C:$C,$B16,banco!$A:$A,$A16)</f>
        <v>4068</v>
      </c>
      <c r="T16" s="12">
        <f>IFERROR(S16/$AA16,0)</f>
        <v>6.6147417031171232E-2</v>
      </c>
      <c r="U16">
        <f>SUMIFS(banco!W:W,banco!$C:$C,$B16,banco!$A:$A,$A16)</f>
        <v>461</v>
      </c>
      <c r="V16" s="12">
        <f>IFERROR(U16/$AB16,0)</f>
        <v>4.973031283710895E-2</v>
      </c>
      <c r="W16">
        <f>SUMIFS(banco!Y:Y,banco!$C:$C,$B16,banco!$A:$A,$A16)</f>
        <v>1866</v>
      </c>
      <c r="X16" s="12">
        <f>IFERROR(W16/$AA16,0)</f>
        <v>3.0341956779785038E-2</v>
      </c>
      <c r="Y16">
        <f>SUMIFS(banco!AA:AA,banco!$C:$C,$B16,banco!$A:$A,$A16)</f>
        <v>223</v>
      </c>
      <c r="Z16" s="12">
        <f>IFERROR(Y16/$AB16,0)</f>
        <v>2.4056094929881339E-2</v>
      </c>
      <c r="AA16">
        <f>SUMIFS(banco!AC:AC,banco!$C:$C,$B16,banco!$A:$A,$A16)</f>
        <v>61499</v>
      </c>
      <c r="AB16">
        <f>SUMIFS(banco!AD:AD,banco!$C:$C,$B16,banco!$A:$A,$A16)</f>
        <v>9270</v>
      </c>
      <c r="AC16">
        <v>23287</v>
      </c>
    </row>
    <row r="17" spans="1:29" x14ac:dyDescent="0.25">
      <c r="A17" s="19">
        <v>2023</v>
      </c>
      <c r="B17" s="18" t="s">
        <v>147</v>
      </c>
      <c r="C17">
        <f>SUMIFS(banco!E:E,banco!$C:$C,$B17,banco!$A:$A,$A17)</f>
        <v>535</v>
      </c>
      <c r="D17" s="12">
        <f>IFERROR(C17/$AA17,0)</f>
        <v>2.3993183245134091E-2</v>
      </c>
      <c r="E17">
        <f>SUMIFS(banco!G:G,banco!$C:$C,$B17,banco!$A:$A,$A17)</f>
        <v>77</v>
      </c>
      <c r="F17" s="12">
        <f>IFERROR(E17/$AB17,0)</f>
        <v>2.9468044393417527E-2</v>
      </c>
      <c r="G17">
        <f>SUMIFS(banco!I:I,banco!$C:$C,$B17,banco!$A:$A,$A17)</f>
        <v>7801</v>
      </c>
      <c r="H17" s="12">
        <f>IFERROR(G17/$AA17,0)</f>
        <v>0.34985200466409544</v>
      </c>
      <c r="I17">
        <f>SUMIFS(banco!K:K,banco!$C:$C,$B17,banco!$A:$A,$A17)</f>
        <v>956</v>
      </c>
      <c r="J17" s="12">
        <f>IFERROR(I17/$AB17,0)</f>
        <v>0.36586299272866435</v>
      </c>
      <c r="K17">
        <f>SUMIFS(banco!M:M,banco!$C:$C,$B17,banco!$A:$A,$A17)</f>
        <v>7903</v>
      </c>
      <c r="L17" s="12">
        <f>IFERROR(K17/$AA17,0)</f>
        <v>0.35442640595569108</v>
      </c>
      <c r="M17">
        <f>SUMIFS(banco!O:O,banco!$C:$C,$B17,banco!$A:$A,$A17)</f>
        <v>875</v>
      </c>
      <c r="N17" s="12">
        <f>IFERROR(M17/$AB17,0)</f>
        <v>0.33486414083429011</v>
      </c>
      <c r="O17">
        <f>SUMIFS(banco!Q:Q,banco!$C:$C,$B17,banco!$A:$A,$A17)</f>
        <v>4069</v>
      </c>
      <c r="P17" s="12">
        <f>IFERROR(O17/$AA17,0)</f>
        <v>0.18248273387747779</v>
      </c>
      <c r="Q17">
        <f>SUMIFS(banco!S:S,banco!$C:$C,$B17,banco!$A:$A,$A17)</f>
        <v>455</v>
      </c>
      <c r="R17" s="12">
        <f>IFERROR(Q17/$AB17,0)</f>
        <v>0.17412935323383086</v>
      </c>
      <c r="S17">
        <f>SUMIFS(banco!U:U,banco!$C:$C,$B17,banco!$A:$A,$A17)</f>
        <v>1428</v>
      </c>
      <c r="T17" s="12">
        <f>IFERROR(S17/$AA17,0)</f>
        <v>6.4041618082339227E-2</v>
      </c>
      <c r="U17">
        <f>SUMIFS(banco!W:W,banco!$C:$C,$B17,banco!$A:$A,$A17)</f>
        <v>180</v>
      </c>
      <c r="V17" s="12">
        <f>IFERROR(U17/$AB17,0)</f>
        <v>6.8886337543053955E-2</v>
      </c>
      <c r="W17">
        <f>SUMIFS(banco!Y:Y,banco!$C:$C,$B17,banco!$A:$A,$A17)</f>
        <v>562</v>
      </c>
      <c r="X17" s="12">
        <f>IFERROR(W17/$AA17,0)</f>
        <v>2.5204054175262357E-2</v>
      </c>
      <c r="Y17">
        <f>SUMIFS(banco!AA:AA,banco!$C:$C,$B17,banco!$A:$A,$A17)</f>
        <v>70</v>
      </c>
      <c r="Z17" s="12">
        <f>IFERROR(Y17/$AB17,0)</f>
        <v>2.6789131266743208E-2</v>
      </c>
      <c r="AA17">
        <f>SUMIFS(banco!AC:AC,banco!$C:$C,$B17,banco!$A:$A,$A17)</f>
        <v>22298</v>
      </c>
      <c r="AB17">
        <f>SUMIFS(banco!AD:AD,banco!$C:$C,$B17,banco!$A:$A,$A17)</f>
        <v>2613</v>
      </c>
      <c r="AC17">
        <v>6824</v>
      </c>
    </row>
    <row r="18" spans="1:29" x14ac:dyDescent="0.25">
      <c r="A18" s="19">
        <v>2022</v>
      </c>
      <c r="B18" s="18" t="s">
        <v>151</v>
      </c>
      <c r="C18">
        <f>SUMIFS(banco!E:E,banco!$C:$C,$B18,banco!$A:$A,$A18)</f>
        <v>662</v>
      </c>
      <c r="D18" s="12">
        <f>IFERROR(C18/$AA18,0)</f>
        <v>2.2831522676323504E-2</v>
      </c>
      <c r="E18">
        <f>SUMIFS(banco!G:G,banco!$C:$C,$B18,banco!$A:$A,$A18)</f>
        <v>111</v>
      </c>
      <c r="F18" s="12">
        <f>IFERROR(E18/$AB18,0)</f>
        <v>3.5725780495654974E-2</v>
      </c>
      <c r="G18">
        <f>SUMIFS(banco!I:I,banco!$C:$C,$B18,banco!$A:$A,$A18)</f>
        <v>9643</v>
      </c>
      <c r="H18" s="12">
        <f>IFERROR(G18/$AA18,0)</f>
        <v>0.33257458182445249</v>
      </c>
      <c r="I18">
        <f>SUMIFS(banco!K:K,banco!$C:$C,$B18,banco!$A:$A,$A18)</f>
        <v>1064</v>
      </c>
      <c r="J18" s="12">
        <f>IFERROR(I18/$AB18,0)</f>
        <v>0.34245252655294495</v>
      </c>
      <c r="K18">
        <f>SUMIFS(banco!M:M,banco!$C:$C,$B18,banco!$A:$A,$A18)</f>
        <v>10390</v>
      </c>
      <c r="L18" s="12">
        <f>IFERROR(K18/$AA18,0)</f>
        <v>0.358337644421452</v>
      </c>
      <c r="M18">
        <f>SUMIFS(banco!O:O,banco!$C:$C,$B18,banco!$A:$A,$A18)</f>
        <v>996</v>
      </c>
      <c r="N18" s="12">
        <f>IFERROR(M18/$AB18,0)</f>
        <v>0.32056646282587703</v>
      </c>
      <c r="O18">
        <f>SUMIFS(banco!Q:Q,banco!$C:$C,$B18,banco!$A:$A,$A18)</f>
        <v>5489</v>
      </c>
      <c r="P18" s="12">
        <f>IFERROR(O18/$AA18,0)</f>
        <v>0.18930850146576997</v>
      </c>
      <c r="Q18">
        <f>SUMIFS(banco!S:S,banco!$C:$C,$B18,banco!$A:$A,$A18)</f>
        <v>580</v>
      </c>
      <c r="R18" s="12">
        <f>IFERROR(Q18/$AB18,0)</f>
        <v>0.1866752494367557</v>
      </c>
      <c r="S18">
        <f>SUMIFS(banco!U:U,banco!$C:$C,$B18,banco!$A:$A,$A18)</f>
        <v>1962</v>
      </c>
      <c r="T18" s="12">
        <f>IFERROR(S18/$AA18,0)</f>
        <v>6.7666839110191418E-2</v>
      </c>
      <c r="U18">
        <f>SUMIFS(banco!W:W,banco!$C:$C,$B18,banco!$A:$A,$A18)</f>
        <v>226</v>
      </c>
      <c r="V18" s="12">
        <f>IFERROR(U18/$AB18,0)</f>
        <v>7.2738976504666875E-2</v>
      </c>
      <c r="W18">
        <f>SUMIFS(banco!Y:Y,banco!$C:$C,$B18,banco!$A:$A,$A18)</f>
        <v>849</v>
      </c>
      <c r="X18" s="12">
        <f>IFERROR(W18/$AA18,0)</f>
        <v>2.9280910501810656E-2</v>
      </c>
      <c r="Y18">
        <f>SUMIFS(banco!AA:AA,banco!$C:$C,$B18,banco!$A:$A,$A18)</f>
        <v>130</v>
      </c>
      <c r="Z18" s="12">
        <f>IFERROR(Y18/$AB18,0)</f>
        <v>4.1841004184100417E-2</v>
      </c>
      <c r="AA18">
        <f>SUMIFS(banco!AC:AC,banco!$C:$C,$B18,banco!$A:$A,$A18)</f>
        <v>28995</v>
      </c>
      <c r="AB18">
        <f>SUMIFS(banco!AD:AD,banco!$C:$C,$B18,banco!$A:$A,$A18)</f>
        <v>3107</v>
      </c>
      <c r="AC18">
        <v>9798</v>
      </c>
    </row>
    <row r="19" spans="1:29" x14ac:dyDescent="0.25">
      <c r="A19" s="19">
        <v>2022</v>
      </c>
      <c r="B19" s="18" t="s">
        <v>145</v>
      </c>
      <c r="C19">
        <f>SUMIFS(banco!E:E,banco!$C:$C,$B19,banco!$A:$A,$A19)</f>
        <v>1247</v>
      </c>
      <c r="D19" s="12">
        <f>IFERROR(C19/$AA19,0)</f>
        <v>2.7143510154328379E-2</v>
      </c>
      <c r="E19">
        <f>SUMIFS(banco!G:G,banco!$C:$C,$B19,banco!$A:$A,$A19)</f>
        <v>306</v>
      </c>
      <c r="F19" s="12">
        <f>IFERROR(E19/$AB19,0)</f>
        <v>3.6598493003229281E-2</v>
      </c>
      <c r="G19">
        <f>SUMIFS(banco!I:I,banco!$C:$C,$B19,banco!$A:$A,$A19)</f>
        <v>17197</v>
      </c>
      <c r="H19" s="12">
        <f>IFERROR(G19/$AA19,0)</f>
        <v>0.37432794236085415</v>
      </c>
      <c r="I19">
        <f>SUMIFS(banco!K:K,banco!$C:$C,$B19,banco!$A:$A,$A19)</f>
        <v>3314</v>
      </c>
      <c r="J19" s="12">
        <f>IFERROR(I19/$AB19,0)</f>
        <v>0.39636407128333934</v>
      </c>
      <c r="K19">
        <f>SUMIFS(banco!M:M,banco!$C:$C,$B19,banco!$A:$A,$A19)</f>
        <v>16207</v>
      </c>
      <c r="L19" s="12">
        <f>IFERROR(K19/$AA19,0)</f>
        <v>0.35277856381010425</v>
      </c>
      <c r="M19">
        <f>SUMIFS(banco!O:O,banco!$C:$C,$B19,banco!$A:$A,$A19)</f>
        <v>2737</v>
      </c>
      <c r="N19" s="12">
        <f>IFERROR(M19/$AB19,0)</f>
        <v>0.32735318741777297</v>
      </c>
      <c r="O19">
        <f>SUMIFS(banco!Q:Q,banco!$C:$C,$B19,banco!$A:$A,$A19)</f>
        <v>7913</v>
      </c>
      <c r="P19" s="12">
        <f>IFERROR(O19/$AA19,0)</f>
        <v>0.17224265906271086</v>
      </c>
      <c r="Q19">
        <f>SUMIFS(banco!S:S,banco!$C:$C,$B19,banco!$A:$A,$A19)</f>
        <v>1418</v>
      </c>
      <c r="R19" s="12">
        <f>IFERROR(Q19/$AB19,0)</f>
        <v>0.16959693816529123</v>
      </c>
      <c r="S19">
        <f>SUMIFS(banco!U:U,banco!$C:$C,$B19,banco!$A:$A,$A19)</f>
        <v>2454</v>
      </c>
      <c r="T19" s="12">
        <f>IFERROR(S19/$AA19,0)</f>
        <v>5.3416338347010296E-2</v>
      </c>
      <c r="U19">
        <f>SUMIFS(banco!W:W,banco!$C:$C,$B19,banco!$A:$A,$A19)</f>
        <v>439</v>
      </c>
      <c r="V19" s="12">
        <f>IFERROR(U19/$AB19,0)</f>
        <v>5.2505681138619781E-2</v>
      </c>
      <c r="W19">
        <f>SUMIFS(banco!Y:Y,banco!$C:$C,$B19,banco!$A:$A,$A19)</f>
        <v>923</v>
      </c>
      <c r="X19" s="12">
        <f>IFERROR(W19/$AA19,0)</f>
        <v>2.0090986264992054E-2</v>
      </c>
      <c r="Y19">
        <f>SUMIFS(banco!AA:AA,banco!$C:$C,$B19,banco!$A:$A,$A19)</f>
        <v>147</v>
      </c>
      <c r="Z19" s="12">
        <f>IFERROR(Y19/$AB19,0)</f>
        <v>1.7581628991747398E-2</v>
      </c>
      <c r="AA19">
        <f>SUMIFS(banco!AC:AC,banco!$C:$C,$B19,banco!$A:$A,$A19)</f>
        <v>45941</v>
      </c>
      <c r="AB19">
        <f>SUMIFS(banco!AD:AD,banco!$C:$C,$B19,banco!$A:$A,$A19)</f>
        <v>8361</v>
      </c>
      <c r="AC19">
        <v>17226</v>
      </c>
    </row>
    <row r="20" spans="1:29" x14ac:dyDescent="0.25">
      <c r="A20" s="19">
        <v>2022</v>
      </c>
      <c r="B20" s="18" t="s">
        <v>144</v>
      </c>
      <c r="C20">
        <f>SUMIFS(banco!E:E,banco!$C:$C,$B20,banco!$A:$A,$A20)</f>
        <v>610</v>
      </c>
      <c r="D20" s="12">
        <f>IFERROR(C20/$AA20,0)</f>
        <v>2.3166609699593634E-2</v>
      </c>
      <c r="E20">
        <f>SUMIFS(banco!G:G,banco!$C:$C,$B20,banco!$A:$A,$A20)</f>
        <v>81</v>
      </c>
      <c r="F20" s="12">
        <f>IFERROR(E20/$AB20,0)</f>
        <v>3.3792240300375469E-2</v>
      </c>
      <c r="G20">
        <f>SUMIFS(banco!I:I,banco!$C:$C,$B20,banco!$A:$A,$A20)</f>
        <v>8857</v>
      </c>
      <c r="H20" s="12">
        <f>IFERROR(G20/$AA20,0)</f>
        <v>0.33637157722836203</v>
      </c>
      <c r="I20">
        <f>SUMIFS(banco!K:K,banco!$C:$C,$B20,banco!$A:$A,$A20)</f>
        <v>875</v>
      </c>
      <c r="J20" s="12">
        <f>IFERROR(I20/$AB20,0)</f>
        <v>0.36503963287442637</v>
      </c>
      <c r="K20">
        <f>SUMIFS(banco!M:M,banco!$C:$C,$B20,banco!$A:$A,$A20)</f>
        <v>9384</v>
      </c>
      <c r="L20" s="12">
        <f>IFERROR(K20/$AA20,0)</f>
        <v>0.35638600888686339</v>
      </c>
      <c r="M20">
        <f>SUMIFS(banco!O:O,banco!$C:$C,$B20,banco!$A:$A,$A20)</f>
        <v>773</v>
      </c>
      <c r="N20" s="12">
        <f>IFERROR(M20/$AB20,0)</f>
        <v>0.32248644138506466</v>
      </c>
      <c r="O20">
        <f>SUMIFS(banco!Q:Q,banco!$C:$C,$B20,banco!$A:$A,$A20)</f>
        <v>4917</v>
      </c>
      <c r="P20" s="12">
        <f>IFERROR(O20/$AA20,0)</f>
        <v>0.18673806539819984</v>
      </c>
      <c r="Q20">
        <f>SUMIFS(banco!S:S,banco!$C:$C,$B20,banco!$A:$A,$A20)</f>
        <v>412</v>
      </c>
      <c r="R20" s="12">
        <f>IFERROR(Q20/$AB20,0)</f>
        <v>0.17188151856487277</v>
      </c>
      <c r="S20">
        <f>SUMIFS(banco!U:U,banco!$C:$C,$B20,banco!$A:$A,$A20)</f>
        <v>1765</v>
      </c>
      <c r="T20" s="12">
        <f>IFERROR(S20/$AA20,0)</f>
        <v>6.7031255934070111E-2</v>
      </c>
      <c r="U20">
        <f>SUMIFS(banco!W:W,banco!$C:$C,$B20,banco!$A:$A,$A20)</f>
        <v>177</v>
      </c>
      <c r="V20" s="12">
        <f>IFERROR(U20/$AB20,0)</f>
        <v>7.3842302878598248E-2</v>
      </c>
      <c r="W20">
        <f>SUMIFS(banco!Y:Y,banco!$C:$C,$B20,banco!$A:$A,$A20)</f>
        <v>798</v>
      </c>
      <c r="X20" s="12">
        <f>IFERROR(W20/$AA20,0)</f>
        <v>3.0306482852911019E-2</v>
      </c>
      <c r="Y20">
        <f>SUMIFS(banco!AA:AA,banco!$C:$C,$B20,banco!$A:$A,$A20)</f>
        <v>79</v>
      </c>
      <c r="Z20" s="12">
        <f>IFERROR(Y20/$AB20,0)</f>
        <v>3.2957863996662493E-2</v>
      </c>
      <c r="AA20">
        <f>SUMIFS(banco!AC:AC,banco!$C:$C,$B20,banco!$A:$A,$A20)</f>
        <v>26331</v>
      </c>
      <c r="AB20">
        <f>SUMIFS(banco!AD:AD,banco!$C:$C,$B20,banco!$A:$A,$A20)</f>
        <v>2397</v>
      </c>
      <c r="AC20">
        <v>10172</v>
      </c>
    </row>
    <row r="21" spans="1:29" x14ac:dyDescent="0.25">
      <c r="A21" s="19">
        <v>2022</v>
      </c>
      <c r="B21" s="18" t="s">
        <v>148</v>
      </c>
      <c r="C21">
        <f>SUMIFS(banco!E:E,banco!$C:$C,$B21,banco!$A:$A,$A21)</f>
        <v>1718</v>
      </c>
      <c r="D21" s="12">
        <f>IFERROR(C21/$AA21,0)</f>
        <v>2.5501721885761785E-2</v>
      </c>
      <c r="E21">
        <f>SUMIFS(banco!G:G,banco!$C:$C,$B21,banco!$A:$A,$A21)</f>
        <v>187</v>
      </c>
      <c r="F21" s="12">
        <f>IFERROR(E21/$AB21,0)</f>
        <v>2.7856398033666022E-2</v>
      </c>
      <c r="G21">
        <f>SUMIFS(banco!I:I,banco!$C:$C,$B21,banco!$A:$A,$A21)</f>
        <v>24686</v>
      </c>
      <c r="H21" s="12">
        <f>IFERROR(G21/$AA21,0)</f>
        <v>0.366435102719392</v>
      </c>
      <c r="I21">
        <f>SUMIFS(banco!K:K,banco!$C:$C,$B21,banco!$A:$A,$A21)</f>
        <v>2534</v>
      </c>
      <c r="J21" s="12">
        <f>IFERROR(I21/$AB21,0)</f>
        <v>0.37747653806047965</v>
      </c>
      <c r="K21">
        <f>SUMIFS(banco!M:M,banco!$C:$C,$B21,banco!$A:$A,$A21)</f>
        <v>23496</v>
      </c>
      <c r="L21" s="12">
        <f>IFERROR(K21/$AA21,0)</f>
        <v>0.34877092981831137</v>
      </c>
      <c r="M21">
        <f>SUMIFS(banco!O:O,banco!$C:$C,$B21,banco!$A:$A,$A21)</f>
        <v>2266</v>
      </c>
      <c r="N21" s="12">
        <f>IFERROR(M21/$AB21,0)</f>
        <v>0.33755399970207062</v>
      </c>
      <c r="O21">
        <f>SUMIFS(banco!Q:Q,banco!$C:$C,$B21,banco!$A:$A,$A21)</f>
        <v>11902</v>
      </c>
      <c r="P21" s="12">
        <f>IFERROR(O21/$AA21,0)</f>
        <v>0.17667141669635436</v>
      </c>
      <c r="Q21">
        <f>SUMIFS(banco!S:S,banco!$C:$C,$B21,banco!$A:$A,$A21)</f>
        <v>1178</v>
      </c>
      <c r="R21" s="12">
        <f>IFERROR(Q21/$AB21,0)</f>
        <v>0.17548041114255922</v>
      </c>
      <c r="S21">
        <f>SUMIFS(banco!U:U,banco!$C:$C,$B21,banco!$A:$A,$A21)</f>
        <v>3855</v>
      </c>
      <c r="T21" s="12">
        <f>IFERROR(S21/$AA21,0)</f>
        <v>5.7223013893836834E-2</v>
      </c>
      <c r="U21">
        <f>SUMIFS(banco!W:W,banco!$C:$C,$B21,banco!$A:$A,$A21)</f>
        <v>378</v>
      </c>
      <c r="V21" s="12">
        <f>IFERROR(U21/$AB21,0)</f>
        <v>5.6308654848800835E-2</v>
      </c>
      <c r="W21">
        <f>SUMIFS(banco!Y:Y,banco!$C:$C,$B21,banco!$A:$A,$A21)</f>
        <v>1711</v>
      </c>
      <c r="X21" s="12">
        <f>IFERROR(W21/$AA21,0)</f>
        <v>2.5397814986343664E-2</v>
      </c>
      <c r="Y21">
        <f>SUMIFS(banco!AA:AA,banco!$C:$C,$B21,banco!$A:$A,$A21)</f>
        <v>170</v>
      </c>
      <c r="Z21" s="12">
        <f>IFERROR(Y21/$AB21,0)</f>
        <v>2.5323998212423655E-2</v>
      </c>
      <c r="AA21">
        <f>SUMIFS(banco!AC:AC,banco!$C:$C,$B21,banco!$A:$A,$A21)</f>
        <v>67368</v>
      </c>
      <c r="AB21">
        <f>SUMIFS(banco!AD:AD,banco!$C:$C,$B21,banco!$A:$A,$A21)</f>
        <v>6713</v>
      </c>
      <c r="AC21">
        <v>30022</v>
      </c>
    </row>
    <row r="22" spans="1:29" x14ac:dyDescent="0.25">
      <c r="A22" s="19">
        <v>2022</v>
      </c>
      <c r="B22" s="18" t="s">
        <v>150</v>
      </c>
      <c r="C22">
        <f>SUMIFS(banco!E:E,banco!$C:$C,$B22,banco!$A:$A,$A22)</f>
        <v>737</v>
      </c>
      <c r="D22" s="12">
        <f>IFERROR(C22/$AA22,0)</f>
        <v>2.212615209102645E-2</v>
      </c>
      <c r="E22">
        <f>SUMIFS(banco!G:G,banco!$C:$C,$B22,banco!$A:$A,$A22)</f>
        <v>131</v>
      </c>
      <c r="F22" s="12">
        <f>IFERROR(E22/$AB22,0)</f>
        <v>3.2522343594836148E-2</v>
      </c>
      <c r="G22">
        <f>SUMIFS(banco!I:I,banco!$C:$C,$B22,banco!$A:$A,$A22)</f>
        <v>11517</v>
      </c>
      <c r="H22" s="12">
        <f>IFERROR(G22/$AA22,0)</f>
        <v>0.34576240655678647</v>
      </c>
      <c r="I22">
        <f>SUMIFS(banco!K:K,banco!$C:$C,$B22,banco!$A:$A,$A22)</f>
        <v>1459</v>
      </c>
      <c r="J22" s="12">
        <f>IFERROR(I22/$AB22,0)</f>
        <v>0.36221449851042703</v>
      </c>
      <c r="K22">
        <f>SUMIFS(banco!M:M,banco!$C:$C,$B22,banco!$A:$A,$A22)</f>
        <v>11781</v>
      </c>
      <c r="L22" s="12">
        <f>IFERROR(K22/$AA22,0)</f>
        <v>0.35368819238043769</v>
      </c>
      <c r="M22">
        <f>SUMIFS(banco!O:O,banco!$C:$C,$B22,banco!$A:$A,$A22)</f>
        <v>1310</v>
      </c>
      <c r="N22" s="12">
        <f>IFERROR(M22/$AB22,0)</f>
        <v>0.32522343594836145</v>
      </c>
      <c r="O22">
        <f>SUMIFS(banco!Q:Q,banco!$C:$C,$B22,banco!$A:$A,$A22)</f>
        <v>6167</v>
      </c>
      <c r="P22" s="12">
        <f>IFERROR(O22/$AA22,0)</f>
        <v>0.18514515596385361</v>
      </c>
      <c r="Q22">
        <f>SUMIFS(banco!S:S,banco!$C:$C,$B22,banco!$A:$A,$A22)</f>
        <v>724</v>
      </c>
      <c r="R22" s="12">
        <f>IFERROR(Q22/$AB22,0)</f>
        <v>0.17974180734856007</v>
      </c>
      <c r="S22">
        <f>SUMIFS(banco!U:U,banco!$C:$C,$B22,banco!$A:$A,$A22)</f>
        <v>2180</v>
      </c>
      <c r="T22" s="12">
        <f>IFERROR(S22/$AA22,0)</f>
        <v>6.5447776877120292E-2</v>
      </c>
      <c r="U22">
        <f>SUMIFS(banco!W:W,banco!$C:$C,$B22,banco!$A:$A,$A22)</f>
        <v>277</v>
      </c>
      <c r="V22" s="12">
        <f>IFERROR(U22/$AB22,0)</f>
        <v>6.8768619662363459E-2</v>
      </c>
      <c r="W22">
        <f>SUMIFS(banco!Y:Y,banco!$C:$C,$B22,banco!$A:$A,$A22)</f>
        <v>927</v>
      </c>
      <c r="X22" s="12">
        <f>IFERROR(W22/$AA22,0)</f>
        <v>2.7830316130775468E-2</v>
      </c>
      <c r="Y22">
        <f>SUMIFS(banco!AA:AA,banco!$C:$C,$B22,banco!$A:$A,$A22)</f>
        <v>127</v>
      </c>
      <c r="Z22" s="12">
        <f>IFERROR(Y22/$AB22,0)</f>
        <v>3.152929493545184E-2</v>
      </c>
      <c r="AA22">
        <f>SUMIFS(banco!AC:AC,banco!$C:$C,$B22,banco!$A:$A,$A22)</f>
        <v>33309</v>
      </c>
      <c r="AB22">
        <f>SUMIFS(banco!AD:AD,banco!$C:$C,$B22,banco!$A:$A,$A22)</f>
        <v>4028</v>
      </c>
      <c r="AC22">
        <v>12024</v>
      </c>
    </row>
    <row r="23" spans="1:29" x14ac:dyDescent="0.25">
      <c r="A23" s="19">
        <v>2022</v>
      </c>
      <c r="B23" s="18" t="s">
        <v>146</v>
      </c>
      <c r="C23">
        <f>SUMIFS(banco!E:E,banco!$C:$C,$B23,banco!$A:$A,$A23)</f>
        <v>588</v>
      </c>
      <c r="D23" s="12">
        <f>IFERROR(C23/$AA23,0)</f>
        <v>1.9842073294189109E-2</v>
      </c>
      <c r="E23">
        <f>SUMIFS(banco!G:G,banco!$C:$C,$B23,banco!$A:$A,$A23)</f>
        <v>108</v>
      </c>
      <c r="F23" s="12">
        <f>IFERROR(E23/$AB23,0)</f>
        <v>2.2598870056497175E-2</v>
      </c>
      <c r="G23">
        <f>SUMIFS(banco!I:I,banco!$C:$C,$B23,banco!$A:$A,$A23)</f>
        <v>9778</v>
      </c>
      <c r="H23" s="12">
        <f>IFERROR(G23/$AA23,0)</f>
        <v>0.3299588310724168</v>
      </c>
      <c r="I23">
        <f>SUMIFS(banco!K:K,banco!$C:$C,$B23,banco!$A:$A,$A23)</f>
        <v>2227</v>
      </c>
      <c r="J23" s="12">
        <f>IFERROR(I23/$AB23,0)</f>
        <v>0.46599707051684452</v>
      </c>
      <c r="K23">
        <f>SUMIFS(banco!M:M,banco!$C:$C,$B23,banco!$A:$A,$A23)</f>
        <v>10184</v>
      </c>
      <c r="L23" s="12">
        <f>IFERROR(K23/$AA23,0)</f>
        <v>0.34365931025173785</v>
      </c>
      <c r="M23">
        <f>SUMIFS(banco!O:O,banco!$C:$C,$B23,banco!$A:$A,$A23)</f>
        <v>1312</v>
      </c>
      <c r="N23" s="12">
        <f>IFERROR(M23/$AB23,0)</f>
        <v>0.27453442142707679</v>
      </c>
      <c r="O23">
        <f>SUMIFS(banco!Q:Q,banco!$C:$C,$B23,banco!$A:$A,$A23)</f>
        <v>5810</v>
      </c>
      <c r="P23" s="12">
        <f>IFERROR(O23/$AA23,0)</f>
        <v>0.1960585813592495</v>
      </c>
      <c r="Q23">
        <f>SUMIFS(banco!S:S,banco!$C:$C,$B23,banco!$A:$A,$A23)</f>
        <v>708</v>
      </c>
      <c r="R23" s="12">
        <f>IFERROR(Q23/$AB23,0)</f>
        <v>0.14814814814814814</v>
      </c>
      <c r="S23">
        <f>SUMIFS(banco!U:U,banco!$C:$C,$B23,banco!$A:$A,$A23)</f>
        <v>2226</v>
      </c>
      <c r="T23" s="12">
        <f>IFERROR(S23/$AA23,0)</f>
        <v>7.5116420328001615E-2</v>
      </c>
      <c r="U23">
        <f>SUMIFS(banco!W:W,banco!$C:$C,$B23,banco!$A:$A,$A23)</f>
        <v>279</v>
      </c>
      <c r="V23" s="12">
        <f>IFERROR(U23/$AB23,0)</f>
        <v>5.8380414312617701E-2</v>
      </c>
      <c r="W23">
        <f>SUMIFS(banco!Y:Y,banco!$C:$C,$B23,banco!$A:$A,$A23)</f>
        <v>1048</v>
      </c>
      <c r="X23" s="12">
        <f>IFERROR(W23/$AA23,0)</f>
        <v>3.5364783694405072E-2</v>
      </c>
      <c r="Y23">
        <f>SUMIFS(banco!AA:AA,banco!$C:$C,$B23,banco!$A:$A,$A23)</f>
        <v>145</v>
      </c>
      <c r="Z23" s="12">
        <f>IFERROR(Y23/$AB23,0)</f>
        <v>3.034107553881565E-2</v>
      </c>
      <c r="AA23">
        <f>SUMIFS(banco!AC:AC,banco!$C:$C,$B23,banco!$A:$A,$A23)</f>
        <v>29634</v>
      </c>
      <c r="AB23">
        <f>SUMIFS(banco!AD:AD,banco!$C:$C,$B23,banco!$A:$A,$A23)</f>
        <v>4779</v>
      </c>
      <c r="AC23">
        <v>13074</v>
      </c>
    </row>
    <row r="24" spans="1:29" x14ac:dyDescent="0.25">
      <c r="A24" s="19">
        <v>2022</v>
      </c>
      <c r="B24" s="18" t="s">
        <v>149</v>
      </c>
      <c r="C24">
        <f>SUMIFS(banco!E:E,banco!$C:$C,$B24,banco!$A:$A,$A24)</f>
        <v>1287</v>
      </c>
      <c r="D24" s="12">
        <f>IFERROR(C24/$AA24,0)</f>
        <v>2.3458860413400898E-2</v>
      </c>
      <c r="E24">
        <f>SUMIFS(banco!G:G,banco!$C:$C,$B24,banco!$A:$A,$A24)</f>
        <v>200</v>
      </c>
      <c r="F24" s="12">
        <f>IFERROR(E24/$AB24,0)</f>
        <v>2.0120724346076459E-2</v>
      </c>
      <c r="G24">
        <f>SUMIFS(banco!I:I,banco!$C:$C,$B24,banco!$A:$A,$A24)</f>
        <v>18964</v>
      </c>
      <c r="H24" s="12">
        <f>IFERROR(G24/$AA24,0)</f>
        <v>0.34566731070686452</v>
      </c>
      <c r="I24">
        <f>SUMIFS(banco!K:K,banco!$C:$C,$B24,banco!$A:$A,$A24)</f>
        <v>3811</v>
      </c>
      <c r="J24" s="12">
        <f>IFERROR(I24/$AB24,0)</f>
        <v>0.38340040241448692</v>
      </c>
      <c r="K24">
        <f>SUMIFS(banco!M:M,banco!$C:$C,$B24,banco!$A:$A,$A24)</f>
        <v>19187</v>
      </c>
      <c r="L24" s="12">
        <f>IFERROR(K24/$AA24,0)</f>
        <v>0.34973205497429916</v>
      </c>
      <c r="M24">
        <f>SUMIFS(banco!O:O,banco!$C:$C,$B24,banco!$A:$A,$A24)</f>
        <v>3278</v>
      </c>
      <c r="N24" s="12">
        <f>IFERROR(M24/$AB24,0)</f>
        <v>0.32977867203219313</v>
      </c>
      <c r="O24">
        <f>SUMIFS(banco!Q:Q,banco!$C:$C,$B24,banco!$A:$A,$A24)</f>
        <v>10457</v>
      </c>
      <c r="P24" s="12">
        <f>IFERROR(O24/$AA24,0)</f>
        <v>0.19060551930297839</v>
      </c>
      <c r="Q24">
        <f>SUMIFS(banco!S:S,banco!$C:$C,$B24,banco!$A:$A,$A24)</f>
        <v>2026</v>
      </c>
      <c r="R24" s="12">
        <f>IFERROR(Q24/$AB24,0)</f>
        <v>0.20382293762575451</v>
      </c>
      <c r="S24">
        <f>SUMIFS(banco!U:U,banco!$C:$C,$B24,banco!$A:$A,$A24)</f>
        <v>3410</v>
      </c>
      <c r="T24" s="12">
        <f>IFERROR(S24/$AA24,0)</f>
        <v>6.2155954941489552E-2</v>
      </c>
      <c r="U24">
        <f>SUMIFS(banco!W:W,banco!$C:$C,$B24,banco!$A:$A,$A24)</f>
        <v>445</v>
      </c>
      <c r="V24" s="12">
        <f>IFERROR(U24/$AB24,0)</f>
        <v>4.4768611670020123E-2</v>
      </c>
      <c r="W24">
        <f>SUMIFS(banco!Y:Y,banco!$C:$C,$B24,banco!$A:$A,$A24)</f>
        <v>1557</v>
      </c>
      <c r="X24" s="12">
        <f>IFERROR(W24/$AA24,0)</f>
        <v>2.8380299660967518E-2</v>
      </c>
      <c r="Y24">
        <f>SUMIFS(banco!AA:AA,banco!$C:$C,$B24,banco!$A:$A,$A24)</f>
        <v>180</v>
      </c>
      <c r="Z24" s="12">
        <f>IFERROR(Y24/$AB24,0)</f>
        <v>1.8108651911468814E-2</v>
      </c>
      <c r="AA24">
        <f>SUMIFS(banco!AC:AC,banco!$C:$C,$B24,banco!$A:$A,$A24)</f>
        <v>54862</v>
      </c>
      <c r="AB24">
        <f>SUMIFS(banco!AD:AD,banco!$C:$C,$B24,banco!$A:$A,$A24)</f>
        <v>9940</v>
      </c>
      <c r="AC24">
        <v>23176</v>
      </c>
    </row>
    <row r="25" spans="1:29" x14ac:dyDescent="0.25">
      <c r="A25" s="19">
        <v>2022</v>
      </c>
      <c r="B25" s="18" t="s">
        <v>147</v>
      </c>
      <c r="C25">
        <f>SUMIFS(banco!E:E,banco!$C:$C,$B25,banco!$A:$A,$A25)</f>
        <v>587</v>
      </c>
      <c r="D25" s="12">
        <f>IFERROR(C25/$AA25,0)</f>
        <v>2.5130576247966434E-2</v>
      </c>
      <c r="E25">
        <f>SUMIFS(banco!G:G,banco!$C:$C,$B25,banco!$A:$A,$A25)</f>
        <v>129</v>
      </c>
      <c r="F25" s="12">
        <f>IFERROR(E25/$AB25,0)</f>
        <v>3.6752136752136753E-2</v>
      </c>
      <c r="G25">
        <f>SUMIFS(banco!I:I,banco!$C:$C,$B25,banco!$A:$A,$A25)</f>
        <v>8408</v>
      </c>
      <c r="H25" s="12">
        <f>IFERROR(G25/$AA25,0)</f>
        <v>0.35996232554157032</v>
      </c>
      <c r="I25">
        <f>SUMIFS(banco!K:K,banco!$C:$C,$B25,banco!$A:$A,$A25)</f>
        <v>1287</v>
      </c>
      <c r="J25" s="12">
        <f>IFERROR(I25/$AB25,0)</f>
        <v>0.36666666666666664</v>
      </c>
      <c r="K25">
        <f>SUMIFS(banco!M:M,banco!$C:$C,$B25,banco!$A:$A,$A25)</f>
        <v>8274</v>
      </c>
      <c r="L25" s="12">
        <f>IFERROR(K25/$AA25,0)</f>
        <v>0.354225533007963</v>
      </c>
      <c r="M25">
        <f>SUMIFS(banco!O:O,banco!$C:$C,$B25,banco!$A:$A,$A25)</f>
        <v>1128</v>
      </c>
      <c r="N25" s="12">
        <f>IFERROR(M25/$AB25,0)</f>
        <v>0.32136752136752139</v>
      </c>
      <c r="O25">
        <f>SUMIFS(banco!Q:Q,banco!$C:$C,$B25,banco!$A:$A,$A25)</f>
        <v>4203</v>
      </c>
      <c r="P25" s="12">
        <f>IFERROR(O25/$AA25,0)</f>
        <v>0.17993835088620602</v>
      </c>
      <c r="Q25">
        <f>SUMIFS(banco!S:S,banco!$C:$C,$B25,banco!$A:$A,$A25)</f>
        <v>634</v>
      </c>
      <c r="R25" s="12">
        <f>IFERROR(Q25/$AB25,0)</f>
        <v>0.18062678062678061</v>
      </c>
      <c r="S25">
        <f>SUMIFS(banco!U:U,banco!$C:$C,$B25,banco!$A:$A,$A25)</f>
        <v>1367</v>
      </c>
      <c r="T25" s="12">
        <f>IFERROR(S25/$AA25,0)</f>
        <v>5.8523846219710594E-2</v>
      </c>
      <c r="U25">
        <f>SUMIFS(banco!W:W,banco!$C:$C,$B25,banco!$A:$A,$A25)</f>
        <v>237</v>
      </c>
      <c r="V25" s="12">
        <f>IFERROR(U25/$AB25,0)</f>
        <v>6.7521367521367517E-2</v>
      </c>
      <c r="W25">
        <f>SUMIFS(banco!Y:Y,banco!$C:$C,$B25,banco!$A:$A,$A25)</f>
        <v>519</v>
      </c>
      <c r="X25" s="12">
        <f>IFERROR(W25/$AA25,0)</f>
        <v>2.2219368096583612E-2</v>
      </c>
      <c r="Y25">
        <f>SUMIFS(banco!AA:AA,banco!$C:$C,$B25,banco!$A:$A,$A25)</f>
        <v>95</v>
      </c>
      <c r="Z25" s="12">
        <f>IFERROR(Y25/$AB25,0)</f>
        <v>2.7065527065527065E-2</v>
      </c>
      <c r="AA25">
        <f>SUMIFS(banco!AC:AC,banco!$C:$C,$B25,banco!$A:$A,$A25)</f>
        <v>23358</v>
      </c>
      <c r="AB25">
        <f>SUMIFS(banco!AD:AD,banco!$C:$C,$B25,banco!$A:$A,$A25)</f>
        <v>3510</v>
      </c>
      <c r="AC25">
        <v>6926</v>
      </c>
    </row>
    <row r="26" spans="1:29" x14ac:dyDescent="0.25">
      <c r="A26" s="20">
        <v>2021</v>
      </c>
      <c r="B26" s="18" t="s">
        <v>151</v>
      </c>
      <c r="C26">
        <f>SUMIFS(banco!E:E,banco!$C:$C,$B26,banco!$A:$A,$A26)</f>
        <v>276</v>
      </c>
      <c r="D26" s="12">
        <f>IFERROR(C26/$AA26,0)</f>
        <v>2.2503057480635955E-2</v>
      </c>
      <c r="E26">
        <f>SUMIFS(banco!G:G,banco!$C:$C,$B26,banco!$A:$A,$A26)</f>
        <v>102</v>
      </c>
      <c r="F26" s="12">
        <f>IFERROR(E26/$AB26,0)</f>
        <v>3.4646739130434784E-2</v>
      </c>
      <c r="G26">
        <f>SUMIFS(banco!I:I,banco!$C:$C,$B26,banco!$A:$A,$A26)</f>
        <v>3915</v>
      </c>
      <c r="H26" s="12">
        <f>IFERROR(G26/$AA26,0)</f>
        <v>0.31920097839380351</v>
      </c>
      <c r="I26">
        <f>SUMIFS(banco!K:K,banco!$C:$C,$B26,banco!$A:$A,$A26)</f>
        <v>932</v>
      </c>
      <c r="J26" s="12">
        <f>IFERROR(I26/$AB26,0)</f>
        <v>0.31657608695652173</v>
      </c>
      <c r="K26">
        <f>SUMIFS(banco!M:M,banco!$C:$C,$B26,banco!$A:$A,$A26)</f>
        <v>4266</v>
      </c>
      <c r="L26" s="12">
        <f>IFERROR(K26/$AA26,0)</f>
        <v>0.34781899714635139</v>
      </c>
      <c r="M26">
        <f>SUMIFS(banco!O:O,banco!$C:$C,$B26,banco!$A:$A,$A26)</f>
        <v>966</v>
      </c>
      <c r="N26" s="12">
        <f>IFERROR(M26/$AB26,0)</f>
        <v>0.328125</v>
      </c>
      <c r="O26">
        <f>SUMIFS(banco!Q:Q,banco!$C:$C,$B26,banco!$A:$A,$A26)</f>
        <v>2430</v>
      </c>
      <c r="P26" s="12">
        <f>IFERROR(O26/$AA26,0)</f>
        <v>0.198124745209947</v>
      </c>
      <c r="Q26">
        <f>SUMIFS(banco!S:S,banco!$C:$C,$B26,banco!$A:$A,$A26)</f>
        <v>599</v>
      </c>
      <c r="R26" s="12">
        <f>IFERROR(Q26/$AB26,0)</f>
        <v>0.20346467391304349</v>
      </c>
      <c r="S26">
        <f>SUMIFS(banco!U:U,banco!$C:$C,$B26,banco!$A:$A,$A26)</f>
        <v>904</v>
      </c>
      <c r="T26" s="12">
        <f>IFERROR(S26/$AA26,0)</f>
        <v>7.3705666530778632E-2</v>
      </c>
      <c r="U26">
        <f>SUMIFS(banco!W:W,banco!$C:$C,$B26,banco!$A:$A,$A26)</f>
        <v>224</v>
      </c>
      <c r="V26" s="12">
        <f>IFERROR(U26/$AB26,0)</f>
        <v>7.6086956521739135E-2</v>
      </c>
      <c r="W26">
        <f>SUMIFS(banco!Y:Y,banco!$C:$C,$B26,banco!$A:$A,$A26)</f>
        <v>474</v>
      </c>
      <c r="X26" s="12">
        <f>IFERROR(W26/$AA26,0)</f>
        <v>3.8646555238483489E-2</v>
      </c>
      <c r="Y26">
        <f>SUMIFS(banco!AA:AA,banco!$C:$C,$B26,banco!$A:$A,$A26)</f>
        <v>121</v>
      </c>
      <c r="Z26" s="12">
        <f>IFERROR(Y26/$AB26,0)</f>
        <v>4.1100543478260872E-2</v>
      </c>
      <c r="AA26">
        <f>SUMIFS(banco!AC:AC,banco!$C:$C,$B26,banco!$A:$A,$A26)</f>
        <v>12265</v>
      </c>
      <c r="AB26">
        <f>SUMIFS(banco!AD:AD,banco!$C:$C,$B26,banco!$A:$A,$A26)</f>
        <v>2944</v>
      </c>
      <c r="AC26">
        <v>9804</v>
      </c>
    </row>
    <row r="27" spans="1:29" x14ac:dyDescent="0.25">
      <c r="A27" s="20">
        <v>2021</v>
      </c>
      <c r="B27" s="18" t="s">
        <v>145</v>
      </c>
      <c r="C27">
        <f>SUMIFS(banco!E:E,banco!$C:$C,$B27,banco!$A:$A,$A27)</f>
        <v>747</v>
      </c>
      <c r="D27" s="12">
        <f>IFERROR(C27/$AA27,0)</f>
        <v>2.7238914819136522E-2</v>
      </c>
      <c r="E27">
        <f>SUMIFS(banco!G:G,banco!$C:$C,$B27,banco!$A:$A,$A27)</f>
        <v>307</v>
      </c>
      <c r="F27" s="12">
        <f>IFERROR(E27/$AB27,0)</f>
        <v>3.7180574058374716E-2</v>
      </c>
      <c r="G27">
        <f>SUMIFS(banco!I:I,banco!$C:$C,$B27,banco!$A:$A,$A27)</f>
        <v>9918</v>
      </c>
      <c r="H27" s="12">
        <f>IFERROR(G27/$AA27,0)</f>
        <v>0.36165402567094518</v>
      </c>
      <c r="I27">
        <f>SUMIFS(banco!K:K,banco!$C:$C,$B27,banco!$A:$A,$A27)</f>
        <v>3251</v>
      </c>
      <c r="J27" s="12">
        <f>IFERROR(I27/$AB27,0)</f>
        <v>0.39372653506116023</v>
      </c>
      <c r="K27">
        <f>SUMIFS(banco!M:M,banco!$C:$C,$B27,banco!$A:$A,$A27)</f>
        <v>9893</v>
      </c>
      <c r="L27" s="12">
        <f>IFERROR(K27/$AA27,0)</f>
        <v>0.36074241540256707</v>
      </c>
      <c r="M27">
        <f>SUMIFS(banco!O:O,banco!$C:$C,$B27,banco!$A:$A,$A27)</f>
        <v>2790</v>
      </c>
      <c r="N27" s="12">
        <f>IFERROR(M27/$AB27,0)</f>
        <v>0.33789511929272131</v>
      </c>
      <c r="O27">
        <f>SUMIFS(banco!Q:Q,banco!$C:$C,$B27,banco!$A:$A,$A27)</f>
        <v>4671</v>
      </c>
      <c r="P27" s="12">
        <f>IFERROR(O27/$AA27,0)</f>
        <v>0.17032526254375729</v>
      </c>
      <c r="Q27">
        <f>SUMIFS(banco!S:S,banco!$C:$C,$B27,banco!$A:$A,$A27)</f>
        <v>1277</v>
      </c>
      <c r="R27" s="12">
        <f>IFERROR(Q27/$AB27,0)</f>
        <v>0.15465665495942837</v>
      </c>
      <c r="S27">
        <f>SUMIFS(banco!U:U,banco!$C:$C,$B27,banco!$A:$A,$A27)</f>
        <v>1542</v>
      </c>
      <c r="T27" s="12">
        <f>IFERROR(S27/$AA27,0)</f>
        <v>5.6228121353558924E-2</v>
      </c>
      <c r="U27">
        <f>SUMIFS(banco!W:W,banco!$C:$C,$B27,banco!$A:$A,$A27)</f>
        <v>445</v>
      </c>
      <c r="V27" s="12">
        <f>IFERROR(U27/$AB27,0)</f>
        <v>5.3893665980380284E-2</v>
      </c>
      <c r="W27">
        <f>SUMIFS(banco!Y:Y,banco!$C:$C,$B27,banco!$A:$A,$A27)</f>
        <v>653</v>
      </c>
      <c r="X27" s="12">
        <f>IFERROR(W27/$AA27,0)</f>
        <v>2.3811260210035008E-2</v>
      </c>
      <c r="Y27">
        <f>SUMIFS(banco!AA:AA,banco!$C:$C,$B27,banco!$A:$A,$A27)</f>
        <v>187</v>
      </c>
      <c r="Z27" s="12">
        <f>IFERROR(Y27/$AB27,0)</f>
        <v>2.2647450647935087E-2</v>
      </c>
      <c r="AA27">
        <f>SUMIFS(banco!AC:AC,banco!$C:$C,$B27,banco!$A:$A,$A27)</f>
        <v>27424</v>
      </c>
      <c r="AB27">
        <f>SUMIFS(banco!AD:AD,banco!$C:$C,$B27,banco!$A:$A,$A27)</f>
        <v>8257</v>
      </c>
      <c r="AC27">
        <v>17475</v>
      </c>
    </row>
    <row r="28" spans="1:29" x14ac:dyDescent="0.25">
      <c r="A28" s="20">
        <v>2021</v>
      </c>
      <c r="B28" s="18" t="s">
        <v>144</v>
      </c>
      <c r="C28">
        <f>SUMIFS(banco!E:E,banco!$C:$C,$B28,banco!$A:$A,$A28)</f>
        <v>178</v>
      </c>
      <c r="D28" s="12">
        <f>IFERROR(C28/$AA28,0)</f>
        <v>1.9901610017889086E-2</v>
      </c>
      <c r="E28">
        <f>SUMIFS(banco!G:G,banco!$C:$C,$B28,banco!$A:$A,$A28)</f>
        <v>72</v>
      </c>
      <c r="F28" s="12">
        <f>IFERROR(E28/$AB28,0)</f>
        <v>2.9556650246305417E-2</v>
      </c>
      <c r="G28">
        <f>SUMIFS(banco!I:I,banco!$C:$C,$B28,banco!$A:$A,$A28)</f>
        <v>2927</v>
      </c>
      <c r="H28" s="12">
        <f>IFERROR(G28/$AA28,0)</f>
        <v>0.32725849731663686</v>
      </c>
      <c r="I28">
        <f>SUMIFS(banco!K:K,banco!$C:$C,$B28,banco!$A:$A,$A28)</f>
        <v>879</v>
      </c>
      <c r="J28" s="12">
        <f>IFERROR(I28/$AB28,0)</f>
        <v>0.3608374384236453</v>
      </c>
      <c r="K28">
        <f>SUMIFS(banco!M:M,banco!$C:$C,$B28,banco!$A:$A,$A28)</f>
        <v>3206</v>
      </c>
      <c r="L28" s="12">
        <f>IFERROR(K28/$AA28,0)</f>
        <v>0.35845259391771017</v>
      </c>
      <c r="M28">
        <f>SUMIFS(banco!O:O,banco!$C:$C,$B28,banco!$A:$A,$A28)</f>
        <v>814</v>
      </c>
      <c r="N28" s="12">
        <f>IFERROR(M28/$AB28,0)</f>
        <v>0.33415435139573069</v>
      </c>
      <c r="O28">
        <f>SUMIFS(banco!Q:Q,banco!$C:$C,$B28,banco!$A:$A,$A28)</f>
        <v>1658</v>
      </c>
      <c r="P28" s="12">
        <f>IFERROR(O28/$AA28,0)</f>
        <v>0.18537567084078713</v>
      </c>
      <c r="Q28">
        <f>SUMIFS(banco!S:S,banco!$C:$C,$B28,banco!$A:$A,$A28)</f>
        <v>413</v>
      </c>
      <c r="R28" s="12">
        <f>IFERROR(Q28/$AB28,0)</f>
        <v>0.16954022988505746</v>
      </c>
      <c r="S28">
        <f>SUMIFS(banco!U:U,banco!$C:$C,$B28,banco!$A:$A,$A28)</f>
        <v>656</v>
      </c>
      <c r="T28" s="12">
        <f>IFERROR(S28/$AA28,0)</f>
        <v>7.3345259391771014E-2</v>
      </c>
      <c r="U28">
        <f>SUMIFS(banco!W:W,banco!$C:$C,$B28,banco!$A:$A,$A28)</f>
        <v>178</v>
      </c>
      <c r="V28" s="12">
        <f>IFERROR(U28/$AB28,0)</f>
        <v>7.3070607553366168E-2</v>
      </c>
      <c r="W28">
        <f>SUMIFS(banco!Y:Y,banco!$C:$C,$B28,banco!$A:$A,$A28)</f>
        <v>319</v>
      </c>
      <c r="X28" s="12">
        <f>IFERROR(W28/$AA28,0)</f>
        <v>3.5666368515205722E-2</v>
      </c>
      <c r="Y28">
        <f>SUMIFS(banco!AA:AA,banco!$C:$C,$B28,banco!$A:$A,$A28)</f>
        <v>80</v>
      </c>
      <c r="Z28" s="12">
        <f>IFERROR(Y28/$AB28,0)</f>
        <v>3.2840722495894911E-2</v>
      </c>
      <c r="AA28">
        <f>SUMIFS(banco!AC:AC,banco!$C:$C,$B28,banco!$A:$A,$A28)</f>
        <v>8944</v>
      </c>
      <c r="AB28">
        <f>SUMIFS(banco!AD:AD,banco!$C:$C,$B28,banco!$A:$A,$A28)</f>
        <v>2436</v>
      </c>
      <c r="AC28">
        <v>10159</v>
      </c>
    </row>
    <row r="29" spans="1:29" x14ac:dyDescent="0.25">
      <c r="A29" s="20">
        <v>2021</v>
      </c>
      <c r="B29" s="18" t="s">
        <v>148</v>
      </c>
      <c r="C29">
        <f>SUMIFS(banco!E:E,banco!$C:$C,$B29,banco!$A:$A,$A29)</f>
        <v>652</v>
      </c>
      <c r="D29" s="12">
        <f>IFERROR(C29/$AA29,0)</f>
        <v>2.2526257600884468E-2</v>
      </c>
      <c r="E29">
        <f>SUMIFS(banco!G:G,banco!$C:$C,$B29,banco!$A:$A,$A29)</f>
        <v>195</v>
      </c>
      <c r="F29" s="12">
        <f>IFERROR(E29/$AB29,0)</f>
        <v>3.3129459734964326E-2</v>
      </c>
      <c r="G29">
        <f>SUMIFS(banco!I:I,banco!$C:$C,$B29,banco!$A:$A,$A29)</f>
        <v>9844</v>
      </c>
      <c r="H29" s="12">
        <f>IFERROR(G29/$AA29,0)</f>
        <v>0.34010503040353784</v>
      </c>
      <c r="I29">
        <f>SUMIFS(banco!K:K,banco!$C:$C,$B29,banco!$A:$A,$A29)</f>
        <v>2215</v>
      </c>
      <c r="J29" s="12">
        <f>IFERROR(I29/$AB29,0)</f>
        <v>0.37631668365613319</v>
      </c>
      <c r="K29">
        <f>SUMIFS(banco!M:M,banco!$C:$C,$B29,banco!$A:$A,$A29)</f>
        <v>10131</v>
      </c>
      <c r="L29" s="12">
        <f>IFERROR(K29/$AA29,0)</f>
        <v>0.35002072968490877</v>
      </c>
      <c r="M29">
        <f>SUMIFS(banco!O:O,banco!$C:$C,$B29,banco!$A:$A,$A29)</f>
        <v>1929</v>
      </c>
      <c r="N29" s="12">
        <f>IFERROR(M29/$AB29,0)</f>
        <v>0.32772680937818555</v>
      </c>
      <c r="O29">
        <f>SUMIFS(banco!Q:Q,banco!$C:$C,$B29,banco!$A:$A,$A29)</f>
        <v>5299</v>
      </c>
      <c r="P29" s="12">
        <f>IFERROR(O29/$AA29,0)</f>
        <v>0.18307766721945826</v>
      </c>
      <c r="Q29">
        <f>SUMIFS(banco!S:S,banco!$C:$C,$B29,banco!$A:$A,$A29)</f>
        <v>989</v>
      </c>
      <c r="R29" s="12">
        <f>IFERROR(Q29/$AB29,0)</f>
        <v>0.16802582398912674</v>
      </c>
      <c r="S29">
        <f>SUMIFS(banco!U:U,banco!$C:$C,$B29,banco!$A:$A,$A29)</f>
        <v>1995</v>
      </c>
      <c r="T29" s="12">
        <f>IFERROR(S29/$AA29,0)</f>
        <v>6.8926202321724708E-2</v>
      </c>
      <c r="U29">
        <f>SUMIFS(banco!W:W,banco!$C:$C,$B29,banco!$A:$A,$A29)</f>
        <v>390</v>
      </c>
      <c r="V29" s="12">
        <f>IFERROR(U29/$AB29,0)</f>
        <v>6.6258919469928651E-2</v>
      </c>
      <c r="W29">
        <f>SUMIFS(banco!Y:Y,banco!$C:$C,$B29,banco!$A:$A,$A29)</f>
        <v>1023</v>
      </c>
      <c r="X29" s="12">
        <f>IFERROR(W29/$AA29,0)</f>
        <v>3.5344112769485903E-2</v>
      </c>
      <c r="Y29">
        <f>SUMIFS(banco!AA:AA,banco!$C:$C,$B29,banco!$A:$A,$A29)</f>
        <v>168</v>
      </c>
      <c r="Z29" s="12">
        <f>IFERROR(Y29/$AB29,0)</f>
        <v>2.8542303771661569E-2</v>
      </c>
      <c r="AA29">
        <f>SUMIFS(banco!AC:AC,banco!$C:$C,$B29,banco!$A:$A,$A29)</f>
        <v>28944</v>
      </c>
      <c r="AB29">
        <f>SUMIFS(banco!AD:AD,banco!$C:$C,$B29,banco!$A:$A,$A29)</f>
        <v>5886</v>
      </c>
      <c r="AC29">
        <v>29884</v>
      </c>
    </row>
    <row r="30" spans="1:29" x14ac:dyDescent="0.25">
      <c r="A30" s="20">
        <v>2021</v>
      </c>
      <c r="B30" s="18" t="s">
        <v>150</v>
      </c>
      <c r="C30">
        <f>SUMIFS(banco!E:E,banco!$C:$C,$B30,banco!$A:$A,$A30)</f>
        <v>262</v>
      </c>
      <c r="D30" s="12">
        <f>IFERROR(C30/$AA30,0)</f>
        <v>2.2074311230937737E-2</v>
      </c>
      <c r="E30">
        <f>SUMIFS(banco!G:G,banco!$C:$C,$B30,banco!$A:$A,$A30)</f>
        <v>108</v>
      </c>
      <c r="F30" s="12">
        <f>IFERROR(E30/$AB30,0)</f>
        <v>2.9315960912052116E-2</v>
      </c>
      <c r="G30">
        <f>SUMIFS(banco!I:I,banco!$C:$C,$B30,banco!$A:$A,$A30)</f>
        <v>4013</v>
      </c>
      <c r="H30" s="12">
        <f>IFERROR(G30/$AA30,0)</f>
        <v>0.33810767545707304</v>
      </c>
      <c r="I30">
        <f>SUMIFS(banco!K:K,banco!$C:$C,$B30,banco!$A:$A,$A30)</f>
        <v>1311</v>
      </c>
      <c r="J30" s="12">
        <f>IFERROR(I30/$AB30,0)</f>
        <v>0.35586319218241041</v>
      </c>
      <c r="K30">
        <f>SUMIFS(banco!M:M,banco!$C:$C,$B30,banco!$A:$A,$A30)</f>
        <v>4123</v>
      </c>
      <c r="L30" s="12">
        <f>IFERROR(K30/$AA30,0)</f>
        <v>0.34737551605021483</v>
      </c>
      <c r="M30">
        <f>SUMIFS(banco!O:O,banco!$C:$C,$B30,banco!$A:$A,$A30)</f>
        <v>1202</v>
      </c>
      <c r="N30" s="12">
        <f>IFERROR(M30/$AB30,0)</f>
        <v>0.32627578718783928</v>
      </c>
      <c r="O30">
        <f>SUMIFS(banco!Q:Q,banco!$C:$C,$B30,banco!$A:$A,$A30)</f>
        <v>2154</v>
      </c>
      <c r="P30" s="12">
        <f>IFERROR(O30/$AA30,0)</f>
        <v>0.18148116943297665</v>
      </c>
      <c r="Q30">
        <f>SUMIFS(banco!S:S,banco!$C:$C,$B30,banco!$A:$A,$A30)</f>
        <v>649</v>
      </c>
      <c r="R30" s="12">
        <f>IFERROR(Q30/$AB30,0)</f>
        <v>0.1761672095548317</v>
      </c>
      <c r="S30">
        <f>SUMIFS(banco!U:U,banco!$C:$C,$B30,banco!$A:$A,$A30)</f>
        <v>842</v>
      </c>
      <c r="T30" s="12">
        <f>IFERROR(S30/$AA30,0)</f>
        <v>7.0941107085685393E-2</v>
      </c>
      <c r="U30">
        <f>SUMIFS(banco!W:W,banco!$C:$C,$B30,banco!$A:$A,$A30)</f>
        <v>286</v>
      </c>
      <c r="V30" s="12">
        <f>IFERROR(U30/$AB30,0)</f>
        <v>7.7633007600434317E-2</v>
      </c>
      <c r="W30">
        <f>SUMIFS(banco!Y:Y,banco!$C:$C,$B30,banco!$A:$A,$A30)</f>
        <v>475</v>
      </c>
      <c r="X30" s="12">
        <f>IFERROR(W30/$AA30,0)</f>
        <v>4.002022074311231E-2</v>
      </c>
      <c r="Y30">
        <f>SUMIFS(banco!AA:AA,banco!$C:$C,$B30,banco!$A:$A,$A30)</f>
        <v>128</v>
      </c>
      <c r="Z30" s="12">
        <f>IFERROR(Y30/$AB30,0)</f>
        <v>3.4744842562432141E-2</v>
      </c>
      <c r="AA30">
        <f>SUMIFS(banco!AC:AC,banco!$C:$C,$B30,banco!$A:$A,$A30)</f>
        <v>11869</v>
      </c>
      <c r="AB30">
        <f>SUMIFS(banco!AD:AD,banco!$C:$C,$B30,banco!$A:$A,$A30)</f>
        <v>3684</v>
      </c>
      <c r="AC30">
        <v>12113</v>
      </c>
    </row>
    <row r="31" spans="1:29" x14ac:dyDescent="0.25">
      <c r="A31" s="20">
        <v>2021</v>
      </c>
      <c r="B31" s="18" t="s">
        <v>146</v>
      </c>
      <c r="C31">
        <f>SUMIFS(banco!E:E,banco!$C:$C,$B31,banco!$A:$A,$A31)</f>
        <v>441</v>
      </c>
      <c r="D31" s="12">
        <f>IFERROR(C31/$AA31,0)</f>
        <v>2.625156259301149E-2</v>
      </c>
      <c r="E31">
        <f>SUMIFS(banco!G:G,banco!$C:$C,$B31,banco!$A:$A,$A31)</f>
        <v>255</v>
      </c>
      <c r="F31" s="12">
        <f>IFERROR(E31/$AB31,0)</f>
        <v>4.801355676897006E-2</v>
      </c>
      <c r="G31">
        <f>SUMIFS(banco!I:I,banco!$C:$C,$B31,banco!$A:$A,$A31)</f>
        <v>5093</v>
      </c>
      <c r="H31" s="12">
        <f>IFERROR(G31/$AA31,0)</f>
        <v>0.30317280790523243</v>
      </c>
      <c r="I31">
        <f>SUMIFS(banco!K:K,banco!$C:$C,$B31,banco!$A:$A,$A31)</f>
        <v>1728</v>
      </c>
      <c r="J31" s="12">
        <f>IFERROR(I31/$AB31,0)</f>
        <v>0.32536245528149127</v>
      </c>
      <c r="K31">
        <f>SUMIFS(banco!M:M,banco!$C:$C,$B31,banco!$A:$A,$A31)</f>
        <v>6113</v>
      </c>
      <c r="L31" s="12">
        <f>IFERROR(K31/$AA31,0)</f>
        <v>0.36389070778022503</v>
      </c>
      <c r="M31">
        <f>SUMIFS(banco!O:O,banco!$C:$C,$B31,banco!$A:$A,$A31)</f>
        <v>2061</v>
      </c>
      <c r="N31" s="12">
        <f>IFERROR(M31/$AB31,0)</f>
        <v>0.38806251176802864</v>
      </c>
      <c r="O31">
        <f>SUMIFS(banco!Q:Q,banco!$C:$C,$B31,banco!$A:$A,$A31)</f>
        <v>3172</v>
      </c>
      <c r="P31" s="12">
        <f>IFERROR(O31/$AA31,0)</f>
        <v>0.18882076314066312</v>
      </c>
      <c r="Q31">
        <f>SUMIFS(banco!S:S,banco!$C:$C,$B31,banco!$A:$A,$A31)</f>
        <v>767</v>
      </c>
      <c r="R31" s="12">
        <f>IFERROR(Q31/$AB31,0)</f>
        <v>0.14441724722274524</v>
      </c>
      <c r="S31">
        <f>SUMIFS(banco!U:U,banco!$C:$C,$B31,banco!$A:$A,$A31)</f>
        <v>1240</v>
      </c>
      <c r="T31" s="12">
        <f>IFERROR(S31/$AA31,0)</f>
        <v>7.381391749508899E-2</v>
      </c>
      <c r="U31">
        <f>SUMIFS(banco!W:W,banco!$C:$C,$B31,banco!$A:$A,$A31)</f>
        <v>305</v>
      </c>
      <c r="V31" s="12">
        <f>IFERROR(U31/$AB31,0)</f>
        <v>5.7427979664846543E-2</v>
      </c>
      <c r="W31">
        <f>SUMIFS(banco!Y:Y,banco!$C:$C,$B31,banco!$A:$A,$A31)</f>
        <v>740</v>
      </c>
      <c r="X31" s="12">
        <f>IFERROR(W31/$AA31,0)</f>
        <v>4.4050241085778916E-2</v>
      </c>
      <c r="Y31">
        <f>SUMIFS(banco!AA:AA,banco!$C:$C,$B31,banco!$A:$A,$A31)</f>
        <v>195</v>
      </c>
      <c r="Z31" s="12">
        <f>IFERROR(Y31/$AB31,0)</f>
        <v>3.6716249293918285E-2</v>
      </c>
      <c r="AA31">
        <f>SUMIFS(banco!AC:AC,banco!$C:$C,$B31,banco!$A:$A,$A31)</f>
        <v>16799</v>
      </c>
      <c r="AB31">
        <f>SUMIFS(banco!AD:AD,banco!$C:$C,$B31,banco!$A:$A,$A31)</f>
        <v>5311</v>
      </c>
      <c r="AC31">
        <v>13112</v>
      </c>
    </row>
    <row r="32" spans="1:29" x14ac:dyDescent="0.25">
      <c r="A32" s="20">
        <v>2021</v>
      </c>
      <c r="B32" s="18" t="s">
        <v>149</v>
      </c>
      <c r="C32">
        <f>SUMIFS(banco!E:E,banco!$C:$C,$B32,banco!$A:$A,$A32)</f>
        <v>675</v>
      </c>
      <c r="D32" s="12">
        <f>IFERROR(C32/$AA32,0)</f>
        <v>2.2539820349283736E-2</v>
      </c>
      <c r="E32">
        <f>SUMIFS(banco!G:G,banco!$C:$C,$B32,banco!$A:$A,$A32)</f>
        <v>177</v>
      </c>
      <c r="F32" s="12">
        <f>IFERROR(E32/$AB32,0)</f>
        <v>2.2236180904522614E-2</v>
      </c>
      <c r="G32">
        <f>SUMIFS(banco!I:I,banco!$C:$C,$B32,banco!$A:$A,$A32)</f>
        <v>9619</v>
      </c>
      <c r="H32" s="12">
        <f>IFERROR(G32/$AA32,0)</f>
        <v>0.32120078805890406</v>
      </c>
      <c r="I32">
        <f>SUMIFS(banco!K:K,banco!$C:$C,$B32,banco!$A:$A,$A32)</f>
        <v>2446</v>
      </c>
      <c r="J32" s="12">
        <f>IFERROR(I32/$AB32,0)</f>
        <v>0.30728643216080403</v>
      </c>
      <c r="K32">
        <f>SUMIFS(banco!M:M,banco!$C:$C,$B32,banco!$A:$A,$A32)</f>
        <v>11047</v>
      </c>
      <c r="L32" s="12">
        <f>IFERROR(K32/$AA32,0)</f>
        <v>0.36888503022005542</v>
      </c>
      <c r="M32">
        <f>SUMIFS(banco!O:O,banco!$C:$C,$B32,banco!$A:$A,$A32)</f>
        <v>3132</v>
      </c>
      <c r="N32" s="12">
        <f>IFERROR(M32/$AB32,0)</f>
        <v>0.3934673366834171</v>
      </c>
      <c r="O32">
        <f>SUMIFS(banco!Q:Q,banco!$C:$C,$B32,banco!$A:$A,$A32)</f>
        <v>5840</v>
      </c>
      <c r="P32" s="12">
        <f>IFERROR(O32/$AA32,0)</f>
        <v>0.19501118642935852</v>
      </c>
      <c r="Q32">
        <f>SUMIFS(banco!S:S,banco!$C:$C,$B32,banco!$A:$A,$A32)</f>
        <v>1601</v>
      </c>
      <c r="R32" s="12">
        <f>IFERROR(Q32/$AB32,0)</f>
        <v>0.20113065326633167</v>
      </c>
      <c r="S32">
        <f>SUMIFS(banco!U:U,banco!$C:$C,$B32,banco!$A:$A,$A32)</f>
        <v>1852</v>
      </c>
      <c r="T32" s="12">
        <f>IFERROR(S32/$AA32,0)</f>
        <v>6.1842588573145889E-2</v>
      </c>
      <c r="U32">
        <f>SUMIFS(banco!W:W,banco!$C:$C,$B32,banco!$A:$A,$A32)</f>
        <v>407</v>
      </c>
      <c r="V32" s="12">
        <f>IFERROR(U32/$AB32,0)</f>
        <v>5.1130653266331656E-2</v>
      </c>
      <c r="W32">
        <f>SUMIFS(banco!Y:Y,banco!$C:$C,$B32,banco!$A:$A,$A32)</f>
        <v>914</v>
      </c>
      <c r="X32" s="12">
        <f>IFERROR(W32/$AA32,0)</f>
        <v>3.0520586369252346E-2</v>
      </c>
      <c r="Y32">
        <f>SUMIFS(banco!AA:AA,banco!$C:$C,$B32,banco!$A:$A,$A32)</f>
        <v>197</v>
      </c>
      <c r="Z32" s="12">
        <f>IFERROR(Y32/$AB32,0)</f>
        <v>2.4748743718592967E-2</v>
      </c>
      <c r="AA32">
        <f>SUMIFS(banco!AC:AC,banco!$C:$C,$B32,banco!$A:$A,$A32)</f>
        <v>29947</v>
      </c>
      <c r="AB32">
        <f>SUMIFS(banco!AD:AD,banco!$C:$C,$B32,banco!$A:$A,$A32)</f>
        <v>7960</v>
      </c>
      <c r="AC32">
        <v>23249</v>
      </c>
    </row>
    <row r="33" spans="1:29" x14ac:dyDescent="0.25">
      <c r="A33" s="20">
        <v>2021</v>
      </c>
      <c r="B33" s="18" t="s">
        <v>147</v>
      </c>
      <c r="C33">
        <f>SUMIFS(banco!E:E,banco!$C:$C,$B33,banco!$A:$A,$A33)</f>
        <v>268</v>
      </c>
      <c r="D33" s="12">
        <f>IFERROR(C33/$AA33,0)</f>
        <v>2.3570800351802989E-2</v>
      </c>
      <c r="E33">
        <f>SUMIFS(banco!G:G,banco!$C:$C,$B33,banco!$A:$A,$A33)</f>
        <v>85</v>
      </c>
      <c r="F33" s="12">
        <f>IFERROR(E33/$AB33,0)</f>
        <v>2.9381265122709988E-2</v>
      </c>
      <c r="G33">
        <f>SUMIFS(banco!I:I,banco!$C:$C,$B33,banco!$A:$A,$A33)</f>
        <v>3998</v>
      </c>
      <c r="H33" s="12">
        <f>IFERROR(G33/$AA33,0)</f>
        <v>0.35162708883025506</v>
      </c>
      <c r="I33">
        <f>SUMIFS(banco!K:K,banco!$C:$C,$B33,banco!$A:$A,$A33)</f>
        <v>1079</v>
      </c>
      <c r="J33" s="12">
        <f>IFERROR(I33/$AB33,0)</f>
        <v>0.3729692360871068</v>
      </c>
      <c r="K33">
        <f>SUMIFS(banco!M:M,banco!$C:$C,$B33,banco!$A:$A,$A33)</f>
        <v>4031</v>
      </c>
      <c r="L33" s="12">
        <f>IFERROR(K33/$AA33,0)</f>
        <v>0.35452946350043973</v>
      </c>
      <c r="M33">
        <f>SUMIFS(banco!O:O,banco!$C:$C,$B33,banco!$A:$A,$A33)</f>
        <v>970</v>
      </c>
      <c r="N33" s="12">
        <f>IFERROR(M33/$AB33,0)</f>
        <v>0.33529208434151397</v>
      </c>
      <c r="O33">
        <f>SUMIFS(banco!Q:Q,banco!$C:$C,$B33,banco!$A:$A,$A33)</f>
        <v>1995</v>
      </c>
      <c r="P33" s="12">
        <f>IFERROR(O33/$AA33,0)</f>
        <v>0.17546174142480211</v>
      </c>
      <c r="Q33">
        <f>SUMIFS(banco!S:S,banco!$C:$C,$B33,banco!$A:$A,$A33)</f>
        <v>489</v>
      </c>
      <c r="R33" s="12">
        <f>IFERROR(Q33/$AB33,0)</f>
        <v>0.16902868994123746</v>
      </c>
      <c r="S33">
        <f>SUMIFS(banco!U:U,banco!$C:$C,$B33,banco!$A:$A,$A33)</f>
        <v>736</v>
      </c>
      <c r="T33" s="12">
        <f>IFERROR(S33/$AA33,0)</f>
        <v>6.4731750219876871E-2</v>
      </c>
      <c r="U33">
        <f>SUMIFS(banco!W:W,banco!$C:$C,$B33,banco!$A:$A,$A33)</f>
        <v>198</v>
      </c>
      <c r="V33" s="12">
        <f>IFERROR(U33/$AB33,0)</f>
        <v>6.8441064638783272E-2</v>
      </c>
      <c r="W33">
        <f>SUMIFS(banco!Y:Y,banco!$C:$C,$B33,banco!$A:$A,$A33)</f>
        <v>342</v>
      </c>
      <c r="X33" s="12">
        <f>IFERROR(W33/$AA33,0)</f>
        <v>3.0079155672823221E-2</v>
      </c>
      <c r="Y33">
        <f>SUMIFS(banco!AA:AA,banco!$C:$C,$B33,banco!$A:$A,$A33)</f>
        <v>72</v>
      </c>
      <c r="Z33" s="12">
        <f>IFERROR(Y33/$AB33,0)</f>
        <v>2.4887659868648462E-2</v>
      </c>
      <c r="AA33">
        <f>SUMIFS(banco!AC:AC,banco!$C:$C,$B33,banco!$A:$A,$A33)</f>
        <v>11370</v>
      </c>
      <c r="AB33">
        <f>SUMIFS(banco!AD:AD,banco!$C:$C,$B33,banco!$A:$A,$A33)</f>
        <v>2893</v>
      </c>
      <c r="AC33">
        <v>7087</v>
      </c>
    </row>
    <row r="34" spans="1:29" x14ac:dyDescent="0.25">
      <c r="A34" s="20">
        <v>2020</v>
      </c>
      <c r="B34" s="18" t="s">
        <v>151</v>
      </c>
      <c r="C34">
        <f>SUMIFS(banco!E:E,banco!$C:$C,$B34,banco!$A:$A,$A34)</f>
        <v>149</v>
      </c>
      <c r="D34" s="12">
        <f>IFERROR(C34/$AA34,0)</f>
        <v>2.220235434361496E-2</v>
      </c>
      <c r="E34">
        <f>SUMIFS(banco!G:G,banco!$C:$C,$B34,banco!$A:$A,$A34)</f>
        <v>59</v>
      </c>
      <c r="F34" s="12">
        <f>IFERROR(E34/$AB34,0)</f>
        <v>3.5035629453681709E-2</v>
      </c>
      <c r="G34">
        <f>SUMIFS(banco!I:I,banco!$C:$C,$B34,banco!$A:$A,$A34)</f>
        <v>2113</v>
      </c>
      <c r="H34" s="12">
        <f>IFERROR(G34/$AA34,0)</f>
        <v>0.31485620622857996</v>
      </c>
      <c r="I34">
        <f>SUMIFS(banco!K:K,banco!$C:$C,$B34,banco!$A:$A,$A34)</f>
        <v>541</v>
      </c>
      <c r="J34" s="12">
        <f>IFERROR(I34/$AB34,0)</f>
        <v>0.32125890736342044</v>
      </c>
      <c r="K34">
        <f>SUMIFS(banco!M:M,banco!$C:$C,$B34,banco!$A:$A,$A34)</f>
        <v>2418</v>
      </c>
      <c r="L34" s="12">
        <f>IFERROR(K34/$AA34,0)</f>
        <v>0.36030397854269108</v>
      </c>
      <c r="M34">
        <f>SUMIFS(banco!O:O,banco!$C:$C,$B34,banco!$A:$A,$A34)</f>
        <v>573</v>
      </c>
      <c r="N34" s="12">
        <f>IFERROR(M34/$AB34,0)</f>
        <v>0.34026128266033256</v>
      </c>
      <c r="O34">
        <f>SUMIFS(banco!Q:Q,banco!$C:$C,$B34,banco!$A:$A,$A34)</f>
        <v>1310</v>
      </c>
      <c r="P34" s="12">
        <f>IFERROR(O34/$AA34,0)</f>
        <v>0.19520190731634629</v>
      </c>
      <c r="Q34">
        <f>SUMIFS(banco!S:S,banco!$C:$C,$B34,banco!$A:$A,$A34)</f>
        <v>308</v>
      </c>
      <c r="R34" s="12">
        <f>IFERROR(Q34/$AB34,0)</f>
        <v>0.1828978622327791</v>
      </c>
      <c r="S34">
        <f>SUMIFS(banco!U:U,banco!$C:$C,$B34,banco!$A:$A,$A34)</f>
        <v>502</v>
      </c>
      <c r="T34" s="12">
        <f>IFERROR(S34/$AA34,0)</f>
        <v>7.4802562956340343E-2</v>
      </c>
      <c r="U34">
        <f>SUMIFS(banco!W:W,banco!$C:$C,$B34,banco!$A:$A,$A34)</f>
        <v>136</v>
      </c>
      <c r="V34" s="12">
        <f>IFERROR(U34/$AB34,0)</f>
        <v>8.076009501187649E-2</v>
      </c>
      <c r="W34">
        <f>SUMIFS(banco!Y:Y,banco!$C:$C,$B34,banco!$A:$A,$A34)</f>
        <v>219</v>
      </c>
      <c r="X34" s="12">
        <f>IFERROR(W34/$AA34,0)</f>
        <v>3.2632990612427359E-2</v>
      </c>
      <c r="Y34">
        <f>SUMIFS(banco!AA:AA,banco!$C:$C,$B34,banco!$A:$A,$A34)</f>
        <v>67</v>
      </c>
      <c r="Z34" s="12">
        <f>IFERROR(Y34/$AB34,0)</f>
        <v>3.9786223277909739E-2</v>
      </c>
      <c r="AA34">
        <f>SUMIFS(banco!AC:AC,banco!$C:$C,$B34,banco!$A:$A,$A34)</f>
        <v>6711</v>
      </c>
      <c r="AB34">
        <f>SUMIFS(banco!AD:AD,banco!$C:$C,$B34,banco!$A:$A,$A34)</f>
        <v>1684</v>
      </c>
      <c r="AC34">
        <v>9797</v>
      </c>
    </row>
    <row r="35" spans="1:29" x14ac:dyDescent="0.25">
      <c r="A35" s="20">
        <v>2020</v>
      </c>
      <c r="B35" s="18" t="s">
        <v>145</v>
      </c>
      <c r="C35">
        <f>SUMIFS(banco!E:E,banco!$C:$C,$B35,banco!$A:$A,$A35)</f>
        <v>421</v>
      </c>
      <c r="D35" s="12">
        <f>IFERROR(C35/$AA35,0)</f>
        <v>2.2506147760076981E-2</v>
      </c>
      <c r="E35">
        <f>SUMIFS(banco!G:G,banco!$C:$C,$B35,banco!$A:$A,$A35)</f>
        <v>140</v>
      </c>
      <c r="F35" s="12">
        <f>IFERROR(E35/$AB35,0)</f>
        <v>3.0501089324618737E-2</v>
      </c>
      <c r="G35">
        <f>SUMIFS(banco!I:I,banco!$C:$C,$B35,banco!$A:$A,$A35)</f>
        <v>6865</v>
      </c>
      <c r="H35" s="12">
        <f>IFERROR(G35/$AA35,0)</f>
        <v>0.36699454720410563</v>
      </c>
      <c r="I35">
        <f>SUMIFS(banco!K:K,banco!$C:$C,$B35,banco!$A:$A,$A35)</f>
        <v>1738</v>
      </c>
      <c r="J35" s="12">
        <f>IFERROR(I35/$AB35,0)</f>
        <v>0.37864923747276691</v>
      </c>
      <c r="K35">
        <f>SUMIFS(banco!M:M,banco!$C:$C,$B35,banco!$A:$A,$A35)</f>
        <v>6621</v>
      </c>
      <c r="L35" s="12">
        <f>IFERROR(K35/$AA35,0)</f>
        <v>0.35395060408425105</v>
      </c>
      <c r="M35">
        <f>SUMIFS(banco!O:O,banco!$C:$C,$B35,banco!$A:$A,$A35)</f>
        <v>1536</v>
      </c>
      <c r="N35" s="12">
        <f>IFERROR(M35/$AB35,0)</f>
        <v>0.33464052287581697</v>
      </c>
      <c r="O35">
        <f>SUMIFS(banco!Q:Q,banco!$C:$C,$B35,banco!$A:$A,$A35)</f>
        <v>3315</v>
      </c>
      <c r="P35" s="12">
        <f>IFERROR(O35/$AA35,0)</f>
        <v>0.17721586656687693</v>
      </c>
      <c r="Q35">
        <f>SUMIFS(banco!S:S,banco!$C:$C,$B35,banco!$A:$A,$A35)</f>
        <v>805</v>
      </c>
      <c r="R35" s="12">
        <f>IFERROR(Q35/$AB35,0)</f>
        <v>0.17538126361655773</v>
      </c>
      <c r="S35">
        <f>SUMIFS(banco!U:U,banco!$C:$C,$B35,banco!$A:$A,$A35)</f>
        <v>1084</v>
      </c>
      <c r="T35" s="12">
        <f>IFERROR(S35/$AA35,0)</f>
        <v>5.7949321073452367E-2</v>
      </c>
      <c r="U35">
        <f>SUMIFS(banco!W:W,banco!$C:$C,$B35,banco!$A:$A,$A35)</f>
        <v>266</v>
      </c>
      <c r="V35" s="12">
        <f>IFERROR(U35/$AB35,0)</f>
        <v>5.7952069716775599E-2</v>
      </c>
      <c r="W35">
        <f>SUMIFS(banco!Y:Y,banco!$C:$C,$B35,banco!$A:$A,$A35)</f>
        <v>400</v>
      </c>
      <c r="X35" s="12">
        <f>IFERROR(W35/$AA35,0)</f>
        <v>2.1383513311237036E-2</v>
      </c>
      <c r="Y35">
        <f>SUMIFS(banco!AA:AA,banco!$C:$C,$B35,banco!$A:$A,$A35)</f>
        <v>105</v>
      </c>
      <c r="Z35" s="12">
        <f>IFERROR(Y35/$AB35,0)</f>
        <v>2.2875816993464051E-2</v>
      </c>
      <c r="AA35">
        <f>SUMIFS(banco!AC:AC,banco!$C:$C,$B35,banco!$A:$A,$A35)</f>
        <v>18706</v>
      </c>
      <c r="AB35">
        <f>SUMIFS(banco!AD:AD,banco!$C:$C,$B35,banco!$A:$A,$A35)</f>
        <v>4590</v>
      </c>
      <c r="AC35">
        <v>17696</v>
      </c>
    </row>
    <row r="36" spans="1:29" x14ac:dyDescent="0.25">
      <c r="A36" s="20">
        <v>2020</v>
      </c>
      <c r="B36" s="18" t="s">
        <v>144</v>
      </c>
      <c r="C36">
        <f>SUMIFS(banco!E:E,banco!$C:$C,$B36,banco!$A:$A,$A36)</f>
        <v>119</v>
      </c>
      <c r="D36" s="12">
        <f>IFERROR(C36/$AA36,0)</f>
        <v>1.6774739216239076E-2</v>
      </c>
      <c r="E36">
        <f>SUMIFS(banco!G:G,banco!$C:$C,$B36,banco!$A:$A,$A36)</f>
        <v>47</v>
      </c>
      <c r="F36" s="12">
        <f>IFERROR(E36/$AB36,0)</f>
        <v>2.0632133450395083E-2</v>
      </c>
      <c r="G36">
        <f>SUMIFS(banco!I:I,banco!$C:$C,$B36,banco!$A:$A,$A36)</f>
        <v>2398</v>
      </c>
      <c r="H36" s="12">
        <f>IFERROR(G36/$AA36,0)</f>
        <v>0.33803213983648156</v>
      </c>
      <c r="I36">
        <f>SUMIFS(banco!K:K,banco!$C:$C,$B36,banco!$A:$A,$A36)</f>
        <v>834</v>
      </c>
      <c r="J36" s="12">
        <f>IFERROR(I36/$AB36,0)</f>
        <v>0.36611062335381916</v>
      </c>
      <c r="K36">
        <f>SUMIFS(banco!M:M,banco!$C:$C,$B36,banco!$A:$A,$A36)</f>
        <v>2566</v>
      </c>
      <c r="L36" s="12">
        <f>IFERROR(K36/$AA36,0)</f>
        <v>0.36171412461234848</v>
      </c>
      <c r="M36">
        <f>SUMIFS(banco!O:O,banco!$C:$C,$B36,banco!$A:$A,$A36)</f>
        <v>769</v>
      </c>
      <c r="N36" s="12">
        <f>IFERROR(M36/$AB36,0)</f>
        <v>0.33757682177348552</v>
      </c>
      <c r="O36">
        <f>SUMIFS(banco!Q:Q,banco!$C:$C,$B36,banco!$A:$A,$A36)</f>
        <v>1312</v>
      </c>
      <c r="P36" s="12">
        <f>IFERROR(O36/$AA36,0)</f>
        <v>0.18494502396391316</v>
      </c>
      <c r="Q36">
        <f>SUMIFS(banco!S:S,banco!$C:$C,$B36,banco!$A:$A,$A36)</f>
        <v>385</v>
      </c>
      <c r="R36" s="12">
        <f>IFERROR(Q36/$AB36,0)</f>
        <v>0.16900790166812993</v>
      </c>
      <c r="S36">
        <f>SUMIFS(banco!U:U,banco!$C:$C,$B36,banco!$A:$A,$A36)</f>
        <v>493</v>
      </c>
      <c r="T36" s="12">
        <f>IFERROR(S36/$AA36,0)</f>
        <v>6.9495348181561889E-2</v>
      </c>
      <c r="U36">
        <f>SUMIFS(banco!W:W,banco!$C:$C,$B36,banco!$A:$A,$A36)</f>
        <v>175</v>
      </c>
      <c r="V36" s="12">
        <f>IFERROR(U36/$AB36,0)</f>
        <v>7.6821773485513611E-2</v>
      </c>
      <c r="W36">
        <f>SUMIFS(banco!Y:Y,banco!$C:$C,$B36,banco!$A:$A,$A36)</f>
        <v>206</v>
      </c>
      <c r="X36" s="12">
        <f>IFERROR(W36/$AA36,0)</f>
        <v>2.9038624189455877E-2</v>
      </c>
      <c r="Y36">
        <f>SUMIFS(banco!AA:AA,banco!$C:$C,$B36,banco!$A:$A,$A36)</f>
        <v>68</v>
      </c>
      <c r="Z36" s="12">
        <f>IFERROR(Y36/$AB36,0)</f>
        <v>2.9850746268656716E-2</v>
      </c>
      <c r="AA36">
        <f>SUMIFS(banco!AC:AC,banco!$C:$C,$B36,banco!$A:$A,$A36)</f>
        <v>7094</v>
      </c>
      <c r="AB36">
        <f>SUMIFS(banco!AD:AD,banco!$C:$C,$B36,banco!$A:$A,$A36)</f>
        <v>2278</v>
      </c>
      <c r="AC36">
        <v>10108</v>
      </c>
    </row>
    <row r="37" spans="1:29" x14ac:dyDescent="0.25">
      <c r="A37" s="20">
        <v>2020</v>
      </c>
      <c r="B37" s="18" t="s">
        <v>148</v>
      </c>
      <c r="C37">
        <f>SUMIFS(banco!E:E,banco!$C:$C,$B37,banco!$A:$A,$A37)</f>
        <v>514</v>
      </c>
      <c r="D37" s="12">
        <f>IFERROR(C37/$AA37,0)</f>
        <v>2.2188646665227713E-2</v>
      </c>
      <c r="E37">
        <f>SUMIFS(banco!G:G,banco!$C:$C,$B37,banco!$A:$A,$A37)</f>
        <v>212</v>
      </c>
      <c r="F37" s="12">
        <f>IFERROR(E37/$AB37,0)</f>
        <v>3.5938294626207831E-2</v>
      </c>
      <c r="G37">
        <f>SUMIFS(banco!I:I,banco!$C:$C,$B37,banco!$A:$A,$A37)</f>
        <v>8023</v>
      </c>
      <c r="H37" s="12">
        <f>IFERROR(G37/$AA37,0)</f>
        <v>0.34634146341463412</v>
      </c>
      <c r="I37">
        <f>SUMIFS(banco!K:K,banco!$C:$C,$B37,banco!$A:$A,$A37)</f>
        <v>2203</v>
      </c>
      <c r="J37" s="12">
        <f>IFERROR(I37/$AB37,0)</f>
        <v>0.37345312764875405</v>
      </c>
      <c r="K37">
        <f>SUMIFS(banco!M:M,banco!$C:$C,$B37,banco!$A:$A,$A37)</f>
        <v>8028</v>
      </c>
      <c r="L37" s="12">
        <f>IFERROR(K37/$AA37,0)</f>
        <v>0.34655730628102743</v>
      </c>
      <c r="M37">
        <f>SUMIFS(banco!O:O,banco!$C:$C,$B37,banco!$A:$A,$A37)</f>
        <v>1932</v>
      </c>
      <c r="N37" s="12">
        <f>IFERROR(M37/$AB37,0)</f>
        <v>0.32751313781996949</v>
      </c>
      <c r="O37">
        <f>SUMIFS(banco!Q:Q,banco!$C:$C,$B37,banco!$A:$A,$A37)</f>
        <v>4337</v>
      </c>
      <c r="P37" s="12">
        <f>IFERROR(O37/$AA37,0)</f>
        <v>0.18722210230951866</v>
      </c>
      <c r="Q37">
        <f>SUMIFS(banco!S:S,banco!$C:$C,$B37,banco!$A:$A,$A37)</f>
        <v>1017</v>
      </c>
      <c r="R37" s="12">
        <f>IFERROR(Q37/$AB37,0)</f>
        <v>0.17240210205119511</v>
      </c>
      <c r="S37">
        <f>SUMIFS(banco!U:U,banco!$C:$C,$B37,banco!$A:$A,$A37)</f>
        <v>1587</v>
      </c>
      <c r="T37" s="12">
        <f>IFERROR(S37/$AA37,0)</f>
        <v>6.850852579322253E-2</v>
      </c>
      <c r="U37">
        <f>SUMIFS(banco!W:W,banco!$C:$C,$B37,banco!$A:$A,$A37)</f>
        <v>375</v>
      </c>
      <c r="V37" s="12">
        <f>IFERROR(U37/$AB37,0)</f>
        <v>6.3570096626546876E-2</v>
      </c>
      <c r="W37">
        <f>SUMIFS(banco!Y:Y,banco!$C:$C,$B37,banco!$A:$A,$A37)</f>
        <v>676</v>
      </c>
      <c r="X37" s="12">
        <f>IFERROR(W37/$AA37,0)</f>
        <v>2.9181955536369524E-2</v>
      </c>
      <c r="Y37">
        <f>SUMIFS(banco!AA:AA,banco!$C:$C,$B37,banco!$A:$A,$A37)</f>
        <v>160</v>
      </c>
      <c r="Z37" s="12">
        <f>IFERROR(Y37/$AB37,0)</f>
        <v>2.7123241227326667E-2</v>
      </c>
      <c r="AA37">
        <f>SUMIFS(banco!AC:AC,banco!$C:$C,$B37,banco!$A:$A,$A37)</f>
        <v>23165</v>
      </c>
      <c r="AB37">
        <f>SUMIFS(banco!AD:AD,banco!$C:$C,$B37,banco!$A:$A,$A37)</f>
        <v>5899</v>
      </c>
      <c r="AC37">
        <v>29712</v>
      </c>
    </row>
    <row r="38" spans="1:29" x14ac:dyDescent="0.25">
      <c r="A38" s="20">
        <v>2020</v>
      </c>
      <c r="B38" s="18" t="s">
        <v>150</v>
      </c>
      <c r="C38">
        <f>SUMIFS(banco!E:E,banco!$C:$C,$B38,banco!$A:$A,$A38)</f>
        <v>201</v>
      </c>
      <c r="D38" s="12">
        <f>IFERROR(C38/$AA38,0)</f>
        <v>2.2619851451721809E-2</v>
      </c>
      <c r="E38">
        <f>SUMIFS(banco!G:G,banco!$C:$C,$B38,banco!$A:$A,$A38)</f>
        <v>91</v>
      </c>
      <c r="F38" s="12">
        <f>IFERROR(E38/$AB38,0)</f>
        <v>3.0252659574468085E-2</v>
      </c>
      <c r="G38">
        <f>SUMIFS(banco!I:I,banco!$C:$C,$B38,banco!$A:$A,$A38)</f>
        <v>3070</v>
      </c>
      <c r="H38" s="12">
        <f>IFERROR(G38/$AA38,0)</f>
        <v>0.34548728336709433</v>
      </c>
      <c r="I38">
        <f>SUMIFS(banco!K:K,banco!$C:$C,$B38,banco!$A:$A,$A38)</f>
        <v>1121</v>
      </c>
      <c r="J38" s="12">
        <f>IFERROR(I38/$AB38,0)</f>
        <v>0.37267287234042551</v>
      </c>
      <c r="K38">
        <f>SUMIFS(banco!M:M,banco!$C:$C,$B38,banco!$A:$A,$A38)</f>
        <v>3069</v>
      </c>
      <c r="L38" s="12">
        <f>IFERROR(K38/$AA38,0)</f>
        <v>0.34537474679270763</v>
      </c>
      <c r="M38">
        <f>SUMIFS(banco!O:O,banco!$C:$C,$B38,banco!$A:$A,$A38)</f>
        <v>972</v>
      </c>
      <c r="N38" s="12">
        <f>IFERROR(M38/$AB38,0)</f>
        <v>0.32313829787234044</v>
      </c>
      <c r="O38">
        <f>SUMIFS(banco!Q:Q,banco!$C:$C,$B38,banco!$A:$A,$A38)</f>
        <v>1631</v>
      </c>
      <c r="P38" s="12">
        <f>IFERROR(O38/$AA38,0)</f>
        <v>0.18354715282466802</v>
      </c>
      <c r="Q38">
        <f>SUMIFS(banco!S:S,banco!$C:$C,$B38,banco!$A:$A,$A38)</f>
        <v>518</v>
      </c>
      <c r="R38" s="12">
        <f>IFERROR(Q38/$AB38,0)</f>
        <v>0.17220744680851063</v>
      </c>
      <c r="S38">
        <f>SUMIFS(banco!U:U,banco!$C:$C,$B38,banco!$A:$A,$A38)</f>
        <v>641</v>
      </c>
      <c r="T38" s="12">
        <f>IFERROR(S38/$AA38,0)</f>
        <v>7.2135944181859105E-2</v>
      </c>
      <c r="U38">
        <f>SUMIFS(banco!W:W,banco!$C:$C,$B38,banco!$A:$A,$A38)</f>
        <v>210</v>
      </c>
      <c r="V38" s="12">
        <f>IFERROR(U38/$AB38,0)</f>
        <v>6.9813829787234036E-2</v>
      </c>
      <c r="W38">
        <f>SUMIFS(banco!Y:Y,banco!$C:$C,$B38,banco!$A:$A,$A38)</f>
        <v>274</v>
      </c>
      <c r="X38" s="12">
        <f>IFERROR(W38/$AA38,0)</f>
        <v>3.0835021381949133E-2</v>
      </c>
      <c r="Y38">
        <f>SUMIFS(banco!AA:AA,banco!$C:$C,$B38,banco!$A:$A,$A38)</f>
        <v>96</v>
      </c>
      <c r="Z38" s="12">
        <f>IFERROR(Y38/$AB38,0)</f>
        <v>3.1914893617021274E-2</v>
      </c>
      <c r="AA38">
        <f>SUMIFS(banco!AC:AC,banco!$C:$C,$B38,banco!$A:$A,$A38)</f>
        <v>8886</v>
      </c>
      <c r="AB38">
        <f>SUMIFS(banco!AD:AD,banco!$C:$C,$B38,banco!$A:$A,$A38)</f>
        <v>3008</v>
      </c>
      <c r="AC38">
        <v>12166</v>
      </c>
    </row>
    <row r="39" spans="1:29" x14ac:dyDescent="0.25">
      <c r="A39" s="20">
        <v>2020</v>
      </c>
      <c r="B39" s="18" t="s">
        <v>146</v>
      </c>
      <c r="C39">
        <f>SUMIFS(banco!E:E,banco!$C:$C,$B39,banco!$A:$A,$A39)</f>
        <v>274</v>
      </c>
      <c r="D39" s="12">
        <f>IFERROR(C39/$AA39,0)</f>
        <v>2.3352936162959175E-2</v>
      </c>
      <c r="E39">
        <f>SUMIFS(banco!G:G,banco!$C:$C,$B39,banco!$A:$A,$A39)</f>
        <v>104</v>
      </c>
      <c r="F39" s="12">
        <f>IFERROR(E39/$AB39,0)</f>
        <v>3.0382705229330995E-2</v>
      </c>
      <c r="G39">
        <f>SUMIFS(banco!I:I,banco!$C:$C,$B39,banco!$A:$A,$A39)</f>
        <v>3762</v>
      </c>
      <c r="H39" s="12">
        <f>IFERROR(G39/$AA39,0)</f>
        <v>0.32063410892354899</v>
      </c>
      <c r="I39">
        <f>SUMIFS(banco!K:K,banco!$C:$C,$B39,banco!$A:$A,$A39)</f>
        <v>1218</v>
      </c>
      <c r="J39" s="12">
        <f>IFERROR(I39/$AB39,0)</f>
        <v>0.35582822085889571</v>
      </c>
      <c r="K39">
        <f>SUMIFS(banco!M:M,banco!$C:$C,$B39,banco!$A:$A,$A39)</f>
        <v>4023</v>
      </c>
      <c r="L39" s="12">
        <f>IFERROR(K39/$AA39,0)</f>
        <v>0.34287905906417798</v>
      </c>
      <c r="M39">
        <f>SUMIFS(banco!O:O,banco!$C:$C,$B39,banco!$A:$A,$A39)</f>
        <v>1117</v>
      </c>
      <c r="N39" s="12">
        <f>IFERROR(M39/$AB39,0)</f>
        <v>0.32632193981887231</v>
      </c>
      <c r="O39">
        <f>SUMIFS(banco!Q:Q,banco!$C:$C,$B39,banco!$A:$A,$A39)</f>
        <v>2358</v>
      </c>
      <c r="P39" s="12">
        <f>IFERROR(O39/$AA39,0)</f>
        <v>0.20097161851188955</v>
      </c>
      <c r="Q39">
        <f>SUMIFS(banco!S:S,banco!$C:$C,$B39,banco!$A:$A,$A39)</f>
        <v>612</v>
      </c>
      <c r="R39" s="12">
        <f>IFERROR(Q39/$AB39,0)</f>
        <v>0.17879053461875546</v>
      </c>
      <c r="S39">
        <f>SUMIFS(banco!U:U,banco!$C:$C,$B39,banco!$A:$A,$A39)</f>
        <v>896</v>
      </c>
      <c r="T39" s="12">
        <f>IFERROR(S39/$AA39,0)</f>
        <v>7.6365805846757007E-2</v>
      </c>
      <c r="U39">
        <f>SUMIFS(banco!W:W,banco!$C:$C,$B39,banco!$A:$A,$A39)</f>
        <v>255</v>
      </c>
      <c r="V39" s="12">
        <f>IFERROR(U39/$AB39,0)</f>
        <v>7.4496056091148122E-2</v>
      </c>
      <c r="W39">
        <f>SUMIFS(banco!Y:Y,banco!$C:$C,$B39,banco!$A:$A,$A39)</f>
        <v>420</v>
      </c>
      <c r="X39" s="12">
        <f>IFERROR(W39/$AA39,0)</f>
        <v>3.579647149066735E-2</v>
      </c>
      <c r="Y39">
        <f>SUMIFS(banco!AA:AA,banco!$C:$C,$B39,banco!$A:$A,$A39)</f>
        <v>117</v>
      </c>
      <c r="Z39" s="12">
        <f>IFERROR(Y39/$AB39,0)</f>
        <v>3.4180543382997371E-2</v>
      </c>
      <c r="AA39">
        <f>SUMIFS(banco!AC:AC,banco!$C:$C,$B39,banco!$A:$A,$A39)</f>
        <v>11733</v>
      </c>
      <c r="AB39">
        <f>SUMIFS(banco!AD:AD,banco!$C:$C,$B39,banco!$A:$A,$A39)</f>
        <v>3423</v>
      </c>
      <c r="AC39">
        <v>13131</v>
      </c>
    </row>
    <row r="40" spans="1:29" x14ac:dyDescent="0.25">
      <c r="A40" s="20">
        <v>2020</v>
      </c>
      <c r="B40" s="18" t="s">
        <v>149</v>
      </c>
      <c r="C40">
        <f>SUMIFS(banco!E:E,banco!$C:$C,$B40,banco!$A:$A,$A40)</f>
        <v>401</v>
      </c>
      <c r="D40" s="12">
        <f>IFERROR(C40/$AA40,0)</f>
        <v>2.2495231684056996E-2</v>
      </c>
      <c r="E40">
        <f>SUMIFS(banco!G:G,banco!$C:$C,$B40,banco!$A:$A,$A40)</f>
        <v>115</v>
      </c>
      <c r="F40" s="12">
        <f>IFERROR(E40/$AB40,0)</f>
        <v>2.5883412108935404E-2</v>
      </c>
      <c r="G40">
        <f>SUMIFS(banco!I:I,banco!$C:$C,$B40,banco!$A:$A,$A40)</f>
        <v>6119</v>
      </c>
      <c r="H40" s="12">
        <f>IFERROR(G40/$AA40,0)</f>
        <v>0.34326265006170764</v>
      </c>
      <c r="I40">
        <f>SUMIFS(banco!K:K,banco!$C:$C,$B40,banco!$A:$A,$A40)</f>
        <v>1639</v>
      </c>
      <c r="J40" s="12">
        <f>IFERROR(I40/$AB40,0)</f>
        <v>0.36889489083952287</v>
      </c>
      <c r="K40">
        <f>SUMIFS(banco!M:M,banco!$C:$C,$B40,banco!$A:$A,$A40)</f>
        <v>6398</v>
      </c>
      <c r="L40" s="12">
        <f>IFERROR(K40/$AA40,0)</f>
        <v>0.35891394592168741</v>
      </c>
      <c r="M40">
        <f>SUMIFS(banco!O:O,banco!$C:$C,$B40,banco!$A:$A,$A40)</f>
        <v>1563</v>
      </c>
      <c r="N40" s="12">
        <f>IFERROR(M40/$AB40,0)</f>
        <v>0.35178933153274816</v>
      </c>
      <c r="O40">
        <f>SUMIFS(banco!Q:Q,banco!$C:$C,$B40,banco!$A:$A,$A40)</f>
        <v>3305</v>
      </c>
      <c r="P40" s="12">
        <f>IFERROR(O40/$AA40,0)</f>
        <v>0.18540334343094356</v>
      </c>
      <c r="Q40">
        <f>SUMIFS(banco!S:S,banco!$C:$C,$B40,banco!$A:$A,$A40)</f>
        <v>760</v>
      </c>
      <c r="R40" s="12">
        <f>IFERROR(Q40/$AB40,0)</f>
        <v>0.17105559306774701</v>
      </c>
      <c r="S40">
        <f>SUMIFS(banco!U:U,banco!$C:$C,$B40,banco!$A:$A,$A40)</f>
        <v>1114</v>
      </c>
      <c r="T40" s="12">
        <f>IFERROR(S40/$AA40,0)</f>
        <v>6.2492987770672054E-2</v>
      </c>
      <c r="U40">
        <f>SUMIFS(banco!W:W,banco!$C:$C,$B40,banco!$A:$A,$A40)</f>
        <v>238</v>
      </c>
      <c r="V40" s="12">
        <f>IFERROR(U40/$AB40,0)</f>
        <v>5.3567409408057619E-2</v>
      </c>
      <c r="W40">
        <f>SUMIFS(banco!Y:Y,banco!$C:$C,$B40,banco!$A:$A,$A40)</f>
        <v>489</v>
      </c>
      <c r="X40" s="12">
        <f>IFERROR(W40/$AA40,0)</f>
        <v>2.7431841130932347E-2</v>
      </c>
      <c r="Y40">
        <f>SUMIFS(banco!AA:AA,banco!$C:$C,$B40,banco!$A:$A,$A40)</f>
        <v>128</v>
      </c>
      <c r="Z40" s="12">
        <f>IFERROR(Y40/$AB40,0)</f>
        <v>2.8809363042988971E-2</v>
      </c>
      <c r="AA40">
        <f>SUMIFS(banco!AC:AC,banco!$C:$C,$B40,banco!$A:$A,$A40)</f>
        <v>17826</v>
      </c>
      <c r="AB40">
        <f>SUMIFS(banco!AD:AD,banco!$C:$C,$B40,banco!$A:$A,$A40)</f>
        <v>4443</v>
      </c>
      <c r="AC40">
        <v>23268</v>
      </c>
    </row>
    <row r="41" spans="1:29" x14ac:dyDescent="0.25">
      <c r="A41" s="20">
        <v>2020</v>
      </c>
      <c r="B41" s="18" t="s">
        <v>147</v>
      </c>
      <c r="C41">
        <f>SUMIFS(banco!E:E,banco!$C:$C,$B41,banco!$A:$A,$A41)</f>
        <v>158</v>
      </c>
      <c r="D41" s="12">
        <f>IFERROR(C41/$AA41,0)</f>
        <v>2.2852183974544402E-2</v>
      </c>
      <c r="E41">
        <f>SUMIFS(banco!G:G,banco!$C:$C,$B41,banco!$A:$A,$A41)</f>
        <v>78</v>
      </c>
      <c r="F41" s="12">
        <f>IFERROR(E41/$AB41,0)</f>
        <v>3.2994923857868022E-2</v>
      </c>
      <c r="G41">
        <f>SUMIFS(banco!I:I,banco!$C:$C,$B41,banco!$A:$A,$A41)</f>
        <v>2560</v>
      </c>
      <c r="H41" s="12">
        <f>IFERROR(G41/$AA41,0)</f>
        <v>0.37026323401793465</v>
      </c>
      <c r="I41">
        <f>SUMIFS(banco!K:K,banco!$C:$C,$B41,banco!$A:$A,$A41)</f>
        <v>878</v>
      </c>
      <c r="J41" s="12">
        <f>IFERROR(I41/$AB41,0)</f>
        <v>0.37140439932318103</v>
      </c>
      <c r="K41">
        <f>SUMIFS(banco!M:M,banco!$C:$C,$B41,banco!$A:$A,$A41)</f>
        <v>2378</v>
      </c>
      <c r="L41" s="12">
        <f>IFERROR(K41/$AA41,0)</f>
        <v>0.34393983222447211</v>
      </c>
      <c r="M41">
        <f>SUMIFS(banco!O:O,banco!$C:$C,$B41,banco!$A:$A,$A41)</f>
        <v>787</v>
      </c>
      <c r="N41" s="12">
        <f>IFERROR(M41/$AB41,0)</f>
        <v>0.33291032148900168</v>
      </c>
      <c r="O41">
        <f>SUMIFS(banco!Q:Q,banco!$C:$C,$B41,banco!$A:$A,$A41)</f>
        <v>1250</v>
      </c>
      <c r="P41" s="12">
        <f>IFERROR(O41/$AA41,0)</f>
        <v>0.18079259473531964</v>
      </c>
      <c r="Q41">
        <f>SUMIFS(banco!S:S,banco!$C:$C,$B41,banco!$A:$A,$A41)</f>
        <v>407</v>
      </c>
      <c r="R41" s="12">
        <f>IFERROR(Q41/$AB41,0)</f>
        <v>0.172165820642978</v>
      </c>
      <c r="S41">
        <f>SUMIFS(banco!U:U,banco!$C:$C,$B41,banco!$A:$A,$A41)</f>
        <v>399</v>
      </c>
      <c r="T41" s="12">
        <f>IFERROR(S41/$AA41,0)</f>
        <v>5.7708996239514032E-2</v>
      </c>
      <c r="U41">
        <f>SUMIFS(banco!W:W,banco!$C:$C,$B41,banco!$A:$A,$A41)</f>
        <v>153</v>
      </c>
      <c r="V41" s="12">
        <f>IFERROR(U41/$AB41,0)</f>
        <v>6.4720812182741116E-2</v>
      </c>
      <c r="W41">
        <f>SUMIFS(banco!Y:Y,banco!$C:$C,$B41,banco!$A:$A,$A41)</f>
        <v>169</v>
      </c>
      <c r="X41" s="12">
        <f>IFERROR(W41/$AA41,0)</f>
        <v>2.4443158808215217E-2</v>
      </c>
      <c r="Y41">
        <f>SUMIFS(banco!AA:AA,banco!$C:$C,$B41,banco!$A:$A,$A41)</f>
        <v>61</v>
      </c>
      <c r="Z41" s="12">
        <f>IFERROR(Y41/$AB41,0)</f>
        <v>2.5803722504230117E-2</v>
      </c>
      <c r="AA41">
        <f>SUMIFS(banco!AC:AC,banco!$C:$C,$B41,banco!$A:$A,$A41)</f>
        <v>6914</v>
      </c>
      <c r="AB41">
        <f>SUMIFS(banco!AD:AD,banco!$C:$C,$B41,banco!$A:$A,$A41)</f>
        <v>2364</v>
      </c>
      <c r="AC41">
        <v>7239</v>
      </c>
    </row>
    <row r="42" spans="1:29" x14ac:dyDescent="0.25">
      <c r="A42" s="20">
        <v>2019</v>
      </c>
      <c r="B42" s="18" t="s">
        <v>151</v>
      </c>
      <c r="C42">
        <f>SUMIFS(banco!E:E,banco!$C:$C,$B42,banco!$A:$A,$A42)</f>
        <v>351</v>
      </c>
      <c r="D42" s="12">
        <f>IFERROR(C42/$AA42,0)</f>
        <v>2.6795938621268799E-2</v>
      </c>
      <c r="E42">
        <f>SUMIFS(banco!G:G,banco!$C:$C,$B42,banco!$A:$A,$A42)</f>
        <v>219</v>
      </c>
      <c r="F42" s="12">
        <f>IFERROR(E42/$AB42,0)</f>
        <v>3.5158131321239364E-2</v>
      </c>
      <c r="G42">
        <f>SUMIFS(banco!I:I,banco!$C:$C,$B42,banco!$A:$A,$A42)</f>
        <v>4616</v>
      </c>
      <c r="H42" s="12">
        <f>IFERROR(G42/$AA42,0)</f>
        <v>0.35239331246660049</v>
      </c>
      <c r="I42">
        <f>SUMIFS(banco!K:K,banco!$C:$C,$B42,banco!$A:$A,$A42)</f>
        <v>2258</v>
      </c>
      <c r="J42" s="12">
        <f>IFERROR(I42/$AB42,0)</f>
        <v>0.36249799325734466</v>
      </c>
      <c r="K42">
        <f>SUMIFS(banco!M:M,banco!$C:$C,$B42,banco!$A:$A,$A42)</f>
        <v>4473</v>
      </c>
      <c r="L42" s="12">
        <f>IFERROR(K42/$AA42,0)</f>
        <v>0.34147644858386134</v>
      </c>
      <c r="M42">
        <f>SUMIFS(banco!O:O,banco!$C:$C,$B42,banco!$A:$A,$A42)</f>
        <v>2005</v>
      </c>
      <c r="N42" s="12">
        <f>IFERROR(M42/$AB42,0)</f>
        <v>0.32188152191362979</v>
      </c>
      <c r="O42">
        <f>SUMIFS(banco!Q:Q,banco!$C:$C,$B42,banco!$A:$A,$A42)</f>
        <v>2374</v>
      </c>
      <c r="P42" s="12">
        <f>IFERROR(O42/$AA42,0)</f>
        <v>0.18123520879456448</v>
      </c>
      <c r="Q42">
        <f>SUMIFS(banco!S:S,banco!$C:$C,$B42,banco!$A:$A,$A42)</f>
        <v>1121</v>
      </c>
      <c r="R42" s="12">
        <f>IFERROR(Q42/$AB42,0)</f>
        <v>0.17996468132926632</v>
      </c>
      <c r="S42">
        <f>SUMIFS(banco!U:U,banco!$C:$C,$B42,banco!$A:$A,$A42)</f>
        <v>865</v>
      </c>
      <c r="T42" s="12">
        <f>IFERROR(S42/$AA42,0)</f>
        <v>6.6035575234750746E-2</v>
      </c>
      <c r="U42">
        <f>SUMIFS(banco!W:W,banco!$C:$C,$B42,banco!$A:$A,$A42)</f>
        <v>399</v>
      </c>
      <c r="V42" s="12">
        <f>IFERROR(U42/$AB42,0)</f>
        <v>6.4055225557874462E-2</v>
      </c>
      <c r="W42">
        <f>SUMIFS(banco!Y:Y,banco!$C:$C,$B42,banco!$A:$A,$A42)</f>
        <v>420</v>
      </c>
      <c r="X42" s="12">
        <f>IFERROR(W42/$AA42,0)</f>
        <v>3.2063516298954119E-2</v>
      </c>
      <c r="Y42">
        <f>SUMIFS(banco!AA:AA,banco!$C:$C,$B42,banco!$A:$A,$A42)</f>
        <v>227</v>
      </c>
      <c r="Z42" s="12">
        <f>IFERROR(Y42/$AB42,0)</f>
        <v>3.6442446620645372E-2</v>
      </c>
      <c r="AA42">
        <f>SUMIFS(banco!AC:AC,banco!$C:$C,$B42,banco!$A:$A,$A42)</f>
        <v>13099</v>
      </c>
      <c r="AB42">
        <f>SUMIFS(banco!AD:AD,banco!$C:$C,$B42,banco!$A:$A,$A42)</f>
        <v>6229</v>
      </c>
      <c r="AC42">
        <v>9714</v>
      </c>
    </row>
    <row r="43" spans="1:29" x14ac:dyDescent="0.25">
      <c r="A43" s="20">
        <v>2019</v>
      </c>
      <c r="B43" s="18" t="s">
        <v>145</v>
      </c>
      <c r="C43">
        <f>SUMIFS(banco!E:E,banco!$C:$C,$B43,banco!$A:$A,$A43)</f>
        <v>978</v>
      </c>
      <c r="D43" s="12">
        <f>IFERROR(C43/$AA43,0)</f>
        <v>3.0040545521562847E-2</v>
      </c>
      <c r="E43">
        <f>SUMIFS(banco!G:G,banco!$C:$C,$B43,banco!$A:$A,$A43)</f>
        <v>496</v>
      </c>
      <c r="F43" s="12">
        <f>IFERROR(E43/$AB43,0)</f>
        <v>4.0259740259740259E-2</v>
      </c>
      <c r="G43">
        <f>SUMIFS(banco!I:I,banco!$C:$C,$B43,banco!$A:$A,$A43)</f>
        <v>12414</v>
      </c>
      <c r="H43" s="12">
        <f>IFERROR(G43/$AA43,0)</f>
        <v>0.38131220051603393</v>
      </c>
      <c r="I43">
        <f>SUMIFS(banco!K:K,banco!$C:$C,$B43,banco!$A:$A,$A43)</f>
        <v>4974</v>
      </c>
      <c r="J43" s="12">
        <f>IFERROR(I43/$AB43,0)</f>
        <v>0.40373376623376622</v>
      </c>
      <c r="K43">
        <f>SUMIFS(banco!M:M,banco!$C:$C,$B43,banco!$A:$A,$A43)</f>
        <v>11517</v>
      </c>
      <c r="L43" s="12">
        <f>IFERROR(K43/$AA43,0)</f>
        <v>0.3537596756358275</v>
      </c>
      <c r="M43">
        <f>SUMIFS(banco!O:O,banco!$C:$C,$B43,banco!$A:$A,$A43)</f>
        <v>4163</v>
      </c>
      <c r="N43" s="12">
        <f>IFERROR(M43/$AB43,0)</f>
        <v>0.33790584415584418</v>
      </c>
      <c r="O43">
        <f>SUMIFS(banco!Q:Q,banco!$C:$C,$B43,banco!$A:$A,$A43)</f>
        <v>5304</v>
      </c>
      <c r="P43" s="12">
        <f>IFERROR(O43/$AA43,0)</f>
        <v>0.16291927755252489</v>
      </c>
      <c r="Q43">
        <f>SUMIFS(banco!S:S,banco!$C:$C,$B43,banco!$A:$A,$A43)</f>
        <v>1830</v>
      </c>
      <c r="R43" s="12">
        <f>IFERROR(Q43/$AB43,0)</f>
        <v>0.14853896103896103</v>
      </c>
      <c r="S43">
        <f>SUMIFS(banco!U:U,banco!$C:$C,$B43,banco!$A:$A,$A43)</f>
        <v>1702</v>
      </c>
      <c r="T43" s="12">
        <f>IFERROR(S43/$AA43,0)</f>
        <v>5.2279149772699346E-2</v>
      </c>
      <c r="U43">
        <f>SUMIFS(banco!W:W,banco!$C:$C,$B43,banco!$A:$A,$A43)</f>
        <v>609</v>
      </c>
      <c r="V43" s="12">
        <f>IFERROR(U43/$AB43,0)</f>
        <v>4.9431818181818181E-2</v>
      </c>
      <c r="W43">
        <f>SUMIFS(banco!Y:Y,banco!$C:$C,$B43,banco!$A:$A,$A43)</f>
        <v>641</v>
      </c>
      <c r="X43" s="12">
        <f>IFERROR(W43/$AA43,0)</f>
        <v>1.9689151001351518E-2</v>
      </c>
      <c r="Y43">
        <f>SUMIFS(banco!AA:AA,banco!$C:$C,$B43,banco!$A:$A,$A43)</f>
        <v>248</v>
      </c>
      <c r="Z43" s="12">
        <f>IFERROR(Y43/$AB43,0)</f>
        <v>2.012987012987013E-2</v>
      </c>
      <c r="AA43">
        <f>SUMIFS(banco!AC:AC,banco!$C:$C,$B43,banco!$A:$A,$A43)</f>
        <v>32556</v>
      </c>
      <c r="AB43">
        <f>SUMIFS(banco!AD:AD,banco!$C:$C,$B43,banco!$A:$A,$A43)</f>
        <v>12320</v>
      </c>
      <c r="AC43">
        <v>17804</v>
      </c>
    </row>
    <row r="44" spans="1:29" x14ac:dyDescent="0.25">
      <c r="A44" s="20">
        <v>2019</v>
      </c>
      <c r="B44" s="18" t="s">
        <v>144</v>
      </c>
      <c r="C44">
        <f>SUMIFS(banco!E:E,banco!$C:$C,$B44,banco!$A:$A,$A44)</f>
        <v>281</v>
      </c>
      <c r="D44" s="12">
        <f>IFERROR(C44/$AA44,0)</f>
        <v>2.3391326063431282E-2</v>
      </c>
      <c r="E44">
        <f>SUMIFS(banco!G:G,banco!$C:$C,$B44,banco!$A:$A,$A44)</f>
        <v>128</v>
      </c>
      <c r="F44" s="12">
        <f>IFERROR(E44/$AB44,0)</f>
        <v>3.1295843520782393E-2</v>
      </c>
      <c r="G44">
        <f>SUMIFS(banco!I:I,banco!$C:$C,$B44,banco!$A:$A,$A44)</f>
        <v>4294</v>
      </c>
      <c r="H44" s="12">
        <f>IFERROR(G44/$AA44,0)</f>
        <v>0.35744610005827021</v>
      </c>
      <c r="I44">
        <f>SUMIFS(banco!K:K,banco!$C:$C,$B44,banco!$A:$A,$A44)</f>
        <v>1601</v>
      </c>
      <c r="J44" s="12">
        <f>IFERROR(I44/$AB44,0)</f>
        <v>0.39144254278728607</v>
      </c>
      <c r="K44">
        <f>SUMIFS(banco!M:M,banco!$C:$C,$B44,banco!$A:$A,$A44)</f>
        <v>4203</v>
      </c>
      <c r="L44" s="12">
        <f>IFERROR(K44/$AA44,0)</f>
        <v>0.34987097311246151</v>
      </c>
      <c r="M44">
        <f>SUMIFS(banco!O:O,banco!$C:$C,$B44,banco!$A:$A,$A44)</f>
        <v>1333</v>
      </c>
      <c r="N44" s="12">
        <f>IFERROR(M44/$AB44,0)</f>
        <v>0.32591687041564793</v>
      </c>
      <c r="O44">
        <f>SUMIFS(banco!Q:Q,banco!$C:$C,$B44,banco!$A:$A,$A44)</f>
        <v>2126</v>
      </c>
      <c r="P44" s="12">
        <f>IFERROR(O44/$AA44,0)</f>
        <v>0.17697494381087156</v>
      </c>
      <c r="Q44">
        <f>SUMIFS(banco!S:S,banco!$C:$C,$B44,banco!$A:$A,$A44)</f>
        <v>651</v>
      </c>
      <c r="R44" s="12">
        <f>IFERROR(Q44/$AB44,0)</f>
        <v>0.15916870415647921</v>
      </c>
      <c r="S44">
        <f>SUMIFS(banco!U:U,banco!$C:$C,$B44,banco!$A:$A,$A44)</f>
        <v>779</v>
      </c>
      <c r="T44" s="12">
        <f>IFERROR(S44/$AA44,0)</f>
        <v>6.4846416382252553E-2</v>
      </c>
      <c r="U44">
        <f>SUMIFS(banco!W:W,banco!$C:$C,$B44,banco!$A:$A,$A44)</f>
        <v>261</v>
      </c>
      <c r="V44" s="12">
        <f>IFERROR(U44/$AB44,0)</f>
        <v>6.3814180929095354E-2</v>
      </c>
      <c r="W44">
        <f>SUMIFS(banco!Y:Y,banco!$C:$C,$B44,banco!$A:$A,$A44)</f>
        <v>330</v>
      </c>
      <c r="X44" s="12">
        <f>IFERROR(W44/$AA44,0)</f>
        <v>2.7470240572712894E-2</v>
      </c>
      <c r="Y44">
        <f>SUMIFS(banco!AA:AA,banco!$C:$C,$B44,banco!$A:$A,$A44)</f>
        <v>116</v>
      </c>
      <c r="Z44" s="12">
        <f>IFERROR(Y44/$AB44,0)</f>
        <v>2.8361858190709046E-2</v>
      </c>
      <c r="AA44">
        <f>SUMIFS(banco!AC:AC,banco!$C:$C,$B44,banco!$A:$A,$A44)</f>
        <v>12013</v>
      </c>
      <c r="AB44">
        <f>SUMIFS(banco!AD:AD,banco!$C:$C,$B44,banco!$A:$A,$A44)</f>
        <v>4090</v>
      </c>
      <c r="AC44">
        <v>9990</v>
      </c>
    </row>
    <row r="45" spans="1:29" x14ac:dyDescent="0.25">
      <c r="A45" s="20">
        <v>2019</v>
      </c>
      <c r="B45" s="18" t="s">
        <v>148</v>
      </c>
      <c r="C45">
        <f>SUMIFS(banco!E:E,banco!$C:$C,$B45,banco!$A:$A,$A45)</f>
        <v>1020</v>
      </c>
      <c r="D45" s="12">
        <f>IFERROR(C45/$AA45,0)</f>
        <v>2.4112335114178998E-2</v>
      </c>
      <c r="E45">
        <f>SUMIFS(banco!G:G,banco!$C:$C,$B45,banco!$A:$A,$A45)</f>
        <v>278</v>
      </c>
      <c r="F45" s="12">
        <f>IFERROR(E45/$AB45,0)</f>
        <v>3.2825599244302749E-2</v>
      </c>
      <c r="G45">
        <f>SUMIFS(banco!I:I,banco!$C:$C,$B45,banco!$A:$A,$A45)</f>
        <v>15485</v>
      </c>
      <c r="H45" s="12">
        <f>IFERROR(G45/$AA45,0)</f>
        <v>0.36605834239515861</v>
      </c>
      <c r="I45">
        <f>SUMIFS(banco!K:K,banco!$C:$C,$B45,banco!$A:$A,$A45)</f>
        <v>3342</v>
      </c>
      <c r="J45" s="12">
        <f>IFERROR(I45/$AB45,0)</f>
        <v>0.39461565710237334</v>
      </c>
      <c r="K45">
        <f>SUMIFS(banco!M:M,banco!$C:$C,$B45,banco!$A:$A,$A45)</f>
        <v>14870</v>
      </c>
      <c r="L45" s="12">
        <f>IFERROR(K45/$AA45,0)</f>
        <v>0.35152002269396249</v>
      </c>
      <c r="M45">
        <f>SUMIFS(banco!O:O,banco!$C:$C,$B45,banco!$A:$A,$A45)</f>
        <v>2759</v>
      </c>
      <c r="N45" s="12">
        <f>IFERROR(M45/$AB45,0)</f>
        <v>0.32577636084543632</v>
      </c>
      <c r="O45">
        <f>SUMIFS(banco!Q:Q,banco!$C:$C,$B45,banco!$A:$A,$A45)</f>
        <v>7426</v>
      </c>
      <c r="P45" s="12">
        <f>IFERROR(O45/$AA45,0)</f>
        <v>0.17554725544891495</v>
      </c>
      <c r="Q45">
        <f>SUMIFS(banco!S:S,banco!$C:$C,$B45,banco!$A:$A,$A45)</f>
        <v>1423</v>
      </c>
      <c r="R45" s="12">
        <f>IFERROR(Q45/$AB45,0)</f>
        <v>0.16802456016058567</v>
      </c>
      <c r="S45">
        <f>SUMIFS(banco!U:U,banco!$C:$C,$B45,banco!$A:$A,$A45)</f>
        <v>2420</v>
      </c>
      <c r="T45" s="12">
        <f>IFERROR(S45/$AA45,0)</f>
        <v>5.7207697035601156E-2</v>
      </c>
      <c r="U45">
        <f>SUMIFS(banco!W:W,banco!$C:$C,$B45,banco!$A:$A,$A45)</f>
        <v>471</v>
      </c>
      <c r="V45" s="12">
        <f>IFERROR(U45/$AB45,0)</f>
        <v>5.5614594403117251E-2</v>
      </c>
      <c r="W45">
        <f>SUMIFS(banco!Y:Y,banco!$C:$C,$B45,banco!$A:$A,$A45)</f>
        <v>1081</v>
      </c>
      <c r="X45" s="12">
        <f>IFERROR(W45/$AA45,0)</f>
        <v>2.5554347312183822E-2</v>
      </c>
      <c r="Y45">
        <f>SUMIFS(banco!AA:AA,banco!$C:$C,$B45,banco!$A:$A,$A45)</f>
        <v>196</v>
      </c>
      <c r="Z45" s="12">
        <f>IFERROR(Y45/$AB45,0)</f>
        <v>2.3143228244184674E-2</v>
      </c>
      <c r="AA45">
        <f>SUMIFS(banco!AC:AC,banco!$C:$C,$B45,banco!$A:$A,$A45)</f>
        <v>42302</v>
      </c>
      <c r="AB45">
        <f>SUMIFS(banco!AD:AD,banco!$C:$C,$B45,banco!$A:$A,$A45)</f>
        <v>8469</v>
      </c>
      <c r="AC45">
        <v>29374</v>
      </c>
    </row>
    <row r="46" spans="1:29" x14ac:dyDescent="0.25">
      <c r="A46" s="20">
        <v>2019</v>
      </c>
      <c r="B46" s="18" t="s">
        <v>150</v>
      </c>
      <c r="C46">
        <f>SUMIFS(banco!E:E,banco!$C:$C,$B46,banco!$A:$A,$A46)</f>
        <v>585</v>
      </c>
      <c r="D46" s="12">
        <f>IFERROR(C46/$AA46,0)</f>
        <v>2.6806580213536178E-2</v>
      </c>
      <c r="E46">
        <f>SUMIFS(banco!G:G,banco!$C:$C,$B46,banco!$A:$A,$A46)</f>
        <v>205</v>
      </c>
      <c r="F46" s="12">
        <f>IFERROR(E46/$AB46,0)</f>
        <v>3.2151819322459224E-2</v>
      </c>
      <c r="G46">
        <f>SUMIFS(banco!I:I,banco!$C:$C,$B46,banco!$A:$A,$A46)</f>
        <v>7918</v>
      </c>
      <c r="H46" s="12">
        <f>IFERROR(G46/$AA46,0)</f>
        <v>0.36282820877056315</v>
      </c>
      <c r="I46">
        <f>SUMIFS(banco!K:K,banco!$C:$C,$B46,banco!$A:$A,$A46)</f>
        <v>2495</v>
      </c>
      <c r="J46" s="12">
        <f>IFERROR(I46/$AB46,0)</f>
        <v>0.39131116687578421</v>
      </c>
      <c r="K46">
        <f>SUMIFS(banco!M:M,banco!$C:$C,$B46,banco!$A:$A,$A46)</f>
        <v>7500</v>
      </c>
      <c r="L46" s="12">
        <f>IFERROR(K46/$AA46,0)</f>
        <v>0.34367410530174586</v>
      </c>
      <c r="M46">
        <f>SUMIFS(banco!O:O,banco!$C:$C,$B46,banco!$A:$A,$A46)</f>
        <v>2077</v>
      </c>
      <c r="N46" s="12">
        <f>IFERROR(M46/$AB46,0)</f>
        <v>0.32575282308657466</v>
      </c>
      <c r="O46">
        <f>SUMIFS(banco!Q:Q,banco!$C:$C,$B46,banco!$A:$A,$A46)</f>
        <v>3825</v>
      </c>
      <c r="P46" s="12">
        <f>IFERROR(O46/$AA46,0)</f>
        <v>0.1752737937038904</v>
      </c>
      <c r="Q46">
        <f>SUMIFS(banco!S:S,banco!$C:$C,$B46,banco!$A:$A,$A46)</f>
        <v>1013</v>
      </c>
      <c r="R46" s="12">
        <f>IFERROR(Q46/$AB46,0)</f>
        <v>0.15887703889585947</v>
      </c>
      <c r="S46">
        <f>SUMIFS(banco!U:U,banco!$C:$C,$B46,banco!$A:$A,$A46)</f>
        <v>1398</v>
      </c>
      <c r="T46" s="12">
        <f>IFERROR(S46/$AA46,0)</f>
        <v>6.4060853228245423E-2</v>
      </c>
      <c r="U46">
        <f>SUMIFS(banco!W:W,banco!$C:$C,$B46,banco!$A:$A,$A46)</f>
        <v>403</v>
      </c>
      <c r="V46" s="12">
        <f>IFERROR(U46/$AB46,0)</f>
        <v>6.3205771643663741E-2</v>
      </c>
      <c r="W46">
        <f>SUMIFS(banco!Y:Y,banco!$C:$C,$B46,banco!$A:$A,$A46)</f>
        <v>597</v>
      </c>
      <c r="X46" s="12">
        <f>IFERROR(W46/$AA46,0)</f>
        <v>2.7356458782018971E-2</v>
      </c>
      <c r="Y46">
        <f>SUMIFS(banco!AA:AA,banco!$C:$C,$B46,banco!$A:$A,$A46)</f>
        <v>183</v>
      </c>
      <c r="Z46" s="12">
        <f>IFERROR(Y46/$AB46,0)</f>
        <v>2.8701380175658719E-2</v>
      </c>
      <c r="AA46">
        <f>SUMIFS(banco!AC:AC,banco!$C:$C,$B46,banco!$A:$A,$A46)</f>
        <v>21823</v>
      </c>
      <c r="AB46">
        <f>SUMIFS(banco!AD:AD,banco!$C:$C,$B46,banco!$A:$A,$A46)</f>
        <v>6376</v>
      </c>
      <c r="AC46">
        <v>12150</v>
      </c>
    </row>
    <row r="47" spans="1:29" x14ac:dyDescent="0.25">
      <c r="A47" s="20">
        <v>2019</v>
      </c>
      <c r="B47" s="18" t="s">
        <v>146</v>
      </c>
      <c r="C47">
        <f>SUMIFS(banco!E:E,banco!$C:$C,$B47,banco!$A:$A,$A47)</f>
        <v>417</v>
      </c>
      <c r="D47" s="12">
        <f>IFERROR(C47/$AA47,0)</f>
        <v>2.2902021089630933E-2</v>
      </c>
      <c r="E47">
        <f>SUMIFS(banco!G:G,banco!$C:$C,$B47,banco!$A:$A,$A47)</f>
        <v>222</v>
      </c>
      <c r="F47" s="12">
        <f>IFERROR(E47/$AB47,0)</f>
        <v>3.2460886094458255E-2</v>
      </c>
      <c r="G47">
        <f>SUMIFS(banco!I:I,banco!$C:$C,$B47,banco!$A:$A,$A47)</f>
        <v>6695</v>
      </c>
      <c r="H47" s="12">
        <f>IFERROR(G47/$AA47,0)</f>
        <v>0.36769551845342707</v>
      </c>
      <c r="I47">
        <f>SUMIFS(banco!K:K,banco!$C:$C,$B47,banco!$A:$A,$A47)</f>
        <v>2926</v>
      </c>
      <c r="J47" s="12">
        <f>IFERROR(I47/$AB47,0)</f>
        <v>0.42784032753326512</v>
      </c>
      <c r="K47">
        <f>SUMIFS(banco!M:M,banco!$C:$C,$B47,banco!$A:$A,$A47)</f>
        <v>6167</v>
      </c>
      <c r="L47" s="12">
        <f>IFERROR(K47/$AA47,0)</f>
        <v>0.33869727592267135</v>
      </c>
      <c r="M47">
        <f>SUMIFS(banco!O:O,banco!$C:$C,$B47,banco!$A:$A,$A47)</f>
        <v>2163</v>
      </c>
      <c r="N47" s="12">
        <f>IFERROR(M47/$AB47,0)</f>
        <v>0.31627430910951893</v>
      </c>
      <c r="O47">
        <f>SUMIFS(banco!Q:Q,banco!$C:$C,$B47,banco!$A:$A,$A47)</f>
        <v>3244</v>
      </c>
      <c r="P47" s="12">
        <f>IFERROR(O47/$AA47,0)</f>
        <v>0.17816344463971881</v>
      </c>
      <c r="Q47">
        <f>SUMIFS(banco!S:S,banco!$C:$C,$B47,banco!$A:$A,$A47)</f>
        <v>963</v>
      </c>
      <c r="R47" s="12">
        <f>IFERROR(Q47/$AB47,0)</f>
        <v>0.14081005995028512</v>
      </c>
      <c r="S47">
        <f>SUMIFS(banco!U:U,banco!$C:$C,$B47,banco!$A:$A,$A47)</f>
        <v>1160</v>
      </c>
      <c r="T47" s="12">
        <f>IFERROR(S47/$AA47,0)</f>
        <v>6.3708260105448153E-2</v>
      </c>
      <c r="U47">
        <f>SUMIFS(banco!W:W,banco!$C:$C,$B47,banco!$A:$A,$A47)</f>
        <v>383</v>
      </c>
      <c r="V47" s="12">
        <f>IFERROR(U47/$AB47,0)</f>
        <v>5.600233952332212E-2</v>
      </c>
      <c r="W47">
        <f>SUMIFS(banco!Y:Y,banco!$C:$C,$B47,banco!$A:$A,$A47)</f>
        <v>525</v>
      </c>
      <c r="X47" s="12">
        <f>IFERROR(W47/$AA47,0)</f>
        <v>2.8833479789103691E-2</v>
      </c>
      <c r="Y47">
        <f>SUMIFS(banco!AA:AA,banco!$C:$C,$B47,banco!$A:$A,$A47)</f>
        <v>182</v>
      </c>
      <c r="Z47" s="12">
        <f>IFERROR(Y47/$AB47,0)</f>
        <v>2.6612077789150462E-2</v>
      </c>
      <c r="AA47">
        <f>SUMIFS(banco!AC:AC,banco!$C:$C,$B47,banco!$A:$A,$A47)</f>
        <v>18208</v>
      </c>
      <c r="AB47">
        <f>SUMIFS(banco!AD:AD,banco!$C:$C,$B47,banco!$A:$A,$A47)</f>
        <v>6839</v>
      </c>
      <c r="AC47">
        <v>13054</v>
      </c>
    </row>
    <row r="48" spans="1:29" x14ac:dyDescent="0.25">
      <c r="A48" s="20">
        <v>2019</v>
      </c>
      <c r="B48" s="18" t="s">
        <v>149</v>
      </c>
      <c r="C48">
        <f>SUMIFS(banco!E:E,banco!$C:$C,$B48,banco!$A:$A,$A48)</f>
        <v>853</v>
      </c>
      <c r="D48" s="12">
        <f>IFERROR(C48/$AA48,0)</f>
        <v>2.7780491776583618E-2</v>
      </c>
      <c r="E48">
        <f>SUMIFS(banco!G:G,banco!$C:$C,$B48,banco!$A:$A,$A48)</f>
        <v>373</v>
      </c>
      <c r="F48" s="12">
        <f>IFERROR(E48/$AB48,0)</f>
        <v>3.1921266581086863E-2</v>
      </c>
      <c r="G48">
        <f>SUMIFS(banco!I:I,banco!$C:$C,$B48,banco!$A:$A,$A48)</f>
        <v>10941</v>
      </c>
      <c r="H48" s="12">
        <f>IFERROR(G48/$AA48,0)</f>
        <v>0.35632633121641427</v>
      </c>
      <c r="I48">
        <f>SUMIFS(banco!K:K,banco!$C:$C,$B48,banco!$A:$A,$A48)</f>
        <v>4375</v>
      </c>
      <c r="J48" s="12">
        <f>IFERROR(I48/$AB48,0)</f>
        <v>0.37441163885323064</v>
      </c>
      <c r="K48">
        <f>SUMIFS(banco!M:M,banco!$C:$C,$B48,banco!$A:$A,$A48)</f>
        <v>11052</v>
      </c>
      <c r="L48" s="12">
        <f>IFERROR(K48/$AA48,0)</f>
        <v>0.35994137762579387</v>
      </c>
      <c r="M48">
        <f>SUMIFS(banco!O:O,banco!$C:$C,$B48,banco!$A:$A,$A48)</f>
        <v>4284</v>
      </c>
      <c r="N48" s="12">
        <f>IFERROR(M48/$AB48,0)</f>
        <v>0.36662387676508346</v>
      </c>
      <c r="O48">
        <f>SUMIFS(banco!Q:Q,banco!$C:$C,$B48,banco!$A:$A,$A48)</f>
        <v>5404</v>
      </c>
      <c r="P48" s="12">
        <f>IFERROR(O48/$AA48,0)</f>
        <v>0.17599739456114638</v>
      </c>
      <c r="Q48">
        <f>SUMIFS(banco!S:S,banco!$C:$C,$B48,banco!$A:$A,$A48)</f>
        <v>1905</v>
      </c>
      <c r="R48" s="12">
        <f>IFERROR(Q48/$AB48,0)</f>
        <v>0.16302952503209242</v>
      </c>
      <c r="S48">
        <f>SUMIFS(banco!U:U,banco!$C:$C,$B48,banco!$A:$A,$A48)</f>
        <v>1737</v>
      </c>
      <c r="T48" s="12">
        <f>IFERROR(S48/$AA48,0)</f>
        <v>5.6570591108939909E-2</v>
      </c>
      <c r="U48">
        <f>SUMIFS(banco!W:W,banco!$C:$C,$B48,banco!$A:$A,$A48)</f>
        <v>523</v>
      </c>
      <c r="V48" s="12">
        <f>IFERROR(U48/$AB48,0)</f>
        <v>4.4758237056054771E-2</v>
      </c>
      <c r="W48">
        <f>SUMIFS(banco!Y:Y,banco!$C:$C,$B48,banco!$A:$A,$A48)</f>
        <v>718</v>
      </c>
      <c r="X48" s="12">
        <f>IFERROR(W48/$AA48,0)</f>
        <v>2.3383813711121967E-2</v>
      </c>
      <c r="Y48">
        <f>SUMIFS(banco!AA:AA,banco!$C:$C,$B48,banco!$A:$A,$A48)</f>
        <v>225</v>
      </c>
      <c r="Z48" s="12">
        <f>IFERROR(Y48/$AB48,0)</f>
        <v>1.9255455712451863E-2</v>
      </c>
      <c r="AA48">
        <f>SUMIFS(banco!AC:AC,banco!$C:$C,$B48,banco!$A:$A,$A48)</f>
        <v>30705</v>
      </c>
      <c r="AB48">
        <f>SUMIFS(banco!AD:AD,banco!$C:$C,$B48,banco!$A:$A,$A48)</f>
        <v>11685</v>
      </c>
      <c r="AC48">
        <v>23147</v>
      </c>
    </row>
    <row r="49" spans="1:29" x14ac:dyDescent="0.25">
      <c r="A49" s="20">
        <v>2019</v>
      </c>
      <c r="B49" s="18" t="s">
        <v>147</v>
      </c>
      <c r="C49">
        <f>SUMIFS(banco!E:E,banco!$C:$C,$B49,banco!$A:$A,$A49)</f>
        <v>414</v>
      </c>
      <c r="D49" s="12">
        <f>IFERROR(C49/$AA49,0)</f>
        <v>3.059188649966748E-2</v>
      </c>
      <c r="E49">
        <f>SUMIFS(banco!G:G,banco!$C:$C,$B49,banco!$A:$A,$A49)</f>
        <v>244</v>
      </c>
      <c r="F49" s="12">
        <f>IFERROR(E49/$AB49,0)</f>
        <v>3.9133921411387329E-2</v>
      </c>
      <c r="G49">
        <f>SUMIFS(banco!I:I,banco!$C:$C,$B49,banco!$A:$A,$A49)</f>
        <v>5251</v>
      </c>
      <c r="H49" s="12">
        <f>IFERROR(G49/$AA49,0)</f>
        <v>0.38801448311534764</v>
      </c>
      <c r="I49">
        <f>SUMIFS(banco!K:K,banco!$C:$C,$B49,banco!$A:$A,$A49)</f>
        <v>2562</v>
      </c>
      <c r="J49" s="12">
        <f>IFERROR(I49/$AB49,0)</f>
        <v>0.41090617481956698</v>
      </c>
      <c r="K49">
        <f>SUMIFS(banco!M:M,banco!$C:$C,$B49,banco!$A:$A,$A49)</f>
        <v>4649</v>
      </c>
      <c r="L49" s="12">
        <f>IFERROR(K49/$AA49,0)</f>
        <v>0.3435306288332225</v>
      </c>
      <c r="M49">
        <f>SUMIFS(banco!O:O,banco!$C:$C,$B49,banco!$A:$A,$A49)</f>
        <v>2009</v>
      </c>
      <c r="N49" s="12">
        <f>IFERROR(M49/$AB49,0)</f>
        <v>0.32221331194867681</v>
      </c>
      <c r="O49">
        <f>SUMIFS(banco!Q:Q,banco!$C:$C,$B49,banco!$A:$A,$A49)</f>
        <v>2241</v>
      </c>
      <c r="P49" s="12">
        <f>IFERROR(O49/$AA49,0)</f>
        <v>0.1655952117047218</v>
      </c>
      <c r="Q49">
        <f>SUMIFS(banco!S:S,banco!$C:$C,$B49,banco!$A:$A,$A49)</f>
        <v>956</v>
      </c>
      <c r="R49" s="12">
        <f>IFERROR(Q49/$AB49,0)</f>
        <v>0.15332798716920609</v>
      </c>
      <c r="S49">
        <f>SUMIFS(banco!U:U,banco!$C:$C,$B49,banco!$A:$A,$A49)</f>
        <v>682</v>
      </c>
      <c r="T49" s="12">
        <f>IFERROR(S49/$AA49,0)</f>
        <v>5.0395329934234831E-2</v>
      </c>
      <c r="U49">
        <f>SUMIFS(banco!W:W,banco!$C:$C,$B49,banco!$A:$A,$A49)</f>
        <v>311</v>
      </c>
      <c r="V49" s="12">
        <f>IFERROR(U49/$AB49,0)</f>
        <v>4.9879711307137128E-2</v>
      </c>
      <c r="W49">
        <f>SUMIFS(banco!Y:Y,banco!$C:$C,$B49,banco!$A:$A,$A49)</f>
        <v>296</v>
      </c>
      <c r="X49" s="12">
        <f>IFERROR(W49/$AA49,0)</f>
        <v>2.1872459912805734E-2</v>
      </c>
      <c r="Y49">
        <f>SUMIFS(banco!AA:AA,banco!$C:$C,$B49,banco!$A:$A,$A49)</f>
        <v>153</v>
      </c>
      <c r="Z49" s="12">
        <f>IFERROR(Y49/$AB49,0)</f>
        <v>2.4538893344025661E-2</v>
      </c>
      <c r="AA49">
        <f>SUMIFS(banco!AC:AC,banco!$C:$C,$B49,banco!$A:$A,$A49)</f>
        <v>13533</v>
      </c>
      <c r="AB49">
        <f>SUMIFS(banco!AD:AD,banco!$C:$C,$B49,banco!$A:$A,$A49)</f>
        <v>6235</v>
      </c>
      <c r="AC49">
        <v>7349</v>
      </c>
    </row>
    <row r="50" spans="1:29" x14ac:dyDescent="0.25">
      <c r="A50" s="20">
        <v>2018</v>
      </c>
      <c r="B50" s="18" t="s">
        <v>151</v>
      </c>
      <c r="C50">
        <f>SUMIFS(banco!E:E,banco!$C:$C,$B50,banco!$A:$A,$A50)</f>
        <v>0</v>
      </c>
      <c r="D50" s="12">
        <f>IFERROR(C50/$AA50,0)</f>
        <v>0</v>
      </c>
      <c r="E50">
        <f>SUMIFS(banco!G:G,banco!$C:$C,$B50,banco!$A:$A,$A50)</f>
        <v>0</v>
      </c>
      <c r="F50" s="12">
        <f>IFERROR(E50/$AB50,0)</f>
        <v>0</v>
      </c>
      <c r="G50">
        <f>SUMIFS(banco!I:I,banco!$C:$C,$B50,banco!$A:$A,$A50)</f>
        <v>0</v>
      </c>
      <c r="H50" s="12">
        <f>IFERROR(G50/$AA50,0)</f>
        <v>0</v>
      </c>
      <c r="I50">
        <f>SUMIFS(banco!K:K,banco!$C:$C,$B50,banco!$A:$A,$A50)</f>
        <v>0</v>
      </c>
      <c r="J50" s="12">
        <f>IFERROR(I50/$AB50,0)</f>
        <v>0</v>
      </c>
      <c r="K50">
        <f>SUMIFS(banco!M:M,banco!$C:$C,$B50,banco!$A:$A,$A50)</f>
        <v>0</v>
      </c>
      <c r="L50" s="12">
        <f>IFERROR(K50/$AA50,0)</f>
        <v>0</v>
      </c>
      <c r="M50">
        <f>SUMIFS(banco!O:O,banco!$C:$C,$B50,banco!$A:$A,$A50)</f>
        <v>0</v>
      </c>
      <c r="N50" s="12">
        <f>IFERROR(M50/$AB50,0)</f>
        <v>0</v>
      </c>
      <c r="O50">
        <f>SUMIFS(banco!Q:Q,banco!$C:$C,$B50,banco!$A:$A,$A50)</f>
        <v>0</v>
      </c>
      <c r="P50" s="12">
        <f>IFERROR(O50/$AA50,0)</f>
        <v>0</v>
      </c>
      <c r="Q50">
        <f>SUMIFS(banco!S:S,banco!$C:$C,$B50,banco!$A:$A,$A50)</f>
        <v>0</v>
      </c>
      <c r="R50" s="12">
        <f>IFERROR(Q50/$AB50,0)</f>
        <v>0</v>
      </c>
      <c r="S50">
        <f>SUMIFS(banco!U:U,banco!$C:$C,$B50,banco!$A:$A,$A50)</f>
        <v>0</v>
      </c>
      <c r="T50" s="12">
        <f>IFERROR(S50/$AA50,0)</f>
        <v>0</v>
      </c>
      <c r="U50">
        <f>SUMIFS(banco!W:W,banco!$C:$C,$B50,banco!$A:$A,$A50)</f>
        <v>0</v>
      </c>
      <c r="V50" s="12">
        <f>IFERROR(U50/$AB50,0)</f>
        <v>0</v>
      </c>
      <c r="W50">
        <f>SUMIFS(banco!Y:Y,banco!$C:$C,$B50,banco!$A:$A,$A50)</f>
        <v>0</v>
      </c>
      <c r="X50" s="12">
        <f>IFERROR(W50/$AA50,0)</f>
        <v>0</v>
      </c>
      <c r="Y50">
        <f>SUMIFS(banco!AA:AA,banco!$C:$C,$B50,banco!$A:$A,$A50)</f>
        <v>0</v>
      </c>
      <c r="Z50" s="12">
        <f>IFERROR(Y50/$AB50,0)</f>
        <v>0</v>
      </c>
      <c r="AA50">
        <f>SUMIFS(banco!AC:AC,banco!$C:$C,$B50,banco!$A:$A,$A50)</f>
        <v>0</v>
      </c>
      <c r="AB50">
        <f>SUMIFS(banco!AD:AD,banco!$C:$C,$B50,banco!$A:$A,$A50)</f>
        <v>0</v>
      </c>
      <c r="AC50">
        <v>9727</v>
      </c>
    </row>
    <row r="51" spans="1:29" x14ac:dyDescent="0.25">
      <c r="A51" s="20">
        <v>2018</v>
      </c>
      <c r="B51" s="18" t="s">
        <v>145</v>
      </c>
      <c r="C51">
        <f>SUMIFS(banco!E:E,banco!$C:$C,$B51,banco!$A:$A,$A51)</f>
        <v>0</v>
      </c>
      <c r="D51" s="12">
        <f>IFERROR(C51/$AA51,0)</f>
        <v>0</v>
      </c>
      <c r="E51">
        <f>SUMIFS(banco!G:G,banco!$C:$C,$B51,banco!$A:$A,$A51)</f>
        <v>0</v>
      </c>
      <c r="F51" s="12">
        <f>IFERROR(E51/$AB51,0)</f>
        <v>0</v>
      </c>
      <c r="G51">
        <f>SUMIFS(banco!I:I,banco!$C:$C,$B51,banco!$A:$A,$A51)</f>
        <v>0</v>
      </c>
      <c r="H51" s="12">
        <f>IFERROR(G51/$AA51,0)</f>
        <v>0</v>
      </c>
      <c r="I51">
        <f>SUMIFS(banco!K:K,banco!$C:$C,$B51,banco!$A:$A,$A51)</f>
        <v>0</v>
      </c>
      <c r="J51" s="12">
        <f>IFERROR(I51/$AB51,0)</f>
        <v>0</v>
      </c>
      <c r="K51">
        <f>SUMIFS(banco!M:M,banco!$C:$C,$B51,banco!$A:$A,$A51)</f>
        <v>0</v>
      </c>
      <c r="L51" s="12">
        <f>IFERROR(K51/$AA51,0)</f>
        <v>0</v>
      </c>
      <c r="M51">
        <f>SUMIFS(banco!O:O,banco!$C:$C,$B51,banco!$A:$A,$A51)</f>
        <v>0</v>
      </c>
      <c r="N51" s="12">
        <f>IFERROR(M51/$AB51,0)</f>
        <v>0</v>
      </c>
      <c r="O51">
        <f>SUMIFS(banco!Q:Q,banco!$C:$C,$B51,banco!$A:$A,$A51)</f>
        <v>0</v>
      </c>
      <c r="P51" s="12">
        <f>IFERROR(O51/$AA51,0)</f>
        <v>0</v>
      </c>
      <c r="Q51">
        <f>SUMIFS(banco!S:S,banco!$C:$C,$B51,banco!$A:$A,$A51)</f>
        <v>0</v>
      </c>
      <c r="R51" s="12">
        <f>IFERROR(Q51/$AB51,0)</f>
        <v>0</v>
      </c>
      <c r="S51">
        <f>SUMIFS(banco!U:U,banco!$C:$C,$B51,banco!$A:$A,$A51)</f>
        <v>0</v>
      </c>
      <c r="T51" s="12">
        <f>IFERROR(S51/$AA51,0)</f>
        <v>0</v>
      </c>
      <c r="U51">
        <f>SUMIFS(banco!W:W,banco!$C:$C,$B51,banco!$A:$A,$A51)</f>
        <v>0</v>
      </c>
      <c r="V51" s="12">
        <f>IFERROR(U51/$AB51,0)</f>
        <v>0</v>
      </c>
      <c r="W51">
        <f>SUMIFS(banco!Y:Y,banco!$C:$C,$B51,banco!$A:$A,$A51)</f>
        <v>0</v>
      </c>
      <c r="X51" s="12">
        <f>IFERROR(W51/$AA51,0)</f>
        <v>0</v>
      </c>
      <c r="Y51">
        <f>SUMIFS(banco!AA:AA,banco!$C:$C,$B51,banco!$A:$A,$A51)</f>
        <v>0</v>
      </c>
      <c r="Z51" s="12">
        <f>IFERROR(Y51/$AB51,0)</f>
        <v>0</v>
      </c>
      <c r="AA51">
        <f>SUMIFS(banco!AC:AC,banco!$C:$C,$B51,banco!$A:$A,$A51)</f>
        <v>0</v>
      </c>
      <c r="AB51">
        <f>SUMIFS(banco!AD:AD,banco!$C:$C,$B51,banco!$A:$A,$A51)</f>
        <v>0</v>
      </c>
      <c r="AC51">
        <v>18079</v>
      </c>
    </row>
    <row r="52" spans="1:29" x14ac:dyDescent="0.25">
      <c r="A52" s="20">
        <v>2018</v>
      </c>
      <c r="B52" s="18" t="s">
        <v>144</v>
      </c>
      <c r="C52">
        <f>SUMIFS(banco!E:E,banco!$C:$C,$B52,banco!$A:$A,$A52)</f>
        <v>0</v>
      </c>
      <c r="D52" s="12">
        <f>IFERROR(C52/$AA52,0)</f>
        <v>0</v>
      </c>
      <c r="E52">
        <f>SUMIFS(banco!G:G,banco!$C:$C,$B52,banco!$A:$A,$A52)</f>
        <v>0</v>
      </c>
      <c r="F52" s="12">
        <f>IFERROR(E52/$AB52,0)</f>
        <v>0</v>
      </c>
      <c r="G52">
        <f>SUMIFS(banco!I:I,banco!$C:$C,$B52,banco!$A:$A,$A52)</f>
        <v>0</v>
      </c>
      <c r="H52" s="12">
        <f>IFERROR(G52/$AA52,0)</f>
        <v>0</v>
      </c>
      <c r="I52">
        <f>SUMIFS(banco!K:K,banco!$C:$C,$B52,banco!$A:$A,$A52)</f>
        <v>0</v>
      </c>
      <c r="J52" s="12">
        <f>IFERROR(I52/$AB52,0)</f>
        <v>0</v>
      </c>
      <c r="K52">
        <f>SUMIFS(banco!M:M,banco!$C:$C,$B52,banco!$A:$A,$A52)</f>
        <v>0</v>
      </c>
      <c r="L52" s="12">
        <f>IFERROR(K52/$AA52,0)</f>
        <v>0</v>
      </c>
      <c r="M52">
        <f>SUMIFS(banco!O:O,banco!$C:$C,$B52,banco!$A:$A,$A52)</f>
        <v>0</v>
      </c>
      <c r="N52" s="12">
        <f>IFERROR(M52/$AB52,0)</f>
        <v>0</v>
      </c>
      <c r="O52">
        <f>SUMIFS(banco!Q:Q,banco!$C:$C,$B52,banco!$A:$A,$A52)</f>
        <v>0</v>
      </c>
      <c r="P52" s="12">
        <f>IFERROR(O52/$AA52,0)</f>
        <v>0</v>
      </c>
      <c r="Q52">
        <f>SUMIFS(banco!S:S,banco!$C:$C,$B52,banco!$A:$A,$A52)</f>
        <v>0</v>
      </c>
      <c r="R52" s="12">
        <f>IFERROR(Q52/$AB52,0)</f>
        <v>0</v>
      </c>
      <c r="S52">
        <f>SUMIFS(banco!U:U,banco!$C:$C,$B52,banco!$A:$A,$A52)</f>
        <v>0</v>
      </c>
      <c r="T52" s="12">
        <f>IFERROR(S52/$AA52,0)</f>
        <v>0</v>
      </c>
      <c r="U52">
        <f>SUMIFS(banco!W:W,banco!$C:$C,$B52,banco!$A:$A,$A52)</f>
        <v>0</v>
      </c>
      <c r="V52" s="12">
        <f>IFERROR(U52/$AB52,0)</f>
        <v>0</v>
      </c>
      <c r="W52">
        <f>SUMIFS(banco!Y:Y,banco!$C:$C,$B52,banco!$A:$A,$A52)</f>
        <v>0</v>
      </c>
      <c r="X52" s="12">
        <f>IFERROR(W52/$AA52,0)</f>
        <v>0</v>
      </c>
      <c r="Y52">
        <f>SUMIFS(banco!AA:AA,banco!$C:$C,$B52,banco!$A:$A,$A52)</f>
        <v>0</v>
      </c>
      <c r="Z52" s="12">
        <f>IFERROR(Y52/$AB52,0)</f>
        <v>0</v>
      </c>
      <c r="AA52">
        <f>SUMIFS(banco!AC:AC,banco!$C:$C,$B52,banco!$A:$A,$A52)</f>
        <v>0</v>
      </c>
      <c r="AB52">
        <f>SUMIFS(banco!AD:AD,banco!$C:$C,$B52,banco!$A:$A,$A52)</f>
        <v>0</v>
      </c>
      <c r="AC52">
        <v>9974</v>
      </c>
    </row>
    <row r="53" spans="1:29" x14ac:dyDescent="0.25">
      <c r="A53" s="20">
        <v>2018</v>
      </c>
      <c r="B53" s="18" t="s">
        <v>148</v>
      </c>
      <c r="C53">
        <f>SUMIFS(banco!E:E,banco!$C:$C,$B53,banco!$A:$A,$A53)</f>
        <v>0</v>
      </c>
      <c r="D53" s="12">
        <f>IFERROR(C53/$AA53,0)</f>
        <v>0</v>
      </c>
      <c r="E53">
        <f>SUMIFS(banco!G:G,banco!$C:$C,$B53,banco!$A:$A,$A53)</f>
        <v>0</v>
      </c>
      <c r="F53" s="12">
        <f>IFERROR(E53/$AB53,0)</f>
        <v>0</v>
      </c>
      <c r="G53">
        <f>SUMIFS(banco!I:I,banco!$C:$C,$B53,banco!$A:$A,$A53)</f>
        <v>0</v>
      </c>
      <c r="H53" s="12">
        <f>IFERROR(G53/$AA53,0)</f>
        <v>0</v>
      </c>
      <c r="I53">
        <f>SUMIFS(banco!K:K,banco!$C:$C,$B53,banco!$A:$A,$A53)</f>
        <v>0</v>
      </c>
      <c r="J53" s="12">
        <f>IFERROR(I53/$AB53,0)</f>
        <v>0</v>
      </c>
      <c r="K53">
        <f>SUMIFS(banco!M:M,banco!$C:$C,$B53,banco!$A:$A,$A53)</f>
        <v>0</v>
      </c>
      <c r="L53" s="12">
        <f>IFERROR(K53/$AA53,0)</f>
        <v>0</v>
      </c>
      <c r="M53">
        <f>SUMIFS(banco!O:O,banco!$C:$C,$B53,banco!$A:$A,$A53)</f>
        <v>0</v>
      </c>
      <c r="N53" s="12">
        <f>IFERROR(M53/$AB53,0)</f>
        <v>0</v>
      </c>
      <c r="O53">
        <f>SUMIFS(banco!Q:Q,banco!$C:$C,$B53,banco!$A:$A,$A53)</f>
        <v>0</v>
      </c>
      <c r="P53" s="12">
        <f>IFERROR(O53/$AA53,0)</f>
        <v>0</v>
      </c>
      <c r="Q53">
        <f>SUMIFS(banco!S:S,banco!$C:$C,$B53,banco!$A:$A,$A53)</f>
        <v>0</v>
      </c>
      <c r="R53" s="12">
        <f>IFERROR(Q53/$AB53,0)</f>
        <v>0</v>
      </c>
      <c r="S53">
        <f>SUMIFS(banco!U:U,banco!$C:$C,$B53,banco!$A:$A,$A53)</f>
        <v>0</v>
      </c>
      <c r="T53" s="12">
        <f>IFERROR(S53/$AA53,0)</f>
        <v>0</v>
      </c>
      <c r="U53">
        <f>SUMIFS(banco!W:W,banco!$C:$C,$B53,banco!$A:$A,$A53)</f>
        <v>0</v>
      </c>
      <c r="V53" s="12">
        <f>IFERROR(U53/$AB53,0)</f>
        <v>0</v>
      </c>
      <c r="W53">
        <f>SUMIFS(banco!Y:Y,banco!$C:$C,$B53,banco!$A:$A,$A53)</f>
        <v>0</v>
      </c>
      <c r="X53" s="12">
        <f>IFERROR(W53/$AA53,0)</f>
        <v>0</v>
      </c>
      <c r="Y53">
        <f>SUMIFS(banco!AA:AA,banco!$C:$C,$B53,banco!$A:$A,$A53)</f>
        <v>0</v>
      </c>
      <c r="Z53" s="12">
        <f>IFERROR(Y53/$AB53,0)</f>
        <v>0</v>
      </c>
      <c r="AA53">
        <f>SUMIFS(banco!AC:AC,banco!$C:$C,$B53,banco!$A:$A,$A53)</f>
        <v>0</v>
      </c>
      <c r="AB53">
        <f>SUMIFS(banco!AD:AD,banco!$C:$C,$B53,banco!$A:$A,$A53)</f>
        <v>0</v>
      </c>
      <c r="AC53">
        <v>29309</v>
      </c>
    </row>
    <row r="54" spans="1:29" x14ac:dyDescent="0.25">
      <c r="A54" s="20">
        <v>2018</v>
      </c>
      <c r="B54" s="18" t="s">
        <v>150</v>
      </c>
      <c r="C54">
        <f>SUMIFS(banco!E:E,banco!$C:$C,$B54,banco!$A:$A,$A54)</f>
        <v>0</v>
      </c>
      <c r="D54" s="12">
        <f>IFERROR(C54/$AA54,0)</f>
        <v>0</v>
      </c>
      <c r="E54">
        <f>SUMIFS(banco!G:G,banco!$C:$C,$B54,banco!$A:$A,$A54)</f>
        <v>0</v>
      </c>
      <c r="F54" s="12">
        <f>IFERROR(E54/$AB54,0)</f>
        <v>0</v>
      </c>
      <c r="G54">
        <f>SUMIFS(banco!I:I,banco!$C:$C,$B54,banco!$A:$A,$A54)</f>
        <v>0</v>
      </c>
      <c r="H54" s="12">
        <f>IFERROR(G54/$AA54,0)</f>
        <v>0</v>
      </c>
      <c r="I54">
        <f>SUMIFS(banco!K:K,banco!$C:$C,$B54,banco!$A:$A,$A54)</f>
        <v>0</v>
      </c>
      <c r="J54" s="12">
        <f>IFERROR(I54/$AB54,0)</f>
        <v>0</v>
      </c>
      <c r="K54">
        <f>SUMIFS(banco!M:M,banco!$C:$C,$B54,banco!$A:$A,$A54)</f>
        <v>0</v>
      </c>
      <c r="L54" s="12">
        <f>IFERROR(K54/$AA54,0)</f>
        <v>0</v>
      </c>
      <c r="M54">
        <f>SUMIFS(banco!O:O,banco!$C:$C,$B54,banco!$A:$A,$A54)</f>
        <v>0</v>
      </c>
      <c r="N54" s="12">
        <f>IFERROR(M54/$AB54,0)</f>
        <v>0</v>
      </c>
      <c r="O54">
        <f>SUMIFS(banco!Q:Q,banco!$C:$C,$B54,banco!$A:$A,$A54)</f>
        <v>0</v>
      </c>
      <c r="P54" s="12">
        <f>IFERROR(O54/$AA54,0)</f>
        <v>0</v>
      </c>
      <c r="Q54">
        <f>SUMIFS(banco!S:S,banco!$C:$C,$B54,banco!$A:$A,$A54)</f>
        <v>0</v>
      </c>
      <c r="R54" s="12">
        <f>IFERROR(Q54/$AB54,0)</f>
        <v>0</v>
      </c>
      <c r="S54">
        <f>SUMIFS(banco!U:U,banco!$C:$C,$B54,banco!$A:$A,$A54)</f>
        <v>0</v>
      </c>
      <c r="T54" s="12">
        <f>IFERROR(S54/$AA54,0)</f>
        <v>0</v>
      </c>
      <c r="U54">
        <f>SUMIFS(banco!W:W,banco!$C:$C,$B54,banco!$A:$A,$A54)</f>
        <v>0</v>
      </c>
      <c r="V54" s="12">
        <f>IFERROR(U54/$AB54,0)</f>
        <v>0</v>
      </c>
      <c r="W54">
        <f>SUMIFS(banco!Y:Y,banco!$C:$C,$B54,banco!$A:$A,$A54)</f>
        <v>0</v>
      </c>
      <c r="X54" s="12">
        <f>IFERROR(W54/$AA54,0)</f>
        <v>0</v>
      </c>
      <c r="Y54">
        <f>SUMIFS(banco!AA:AA,banco!$C:$C,$B54,banco!$A:$A,$A54)</f>
        <v>0</v>
      </c>
      <c r="Z54" s="12">
        <f>IFERROR(Y54/$AB54,0)</f>
        <v>0</v>
      </c>
      <c r="AA54">
        <f>SUMIFS(banco!AC:AC,banco!$C:$C,$B54,banco!$A:$A,$A54)</f>
        <v>0</v>
      </c>
      <c r="AB54">
        <f>SUMIFS(banco!AD:AD,banco!$C:$C,$B54,banco!$A:$A,$A54)</f>
        <v>0</v>
      </c>
      <c r="AC54">
        <v>12246</v>
      </c>
    </row>
    <row r="55" spans="1:29" x14ac:dyDescent="0.25">
      <c r="A55" s="20">
        <v>2018</v>
      </c>
      <c r="B55" s="18" t="s">
        <v>146</v>
      </c>
      <c r="C55">
        <f>SUMIFS(banco!E:E,banco!$C:$C,$B55,banco!$A:$A,$A55)</f>
        <v>0</v>
      </c>
      <c r="D55" s="12">
        <f>IFERROR(C55/$AA55,0)</f>
        <v>0</v>
      </c>
      <c r="E55">
        <f>SUMIFS(banco!G:G,banco!$C:$C,$B55,banco!$A:$A,$A55)</f>
        <v>0</v>
      </c>
      <c r="F55" s="12">
        <f>IFERROR(E55/$AB55,0)</f>
        <v>0</v>
      </c>
      <c r="G55">
        <f>SUMIFS(banco!I:I,banco!$C:$C,$B55,banco!$A:$A,$A55)</f>
        <v>0</v>
      </c>
      <c r="H55" s="12">
        <f>IFERROR(G55/$AA55,0)</f>
        <v>0</v>
      </c>
      <c r="I55">
        <f>SUMIFS(banco!K:K,banco!$C:$C,$B55,banco!$A:$A,$A55)</f>
        <v>0</v>
      </c>
      <c r="J55" s="12">
        <f>IFERROR(I55/$AB55,0)</f>
        <v>0</v>
      </c>
      <c r="K55">
        <f>SUMIFS(banco!M:M,banco!$C:$C,$B55,banco!$A:$A,$A55)</f>
        <v>0</v>
      </c>
      <c r="L55" s="12">
        <f>IFERROR(K55/$AA55,0)</f>
        <v>0</v>
      </c>
      <c r="M55">
        <f>SUMIFS(banco!O:O,banco!$C:$C,$B55,banco!$A:$A,$A55)</f>
        <v>0</v>
      </c>
      <c r="N55" s="12">
        <f>IFERROR(M55/$AB55,0)</f>
        <v>0</v>
      </c>
      <c r="O55">
        <f>SUMIFS(banco!Q:Q,banco!$C:$C,$B55,banco!$A:$A,$A55)</f>
        <v>0</v>
      </c>
      <c r="P55" s="12">
        <f>IFERROR(O55/$AA55,0)</f>
        <v>0</v>
      </c>
      <c r="Q55">
        <f>SUMIFS(banco!S:S,banco!$C:$C,$B55,banco!$A:$A,$A55)</f>
        <v>0</v>
      </c>
      <c r="R55" s="12">
        <f>IFERROR(Q55/$AB55,0)</f>
        <v>0</v>
      </c>
      <c r="S55">
        <f>SUMIFS(banco!U:U,banco!$C:$C,$B55,banco!$A:$A,$A55)</f>
        <v>0</v>
      </c>
      <c r="T55" s="12">
        <f>IFERROR(S55/$AA55,0)</f>
        <v>0</v>
      </c>
      <c r="U55">
        <f>SUMIFS(banco!W:W,banco!$C:$C,$B55,banco!$A:$A,$A55)</f>
        <v>0</v>
      </c>
      <c r="V55" s="12">
        <f>IFERROR(U55/$AB55,0)</f>
        <v>0</v>
      </c>
      <c r="W55">
        <f>SUMIFS(banco!Y:Y,banco!$C:$C,$B55,banco!$A:$A,$A55)</f>
        <v>0</v>
      </c>
      <c r="X55" s="12">
        <f>IFERROR(W55/$AA55,0)</f>
        <v>0</v>
      </c>
      <c r="Y55">
        <f>SUMIFS(banco!AA:AA,banco!$C:$C,$B55,banco!$A:$A,$A55)</f>
        <v>0</v>
      </c>
      <c r="Z55" s="12">
        <f>IFERROR(Y55/$AB55,0)</f>
        <v>0</v>
      </c>
      <c r="AA55">
        <f>SUMIFS(banco!AC:AC,banco!$C:$C,$B55,banco!$A:$A,$A55)</f>
        <v>0</v>
      </c>
      <c r="AB55">
        <f>SUMIFS(banco!AD:AD,banco!$C:$C,$B55,banco!$A:$A,$A55)</f>
        <v>0</v>
      </c>
      <c r="AC55">
        <v>13122</v>
      </c>
    </row>
    <row r="56" spans="1:29" x14ac:dyDescent="0.25">
      <c r="A56" s="20">
        <v>2018</v>
      </c>
      <c r="B56" s="18" t="s">
        <v>149</v>
      </c>
      <c r="C56">
        <f>SUMIFS(banco!E:E,banco!$C:$C,$B56,banco!$A:$A,$A56)</f>
        <v>0</v>
      </c>
      <c r="D56" s="12">
        <f>IFERROR(C56/$AA56,0)</f>
        <v>0</v>
      </c>
      <c r="E56">
        <f>SUMIFS(banco!G:G,banco!$C:$C,$B56,banco!$A:$A,$A56)</f>
        <v>0</v>
      </c>
      <c r="F56" s="12">
        <f>IFERROR(E56/$AB56,0)</f>
        <v>0</v>
      </c>
      <c r="G56">
        <f>SUMIFS(banco!I:I,banco!$C:$C,$B56,banco!$A:$A,$A56)</f>
        <v>0</v>
      </c>
      <c r="H56" s="12">
        <f>IFERROR(G56/$AA56,0)</f>
        <v>0</v>
      </c>
      <c r="I56">
        <f>SUMIFS(banco!K:K,banco!$C:$C,$B56,banco!$A:$A,$A56)</f>
        <v>0</v>
      </c>
      <c r="J56" s="12">
        <f>IFERROR(I56/$AB56,0)</f>
        <v>0</v>
      </c>
      <c r="K56">
        <f>SUMIFS(banco!M:M,banco!$C:$C,$B56,banco!$A:$A,$A56)</f>
        <v>0</v>
      </c>
      <c r="L56" s="12">
        <f>IFERROR(K56/$AA56,0)</f>
        <v>0</v>
      </c>
      <c r="M56">
        <f>SUMIFS(banco!O:O,banco!$C:$C,$B56,banco!$A:$A,$A56)</f>
        <v>0</v>
      </c>
      <c r="N56" s="12">
        <f>IFERROR(M56/$AB56,0)</f>
        <v>0</v>
      </c>
      <c r="O56">
        <f>SUMIFS(banco!Q:Q,banco!$C:$C,$B56,banco!$A:$A,$A56)</f>
        <v>0</v>
      </c>
      <c r="P56" s="12">
        <f>IFERROR(O56/$AA56,0)</f>
        <v>0</v>
      </c>
      <c r="Q56">
        <f>SUMIFS(banco!S:S,banco!$C:$C,$B56,banco!$A:$A,$A56)</f>
        <v>0</v>
      </c>
      <c r="R56" s="12">
        <f>IFERROR(Q56/$AB56,0)</f>
        <v>0</v>
      </c>
      <c r="S56">
        <f>SUMIFS(banco!U:U,banco!$C:$C,$B56,banco!$A:$A,$A56)</f>
        <v>0</v>
      </c>
      <c r="T56" s="12">
        <f>IFERROR(S56/$AA56,0)</f>
        <v>0</v>
      </c>
      <c r="U56">
        <f>SUMIFS(banco!W:W,banco!$C:$C,$B56,banco!$A:$A,$A56)</f>
        <v>0</v>
      </c>
      <c r="V56" s="12">
        <f>IFERROR(U56/$AB56,0)</f>
        <v>0</v>
      </c>
      <c r="W56">
        <f>SUMIFS(banco!Y:Y,banco!$C:$C,$B56,banco!$A:$A,$A56)</f>
        <v>0</v>
      </c>
      <c r="X56" s="12">
        <f>IFERROR(W56/$AA56,0)</f>
        <v>0</v>
      </c>
      <c r="Y56">
        <f>SUMIFS(banco!AA:AA,banco!$C:$C,$B56,banco!$A:$A,$A56)</f>
        <v>0</v>
      </c>
      <c r="Z56" s="12">
        <f>IFERROR(Y56/$AB56,0)</f>
        <v>0</v>
      </c>
      <c r="AA56">
        <f>SUMIFS(banco!AC:AC,banco!$C:$C,$B56,banco!$A:$A,$A56)</f>
        <v>0</v>
      </c>
      <c r="AB56">
        <f>SUMIFS(banco!AD:AD,banco!$C:$C,$B56,banco!$A:$A,$A56)</f>
        <v>0</v>
      </c>
      <c r="AC56">
        <v>23222</v>
      </c>
    </row>
    <row r="57" spans="1:29" x14ac:dyDescent="0.25">
      <c r="A57" s="20">
        <v>2018</v>
      </c>
      <c r="B57" s="18" t="s">
        <v>147</v>
      </c>
      <c r="C57">
        <f>SUMIFS(banco!E:E,banco!$C:$C,$B57,banco!$A:$A,$A57)</f>
        <v>0</v>
      </c>
      <c r="D57" s="12">
        <f>IFERROR(C57/$AA57,0)</f>
        <v>0</v>
      </c>
      <c r="E57">
        <f>SUMIFS(banco!G:G,banco!$C:$C,$B57,banco!$A:$A,$A57)</f>
        <v>0</v>
      </c>
      <c r="F57" s="12">
        <f>IFERROR(E57/$AB57,0)</f>
        <v>0</v>
      </c>
      <c r="G57">
        <f>SUMIFS(banco!I:I,banco!$C:$C,$B57,banco!$A:$A,$A57)</f>
        <v>0</v>
      </c>
      <c r="H57" s="12">
        <f>IFERROR(G57/$AA57,0)</f>
        <v>0</v>
      </c>
      <c r="I57">
        <f>SUMIFS(banco!K:K,banco!$C:$C,$B57,banco!$A:$A,$A57)</f>
        <v>0</v>
      </c>
      <c r="J57" s="12">
        <f>IFERROR(I57/$AB57,0)</f>
        <v>0</v>
      </c>
      <c r="K57">
        <f>SUMIFS(banco!M:M,banco!$C:$C,$B57,banco!$A:$A,$A57)</f>
        <v>0</v>
      </c>
      <c r="L57" s="12">
        <f>IFERROR(K57/$AA57,0)</f>
        <v>0</v>
      </c>
      <c r="M57">
        <f>SUMIFS(banco!O:O,banco!$C:$C,$B57,banco!$A:$A,$A57)</f>
        <v>0</v>
      </c>
      <c r="N57" s="12">
        <f>IFERROR(M57/$AB57,0)</f>
        <v>0</v>
      </c>
      <c r="O57">
        <f>SUMIFS(banco!Q:Q,banco!$C:$C,$B57,banco!$A:$A,$A57)</f>
        <v>0</v>
      </c>
      <c r="P57" s="12">
        <f>IFERROR(O57/$AA57,0)</f>
        <v>0</v>
      </c>
      <c r="Q57">
        <f>SUMIFS(banco!S:S,banco!$C:$C,$B57,banco!$A:$A,$A57)</f>
        <v>0</v>
      </c>
      <c r="R57" s="12">
        <f>IFERROR(Q57/$AB57,0)</f>
        <v>0</v>
      </c>
      <c r="S57">
        <f>SUMIFS(banco!U:U,banco!$C:$C,$B57,banco!$A:$A,$A57)</f>
        <v>0</v>
      </c>
      <c r="T57" s="12">
        <f>IFERROR(S57/$AA57,0)</f>
        <v>0</v>
      </c>
      <c r="U57">
        <f>SUMIFS(banco!W:W,banco!$C:$C,$B57,banco!$A:$A,$A57)</f>
        <v>0</v>
      </c>
      <c r="V57" s="12">
        <f>IFERROR(U57/$AB57,0)</f>
        <v>0</v>
      </c>
      <c r="W57">
        <f>SUMIFS(banco!Y:Y,banco!$C:$C,$B57,banco!$A:$A,$A57)</f>
        <v>0</v>
      </c>
      <c r="X57" s="12">
        <f>IFERROR(W57/$AA57,0)</f>
        <v>0</v>
      </c>
      <c r="Y57">
        <f>SUMIFS(banco!AA:AA,banco!$C:$C,$B57,banco!$A:$A,$A57)</f>
        <v>0</v>
      </c>
      <c r="Z57" s="12">
        <f>IFERROR(Y57/$AB57,0)</f>
        <v>0</v>
      </c>
      <c r="AA57">
        <f>SUMIFS(banco!AC:AC,banco!$C:$C,$B57,banco!$A:$A,$A57)</f>
        <v>0</v>
      </c>
      <c r="AB57">
        <f>SUMIFS(banco!AD:AD,banco!$C:$C,$B57,banco!$A:$A,$A57)</f>
        <v>0</v>
      </c>
      <c r="AC57">
        <v>7525</v>
      </c>
    </row>
    <row r="58" spans="1:29" x14ac:dyDescent="0.25">
      <c r="A58" s="20">
        <v>2017</v>
      </c>
      <c r="B58" s="18" t="s">
        <v>151</v>
      </c>
      <c r="C58">
        <f>SUMIFS(banco!E:E,banco!$C:$C,$B58,banco!$A:$A,$A58)</f>
        <v>0</v>
      </c>
      <c r="D58" s="12">
        <f>IFERROR(C58/$AA58,0)</f>
        <v>0</v>
      </c>
      <c r="E58">
        <f>SUMIFS(banco!G:G,banco!$C:$C,$B58,banco!$A:$A,$A58)</f>
        <v>0</v>
      </c>
      <c r="F58" s="12">
        <f>IFERROR(E58/$AB58,0)</f>
        <v>0</v>
      </c>
      <c r="G58">
        <f>SUMIFS(banco!I:I,banco!$C:$C,$B58,banco!$A:$A,$A58)</f>
        <v>0</v>
      </c>
      <c r="H58" s="12">
        <f>IFERROR(G58/$AA58,0)</f>
        <v>0</v>
      </c>
      <c r="I58">
        <f>SUMIFS(banco!K:K,banco!$C:$C,$B58,banco!$A:$A,$A58)</f>
        <v>0</v>
      </c>
      <c r="J58" s="12">
        <f>IFERROR(I58/$AB58,0)</f>
        <v>0</v>
      </c>
      <c r="K58">
        <f>SUMIFS(banco!M:M,banco!$C:$C,$B58,banco!$A:$A,$A58)</f>
        <v>0</v>
      </c>
      <c r="L58" s="12">
        <f>IFERROR(K58/$AA58,0)</f>
        <v>0</v>
      </c>
      <c r="M58">
        <f>SUMIFS(banco!O:O,banco!$C:$C,$B58,banco!$A:$A,$A58)</f>
        <v>0</v>
      </c>
      <c r="N58" s="12">
        <f>IFERROR(M58/$AB58,0)</f>
        <v>0</v>
      </c>
      <c r="O58">
        <f>SUMIFS(banco!Q:Q,banco!$C:$C,$B58,banco!$A:$A,$A58)</f>
        <v>0</v>
      </c>
      <c r="P58" s="12">
        <f>IFERROR(O58/$AA58,0)</f>
        <v>0</v>
      </c>
      <c r="Q58">
        <f>SUMIFS(banco!S:S,banco!$C:$C,$B58,banco!$A:$A,$A58)</f>
        <v>0</v>
      </c>
      <c r="R58" s="12">
        <f>IFERROR(Q58/$AB58,0)</f>
        <v>0</v>
      </c>
      <c r="S58">
        <f>SUMIFS(banco!U:U,banco!$C:$C,$B58,banco!$A:$A,$A58)</f>
        <v>0</v>
      </c>
      <c r="T58" s="12">
        <f>IFERROR(S58/$AA58,0)</f>
        <v>0</v>
      </c>
      <c r="U58">
        <f>SUMIFS(banco!W:W,banco!$C:$C,$B58,banco!$A:$A,$A58)</f>
        <v>0</v>
      </c>
      <c r="V58" s="12">
        <f>IFERROR(U58/$AB58,0)</f>
        <v>0</v>
      </c>
      <c r="W58">
        <f>SUMIFS(banco!Y:Y,banco!$C:$C,$B58,banco!$A:$A,$A58)</f>
        <v>0</v>
      </c>
      <c r="X58" s="12">
        <f>IFERROR(W58/$AA58,0)</f>
        <v>0</v>
      </c>
      <c r="Y58">
        <f>SUMIFS(banco!AA:AA,banco!$C:$C,$B58,banco!$A:$A,$A58)</f>
        <v>0</v>
      </c>
      <c r="Z58" s="12">
        <f>IFERROR(Y58/$AB58,0)</f>
        <v>0</v>
      </c>
      <c r="AA58">
        <f>SUMIFS(banco!AC:AC,banco!$C:$C,$B58,banco!$A:$A,$A58)</f>
        <v>0</v>
      </c>
      <c r="AB58">
        <f>SUMIFS(banco!AD:AD,banco!$C:$C,$B58,banco!$A:$A,$A58)</f>
        <v>0</v>
      </c>
      <c r="AC58">
        <v>9763</v>
      </c>
    </row>
    <row r="59" spans="1:29" x14ac:dyDescent="0.25">
      <c r="A59" s="20">
        <v>2017</v>
      </c>
      <c r="B59" s="18" t="s">
        <v>145</v>
      </c>
      <c r="C59">
        <f>SUMIFS(banco!E:E,banco!$C:$C,$B59,banco!$A:$A,$A59)</f>
        <v>0</v>
      </c>
      <c r="D59" s="12">
        <f>IFERROR(C59/$AA59,0)</f>
        <v>0</v>
      </c>
      <c r="E59">
        <f>SUMIFS(banco!G:G,banco!$C:$C,$B59,banco!$A:$A,$A59)</f>
        <v>0</v>
      </c>
      <c r="F59" s="12">
        <f>IFERROR(E59/$AB59,0)</f>
        <v>0</v>
      </c>
      <c r="G59">
        <f>SUMIFS(banco!I:I,banco!$C:$C,$B59,banco!$A:$A,$A59)</f>
        <v>0</v>
      </c>
      <c r="H59" s="12">
        <f>IFERROR(G59/$AA59,0)</f>
        <v>0</v>
      </c>
      <c r="I59">
        <f>SUMIFS(banco!K:K,banco!$C:$C,$B59,banco!$A:$A,$A59)</f>
        <v>0</v>
      </c>
      <c r="J59" s="12">
        <f>IFERROR(I59/$AB59,0)</f>
        <v>0</v>
      </c>
      <c r="K59">
        <f>SUMIFS(banco!M:M,banco!$C:$C,$B59,banco!$A:$A,$A59)</f>
        <v>0</v>
      </c>
      <c r="L59" s="12">
        <f>IFERROR(K59/$AA59,0)</f>
        <v>0</v>
      </c>
      <c r="M59">
        <f>SUMIFS(banco!O:O,banco!$C:$C,$B59,banco!$A:$A,$A59)</f>
        <v>0</v>
      </c>
      <c r="N59" s="12">
        <f>IFERROR(M59/$AB59,0)</f>
        <v>0</v>
      </c>
      <c r="O59">
        <f>SUMIFS(banco!Q:Q,banco!$C:$C,$B59,banco!$A:$A,$A59)</f>
        <v>0</v>
      </c>
      <c r="P59" s="12">
        <f>IFERROR(O59/$AA59,0)</f>
        <v>0</v>
      </c>
      <c r="Q59">
        <f>SUMIFS(banco!S:S,banco!$C:$C,$B59,banco!$A:$A,$A59)</f>
        <v>0</v>
      </c>
      <c r="R59" s="12">
        <f>IFERROR(Q59/$AB59,0)</f>
        <v>0</v>
      </c>
      <c r="S59">
        <f>SUMIFS(banco!U:U,banco!$C:$C,$B59,banco!$A:$A,$A59)</f>
        <v>0</v>
      </c>
      <c r="T59" s="12">
        <f>IFERROR(S59/$AA59,0)</f>
        <v>0</v>
      </c>
      <c r="U59">
        <f>SUMIFS(banco!W:W,banco!$C:$C,$B59,banco!$A:$A,$A59)</f>
        <v>0</v>
      </c>
      <c r="V59" s="12">
        <f>IFERROR(U59/$AB59,0)</f>
        <v>0</v>
      </c>
      <c r="W59">
        <f>SUMIFS(banco!Y:Y,banco!$C:$C,$B59,banco!$A:$A,$A59)</f>
        <v>0</v>
      </c>
      <c r="X59" s="12">
        <f>IFERROR(W59/$AA59,0)</f>
        <v>0</v>
      </c>
      <c r="Y59">
        <f>SUMIFS(banco!AA:AA,banco!$C:$C,$B59,banco!$A:$A,$A59)</f>
        <v>0</v>
      </c>
      <c r="Z59" s="12">
        <f>IFERROR(Y59/$AB59,0)</f>
        <v>0</v>
      </c>
      <c r="AA59">
        <f>SUMIFS(banco!AC:AC,banco!$C:$C,$B59,banco!$A:$A,$A59)</f>
        <v>0</v>
      </c>
      <c r="AB59">
        <f>SUMIFS(banco!AD:AD,banco!$C:$C,$B59,banco!$A:$A,$A59)</f>
        <v>0</v>
      </c>
      <c r="AC59">
        <v>18401</v>
      </c>
    </row>
    <row r="60" spans="1:29" x14ac:dyDescent="0.25">
      <c r="A60" s="20">
        <v>2017</v>
      </c>
      <c r="B60" s="18" t="s">
        <v>144</v>
      </c>
      <c r="C60">
        <f>SUMIFS(banco!E:E,banco!$C:$C,$B60,banco!$A:$A,$A60)</f>
        <v>0</v>
      </c>
      <c r="D60" s="12">
        <f>IFERROR(C60/$AA60,0)</f>
        <v>0</v>
      </c>
      <c r="E60">
        <f>SUMIFS(banco!G:G,banco!$C:$C,$B60,banco!$A:$A,$A60)</f>
        <v>0</v>
      </c>
      <c r="F60" s="12">
        <f>IFERROR(E60/$AB60,0)</f>
        <v>0</v>
      </c>
      <c r="G60">
        <f>SUMIFS(banco!I:I,banco!$C:$C,$B60,banco!$A:$A,$A60)</f>
        <v>0</v>
      </c>
      <c r="H60" s="12">
        <f>IFERROR(G60/$AA60,0)</f>
        <v>0</v>
      </c>
      <c r="I60">
        <f>SUMIFS(banco!K:K,banco!$C:$C,$B60,banco!$A:$A,$A60)</f>
        <v>0</v>
      </c>
      <c r="J60" s="12">
        <f>IFERROR(I60/$AB60,0)</f>
        <v>0</v>
      </c>
      <c r="K60">
        <f>SUMIFS(banco!M:M,banco!$C:$C,$B60,banco!$A:$A,$A60)</f>
        <v>0</v>
      </c>
      <c r="L60" s="12">
        <f>IFERROR(K60/$AA60,0)</f>
        <v>0</v>
      </c>
      <c r="M60">
        <f>SUMIFS(banco!O:O,banco!$C:$C,$B60,banco!$A:$A,$A60)</f>
        <v>0</v>
      </c>
      <c r="N60" s="12">
        <f>IFERROR(M60/$AB60,0)</f>
        <v>0</v>
      </c>
      <c r="O60">
        <f>SUMIFS(banco!Q:Q,banco!$C:$C,$B60,banco!$A:$A,$A60)</f>
        <v>0</v>
      </c>
      <c r="P60" s="12">
        <f>IFERROR(O60/$AA60,0)</f>
        <v>0</v>
      </c>
      <c r="Q60">
        <f>SUMIFS(banco!S:S,banco!$C:$C,$B60,banco!$A:$A,$A60)</f>
        <v>0</v>
      </c>
      <c r="R60" s="12">
        <f>IFERROR(Q60/$AB60,0)</f>
        <v>0</v>
      </c>
      <c r="S60">
        <f>SUMIFS(banco!U:U,banco!$C:$C,$B60,banco!$A:$A,$A60)</f>
        <v>0</v>
      </c>
      <c r="T60" s="12">
        <f>IFERROR(S60/$AA60,0)</f>
        <v>0</v>
      </c>
      <c r="U60">
        <f>SUMIFS(banco!W:W,banco!$C:$C,$B60,banco!$A:$A,$A60)</f>
        <v>0</v>
      </c>
      <c r="V60" s="12">
        <f>IFERROR(U60/$AB60,0)</f>
        <v>0</v>
      </c>
      <c r="W60">
        <f>SUMIFS(banco!Y:Y,banco!$C:$C,$B60,banco!$A:$A,$A60)</f>
        <v>0</v>
      </c>
      <c r="X60" s="12">
        <f>IFERROR(W60/$AA60,0)</f>
        <v>0</v>
      </c>
      <c r="Y60">
        <f>SUMIFS(banco!AA:AA,banco!$C:$C,$B60,banco!$A:$A,$A60)</f>
        <v>0</v>
      </c>
      <c r="Z60" s="12">
        <f>IFERROR(Y60/$AB60,0)</f>
        <v>0</v>
      </c>
      <c r="AA60">
        <f>SUMIFS(banco!AC:AC,banco!$C:$C,$B60,banco!$A:$A,$A60)</f>
        <v>0</v>
      </c>
      <c r="AB60">
        <f>SUMIFS(banco!AD:AD,banco!$C:$C,$B60,banco!$A:$A,$A60)</f>
        <v>0</v>
      </c>
      <c r="AC60">
        <v>10028</v>
      </c>
    </row>
    <row r="61" spans="1:29" x14ac:dyDescent="0.25">
      <c r="A61" s="20">
        <v>2017</v>
      </c>
      <c r="B61" s="18" t="s">
        <v>148</v>
      </c>
      <c r="C61">
        <f>SUMIFS(banco!E:E,banco!$C:$C,$B61,banco!$A:$A,$A61)</f>
        <v>0</v>
      </c>
      <c r="D61" s="12">
        <f>IFERROR(C61/$AA61,0)</f>
        <v>0</v>
      </c>
      <c r="E61">
        <f>SUMIFS(banco!G:G,banco!$C:$C,$B61,banco!$A:$A,$A61)</f>
        <v>0</v>
      </c>
      <c r="F61" s="12">
        <f>IFERROR(E61/$AB61,0)</f>
        <v>0</v>
      </c>
      <c r="G61">
        <f>SUMIFS(banco!I:I,banco!$C:$C,$B61,banco!$A:$A,$A61)</f>
        <v>0</v>
      </c>
      <c r="H61" s="12">
        <f>IFERROR(G61/$AA61,0)</f>
        <v>0</v>
      </c>
      <c r="I61">
        <f>SUMIFS(banco!K:K,banco!$C:$C,$B61,banco!$A:$A,$A61)</f>
        <v>0</v>
      </c>
      <c r="J61" s="12">
        <f>IFERROR(I61/$AB61,0)</f>
        <v>0</v>
      </c>
      <c r="K61">
        <f>SUMIFS(banco!M:M,banco!$C:$C,$B61,banco!$A:$A,$A61)</f>
        <v>0</v>
      </c>
      <c r="L61" s="12">
        <f>IFERROR(K61/$AA61,0)</f>
        <v>0</v>
      </c>
      <c r="M61">
        <f>SUMIFS(banco!O:O,banco!$C:$C,$B61,banco!$A:$A,$A61)</f>
        <v>0</v>
      </c>
      <c r="N61" s="12">
        <f>IFERROR(M61/$AB61,0)</f>
        <v>0</v>
      </c>
      <c r="O61">
        <f>SUMIFS(banco!Q:Q,banco!$C:$C,$B61,banco!$A:$A,$A61)</f>
        <v>0</v>
      </c>
      <c r="P61" s="12">
        <f>IFERROR(O61/$AA61,0)</f>
        <v>0</v>
      </c>
      <c r="Q61">
        <f>SUMIFS(banco!S:S,banco!$C:$C,$B61,banco!$A:$A,$A61)</f>
        <v>0</v>
      </c>
      <c r="R61" s="12">
        <f>IFERROR(Q61/$AB61,0)</f>
        <v>0</v>
      </c>
      <c r="S61">
        <f>SUMIFS(banco!U:U,banco!$C:$C,$B61,banco!$A:$A,$A61)</f>
        <v>0</v>
      </c>
      <c r="T61" s="12">
        <f>IFERROR(S61/$AA61,0)</f>
        <v>0</v>
      </c>
      <c r="U61">
        <f>SUMIFS(banco!W:W,banco!$C:$C,$B61,banco!$A:$A,$A61)</f>
        <v>0</v>
      </c>
      <c r="V61" s="12">
        <f>IFERROR(U61/$AB61,0)</f>
        <v>0</v>
      </c>
      <c r="W61">
        <f>SUMIFS(banco!Y:Y,banco!$C:$C,$B61,banco!$A:$A,$A61)</f>
        <v>0</v>
      </c>
      <c r="X61" s="12">
        <f>IFERROR(W61/$AA61,0)</f>
        <v>0</v>
      </c>
      <c r="Y61">
        <f>SUMIFS(banco!AA:AA,banco!$C:$C,$B61,banco!$A:$A,$A61)</f>
        <v>0</v>
      </c>
      <c r="Z61" s="12">
        <f>IFERROR(Y61/$AB61,0)</f>
        <v>0</v>
      </c>
      <c r="AA61">
        <f>SUMIFS(banco!AC:AC,banco!$C:$C,$B61,banco!$A:$A,$A61)</f>
        <v>0</v>
      </c>
      <c r="AB61">
        <f>SUMIFS(banco!AD:AD,banco!$C:$C,$B61,banco!$A:$A,$A61)</f>
        <v>0</v>
      </c>
      <c r="AC61">
        <v>29227</v>
      </c>
    </row>
    <row r="62" spans="1:29" x14ac:dyDescent="0.25">
      <c r="A62" s="20">
        <v>2017</v>
      </c>
      <c r="B62" s="18" t="s">
        <v>150</v>
      </c>
      <c r="C62">
        <f>SUMIFS(banco!E:E,banco!$C:$C,$B62,banco!$A:$A,$A62)</f>
        <v>0</v>
      </c>
      <c r="D62" s="12">
        <f>IFERROR(C62/$AA62,0)</f>
        <v>0</v>
      </c>
      <c r="E62">
        <f>SUMIFS(banco!G:G,banco!$C:$C,$B62,banco!$A:$A,$A62)</f>
        <v>0</v>
      </c>
      <c r="F62" s="12">
        <f>IFERROR(E62/$AB62,0)</f>
        <v>0</v>
      </c>
      <c r="G62">
        <f>SUMIFS(banco!I:I,banco!$C:$C,$B62,banco!$A:$A,$A62)</f>
        <v>0</v>
      </c>
      <c r="H62" s="12">
        <f>IFERROR(G62/$AA62,0)</f>
        <v>0</v>
      </c>
      <c r="I62">
        <f>SUMIFS(banco!K:K,banco!$C:$C,$B62,banco!$A:$A,$A62)</f>
        <v>0</v>
      </c>
      <c r="J62" s="12">
        <f>IFERROR(I62/$AB62,0)</f>
        <v>0</v>
      </c>
      <c r="K62">
        <f>SUMIFS(banco!M:M,banco!$C:$C,$B62,banco!$A:$A,$A62)</f>
        <v>0</v>
      </c>
      <c r="L62" s="12">
        <f>IFERROR(K62/$AA62,0)</f>
        <v>0</v>
      </c>
      <c r="M62">
        <f>SUMIFS(banco!O:O,banco!$C:$C,$B62,banco!$A:$A,$A62)</f>
        <v>0</v>
      </c>
      <c r="N62" s="12">
        <f>IFERROR(M62/$AB62,0)</f>
        <v>0</v>
      </c>
      <c r="O62">
        <f>SUMIFS(banco!Q:Q,banco!$C:$C,$B62,banco!$A:$A,$A62)</f>
        <v>0</v>
      </c>
      <c r="P62" s="12">
        <f>IFERROR(O62/$AA62,0)</f>
        <v>0</v>
      </c>
      <c r="Q62">
        <f>SUMIFS(banco!S:S,banco!$C:$C,$B62,banco!$A:$A,$A62)</f>
        <v>0</v>
      </c>
      <c r="R62" s="12">
        <f>IFERROR(Q62/$AB62,0)</f>
        <v>0</v>
      </c>
      <c r="S62">
        <f>SUMIFS(banco!U:U,banco!$C:$C,$B62,banco!$A:$A,$A62)</f>
        <v>0</v>
      </c>
      <c r="T62" s="12">
        <f>IFERROR(S62/$AA62,0)</f>
        <v>0</v>
      </c>
      <c r="U62">
        <f>SUMIFS(banco!W:W,banco!$C:$C,$B62,banco!$A:$A,$A62)</f>
        <v>0</v>
      </c>
      <c r="V62" s="12">
        <f>IFERROR(U62/$AB62,0)</f>
        <v>0</v>
      </c>
      <c r="W62">
        <f>SUMIFS(banco!Y:Y,banco!$C:$C,$B62,banco!$A:$A,$A62)</f>
        <v>0</v>
      </c>
      <c r="X62" s="12">
        <f>IFERROR(W62/$AA62,0)</f>
        <v>0</v>
      </c>
      <c r="Y62">
        <f>SUMIFS(banco!AA:AA,banco!$C:$C,$B62,banco!$A:$A,$A62)</f>
        <v>0</v>
      </c>
      <c r="Z62" s="12">
        <f>IFERROR(Y62/$AB62,0)</f>
        <v>0</v>
      </c>
      <c r="AA62">
        <f>SUMIFS(banco!AC:AC,banco!$C:$C,$B62,banco!$A:$A,$A62)</f>
        <v>0</v>
      </c>
      <c r="AB62">
        <f>SUMIFS(banco!AD:AD,banco!$C:$C,$B62,banco!$A:$A,$A62)</f>
        <v>0</v>
      </c>
      <c r="AC62">
        <v>12420</v>
      </c>
    </row>
    <row r="63" spans="1:29" x14ac:dyDescent="0.25">
      <c r="A63" s="20">
        <v>2017</v>
      </c>
      <c r="B63" s="18" t="s">
        <v>146</v>
      </c>
      <c r="C63">
        <f>SUMIFS(banco!E:E,banco!$C:$C,$B63,banco!$A:$A,$A63)</f>
        <v>0</v>
      </c>
      <c r="D63" s="12">
        <f>IFERROR(C63/$AA63,0)</f>
        <v>0</v>
      </c>
      <c r="E63">
        <f>SUMIFS(banco!G:G,banco!$C:$C,$B63,banco!$A:$A,$A63)</f>
        <v>0</v>
      </c>
      <c r="F63" s="12">
        <f>IFERROR(E63/$AB63,0)</f>
        <v>0</v>
      </c>
      <c r="G63">
        <f>SUMIFS(banco!I:I,banco!$C:$C,$B63,banco!$A:$A,$A63)</f>
        <v>0</v>
      </c>
      <c r="H63" s="12">
        <f>IFERROR(G63/$AA63,0)</f>
        <v>0</v>
      </c>
      <c r="I63">
        <f>SUMIFS(banco!K:K,banco!$C:$C,$B63,banco!$A:$A,$A63)</f>
        <v>0</v>
      </c>
      <c r="J63" s="12">
        <f>IFERROR(I63/$AB63,0)</f>
        <v>0</v>
      </c>
      <c r="K63">
        <f>SUMIFS(banco!M:M,banco!$C:$C,$B63,banco!$A:$A,$A63)</f>
        <v>0</v>
      </c>
      <c r="L63" s="12">
        <f>IFERROR(K63/$AA63,0)</f>
        <v>0</v>
      </c>
      <c r="M63">
        <f>SUMIFS(banco!O:O,banco!$C:$C,$B63,banco!$A:$A,$A63)</f>
        <v>0</v>
      </c>
      <c r="N63" s="12">
        <f>IFERROR(M63/$AB63,0)</f>
        <v>0</v>
      </c>
      <c r="O63">
        <f>SUMIFS(banco!Q:Q,banco!$C:$C,$B63,banco!$A:$A,$A63)</f>
        <v>0</v>
      </c>
      <c r="P63" s="12">
        <f>IFERROR(O63/$AA63,0)</f>
        <v>0</v>
      </c>
      <c r="Q63">
        <f>SUMIFS(banco!S:S,banco!$C:$C,$B63,banco!$A:$A,$A63)</f>
        <v>0</v>
      </c>
      <c r="R63" s="12">
        <f>IFERROR(Q63/$AB63,0)</f>
        <v>0</v>
      </c>
      <c r="S63">
        <f>SUMIFS(banco!U:U,banco!$C:$C,$B63,banco!$A:$A,$A63)</f>
        <v>0</v>
      </c>
      <c r="T63" s="12">
        <f>IFERROR(S63/$AA63,0)</f>
        <v>0</v>
      </c>
      <c r="U63">
        <f>SUMIFS(banco!W:W,banco!$C:$C,$B63,banco!$A:$A,$A63)</f>
        <v>0</v>
      </c>
      <c r="V63" s="12">
        <f>IFERROR(U63/$AB63,0)</f>
        <v>0</v>
      </c>
      <c r="W63">
        <f>SUMIFS(banco!Y:Y,banco!$C:$C,$B63,banco!$A:$A,$A63)</f>
        <v>0</v>
      </c>
      <c r="X63" s="12">
        <f>IFERROR(W63/$AA63,0)</f>
        <v>0</v>
      </c>
      <c r="Y63">
        <f>SUMIFS(banco!AA:AA,banco!$C:$C,$B63,banco!$A:$A,$A63)</f>
        <v>0</v>
      </c>
      <c r="Z63" s="12">
        <f>IFERROR(Y63/$AB63,0)</f>
        <v>0</v>
      </c>
      <c r="AA63">
        <f>SUMIFS(banco!AC:AC,banco!$C:$C,$B63,banco!$A:$A,$A63)</f>
        <v>0</v>
      </c>
      <c r="AB63">
        <f>SUMIFS(banco!AD:AD,banco!$C:$C,$B63,banco!$A:$A,$A63)</f>
        <v>0</v>
      </c>
      <c r="AC63">
        <v>13278</v>
      </c>
    </row>
    <row r="64" spans="1:29" x14ac:dyDescent="0.25">
      <c r="A64" s="20">
        <v>2017</v>
      </c>
      <c r="B64" s="18" t="s">
        <v>149</v>
      </c>
      <c r="C64">
        <f>SUMIFS(banco!E:E,banco!$C:$C,$B64,banco!$A:$A,$A64)</f>
        <v>0</v>
      </c>
      <c r="D64" s="12">
        <f>IFERROR(C64/$AA64,0)</f>
        <v>0</v>
      </c>
      <c r="E64">
        <f>SUMIFS(banco!G:G,banco!$C:$C,$B64,banco!$A:$A,$A64)</f>
        <v>0</v>
      </c>
      <c r="F64" s="12">
        <f>IFERROR(E64/$AB64,0)</f>
        <v>0</v>
      </c>
      <c r="G64">
        <f>SUMIFS(banco!I:I,banco!$C:$C,$B64,banco!$A:$A,$A64)</f>
        <v>0</v>
      </c>
      <c r="H64" s="12">
        <f>IFERROR(G64/$AA64,0)</f>
        <v>0</v>
      </c>
      <c r="I64">
        <f>SUMIFS(banco!K:K,banco!$C:$C,$B64,banco!$A:$A,$A64)</f>
        <v>0</v>
      </c>
      <c r="J64" s="12">
        <f>IFERROR(I64/$AB64,0)</f>
        <v>0</v>
      </c>
      <c r="K64">
        <f>SUMIFS(banco!M:M,banco!$C:$C,$B64,banco!$A:$A,$A64)</f>
        <v>0</v>
      </c>
      <c r="L64" s="12">
        <f>IFERROR(K64/$AA64,0)</f>
        <v>0</v>
      </c>
      <c r="M64">
        <f>SUMIFS(banco!O:O,banco!$C:$C,$B64,banco!$A:$A,$A64)</f>
        <v>0</v>
      </c>
      <c r="N64" s="12">
        <f>IFERROR(M64/$AB64,0)</f>
        <v>0</v>
      </c>
      <c r="O64">
        <f>SUMIFS(banco!Q:Q,banco!$C:$C,$B64,banco!$A:$A,$A64)</f>
        <v>0</v>
      </c>
      <c r="P64" s="12">
        <f>IFERROR(O64/$AA64,0)</f>
        <v>0</v>
      </c>
      <c r="Q64">
        <f>SUMIFS(banco!S:S,banco!$C:$C,$B64,banco!$A:$A,$A64)</f>
        <v>0</v>
      </c>
      <c r="R64" s="12">
        <f>IFERROR(Q64/$AB64,0)</f>
        <v>0</v>
      </c>
      <c r="S64">
        <f>SUMIFS(banco!U:U,banco!$C:$C,$B64,banco!$A:$A,$A64)</f>
        <v>0</v>
      </c>
      <c r="T64" s="12">
        <f>IFERROR(S64/$AA64,0)</f>
        <v>0</v>
      </c>
      <c r="U64">
        <f>SUMIFS(banco!W:W,banco!$C:$C,$B64,banco!$A:$A,$A64)</f>
        <v>0</v>
      </c>
      <c r="V64" s="12">
        <f>IFERROR(U64/$AB64,0)</f>
        <v>0</v>
      </c>
      <c r="W64">
        <f>SUMIFS(banco!Y:Y,banco!$C:$C,$B64,banco!$A:$A,$A64)</f>
        <v>0</v>
      </c>
      <c r="X64" s="12">
        <f>IFERROR(W64/$AA64,0)</f>
        <v>0</v>
      </c>
      <c r="Y64">
        <f>SUMIFS(banco!AA:AA,banco!$C:$C,$B64,banco!$A:$A,$A64)</f>
        <v>0</v>
      </c>
      <c r="Z64" s="12">
        <f>IFERROR(Y64/$AB64,0)</f>
        <v>0</v>
      </c>
      <c r="AA64">
        <f>SUMIFS(banco!AC:AC,banco!$C:$C,$B64,banco!$A:$A,$A64)</f>
        <v>0</v>
      </c>
      <c r="AB64">
        <f>SUMIFS(banco!AD:AD,banco!$C:$C,$B64,banco!$A:$A,$A64)</f>
        <v>0</v>
      </c>
      <c r="AC64">
        <v>23401</v>
      </c>
    </row>
    <row r="65" spans="1:29" x14ac:dyDescent="0.25">
      <c r="A65" s="20">
        <v>2017</v>
      </c>
      <c r="B65" s="18" t="s">
        <v>147</v>
      </c>
      <c r="C65">
        <f>SUMIFS(banco!E:E,banco!$C:$C,$B65,banco!$A:$A,$A65)</f>
        <v>0</v>
      </c>
      <c r="D65" s="12">
        <f>IFERROR(C65/$AA65,0)</f>
        <v>0</v>
      </c>
      <c r="E65">
        <f>SUMIFS(banco!G:G,banco!$C:$C,$B65,banco!$A:$A,$A65)</f>
        <v>0</v>
      </c>
      <c r="F65" s="12">
        <f>IFERROR(E65/$AB65,0)</f>
        <v>0</v>
      </c>
      <c r="G65">
        <f>SUMIFS(banco!I:I,banco!$C:$C,$B65,banco!$A:$A,$A65)</f>
        <v>0</v>
      </c>
      <c r="H65" s="12">
        <f>IFERROR(G65/$AA65,0)</f>
        <v>0</v>
      </c>
      <c r="I65">
        <f>SUMIFS(banco!K:K,banco!$C:$C,$B65,banco!$A:$A,$A65)</f>
        <v>0</v>
      </c>
      <c r="J65" s="12">
        <f>IFERROR(I65/$AB65,0)</f>
        <v>0</v>
      </c>
      <c r="K65">
        <f>SUMIFS(banco!M:M,banco!$C:$C,$B65,banco!$A:$A,$A65)</f>
        <v>0</v>
      </c>
      <c r="L65" s="12">
        <f>IFERROR(K65/$AA65,0)</f>
        <v>0</v>
      </c>
      <c r="M65">
        <f>SUMIFS(banco!O:O,banco!$C:$C,$B65,banco!$A:$A,$A65)</f>
        <v>0</v>
      </c>
      <c r="N65" s="12">
        <f>IFERROR(M65/$AB65,0)</f>
        <v>0</v>
      </c>
      <c r="O65">
        <f>SUMIFS(banco!Q:Q,banco!$C:$C,$B65,banco!$A:$A,$A65)</f>
        <v>0</v>
      </c>
      <c r="P65" s="12">
        <f>IFERROR(O65/$AA65,0)</f>
        <v>0</v>
      </c>
      <c r="Q65">
        <f>SUMIFS(banco!S:S,banco!$C:$C,$B65,banco!$A:$A,$A65)</f>
        <v>0</v>
      </c>
      <c r="R65" s="12">
        <f>IFERROR(Q65/$AB65,0)</f>
        <v>0</v>
      </c>
      <c r="S65">
        <f>SUMIFS(banco!U:U,banco!$C:$C,$B65,banco!$A:$A,$A65)</f>
        <v>0</v>
      </c>
      <c r="T65" s="12">
        <f>IFERROR(S65/$AA65,0)</f>
        <v>0</v>
      </c>
      <c r="U65">
        <f>SUMIFS(banco!W:W,banco!$C:$C,$B65,banco!$A:$A,$A65)</f>
        <v>0</v>
      </c>
      <c r="V65" s="12">
        <f>IFERROR(U65/$AB65,0)</f>
        <v>0</v>
      </c>
      <c r="W65">
        <f>SUMIFS(banco!Y:Y,banco!$C:$C,$B65,banco!$A:$A,$A65)</f>
        <v>0</v>
      </c>
      <c r="X65" s="12">
        <f>IFERROR(W65/$AA65,0)</f>
        <v>0</v>
      </c>
      <c r="Y65">
        <f>SUMIFS(banco!AA:AA,banco!$C:$C,$B65,banco!$A:$A,$A65)</f>
        <v>0</v>
      </c>
      <c r="Z65" s="12">
        <f>IFERROR(Y65/$AB65,0)</f>
        <v>0</v>
      </c>
      <c r="AA65">
        <f>SUMIFS(banco!AC:AC,banco!$C:$C,$B65,banco!$A:$A,$A65)</f>
        <v>0</v>
      </c>
      <c r="AB65">
        <f>SUMIFS(banco!AD:AD,banco!$C:$C,$B65,banco!$A:$A,$A65)</f>
        <v>0</v>
      </c>
      <c r="AC65">
        <v>7736</v>
      </c>
    </row>
    <row r="66" spans="1:29" x14ac:dyDescent="0.25">
      <c r="A66" s="20">
        <v>2016</v>
      </c>
      <c r="B66" s="18" t="s">
        <v>151</v>
      </c>
      <c r="C66">
        <f>SUMIFS(banco!E:E,banco!$C:$C,$B66,banco!$A:$A,$A66)</f>
        <v>0</v>
      </c>
      <c r="D66" s="12">
        <f>IFERROR(C66/$AA66,0)</f>
        <v>0</v>
      </c>
      <c r="E66">
        <f>SUMIFS(banco!G:G,banco!$C:$C,$B66,banco!$A:$A,$A66)</f>
        <v>0</v>
      </c>
      <c r="F66" s="12">
        <f>IFERROR(E66/$AB66,0)</f>
        <v>0</v>
      </c>
      <c r="G66">
        <f>SUMIFS(banco!I:I,banco!$C:$C,$B66,banco!$A:$A,$A66)</f>
        <v>0</v>
      </c>
      <c r="H66" s="12">
        <f>IFERROR(G66/$AA66,0)</f>
        <v>0</v>
      </c>
      <c r="I66">
        <f>SUMIFS(banco!K:K,banco!$C:$C,$B66,banco!$A:$A,$A66)</f>
        <v>0</v>
      </c>
      <c r="J66" s="12">
        <f>IFERROR(I66/$AB66,0)</f>
        <v>0</v>
      </c>
      <c r="K66">
        <f>SUMIFS(banco!M:M,banco!$C:$C,$B66,banco!$A:$A,$A66)</f>
        <v>0</v>
      </c>
      <c r="L66" s="12">
        <f>IFERROR(K66/$AA66,0)</f>
        <v>0</v>
      </c>
      <c r="M66">
        <f>SUMIFS(banco!O:O,banco!$C:$C,$B66,banco!$A:$A,$A66)</f>
        <v>0</v>
      </c>
      <c r="N66" s="12">
        <f>IFERROR(M66/$AB66,0)</f>
        <v>0</v>
      </c>
      <c r="O66">
        <f>SUMIFS(banco!Q:Q,banco!$C:$C,$B66,banco!$A:$A,$A66)</f>
        <v>0</v>
      </c>
      <c r="P66" s="12">
        <f>IFERROR(O66/$AA66,0)</f>
        <v>0</v>
      </c>
      <c r="Q66">
        <f>SUMIFS(banco!S:S,banco!$C:$C,$B66,banco!$A:$A,$A66)</f>
        <v>0</v>
      </c>
      <c r="R66" s="12">
        <f>IFERROR(Q66/$AB66,0)</f>
        <v>0</v>
      </c>
      <c r="S66">
        <f>SUMIFS(banco!U:U,banco!$C:$C,$B66,banco!$A:$A,$A66)</f>
        <v>0</v>
      </c>
      <c r="T66" s="12">
        <f>IFERROR(S66/$AA66,0)</f>
        <v>0</v>
      </c>
      <c r="U66">
        <f>SUMIFS(banco!W:W,banco!$C:$C,$B66,banco!$A:$A,$A66)</f>
        <v>0</v>
      </c>
      <c r="V66" s="12">
        <f>IFERROR(U66/$AB66,0)</f>
        <v>0</v>
      </c>
      <c r="W66">
        <f>SUMIFS(banco!Y:Y,banco!$C:$C,$B66,banco!$A:$A,$A66)</f>
        <v>0</v>
      </c>
      <c r="X66" s="12">
        <f>IFERROR(W66/$AA66,0)</f>
        <v>0</v>
      </c>
      <c r="Y66">
        <f>SUMIFS(banco!AA:AA,banco!$C:$C,$B66,banco!$A:$A,$A66)</f>
        <v>0</v>
      </c>
      <c r="Z66" s="12">
        <f>IFERROR(Y66/$AB66,0)</f>
        <v>0</v>
      </c>
      <c r="AA66">
        <f>SUMIFS(banco!AC:AC,banco!$C:$C,$B66,banco!$A:$A,$A66)</f>
        <v>0</v>
      </c>
      <c r="AB66">
        <f>SUMIFS(banco!AD:AD,banco!$C:$C,$B66,banco!$A:$A,$A66)</f>
        <v>0</v>
      </c>
      <c r="AC66">
        <v>9802</v>
      </c>
    </row>
    <row r="67" spans="1:29" x14ac:dyDescent="0.25">
      <c r="A67" s="20">
        <v>2016</v>
      </c>
      <c r="B67" s="18" t="s">
        <v>145</v>
      </c>
      <c r="C67">
        <f>SUMIFS(banco!E:E,banco!$C:$C,$B67,banco!$A:$A,$A67)</f>
        <v>0</v>
      </c>
      <c r="D67" s="12">
        <f>IFERROR(C67/$AA67,0)</f>
        <v>0</v>
      </c>
      <c r="E67">
        <f>SUMIFS(banco!G:G,banco!$C:$C,$B67,banco!$A:$A,$A67)</f>
        <v>0</v>
      </c>
      <c r="F67" s="12">
        <f>IFERROR(E67/$AB67,0)</f>
        <v>0</v>
      </c>
      <c r="G67">
        <f>SUMIFS(banco!I:I,banco!$C:$C,$B67,banco!$A:$A,$A67)</f>
        <v>0</v>
      </c>
      <c r="H67" s="12">
        <f>IFERROR(G67/$AA67,0)</f>
        <v>0</v>
      </c>
      <c r="I67">
        <f>SUMIFS(banco!K:K,banco!$C:$C,$B67,banco!$A:$A,$A67)</f>
        <v>0</v>
      </c>
      <c r="J67" s="12">
        <f>IFERROR(I67/$AB67,0)</f>
        <v>0</v>
      </c>
      <c r="K67">
        <f>SUMIFS(banco!M:M,banco!$C:$C,$B67,banco!$A:$A,$A67)</f>
        <v>0</v>
      </c>
      <c r="L67" s="12">
        <f>IFERROR(K67/$AA67,0)</f>
        <v>0</v>
      </c>
      <c r="M67">
        <f>SUMIFS(banco!O:O,banco!$C:$C,$B67,banco!$A:$A,$A67)</f>
        <v>0</v>
      </c>
      <c r="N67" s="12">
        <f>IFERROR(M67/$AB67,0)</f>
        <v>0</v>
      </c>
      <c r="O67">
        <f>SUMIFS(banco!Q:Q,banco!$C:$C,$B67,banco!$A:$A,$A67)</f>
        <v>0</v>
      </c>
      <c r="P67" s="12">
        <f>IFERROR(O67/$AA67,0)</f>
        <v>0</v>
      </c>
      <c r="Q67">
        <f>SUMIFS(banco!S:S,banco!$C:$C,$B67,banco!$A:$A,$A67)</f>
        <v>0</v>
      </c>
      <c r="R67" s="12">
        <f>IFERROR(Q67/$AB67,0)</f>
        <v>0</v>
      </c>
      <c r="S67">
        <f>SUMIFS(banco!U:U,banco!$C:$C,$B67,banco!$A:$A,$A67)</f>
        <v>0</v>
      </c>
      <c r="T67" s="12">
        <f>IFERROR(S67/$AA67,0)</f>
        <v>0</v>
      </c>
      <c r="U67">
        <f>SUMIFS(banco!W:W,banco!$C:$C,$B67,banco!$A:$A,$A67)</f>
        <v>0</v>
      </c>
      <c r="V67" s="12">
        <f>IFERROR(U67/$AB67,0)</f>
        <v>0</v>
      </c>
      <c r="W67">
        <f>SUMIFS(banco!Y:Y,banco!$C:$C,$B67,banco!$A:$A,$A67)</f>
        <v>0</v>
      </c>
      <c r="X67" s="12">
        <f>IFERROR(W67/$AA67,0)</f>
        <v>0</v>
      </c>
      <c r="Y67">
        <f>SUMIFS(banco!AA:AA,banco!$C:$C,$B67,banco!$A:$A,$A67)</f>
        <v>0</v>
      </c>
      <c r="Z67" s="12">
        <f>IFERROR(Y67/$AB67,0)</f>
        <v>0</v>
      </c>
      <c r="AA67">
        <f>SUMIFS(banco!AC:AC,banco!$C:$C,$B67,banco!$A:$A,$A67)</f>
        <v>0</v>
      </c>
      <c r="AB67">
        <f>SUMIFS(banco!AD:AD,banco!$C:$C,$B67,banco!$A:$A,$A67)</f>
        <v>0</v>
      </c>
      <c r="AC67">
        <v>18751</v>
      </c>
    </row>
    <row r="68" spans="1:29" x14ac:dyDescent="0.25">
      <c r="A68" s="20">
        <v>2016</v>
      </c>
      <c r="B68" s="18" t="s">
        <v>144</v>
      </c>
      <c r="C68">
        <f>SUMIFS(banco!E:E,banco!$C:$C,$B68,banco!$A:$A,$A68)</f>
        <v>0</v>
      </c>
      <c r="D68" s="12">
        <f>IFERROR(C68/$AA68,0)</f>
        <v>0</v>
      </c>
      <c r="E68">
        <f>SUMIFS(banco!G:G,banco!$C:$C,$B68,banco!$A:$A,$A68)</f>
        <v>0</v>
      </c>
      <c r="F68" s="12">
        <f>IFERROR(E68/$AB68,0)</f>
        <v>0</v>
      </c>
      <c r="G68">
        <f>SUMIFS(banco!I:I,banco!$C:$C,$B68,banco!$A:$A,$A68)</f>
        <v>0</v>
      </c>
      <c r="H68" s="12">
        <f>IFERROR(G68/$AA68,0)</f>
        <v>0</v>
      </c>
      <c r="I68">
        <f>SUMIFS(banco!K:K,banco!$C:$C,$B68,banco!$A:$A,$A68)</f>
        <v>0</v>
      </c>
      <c r="J68" s="12">
        <f>IFERROR(I68/$AB68,0)</f>
        <v>0</v>
      </c>
      <c r="K68">
        <f>SUMIFS(banco!M:M,banco!$C:$C,$B68,banco!$A:$A,$A68)</f>
        <v>0</v>
      </c>
      <c r="L68" s="12">
        <f>IFERROR(K68/$AA68,0)</f>
        <v>0</v>
      </c>
      <c r="M68">
        <f>SUMIFS(banco!O:O,banco!$C:$C,$B68,banco!$A:$A,$A68)</f>
        <v>0</v>
      </c>
      <c r="N68" s="12">
        <f>IFERROR(M68/$AB68,0)</f>
        <v>0</v>
      </c>
      <c r="O68">
        <f>SUMIFS(banco!Q:Q,banco!$C:$C,$B68,banco!$A:$A,$A68)</f>
        <v>0</v>
      </c>
      <c r="P68" s="12">
        <f>IFERROR(O68/$AA68,0)</f>
        <v>0</v>
      </c>
      <c r="Q68">
        <f>SUMIFS(banco!S:S,banco!$C:$C,$B68,banco!$A:$A,$A68)</f>
        <v>0</v>
      </c>
      <c r="R68" s="12">
        <f>IFERROR(Q68/$AB68,0)</f>
        <v>0</v>
      </c>
      <c r="S68">
        <f>SUMIFS(banco!U:U,banco!$C:$C,$B68,banco!$A:$A,$A68)</f>
        <v>0</v>
      </c>
      <c r="T68" s="12">
        <f>IFERROR(S68/$AA68,0)</f>
        <v>0</v>
      </c>
      <c r="U68">
        <f>SUMIFS(banco!W:W,banco!$C:$C,$B68,banco!$A:$A,$A68)</f>
        <v>0</v>
      </c>
      <c r="V68" s="12">
        <f>IFERROR(U68/$AB68,0)</f>
        <v>0</v>
      </c>
      <c r="W68">
        <f>SUMIFS(banco!Y:Y,banco!$C:$C,$B68,banco!$A:$A,$A68)</f>
        <v>0</v>
      </c>
      <c r="X68" s="12">
        <f>IFERROR(W68/$AA68,0)</f>
        <v>0</v>
      </c>
      <c r="Y68">
        <f>SUMIFS(banco!AA:AA,banco!$C:$C,$B68,banco!$A:$A,$A68)</f>
        <v>0</v>
      </c>
      <c r="Z68" s="12">
        <f>IFERROR(Y68/$AB68,0)</f>
        <v>0</v>
      </c>
      <c r="AA68">
        <f>SUMIFS(banco!AC:AC,banco!$C:$C,$B68,banco!$A:$A,$A68)</f>
        <v>0</v>
      </c>
      <c r="AB68">
        <f>SUMIFS(banco!AD:AD,banco!$C:$C,$B68,banco!$A:$A,$A68)</f>
        <v>0</v>
      </c>
      <c r="AC68">
        <v>10125</v>
      </c>
    </row>
    <row r="69" spans="1:29" x14ac:dyDescent="0.25">
      <c r="A69" s="20">
        <v>2016</v>
      </c>
      <c r="B69" s="18" t="s">
        <v>148</v>
      </c>
      <c r="C69">
        <f>SUMIFS(banco!E:E,banco!$C:$C,$B69,banco!$A:$A,$A69)</f>
        <v>0</v>
      </c>
      <c r="D69" s="12">
        <f>IFERROR(C69/$AA69,0)</f>
        <v>0</v>
      </c>
      <c r="E69">
        <f>SUMIFS(banco!G:G,banco!$C:$C,$B69,banco!$A:$A,$A69)</f>
        <v>0</v>
      </c>
      <c r="F69" s="12">
        <f>IFERROR(E69/$AB69,0)</f>
        <v>0</v>
      </c>
      <c r="G69">
        <f>SUMIFS(banco!I:I,banco!$C:$C,$B69,banco!$A:$A,$A69)</f>
        <v>0</v>
      </c>
      <c r="H69" s="12">
        <f>IFERROR(G69/$AA69,0)</f>
        <v>0</v>
      </c>
      <c r="I69">
        <f>SUMIFS(banco!K:K,banco!$C:$C,$B69,banco!$A:$A,$A69)</f>
        <v>0</v>
      </c>
      <c r="J69" s="12">
        <f>IFERROR(I69/$AB69,0)</f>
        <v>0</v>
      </c>
      <c r="K69">
        <f>SUMIFS(banco!M:M,banco!$C:$C,$B69,banco!$A:$A,$A69)</f>
        <v>0</v>
      </c>
      <c r="L69" s="12">
        <f>IFERROR(K69/$AA69,0)</f>
        <v>0</v>
      </c>
      <c r="M69">
        <f>SUMIFS(banco!O:O,banco!$C:$C,$B69,banco!$A:$A,$A69)</f>
        <v>0</v>
      </c>
      <c r="N69" s="12">
        <f>IFERROR(M69/$AB69,0)</f>
        <v>0</v>
      </c>
      <c r="O69">
        <f>SUMIFS(banco!Q:Q,banco!$C:$C,$B69,banco!$A:$A,$A69)</f>
        <v>0</v>
      </c>
      <c r="P69" s="12">
        <f>IFERROR(O69/$AA69,0)</f>
        <v>0</v>
      </c>
      <c r="Q69">
        <f>SUMIFS(banco!S:S,banco!$C:$C,$B69,banco!$A:$A,$A69)</f>
        <v>0</v>
      </c>
      <c r="R69" s="12">
        <f>IFERROR(Q69/$AB69,0)</f>
        <v>0</v>
      </c>
      <c r="S69">
        <f>SUMIFS(banco!U:U,banco!$C:$C,$B69,banco!$A:$A,$A69)</f>
        <v>0</v>
      </c>
      <c r="T69" s="12">
        <f>IFERROR(S69/$AA69,0)</f>
        <v>0</v>
      </c>
      <c r="U69">
        <f>SUMIFS(banco!W:W,banco!$C:$C,$B69,banco!$A:$A,$A69)</f>
        <v>0</v>
      </c>
      <c r="V69" s="12">
        <f>IFERROR(U69/$AB69,0)</f>
        <v>0</v>
      </c>
      <c r="W69">
        <f>SUMIFS(banco!Y:Y,banco!$C:$C,$B69,banco!$A:$A,$A69)</f>
        <v>0</v>
      </c>
      <c r="X69" s="12">
        <f>IFERROR(W69/$AA69,0)</f>
        <v>0</v>
      </c>
      <c r="Y69">
        <f>SUMIFS(banco!AA:AA,banco!$C:$C,$B69,banco!$A:$A,$A69)</f>
        <v>0</v>
      </c>
      <c r="Z69" s="12">
        <f>IFERROR(Y69/$AB69,0)</f>
        <v>0</v>
      </c>
      <c r="AA69">
        <f>SUMIFS(banco!AC:AC,banco!$C:$C,$B69,banco!$A:$A,$A69)</f>
        <v>0</v>
      </c>
      <c r="AB69">
        <f>SUMIFS(banco!AD:AD,banco!$C:$C,$B69,banco!$A:$A,$A69)</f>
        <v>0</v>
      </c>
      <c r="AC69">
        <v>29079</v>
      </c>
    </row>
    <row r="70" spans="1:29" x14ac:dyDescent="0.25">
      <c r="A70" s="20">
        <v>2016</v>
      </c>
      <c r="B70" s="18" t="s">
        <v>150</v>
      </c>
      <c r="C70">
        <f>SUMIFS(banco!E:E,banco!$C:$C,$B70,banco!$A:$A,$A70)</f>
        <v>0</v>
      </c>
      <c r="D70" s="12">
        <f>IFERROR(C70/$AA70,0)</f>
        <v>0</v>
      </c>
      <c r="E70">
        <f>SUMIFS(banco!G:G,banco!$C:$C,$B70,banco!$A:$A,$A70)</f>
        <v>0</v>
      </c>
      <c r="F70" s="12">
        <f>IFERROR(E70/$AB70,0)</f>
        <v>0</v>
      </c>
      <c r="G70">
        <f>SUMIFS(banco!I:I,banco!$C:$C,$B70,banco!$A:$A,$A70)</f>
        <v>0</v>
      </c>
      <c r="H70" s="12">
        <f>IFERROR(G70/$AA70,0)</f>
        <v>0</v>
      </c>
      <c r="I70">
        <f>SUMIFS(banco!K:K,banco!$C:$C,$B70,banco!$A:$A,$A70)</f>
        <v>0</v>
      </c>
      <c r="J70" s="12">
        <f>IFERROR(I70/$AB70,0)</f>
        <v>0</v>
      </c>
      <c r="K70">
        <f>SUMIFS(banco!M:M,banco!$C:$C,$B70,banco!$A:$A,$A70)</f>
        <v>0</v>
      </c>
      <c r="L70" s="12">
        <f>IFERROR(K70/$AA70,0)</f>
        <v>0</v>
      </c>
      <c r="M70">
        <f>SUMIFS(banco!O:O,banco!$C:$C,$B70,banco!$A:$A,$A70)</f>
        <v>0</v>
      </c>
      <c r="N70" s="12">
        <f>IFERROR(M70/$AB70,0)</f>
        <v>0</v>
      </c>
      <c r="O70">
        <f>SUMIFS(banco!Q:Q,banco!$C:$C,$B70,banco!$A:$A,$A70)</f>
        <v>0</v>
      </c>
      <c r="P70" s="12">
        <f>IFERROR(O70/$AA70,0)</f>
        <v>0</v>
      </c>
      <c r="Q70">
        <f>SUMIFS(banco!S:S,banco!$C:$C,$B70,banco!$A:$A,$A70)</f>
        <v>0</v>
      </c>
      <c r="R70" s="12">
        <f>IFERROR(Q70/$AB70,0)</f>
        <v>0</v>
      </c>
      <c r="S70">
        <f>SUMIFS(banco!U:U,banco!$C:$C,$B70,banco!$A:$A,$A70)</f>
        <v>0</v>
      </c>
      <c r="T70" s="12">
        <f>IFERROR(S70/$AA70,0)</f>
        <v>0</v>
      </c>
      <c r="U70">
        <f>SUMIFS(banco!W:W,banco!$C:$C,$B70,banco!$A:$A,$A70)</f>
        <v>0</v>
      </c>
      <c r="V70" s="12">
        <f>IFERROR(U70/$AB70,0)</f>
        <v>0</v>
      </c>
      <c r="W70">
        <f>SUMIFS(banco!Y:Y,banco!$C:$C,$B70,banco!$A:$A,$A70)</f>
        <v>0</v>
      </c>
      <c r="X70" s="12">
        <f>IFERROR(W70/$AA70,0)</f>
        <v>0</v>
      </c>
      <c r="Y70">
        <f>SUMIFS(banco!AA:AA,banco!$C:$C,$B70,banco!$A:$A,$A70)</f>
        <v>0</v>
      </c>
      <c r="Z70" s="12">
        <f>IFERROR(Y70/$AB70,0)</f>
        <v>0</v>
      </c>
      <c r="AA70">
        <f>SUMIFS(banco!AC:AC,banco!$C:$C,$B70,banco!$A:$A,$A70)</f>
        <v>0</v>
      </c>
      <c r="AB70">
        <f>SUMIFS(banco!AD:AD,banco!$C:$C,$B70,banco!$A:$A,$A70)</f>
        <v>0</v>
      </c>
      <c r="AC70">
        <v>12633</v>
      </c>
    </row>
    <row r="71" spans="1:29" x14ac:dyDescent="0.25">
      <c r="A71" s="20">
        <v>2016</v>
      </c>
      <c r="B71" s="18" t="s">
        <v>146</v>
      </c>
      <c r="C71">
        <f>SUMIFS(banco!E:E,banco!$C:$C,$B71,banco!$A:$A,$A71)</f>
        <v>0</v>
      </c>
      <c r="D71" s="12">
        <f>IFERROR(C71/$AA71,0)</f>
        <v>0</v>
      </c>
      <c r="E71">
        <f>SUMIFS(banco!G:G,banco!$C:$C,$B71,banco!$A:$A,$A71)</f>
        <v>0</v>
      </c>
      <c r="F71" s="12">
        <f>IFERROR(E71/$AB71,0)</f>
        <v>0</v>
      </c>
      <c r="G71">
        <f>SUMIFS(banco!I:I,banco!$C:$C,$B71,banco!$A:$A,$A71)</f>
        <v>0</v>
      </c>
      <c r="H71" s="12">
        <f>IFERROR(G71/$AA71,0)</f>
        <v>0</v>
      </c>
      <c r="I71">
        <f>SUMIFS(banco!K:K,banco!$C:$C,$B71,banco!$A:$A,$A71)</f>
        <v>0</v>
      </c>
      <c r="J71" s="12">
        <f>IFERROR(I71/$AB71,0)</f>
        <v>0</v>
      </c>
      <c r="K71">
        <f>SUMIFS(banco!M:M,banco!$C:$C,$B71,banco!$A:$A,$A71)</f>
        <v>0</v>
      </c>
      <c r="L71" s="12">
        <f>IFERROR(K71/$AA71,0)</f>
        <v>0</v>
      </c>
      <c r="M71">
        <f>SUMIFS(banco!O:O,banco!$C:$C,$B71,banco!$A:$A,$A71)</f>
        <v>0</v>
      </c>
      <c r="N71" s="12">
        <f>IFERROR(M71/$AB71,0)</f>
        <v>0</v>
      </c>
      <c r="O71">
        <f>SUMIFS(banco!Q:Q,banco!$C:$C,$B71,banco!$A:$A,$A71)</f>
        <v>0</v>
      </c>
      <c r="P71" s="12">
        <f>IFERROR(O71/$AA71,0)</f>
        <v>0</v>
      </c>
      <c r="Q71">
        <f>SUMIFS(banco!S:S,banco!$C:$C,$B71,banco!$A:$A,$A71)</f>
        <v>0</v>
      </c>
      <c r="R71" s="12">
        <f>IFERROR(Q71/$AB71,0)</f>
        <v>0</v>
      </c>
      <c r="S71">
        <f>SUMIFS(banco!U:U,banco!$C:$C,$B71,banco!$A:$A,$A71)</f>
        <v>0</v>
      </c>
      <c r="T71" s="12">
        <f>IFERROR(S71/$AA71,0)</f>
        <v>0</v>
      </c>
      <c r="U71">
        <f>SUMIFS(banco!W:W,banco!$C:$C,$B71,banco!$A:$A,$A71)</f>
        <v>0</v>
      </c>
      <c r="V71" s="12">
        <f>IFERROR(U71/$AB71,0)</f>
        <v>0</v>
      </c>
      <c r="W71">
        <f>SUMIFS(banco!Y:Y,banco!$C:$C,$B71,banco!$A:$A,$A71)</f>
        <v>0</v>
      </c>
      <c r="X71" s="12">
        <f>IFERROR(W71/$AA71,0)</f>
        <v>0</v>
      </c>
      <c r="Y71">
        <f>SUMIFS(banco!AA:AA,banco!$C:$C,$B71,banco!$A:$A,$A71)</f>
        <v>0</v>
      </c>
      <c r="Z71" s="12">
        <f>IFERROR(Y71/$AB71,0)</f>
        <v>0</v>
      </c>
      <c r="AA71">
        <f>SUMIFS(banco!AC:AC,banco!$C:$C,$B71,banco!$A:$A,$A71)</f>
        <v>0</v>
      </c>
      <c r="AB71">
        <f>SUMIFS(banco!AD:AD,banco!$C:$C,$B71,banco!$A:$A,$A71)</f>
        <v>0</v>
      </c>
      <c r="AC71">
        <v>13489</v>
      </c>
    </row>
    <row r="72" spans="1:29" x14ac:dyDescent="0.25">
      <c r="A72" s="20">
        <v>2016</v>
      </c>
      <c r="B72" s="18" t="s">
        <v>149</v>
      </c>
      <c r="C72">
        <f>SUMIFS(banco!E:E,banco!$C:$C,$B72,banco!$A:$A,$A72)</f>
        <v>0</v>
      </c>
      <c r="D72" s="12">
        <f>IFERROR(C72/$AA72,0)</f>
        <v>0</v>
      </c>
      <c r="E72">
        <f>SUMIFS(banco!G:G,banco!$C:$C,$B72,banco!$A:$A,$A72)</f>
        <v>0</v>
      </c>
      <c r="F72" s="12">
        <f>IFERROR(E72/$AB72,0)</f>
        <v>0</v>
      </c>
      <c r="G72">
        <f>SUMIFS(banco!I:I,banco!$C:$C,$B72,banco!$A:$A,$A72)</f>
        <v>0</v>
      </c>
      <c r="H72" s="12">
        <f>IFERROR(G72/$AA72,0)</f>
        <v>0</v>
      </c>
      <c r="I72">
        <f>SUMIFS(banco!K:K,banco!$C:$C,$B72,banco!$A:$A,$A72)</f>
        <v>0</v>
      </c>
      <c r="J72" s="12">
        <f>IFERROR(I72/$AB72,0)</f>
        <v>0</v>
      </c>
      <c r="K72">
        <f>SUMIFS(banco!M:M,banco!$C:$C,$B72,banco!$A:$A,$A72)</f>
        <v>0</v>
      </c>
      <c r="L72" s="12">
        <f>IFERROR(K72/$AA72,0)</f>
        <v>0</v>
      </c>
      <c r="M72">
        <f>SUMIFS(banco!O:O,banco!$C:$C,$B72,banco!$A:$A,$A72)</f>
        <v>0</v>
      </c>
      <c r="N72" s="12">
        <f>IFERROR(M72/$AB72,0)</f>
        <v>0</v>
      </c>
      <c r="O72">
        <f>SUMIFS(banco!Q:Q,banco!$C:$C,$B72,banco!$A:$A,$A72)</f>
        <v>0</v>
      </c>
      <c r="P72" s="12">
        <f>IFERROR(O72/$AA72,0)</f>
        <v>0</v>
      </c>
      <c r="Q72">
        <f>SUMIFS(banco!S:S,banco!$C:$C,$B72,banco!$A:$A,$A72)</f>
        <v>0</v>
      </c>
      <c r="R72" s="12">
        <f>IFERROR(Q72/$AB72,0)</f>
        <v>0</v>
      </c>
      <c r="S72">
        <f>SUMIFS(banco!U:U,banco!$C:$C,$B72,banco!$A:$A,$A72)</f>
        <v>0</v>
      </c>
      <c r="T72" s="12">
        <f>IFERROR(S72/$AA72,0)</f>
        <v>0</v>
      </c>
      <c r="U72">
        <f>SUMIFS(banco!W:W,banco!$C:$C,$B72,banco!$A:$A,$A72)</f>
        <v>0</v>
      </c>
      <c r="V72" s="12">
        <f>IFERROR(U72/$AB72,0)</f>
        <v>0</v>
      </c>
      <c r="W72">
        <f>SUMIFS(banco!Y:Y,banco!$C:$C,$B72,banco!$A:$A,$A72)</f>
        <v>0</v>
      </c>
      <c r="X72" s="12">
        <f>IFERROR(W72/$AA72,0)</f>
        <v>0</v>
      </c>
      <c r="Y72">
        <f>SUMIFS(banco!AA:AA,banco!$C:$C,$B72,banco!$A:$A,$A72)</f>
        <v>0</v>
      </c>
      <c r="Z72" s="12">
        <f>IFERROR(Y72/$AB72,0)</f>
        <v>0</v>
      </c>
      <c r="AA72">
        <f>SUMIFS(banco!AC:AC,banco!$C:$C,$B72,banco!$A:$A,$A72)</f>
        <v>0</v>
      </c>
      <c r="AB72">
        <f>SUMIFS(banco!AD:AD,banco!$C:$C,$B72,banco!$A:$A,$A72)</f>
        <v>0</v>
      </c>
      <c r="AC72">
        <v>23625</v>
      </c>
    </row>
    <row r="73" spans="1:29" x14ac:dyDescent="0.25">
      <c r="A73" s="20">
        <v>2016</v>
      </c>
      <c r="B73" s="18" t="s">
        <v>147</v>
      </c>
      <c r="C73">
        <f>SUMIFS(banco!E:E,banco!$C:$C,$B73,banco!$A:$A,$A73)</f>
        <v>0</v>
      </c>
      <c r="D73" s="12">
        <f>IFERROR(C73/$AA73,0)</f>
        <v>0</v>
      </c>
      <c r="E73">
        <f>SUMIFS(banco!G:G,banco!$C:$C,$B73,banco!$A:$A,$A73)</f>
        <v>0</v>
      </c>
      <c r="F73" s="12">
        <f>IFERROR(E73/$AB73,0)</f>
        <v>0</v>
      </c>
      <c r="G73">
        <f>SUMIFS(banco!I:I,banco!$C:$C,$B73,banco!$A:$A,$A73)</f>
        <v>0</v>
      </c>
      <c r="H73" s="12">
        <f>IFERROR(G73/$AA73,0)</f>
        <v>0</v>
      </c>
      <c r="I73">
        <f>SUMIFS(banco!K:K,banco!$C:$C,$B73,banco!$A:$A,$A73)</f>
        <v>0</v>
      </c>
      <c r="J73" s="12">
        <f>IFERROR(I73/$AB73,0)</f>
        <v>0</v>
      </c>
      <c r="K73">
        <f>SUMIFS(banco!M:M,banco!$C:$C,$B73,banco!$A:$A,$A73)</f>
        <v>0</v>
      </c>
      <c r="L73" s="12">
        <f>IFERROR(K73/$AA73,0)</f>
        <v>0</v>
      </c>
      <c r="M73">
        <f>SUMIFS(banco!O:O,banco!$C:$C,$B73,banco!$A:$A,$A73)</f>
        <v>0</v>
      </c>
      <c r="N73" s="12">
        <f>IFERROR(M73/$AB73,0)</f>
        <v>0</v>
      </c>
      <c r="O73">
        <f>SUMIFS(banco!Q:Q,banco!$C:$C,$B73,banco!$A:$A,$A73)</f>
        <v>0</v>
      </c>
      <c r="P73" s="12">
        <f>IFERROR(O73/$AA73,0)</f>
        <v>0</v>
      </c>
      <c r="Q73">
        <f>SUMIFS(banco!S:S,banco!$C:$C,$B73,banco!$A:$A,$A73)</f>
        <v>0</v>
      </c>
      <c r="R73" s="12">
        <f>IFERROR(Q73/$AB73,0)</f>
        <v>0</v>
      </c>
      <c r="S73">
        <f>SUMIFS(banco!U:U,banco!$C:$C,$B73,banco!$A:$A,$A73)</f>
        <v>0</v>
      </c>
      <c r="T73" s="12">
        <f>IFERROR(S73/$AA73,0)</f>
        <v>0</v>
      </c>
      <c r="U73">
        <f>SUMIFS(banco!W:W,banco!$C:$C,$B73,banco!$A:$A,$A73)</f>
        <v>0</v>
      </c>
      <c r="V73" s="12">
        <f>IFERROR(U73/$AB73,0)</f>
        <v>0</v>
      </c>
      <c r="W73">
        <f>SUMIFS(banco!Y:Y,banco!$C:$C,$B73,banco!$A:$A,$A73)</f>
        <v>0</v>
      </c>
      <c r="X73" s="12">
        <f>IFERROR(W73/$AA73,0)</f>
        <v>0</v>
      </c>
      <c r="Y73">
        <f>SUMIFS(banco!AA:AA,banco!$C:$C,$B73,banco!$A:$A,$A73)</f>
        <v>0</v>
      </c>
      <c r="Z73" s="12">
        <f>IFERROR(Y73/$AB73,0)</f>
        <v>0</v>
      </c>
      <c r="AA73">
        <f>SUMIFS(banco!AC:AC,banco!$C:$C,$B73,banco!$A:$A,$A73)</f>
        <v>0</v>
      </c>
      <c r="AB73">
        <f>SUMIFS(banco!AD:AD,banco!$C:$C,$B73,banco!$A:$A,$A73)</f>
        <v>0</v>
      </c>
      <c r="AC73">
        <v>7949</v>
      </c>
    </row>
    <row r="74" spans="1:29" x14ac:dyDescent="0.25">
      <c r="A74" s="20">
        <v>2015</v>
      </c>
      <c r="B74" s="18" t="s">
        <v>151</v>
      </c>
      <c r="C74">
        <f>SUMIFS(banco!E:E,banco!$C:$C,$B74,banco!$A:$A,$A74)</f>
        <v>0</v>
      </c>
      <c r="D74" s="12">
        <f>IFERROR(C74/$AA74,0)</f>
        <v>0</v>
      </c>
      <c r="E74">
        <f>SUMIFS(banco!G:G,banco!$C:$C,$B74,banco!$A:$A,$A74)</f>
        <v>0</v>
      </c>
      <c r="F74" s="12">
        <f>IFERROR(E74/$AB74,0)</f>
        <v>0</v>
      </c>
      <c r="G74">
        <f>SUMIFS(banco!I:I,banco!$C:$C,$B74,banco!$A:$A,$A74)</f>
        <v>0</v>
      </c>
      <c r="H74" s="12">
        <f>IFERROR(G74/$AA74,0)</f>
        <v>0</v>
      </c>
      <c r="I74">
        <f>SUMIFS(banco!K:K,banco!$C:$C,$B74,banco!$A:$A,$A74)</f>
        <v>0</v>
      </c>
      <c r="J74" s="12">
        <f>IFERROR(I74/$AB74,0)</f>
        <v>0</v>
      </c>
      <c r="K74">
        <f>SUMIFS(banco!M:M,banco!$C:$C,$B74,banco!$A:$A,$A74)</f>
        <v>0</v>
      </c>
      <c r="L74" s="12">
        <f>IFERROR(K74/$AA74,0)</f>
        <v>0</v>
      </c>
      <c r="M74">
        <f>SUMIFS(banco!O:O,banco!$C:$C,$B74,banco!$A:$A,$A74)</f>
        <v>0</v>
      </c>
      <c r="N74" s="12">
        <f>IFERROR(M74/$AB74,0)</f>
        <v>0</v>
      </c>
      <c r="O74">
        <f>SUMIFS(banco!Q:Q,banco!$C:$C,$B74,banco!$A:$A,$A74)</f>
        <v>0</v>
      </c>
      <c r="P74" s="12">
        <f>IFERROR(O74/$AA74,0)</f>
        <v>0</v>
      </c>
      <c r="Q74">
        <f>SUMIFS(banco!S:S,banco!$C:$C,$B74,banco!$A:$A,$A74)</f>
        <v>0</v>
      </c>
      <c r="R74" s="12">
        <f>IFERROR(Q74/$AB74,0)</f>
        <v>0</v>
      </c>
      <c r="S74">
        <f>SUMIFS(banco!U:U,banco!$C:$C,$B74,banco!$A:$A,$A74)</f>
        <v>0</v>
      </c>
      <c r="T74" s="12">
        <f>IFERROR(S74/$AA74,0)</f>
        <v>0</v>
      </c>
      <c r="U74">
        <f>SUMIFS(banco!W:W,banco!$C:$C,$B74,banco!$A:$A,$A74)</f>
        <v>0</v>
      </c>
      <c r="V74" s="12">
        <f>IFERROR(U74/$AB74,0)</f>
        <v>0</v>
      </c>
      <c r="W74">
        <f>SUMIFS(banco!Y:Y,banco!$C:$C,$B74,banco!$A:$A,$A74)</f>
        <v>0</v>
      </c>
      <c r="X74" s="12">
        <f>IFERROR(W74/$AA74,0)</f>
        <v>0</v>
      </c>
      <c r="Y74">
        <f>SUMIFS(banco!AA:AA,banco!$C:$C,$B74,banco!$A:$A,$A74)</f>
        <v>0</v>
      </c>
      <c r="Z74" s="12">
        <f>IFERROR(Y74/$AB74,0)</f>
        <v>0</v>
      </c>
      <c r="AA74">
        <f>SUMIFS(banco!AC:AC,banco!C:C,Tabela1[[#This Row],[REGIÃO DE SAÚDE]],banco!A:A,Tabela1[[#This Row],[Ano]])</f>
        <v>0</v>
      </c>
      <c r="AB74">
        <f>SUMIFS(banco!AD:AD,banco!$C:$C,$B74,banco!$A:$A,$A74)</f>
        <v>0</v>
      </c>
      <c r="AC74">
        <v>9902</v>
      </c>
    </row>
    <row r="75" spans="1:29" x14ac:dyDescent="0.25">
      <c r="A75" s="20">
        <v>2015</v>
      </c>
      <c r="B75" s="18" t="s">
        <v>145</v>
      </c>
      <c r="C75">
        <f>SUMIFS(banco!E:E,banco!$C:$C,$B75,banco!$A:$A,$A75)</f>
        <v>0</v>
      </c>
      <c r="D75" s="12">
        <f>IFERROR(C75/$AA75,0)</f>
        <v>0</v>
      </c>
      <c r="E75">
        <f>SUMIFS(banco!G:G,banco!$C:$C,$B75,banco!$A:$A,$A75)</f>
        <v>0</v>
      </c>
      <c r="F75" s="12">
        <f>IFERROR(E75/$AB75,0)</f>
        <v>0</v>
      </c>
      <c r="G75">
        <f>SUMIFS(banco!I:I,banco!$C:$C,$B75,banco!$A:$A,$A75)</f>
        <v>0</v>
      </c>
      <c r="H75" s="12">
        <f>IFERROR(G75/$AA75,0)</f>
        <v>0</v>
      </c>
      <c r="I75">
        <f>SUMIFS(banco!K:K,banco!$C:$C,$B75,banco!$A:$A,$A75)</f>
        <v>0</v>
      </c>
      <c r="J75" s="12">
        <f>IFERROR(I75/$AB75,0)</f>
        <v>0</v>
      </c>
      <c r="K75">
        <f>SUMIFS(banco!M:M,banco!$C:$C,$B75,banco!$A:$A,$A75)</f>
        <v>0</v>
      </c>
      <c r="L75" s="12">
        <f>IFERROR(K75/$AA75,0)</f>
        <v>0</v>
      </c>
      <c r="M75">
        <f>SUMIFS(banco!O:O,banco!$C:$C,$B75,banco!$A:$A,$A75)</f>
        <v>0</v>
      </c>
      <c r="N75" s="12">
        <f>IFERROR(M75/$AB75,0)</f>
        <v>0</v>
      </c>
      <c r="O75">
        <f>SUMIFS(banco!Q:Q,banco!$C:$C,$B75,banco!$A:$A,$A75)</f>
        <v>0</v>
      </c>
      <c r="P75" s="12">
        <f>IFERROR(O75/$AA75,0)</f>
        <v>0</v>
      </c>
      <c r="Q75">
        <f>SUMIFS(banco!S:S,banco!$C:$C,$B75,banco!$A:$A,$A75)</f>
        <v>0</v>
      </c>
      <c r="R75" s="12">
        <f>IFERROR(Q75/$AB75,0)</f>
        <v>0</v>
      </c>
      <c r="S75">
        <f>SUMIFS(banco!U:U,banco!$C:$C,$B75,banco!$A:$A,$A75)</f>
        <v>0</v>
      </c>
      <c r="T75" s="12">
        <f>IFERROR(S75/$AA75,0)</f>
        <v>0</v>
      </c>
      <c r="U75">
        <f>SUMIFS(banco!W:W,banco!$C:$C,$B75,banco!$A:$A,$A75)</f>
        <v>0</v>
      </c>
      <c r="V75" s="12">
        <f>IFERROR(U75/$AB75,0)</f>
        <v>0</v>
      </c>
      <c r="W75">
        <f>SUMIFS(banco!Y:Y,banco!$C:$C,$B75,banco!$A:$A,$A75)</f>
        <v>0</v>
      </c>
      <c r="X75" s="12">
        <f>IFERROR(W75/$AA75,0)</f>
        <v>0</v>
      </c>
      <c r="Y75">
        <f>SUMIFS(banco!AA:AA,banco!$C:$C,$B75,banco!$A:$A,$A75)</f>
        <v>0</v>
      </c>
      <c r="Z75" s="12">
        <f>IFERROR(Y75/$AB75,0)</f>
        <v>0</v>
      </c>
      <c r="AA75">
        <f>SUMIFS(banco!AC:AC,banco!$C:$C,$B75,banco!$A:$A,$A75)</f>
        <v>0</v>
      </c>
      <c r="AB75">
        <f>SUMIFS(banco!AD:AD,banco!$C:$C,$B75,banco!$A:$A,$A75)</f>
        <v>0</v>
      </c>
      <c r="AC75">
        <v>19224</v>
      </c>
    </row>
    <row r="76" spans="1:29" x14ac:dyDescent="0.25">
      <c r="A76" s="20">
        <v>2015</v>
      </c>
      <c r="B76" s="18" t="s">
        <v>144</v>
      </c>
      <c r="C76">
        <f>SUMIFS(banco!E:E,banco!$C:$C,$B76,banco!$A:$A,$A76)</f>
        <v>0</v>
      </c>
      <c r="D76" s="12">
        <f>IFERROR(C76/$AA76,0)</f>
        <v>0</v>
      </c>
      <c r="E76">
        <f>SUMIFS(banco!G:G,banco!$C:$C,$B76,banco!$A:$A,$A76)</f>
        <v>0</v>
      </c>
      <c r="F76" s="12">
        <f>IFERROR(E76/$AB76,0)</f>
        <v>0</v>
      </c>
      <c r="G76">
        <f>SUMIFS(banco!I:I,banco!$C:$C,$B76,banco!$A:$A,$A76)</f>
        <v>0</v>
      </c>
      <c r="H76" s="12">
        <f>IFERROR(G76/$AA76,0)</f>
        <v>0</v>
      </c>
      <c r="I76">
        <f>SUMIFS(banco!K:K,banco!$C:$C,$B76,banco!$A:$A,$A76)</f>
        <v>0</v>
      </c>
      <c r="J76" s="12">
        <f>IFERROR(I76/$AB76,0)</f>
        <v>0</v>
      </c>
      <c r="K76">
        <f>SUMIFS(banco!M:M,banco!$C:$C,$B76,banco!$A:$A,$A76)</f>
        <v>0</v>
      </c>
      <c r="L76" s="12">
        <f>IFERROR(K76/$AA76,0)</f>
        <v>0</v>
      </c>
      <c r="M76">
        <f>SUMIFS(banco!O:O,banco!$C:$C,$B76,banco!$A:$A,$A76)</f>
        <v>0</v>
      </c>
      <c r="N76" s="12">
        <f>IFERROR(M76/$AB76,0)</f>
        <v>0</v>
      </c>
      <c r="O76">
        <f>SUMIFS(banco!Q:Q,banco!$C:$C,$B76,banco!$A:$A,$A76)</f>
        <v>0</v>
      </c>
      <c r="P76" s="12">
        <f>IFERROR(O76/$AA76,0)</f>
        <v>0</v>
      </c>
      <c r="Q76">
        <f>SUMIFS(banco!S:S,banco!$C:$C,$B76,banco!$A:$A,$A76)</f>
        <v>0</v>
      </c>
      <c r="R76" s="12">
        <f>IFERROR(Q76/$AB76,0)</f>
        <v>0</v>
      </c>
      <c r="S76">
        <f>SUMIFS(banco!U:U,banco!$C:$C,$B76,banco!$A:$A,$A76)</f>
        <v>0</v>
      </c>
      <c r="T76" s="12">
        <f>IFERROR(S76/$AA76,0)</f>
        <v>0</v>
      </c>
      <c r="U76">
        <f>SUMIFS(banco!W:W,banco!$C:$C,$B76,banco!$A:$A,$A76)</f>
        <v>0</v>
      </c>
      <c r="V76" s="12">
        <f>IFERROR(U76/$AB76,0)</f>
        <v>0</v>
      </c>
      <c r="W76">
        <f>SUMIFS(banco!Y:Y,banco!$C:$C,$B76,banco!$A:$A,$A76)</f>
        <v>0</v>
      </c>
      <c r="X76" s="12">
        <f>IFERROR(W76/$AA76,0)</f>
        <v>0</v>
      </c>
      <c r="Y76">
        <f>SUMIFS(banco!AA:AA,banco!$C:$C,$B76,banco!$A:$A,$A76)</f>
        <v>0</v>
      </c>
      <c r="Z76" s="12">
        <f>IFERROR(Y76/$AB76,0)</f>
        <v>0</v>
      </c>
      <c r="AA76">
        <f>SUMIFS(banco!AC:AC,banco!$C:$C,$B76,banco!$A:$A,$A76)</f>
        <v>0</v>
      </c>
      <c r="AB76">
        <f>SUMIFS(banco!AD:AD,banco!$C:$C,$B76,banco!$A:$A,$A76)</f>
        <v>0</v>
      </c>
      <c r="AC76">
        <v>10333</v>
      </c>
    </row>
    <row r="77" spans="1:29" x14ac:dyDescent="0.25">
      <c r="A77" s="20">
        <v>2015</v>
      </c>
      <c r="B77" s="18" t="s">
        <v>148</v>
      </c>
      <c r="C77">
        <f>SUMIFS(banco!E:E,banco!$C:$C,$B77,banco!$A:$A,$A77)</f>
        <v>0</v>
      </c>
      <c r="D77" s="12">
        <f>IFERROR(C77/$AA77,0)</f>
        <v>0</v>
      </c>
      <c r="E77">
        <f>SUMIFS(banco!G:G,banco!$C:$C,$B77,banco!$A:$A,$A77)</f>
        <v>0</v>
      </c>
      <c r="F77" s="12">
        <f>IFERROR(E77/$AB77,0)</f>
        <v>0</v>
      </c>
      <c r="G77">
        <f>SUMIFS(banco!I:I,banco!$C:$C,$B77,banco!$A:$A,$A77)</f>
        <v>0</v>
      </c>
      <c r="H77" s="12">
        <f>IFERROR(G77/$AA77,0)</f>
        <v>0</v>
      </c>
      <c r="I77">
        <f>SUMIFS(banco!K:K,banco!$C:$C,$B77,banco!$A:$A,$A77)</f>
        <v>0</v>
      </c>
      <c r="J77" s="12">
        <f>IFERROR(I77/$AB77,0)</f>
        <v>0</v>
      </c>
      <c r="K77">
        <f>SUMIFS(banco!M:M,banco!$C:$C,$B77,banco!$A:$A,$A77)</f>
        <v>0</v>
      </c>
      <c r="L77" s="12">
        <f>IFERROR(K77/$AA77,0)</f>
        <v>0</v>
      </c>
      <c r="M77">
        <f>SUMIFS(banco!O:O,banco!$C:$C,$B77,banco!$A:$A,$A77)</f>
        <v>0</v>
      </c>
      <c r="N77" s="12">
        <f>IFERROR(M77/$AB77,0)</f>
        <v>0</v>
      </c>
      <c r="O77">
        <f>SUMIFS(banco!Q:Q,banco!$C:$C,$B77,banco!$A:$A,$A77)</f>
        <v>0</v>
      </c>
      <c r="P77" s="12">
        <f>IFERROR(O77/$AA77,0)</f>
        <v>0</v>
      </c>
      <c r="Q77">
        <f>SUMIFS(banco!S:S,banco!$C:$C,$B77,banco!$A:$A,$A77)</f>
        <v>0</v>
      </c>
      <c r="R77" s="12">
        <f>IFERROR(Q77/$AB77,0)</f>
        <v>0</v>
      </c>
      <c r="S77">
        <f>SUMIFS(banco!U:U,banco!$C:$C,$B77,banco!$A:$A,$A77)</f>
        <v>0</v>
      </c>
      <c r="T77" s="12">
        <f>IFERROR(S77/$AA77,0)</f>
        <v>0</v>
      </c>
      <c r="U77">
        <f>SUMIFS(banco!W:W,banco!$C:$C,$B77,banco!$A:$A,$A77)</f>
        <v>0</v>
      </c>
      <c r="V77" s="12">
        <f>IFERROR(U77/$AB77,0)</f>
        <v>0</v>
      </c>
      <c r="W77">
        <f>SUMIFS(banco!Y:Y,banco!$C:$C,$B77,banco!$A:$A,$A77)</f>
        <v>0</v>
      </c>
      <c r="X77" s="12">
        <f>IFERROR(W77/$AA77,0)</f>
        <v>0</v>
      </c>
      <c r="Y77">
        <f>SUMIFS(banco!AA:AA,banco!$C:$C,$B77,banco!$A:$A,$A77)</f>
        <v>0</v>
      </c>
      <c r="Z77" s="12">
        <f>IFERROR(Y77/$AB77,0)</f>
        <v>0</v>
      </c>
      <c r="AA77">
        <f>SUMIFS(banco!AC:AC,banco!$C:$C,$B77,banco!$A:$A,$A77)</f>
        <v>0</v>
      </c>
      <c r="AB77">
        <f>SUMIFS(banco!AD:AD,banco!$C:$C,$B77,banco!$A:$A,$A77)</f>
        <v>0</v>
      </c>
      <c r="AC77">
        <v>29079</v>
      </c>
    </row>
    <row r="78" spans="1:29" x14ac:dyDescent="0.25">
      <c r="A78" s="20">
        <v>2015</v>
      </c>
      <c r="B78" s="18" t="s">
        <v>150</v>
      </c>
      <c r="C78">
        <f>SUMIFS(banco!E:E,banco!$C:$C,$B78,banco!$A:$A,$A78)</f>
        <v>0</v>
      </c>
      <c r="D78" s="12">
        <f>IFERROR(C78/$AA78,0)</f>
        <v>0</v>
      </c>
      <c r="E78">
        <f>SUMIFS(banco!G:G,banco!$C:$C,$B78,banco!$A:$A,$A78)</f>
        <v>0</v>
      </c>
      <c r="F78" s="12">
        <f>IFERROR(E78/$AB78,0)</f>
        <v>0</v>
      </c>
      <c r="G78">
        <f>SUMIFS(banco!I:I,banco!$C:$C,$B78,banco!$A:$A,$A78)</f>
        <v>0</v>
      </c>
      <c r="H78" s="12">
        <f>IFERROR(G78/$AA78,0)</f>
        <v>0</v>
      </c>
      <c r="I78">
        <f>SUMIFS(banco!K:K,banco!$C:$C,$B78,banco!$A:$A,$A78)</f>
        <v>0</v>
      </c>
      <c r="J78" s="12">
        <f>IFERROR(I78/$AB78,0)</f>
        <v>0</v>
      </c>
      <c r="K78">
        <f>SUMIFS(banco!M:M,banco!$C:$C,$B78,banco!$A:$A,$A78)</f>
        <v>0</v>
      </c>
      <c r="L78" s="12">
        <f>IFERROR(K78/$AA78,0)</f>
        <v>0</v>
      </c>
      <c r="M78">
        <f>SUMIFS(banco!O:O,banco!$C:$C,$B78,banco!$A:$A,$A78)</f>
        <v>0</v>
      </c>
      <c r="N78" s="12">
        <f>IFERROR(M78/$AB78,0)</f>
        <v>0</v>
      </c>
      <c r="O78">
        <f>SUMIFS(banco!Q:Q,banco!$C:$C,$B78,banco!$A:$A,$A78)</f>
        <v>0</v>
      </c>
      <c r="P78" s="12">
        <f>IFERROR(O78/$AA78,0)</f>
        <v>0</v>
      </c>
      <c r="Q78">
        <f>SUMIFS(banco!S:S,banco!$C:$C,$B78,banco!$A:$A,$A78)</f>
        <v>0</v>
      </c>
      <c r="R78" s="12">
        <f>IFERROR(Q78/$AB78,0)</f>
        <v>0</v>
      </c>
      <c r="S78">
        <f>SUMIFS(banco!U:U,banco!$C:$C,$B78,banco!$A:$A,$A78)</f>
        <v>0</v>
      </c>
      <c r="T78" s="12">
        <f>IFERROR(S78/$AA78,0)</f>
        <v>0</v>
      </c>
      <c r="U78">
        <f>SUMIFS(banco!W:W,banco!$C:$C,$B78,banco!$A:$A,$A78)</f>
        <v>0</v>
      </c>
      <c r="V78" s="12">
        <f>IFERROR(U78/$AB78,0)</f>
        <v>0</v>
      </c>
      <c r="W78">
        <f>SUMIFS(banco!Y:Y,banco!$C:$C,$B78,banco!$A:$A,$A78)</f>
        <v>0</v>
      </c>
      <c r="X78" s="12">
        <f>IFERROR(W78/$AA78,0)</f>
        <v>0</v>
      </c>
      <c r="Y78">
        <f>SUMIFS(banco!AA:AA,banco!$C:$C,$B78,banco!$A:$A,$A78)</f>
        <v>0</v>
      </c>
      <c r="Z78" s="12">
        <f>IFERROR(Y78/$AB78,0)</f>
        <v>0</v>
      </c>
      <c r="AA78">
        <f>SUMIFS(banco!AC:AC,banco!$C:$C,$B78,banco!$A:$A,$A78)</f>
        <v>0</v>
      </c>
      <c r="AB78">
        <f>SUMIFS(banco!AD:AD,banco!$C:$C,$B78,banco!$A:$A,$A78)</f>
        <v>0</v>
      </c>
      <c r="AC78">
        <v>12965</v>
      </c>
    </row>
    <row r="79" spans="1:29" x14ac:dyDescent="0.25">
      <c r="A79" s="20">
        <v>2015</v>
      </c>
      <c r="B79" s="18" t="s">
        <v>146</v>
      </c>
      <c r="C79">
        <f>SUMIFS(banco!E:E,banco!$C:$C,$B79,banco!$A:$A,$A79)</f>
        <v>0</v>
      </c>
      <c r="D79" s="12">
        <f>IFERROR(C79/$AA79,0)</f>
        <v>0</v>
      </c>
      <c r="E79">
        <f>SUMIFS(banco!G:G,banco!$C:$C,$B79,banco!$A:$A,$A79)</f>
        <v>0</v>
      </c>
      <c r="F79" s="12">
        <f>IFERROR(E79/$AB79,0)</f>
        <v>0</v>
      </c>
      <c r="G79">
        <f>SUMIFS(banco!I:I,banco!$C:$C,$B79,banco!$A:$A,$A79)</f>
        <v>0</v>
      </c>
      <c r="H79" s="12">
        <f>IFERROR(G79/$AA79,0)</f>
        <v>0</v>
      </c>
      <c r="I79">
        <f>SUMIFS(banco!K:K,banco!$C:$C,$B79,banco!$A:$A,$A79)</f>
        <v>0</v>
      </c>
      <c r="J79" s="12">
        <f>IFERROR(I79/$AB79,0)</f>
        <v>0</v>
      </c>
      <c r="K79">
        <f>SUMIFS(banco!M:M,banco!$C:$C,$B79,banco!$A:$A,$A79)</f>
        <v>0</v>
      </c>
      <c r="L79" s="12">
        <f>IFERROR(K79/$AA79,0)</f>
        <v>0</v>
      </c>
      <c r="M79">
        <f>SUMIFS(banco!O:O,banco!$C:$C,$B79,banco!$A:$A,$A79)</f>
        <v>0</v>
      </c>
      <c r="N79" s="12">
        <f>IFERROR(M79/$AB79,0)</f>
        <v>0</v>
      </c>
      <c r="O79">
        <f>SUMIFS(banco!Q:Q,banco!$C:$C,$B79,banco!$A:$A,$A79)</f>
        <v>0</v>
      </c>
      <c r="P79" s="12">
        <f>IFERROR(O79/$AA79,0)</f>
        <v>0</v>
      </c>
      <c r="Q79">
        <f>SUMIFS(banco!S:S,banco!$C:$C,$B79,banco!$A:$A,$A79)</f>
        <v>0</v>
      </c>
      <c r="R79" s="12">
        <f>IFERROR(Q79/$AB79,0)</f>
        <v>0</v>
      </c>
      <c r="S79">
        <f>SUMIFS(banco!U:U,banco!$C:$C,$B79,banco!$A:$A,$A79)</f>
        <v>0</v>
      </c>
      <c r="T79" s="12">
        <f>IFERROR(S79/$AA79,0)</f>
        <v>0</v>
      </c>
      <c r="U79">
        <f>SUMIFS(banco!W:W,banco!$C:$C,$B79,banco!$A:$A,$A79)</f>
        <v>0</v>
      </c>
      <c r="V79" s="12">
        <f>IFERROR(U79/$AB79,0)</f>
        <v>0</v>
      </c>
      <c r="W79">
        <f>SUMIFS(banco!Y:Y,banco!$C:$C,$B79,banco!$A:$A,$A79)</f>
        <v>0</v>
      </c>
      <c r="X79" s="12">
        <f>IFERROR(W79/$AA79,0)</f>
        <v>0</v>
      </c>
      <c r="Y79">
        <f>SUMIFS(banco!AA:AA,banco!$C:$C,$B79,banco!$A:$A,$A79)</f>
        <v>0</v>
      </c>
      <c r="Z79" s="12">
        <f>IFERROR(Y79/$AB79,0)</f>
        <v>0</v>
      </c>
      <c r="AA79">
        <f>SUMIFS(banco!AC:AC,banco!$C:$C,$B79,banco!$A:$A,$A79)</f>
        <v>0</v>
      </c>
      <c r="AB79">
        <f>SUMIFS(banco!AD:AD,banco!$C:$C,$B79,banco!$A:$A,$A79)</f>
        <v>0</v>
      </c>
      <c r="AC79">
        <v>13861</v>
      </c>
    </row>
    <row r="80" spans="1:29" x14ac:dyDescent="0.25">
      <c r="A80" s="20">
        <v>2015</v>
      </c>
      <c r="B80" s="18" t="s">
        <v>149</v>
      </c>
      <c r="C80">
        <f>SUMIFS(banco!E:E,banco!$C:$C,$B80,banco!$A:$A,$A80)</f>
        <v>0</v>
      </c>
      <c r="D80" s="12">
        <f>IFERROR(C80/$AA80,0)</f>
        <v>0</v>
      </c>
      <c r="E80">
        <f>SUMIFS(banco!G:G,banco!$C:$C,$B80,banco!$A:$A,$A80)</f>
        <v>0</v>
      </c>
      <c r="F80" s="12">
        <f>IFERROR(E80/$AB80,0)</f>
        <v>0</v>
      </c>
      <c r="G80">
        <f>SUMIFS(banco!I:I,banco!$C:$C,$B80,banco!$A:$A,$A80)</f>
        <v>0</v>
      </c>
      <c r="H80" s="12">
        <f>IFERROR(G80/$AA80,0)</f>
        <v>0</v>
      </c>
      <c r="I80">
        <f>SUMIFS(banco!K:K,banco!$C:$C,$B80,banco!$A:$A,$A80)</f>
        <v>0</v>
      </c>
      <c r="J80" s="12">
        <f>IFERROR(I80/$AB80,0)</f>
        <v>0</v>
      </c>
      <c r="K80">
        <f>SUMIFS(banco!M:M,banco!$C:$C,$B80,banco!$A:$A,$A80)</f>
        <v>0</v>
      </c>
      <c r="L80" s="12">
        <f>IFERROR(K80/$AA80,0)</f>
        <v>0</v>
      </c>
      <c r="M80">
        <f>SUMIFS(banco!O:O,banco!$C:$C,$B80,banco!$A:$A,$A80)</f>
        <v>0</v>
      </c>
      <c r="N80" s="12">
        <f>IFERROR(M80/$AB80,0)</f>
        <v>0</v>
      </c>
      <c r="O80">
        <f>SUMIFS(banco!Q:Q,banco!$C:$C,$B80,banco!$A:$A,$A80)</f>
        <v>0</v>
      </c>
      <c r="P80" s="12">
        <f>IFERROR(O80/$AA80,0)</f>
        <v>0</v>
      </c>
      <c r="Q80">
        <f>SUMIFS(banco!S:S,banco!$C:$C,$B80,banco!$A:$A,$A80)</f>
        <v>0</v>
      </c>
      <c r="R80" s="12">
        <f>IFERROR(Q80/$AB80,0)</f>
        <v>0</v>
      </c>
      <c r="S80">
        <f>SUMIFS(banco!U:U,banco!$C:$C,$B80,banco!$A:$A,$A80)</f>
        <v>0</v>
      </c>
      <c r="T80" s="12">
        <f>IFERROR(S80/$AA80,0)</f>
        <v>0</v>
      </c>
      <c r="U80">
        <f>SUMIFS(banco!W:W,banco!$C:$C,$B80,banco!$A:$A,$A80)</f>
        <v>0</v>
      </c>
      <c r="V80" s="12">
        <f>IFERROR(U80/$AB80,0)</f>
        <v>0</v>
      </c>
      <c r="W80">
        <f>SUMIFS(banco!Y:Y,banco!$C:$C,$B80,banco!$A:$A,$A80)</f>
        <v>0</v>
      </c>
      <c r="X80" s="12">
        <f>IFERROR(W80/$AA80,0)</f>
        <v>0</v>
      </c>
      <c r="Y80">
        <f>SUMIFS(banco!AA:AA,banco!$C:$C,$B80,banco!$A:$A,$A80)</f>
        <v>0</v>
      </c>
      <c r="Z80" s="12">
        <f>IFERROR(Y80/$AB80,0)</f>
        <v>0</v>
      </c>
      <c r="AA80">
        <f>SUMIFS(banco!AC:AC,banco!$C:$C,$B80,banco!$A:$A,$A80)</f>
        <v>0</v>
      </c>
      <c r="AB80">
        <f>SUMIFS(banco!AD:AD,banco!$C:$C,$B80,banco!$A:$A,$A80)</f>
        <v>0</v>
      </c>
      <c r="AC80">
        <v>24037</v>
      </c>
    </row>
    <row r="81" spans="1:31" x14ac:dyDescent="0.25">
      <c r="A81" s="20">
        <v>2015</v>
      </c>
      <c r="B81" s="18" t="s">
        <v>147</v>
      </c>
      <c r="C81">
        <f>SUMIFS(banco!E:E,banco!$C:$C,$B81,banco!$A:$A,$A81)</f>
        <v>0</v>
      </c>
      <c r="D81" s="12">
        <f>IFERROR(C81/$AA81,0)</f>
        <v>0</v>
      </c>
      <c r="E81">
        <f>SUMIFS(banco!G:G,banco!$C:$C,$B81,banco!$A:$A,$A81)</f>
        <v>0</v>
      </c>
      <c r="F81" s="12">
        <f>IFERROR(E81/$AB81,0)</f>
        <v>0</v>
      </c>
      <c r="G81">
        <f>SUMIFS(banco!I:I,banco!$C:$C,$B81,banco!$A:$A,$A81)</f>
        <v>0</v>
      </c>
      <c r="H81" s="12">
        <f>IFERROR(G81/$AA81,0)</f>
        <v>0</v>
      </c>
      <c r="I81">
        <f>SUMIFS(banco!K:K,banco!$C:$C,$B81,banco!$A:$A,$A81)</f>
        <v>0</v>
      </c>
      <c r="J81" s="12">
        <f>IFERROR(I81/$AB81,0)</f>
        <v>0</v>
      </c>
      <c r="K81">
        <f>SUMIFS(banco!M:M,banco!$C:$C,$B81,banco!$A:$A,$A81)</f>
        <v>0</v>
      </c>
      <c r="L81" s="12">
        <f>IFERROR(K81/$AA81,0)</f>
        <v>0</v>
      </c>
      <c r="M81">
        <f>SUMIFS(banco!O:O,banco!$C:$C,$B81,banco!$A:$A,$A81)</f>
        <v>0</v>
      </c>
      <c r="N81" s="12">
        <f>IFERROR(M81/$AB81,0)</f>
        <v>0</v>
      </c>
      <c r="O81">
        <f>SUMIFS(banco!Q:Q,banco!$C:$C,$B81,banco!$A:$A,$A81)</f>
        <v>0</v>
      </c>
      <c r="P81" s="12">
        <f>IFERROR(O81/$AA81,0)</f>
        <v>0</v>
      </c>
      <c r="Q81">
        <f>SUMIFS(banco!S:S,banco!$C:$C,$B81,banco!$A:$A,$A81)</f>
        <v>0</v>
      </c>
      <c r="R81" s="12">
        <f>IFERROR(Q81/$AB81,0)</f>
        <v>0</v>
      </c>
      <c r="S81">
        <f>SUMIFS(banco!U:U,banco!$C:$C,$B81,banco!$A:$A,$A81)</f>
        <v>0</v>
      </c>
      <c r="T81" s="12">
        <f>IFERROR(S81/$AA81,0)</f>
        <v>0</v>
      </c>
      <c r="U81">
        <f>SUMIFS(banco!W:W,banco!$C:$C,$B81,banco!$A:$A,$A81)</f>
        <v>0</v>
      </c>
      <c r="V81" s="12">
        <f>IFERROR(U81/$AB81,0)</f>
        <v>0</v>
      </c>
      <c r="W81">
        <f>SUMIFS(banco!Y:Y,banco!$C:$C,$B81,banco!$A:$A,$A81)</f>
        <v>0</v>
      </c>
      <c r="X81" s="12">
        <f>IFERROR(W81/$AA81,0)</f>
        <v>0</v>
      </c>
      <c r="Y81">
        <f>SUMIFS(banco!AA:AA,banco!$C:$C,$B81,banco!$A:$A,$A81)</f>
        <v>0</v>
      </c>
      <c r="Z81" s="12">
        <f>IFERROR(Y81/$AB81,0)</f>
        <v>0</v>
      </c>
      <c r="AA81">
        <f>SUMIFS(banco!AC:AC,banco!$C:$C,$B81,banco!$A:$A,$A81)</f>
        <v>0</v>
      </c>
      <c r="AB81">
        <f>SUMIFS(banco!AD:AD,banco!$C:$C,$B81,banco!$A:$A,$A81)</f>
        <v>0</v>
      </c>
      <c r="AC81">
        <v>8221</v>
      </c>
    </row>
    <row r="82" spans="1:31" x14ac:dyDescent="0.25">
      <c r="A82" s="21"/>
      <c r="B82" s="18"/>
      <c r="D82" s="12"/>
      <c r="F82" s="12"/>
      <c r="H82" s="12"/>
      <c r="J82" s="12"/>
      <c r="L82" s="12"/>
      <c r="N82" s="12"/>
      <c r="P82" s="12"/>
      <c r="R82" s="12"/>
      <c r="T82" s="12"/>
      <c r="V82" s="12"/>
      <c r="X82" s="12"/>
      <c r="Z82" s="12"/>
      <c r="AB82">
        <f>SUBTOTAL(109,Tabela1[TOTAL_PBF5])</f>
        <v>252198</v>
      </c>
    </row>
    <row r="87" spans="1:31" x14ac:dyDescent="0.25">
      <c r="AA87" s="8"/>
      <c r="AB87" s="8"/>
      <c r="AC87" s="8"/>
      <c r="AD87" s="8"/>
      <c r="AE87" s="8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392"/>
  <sheetViews>
    <sheetView workbookViewId="0">
      <selection activeCell="AA38" sqref="AA38"/>
    </sheetView>
  </sheetViews>
  <sheetFormatPr defaultRowHeight="15" x14ac:dyDescent="0.25"/>
  <cols>
    <col min="1" max="1" width="7.42578125" bestFit="1" customWidth="1"/>
    <col min="2" max="3" width="34.7109375" customWidth="1"/>
    <col min="16" max="16" width="26" customWidth="1"/>
  </cols>
  <sheetData>
    <row r="1" spans="1:27" x14ac:dyDescent="0.25">
      <c r="A1" t="s">
        <v>152</v>
      </c>
      <c r="B1" t="s">
        <v>316</v>
      </c>
      <c r="C1" t="s">
        <v>312</v>
      </c>
      <c r="D1" t="s">
        <v>302</v>
      </c>
      <c r="E1" t="s">
        <v>303</v>
      </c>
      <c r="F1" t="s">
        <v>304</v>
      </c>
      <c r="G1" t="s">
        <v>305</v>
      </c>
      <c r="H1" t="s">
        <v>306</v>
      </c>
      <c r="I1" t="s">
        <v>307</v>
      </c>
      <c r="J1" t="s">
        <v>308</v>
      </c>
      <c r="K1" t="s">
        <v>313</v>
      </c>
      <c r="L1" t="s">
        <v>314</v>
      </c>
      <c r="M1" t="s">
        <v>309</v>
      </c>
    </row>
    <row r="2" spans="1:27" x14ac:dyDescent="0.25">
      <c r="A2">
        <v>170025</v>
      </c>
      <c r="B2" t="str">
        <f>VLOOKUP(Tabela3[[#This Row],[IBGE]],procv!$A$2:$D$142,4,FALSE)</f>
        <v>Cantão</v>
      </c>
      <c r="C2" t="s">
        <v>5</v>
      </c>
      <c r="D2">
        <v>246</v>
      </c>
      <c r="E2">
        <v>233</v>
      </c>
      <c r="F2">
        <v>229</v>
      </c>
      <c r="G2">
        <v>222</v>
      </c>
      <c r="H2">
        <v>218</v>
      </c>
      <c r="I2">
        <v>214</v>
      </c>
      <c r="J2">
        <v>212</v>
      </c>
      <c r="K2">
        <v>209</v>
      </c>
      <c r="L2">
        <v>208</v>
      </c>
      <c r="M2">
        <v>210</v>
      </c>
    </row>
    <row r="3" spans="1:27" x14ac:dyDescent="0.25">
      <c r="A3">
        <v>170030</v>
      </c>
      <c r="B3" t="str">
        <f>VLOOKUP(Tabela3[[#This Row],[IBGE]],procv!$A$2:$D$142,4,FALSE)</f>
        <v>Bico do Papagaio</v>
      </c>
      <c r="C3" t="s">
        <v>6</v>
      </c>
      <c r="D3">
        <v>510</v>
      </c>
      <c r="E3">
        <v>488</v>
      </c>
      <c r="F3">
        <v>467</v>
      </c>
      <c r="G3">
        <v>451</v>
      </c>
      <c r="H3">
        <v>433</v>
      </c>
      <c r="I3">
        <v>423</v>
      </c>
      <c r="J3">
        <v>408</v>
      </c>
      <c r="K3">
        <v>394</v>
      </c>
      <c r="L3">
        <v>384</v>
      </c>
      <c r="M3">
        <v>374</v>
      </c>
      <c r="P3" t="s">
        <v>316</v>
      </c>
      <c r="Q3">
        <v>2015</v>
      </c>
      <c r="R3">
        <v>2016</v>
      </c>
      <c r="S3">
        <v>2017</v>
      </c>
      <c r="T3">
        <v>2018</v>
      </c>
      <c r="U3">
        <v>2019</v>
      </c>
      <c r="V3">
        <v>2020</v>
      </c>
      <c r="W3">
        <v>2021</v>
      </c>
      <c r="X3">
        <v>2022</v>
      </c>
      <c r="Y3">
        <v>2023</v>
      </c>
      <c r="Z3">
        <v>2024</v>
      </c>
    </row>
    <row r="4" spans="1:27" x14ac:dyDescent="0.25">
      <c r="A4">
        <v>170035</v>
      </c>
      <c r="B4" t="str">
        <f>VLOOKUP(Tabela3[[#This Row],[IBGE]],procv!$A$2:$D$142,4,FALSE)</f>
        <v>Ilha do Bananal</v>
      </c>
      <c r="C4" t="s">
        <v>7</v>
      </c>
      <c r="D4">
        <v>423</v>
      </c>
      <c r="E4">
        <v>404</v>
      </c>
      <c r="F4">
        <v>393</v>
      </c>
      <c r="G4">
        <v>386</v>
      </c>
      <c r="H4">
        <v>383</v>
      </c>
      <c r="I4">
        <v>385</v>
      </c>
      <c r="J4">
        <v>383</v>
      </c>
      <c r="K4">
        <v>379</v>
      </c>
      <c r="L4">
        <v>372</v>
      </c>
      <c r="M4">
        <v>363</v>
      </c>
      <c r="P4" s="18" t="s">
        <v>151</v>
      </c>
      <c r="Q4" s="8">
        <v>9902</v>
      </c>
      <c r="R4" s="8">
        <v>9802</v>
      </c>
      <c r="S4" s="8">
        <v>9763</v>
      </c>
      <c r="T4" s="8">
        <v>9727</v>
      </c>
      <c r="U4" s="8">
        <v>9714</v>
      </c>
      <c r="V4" s="8">
        <v>9797</v>
      </c>
      <c r="W4" s="8">
        <v>9804</v>
      </c>
      <c r="X4" s="8">
        <v>9798</v>
      </c>
      <c r="Y4" s="8">
        <v>9855</v>
      </c>
      <c r="Z4" s="8">
        <v>9900</v>
      </c>
      <c r="AA4">
        <f>AVERAGE(Q4:Z4)</f>
        <v>9806.2000000000007</v>
      </c>
    </row>
    <row r="5" spans="1:27" x14ac:dyDescent="0.25">
      <c r="A5">
        <v>170040</v>
      </c>
      <c r="B5" t="str">
        <f>VLOOKUP(Tabela3[[#This Row],[IBGE]],procv!$A$2:$D$142,4,FALSE)</f>
        <v>Sudeste</v>
      </c>
      <c r="C5" t="s">
        <v>8</v>
      </c>
      <c r="D5">
        <v>721</v>
      </c>
      <c r="E5">
        <v>697</v>
      </c>
      <c r="F5">
        <v>676</v>
      </c>
      <c r="G5">
        <v>650</v>
      </c>
      <c r="H5">
        <v>623</v>
      </c>
      <c r="I5">
        <v>603</v>
      </c>
      <c r="J5">
        <v>581</v>
      </c>
      <c r="K5">
        <v>561</v>
      </c>
      <c r="L5">
        <v>550</v>
      </c>
      <c r="M5">
        <v>539</v>
      </c>
      <c r="P5" s="18" t="s">
        <v>145</v>
      </c>
      <c r="Q5" s="8">
        <v>19224</v>
      </c>
      <c r="R5" s="8">
        <v>18751</v>
      </c>
      <c r="S5" s="8">
        <v>18401</v>
      </c>
      <c r="T5" s="8">
        <v>18079</v>
      </c>
      <c r="U5" s="8">
        <v>17804</v>
      </c>
      <c r="V5" s="8">
        <v>17696</v>
      </c>
      <c r="W5" s="8">
        <v>17475</v>
      </c>
      <c r="X5" s="8">
        <v>17226</v>
      </c>
      <c r="Y5" s="8">
        <v>17085</v>
      </c>
      <c r="Z5" s="8">
        <v>16928</v>
      </c>
      <c r="AA5">
        <f t="shared" ref="AA5:AA12" si="0">AVERAGE(Q5:Z5)</f>
        <v>17866.900000000001</v>
      </c>
    </row>
    <row r="6" spans="1:27" x14ac:dyDescent="0.25">
      <c r="A6">
        <v>170070</v>
      </c>
      <c r="B6" t="str">
        <f>VLOOKUP(Tabela3[[#This Row],[IBGE]],procv!$A$2:$D$142,4,FALSE)</f>
        <v>Ilha do Bananal</v>
      </c>
      <c r="C6" t="s">
        <v>9</v>
      </c>
      <c r="D6">
        <v>683</v>
      </c>
      <c r="E6">
        <v>662</v>
      </c>
      <c r="F6">
        <v>647</v>
      </c>
      <c r="G6">
        <v>642</v>
      </c>
      <c r="H6">
        <v>644</v>
      </c>
      <c r="I6">
        <v>653</v>
      </c>
      <c r="J6">
        <v>658</v>
      </c>
      <c r="K6">
        <v>660</v>
      </c>
      <c r="L6">
        <v>667</v>
      </c>
      <c r="M6">
        <v>670</v>
      </c>
      <c r="P6" s="18" t="s">
        <v>144</v>
      </c>
      <c r="Q6" s="8">
        <v>10333</v>
      </c>
      <c r="R6" s="8">
        <v>10125</v>
      </c>
      <c r="S6" s="8">
        <v>10028</v>
      </c>
      <c r="T6" s="8">
        <v>9974</v>
      </c>
      <c r="U6" s="8">
        <v>9990</v>
      </c>
      <c r="V6" s="8">
        <v>10108</v>
      </c>
      <c r="W6" s="8">
        <v>10159</v>
      </c>
      <c r="X6" s="8">
        <v>10172</v>
      </c>
      <c r="Y6" s="8">
        <v>10271</v>
      </c>
      <c r="Z6" s="8">
        <v>10353</v>
      </c>
      <c r="AA6">
        <f t="shared" si="0"/>
        <v>10151.299999999999</v>
      </c>
    </row>
    <row r="7" spans="1:27" x14ac:dyDescent="0.25">
      <c r="A7">
        <v>170100</v>
      </c>
      <c r="B7" t="str">
        <f>VLOOKUP(Tabela3[[#This Row],[IBGE]],procv!$A$2:$D$142,4,FALSE)</f>
        <v>Bico do Papagaio</v>
      </c>
      <c r="C7" t="s">
        <v>10</v>
      </c>
      <c r="D7">
        <v>945</v>
      </c>
      <c r="E7">
        <v>925</v>
      </c>
      <c r="F7">
        <v>912</v>
      </c>
      <c r="G7">
        <v>898</v>
      </c>
      <c r="H7">
        <v>882</v>
      </c>
      <c r="I7">
        <v>874</v>
      </c>
      <c r="J7">
        <v>861</v>
      </c>
      <c r="K7">
        <v>850</v>
      </c>
      <c r="L7">
        <v>846</v>
      </c>
      <c r="M7">
        <v>837</v>
      </c>
      <c r="P7" s="18" t="s">
        <v>148</v>
      </c>
      <c r="Q7" s="8">
        <v>29079</v>
      </c>
      <c r="R7" s="8">
        <v>29079</v>
      </c>
      <c r="S7" s="8">
        <v>29227</v>
      </c>
      <c r="T7" s="8">
        <v>29309</v>
      </c>
      <c r="U7" s="8">
        <v>29374</v>
      </c>
      <c r="V7" s="8">
        <v>29712</v>
      </c>
      <c r="W7" s="8">
        <v>29884</v>
      </c>
      <c r="X7" s="8">
        <v>30022</v>
      </c>
      <c r="Y7" s="8">
        <v>30695</v>
      </c>
      <c r="Z7" s="8">
        <v>31007</v>
      </c>
      <c r="AA7">
        <f t="shared" si="0"/>
        <v>29738.799999999999</v>
      </c>
    </row>
    <row r="8" spans="1:27" x14ac:dyDescent="0.25">
      <c r="A8">
        <v>170105</v>
      </c>
      <c r="B8" t="str">
        <f>VLOOKUP(Tabela3[[#This Row],[IBGE]],procv!$A$2:$D$142,4,FALSE)</f>
        <v>Bico do Papagaio</v>
      </c>
      <c r="C8" t="s">
        <v>11</v>
      </c>
      <c r="D8">
        <v>276</v>
      </c>
      <c r="E8">
        <v>264</v>
      </c>
      <c r="F8">
        <v>258</v>
      </c>
      <c r="G8">
        <v>254</v>
      </c>
      <c r="H8">
        <v>254</v>
      </c>
      <c r="I8">
        <v>255</v>
      </c>
      <c r="J8">
        <v>253</v>
      </c>
      <c r="K8">
        <v>246</v>
      </c>
      <c r="L8">
        <v>234</v>
      </c>
      <c r="M8">
        <v>223</v>
      </c>
      <c r="P8" s="18" t="s">
        <v>150</v>
      </c>
      <c r="Q8" s="8">
        <v>12965</v>
      </c>
      <c r="R8" s="8">
        <v>12633</v>
      </c>
      <c r="S8" s="8">
        <v>12420</v>
      </c>
      <c r="T8" s="8">
        <v>12246</v>
      </c>
      <c r="U8" s="8">
        <v>12150</v>
      </c>
      <c r="V8" s="8">
        <v>12166</v>
      </c>
      <c r="W8" s="8">
        <v>12113</v>
      </c>
      <c r="X8" s="8">
        <v>12024</v>
      </c>
      <c r="Y8" s="8">
        <v>12010</v>
      </c>
      <c r="Z8" s="8">
        <v>11999</v>
      </c>
      <c r="AA8">
        <f t="shared" si="0"/>
        <v>12272.6</v>
      </c>
    </row>
    <row r="9" spans="1:27" x14ac:dyDescent="0.25">
      <c r="A9">
        <v>170110</v>
      </c>
      <c r="B9" t="str">
        <f>VLOOKUP(Tabela3[[#This Row],[IBGE]],procv!$A$2:$D$142,4,FALSE)</f>
        <v>Capim Dourado</v>
      </c>
      <c r="C9" t="s">
        <v>12</v>
      </c>
      <c r="D9">
        <v>432</v>
      </c>
      <c r="E9">
        <v>427</v>
      </c>
      <c r="F9">
        <v>424</v>
      </c>
      <c r="G9">
        <v>417</v>
      </c>
      <c r="H9">
        <v>413</v>
      </c>
      <c r="I9">
        <v>409</v>
      </c>
      <c r="J9">
        <v>402</v>
      </c>
      <c r="K9">
        <v>398</v>
      </c>
      <c r="L9">
        <v>400</v>
      </c>
      <c r="M9">
        <v>400</v>
      </c>
      <c r="P9" s="18" t="s">
        <v>146</v>
      </c>
      <c r="Q9" s="8">
        <v>13861</v>
      </c>
      <c r="R9" s="8">
        <v>13489</v>
      </c>
      <c r="S9" s="8">
        <v>13278</v>
      </c>
      <c r="T9" s="8">
        <v>13122</v>
      </c>
      <c r="U9" s="8">
        <v>13054</v>
      </c>
      <c r="V9" s="8">
        <v>13131</v>
      </c>
      <c r="W9" s="8">
        <v>13112</v>
      </c>
      <c r="X9" s="8">
        <v>13074</v>
      </c>
      <c r="Y9" s="8">
        <v>13128</v>
      </c>
      <c r="Z9" s="8">
        <v>13158</v>
      </c>
      <c r="AA9">
        <f t="shared" si="0"/>
        <v>13240.7</v>
      </c>
    </row>
    <row r="10" spans="1:27" x14ac:dyDescent="0.25">
      <c r="A10">
        <v>170130</v>
      </c>
      <c r="B10" t="str">
        <f>VLOOKUP(Tabela3[[#This Row],[IBGE]],procv!$A$2:$D$142,4,FALSE)</f>
        <v>Médio Norte Araguaia</v>
      </c>
      <c r="C10" t="s">
        <v>13</v>
      </c>
      <c r="D10">
        <v>529</v>
      </c>
      <c r="E10">
        <v>507</v>
      </c>
      <c r="F10">
        <v>489</v>
      </c>
      <c r="G10">
        <v>470</v>
      </c>
      <c r="H10">
        <v>449</v>
      </c>
      <c r="I10">
        <v>433</v>
      </c>
      <c r="J10">
        <v>414</v>
      </c>
      <c r="K10">
        <v>397</v>
      </c>
      <c r="L10">
        <v>389</v>
      </c>
      <c r="M10">
        <v>381</v>
      </c>
      <c r="P10" s="18" t="s">
        <v>149</v>
      </c>
      <c r="Q10" s="8">
        <v>24037</v>
      </c>
      <c r="R10" s="8">
        <v>23625</v>
      </c>
      <c r="S10" s="8">
        <v>23401</v>
      </c>
      <c r="T10" s="8">
        <v>23222</v>
      </c>
      <c r="U10" s="8">
        <v>23147</v>
      </c>
      <c r="V10" s="8">
        <v>23268</v>
      </c>
      <c r="W10" s="8">
        <v>23249</v>
      </c>
      <c r="X10" s="8">
        <v>23176</v>
      </c>
      <c r="Y10" s="8">
        <v>23287</v>
      </c>
      <c r="Z10" s="8">
        <v>23300</v>
      </c>
      <c r="AA10">
        <f t="shared" si="0"/>
        <v>23371.200000000001</v>
      </c>
    </row>
    <row r="11" spans="1:27" x14ac:dyDescent="0.25">
      <c r="A11">
        <v>170190</v>
      </c>
      <c r="B11" t="str">
        <f>VLOOKUP(Tabela3[[#This Row],[IBGE]],procv!$A$2:$D$142,4,FALSE)</f>
        <v>Cantão</v>
      </c>
      <c r="C11" t="s">
        <v>14</v>
      </c>
      <c r="D11">
        <v>560</v>
      </c>
      <c r="E11">
        <v>532</v>
      </c>
      <c r="F11">
        <v>515</v>
      </c>
      <c r="G11">
        <v>505</v>
      </c>
      <c r="H11">
        <v>500</v>
      </c>
      <c r="I11">
        <v>503</v>
      </c>
      <c r="J11">
        <v>502</v>
      </c>
      <c r="K11">
        <v>495</v>
      </c>
      <c r="L11">
        <v>491</v>
      </c>
      <c r="M11">
        <v>482</v>
      </c>
      <c r="P11" s="18" t="s">
        <v>147</v>
      </c>
      <c r="Q11" s="8">
        <v>8221</v>
      </c>
      <c r="R11" s="8">
        <v>7947</v>
      </c>
      <c r="S11" s="8">
        <v>7736</v>
      </c>
      <c r="T11" s="8">
        <v>7525</v>
      </c>
      <c r="U11" s="8">
        <v>7349</v>
      </c>
      <c r="V11" s="8">
        <v>7239</v>
      </c>
      <c r="W11" s="8">
        <v>7087</v>
      </c>
      <c r="X11" s="8">
        <v>6926</v>
      </c>
      <c r="Y11" s="8">
        <v>6824</v>
      </c>
      <c r="Z11" s="8">
        <v>6725</v>
      </c>
      <c r="AA11">
        <f t="shared" si="0"/>
        <v>7357.9</v>
      </c>
    </row>
    <row r="12" spans="1:27" x14ac:dyDescent="0.25">
      <c r="A12">
        <v>170200</v>
      </c>
      <c r="B12" t="str">
        <f>VLOOKUP(Tabela3[[#This Row],[IBGE]],procv!$A$2:$D$142,4,FALSE)</f>
        <v>Ilha do Bananal</v>
      </c>
      <c r="C12" t="s">
        <v>15</v>
      </c>
      <c r="D12">
        <v>586</v>
      </c>
      <c r="E12">
        <v>561</v>
      </c>
      <c r="F12">
        <v>548</v>
      </c>
      <c r="G12">
        <v>542</v>
      </c>
      <c r="H12">
        <v>547</v>
      </c>
      <c r="I12">
        <v>561</v>
      </c>
      <c r="J12">
        <v>567</v>
      </c>
      <c r="K12">
        <v>572</v>
      </c>
      <c r="L12">
        <v>574</v>
      </c>
      <c r="M12">
        <v>576</v>
      </c>
      <c r="P12" s="22" t="s">
        <v>301</v>
      </c>
      <c r="Q12" s="23">
        <v>127622</v>
      </c>
      <c r="R12" s="23">
        <v>125451</v>
      </c>
      <c r="S12" s="23">
        <v>124254</v>
      </c>
      <c r="T12" s="23">
        <v>123204</v>
      </c>
      <c r="U12" s="23">
        <v>122582</v>
      </c>
      <c r="V12" s="23">
        <v>123117</v>
      </c>
      <c r="W12" s="23">
        <v>122883</v>
      </c>
      <c r="X12" s="23">
        <v>122418</v>
      </c>
      <c r="Y12" s="23">
        <v>123155</v>
      </c>
      <c r="Z12" s="23">
        <v>123370</v>
      </c>
      <c r="AA12">
        <f t="shared" si="0"/>
        <v>123805.6</v>
      </c>
    </row>
    <row r="13" spans="1:27" x14ac:dyDescent="0.25">
      <c r="A13">
        <v>170210</v>
      </c>
      <c r="B13" t="str">
        <f>VLOOKUP(Tabela3[[#This Row],[IBGE]],procv!$A$2:$D$142,4,FALSE)</f>
        <v>Médio Norte Araguaia</v>
      </c>
      <c r="C13" t="s">
        <v>16</v>
      </c>
      <c r="D13">
        <v>13534</v>
      </c>
      <c r="E13">
        <v>13444</v>
      </c>
      <c r="F13">
        <v>13447</v>
      </c>
      <c r="G13">
        <v>13464</v>
      </c>
      <c r="H13">
        <v>13525</v>
      </c>
      <c r="I13">
        <v>13710</v>
      </c>
      <c r="J13">
        <v>13801</v>
      </c>
      <c r="K13">
        <v>13864</v>
      </c>
      <c r="L13">
        <v>14049</v>
      </c>
      <c r="M13">
        <v>14162</v>
      </c>
    </row>
    <row r="14" spans="1:27" x14ac:dyDescent="0.25">
      <c r="A14">
        <v>170215</v>
      </c>
      <c r="B14" t="str">
        <f>VLOOKUP(Tabela3[[#This Row],[IBGE]],procv!$A$2:$D$142,4,FALSE)</f>
        <v>Médio Norte Araguaia</v>
      </c>
      <c r="C14" t="s">
        <v>17</v>
      </c>
      <c r="D14">
        <v>437</v>
      </c>
      <c r="E14">
        <v>419</v>
      </c>
      <c r="F14">
        <v>409</v>
      </c>
      <c r="G14">
        <v>402</v>
      </c>
      <c r="H14">
        <v>404</v>
      </c>
      <c r="I14">
        <v>405</v>
      </c>
      <c r="J14">
        <v>406</v>
      </c>
      <c r="K14">
        <v>401</v>
      </c>
      <c r="L14">
        <v>391</v>
      </c>
      <c r="M14">
        <v>380</v>
      </c>
    </row>
    <row r="15" spans="1:27" x14ac:dyDescent="0.25">
      <c r="A15">
        <v>170220</v>
      </c>
      <c r="B15" t="str">
        <f>VLOOKUP(Tabela3[[#This Row],[IBGE]],procv!$A$2:$D$142,4,FALSE)</f>
        <v>Bico do Papagaio</v>
      </c>
      <c r="C15" t="s">
        <v>18</v>
      </c>
      <c r="D15">
        <v>3175</v>
      </c>
      <c r="E15">
        <v>3073</v>
      </c>
      <c r="F15">
        <v>2986</v>
      </c>
      <c r="G15">
        <v>2898</v>
      </c>
      <c r="H15">
        <v>2814</v>
      </c>
      <c r="I15">
        <v>2758</v>
      </c>
      <c r="J15">
        <v>2693</v>
      </c>
      <c r="K15">
        <v>2636</v>
      </c>
      <c r="L15">
        <v>2633</v>
      </c>
      <c r="M15">
        <v>2631</v>
      </c>
    </row>
    <row r="16" spans="1:27" x14ac:dyDescent="0.25">
      <c r="A16">
        <v>170230</v>
      </c>
      <c r="B16" t="str">
        <f>VLOOKUP(Tabela3[[#This Row],[IBGE]],procv!$A$2:$D$142,4,FALSE)</f>
        <v>Cerrado Tocantins Araguaia</v>
      </c>
      <c r="C16" t="s">
        <v>19</v>
      </c>
      <c r="D16">
        <v>526</v>
      </c>
      <c r="E16">
        <v>499</v>
      </c>
      <c r="F16">
        <v>480</v>
      </c>
      <c r="G16">
        <v>461</v>
      </c>
      <c r="H16">
        <v>449</v>
      </c>
      <c r="I16">
        <v>443</v>
      </c>
      <c r="J16">
        <v>433</v>
      </c>
      <c r="K16">
        <v>422</v>
      </c>
      <c r="L16">
        <v>414</v>
      </c>
      <c r="M16">
        <v>408</v>
      </c>
      <c r="S16" t="s">
        <v>319</v>
      </c>
    </row>
    <row r="17" spans="1:27" x14ac:dyDescent="0.25">
      <c r="A17">
        <v>170240</v>
      </c>
      <c r="B17" t="str">
        <f>VLOOKUP(Tabela3[[#This Row],[IBGE]],procv!$A$2:$D$142,4,FALSE)</f>
        <v>Sudeste</v>
      </c>
      <c r="C17" t="s">
        <v>20</v>
      </c>
      <c r="D17">
        <v>884</v>
      </c>
      <c r="E17">
        <v>857</v>
      </c>
      <c r="F17">
        <v>841</v>
      </c>
      <c r="G17">
        <v>825</v>
      </c>
      <c r="H17">
        <v>814</v>
      </c>
      <c r="I17">
        <v>810</v>
      </c>
      <c r="J17">
        <v>800</v>
      </c>
      <c r="K17">
        <v>786</v>
      </c>
      <c r="L17">
        <v>770</v>
      </c>
      <c r="M17">
        <v>752</v>
      </c>
      <c r="P17" s="25" t="s">
        <v>316</v>
      </c>
      <c r="Q17" s="25">
        <v>2015</v>
      </c>
      <c r="R17" s="25">
        <v>2016</v>
      </c>
      <c r="S17" s="25">
        <v>2017</v>
      </c>
      <c r="T17" s="25">
        <v>2018</v>
      </c>
      <c r="U17" s="25">
        <v>2019</v>
      </c>
      <c r="V17" s="25">
        <v>2020</v>
      </c>
      <c r="W17" s="25">
        <v>2021</v>
      </c>
      <c r="X17" s="25">
        <v>2022</v>
      </c>
      <c r="Y17" s="25">
        <v>2023</v>
      </c>
      <c r="Z17" s="25">
        <v>2024</v>
      </c>
      <c r="AA17" s="25" t="s">
        <v>301</v>
      </c>
    </row>
    <row r="18" spans="1:27" x14ac:dyDescent="0.25">
      <c r="A18">
        <v>170255</v>
      </c>
      <c r="B18" t="str">
        <f>VLOOKUP(Tabela3[[#This Row],[IBGE]],procv!$A$2:$D$142,4,FALSE)</f>
        <v>Bico do Papagaio</v>
      </c>
      <c r="C18" t="s">
        <v>21</v>
      </c>
      <c r="D18">
        <v>1599</v>
      </c>
      <c r="E18">
        <v>1577</v>
      </c>
      <c r="F18">
        <v>1561</v>
      </c>
      <c r="G18">
        <v>1535</v>
      </c>
      <c r="H18">
        <v>1510</v>
      </c>
      <c r="I18">
        <v>1498</v>
      </c>
      <c r="J18">
        <v>1476</v>
      </c>
      <c r="K18">
        <v>1460</v>
      </c>
      <c r="L18">
        <v>1471</v>
      </c>
      <c r="M18">
        <v>1480</v>
      </c>
      <c r="P18" s="18" t="s">
        <v>151</v>
      </c>
      <c r="Q18" s="8">
        <v>4094</v>
      </c>
      <c r="R18" s="8">
        <v>4171</v>
      </c>
      <c r="S18" s="8">
        <v>4131</v>
      </c>
      <c r="T18" s="8">
        <v>5556</v>
      </c>
      <c r="U18" s="8">
        <v>6059</v>
      </c>
      <c r="V18" s="8">
        <v>1187</v>
      </c>
      <c r="W18" s="8">
        <v>2979</v>
      </c>
      <c r="X18" s="8">
        <v>6404</v>
      </c>
      <c r="Y18" s="8">
        <v>7397</v>
      </c>
      <c r="Z18" s="8">
        <v>6858</v>
      </c>
      <c r="AA18">
        <f t="shared" ref="AA18:AA26" si="1">AVERAGE(Q18:Z18)</f>
        <v>4883.6000000000004</v>
      </c>
    </row>
    <row r="19" spans="1:27" x14ac:dyDescent="0.25">
      <c r="A19">
        <v>170270</v>
      </c>
      <c r="B19" t="str">
        <f>VLOOKUP(Tabela3[[#This Row],[IBGE]],procv!$A$2:$D$142,4,FALSE)</f>
        <v>Sudeste</v>
      </c>
      <c r="C19" t="s">
        <v>22</v>
      </c>
      <c r="D19">
        <v>279</v>
      </c>
      <c r="E19">
        <v>270</v>
      </c>
      <c r="F19">
        <v>260</v>
      </c>
      <c r="G19">
        <v>247</v>
      </c>
      <c r="H19">
        <v>238</v>
      </c>
      <c r="I19">
        <v>229</v>
      </c>
      <c r="J19">
        <v>218</v>
      </c>
      <c r="K19">
        <v>209</v>
      </c>
      <c r="L19">
        <v>205</v>
      </c>
      <c r="M19">
        <v>206</v>
      </c>
      <c r="P19" s="18" t="s">
        <v>145</v>
      </c>
      <c r="Q19" s="8">
        <v>10457</v>
      </c>
      <c r="R19" s="8">
        <v>9645</v>
      </c>
      <c r="S19" s="8">
        <v>10867</v>
      </c>
      <c r="T19" s="8">
        <v>12416</v>
      </c>
      <c r="U19" s="8">
        <v>11701</v>
      </c>
      <c r="V19" s="8">
        <v>4847</v>
      </c>
      <c r="W19" s="8">
        <v>8988</v>
      </c>
      <c r="X19" s="8">
        <v>12990</v>
      </c>
      <c r="Y19" s="8">
        <v>12984</v>
      </c>
      <c r="Z19" s="8">
        <v>13164</v>
      </c>
      <c r="AA19">
        <f t="shared" si="1"/>
        <v>10805.9</v>
      </c>
    </row>
    <row r="20" spans="1:27" x14ac:dyDescent="0.25">
      <c r="A20">
        <v>170290</v>
      </c>
      <c r="B20" t="str">
        <f>VLOOKUP(Tabela3[[#This Row],[IBGE]],procv!$A$2:$D$142,4,FALSE)</f>
        <v>Bico do Papagaio</v>
      </c>
      <c r="C20" t="s">
        <v>23</v>
      </c>
      <c r="D20">
        <v>955</v>
      </c>
      <c r="E20">
        <v>931</v>
      </c>
      <c r="F20">
        <v>918</v>
      </c>
      <c r="G20">
        <v>909</v>
      </c>
      <c r="H20">
        <v>910</v>
      </c>
      <c r="I20">
        <v>917</v>
      </c>
      <c r="J20">
        <v>924</v>
      </c>
      <c r="K20">
        <v>932</v>
      </c>
      <c r="L20">
        <v>957</v>
      </c>
      <c r="M20">
        <v>984</v>
      </c>
      <c r="P20" s="18" t="s">
        <v>144</v>
      </c>
      <c r="Q20" s="8">
        <v>4092</v>
      </c>
      <c r="R20" s="8">
        <v>3322</v>
      </c>
      <c r="S20" s="8">
        <v>4027</v>
      </c>
      <c r="T20" s="8">
        <v>4532</v>
      </c>
      <c r="U20" s="8">
        <v>4294</v>
      </c>
      <c r="V20" s="8">
        <v>1988</v>
      </c>
      <c r="W20" s="8">
        <v>2909</v>
      </c>
      <c r="X20" s="8">
        <v>5762</v>
      </c>
      <c r="Y20" s="8">
        <v>6508</v>
      </c>
      <c r="Z20" s="8">
        <v>6129</v>
      </c>
      <c r="AA20">
        <f t="shared" si="1"/>
        <v>4356.3</v>
      </c>
    </row>
    <row r="21" spans="1:27" x14ac:dyDescent="0.25">
      <c r="A21">
        <v>170300</v>
      </c>
      <c r="B21" t="str">
        <f>VLOOKUP(Tabela3[[#This Row],[IBGE]],procv!$A$2:$D$142,4,FALSE)</f>
        <v>Médio Norte Araguaia</v>
      </c>
      <c r="C21" t="s">
        <v>24</v>
      </c>
      <c r="D21">
        <v>730</v>
      </c>
      <c r="E21">
        <v>692</v>
      </c>
      <c r="F21">
        <v>665</v>
      </c>
      <c r="G21">
        <v>644</v>
      </c>
      <c r="H21">
        <v>629</v>
      </c>
      <c r="I21">
        <v>619</v>
      </c>
      <c r="J21">
        <v>605</v>
      </c>
      <c r="K21">
        <v>585</v>
      </c>
      <c r="L21">
        <v>562</v>
      </c>
      <c r="M21">
        <v>536</v>
      </c>
      <c r="P21" s="18" t="s">
        <v>148</v>
      </c>
      <c r="Q21" s="8">
        <v>8421</v>
      </c>
      <c r="R21" s="8">
        <v>12403</v>
      </c>
      <c r="S21" s="8">
        <v>12838</v>
      </c>
      <c r="T21" s="8">
        <v>12312</v>
      </c>
      <c r="U21" s="8">
        <v>12372</v>
      </c>
      <c r="V21" s="8">
        <v>5054</v>
      </c>
      <c r="W21" s="8">
        <v>6239</v>
      </c>
      <c r="X21" s="8">
        <v>13206</v>
      </c>
      <c r="Y21" s="8">
        <v>14786</v>
      </c>
      <c r="Z21" s="8">
        <v>15028</v>
      </c>
      <c r="AA21">
        <f t="shared" si="1"/>
        <v>11265.9</v>
      </c>
    </row>
    <row r="22" spans="1:27" x14ac:dyDescent="0.25">
      <c r="A22">
        <v>170305</v>
      </c>
      <c r="B22" t="str">
        <f>VLOOKUP(Tabela3[[#This Row],[IBGE]],procv!$A$2:$D$142,4,FALSE)</f>
        <v>Cerrado Tocantins Araguaia</v>
      </c>
      <c r="C22" t="s">
        <v>25</v>
      </c>
      <c r="D22">
        <v>304</v>
      </c>
      <c r="E22">
        <v>294</v>
      </c>
      <c r="F22">
        <v>283</v>
      </c>
      <c r="G22">
        <v>278</v>
      </c>
      <c r="H22">
        <v>271</v>
      </c>
      <c r="I22">
        <v>267</v>
      </c>
      <c r="J22">
        <v>264</v>
      </c>
      <c r="K22">
        <v>266</v>
      </c>
      <c r="L22">
        <v>270</v>
      </c>
      <c r="M22">
        <v>282</v>
      </c>
      <c r="P22" s="18" t="s">
        <v>150</v>
      </c>
      <c r="Q22" s="8">
        <v>7214</v>
      </c>
      <c r="R22" s="8">
        <v>5650</v>
      </c>
      <c r="S22" s="8">
        <v>5850</v>
      </c>
      <c r="T22" s="8">
        <v>6683</v>
      </c>
      <c r="U22" s="8">
        <v>6934</v>
      </c>
      <c r="V22" s="8">
        <v>2322</v>
      </c>
      <c r="W22" s="8">
        <v>3186</v>
      </c>
      <c r="X22" s="8">
        <v>6752</v>
      </c>
      <c r="Y22" s="8">
        <v>7173</v>
      </c>
      <c r="Z22" s="8">
        <v>7569</v>
      </c>
      <c r="AA22">
        <f t="shared" si="1"/>
        <v>5933.3</v>
      </c>
    </row>
    <row r="23" spans="1:27" x14ac:dyDescent="0.25">
      <c r="A23">
        <v>170307</v>
      </c>
      <c r="B23" t="str">
        <f>VLOOKUP(Tabela3[[#This Row],[IBGE]],procv!$A$2:$D$142,4,FALSE)</f>
        <v>Médio Norte Araguaia</v>
      </c>
      <c r="C23" t="s">
        <v>26</v>
      </c>
      <c r="D23">
        <v>444</v>
      </c>
      <c r="E23">
        <v>431</v>
      </c>
      <c r="F23">
        <v>420</v>
      </c>
      <c r="G23">
        <v>414</v>
      </c>
      <c r="H23">
        <v>407</v>
      </c>
      <c r="I23">
        <v>406</v>
      </c>
      <c r="J23">
        <v>405</v>
      </c>
      <c r="K23">
        <v>401</v>
      </c>
      <c r="L23">
        <v>401</v>
      </c>
      <c r="M23">
        <v>402</v>
      </c>
      <c r="P23" s="18" t="s">
        <v>146</v>
      </c>
      <c r="Q23" s="8">
        <v>6366</v>
      </c>
      <c r="R23" s="8">
        <v>5188</v>
      </c>
      <c r="S23" s="8">
        <v>5125</v>
      </c>
      <c r="T23" s="8">
        <v>6623</v>
      </c>
      <c r="U23" s="8">
        <v>5669</v>
      </c>
      <c r="V23" s="8">
        <v>2352</v>
      </c>
      <c r="W23" s="8">
        <v>4279</v>
      </c>
      <c r="X23" s="8">
        <v>6605</v>
      </c>
      <c r="Y23" s="8">
        <v>7446</v>
      </c>
      <c r="Z23" s="8">
        <v>8116</v>
      </c>
      <c r="AA23">
        <f t="shared" si="1"/>
        <v>5776.9</v>
      </c>
    </row>
    <row r="24" spans="1:27" x14ac:dyDescent="0.25">
      <c r="A24">
        <v>170310</v>
      </c>
      <c r="B24" t="str">
        <f>VLOOKUP(Tabela3[[#This Row],[IBGE]],procv!$A$2:$D$142,4,FALSE)</f>
        <v>Cantão</v>
      </c>
      <c r="C24" t="s">
        <v>27</v>
      </c>
      <c r="D24">
        <v>404</v>
      </c>
      <c r="E24">
        <v>385</v>
      </c>
      <c r="F24">
        <v>373</v>
      </c>
      <c r="G24">
        <v>364</v>
      </c>
      <c r="H24">
        <v>362</v>
      </c>
      <c r="I24">
        <v>361</v>
      </c>
      <c r="J24">
        <v>359</v>
      </c>
      <c r="K24">
        <v>353</v>
      </c>
      <c r="L24">
        <v>342</v>
      </c>
      <c r="M24">
        <v>333</v>
      </c>
      <c r="P24" s="18" t="s">
        <v>149</v>
      </c>
      <c r="Q24" s="8">
        <v>9618</v>
      </c>
      <c r="R24" s="8">
        <v>9278</v>
      </c>
      <c r="S24" s="8">
        <v>10848</v>
      </c>
      <c r="T24" s="8">
        <v>11564</v>
      </c>
      <c r="U24" s="8">
        <v>10363</v>
      </c>
      <c r="V24" s="8">
        <v>3672</v>
      </c>
      <c r="W24" s="8">
        <v>7593</v>
      </c>
      <c r="X24" s="8">
        <v>12578</v>
      </c>
      <c r="Y24" s="8">
        <v>13787</v>
      </c>
      <c r="Z24" s="8">
        <v>14753</v>
      </c>
      <c r="AA24">
        <f t="shared" si="1"/>
        <v>10405.4</v>
      </c>
    </row>
    <row r="25" spans="1:27" x14ac:dyDescent="0.25">
      <c r="A25">
        <v>170320</v>
      </c>
      <c r="B25" t="str">
        <f>VLOOKUP(Tabela3[[#This Row],[IBGE]],procv!$A$2:$D$142,4,FALSE)</f>
        <v>Cerrado Tocantins Araguaia</v>
      </c>
      <c r="C25" t="s">
        <v>28</v>
      </c>
      <c r="D25">
        <v>379</v>
      </c>
      <c r="E25">
        <v>369</v>
      </c>
      <c r="F25">
        <v>363</v>
      </c>
      <c r="G25">
        <v>357</v>
      </c>
      <c r="H25">
        <v>352</v>
      </c>
      <c r="I25">
        <v>350</v>
      </c>
      <c r="J25">
        <v>347</v>
      </c>
      <c r="K25">
        <v>340</v>
      </c>
      <c r="L25">
        <v>335</v>
      </c>
      <c r="M25">
        <v>327</v>
      </c>
      <c r="P25" s="18" t="s">
        <v>147</v>
      </c>
      <c r="Q25" s="8">
        <v>4574</v>
      </c>
      <c r="R25" s="8">
        <v>4244</v>
      </c>
      <c r="S25" s="8">
        <v>4476</v>
      </c>
      <c r="T25" s="8">
        <v>4710</v>
      </c>
      <c r="U25" s="8">
        <v>4379</v>
      </c>
      <c r="V25" s="8">
        <v>1647</v>
      </c>
      <c r="W25" s="8">
        <v>2476</v>
      </c>
      <c r="X25" s="8">
        <v>4702</v>
      </c>
      <c r="Y25" s="8">
        <v>4522</v>
      </c>
      <c r="Z25" s="8">
        <v>4804</v>
      </c>
      <c r="AA25">
        <f t="shared" si="1"/>
        <v>4053.4</v>
      </c>
    </row>
    <row r="26" spans="1:27" x14ac:dyDescent="0.25">
      <c r="A26">
        <v>170330</v>
      </c>
      <c r="B26" t="str">
        <f>VLOOKUP(Tabela3[[#This Row],[IBGE]],procv!$A$2:$D$142,4,FALSE)</f>
        <v>Cerrado Tocantins Araguaia</v>
      </c>
      <c r="C26" t="s">
        <v>29</v>
      </c>
      <c r="D26">
        <v>399</v>
      </c>
      <c r="E26">
        <v>392</v>
      </c>
      <c r="F26">
        <v>388</v>
      </c>
      <c r="G26">
        <v>385</v>
      </c>
      <c r="H26">
        <v>389</v>
      </c>
      <c r="I26">
        <v>392</v>
      </c>
      <c r="J26">
        <v>394</v>
      </c>
      <c r="K26">
        <v>393</v>
      </c>
      <c r="L26">
        <v>396</v>
      </c>
      <c r="M26">
        <v>400</v>
      </c>
      <c r="P26" s="22" t="s">
        <v>301</v>
      </c>
      <c r="Q26" s="23">
        <v>54836</v>
      </c>
      <c r="R26" s="23">
        <v>53901</v>
      </c>
      <c r="S26" s="23">
        <v>58162</v>
      </c>
      <c r="T26" s="23">
        <v>64396</v>
      </c>
      <c r="U26" s="23">
        <v>61771</v>
      </c>
      <c r="V26" s="23">
        <v>23069</v>
      </c>
      <c r="W26" s="23">
        <v>38649</v>
      </c>
      <c r="X26" s="23">
        <v>68999</v>
      </c>
      <c r="Y26" s="23">
        <v>74603</v>
      </c>
      <c r="Z26" s="23">
        <v>76421</v>
      </c>
      <c r="AA26">
        <f t="shared" si="1"/>
        <v>57480.7</v>
      </c>
    </row>
    <row r="27" spans="1:27" x14ac:dyDescent="0.25">
      <c r="A27">
        <v>170360</v>
      </c>
      <c r="B27" t="str">
        <f>VLOOKUP(Tabela3[[#This Row],[IBGE]],procv!$A$2:$D$142,4,FALSE)</f>
        <v>Cerrado Tocantins Araguaia</v>
      </c>
      <c r="C27" t="s">
        <v>30</v>
      </c>
      <c r="D27">
        <v>189</v>
      </c>
      <c r="E27">
        <v>183</v>
      </c>
      <c r="F27">
        <v>179</v>
      </c>
      <c r="G27">
        <v>174</v>
      </c>
      <c r="H27">
        <v>172</v>
      </c>
      <c r="I27">
        <v>171</v>
      </c>
      <c r="J27">
        <v>169</v>
      </c>
      <c r="K27">
        <v>164</v>
      </c>
      <c r="L27">
        <v>156</v>
      </c>
      <c r="M27">
        <v>152</v>
      </c>
    </row>
    <row r="28" spans="1:27" x14ac:dyDescent="0.25">
      <c r="A28">
        <v>170370</v>
      </c>
      <c r="B28" t="str">
        <f>VLOOKUP(Tabela3[[#This Row],[IBGE]],procv!$A$2:$D$142,4,FALSE)</f>
        <v>Amor Perfeito</v>
      </c>
      <c r="C28" t="s">
        <v>31</v>
      </c>
      <c r="D28">
        <v>442</v>
      </c>
      <c r="E28">
        <v>424</v>
      </c>
      <c r="F28">
        <v>410</v>
      </c>
      <c r="G28">
        <v>399</v>
      </c>
      <c r="H28">
        <v>390</v>
      </c>
      <c r="I28">
        <v>386</v>
      </c>
      <c r="J28">
        <v>377</v>
      </c>
      <c r="K28">
        <v>366</v>
      </c>
      <c r="L28">
        <v>358</v>
      </c>
      <c r="M28">
        <v>347</v>
      </c>
      <c r="S28" t="s">
        <v>320</v>
      </c>
    </row>
    <row r="29" spans="1:27" x14ac:dyDescent="0.25">
      <c r="A29">
        <v>170380</v>
      </c>
      <c r="B29" t="str">
        <f>VLOOKUP(Tabela3[[#This Row],[IBGE]],procv!$A$2:$D$142,4,FALSE)</f>
        <v>Bico do Papagaio</v>
      </c>
      <c r="C29" t="s">
        <v>32</v>
      </c>
      <c r="D29">
        <v>910</v>
      </c>
      <c r="E29">
        <v>893</v>
      </c>
      <c r="F29">
        <v>887</v>
      </c>
      <c r="G29">
        <v>892</v>
      </c>
      <c r="H29">
        <v>901</v>
      </c>
      <c r="I29">
        <v>920</v>
      </c>
      <c r="J29">
        <v>931</v>
      </c>
      <c r="K29">
        <v>931</v>
      </c>
      <c r="L29">
        <v>926</v>
      </c>
      <c r="M29">
        <v>909</v>
      </c>
      <c r="P29" s="26"/>
      <c r="Q29" s="27">
        <v>2015</v>
      </c>
      <c r="R29" s="27">
        <v>2016</v>
      </c>
      <c r="S29" s="27">
        <v>2017</v>
      </c>
      <c r="T29" s="27">
        <v>2018</v>
      </c>
      <c r="U29" s="27">
        <v>2019</v>
      </c>
      <c r="V29" s="27">
        <v>2020</v>
      </c>
      <c r="W29" s="27">
        <v>2021</v>
      </c>
      <c r="X29" s="27">
        <v>2022</v>
      </c>
      <c r="Y29" s="27">
        <v>2023</v>
      </c>
      <c r="Z29" s="27">
        <v>2024</v>
      </c>
      <c r="AA29" s="31" t="s">
        <v>321</v>
      </c>
    </row>
    <row r="30" spans="1:27" x14ac:dyDescent="0.25">
      <c r="A30">
        <v>170382</v>
      </c>
      <c r="B30" t="str">
        <f>VLOOKUP(Tabela3[[#This Row],[IBGE]],procv!$A$2:$D$142,4,FALSE)</f>
        <v>Bico do Papagaio</v>
      </c>
      <c r="C30" t="s">
        <v>33</v>
      </c>
      <c r="D30">
        <v>210</v>
      </c>
      <c r="E30">
        <v>205</v>
      </c>
      <c r="F30">
        <v>198</v>
      </c>
      <c r="G30">
        <v>189</v>
      </c>
      <c r="H30">
        <v>176</v>
      </c>
      <c r="I30">
        <v>165</v>
      </c>
      <c r="J30">
        <v>156</v>
      </c>
      <c r="K30">
        <v>151</v>
      </c>
      <c r="L30">
        <v>149</v>
      </c>
      <c r="M30">
        <v>155</v>
      </c>
      <c r="P30" s="28" t="s">
        <v>151</v>
      </c>
      <c r="Q30" s="30">
        <f t="shared" ref="Q30:Q35" si="2">Q18/Q4</f>
        <v>0.41345182791355284</v>
      </c>
      <c r="R30" s="30">
        <f t="shared" ref="R30:Z30" si="3">R18/R4</f>
        <v>0.42552540297898389</v>
      </c>
      <c r="S30" s="30">
        <f t="shared" si="3"/>
        <v>0.42312813684318346</v>
      </c>
      <c r="T30" s="30">
        <f t="shared" si="3"/>
        <v>0.57119358486686544</v>
      </c>
      <c r="U30" s="30">
        <f t="shared" si="3"/>
        <v>0.6237389334980441</v>
      </c>
      <c r="V30" s="30">
        <f t="shared" si="3"/>
        <v>0.1211595386342758</v>
      </c>
      <c r="W30" s="30">
        <f t="shared" si="3"/>
        <v>0.30385556915544676</v>
      </c>
      <c r="X30" s="30">
        <f t="shared" si="3"/>
        <v>0.65360277607675032</v>
      </c>
      <c r="Y30" s="30">
        <f t="shared" si="3"/>
        <v>0.75058346017250122</v>
      </c>
      <c r="Z30" s="30">
        <f t="shared" si="3"/>
        <v>0.69272727272727275</v>
      </c>
      <c r="AA30" s="30">
        <f t="shared" ref="AA30" si="4">AA18/AA4</f>
        <v>0.49801146213619957</v>
      </c>
    </row>
    <row r="31" spans="1:27" x14ac:dyDescent="0.25">
      <c r="A31">
        <v>170384</v>
      </c>
      <c r="B31" t="str">
        <f>VLOOKUP(Tabela3[[#This Row],[IBGE]],procv!$A$2:$D$142,4,FALSE)</f>
        <v>Médio Norte Araguaia</v>
      </c>
      <c r="C31" t="s">
        <v>34</v>
      </c>
      <c r="D31">
        <v>979</v>
      </c>
      <c r="E31">
        <v>956</v>
      </c>
      <c r="F31">
        <v>940</v>
      </c>
      <c r="G31">
        <v>928</v>
      </c>
      <c r="H31">
        <v>919</v>
      </c>
      <c r="I31">
        <v>917</v>
      </c>
      <c r="J31">
        <v>910</v>
      </c>
      <c r="K31">
        <v>902</v>
      </c>
      <c r="L31">
        <v>904</v>
      </c>
      <c r="M31">
        <v>904</v>
      </c>
      <c r="P31" s="28" t="s">
        <v>145</v>
      </c>
      <c r="Q31" s="30">
        <f t="shared" si="2"/>
        <v>0.54395547232625885</v>
      </c>
      <c r="R31" s="30">
        <f t="shared" ref="R31:Z31" si="5">R19/R5</f>
        <v>0.5143725667964375</v>
      </c>
      <c r="S31" s="30">
        <f t="shared" si="5"/>
        <v>0.59056573012336289</v>
      </c>
      <c r="T31" s="30">
        <f t="shared" si="5"/>
        <v>0.68676364843188231</v>
      </c>
      <c r="U31" s="30">
        <f t="shared" si="5"/>
        <v>0.65721186250280839</v>
      </c>
      <c r="V31" s="30">
        <f t="shared" si="5"/>
        <v>0.27390370705244121</v>
      </c>
      <c r="W31" s="30">
        <f t="shared" si="5"/>
        <v>0.51433476394849786</v>
      </c>
      <c r="X31" s="30">
        <f t="shared" si="5"/>
        <v>0.75409265064437481</v>
      </c>
      <c r="Y31" s="30">
        <f t="shared" si="5"/>
        <v>0.75996488147497809</v>
      </c>
      <c r="Z31" s="30">
        <f t="shared" si="5"/>
        <v>0.77764650283553871</v>
      </c>
      <c r="AA31" s="30">
        <f t="shared" ref="AA31" si="6">AA19/AA5</f>
        <v>0.60479993731425141</v>
      </c>
    </row>
    <row r="32" spans="1:27" x14ac:dyDescent="0.25">
      <c r="A32">
        <v>170386</v>
      </c>
      <c r="B32" t="str">
        <f>VLOOKUP(Tabela3[[#This Row],[IBGE]],procv!$A$2:$D$142,4,FALSE)</f>
        <v>Ilha do Bananal</v>
      </c>
      <c r="C32" t="s">
        <v>35</v>
      </c>
      <c r="D32">
        <v>290</v>
      </c>
      <c r="E32">
        <v>285</v>
      </c>
      <c r="F32">
        <v>284</v>
      </c>
      <c r="G32">
        <v>285</v>
      </c>
      <c r="H32">
        <v>287</v>
      </c>
      <c r="I32">
        <v>292</v>
      </c>
      <c r="J32">
        <v>293</v>
      </c>
      <c r="K32">
        <v>294</v>
      </c>
      <c r="L32">
        <v>292</v>
      </c>
      <c r="M32">
        <v>290</v>
      </c>
      <c r="P32" s="28" t="s">
        <v>144</v>
      </c>
      <c r="Q32" s="30">
        <f t="shared" si="2"/>
        <v>0.39601277460563244</v>
      </c>
      <c r="R32" s="30">
        <f t="shared" ref="R32:Z32" si="7">R20/R6</f>
        <v>0.32809876543209876</v>
      </c>
      <c r="S32" s="30">
        <f t="shared" si="7"/>
        <v>0.4015755883526127</v>
      </c>
      <c r="T32" s="30">
        <f t="shared" si="7"/>
        <v>0.45438139161820734</v>
      </c>
      <c r="U32" s="30">
        <f t="shared" si="7"/>
        <v>0.42982982982982981</v>
      </c>
      <c r="V32" s="30">
        <f t="shared" si="7"/>
        <v>0.19667590027700832</v>
      </c>
      <c r="W32" s="30">
        <f t="shared" si="7"/>
        <v>0.28634708140565018</v>
      </c>
      <c r="X32" s="30">
        <f t="shared" si="7"/>
        <v>0.56645694062131335</v>
      </c>
      <c r="Y32" s="30">
        <f t="shared" si="7"/>
        <v>0.6336286632265602</v>
      </c>
      <c r="Z32" s="30">
        <f t="shared" si="7"/>
        <v>0.59200231816864679</v>
      </c>
      <c r="AA32" s="30">
        <f t="shared" ref="AA32" si="8">AA20/AA6</f>
        <v>0.42913715484716247</v>
      </c>
    </row>
    <row r="33" spans="1:27" x14ac:dyDescent="0.25">
      <c r="A33">
        <v>170388</v>
      </c>
      <c r="B33" t="str">
        <f>VLOOKUP(Tabela3[[#This Row],[IBGE]],procv!$A$2:$D$142,4,FALSE)</f>
        <v>Médio Norte Araguaia</v>
      </c>
      <c r="C33" t="s">
        <v>36</v>
      </c>
      <c r="D33">
        <v>203</v>
      </c>
      <c r="E33">
        <v>196</v>
      </c>
      <c r="F33">
        <v>191</v>
      </c>
      <c r="G33">
        <v>185</v>
      </c>
      <c r="H33">
        <v>185</v>
      </c>
      <c r="I33">
        <v>182</v>
      </c>
      <c r="J33">
        <v>181</v>
      </c>
      <c r="K33">
        <v>180</v>
      </c>
      <c r="L33">
        <v>179</v>
      </c>
      <c r="M33">
        <v>181</v>
      </c>
      <c r="P33" s="28" t="s">
        <v>148</v>
      </c>
      <c r="Q33" s="30">
        <f t="shared" si="2"/>
        <v>0.28959042608067675</v>
      </c>
      <c r="R33" s="30">
        <f t="shared" ref="R33:Z33" si="9">R21/R7</f>
        <v>0.42652773479143025</v>
      </c>
      <c r="S33" s="30">
        <f t="shared" si="9"/>
        <v>0.43925137715126422</v>
      </c>
      <c r="T33" s="30">
        <f t="shared" si="9"/>
        <v>0.42007574465181341</v>
      </c>
      <c r="U33" s="30">
        <f t="shared" si="9"/>
        <v>0.42118880642745282</v>
      </c>
      <c r="V33" s="30">
        <f t="shared" si="9"/>
        <v>0.17009962304792675</v>
      </c>
      <c r="W33" s="30">
        <f t="shared" si="9"/>
        <v>0.20877392584660687</v>
      </c>
      <c r="X33" s="30">
        <f t="shared" si="9"/>
        <v>0.4398774232229698</v>
      </c>
      <c r="Y33" s="30">
        <f t="shared" si="9"/>
        <v>0.48170711842319597</v>
      </c>
      <c r="Z33" s="30">
        <f t="shared" si="9"/>
        <v>0.48466475312026319</v>
      </c>
      <c r="AA33" s="30">
        <f t="shared" ref="AA33" si="10">AA21/AA7</f>
        <v>0.37882833201070654</v>
      </c>
    </row>
    <row r="34" spans="1:27" x14ac:dyDescent="0.25">
      <c r="A34">
        <v>170389</v>
      </c>
      <c r="B34" t="str">
        <f>VLOOKUP(Tabela3[[#This Row],[IBGE]],procv!$A$2:$D$142,4,FALSE)</f>
        <v>Bico do Papagaio</v>
      </c>
      <c r="C34" t="s">
        <v>37</v>
      </c>
      <c r="D34">
        <v>400</v>
      </c>
      <c r="E34">
        <v>385</v>
      </c>
      <c r="F34">
        <v>372</v>
      </c>
      <c r="G34">
        <v>355</v>
      </c>
      <c r="H34">
        <v>339</v>
      </c>
      <c r="I34">
        <v>326</v>
      </c>
      <c r="J34">
        <v>312</v>
      </c>
      <c r="K34">
        <v>302</v>
      </c>
      <c r="L34">
        <v>295</v>
      </c>
      <c r="M34">
        <v>293</v>
      </c>
      <c r="P34" s="28" t="s">
        <v>150</v>
      </c>
      <c r="Q34" s="30">
        <f t="shared" si="2"/>
        <v>0.55642113382182801</v>
      </c>
      <c r="R34" s="30">
        <f t="shared" ref="R34:Z34" si="11">R22/R8</f>
        <v>0.44724135201456505</v>
      </c>
      <c r="S34" s="30">
        <f t="shared" si="11"/>
        <v>0.47101449275362317</v>
      </c>
      <c r="T34" s="30">
        <f t="shared" si="11"/>
        <v>0.54572921770373994</v>
      </c>
      <c r="U34" s="30">
        <f t="shared" si="11"/>
        <v>0.57069958847736624</v>
      </c>
      <c r="V34" s="30">
        <f t="shared" si="11"/>
        <v>0.19085977313825414</v>
      </c>
      <c r="W34" s="30">
        <f t="shared" si="11"/>
        <v>0.26302319821679188</v>
      </c>
      <c r="X34" s="30">
        <f t="shared" si="11"/>
        <v>0.56154357950765132</v>
      </c>
      <c r="Y34" s="30">
        <f t="shared" si="11"/>
        <v>0.5972522897585345</v>
      </c>
      <c r="Z34" s="30">
        <f t="shared" si="11"/>
        <v>0.63080256688057335</v>
      </c>
      <c r="AA34" s="30">
        <f t="shared" ref="AA34" si="12">AA22/AA8</f>
        <v>0.48345908772387269</v>
      </c>
    </row>
    <row r="35" spans="1:27" x14ac:dyDescent="0.25">
      <c r="A35">
        <v>170390</v>
      </c>
      <c r="B35" t="str">
        <f>VLOOKUP(Tabela3[[#This Row],[IBGE]],procv!$A$2:$D$142,4,FALSE)</f>
        <v>Cantão</v>
      </c>
      <c r="C35" t="s">
        <v>38</v>
      </c>
      <c r="D35">
        <v>457</v>
      </c>
      <c r="E35">
        <v>439</v>
      </c>
      <c r="F35">
        <v>428</v>
      </c>
      <c r="G35">
        <v>419</v>
      </c>
      <c r="H35">
        <v>414</v>
      </c>
      <c r="I35">
        <v>414</v>
      </c>
      <c r="J35">
        <v>411</v>
      </c>
      <c r="K35">
        <v>411</v>
      </c>
      <c r="L35">
        <v>415</v>
      </c>
      <c r="M35">
        <v>423</v>
      </c>
      <c r="P35" s="28" t="s">
        <v>146</v>
      </c>
      <c r="Q35" s="30">
        <f t="shared" si="2"/>
        <v>0.4592742226390592</v>
      </c>
      <c r="R35" s="30">
        <f t="shared" ref="R35:Z35" si="13">R23/R9</f>
        <v>0.38460968196308104</v>
      </c>
      <c r="S35" s="30">
        <f t="shared" si="13"/>
        <v>0.38597680373550236</v>
      </c>
      <c r="T35" s="30">
        <f t="shared" si="13"/>
        <v>0.5047248894985521</v>
      </c>
      <c r="U35" s="30">
        <f t="shared" si="13"/>
        <v>0.43427301976405697</v>
      </c>
      <c r="V35" s="30">
        <f t="shared" si="13"/>
        <v>0.17911811743203107</v>
      </c>
      <c r="W35" s="30">
        <f t="shared" si="13"/>
        <v>0.32634228187919462</v>
      </c>
      <c r="X35" s="30">
        <f t="shared" si="13"/>
        <v>0.50520116261281933</v>
      </c>
      <c r="Y35" s="30">
        <f t="shared" si="13"/>
        <v>0.56718464351005482</v>
      </c>
      <c r="Z35" s="30">
        <f t="shared" si="13"/>
        <v>0.61681106551147591</v>
      </c>
      <c r="AA35" s="30">
        <f t="shared" ref="AA35" si="14">AA23/AA9</f>
        <v>0.43629868511483527</v>
      </c>
    </row>
    <row r="36" spans="1:27" x14ac:dyDescent="0.25">
      <c r="A36">
        <v>170410</v>
      </c>
      <c r="B36" t="str">
        <f>VLOOKUP(Tabela3[[#This Row],[IBGE]],procv!$A$2:$D$142,4,FALSE)</f>
        <v>Cerrado Tocantins Araguaia</v>
      </c>
      <c r="C36" t="s">
        <v>39</v>
      </c>
      <c r="D36">
        <v>195</v>
      </c>
      <c r="E36">
        <v>181</v>
      </c>
      <c r="F36">
        <v>175</v>
      </c>
      <c r="G36">
        <v>171</v>
      </c>
      <c r="H36">
        <v>169</v>
      </c>
      <c r="I36">
        <v>172</v>
      </c>
      <c r="J36">
        <v>170</v>
      </c>
      <c r="K36">
        <v>164</v>
      </c>
      <c r="L36">
        <v>155</v>
      </c>
      <c r="M36">
        <v>148</v>
      </c>
      <c r="P36" s="28" t="s">
        <v>149</v>
      </c>
      <c r="Q36" s="30">
        <f t="shared" ref="Q36:Z38" si="15">Q24/Q10</f>
        <v>0.40013312809418811</v>
      </c>
      <c r="R36" s="30">
        <f t="shared" si="15"/>
        <v>0.39271957671957675</v>
      </c>
      <c r="S36" s="30">
        <f t="shared" si="15"/>
        <v>0.46356993290885007</v>
      </c>
      <c r="T36" s="30">
        <f t="shared" si="15"/>
        <v>0.4979760571871501</v>
      </c>
      <c r="U36" s="30">
        <f t="shared" si="15"/>
        <v>0.44770380610878302</v>
      </c>
      <c r="V36" s="30">
        <f t="shared" si="15"/>
        <v>0.15781330582774625</v>
      </c>
      <c r="W36" s="30">
        <f t="shared" si="15"/>
        <v>0.32659469224482773</v>
      </c>
      <c r="X36" s="30">
        <f t="shared" si="15"/>
        <v>0.5427166033828098</v>
      </c>
      <c r="Y36" s="30">
        <f t="shared" si="15"/>
        <v>0.59204706488598791</v>
      </c>
      <c r="Z36" s="30">
        <f t="shared" si="15"/>
        <v>0.63317596566523604</v>
      </c>
      <c r="AA36" s="30">
        <f t="shared" ref="AA36" si="16">AA24/AA10</f>
        <v>0.44522318066680355</v>
      </c>
    </row>
    <row r="37" spans="1:27" x14ac:dyDescent="0.25">
      <c r="A37">
        <v>170460</v>
      </c>
      <c r="B37" t="str">
        <f>VLOOKUP(Tabela3[[#This Row],[IBGE]],procv!$A$2:$D$142,4,FALSE)</f>
        <v>Cantão</v>
      </c>
      <c r="C37" t="s">
        <v>41</v>
      </c>
      <c r="D37">
        <v>111</v>
      </c>
      <c r="E37">
        <v>111</v>
      </c>
      <c r="F37">
        <v>111</v>
      </c>
      <c r="G37">
        <v>112</v>
      </c>
      <c r="H37">
        <v>113</v>
      </c>
      <c r="I37">
        <v>115</v>
      </c>
      <c r="J37">
        <v>114</v>
      </c>
      <c r="K37">
        <v>113</v>
      </c>
      <c r="L37">
        <v>113</v>
      </c>
      <c r="M37">
        <v>118</v>
      </c>
      <c r="P37" s="28" t="s">
        <v>147</v>
      </c>
      <c r="Q37" s="30">
        <f t="shared" si="15"/>
        <v>0.55638000243279406</v>
      </c>
      <c r="R37" s="30">
        <f t="shared" si="15"/>
        <v>0.53403800176167104</v>
      </c>
      <c r="S37" s="30">
        <f t="shared" si="15"/>
        <v>0.57859358841778696</v>
      </c>
      <c r="T37" s="30">
        <f t="shared" si="15"/>
        <v>0.62591362126245842</v>
      </c>
      <c r="U37" s="30">
        <f t="shared" si="15"/>
        <v>0.59586338277316642</v>
      </c>
      <c r="V37" s="30">
        <f t="shared" si="15"/>
        <v>0.2275176129299627</v>
      </c>
      <c r="W37" s="30">
        <f t="shared" si="15"/>
        <v>0.34937208974178074</v>
      </c>
      <c r="X37" s="30">
        <f t="shared" si="15"/>
        <v>0.67889113485417263</v>
      </c>
      <c r="Y37" s="30">
        <f t="shared" si="15"/>
        <v>0.66266119577960136</v>
      </c>
      <c r="Z37" s="30">
        <f t="shared" si="15"/>
        <v>0.71434944237918219</v>
      </c>
      <c r="AA37" s="30">
        <f t="shared" ref="AA37" si="17">AA25/AA11</f>
        <v>0.5508908791910736</v>
      </c>
    </row>
    <row r="38" spans="1:27" x14ac:dyDescent="0.25">
      <c r="A38">
        <v>170510</v>
      </c>
      <c r="B38" t="str">
        <f>VLOOKUP(Tabela3[[#This Row],[IBGE]],procv!$A$2:$D$142,4,FALSE)</f>
        <v>Amor Perfeito</v>
      </c>
      <c r="C38" t="s">
        <v>40</v>
      </c>
      <c r="D38">
        <v>285</v>
      </c>
      <c r="E38">
        <v>276</v>
      </c>
      <c r="F38">
        <v>272</v>
      </c>
      <c r="G38">
        <v>268</v>
      </c>
      <c r="H38">
        <v>266</v>
      </c>
      <c r="I38">
        <v>271</v>
      </c>
      <c r="J38">
        <v>270</v>
      </c>
      <c r="K38">
        <v>266</v>
      </c>
      <c r="L38">
        <v>259</v>
      </c>
      <c r="M38">
        <v>256</v>
      </c>
      <c r="P38" s="29" t="s">
        <v>317</v>
      </c>
      <c r="Q38" s="30">
        <f t="shared" si="15"/>
        <v>0.42967513438121951</v>
      </c>
      <c r="R38" s="30">
        <f t="shared" si="15"/>
        <v>0.42965779467680609</v>
      </c>
      <c r="S38" s="30">
        <f t="shared" si="15"/>
        <v>0.46808955848503869</v>
      </c>
      <c r="T38" s="30">
        <f t="shared" si="15"/>
        <v>0.52267783513522292</v>
      </c>
      <c r="U38" s="30">
        <f t="shared" si="15"/>
        <v>0.50391574619438417</v>
      </c>
      <c r="V38" s="30">
        <f t="shared" si="15"/>
        <v>0.18737461114224679</v>
      </c>
      <c r="W38" s="30">
        <f t="shared" si="15"/>
        <v>0.31451868850858133</v>
      </c>
      <c r="X38" s="30">
        <f t="shared" si="15"/>
        <v>0.56363443284484305</v>
      </c>
      <c r="Y38" s="30">
        <f t="shared" si="15"/>
        <v>0.60576509276927448</v>
      </c>
      <c r="Z38" s="30">
        <f t="shared" si="15"/>
        <v>0.61944557023587588</v>
      </c>
      <c r="AA38" s="30">
        <f t="shared" ref="AA38" si="18">AA26/AA12</f>
        <v>0.46428190647272816</v>
      </c>
    </row>
    <row r="39" spans="1:27" x14ac:dyDescent="0.25">
      <c r="A39">
        <v>170550</v>
      </c>
      <c r="B39" t="str">
        <f>VLOOKUP(Tabela3[[#This Row],[IBGE]],procv!$A$2:$D$142,4,FALSE)</f>
        <v>Cerrado Tocantins Araguaia</v>
      </c>
      <c r="C39" t="s">
        <v>42</v>
      </c>
      <c r="D39">
        <v>2792</v>
      </c>
      <c r="E39">
        <v>2756</v>
      </c>
      <c r="F39">
        <v>2744</v>
      </c>
      <c r="G39">
        <v>2740</v>
      </c>
      <c r="H39">
        <v>2755</v>
      </c>
      <c r="I39">
        <v>2793</v>
      </c>
      <c r="J39">
        <v>2811</v>
      </c>
      <c r="K39">
        <v>2827</v>
      </c>
      <c r="L39">
        <v>2862</v>
      </c>
      <c r="M39">
        <v>2882</v>
      </c>
      <c r="V39" s="32"/>
      <c r="W39" s="32"/>
    </row>
    <row r="40" spans="1:27" x14ac:dyDescent="0.25">
      <c r="A40">
        <v>170555</v>
      </c>
      <c r="B40" t="str">
        <f>VLOOKUP(Tabela3[[#This Row],[IBGE]],procv!$A$2:$D$142,4,FALSE)</f>
        <v>Sudeste</v>
      </c>
      <c r="C40" t="s">
        <v>44</v>
      </c>
      <c r="D40">
        <v>410</v>
      </c>
      <c r="E40">
        <v>398</v>
      </c>
      <c r="F40">
        <v>389</v>
      </c>
      <c r="G40">
        <v>380</v>
      </c>
      <c r="H40">
        <v>373</v>
      </c>
      <c r="I40">
        <v>369</v>
      </c>
      <c r="J40">
        <v>360</v>
      </c>
      <c r="K40">
        <v>353</v>
      </c>
      <c r="L40">
        <v>348</v>
      </c>
      <c r="M40">
        <v>346</v>
      </c>
    </row>
    <row r="41" spans="1:27" x14ac:dyDescent="0.25">
      <c r="A41">
        <v>170560</v>
      </c>
      <c r="B41" t="str">
        <f>VLOOKUP(Tabela3[[#This Row],[IBGE]],procv!$A$2:$D$142,4,FALSE)</f>
        <v>Sudeste</v>
      </c>
      <c r="C41" t="s">
        <v>45</v>
      </c>
      <c r="D41">
        <v>402</v>
      </c>
      <c r="E41">
        <v>390</v>
      </c>
      <c r="F41">
        <v>377</v>
      </c>
      <c r="G41">
        <v>363</v>
      </c>
      <c r="H41">
        <v>349</v>
      </c>
      <c r="I41">
        <v>339</v>
      </c>
      <c r="J41">
        <v>329</v>
      </c>
      <c r="K41">
        <v>318</v>
      </c>
      <c r="L41">
        <v>313</v>
      </c>
      <c r="M41">
        <v>314</v>
      </c>
    </row>
    <row r="42" spans="1:27" x14ac:dyDescent="0.25">
      <c r="A42">
        <v>170600</v>
      </c>
      <c r="B42" t="str">
        <f>VLOOKUP(Tabela3[[#This Row],[IBGE]],procv!$A$2:$D$142,4,FALSE)</f>
        <v>Cerrado Tocantins Araguaia</v>
      </c>
      <c r="C42" t="s">
        <v>46</v>
      </c>
      <c r="D42">
        <v>479</v>
      </c>
      <c r="E42">
        <v>469</v>
      </c>
      <c r="F42">
        <v>465</v>
      </c>
      <c r="G42">
        <v>462</v>
      </c>
      <c r="H42">
        <v>465</v>
      </c>
      <c r="I42">
        <v>474</v>
      </c>
      <c r="J42">
        <v>474</v>
      </c>
      <c r="K42">
        <v>471</v>
      </c>
      <c r="L42">
        <v>464</v>
      </c>
      <c r="M42">
        <v>457</v>
      </c>
    </row>
    <row r="43" spans="1:27" x14ac:dyDescent="0.25">
      <c r="A43">
        <v>170610</v>
      </c>
      <c r="B43" t="str">
        <f>VLOOKUP(Tabela3[[#This Row],[IBGE]],procv!$A$2:$D$142,4,FALSE)</f>
        <v>Cantão</v>
      </c>
      <c r="C43" t="s">
        <v>47</v>
      </c>
      <c r="D43">
        <v>539</v>
      </c>
      <c r="E43">
        <v>509</v>
      </c>
      <c r="F43">
        <v>486</v>
      </c>
      <c r="G43">
        <v>469</v>
      </c>
      <c r="H43">
        <v>458</v>
      </c>
      <c r="I43">
        <v>455</v>
      </c>
      <c r="J43">
        <v>446</v>
      </c>
      <c r="K43">
        <v>436</v>
      </c>
      <c r="L43">
        <v>433</v>
      </c>
      <c r="M43">
        <v>430</v>
      </c>
    </row>
    <row r="44" spans="1:27" x14ac:dyDescent="0.25">
      <c r="A44">
        <v>170625</v>
      </c>
      <c r="B44" t="str">
        <f>VLOOKUP(Tabela3[[#This Row],[IBGE]],procv!$A$2:$D$142,4,FALSE)</f>
        <v>Ilha do Bananal</v>
      </c>
      <c r="C44" t="s">
        <v>48</v>
      </c>
      <c r="D44">
        <v>127</v>
      </c>
      <c r="E44">
        <v>119</v>
      </c>
      <c r="F44">
        <v>115</v>
      </c>
      <c r="G44">
        <v>112</v>
      </c>
      <c r="H44">
        <v>116</v>
      </c>
      <c r="I44">
        <v>122</v>
      </c>
      <c r="J44">
        <v>122</v>
      </c>
      <c r="K44">
        <v>123</v>
      </c>
      <c r="L44">
        <v>118</v>
      </c>
      <c r="M44">
        <v>116</v>
      </c>
    </row>
    <row r="45" spans="1:27" x14ac:dyDescent="0.25">
      <c r="A45">
        <v>170650</v>
      </c>
      <c r="B45" t="str">
        <f>VLOOKUP(Tabela3[[#This Row],[IBGE]],procv!$A$2:$D$142,4,FALSE)</f>
        <v>Médio Norte Araguaia</v>
      </c>
      <c r="C45" t="s">
        <v>49</v>
      </c>
      <c r="D45">
        <v>547</v>
      </c>
      <c r="E45">
        <v>540</v>
      </c>
      <c r="F45">
        <v>535</v>
      </c>
      <c r="G45">
        <v>524</v>
      </c>
      <c r="H45">
        <v>512</v>
      </c>
      <c r="I45">
        <v>505</v>
      </c>
      <c r="J45">
        <v>495</v>
      </c>
      <c r="K45">
        <v>490</v>
      </c>
      <c r="L45">
        <v>495</v>
      </c>
      <c r="M45">
        <v>502</v>
      </c>
    </row>
    <row r="46" spans="1:27" x14ac:dyDescent="0.25">
      <c r="A46">
        <v>170700</v>
      </c>
      <c r="B46" t="str">
        <f>VLOOKUP(Tabela3[[#This Row],[IBGE]],procv!$A$2:$D$142,4,FALSE)</f>
        <v>Sudeste</v>
      </c>
      <c r="C46" t="s">
        <v>50</v>
      </c>
      <c r="D46">
        <v>1713</v>
      </c>
      <c r="E46">
        <v>1652</v>
      </c>
      <c r="F46">
        <v>1606</v>
      </c>
      <c r="G46">
        <v>1565</v>
      </c>
      <c r="H46">
        <v>1532</v>
      </c>
      <c r="I46">
        <v>1511</v>
      </c>
      <c r="J46">
        <v>1485</v>
      </c>
      <c r="K46">
        <v>1459</v>
      </c>
      <c r="L46">
        <v>1451</v>
      </c>
      <c r="M46">
        <v>1441</v>
      </c>
    </row>
    <row r="47" spans="1:27" x14ac:dyDescent="0.25">
      <c r="A47">
        <v>170710</v>
      </c>
      <c r="B47" t="str">
        <f>VLOOKUP(Tabela3[[#This Row],[IBGE]],procv!$A$2:$D$142,4,FALSE)</f>
        <v>Cantão</v>
      </c>
      <c r="C47" t="s">
        <v>51</v>
      </c>
      <c r="D47">
        <v>554</v>
      </c>
      <c r="E47">
        <v>539</v>
      </c>
      <c r="F47">
        <v>532</v>
      </c>
      <c r="G47">
        <v>524</v>
      </c>
      <c r="H47">
        <v>523</v>
      </c>
      <c r="I47">
        <v>525</v>
      </c>
      <c r="J47">
        <v>526</v>
      </c>
      <c r="K47">
        <v>524</v>
      </c>
      <c r="L47">
        <v>533</v>
      </c>
      <c r="M47">
        <v>539</v>
      </c>
    </row>
    <row r="48" spans="1:27" x14ac:dyDescent="0.25">
      <c r="A48">
        <v>170720</v>
      </c>
      <c r="B48" t="str">
        <f>VLOOKUP(Tabela3[[#This Row],[IBGE]],procv!$A$2:$D$142,4,FALSE)</f>
        <v>Cantão</v>
      </c>
      <c r="C48" t="s">
        <v>52</v>
      </c>
      <c r="D48">
        <v>556</v>
      </c>
      <c r="E48">
        <v>534</v>
      </c>
      <c r="F48">
        <v>516</v>
      </c>
      <c r="G48">
        <v>500</v>
      </c>
      <c r="H48">
        <v>490</v>
      </c>
      <c r="I48">
        <v>483</v>
      </c>
      <c r="J48">
        <v>472</v>
      </c>
      <c r="K48">
        <v>460</v>
      </c>
      <c r="L48">
        <v>455</v>
      </c>
      <c r="M48">
        <v>449</v>
      </c>
    </row>
    <row r="49" spans="1:13" x14ac:dyDescent="0.25">
      <c r="A49">
        <v>170730</v>
      </c>
      <c r="B49" t="str">
        <f>VLOOKUP(Tabela3[[#This Row],[IBGE]],procv!$A$2:$D$142,4,FALSE)</f>
        <v>Ilha do Bananal</v>
      </c>
      <c r="C49" t="s">
        <v>53</v>
      </c>
      <c r="D49">
        <v>361</v>
      </c>
      <c r="E49">
        <v>346</v>
      </c>
      <c r="F49">
        <v>333</v>
      </c>
      <c r="G49">
        <v>325</v>
      </c>
      <c r="H49">
        <v>315</v>
      </c>
      <c r="I49">
        <v>306</v>
      </c>
      <c r="J49">
        <v>297</v>
      </c>
      <c r="K49">
        <v>293</v>
      </c>
      <c r="L49">
        <v>292</v>
      </c>
      <c r="M49">
        <v>294</v>
      </c>
    </row>
    <row r="50" spans="1:13" x14ac:dyDescent="0.25">
      <c r="A50">
        <v>170740</v>
      </c>
      <c r="B50" t="str">
        <f>VLOOKUP(Tabela3[[#This Row],[IBGE]],procv!$A$2:$D$142,4,FALSE)</f>
        <v>Bico do Papagaio</v>
      </c>
      <c r="C50" t="s">
        <v>54</v>
      </c>
      <c r="D50">
        <v>925</v>
      </c>
      <c r="E50">
        <v>878</v>
      </c>
      <c r="F50">
        <v>839</v>
      </c>
      <c r="G50">
        <v>806</v>
      </c>
      <c r="H50">
        <v>778</v>
      </c>
      <c r="I50">
        <v>758</v>
      </c>
      <c r="J50">
        <v>731</v>
      </c>
      <c r="K50">
        <v>701</v>
      </c>
      <c r="L50">
        <v>671</v>
      </c>
      <c r="M50">
        <v>642</v>
      </c>
    </row>
    <row r="51" spans="1:13" x14ac:dyDescent="0.25">
      <c r="A51">
        <v>170755</v>
      </c>
      <c r="B51" t="str">
        <f>VLOOKUP(Tabela3[[#This Row],[IBGE]],procv!$A$2:$D$142,4,FALSE)</f>
        <v>Amor Perfeito</v>
      </c>
      <c r="C51" t="s">
        <v>55</v>
      </c>
      <c r="D51">
        <v>294</v>
      </c>
      <c r="E51">
        <v>279</v>
      </c>
      <c r="F51">
        <v>271</v>
      </c>
      <c r="G51">
        <v>264</v>
      </c>
      <c r="H51">
        <v>260</v>
      </c>
      <c r="I51">
        <v>262</v>
      </c>
      <c r="J51">
        <v>259</v>
      </c>
      <c r="K51">
        <v>258</v>
      </c>
      <c r="L51">
        <v>255</v>
      </c>
      <c r="M51">
        <v>256</v>
      </c>
    </row>
    <row r="52" spans="1:13" x14ac:dyDescent="0.25">
      <c r="A52">
        <v>170765</v>
      </c>
      <c r="B52" t="str">
        <f>VLOOKUP(Tabela3[[#This Row],[IBGE]],procv!$A$2:$D$142,4,FALSE)</f>
        <v>Ilha do Bananal</v>
      </c>
      <c r="C52" t="s">
        <v>56</v>
      </c>
      <c r="D52">
        <v>382</v>
      </c>
      <c r="E52">
        <v>370</v>
      </c>
      <c r="F52">
        <v>364</v>
      </c>
      <c r="G52">
        <v>361</v>
      </c>
      <c r="H52">
        <v>362</v>
      </c>
      <c r="I52">
        <v>368</v>
      </c>
      <c r="J52">
        <v>372</v>
      </c>
      <c r="K52">
        <v>367</v>
      </c>
      <c r="L52">
        <v>365</v>
      </c>
      <c r="M52">
        <v>361</v>
      </c>
    </row>
    <row r="53" spans="1:13" x14ac:dyDescent="0.25">
      <c r="A53">
        <v>170770</v>
      </c>
      <c r="B53" t="str">
        <f>VLOOKUP(Tabela3[[#This Row],[IBGE]],procv!$A$2:$D$142,4,FALSE)</f>
        <v>Médio Norte Araguaia</v>
      </c>
      <c r="C53" t="s">
        <v>57</v>
      </c>
      <c r="D53">
        <v>760</v>
      </c>
      <c r="E53">
        <v>728</v>
      </c>
      <c r="F53">
        <v>701</v>
      </c>
      <c r="G53">
        <v>676</v>
      </c>
      <c r="H53">
        <v>652</v>
      </c>
      <c r="I53">
        <v>634</v>
      </c>
      <c r="J53">
        <v>615</v>
      </c>
      <c r="K53">
        <v>599</v>
      </c>
      <c r="L53">
        <v>589</v>
      </c>
      <c r="M53">
        <v>581</v>
      </c>
    </row>
    <row r="54" spans="1:13" x14ac:dyDescent="0.25">
      <c r="A54">
        <v>170820</v>
      </c>
      <c r="B54" t="str">
        <f>VLOOKUP(Tabela3[[#This Row],[IBGE]],procv!$A$2:$D$142,4,FALSE)</f>
        <v>Ilha do Bananal</v>
      </c>
      <c r="C54" t="s">
        <v>58</v>
      </c>
      <c r="D54">
        <v>1583</v>
      </c>
      <c r="E54">
        <v>1528</v>
      </c>
      <c r="F54">
        <v>1491</v>
      </c>
      <c r="G54">
        <v>1462</v>
      </c>
      <c r="H54">
        <v>1441</v>
      </c>
      <c r="I54">
        <v>1438</v>
      </c>
      <c r="J54">
        <v>1429</v>
      </c>
      <c r="K54">
        <v>1422</v>
      </c>
      <c r="L54">
        <v>1438</v>
      </c>
      <c r="M54">
        <v>1449</v>
      </c>
    </row>
    <row r="55" spans="1:13" x14ac:dyDescent="0.25">
      <c r="A55">
        <v>170825</v>
      </c>
      <c r="B55" t="str">
        <f>VLOOKUP(Tabela3[[#This Row],[IBGE]],procv!$A$2:$D$142,4,FALSE)</f>
        <v>Capim Dourado</v>
      </c>
      <c r="C55" t="s">
        <v>315</v>
      </c>
      <c r="D55">
        <v>242</v>
      </c>
      <c r="E55">
        <v>251</v>
      </c>
      <c r="F55">
        <v>260</v>
      </c>
      <c r="G55">
        <v>269</v>
      </c>
      <c r="H55">
        <v>277</v>
      </c>
      <c r="I55">
        <v>286</v>
      </c>
      <c r="J55">
        <v>295</v>
      </c>
      <c r="K55">
        <v>301</v>
      </c>
      <c r="L55">
        <v>305</v>
      </c>
      <c r="M55">
        <v>308</v>
      </c>
    </row>
    <row r="56" spans="1:13" x14ac:dyDescent="0.25">
      <c r="A56">
        <v>170830</v>
      </c>
      <c r="B56" t="str">
        <f>VLOOKUP(Tabela3[[#This Row],[IBGE]],procv!$A$2:$D$142,4,FALSE)</f>
        <v>Cerrado Tocantins Araguaia</v>
      </c>
      <c r="C56" t="s">
        <v>59</v>
      </c>
      <c r="D56">
        <v>400</v>
      </c>
      <c r="E56">
        <v>380</v>
      </c>
      <c r="F56">
        <v>367</v>
      </c>
      <c r="G56">
        <v>357</v>
      </c>
      <c r="H56">
        <v>349</v>
      </c>
      <c r="I56">
        <v>347</v>
      </c>
      <c r="J56">
        <v>343</v>
      </c>
      <c r="K56">
        <v>339</v>
      </c>
      <c r="L56">
        <v>338</v>
      </c>
      <c r="M56">
        <v>339</v>
      </c>
    </row>
    <row r="57" spans="1:13" x14ac:dyDescent="0.25">
      <c r="A57">
        <v>170900</v>
      </c>
      <c r="B57" t="str">
        <f>VLOOKUP(Tabela3[[#This Row],[IBGE]],procv!$A$2:$D$142,4,FALSE)</f>
        <v>Médio Norte Araguaia</v>
      </c>
      <c r="C57" t="s">
        <v>60</v>
      </c>
      <c r="D57">
        <v>1355</v>
      </c>
      <c r="E57">
        <v>1324</v>
      </c>
      <c r="F57">
        <v>1307</v>
      </c>
      <c r="G57">
        <v>1300</v>
      </c>
      <c r="H57">
        <v>1305</v>
      </c>
      <c r="I57">
        <v>1321</v>
      </c>
      <c r="J57">
        <v>1325</v>
      </c>
      <c r="K57">
        <v>1320</v>
      </c>
      <c r="L57">
        <v>1312</v>
      </c>
      <c r="M57">
        <v>1295</v>
      </c>
    </row>
    <row r="58" spans="1:13" x14ac:dyDescent="0.25">
      <c r="A58">
        <v>170930</v>
      </c>
      <c r="B58" t="str">
        <f>VLOOKUP(Tabela3[[#This Row],[IBGE]],procv!$A$2:$D$142,4,FALSE)</f>
        <v>Cerrado Tocantins Araguaia</v>
      </c>
      <c r="C58" t="s">
        <v>61</v>
      </c>
      <c r="D58">
        <v>1880</v>
      </c>
      <c r="E58">
        <v>1840</v>
      </c>
      <c r="F58">
        <v>1814</v>
      </c>
      <c r="G58">
        <v>1790</v>
      </c>
      <c r="H58">
        <v>1777</v>
      </c>
      <c r="I58">
        <v>1779</v>
      </c>
      <c r="J58">
        <v>1773</v>
      </c>
      <c r="K58">
        <v>1765</v>
      </c>
      <c r="L58">
        <v>1778</v>
      </c>
      <c r="M58">
        <v>1782</v>
      </c>
    </row>
    <row r="59" spans="1:13" x14ac:dyDescent="0.25">
      <c r="A59">
        <v>170950</v>
      </c>
      <c r="B59" t="str">
        <f>VLOOKUP(Tabela3[[#This Row],[IBGE]],procv!$A$2:$D$142,4,FALSE)</f>
        <v>Ilha do Bananal</v>
      </c>
      <c r="C59" t="s">
        <v>62</v>
      </c>
      <c r="D59">
        <v>6266</v>
      </c>
      <c r="E59">
        <v>6182</v>
      </c>
      <c r="F59">
        <v>6151</v>
      </c>
      <c r="G59">
        <v>6132</v>
      </c>
      <c r="H59">
        <v>6142</v>
      </c>
      <c r="I59">
        <v>6211</v>
      </c>
      <c r="J59">
        <v>6241</v>
      </c>
      <c r="K59">
        <v>6257</v>
      </c>
      <c r="L59">
        <v>6335</v>
      </c>
      <c r="M59">
        <v>6379</v>
      </c>
    </row>
    <row r="60" spans="1:13" x14ac:dyDescent="0.25">
      <c r="A60">
        <v>170980</v>
      </c>
      <c r="B60" t="str">
        <f>VLOOKUP(Tabela3[[#This Row],[IBGE]],procv!$A$2:$D$142,4,FALSE)</f>
        <v>Amor Perfeito</v>
      </c>
      <c r="C60" t="s">
        <v>63</v>
      </c>
      <c r="D60">
        <v>162</v>
      </c>
      <c r="E60">
        <v>158</v>
      </c>
      <c r="F60">
        <v>152</v>
      </c>
      <c r="G60">
        <v>146</v>
      </c>
      <c r="H60">
        <v>141</v>
      </c>
      <c r="I60">
        <v>138</v>
      </c>
      <c r="J60">
        <v>130</v>
      </c>
      <c r="K60">
        <v>125</v>
      </c>
      <c r="L60">
        <v>117</v>
      </c>
      <c r="M60">
        <v>116</v>
      </c>
    </row>
    <row r="61" spans="1:13" x14ac:dyDescent="0.25">
      <c r="A61">
        <v>171050</v>
      </c>
      <c r="B61" t="str">
        <f>VLOOKUP(Tabela3[[#This Row],[IBGE]],procv!$A$2:$D$142,4,FALSE)</f>
        <v>Cerrado Tocantins Araguaia</v>
      </c>
      <c r="C61" t="s">
        <v>64</v>
      </c>
      <c r="D61">
        <v>710</v>
      </c>
      <c r="E61">
        <v>689</v>
      </c>
      <c r="F61">
        <v>677</v>
      </c>
      <c r="G61">
        <v>668</v>
      </c>
      <c r="H61">
        <v>664</v>
      </c>
      <c r="I61">
        <v>665</v>
      </c>
      <c r="J61">
        <v>661</v>
      </c>
      <c r="K61">
        <v>653</v>
      </c>
      <c r="L61">
        <v>640</v>
      </c>
      <c r="M61">
        <v>624</v>
      </c>
    </row>
    <row r="62" spans="1:13" x14ac:dyDescent="0.25">
      <c r="A62">
        <v>171070</v>
      </c>
      <c r="B62" t="str">
        <f>VLOOKUP(Tabela3[[#This Row],[IBGE]],procv!$A$2:$D$142,4,FALSE)</f>
        <v>Bico do Papagaio</v>
      </c>
      <c r="C62" t="s">
        <v>65</v>
      </c>
      <c r="D62">
        <v>540</v>
      </c>
      <c r="E62">
        <v>516</v>
      </c>
      <c r="F62">
        <v>493</v>
      </c>
      <c r="G62">
        <v>472</v>
      </c>
      <c r="H62">
        <v>451</v>
      </c>
      <c r="I62">
        <v>434</v>
      </c>
      <c r="J62">
        <v>417</v>
      </c>
      <c r="K62">
        <v>403</v>
      </c>
      <c r="L62">
        <v>393</v>
      </c>
      <c r="M62">
        <v>387</v>
      </c>
    </row>
    <row r="63" spans="1:13" x14ac:dyDescent="0.25">
      <c r="A63">
        <v>171090</v>
      </c>
      <c r="B63" t="str">
        <f>VLOOKUP(Tabela3[[#This Row],[IBGE]],procv!$A$2:$D$142,4,FALSE)</f>
        <v>Cerrado Tocantins Araguaia</v>
      </c>
      <c r="C63" t="s">
        <v>66</v>
      </c>
      <c r="D63">
        <v>316</v>
      </c>
      <c r="E63">
        <v>305</v>
      </c>
      <c r="F63">
        <v>297</v>
      </c>
      <c r="G63">
        <v>291</v>
      </c>
      <c r="H63">
        <v>285</v>
      </c>
      <c r="I63">
        <v>282</v>
      </c>
      <c r="J63">
        <v>278</v>
      </c>
      <c r="K63">
        <v>274</v>
      </c>
      <c r="L63">
        <v>274</v>
      </c>
      <c r="M63">
        <v>279</v>
      </c>
    </row>
    <row r="64" spans="1:13" x14ac:dyDescent="0.25">
      <c r="A64">
        <v>171110</v>
      </c>
      <c r="B64" t="str">
        <f>VLOOKUP(Tabela3[[#This Row],[IBGE]],procv!$A$2:$D$142,4,FALSE)</f>
        <v>Cerrado Tocantins Araguaia</v>
      </c>
      <c r="C64" t="s">
        <v>67</v>
      </c>
      <c r="D64">
        <v>208</v>
      </c>
      <c r="E64">
        <v>203</v>
      </c>
      <c r="F64">
        <v>201</v>
      </c>
      <c r="G64">
        <v>196</v>
      </c>
      <c r="H64">
        <v>194</v>
      </c>
      <c r="I64">
        <v>190</v>
      </c>
      <c r="J64">
        <v>187</v>
      </c>
      <c r="K64">
        <v>183</v>
      </c>
      <c r="L64">
        <v>179</v>
      </c>
      <c r="M64">
        <v>177</v>
      </c>
    </row>
    <row r="65" spans="1:13" x14ac:dyDescent="0.25">
      <c r="A65">
        <v>171150</v>
      </c>
      <c r="B65" t="str">
        <f>VLOOKUP(Tabela3[[#This Row],[IBGE]],procv!$A$2:$D$142,4,FALSE)</f>
        <v>Ilha do Bananal</v>
      </c>
      <c r="C65" t="s">
        <v>68</v>
      </c>
      <c r="D65">
        <v>298</v>
      </c>
      <c r="E65">
        <v>285</v>
      </c>
      <c r="F65">
        <v>275</v>
      </c>
      <c r="G65">
        <v>266</v>
      </c>
      <c r="H65">
        <v>256</v>
      </c>
      <c r="I65">
        <v>249</v>
      </c>
      <c r="J65">
        <v>242</v>
      </c>
      <c r="K65">
        <v>235</v>
      </c>
      <c r="L65">
        <v>231</v>
      </c>
      <c r="M65">
        <v>228</v>
      </c>
    </row>
    <row r="66" spans="1:13" x14ac:dyDescent="0.25">
      <c r="A66">
        <v>171180</v>
      </c>
      <c r="B66" t="str">
        <f>VLOOKUP(Tabela3[[#This Row],[IBGE]],procv!$A$2:$D$142,4,FALSE)</f>
        <v>Cerrado Tocantins Araguaia</v>
      </c>
      <c r="C66" t="s">
        <v>69</v>
      </c>
      <c r="D66">
        <v>194</v>
      </c>
      <c r="E66">
        <v>188</v>
      </c>
      <c r="F66">
        <v>185</v>
      </c>
      <c r="G66">
        <v>184</v>
      </c>
      <c r="H66">
        <v>185</v>
      </c>
      <c r="I66">
        <v>190</v>
      </c>
      <c r="J66">
        <v>194</v>
      </c>
      <c r="K66">
        <v>195</v>
      </c>
      <c r="L66">
        <v>191</v>
      </c>
      <c r="M66">
        <v>189</v>
      </c>
    </row>
    <row r="67" spans="1:13" x14ac:dyDescent="0.25">
      <c r="A67">
        <v>171190</v>
      </c>
      <c r="B67" t="str">
        <f>VLOOKUP(Tabela3[[#This Row],[IBGE]],procv!$A$2:$D$142,4,FALSE)</f>
        <v>Cantão</v>
      </c>
      <c r="C67" t="s">
        <v>70</v>
      </c>
      <c r="D67">
        <v>1263</v>
      </c>
      <c r="E67">
        <v>1277</v>
      </c>
      <c r="F67">
        <v>1297</v>
      </c>
      <c r="G67">
        <v>1315</v>
      </c>
      <c r="H67">
        <v>1331</v>
      </c>
      <c r="I67">
        <v>1362</v>
      </c>
      <c r="J67">
        <v>1387</v>
      </c>
      <c r="K67">
        <v>1415</v>
      </c>
      <c r="L67">
        <v>1470</v>
      </c>
      <c r="M67">
        <v>1527</v>
      </c>
    </row>
    <row r="68" spans="1:13" x14ac:dyDescent="0.25">
      <c r="A68">
        <v>171195</v>
      </c>
      <c r="B68" t="str">
        <f>VLOOKUP(Tabela3[[#This Row],[IBGE]],procv!$A$2:$D$142,4,FALSE)</f>
        <v>Capim Dourado</v>
      </c>
      <c r="C68" t="s">
        <v>71</v>
      </c>
      <c r="D68">
        <v>435</v>
      </c>
      <c r="E68">
        <v>425</v>
      </c>
      <c r="F68">
        <v>413</v>
      </c>
      <c r="G68">
        <v>402</v>
      </c>
      <c r="H68">
        <v>390</v>
      </c>
      <c r="I68">
        <v>378</v>
      </c>
      <c r="J68">
        <v>366</v>
      </c>
      <c r="K68">
        <v>356</v>
      </c>
      <c r="L68">
        <v>348</v>
      </c>
      <c r="M68">
        <v>343</v>
      </c>
    </row>
    <row r="69" spans="1:13" x14ac:dyDescent="0.25">
      <c r="A69">
        <v>171200</v>
      </c>
      <c r="B69" t="str">
        <f>VLOOKUP(Tabela3[[#This Row],[IBGE]],procv!$A$2:$D$142,4,FALSE)</f>
        <v>Capim Dourado</v>
      </c>
      <c r="C69" t="s">
        <v>72</v>
      </c>
      <c r="D69">
        <v>289</v>
      </c>
      <c r="E69">
        <v>286</v>
      </c>
      <c r="F69">
        <v>287</v>
      </c>
      <c r="G69">
        <v>286</v>
      </c>
      <c r="H69">
        <v>285</v>
      </c>
      <c r="I69">
        <v>286</v>
      </c>
      <c r="J69">
        <v>286</v>
      </c>
      <c r="K69">
        <v>286</v>
      </c>
      <c r="L69">
        <v>285</v>
      </c>
      <c r="M69">
        <v>285</v>
      </c>
    </row>
    <row r="70" spans="1:13" x14ac:dyDescent="0.25">
      <c r="A70">
        <v>171215</v>
      </c>
      <c r="B70" t="str">
        <f>VLOOKUP(Tabela3[[#This Row],[IBGE]],procv!$A$2:$D$142,4,FALSE)</f>
        <v>Sudeste</v>
      </c>
      <c r="C70" t="s">
        <v>73</v>
      </c>
      <c r="D70">
        <v>156</v>
      </c>
      <c r="E70">
        <v>152</v>
      </c>
      <c r="F70">
        <v>149</v>
      </c>
      <c r="G70">
        <v>142</v>
      </c>
      <c r="H70">
        <v>138</v>
      </c>
      <c r="I70">
        <v>133</v>
      </c>
      <c r="J70">
        <v>130</v>
      </c>
      <c r="K70">
        <v>124</v>
      </c>
      <c r="L70">
        <v>124</v>
      </c>
      <c r="M70">
        <v>124</v>
      </c>
    </row>
    <row r="71" spans="1:13" x14ac:dyDescent="0.25">
      <c r="A71">
        <v>171240</v>
      </c>
      <c r="B71" t="str">
        <f>VLOOKUP(Tabela3[[#This Row],[IBGE]],procv!$A$2:$D$142,4,FALSE)</f>
        <v>Capim Dourado</v>
      </c>
      <c r="C71" t="s">
        <v>74</v>
      </c>
      <c r="D71">
        <v>344</v>
      </c>
      <c r="E71">
        <v>325</v>
      </c>
      <c r="F71">
        <v>307</v>
      </c>
      <c r="G71">
        <v>291</v>
      </c>
      <c r="H71">
        <v>275</v>
      </c>
      <c r="I71">
        <v>263</v>
      </c>
      <c r="J71">
        <v>247</v>
      </c>
      <c r="K71">
        <v>238</v>
      </c>
      <c r="L71">
        <v>229</v>
      </c>
      <c r="M71">
        <v>231</v>
      </c>
    </row>
    <row r="72" spans="1:13" x14ac:dyDescent="0.25">
      <c r="A72">
        <v>171245</v>
      </c>
      <c r="B72" t="str">
        <f>VLOOKUP(Tabela3[[#This Row],[IBGE]],procv!$A$2:$D$142,4,FALSE)</f>
        <v>Bico do Papagaio</v>
      </c>
      <c r="C72" t="s">
        <v>75</v>
      </c>
      <c r="D72">
        <v>286</v>
      </c>
      <c r="E72">
        <v>283</v>
      </c>
      <c r="F72">
        <v>277</v>
      </c>
      <c r="G72">
        <v>265</v>
      </c>
      <c r="H72">
        <v>253</v>
      </c>
      <c r="I72">
        <v>240</v>
      </c>
      <c r="J72">
        <v>229</v>
      </c>
      <c r="K72">
        <v>221</v>
      </c>
      <c r="L72">
        <v>217</v>
      </c>
      <c r="M72">
        <v>218</v>
      </c>
    </row>
    <row r="73" spans="1:13" x14ac:dyDescent="0.25">
      <c r="A73">
        <v>171250</v>
      </c>
      <c r="B73" t="str">
        <f>VLOOKUP(Tabela3[[#This Row],[IBGE]],procv!$A$2:$D$142,4,FALSE)</f>
        <v>Cantão</v>
      </c>
      <c r="C73" t="s">
        <v>76</v>
      </c>
      <c r="D73">
        <v>422</v>
      </c>
      <c r="E73">
        <v>415</v>
      </c>
      <c r="F73">
        <v>406</v>
      </c>
      <c r="G73">
        <v>397</v>
      </c>
      <c r="H73">
        <v>390</v>
      </c>
      <c r="I73">
        <v>386</v>
      </c>
      <c r="J73">
        <v>381</v>
      </c>
      <c r="K73">
        <v>374</v>
      </c>
      <c r="L73">
        <v>374</v>
      </c>
      <c r="M73">
        <v>370</v>
      </c>
    </row>
    <row r="74" spans="1:13" x14ac:dyDescent="0.25">
      <c r="A74">
        <v>171270</v>
      </c>
      <c r="B74" t="str">
        <f>VLOOKUP(Tabela3[[#This Row],[IBGE]],procv!$A$2:$D$142,4,FALSE)</f>
        <v>Amor Perfeito</v>
      </c>
      <c r="C74" t="s">
        <v>77</v>
      </c>
      <c r="D74">
        <v>299</v>
      </c>
      <c r="E74">
        <v>298</v>
      </c>
      <c r="F74">
        <v>294</v>
      </c>
      <c r="G74">
        <v>282</v>
      </c>
      <c r="H74">
        <v>266</v>
      </c>
      <c r="I74">
        <v>248</v>
      </c>
      <c r="J74">
        <v>236</v>
      </c>
      <c r="K74">
        <v>228</v>
      </c>
      <c r="L74">
        <v>227</v>
      </c>
      <c r="M74">
        <v>234</v>
      </c>
    </row>
    <row r="75" spans="1:13" x14ac:dyDescent="0.25">
      <c r="A75">
        <v>171280</v>
      </c>
      <c r="B75" t="str">
        <f>VLOOKUP(Tabela3[[#This Row],[IBGE]],procv!$A$2:$D$142,4,FALSE)</f>
        <v>Bico do Papagaio</v>
      </c>
      <c r="C75" t="s">
        <v>78</v>
      </c>
      <c r="D75">
        <v>321</v>
      </c>
      <c r="E75">
        <v>315</v>
      </c>
      <c r="F75">
        <v>310</v>
      </c>
      <c r="G75">
        <v>303</v>
      </c>
      <c r="H75">
        <v>298</v>
      </c>
      <c r="I75">
        <v>299</v>
      </c>
      <c r="J75">
        <v>296</v>
      </c>
      <c r="K75">
        <v>291</v>
      </c>
      <c r="L75">
        <v>284</v>
      </c>
      <c r="M75">
        <v>280</v>
      </c>
    </row>
    <row r="76" spans="1:13" x14ac:dyDescent="0.25">
      <c r="A76">
        <v>171320</v>
      </c>
      <c r="B76" t="str">
        <f>VLOOKUP(Tabela3[[#This Row],[IBGE]],procv!$A$2:$D$142,4,FALSE)</f>
        <v>Capim Dourado</v>
      </c>
      <c r="C76" t="s">
        <v>79</v>
      </c>
      <c r="D76">
        <v>1664</v>
      </c>
      <c r="E76">
        <v>1587</v>
      </c>
      <c r="F76">
        <v>1530</v>
      </c>
      <c r="G76">
        <v>1489</v>
      </c>
      <c r="H76">
        <v>1457</v>
      </c>
      <c r="I76">
        <v>1441</v>
      </c>
      <c r="J76">
        <v>1416</v>
      </c>
      <c r="K76">
        <v>1380</v>
      </c>
      <c r="L76">
        <v>1353</v>
      </c>
      <c r="M76">
        <v>1316</v>
      </c>
    </row>
    <row r="77" spans="1:13" x14ac:dyDescent="0.25">
      <c r="A77">
        <v>171330</v>
      </c>
      <c r="B77" t="str">
        <f>VLOOKUP(Tabela3[[#This Row],[IBGE]],procv!$A$2:$D$142,4,FALSE)</f>
        <v>Capim Dourado</v>
      </c>
      <c r="C77" t="s">
        <v>80</v>
      </c>
      <c r="D77">
        <v>1031</v>
      </c>
      <c r="E77">
        <v>1001</v>
      </c>
      <c r="F77">
        <v>978</v>
      </c>
      <c r="G77">
        <v>958</v>
      </c>
      <c r="H77">
        <v>943</v>
      </c>
      <c r="I77">
        <v>935</v>
      </c>
      <c r="J77">
        <v>924</v>
      </c>
      <c r="K77">
        <v>915</v>
      </c>
      <c r="L77">
        <v>918</v>
      </c>
      <c r="M77">
        <v>919</v>
      </c>
    </row>
    <row r="78" spans="1:13" x14ac:dyDescent="0.25">
      <c r="A78">
        <v>171360</v>
      </c>
      <c r="B78" t="str">
        <f>VLOOKUP(Tabela3[[#This Row],[IBGE]],procv!$A$2:$D$142,4,FALSE)</f>
        <v>Amor Perfeito</v>
      </c>
      <c r="C78" t="s">
        <v>81</v>
      </c>
      <c r="D78">
        <v>604</v>
      </c>
      <c r="E78">
        <v>582</v>
      </c>
      <c r="F78">
        <v>562</v>
      </c>
      <c r="G78">
        <v>542</v>
      </c>
      <c r="H78">
        <v>523</v>
      </c>
      <c r="I78">
        <v>506</v>
      </c>
      <c r="J78">
        <v>488</v>
      </c>
      <c r="K78">
        <v>471</v>
      </c>
      <c r="L78">
        <v>459</v>
      </c>
      <c r="M78">
        <v>447</v>
      </c>
    </row>
    <row r="79" spans="1:13" x14ac:dyDescent="0.25">
      <c r="A79">
        <v>171370</v>
      </c>
      <c r="B79" t="str">
        <f>VLOOKUP(Tabela3[[#This Row],[IBGE]],procv!$A$2:$D$142,4,FALSE)</f>
        <v>Cantão</v>
      </c>
      <c r="C79" t="s">
        <v>82</v>
      </c>
      <c r="D79">
        <v>173</v>
      </c>
      <c r="E79">
        <v>171</v>
      </c>
      <c r="F79">
        <v>171</v>
      </c>
      <c r="G79">
        <v>175</v>
      </c>
      <c r="H79">
        <v>179</v>
      </c>
      <c r="I79">
        <v>188</v>
      </c>
      <c r="J79">
        <v>191</v>
      </c>
      <c r="K79">
        <v>189</v>
      </c>
      <c r="L79">
        <v>183</v>
      </c>
      <c r="M79">
        <v>180</v>
      </c>
    </row>
    <row r="80" spans="1:13" x14ac:dyDescent="0.25">
      <c r="A80">
        <v>171380</v>
      </c>
      <c r="B80" t="str">
        <f>VLOOKUP(Tabela3[[#This Row],[IBGE]],procv!$A$2:$D$142,4,FALSE)</f>
        <v>Bico do Papagaio</v>
      </c>
      <c r="C80" t="s">
        <v>94</v>
      </c>
      <c r="D80">
        <v>509</v>
      </c>
      <c r="E80">
        <v>490</v>
      </c>
      <c r="F80">
        <v>476</v>
      </c>
      <c r="G80">
        <v>461</v>
      </c>
      <c r="H80">
        <v>448</v>
      </c>
      <c r="I80">
        <v>438</v>
      </c>
      <c r="J80">
        <v>425</v>
      </c>
      <c r="K80">
        <v>411</v>
      </c>
      <c r="L80">
        <v>396</v>
      </c>
      <c r="M80">
        <v>379</v>
      </c>
    </row>
    <row r="81" spans="1:13" x14ac:dyDescent="0.25">
      <c r="A81">
        <v>171395</v>
      </c>
      <c r="B81" t="str">
        <f>VLOOKUP(Tabela3[[#This Row],[IBGE]],procv!$A$2:$D$142,4,FALSE)</f>
        <v>Médio Norte Araguaia</v>
      </c>
      <c r="C81" t="s">
        <v>83</v>
      </c>
      <c r="D81">
        <v>321</v>
      </c>
      <c r="E81">
        <v>313</v>
      </c>
      <c r="F81">
        <v>306</v>
      </c>
      <c r="G81">
        <v>301</v>
      </c>
      <c r="H81">
        <v>299</v>
      </c>
      <c r="I81">
        <v>299</v>
      </c>
      <c r="J81">
        <v>296</v>
      </c>
      <c r="K81">
        <v>294</v>
      </c>
      <c r="L81">
        <v>290</v>
      </c>
      <c r="M81">
        <v>290</v>
      </c>
    </row>
    <row r="82" spans="1:13" x14ac:dyDescent="0.25">
      <c r="A82">
        <v>171420</v>
      </c>
      <c r="B82" t="str">
        <f>VLOOKUP(Tabela3[[#This Row],[IBGE]],procv!$A$2:$D$142,4,FALSE)</f>
        <v>Amor Perfeito</v>
      </c>
      <c r="C82" t="s">
        <v>84</v>
      </c>
      <c r="D82">
        <v>781</v>
      </c>
      <c r="E82">
        <v>759</v>
      </c>
      <c r="F82">
        <v>739</v>
      </c>
      <c r="G82">
        <v>716</v>
      </c>
      <c r="H82">
        <v>692</v>
      </c>
      <c r="I82">
        <v>675</v>
      </c>
      <c r="J82">
        <v>658</v>
      </c>
      <c r="K82">
        <v>645</v>
      </c>
      <c r="L82">
        <v>644</v>
      </c>
      <c r="M82">
        <v>649</v>
      </c>
    </row>
    <row r="83" spans="1:13" x14ac:dyDescent="0.25">
      <c r="A83">
        <v>171430</v>
      </c>
      <c r="B83" t="str">
        <f>VLOOKUP(Tabela3[[#This Row],[IBGE]],procv!$A$2:$D$142,4,FALSE)</f>
        <v>Bico do Papagaio</v>
      </c>
      <c r="C83" t="s">
        <v>85</v>
      </c>
      <c r="D83">
        <v>414</v>
      </c>
      <c r="E83">
        <v>403</v>
      </c>
      <c r="F83">
        <v>390</v>
      </c>
      <c r="G83">
        <v>374</v>
      </c>
      <c r="H83">
        <v>360</v>
      </c>
      <c r="I83">
        <v>348</v>
      </c>
      <c r="J83">
        <v>335</v>
      </c>
      <c r="K83">
        <v>326</v>
      </c>
      <c r="L83">
        <v>324</v>
      </c>
      <c r="M83">
        <v>325</v>
      </c>
    </row>
    <row r="84" spans="1:13" x14ac:dyDescent="0.25">
      <c r="A84">
        <v>171488</v>
      </c>
      <c r="B84" t="str">
        <f>VLOOKUP(Tabela3[[#This Row],[IBGE]],procv!$A$2:$D$142,4,FALSE)</f>
        <v>Médio Norte Araguaia</v>
      </c>
      <c r="C84" t="s">
        <v>86</v>
      </c>
      <c r="D84">
        <v>1035</v>
      </c>
      <c r="E84">
        <v>1012</v>
      </c>
      <c r="F84">
        <v>992</v>
      </c>
      <c r="G84">
        <v>970</v>
      </c>
      <c r="H84">
        <v>949</v>
      </c>
      <c r="I84">
        <v>935</v>
      </c>
      <c r="J84">
        <v>913</v>
      </c>
      <c r="K84">
        <v>891</v>
      </c>
      <c r="L84">
        <v>873</v>
      </c>
      <c r="M84">
        <v>848</v>
      </c>
    </row>
    <row r="85" spans="1:13" x14ac:dyDescent="0.25">
      <c r="A85">
        <v>171500</v>
      </c>
      <c r="B85" t="str">
        <f>VLOOKUP(Tabela3[[#This Row],[IBGE]],procv!$A$2:$D$142,4,FALSE)</f>
        <v>Cantão</v>
      </c>
      <c r="C85" t="s">
        <v>87</v>
      </c>
      <c r="D85">
        <v>322</v>
      </c>
      <c r="E85">
        <v>308</v>
      </c>
      <c r="F85">
        <v>295</v>
      </c>
      <c r="G85">
        <v>288</v>
      </c>
      <c r="H85">
        <v>281</v>
      </c>
      <c r="I85">
        <v>278</v>
      </c>
      <c r="J85">
        <v>273</v>
      </c>
      <c r="K85">
        <v>267</v>
      </c>
      <c r="L85">
        <v>264</v>
      </c>
      <c r="M85">
        <v>265</v>
      </c>
    </row>
    <row r="86" spans="1:13" x14ac:dyDescent="0.25">
      <c r="A86">
        <v>171510</v>
      </c>
      <c r="B86" t="str">
        <f>VLOOKUP(Tabela3[[#This Row],[IBGE]],procv!$A$2:$D$142,4,FALSE)</f>
        <v>Capim Dourado</v>
      </c>
      <c r="C86" t="s">
        <v>88</v>
      </c>
      <c r="D86">
        <v>372</v>
      </c>
      <c r="E86">
        <v>362</v>
      </c>
      <c r="F86">
        <v>359</v>
      </c>
      <c r="G86">
        <v>355</v>
      </c>
      <c r="H86">
        <v>354</v>
      </c>
      <c r="I86">
        <v>357</v>
      </c>
      <c r="J86">
        <v>356</v>
      </c>
      <c r="K86">
        <v>353</v>
      </c>
      <c r="L86">
        <v>352</v>
      </c>
      <c r="M86">
        <v>348</v>
      </c>
    </row>
    <row r="87" spans="1:13" x14ac:dyDescent="0.25">
      <c r="A87">
        <v>171515</v>
      </c>
      <c r="B87" t="str">
        <f>VLOOKUP(Tabela3[[#This Row],[IBGE]],procv!$A$2:$D$142,4,FALSE)</f>
        <v>Sudeste</v>
      </c>
      <c r="C87" t="s">
        <v>89</v>
      </c>
      <c r="D87">
        <v>168</v>
      </c>
      <c r="E87">
        <v>162</v>
      </c>
      <c r="F87">
        <v>156</v>
      </c>
      <c r="G87">
        <v>147</v>
      </c>
      <c r="H87">
        <v>138</v>
      </c>
      <c r="I87">
        <v>127</v>
      </c>
      <c r="J87">
        <v>118</v>
      </c>
      <c r="K87">
        <v>110</v>
      </c>
      <c r="L87">
        <v>103</v>
      </c>
      <c r="M87">
        <v>100</v>
      </c>
    </row>
    <row r="88" spans="1:13" x14ac:dyDescent="0.25">
      <c r="A88">
        <v>171525</v>
      </c>
      <c r="B88" t="str">
        <f>VLOOKUP(Tabela3[[#This Row],[IBGE]],procv!$A$2:$D$142,4,FALSE)</f>
        <v>Sudeste</v>
      </c>
      <c r="C88" t="s">
        <v>90</v>
      </c>
      <c r="D88">
        <v>256</v>
      </c>
      <c r="E88">
        <v>242</v>
      </c>
      <c r="F88">
        <v>231</v>
      </c>
      <c r="G88">
        <v>221</v>
      </c>
      <c r="H88">
        <v>212</v>
      </c>
      <c r="I88">
        <v>205</v>
      </c>
      <c r="J88">
        <v>198</v>
      </c>
      <c r="K88">
        <v>194</v>
      </c>
      <c r="L88">
        <v>192</v>
      </c>
      <c r="M88">
        <v>193</v>
      </c>
    </row>
    <row r="89" spans="1:13" x14ac:dyDescent="0.25">
      <c r="A89">
        <v>171550</v>
      </c>
      <c r="B89" t="str">
        <f>VLOOKUP(Tabela3[[#This Row],[IBGE]],procv!$A$2:$D$142,4,FALSE)</f>
        <v>Amor Perfeito</v>
      </c>
      <c r="C89" t="s">
        <v>91</v>
      </c>
      <c r="D89">
        <v>112</v>
      </c>
      <c r="E89">
        <v>109</v>
      </c>
      <c r="F89">
        <v>109</v>
      </c>
      <c r="G89">
        <v>109</v>
      </c>
      <c r="H89">
        <v>107</v>
      </c>
      <c r="I89">
        <v>108</v>
      </c>
      <c r="J89">
        <v>106</v>
      </c>
      <c r="K89">
        <v>106</v>
      </c>
      <c r="L89">
        <v>107</v>
      </c>
      <c r="M89">
        <v>109</v>
      </c>
    </row>
    <row r="90" spans="1:13" x14ac:dyDescent="0.25">
      <c r="A90">
        <v>171570</v>
      </c>
      <c r="B90" t="str">
        <f>VLOOKUP(Tabela3[[#This Row],[IBGE]],procv!$A$2:$D$142,4,FALSE)</f>
        <v>Cerrado Tocantins Araguaia</v>
      </c>
      <c r="C90" t="s">
        <v>93</v>
      </c>
      <c r="D90">
        <v>489</v>
      </c>
      <c r="E90">
        <v>471</v>
      </c>
      <c r="F90">
        <v>453</v>
      </c>
      <c r="G90">
        <v>434</v>
      </c>
      <c r="H90">
        <v>413</v>
      </c>
      <c r="I90">
        <v>396</v>
      </c>
      <c r="J90">
        <v>379</v>
      </c>
      <c r="K90">
        <v>364</v>
      </c>
      <c r="L90">
        <v>360</v>
      </c>
      <c r="M90">
        <v>357</v>
      </c>
    </row>
    <row r="91" spans="1:13" x14ac:dyDescent="0.25">
      <c r="A91">
        <v>171575</v>
      </c>
      <c r="B91" t="str">
        <f>VLOOKUP(Tabela3[[#This Row],[IBGE]],procv!$A$2:$D$142,4,FALSE)</f>
        <v>Ilha do Bananal</v>
      </c>
      <c r="C91" t="s">
        <v>95</v>
      </c>
      <c r="D91">
        <v>567</v>
      </c>
      <c r="E91">
        <v>544</v>
      </c>
      <c r="F91">
        <v>529</v>
      </c>
      <c r="G91">
        <v>513</v>
      </c>
      <c r="H91">
        <v>501</v>
      </c>
      <c r="I91">
        <v>497</v>
      </c>
      <c r="J91">
        <v>489</v>
      </c>
      <c r="K91">
        <v>480</v>
      </c>
      <c r="L91">
        <v>480</v>
      </c>
      <c r="M91">
        <v>478</v>
      </c>
    </row>
    <row r="92" spans="1:13" x14ac:dyDescent="0.25">
      <c r="A92">
        <v>171610</v>
      </c>
      <c r="B92" t="str">
        <f>VLOOKUP(Tabela3[[#This Row],[IBGE]],procv!$A$2:$D$142,4,FALSE)</f>
        <v>Cantão</v>
      </c>
      <c r="C92" t="s">
        <v>96</v>
      </c>
      <c r="D92">
        <v>3868</v>
      </c>
      <c r="E92">
        <v>3836</v>
      </c>
      <c r="F92">
        <v>3843</v>
      </c>
      <c r="G92">
        <v>3868</v>
      </c>
      <c r="H92">
        <v>3917</v>
      </c>
      <c r="I92">
        <v>4007</v>
      </c>
      <c r="J92">
        <v>4067</v>
      </c>
      <c r="K92">
        <v>4111</v>
      </c>
      <c r="L92">
        <v>4180</v>
      </c>
      <c r="M92">
        <v>4221</v>
      </c>
    </row>
    <row r="93" spans="1:13" x14ac:dyDescent="0.25">
      <c r="A93">
        <v>171620</v>
      </c>
      <c r="B93" t="str">
        <f>VLOOKUP(Tabela3[[#This Row],[IBGE]],procv!$A$2:$D$142,4,FALSE)</f>
        <v>Sudeste</v>
      </c>
      <c r="C93" t="s">
        <v>97</v>
      </c>
      <c r="D93">
        <v>1006</v>
      </c>
      <c r="E93">
        <v>981</v>
      </c>
      <c r="F93">
        <v>959</v>
      </c>
      <c r="G93">
        <v>932</v>
      </c>
      <c r="H93">
        <v>906</v>
      </c>
      <c r="I93">
        <v>887</v>
      </c>
      <c r="J93">
        <v>863</v>
      </c>
      <c r="K93">
        <v>839</v>
      </c>
      <c r="L93">
        <v>829</v>
      </c>
      <c r="M93">
        <v>816</v>
      </c>
    </row>
    <row r="94" spans="1:13" x14ac:dyDescent="0.25">
      <c r="A94">
        <v>171630</v>
      </c>
      <c r="B94" t="str">
        <f>VLOOKUP(Tabela3[[#This Row],[IBGE]],procv!$A$2:$D$142,4,FALSE)</f>
        <v>Médio Norte Araguaia</v>
      </c>
      <c r="C94" t="s">
        <v>98</v>
      </c>
      <c r="D94">
        <v>382</v>
      </c>
      <c r="E94">
        <v>372</v>
      </c>
      <c r="F94">
        <v>365</v>
      </c>
      <c r="G94">
        <v>357</v>
      </c>
      <c r="H94">
        <v>353</v>
      </c>
      <c r="I94">
        <v>352</v>
      </c>
      <c r="J94">
        <v>350</v>
      </c>
      <c r="K94">
        <v>344</v>
      </c>
      <c r="L94">
        <v>341</v>
      </c>
      <c r="M94">
        <v>335</v>
      </c>
    </row>
    <row r="95" spans="1:13" x14ac:dyDescent="0.25">
      <c r="A95">
        <v>171650</v>
      </c>
      <c r="B95" t="str">
        <f>VLOOKUP(Tabela3[[#This Row],[IBGE]],procv!$A$2:$D$142,4,FALSE)</f>
        <v>Cerrado Tocantins Araguaia</v>
      </c>
      <c r="C95" t="s">
        <v>99</v>
      </c>
      <c r="D95">
        <v>1081</v>
      </c>
      <c r="E95">
        <v>1086</v>
      </c>
      <c r="F95">
        <v>1098</v>
      </c>
      <c r="G95">
        <v>1110</v>
      </c>
      <c r="H95">
        <v>1124</v>
      </c>
      <c r="I95">
        <v>1147</v>
      </c>
      <c r="J95">
        <v>1167</v>
      </c>
      <c r="K95">
        <v>1177</v>
      </c>
      <c r="L95">
        <v>1197</v>
      </c>
      <c r="M95">
        <v>1207</v>
      </c>
    </row>
    <row r="96" spans="1:13" x14ac:dyDescent="0.25">
      <c r="A96">
        <v>171660</v>
      </c>
      <c r="B96" t="str">
        <f>VLOOKUP(Tabela3[[#This Row],[IBGE]],procv!$A$2:$D$142,4,FALSE)</f>
        <v>Ilha do Bananal</v>
      </c>
      <c r="C96" t="s">
        <v>100</v>
      </c>
      <c r="D96">
        <v>821</v>
      </c>
      <c r="E96">
        <v>785</v>
      </c>
      <c r="F96">
        <v>760</v>
      </c>
      <c r="G96">
        <v>737</v>
      </c>
      <c r="H96">
        <v>718</v>
      </c>
      <c r="I96">
        <v>707</v>
      </c>
      <c r="J96">
        <v>691</v>
      </c>
      <c r="K96">
        <v>679</v>
      </c>
      <c r="L96">
        <v>675</v>
      </c>
      <c r="M96">
        <v>669</v>
      </c>
    </row>
    <row r="97" spans="1:13" x14ac:dyDescent="0.25">
      <c r="A97">
        <v>171665</v>
      </c>
      <c r="B97" t="str">
        <f>VLOOKUP(Tabela3[[#This Row],[IBGE]],procv!$A$2:$D$142,4,FALSE)</f>
        <v>Cerrado Tocantins Araguaia</v>
      </c>
      <c r="C97" t="s">
        <v>101</v>
      </c>
      <c r="D97">
        <v>437</v>
      </c>
      <c r="E97">
        <v>419</v>
      </c>
      <c r="F97">
        <v>407</v>
      </c>
      <c r="G97">
        <v>395</v>
      </c>
      <c r="H97">
        <v>387</v>
      </c>
      <c r="I97">
        <v>384</v>
      </c>
      <c r="J97">
        <v>377</v>
      </c>
      <c r="K97">
        <v>367</v>
      </c>
      <c r="L97">
        <v>359</v>
      </c>
      <c r="M97">
        <v>355</v>
      </c>
    </row>
    <row r="98" spans="1:13" x14ac:dyDescent="0.25">
      <c r="A98">
        <v>171670</v>
      </c>
      <c r="B98" t="str">
        <f>VLOOKUP(Tabela3[[#This Row],[IBGE]],procv!$A$2:$D$142,4,FALSE)</f>
        <v>Cerrado Tocantins Araguaia</v>
      </c>
      <c r="C98" t="s">
        <v>43</v>
      </c>
      <c r="D98">
        <v>692</v>
      </c>
      <c r="E98">
        <v>670</v>
      </c>
      <c r="F98">
        <v>655</v>
      </c>
      <c r="G98">
        <v>643</v>
      </c>
      <c r="H98">
        <v>636</v>
      </c>
      <c r="I98">
        <v>633</v>
      </c>
      <c r="J98">
        <v>628</v>
      </c>
      <c r="K98">
        <v>623</v>
      </c>
      <c r="L98">
        <v>626</v>
      </c>
      <c r="M98">
        <v>626</v>
      </c>
    </row>
    <row r="99" spans="1:13" x14ac:dyDescent="0.25">
      <c r="A99">
        <v>171700</v>
      </c>
      <c r="B99" t="str">
        <f>VLOOKUP(Tabela3[[#This Row],[IBGE]],procv!$A$2:$D$142,4,FALSE)</f>
        <v>Amor Perfeito</v>
      </c>
      <c r="C99" t="s">
        <v>102</v>
      </c>
      <c r="D99">
        <v>427</v>
      </c>
      <c r="E99">
        <v>416</v>
      </c>
      <c r="F99">
        <v>405</v>
      </c>
      <c r="G99">
        <v>397</v>
      </c>
      <c r="H99">
        <v>391</v>
      </c>
      <c r="I99">
        <v>390</v>
      </c>
      <c r="J99">
        <v>386</v>
      </c>
      <c r="K99">
        <v>378</v>
      </c>
      <c r="L99">
        <v>367</v>
      </c>
      <c r="M99">
        <v>356</v>
      </c>
    </row>
    <row r="100" spans="1:13" x14ac:dyDescent="0.25">
      <c r="A100">
        <v>171720</v>
      </c>
      <c r="B100" t="str">
        <f>VLOOKUP(Tabela3[[#This Row],[IBGE]],procv!$A$2:$D$142,4,FALSE)</f>
        <v>Médio Norte Araguaia</v>
      </c>
      <c r="C100" t="s">
        <v>103</v>
      </c>
      <c r="D100">
        <v>210</v>
      </c>
      <c r="E100">
        <v>193</v>
      </c>
      <c r="F100">
        <v>185</v>
      </c>
      <c r="G100">
        <v>180</v>
      </c>
      <c r="H100">
        <v>178</v>
      </c>
      <c r="I100">
        <v>177</v>
      </c>
      <c r="J100">
        <v>176</v>
      </c>
      <c r="K100">
        <v>173</v>
      </c>
      <c r="L100">
        <v>170</v>
      </c>
      <c r="M100">
        <v>168</v>
      </c>
    </row>
    <row r="101" spans="1:13" x14ac:dyDescent="0.25">
      <c r="A101">
        <v>171750</v>
      </c>
      <c r="B101" t="str">
        <f>VLOOKUP(Tabela3[[#This Row],[IBGE]],procv!$A$2:$D$142,4,FALSE)</f>
        <v>Cantão</v>
      </c>
      <c r="C101" t="s">
        <v>104</v>
      </c>
      <c r="D101">
        <v>631</v>
      </c>
      <c r="E101">
        <v>619</v>
      </c>
      <c r="F101">
        <v>615</v>
      </c>
      <c r="G101">
        <v>613</v>
      </c>
      <c r="H101">
        <v>616</v>
      </c>
      <c r="I101">
        <v>625</v>
      </c>
      <c r="J101">
        <v>631</v>
      </c>
      <c r="K101">
        <v>633</v>
      </c>
      <c r="L101">
        <v>639</v>
      </c>
      <c r="M101">
        <v>640</v>
      </c>
    </row>
    <row r="102" spans="1:13" x14ac:dyDescent="0.25">
      <c r="A102">
        <v>171780</v>
      </c>
      <c r="B102" t="str">
        <f>VLOOKUP(Tabela3[[#This Row],[IBGE]],procv!$A$2:$D$142,4,FALSE)</f>
        <v>Sudeste</v>
      </c>
      <c r="C102" t="s">
        <v>105</v>
      </c>
      <c r="D102">
        <v>383</v>
      </c>
      <c r="E102">
        <v>371</v>
      </c>
      <c r="F102">
        <v>360</v>
      </c>
      <c r="G102">
        <v>352</v>
      </c>
      <c r="H102">
        <v>345</v>
      </c>
      <c r="I102">
        <v>338</v>
      </c>
      <c r="J102">
        <v>329</v>
      </c>
      <c r="K102">
        <v>319</v>
      </c>
      <c r="L102">
        <v>306</v>
      </c>
      <c r="M102">
        <v>298</v>
      </c>
    </row>
    <row r="103" spans="1:13" x14ac:dyDescent="0.25">
      <c r="A103">
        <v>171790</v>
      </c>
      <c r="B103" t="str">
        <f>VLOOKUP(Tabela3[[#This Row],[IBGE]],procv!$A$2:$D$142,4,FALSE)</f>
        <v>Amor Perfeito</v>
      </c>
      <c r="C103" t="s">
        <v>106</v>
      </c>
      <c r="D103">
        <v>712</v>
      </c>
      <c r="E103">
        <v>698</v>
      </c>
      <c r="F103">
        <v>690</v>
      </c>
      <c r="G103">
        <v>684</v>
      </c>
      <c r="H103">
        <v>678</v>
      </c>
      <c r="I103">
        <v>679</v>
      </c>
      <c r="J103">
        <v>674</v>
      </c>
      <c r="K103">
        <v>666</v>
      </c>
      <c r="L103">
        <v>662</v>
      </c>
      <c r="M103">
        <v>657</v>
      </c>
    </row>
    <row r="104" spans="1:13" x14ac:dyDescent="0.25">
      <c r="A104">
        <v>171800</v>
      </c>
      <c r="B104" t="str">
        <f>VLOOKUP(Tabela3[[#This Row],[IBGE]],procv!$A$2:$D$142,4,FALSE)</f>
        <v>Sudeste</v>
      </c>
      <c r="C104" t="s">
        <v>107</v>
      </c>
      <c r="D104">
        <v>264</v>
      </c>
      <c r="E104">
        <v>261</v>
      </c>
      <c r="F104">
        <v>261</v>
      </c>
      <c r="G104">
        <v>260</v>
      </c>
      <c r="H104">
        <v>260</v>
      </c>
      <c r="I104">
        <v>262</v>
      </c>
      <c r="J104">
        <v>264</v>
      </c>
      <c r="K104">
        <v>261</v>
      </c>
      <c r="L104">
        <v>259</v>
      </c>
      <c r="M104">
        <v>255</v>
      </c>
    </row>
    <row r="105" spans="1:13" x14ac:dyDescent="0.25">
      <c r="A105">
        <v>171820</v>
      </c>
      <c r="B105" t="str">
        <f>VLOOKUP(Tabela3[[#This Row],[IBGE]],procv!$A$2:$D$142,4,FALSE)</f>
        <v>Amor Perfeito</v>
      </c>
      <c r="C105" t="s">
        <v>108</v>
      </c>
      <c r="D105">
        <v>4863</v>
      </c>
      <c r="E105">
        <v>4900</v>
      </c>
      <c r="F105">
        <v>4971</v>
      </c>
      <c r="G105">
        <v>5047</v>
      </c>
      <c r="H105">
        <v>5137</v>
      </c>
      <c r="I105">
        <v>5276</v>
      </c>
      <c r="J105">
        <v>5375</v>
      </c>
      <c r="K105">
        <v>5455</v>
      </c>
      <c r="L105">
        <v>5570</v>
      </c>
      <c r="M105">
        <v>5652</v>
      </c>
    </row>
    <row r="106" spans="1:13" x14ac:dyDescent="0.25">
      <c r="A106">
        <v>171830</v>
      </c>
      <c r="B106" t="str">
        <f>VLOOKUP(Tabela3[[#This Row],[IBGE]],procv!$A$2:$D$142,4,FALSE)</f>
        <v>Bico do Papagaio</v>
      </c>
      <c r="C106" t="s">
        <v>109</v>
      </c>
      <c r="D106">
        <v>942</v>
      </c>
      <c r="E106">
        <v>932</v>
      </c>
      <c r="F106">
        <v>928</v>
      </c>
      <c r="G106">
        <v>927</v>
      </c>
      <c r="H106">
        <v>927</v>
      </c>
      <c r="I106">
        <v>934</v>
      </c>
      <c r="J106">
        <v>931</v>
      </c>
      <c r="K106">
        <v>919</v>
      </c>
      <c r="L106">
        <v>905</v>
      </c>
      <c r="M106">
        <v>883</v>
      </c>
    </row>
    <row r="107" spans="1:13" x14ac:dyDescent="0.25">
      <c r="A107">
        <v>171840</v>
      </c>
      <c r="B107" t="str">
        <f>VLOOKUP(Tabela3[[#This Row],[IBGE]],procv!$A$2:$D$142,4,FALSE)</f>
        <v>Cerrado Tocantins Araguaia</v>
      </c>
      <c r="C107" t="s">
        <v>110</v>
      </c>
      <c r="D107">
        <v>278</v>
      </c>
      <c r="E107">
        <v>259</v>
      </c>
      <c r="F107">
        <v>247</v>
      </c>
      <c r="G107">
        <v>240</v>
      </c>
      <c r="H107">
        <v>236</v>
      </c>
      <c r="I107">
        <v>238</v>
      </c>
      <c r="J107">
        <v>235</v>
      </c>
      <c r="K107">
        <v>232</v>
      </c>
      <c r="L107">
        <v>223</v>
      </c>
      <c r="M107">
        <v>216</v>
      </c>
    </row>
    <row r="108" spans="1:13" x14ac:dyDescent="0.25">
      <c r="A108">
        <v>171845</v>
      </c>
      <c r="B108" t="str">
        <f>VLOOKUP(Tabela3[[#This Row],[IBGE]],procv!$A$2:$D$142,4,FALSE)</f>
        <v>Cantão</v>
      </c>
      <c r="C108" t="s">
        <v>111</v>
      </c>
      <c r="D108">
        <v>227</v>
      </c>
      <c r="E108">
        <v>217</v>
      </c>
      <c r="F108">
        <v>211</v>
      </c>
      <c r="G108">
        <v>203</v>
      </c>
      <c r="H108">
        <v>198</v>
      </c>
      <c r="I108">
        <v>192</v>
      </c>
      <c r="J108">
        <v>187</v>
      </c>
      <c r="K108">
        <v>182</v>
      </c>
      <c r="L108">
        <v>171</v>
      </c>
      <c r="M108">
        <v>166</v>
      </c>
    </row>
    <row r="109" spans="1:13" x14ac:dyDescent="0.25">
      <c r="A109">
        <v>171850</v>
      </c>
      <c r="B109" t="str">
        <f>VLOOKUP(Tabela3[[#This Row],[IBGE]],procv!$A$2:$D$142,4,FALSE)</f>
        <v>Cerrado Tocantins Araguaia</v>
      </c>
      <c r="C109" t="s">
        <v>112</v>
      </c>
      <c r="D109">
        <v>417</v>
      </c>
      <c r="E109">
        <v>394</v>
      </c>
      <c r="F109">
        <v>371</v>
      </c>
      <c r="G109">
        <v>354</v>
      </c>
      <c r="H109">
        <v>336</v>
      </c>
      <c r="I109">
        <v>320</v>
      </c>
      <c r="J109">
        <v>306</v>
      </c>
      <c r="K109">
        <v>293</v>
      </c>
      <c r="L109">
        <v>287</v>
      </c>
      <c r="M109">
        <v>285</v>
      </c>
    </row>
    <row r="110" spans="1:13" x14ac:dyDescent="0.25">
      <c r="A110">
        <v>171855</v>
      </c>
      <c r="B110" t="str">
        <f>VLOOKUP(Tabela3[[#This Row],[IBGE]],procv!$A$2:$D$142,4,FALSE)</f>
        <v>Bico do Papagaio</v>
      </c>
      <c r="C110" t="s">
        <v>113</v>
      </c>
      <c r="D110">
        <v>401</v>
      </c>
      <c r="E110">
        <v>391</v>
      </c>
      <c r="F110">
        <v>382</v>
      </c>
      <c r="G110">
        <v>371</v>
      </c>
      <c r="H110">
        <v>362</v>
      </c>
      <c r="I110">
        <v>358</v>
      </c>
      <c r="J110">
        <v>350</v>
      </c>
      <c r="K110">
        <v>341</v>
      </c>
      <c r="L110">
        <v>330</v>
      </c>
      <c r="M110">
        <v>319</v>
      </c>
    </row>
    <row r="111" spans="1:13" x14ac:dyDescent="0.25">
      <c r="A111">
        <v>171865</v>
      </c>
      <c r="B111" t="str">
        <f>VLOOKUP(Tabela3[[#This Row],[IBGE]],procv!$A$2:$D$142,4,FALSE)</f>
        <v>Sudeste</v>
      </c>
      <c r="C111" t="s">
        <v>114</v>
      </c>
      <c r="D111">
        <v>161</v>
      </c>
      <c r="E111">
        <v>155</v>
      </c>
      <c r="F111">
        <v>153</v>
      </c>
      <c r="G111">
        <v>157</v>
      </c>
      <c r="H111">
        <v>161</v>
      </c>
      <c r="I111">
        <v>172</v>
      </c>
      <c r="J111">
        <v>178</v>
      </c>
      <c r="K111">
        <v>181</v>
      </c>
      <c r="L111">
        <v>178</v>
      </c>
      <c r="M111">
        <v>165</v>
      </c>
    </row>
    <row r="112" spans="1:13" x14ac:dyDescent="0.25">
      <c r="A112">
        <v>171870</v>
      </c>
      <c r="B112" t="str">
        <f>VLOOKUP(Tabela3[[#This Row],[IBGE]],procv!$A$2:$D$142,4,FALSE)</f>
        <v>Capim Dourado</v>
      </c>
      <c r="C112" t="s">
        <v>115</v>
      </c>
      <c r="D112">
        <v>242</v>
      </c>
      <c r="E112">
        <v>236</v>
      </c>
      <c r="F112">
        <v>231</v>
      </c>
      <c r="G112">
        <v>225</v>
      </c>
      <c r="H112">
        <v>220</v>
      </c>
      <c r="I112">
        <v>217</v>
      </c>
      <c r="J112">
        <v>213</v>
      </c>
      <c r="K112">
        <v>210</v>
      </c>
      <c r="L112">
        <v>212</v>
      </c>
      <c r="M112">
        <v>217</v>
      </c>
    </row>
    <row r="113" spans="1:13" x14ac:dyDescent="0.25">
      <c r="A113">
        <v>171875</v>
      </c>
      <c r="B113" t="str">
        <f>VLOOKUP(Tabela3[[#This Row],[IBGE]],procv!$A$2:$D$142,4,FALSE)</f>
        <v>Capim Dourado</v>
      </c>
      <c r="C113" t="s">
        <v>116</v>
      </c>
      <c r="D113">
        <v>489</v>
      </c>
      <c r="E113">
        <v>460</v>
      </c>
      <c r="F113">
        <v>438</v>
      </c>
      <c r="G113">
        <v>419</v>
      </c>
      <c r="H113">
        <v>406</v>
      </c>
      <c r="I113">
        <v>394</v>
      </c>
      <c r="J113">
        <v>383</v>
      </c>
      <c r="K113">
        <v>376</v>
      </c>
      <c r="L113">
        <v>372</v>
      </c>
      <c r="M113">
        <v>367</v>
      </c>
    </row>
    <row r="114" spans="1:13" x14ac:dyDescent="0.25">
      <c r="A114">
        <v>171880</v>
      </c>
      <c r="B114" t="str">
        <f>VLOOKUP(Tabela3[[#This Row],[IBGE]],procv!$A$2:$D$142,4,FALSE)</f>
        <v>Bico do Papagaio</v>
      </c>
      <c r="C114" t="s">
        <v>117</v>
      </c>
      <c r="D114">
        <v>431</v>
      </c>
      <c r="E114">
        <v>419</v>
      </c>
      <c r="F114">
        <v>409</v>
      </c>
      <c r="G114">
        <v>404</v>
      </c>
      <c r="H114">
        <v>401</v>
      </c>
      <c r="I114">
        <v>400</v>
      </c>
      <c r="J114">
        <v>398</v>
      </c>
      <c r="K114">
        <v>393</v>
      </c>
      <c r="L114">
        <v>388</v>
      </c>
      <c r="M114">
        <v>386</v>
      </c>
    </row>
    <row r="115" spans="1:13" x14ac:dyDescent="0.25">
      <c r="A115">
        <v>171884</v>
      </c>
      <c r="B115" t="str">
        <f>VLOOKUP(Tabela3[[#This Row],[IBGE]],procv!$A$2:$D$142,4,FALSE)</f>
        <v>Ilha do Bananal</v>
      </c>
      <c r="C115" t="s">
        <v>118</v>
      </c>
      <c r="D115">
        <v>319</v>
      </c>
      <c r="E115">
        <v>315</v>
      </c>
      <c r="F115">
        <v>310</v>
      </c>
      <c r="G115">
        <v>302</v>
      </c>
      <c r="H115">
        <v>293</v>
      </c>
      <c r="I115">
        <v>288</v>
      </c>
      <c r="J115">
        <v>281</v>
      </c>
      <c r="K115">
        <v>275</v>
      </c>
      <c r="L115">
        <v>276</v>
      </c>
      <c r="M115">
        <v>279</v>
      </c>
    </row>
    <row r="116" spans="1:13" x14ac:dyDescent="0.25">
      <c r="A116">
        <v>171886</v>
      </c>
      <c r="B116" t="str">
        <f>VLOOKUP(Tabela3[[#This Row],[IBGE]],procv!$A$2:$D$142,4,FALSE)</f>
        <v>Médio Norte Araguaia</v>
      </c>
      <c r="C116" t="s">
        <v>119</v>
      </c>
      <c r="D116">
        <v>661</v>
      </c>
      <c r="E116">
        <v>645</v>
      </c>
      <c r="F116">
        <v>638</v>
      </c>
      <c r="G116">
        <v>630</v>
      </c>
      <c r="H116">
        <v>627</v>
      </c>
      <c r="I116">
        <v>628</v>
      </c>
      <c r="J116">
        <v>628</v>
      </c>
      <c r="K116">
        <v>627</v>
      </c>
      <c r="L116">
        <v>632</v>
      </c>
      <c r="M116">
        <v>636</v>
      </c>
    </row>
    <row r="117" spans="1:13" x14ac:dyDescent="0.25">
      <c r="A117">
        <v>171888</v>
      </c>
      <c r="B117" t="str">
        <f>VLOOKUP(Tabela3[[#This Row],[IBGE]],procv!$A$2:$D$142,4,FALSE)</f>
        <v>Cerrado Tocantins Araguaia</v>
      </c>
      <c r="C117" t="s">
        <v>120</v>
      </c>
      <c r="D117">
        <v>273</v>
      </c>
      <c r="E117">
        <v>268</v>
      </c>
      <c r="F117">
        <v>257</v>
      </c>
      <c r="G117">
        <v>248</v>
      </c>
      <c r="H117">
        <v>238</v>
      </c>
      <c r="I117">
        <v>231</v>
      </c>
      <c r="J117">
        <v>225</v>
      </c>
      <c r="K117">
        <v>220</v>
      </c>
      <c r="L117">
        <v>215</v>
      </c>
      <c r="M117">
        <v>216</v>
      </c>
    </row>
    <row r="118" spans="1:13" x14ac:dyDescent="0.25">
      <c r="A118">
        <v>171889</v>
      </c>
      <c r="B118" t="str">
        <f>VLOOKUP(Tabela3[[#This Row],[IBGE]],procv!$A$2:$D$142,4,FALSE)</f>
        <v>Ilha do Bananal</v>
      </c>
      <c r="C118" t="s">
        <v>121</v>
      </c>
      <c r="D118">
        <v>190</v>
      </c>
      <c r="E118">
        <v>183</v>
      </c>
      <c r="F118">
        <v>178</v>
      </c>
      <c r="G118">
        <v>175</v>
      </c>
      <c r="H118">
        <v>173</v>
      </c>
      <c r="I118">
        <v>173</v>
      </c>
      <c r="J118">
        <v>171</v>
      </c>
      <c r="K118">
        <v>171</v>
      </c>
      <c r="L118">
        <v>170</v>
      </c>
      <c r="M118">
        <v>172</v>
      </c>
    </row>
    <row r="119" spans="1:13" x14ac:dyDescent="0.25">
      <c r="A119">
        <v>171890</v>
      </c>
      <c r="B119" t="str">
        <f>VLOOKUP(Tabela3[[#This Row],[IBGE]],procv!$A$2:$D$142,4,FALSE)</f>
        <v>Amor Perfeito</v>
      </c>
      <c r="C119" t="s">
        <v>122</v>
      </c>
      <c r="D119">
        <v>461</v>
      </c>
      <c r="E119">
        <v>445</v>
      </c>
      <c r="F119">
        <v>435</v>
      </c>
      <c r="G119">
        <v>424</v>
      </c>
      <c r="H119">
        <v>417</v>
      </c>
      <c r="I119">
        <v>413</v>
      </c>
      <c r="J119">
        <v>406</v>
      </c>
      <c r="K119">
        <v>401</v>
      </c>
      <c r="L119">
        <v>402</v>
      </c>
      <c r="M119">
        <v>401</v>
      </c>
    </row>
    <row r="120" spans="1:13" x14ac:dyDescent="0.25">
      <c r="A120">
        <v>171900</v>
      </c>
      <c r="B120" t="str">
        <f>VLOOKUP(Tabela3[[#This Row],[IBGE]],procv!$A$2:$D$142,4,FALSE)</f>
        <v>Capim Dourado</v>
      </c>
      <c r="C120" t="s">
        <v>123</v>
      </c>
      <c r="D120">
        <v>262</v>
      </c>
      <c r="E120">
        <v>264</v>
      </c>
      <c r="F120">
        <v>268</v>
      </c>
      <c r="G120">
        <v>268</v>
      </c>
      <c r="H120">
        <v>269</v>
      </c>
      <c r="I120">
        <v>269</v>
      </c>
      <c r="J120">
        <v>268</v>
      </c>
      <c r="K120">
        <v>268</v>
      </c>
      <c r="L120">
        <v>271</v>
      </c>
      <c r="M120">
        <v>278</v>
      </c>
    </row>
    <row r="121" spans="1:13" x14ac:dyDescent="0.25">
      <c r="A121">
        <v>172000</v>
      </c>
      <c r="B121" t="str">
        <f>VLOOKUP(Tabela3[[#This Row],[IBGE]],procv!$A$2:$D$142,4,FALSE)</f>
        <v>Bico do Papagaio</v>
      </c>
      <c r="C121" t="s">
        <v>124</v>
      </c>
      <c r="D121">
        <v>223</v>
      </c>
      <c r="E121">
        <v>217</v>
      </c>
      <c r="F121">
        <v>214</v>
      </c>
      <c r="G121">
        <v>215</v>
      </c>
      <c r="H121">
        <v>215</v>
      </c>
      <c r="I121">
        <v>218</v>
      </c>
      <c r="J121">
        <v>218</v>
      </c>
      <c r="K121">
        <v>217</v>
      </c>
      <c r="L121">
        <v>205</v>
      </c>
      <c r="M121">
        <v>197</v>
      </c>
    </row>
    <row r="122" spans="1:13" x14ac:dyDescent="0.25">
      <c r="A122">
        <v>172010</v>
      </c>
      <c r="B122" t="str">
        <f>VLOOKUP(Tabela3[[#This Row],[IBGE]],procv!$A$2:$D$142,4,FALSE)</f>
        <v>Bico do Papagaio</v>
      </c>
      <c r="C122" t="s">
        <v>125</v>
      </c>
      <c r="D122">
        <v>527</v>
      </c>
      <c r="E122">
        <v>523</v>
      </c>
      <c r="F122">
        <v>522</v>
      </c>
      <c r="G122">
        <v>522</v>
      </c>
      <c r="H122">
        <v>521</v>
      </c>
      <c r="I122">
        <v>525</v>
      </c>
      <c r="J122">
        <v>526</v>
      </c>
      <c r="K122">
        <v>526</v>
      </c>
      <c r="L122">
        <v>528</v>
      </c>
      <c r="M122">
        <v>528</v>
      </c>
    </row>
    <row r="123" spans="1:13" x14ac:dyDescent="0.25">
      <c r="A123">
        <v>172015</v>
      </c>
      <c r="B123" t="str">
        <f>VLOOKUP(Tabela3[[#This Row],[IBGE]],procv!$A$2:$D$142,4,FALSE)</f>
        <v>Capim Dourado</v>
      </c>
      <c r="C123" t="s">
        <v>126</v>
      </c>
      <c r="D123">
        <v>180</v>
      </c>
      <c r="E123">
        <v>182</v>
      </c>
      <c r="F123">
        <v>181</v>
      </c>
      <c r="G123">
        <v>177</v>
      </c>
      <c r="H123">
        <v>172</v>
      </c>
      <c r="I123">
        <v>167</v>
      </c>
      <c r="J123">
        <v>162</v>
      </c>
      <c r="K123">
        <v>160</v>
      </c>
      <c r="L123">
        <v>160</v>
      </c>
      <c r="M123">
        <v>167</v>
      </c>
    </row>
    <row r="124" spans="1:13" x14ac:dyDescent="0.25">
      <c r="A124">
        <v>172020</v>
      </c>
      <c r="B124" t="str">
        <f>VLOOKUP(Tabela3[[#This Row],[IBGE]],procv!$A$2:$D$142,4,FALSE)</f>
        <v>Bico do Papagaio</v>
      </c>
      <c r="C124" t="s">
        <v>127</v>
      </c>
      <c r="D124">
        <v>1192</v>
      </c>
      <c r="E124">
        <v>1176</v>
      </c>
      <c r="F124">
        <v>1173</v>
      </c>
      <c r="G124">
        <v>1176</v>
      </c>
      <c r="H124">
        <v>1186</v>
      </c>
      <c r="I124">
        <v>1206</v>
      </c>
      <c r="J124">
        <v>1215</v>
      </c>
      <c r="K124">
        <v>1220</v>
      </c>
      <c r="L124">
        <v>1224</v>
      </c>
      <c r="M124">
        <v>1223</v>
      </c>
    </row>
    <row r="125" spans="1:13" x14ac:dyDescent="0.25">
      <c r="A125">
        <v>172025</v>
      </c>
      <c r="B125" t="str">
        <f>VLOOKUP(Tabela3[[#This Row],[IBGE]],procv!$A$2:$D$142,4,FALSE)</f>
        <v>Ilha do Bananal</v>
      </c>
      <c r="C125" t="s">
        <v>128</v>
      </c>
      <c r="D125">
        <v>241</v>
      </c>
      <c r="E125">
        <v>227</v>
      </c>
      <c r="F125">
        <v>221</v>
      </c>
      <c r="G125">
        <v>211</v>
      </c>
      <c r="H125">
        <v>204</v>
      </c>
      <c r="I125">
        <v>201</v>
      </c>
      <c r="J125">
        <v>197</v>
      </c>
      <c r="K125">
        <v>191</v>
      </c>
      <c r="L125">
        <v>187</v>
      </c>
      <c r="M125">
        <v>189</v>
      </c>
    </row>
    <row r="126" spans="1:13" x14ac:dyDescent="0.25">
      <c r="A126">
        <v>172030</v>
      </c>
      <c r="B126" t="str">
        <f>VLOOKUP(Tabela3[[#This Row],[IBGE]],procv!$A$2:$D$142,4,FALSE)</f>
        <v>Bico do Papagaio</v>
      </c>
      <c r="C126" t="s">
        <v>129</v>
      </c>
      <c r="D126">
        <v>446</v>
      </c>
      <c r="E126">
        <v>433</v>
      </c>
      <c r="F126">
        <v>420</v>
      </c>
      <c r="G126">
        <v>409</v>
      </c>
      <c r="H126">
        <v>397</v>
      </c>
      <c r="I126">
        <v>389</v>
      </c>
      <c r="J126">
        <v>380</v>
      </c>
      <c r="K126">
        <v>371</v>
      </c>
      <c r="L126">
        <v>363</v>
      </c>
      <c r="M126">
        <v>356</v>
      </c>
    </row>
    <row r="127" spans="1:13" x14ac:dyDescent="0.25">
      <c r="A127">
        <v>172049</v>
      </c>
      <c r="B127" t="str">
        <f>VLOOKUP(Tabela3[[#This Row],[IBGE]],procv!$A$2:$D$142,4,FALSE)</f>
        <v>Ilha do Bananal</v>
      </c>
      <c r="C127" t="s">
        <v>130</v>
      </c>
      <c r="D127">
        <v>386</v>
      </c>
      <c r="E127">
        <v>371</v>
      </c>
      <c r="F127">
        <v>367</v>
      </c>
      <c r="G127">
        <v>364</v>
      </c>
      <c r="H127">
        <v>366</v>
      </c>
      <c r="I127">
        <v>371</v>
      </c>
      <c r="J127">
        <v>370</v>
      </c>
      <c r="K127">
        <v>367</v>
      </c>
      <c r="L127">
        <v>358</v>
      </c>
      <c r="M127">
        <v>349</v>
      </c>
    </row>
    <row r="128" spans="1:13" x14ac:dyDescent="0.25">
      <c r="A128">
        <v>172065</v>
      </c>
      <c r="B128" t="str">
        <f>VLOOKUP(Tabela3[[#This Row],[IBGE]],procv!$A$2:$D$142,4,FALSE)</f>
        <v>Amor Perfeito</v>
      </c>
      <c r="C128" t="s">
        <v>131</v>
      </c>
      <c r="D128">
        <v>460</v>
      </c>
      <c r="E128">
        <v>458</v>
      </c>
      <c r="F128">
        <v>453</v>
      </c>
      <c r="G128">
        <v>449</v>
      </c>
      <c r="H128">
        <v>446</v>
      </c>
      <c r="I128">
        <v>445</v>
      </c>
      <c r="J128">
        <v>439</v>
      </c>
      <c r="K128">
        <v>433</v>
      </c>
      <c r="L128">
        <v>428</v>
      </c>
      <c r="M128">
        <v>420</v>
      </c>
    </row>
    <row r="129" spans="1:13" x14ac:dyDescent="0.25">
      <c r="A129">
        <v>172080</v>
      </c>
      <c r="B129" t="str">
        <f>VLOOKUP(Tabela3[[#This Row],[IBGE]],procv!$A$2:$D$142,4,FALSE)</f>
        <v>Bico do Papagaio</v>
      </c>
      <c r="C129" t="s">
        <v>132</v>
      </c>
      <c r="D129">
        <v>931</v>
      </c>
      <c r="E129">
        <v>917</v>
      </c>
      <c r="F129">
        <v>916</v>
      </c>
      <c r="G129">
        <v>921</v>
      </c>
      <c r="H129">
        <v>933</v>
      </c>
      <c r="I129">
        <v>956</v>
      </c>
      <c r="J129">
        <v>968</v>
      </c>
      <c r="K129">
        <v>969</v>
      </c>
      <c r="L129">
        <v>962</v>
      </c>
      <c r="M129">
        <v>948</v>
      </c>
    </row>
    <row r="130" spans="1:13" x14ac:dyDescent="0.25">
      <c r="A130">
        <v>172085</v>
      </c>
      <c r="B130" t="str">
        <f>VLOOKUP(Tabela3[[#This Row],[IBGE]],procv!$A$2:$D$142,4,FALSE)</f>
        <v>Ilha do Bananal</v>
      </c>
      <c r="C130" t="s">
        <v>133</v>
      </c>
      <c r="D130">
        <v>143</v>
      </c>
      <c r="E130">
        <v>137</v>
      </c>
      <c r="F130">
        <v>133</v>
      </c>
      <c r="G130">
        <v>129</v>
      </c>
      <c r="H130">
        <v>126</v>
      </c>
      <c r="I130">
        <v>126</v>
      </c>
      <c r="J130">
        <v>126</v>
      </c>
      <c r="K130">
        <v>124</v>
      </c>
      <c r="L130">
        <v>117</v>
      </c>
      <c r="M130">
        <v>115</v>
      </c>
    </row>
    <row r="131" spans="1:13" x14ac:dyDescent="0.25">
      <c r="A131">
        <v>172090</v>
      </c>
      <c r="B131" t="str">
        <f>VLOOKUP(Tabela3[[#This Row],[IBGE]],procv!$A$2:$D$142,4,FALSE)</f>
        <v>Sudeste</v>
      </c>
      <c r="C131" t="s">
        <v>135</v>
      </c>
      <c r="D131">
        <v>1234</v>
      </c>
      <c r="E131">
        <v>1181</v>
      </c>
      <c r="F131">
        <v>1142</v>
      </c>
      <c r="G131">
        <v>1112</v>
      </c>
      <c r="H131">
        <v>1088</v>
      </c>
      <c r="I131">
        <v>1081</v>
      </c>
      <c r="J131">
        <v>1060</v>
      </c>
      <c r="K131">
        <v>1037</v>
      </c>
      <c r="L131">
        <v>1021</v>
      </c>
      <c r="M131">
        <v>999</v>
      </c>
    </row>
    <row r="132" spans="1:13" x14ac:dyDescent="0.25">
      <c r="A132">
        <v>172093</v>
      </c>
      <c r="B132" t="str">
        <f>VLOOKUP(Tabela3[[#This Row],[IBGE]],procv!$A$2:$D$142,4,FALSE)</f>
        <v>Sudeste</v>
      </c>
      <c r="C132" t="s">
        <v>136</v>
      </c>
      <c r="D132">
        <v>184</v>
      </c>
      <c r="E132">
        <v>178</v>
      </c>
      <c r="F132">
        <v>176</v>
      </c>
      <c r="G132">
        <v>172</v>
      </c>
      <c r="H132">
        <v>172</v>
      </c>
      <c r="I132">
        <v>173</v>
      </c>
      <c r="J132">
        <v>174</v>
      </c>
      <c r="K132">
        <v>175</v>
      </c>
      <c r="L132">
        <v>175</v>
      </c>
      <c r="M132">
        <v>177</v>
      </c>
    </row>
    <row r="133" spans="1:13" x14ac:dyDescent="0.25">
      <c r="A133">
        <v>172097</v>
      </c>
      <c r="B133" t="str">
        <f>VLOOKUP(Tabela3[[#This Row],[IBGE]],procv!$A$2:$D$142,4,FALSE)</f>
        <v>Ilha do Bananal</v>
      </c>
      <c r="C133" t="s">
        <v>137</v>
      </c>
      <c r="D133">
        <v>195</v>
      </c>
      <c r="E133">
        <v>185</v>
      </c>
      <c r="F133">
        <v>179</v>
      </c>
      <c r="G133">
        <v>178</v>
      </c>
      <c r="H133">
        <v>180</v>
      </c>
      <c r="I133">
        <v>183</v>
      </c>
      <c r="J133">
        <v>183</v>
      </c>
      <c r="K133">
        <v>185</v>
      </c>
      <c r="L133">
        <v>181</v>
      </c>
      <c r="M133">
        <v>181</v>
      </c>
    </row>
    <row r="134" spans="1:13" x14ac:dyDescent="0.25">
      <c r="A134">
        <v>172100</v>
      </c>
      <c r="B134" t="str">
        <f>VLOOKUP(Tabela3[[#This Row],[IBGE]],procv!$A$2:$D$142,4,FALSE)</f>
        <v>Capim Dourado</v>
      </c>
      <c r="C134" t="s">
        <v>92</v>
      </c>
      <c r="D134">
        <v>22232</v>
      </c>
      <c r="E134">
        <v>22414</v>
      </c>
      <c r="F134">
        <v>22688</v>
      </c>
      <c r="G134">
        <v>22887</v>
      </c>
      <c r="H134">
        <v>23037</v>
      </c>
      <c r="I134">
        <v>23417</v>
      </c>
      <c r="J134">
        <v>23665</v>
      </c>
      <c r="K134">
        <v>23879</v>
      </c>
      <c r="L134">
        <v>24582</v>
      </c>
      <c r="M134">
        <v>24925</v>
      </c>
    </row>
    <row r="135" spans="1:13" x14ac:dyDescent="0.25">
      <c r="A135">
        <v>172110</v>
      </c>
      <c r="B135" t="str">
        <f>VLOOKUP(Tabela3[[#This Row],[IBGE]],procv!$A$2:$D$142,4,FALSE)</f>
        <v>Capim Dourado</v>
      </c>
      <c r="C135" t="s">
        <v>138</v>
      </c>
      <c r="D135">
        <v>865</v>
      </c>
      <c r="E135">
        <v>859</v>
      </c>
      <c r="F135">
        <v>863</v>
      </c>
      <c r="G135">
        <v>866</v>
      </c>
      <c r="H135">
        <v>876</v>
      </c>
      <c r="I135">
        <v>893</v>
      </c>
      <c r="J135">
        <v>901</v>
      </c>
      <c r="K135">
        <v>902</v>
      </c>
      <c r="L135">
        <v>908</v>
      </c>
      <c r="M135">
        <v>903</v>
      </c>
    </row>
    <row r="136" spans="1:13" x14ac:dyDescent="0.25">
      <c r="A136">
        <v>172120</v>
      </c>
      <c r="B136" t="str">
        <f>VLOOKUP(Tabela3[[#This Row],[IBGE]],procv!$A$2:$D$142,4,FALSE)</f>
        <v>Bico do Papagaio</v>
      </c>
      <c r="C136" t="s">
        <v>139</v>
      </c>
      <c r="D136">
        <v>2156</v>
      </c>
      <c r="E136">
        <v>2117</v>
      </c>
      <c r="F136">
        <v>2093</v>
      </c>
      <c r="G136">
        <v>2072</v>
      </c>
      <c r="H136">
        <v>2055</v>
      </c>
      <c r="I136">
        <v>2057</v>
      </c>
      <c r="J136">
        <v>2042</v>
      </c>
      <c r="K136">
        <v>2015</v>
      </c>
      <c r="L136">
        <v>2000</v>
      </c>
      <c r="M136">
        <v>1971</v>
      </c>
    </row>
    <row r="137" spans="1:13" x14ac:dyDescent="0.25">
      <c r="A137">
        <v>172125</v>
      </c>
      <c r="B137" t="str">
        <f>VLOOKUP(Tabela3[[#This Row],[IBGE]],procv!$A$2:$D$142,4,FALSE)</f>
        <v>Cerrado Tocantins Araguaia</v>
      </c>
      <c r="C137" t="s">
        <v>140</v>
      </c>
      <c r="D137">
        <v>154</v>
      </c>
      <c r="E137">
        <v>153</v>
      </c>
      <c r="F137">
        <v>156</v>
      </c>
      <c r="G137">
        <v>156</v>
      </c>
      <c r="H137">
        <v>158</v>
      </c>
      <c r="I137">
        <v>160</v>
      </c>
      <c r="J137">
        <v>160</v>
      </c>
      <c r="K137">
        <v>160</v>
      </c>
      <c r="L137">
        <v>161</v>
      </c>
      <c r="M137">
        <v>163</v>
      </c>
    </row>
    <row r="138" spans="1:13" x14ac:dyDescent="0.25">
      <c r="A138">
        <v>172130</v>
      </c>
      <c r="B138" t="str">
        <f>VLOOKUP(Tabela3[[#This Row],[IBGE]],procv!$A$2:$D$142,4,FALSE)</f>
        <v>Cerrado Tocantins Araguaia</v>
      </c>
      <c r="C138" t="s">
        <v>141</v>
      </c>
      <c r="D138">
        <v>173</v>
      </c>
      <c r="E138">
        <v>165</v>
      </c>
      <c r="F138">
        <v>158</v>
      </c>
      <c r="G138">
        <v>152</v>
      </c>
      <c r="H138">
        <v>146</v>
      </c>
      <c r="I138">
        <v>142</v>
      </c>
      <c r="J138">
        <v>138</v>
      </c>
      <c r="K138">
        <v>132</v>
      </c>
      <c r="L138">
        <v>130</v>
      </c>
      <c r="M138">
        <v>128</v>
      </c>
    </row>
    <row r="139" spans="1:13" x14ac:dyDescent="0.25">
      <c r="A139">
        <v>172208</v>
      </c>
      <c r="B139" t="str">
        <f>VLOOKUP(Tabela3[[#This Row],[IBGE]],procv!$A$2:$D$142,4,FALSE)</f>
        <v>Médio Norte Araguaia</v>
      </c>
      <c r="C139" t="s">
        <v>142</v>
      </c>
      <c r="D139">
        <v>945</v>
      </c>
      <c r="E139">
        <v>913</v>
      </c>
      <c r="F139">
        <v>891</v>
      </c>
      <c r="G139">
        <v>878</v>
      </c>
      <c r="H139">
        <v>872</v>
      </c>
      <c r="I139">
        <v>875</v>
      </c>
      <c r="J139">
        <v>872</v>
      </c>
      <c r="K139">
        <v>868</v>
      </c>
      <c r="L139">
        <v>874</v>
      </c>
      <c r="M139">
        <v>871</v>
      </c>
    </row>
    <row r="140" spans="1:13" x14ac:dyDescent="0.25">
      <c r="A140">
        <v>172210</v>
      </c>
      <c r="B140" t="str">
        <f>VLOOKUP(Tabela3[[#This Row],[IBGE]],procv!$A$2:$D$142,4,FALSE)</f>
        <v>Médio Norte Araguaia</v>
      </c>
      <c r="C140" t="s">
        <v>143</v>
      </c>
      <c r="D140">
        <v>965</v>
      </c>
      <c r="E140">
        <v>940</v>
      </c>
      <c r="F140">
        <v>920</v>
      </c>
      <c r="G140">
        <v>899</v>
      </c>
      <c r="H140">
        <v>882</v>
      </c>
      <c r="I140">
        <v>870</v>
      </c>
      <c r="J140">
        <v>857</v>
      </c>
      <c r="K140">
        <v>840</v>
      </c>
      <c r="L140">
        <v>836</v>
      </c>
      <c r="M140">
        <v>828</v>
      </c>
    </row>
    <row r="141" spans="1:13" x14ac:dyDescent="0.25">
      <c r="A141">
        <v>17</v>
      </c>
      <c r="B141" t="s">
        <v>318</v>
      </c>
      <c r="C141" t="s">
        <v>317</v>
      </c>
      <c r="D141">
        <v>127622</v>
      </c>
      <c r="E141">
        <v>125451</v>
      </c>
      <c r="F141">
        <v>124254</v>
      </c>
      <c r="G141">
        <v>123204</v>
      </c>
      <c r="H141">
        <v>122582</v>
      </c>
      <c r="I141">
        <v>123117</v>
      </c>
      <c r="J141">
        <v>122883</v>
      </c>
      <c r="K141">
        <v>122418</v>
      </c>
      <c r="L141">
        <v>123155</v>
      </c>
      <c r="M141">
        <v>123370</v>
      </c>
    </row>
    <row r="142" spans="1:13" x14ac:dyDescent="0.25">
      <c r="D142" s="8"/>
    </row>
    <row r="143" spans="1:13" x14ac:dyDescent="0.25">
      <c r="D143" s="8"/>
    </row>
    <row r="144" spans="1:13" x14ac:dyDescent="0.25">
      <c r="D144" s="8"/>
    </row>
    <row r="145" spans="4:4" x14ac:dyDescent="0.25">
      <c r="D145" s="8"/>
    </row>
    <row r="146" spans="4:4" x14ac:dyDescent="0.25">
      <c r="D146" s="8"/>
    </row>
    <row r="147" spans="4:4" x14ac:dyDescent="0.25">
      <c r="D147" s="8"/>
    </row>
    <row r="148" spans="4:4" x14ac:dyDescent="0.25">
      <c r="D148" s="8"/>
    </row>
    <row r="149" spans="4:4" x14ac:dyDescent="0.25">
      <c r="D149" s="8"/>
    </row>
    <row r="150" spans="4:4" x14ac:dyDescent="0.25">
      <c r="D150" s="8"/>
    </row>
    <row r="151" spans="4:4" x14ac:dyDescent="0.25">
      <c r="D151" s="8"/>
    </row>
    <row r="152" spans="4:4" x14ac:dyDescent="0.25">
      <c r="D152" s="8"/>
    </row>
    <row r="153" spans="4:4" x14ac:dyDescent="0.25">
      <c r="D153" s="8"/>
    </row>
    <row r="154" spans="4:4" x14ac:dyDescent="0.25">
      <c r="D154" s="8"/>
    </row>
    <row r="155" spans="4:4" x14ac:dyDescent="0.25">
      <c r="D155" s="8"/>
    </row>
    <row r="156" spans="4:4" x14ac:dyDescent="0.25">
      <c r="D156" s="8"/>
    </row>
    <row r="157" spans="4:4" x14ac:dyDescent="0.25">
      <c r="D157" s="8"/>
    </row>
    <row r="158" spans="4:4" x14ac:dyDescent="0.25">
      <c r="D158" s="8"/>
    </row>
    <row r="159" spans="4:4" x14ac:dyDescent="0.25">
      <c r="D159" s="8"/>
    </row>
    <row r="160" spans="4:4" x14ac:dyDescent="0.25">
      <c r="D160" s="8"/>
    </row>
    <row r="161" spans="4:4" x14ac:dyDescent="0.25">
      <c r="D161" s="8"/>
    </row>
    <row r="162" spans="4:4" x14ac:dyDescent="0.25">
      <c r="D162" s="8"/>
    </row>
    <row r="163" spans="4:4" x14ac:dyDescent="0.25">
      <c r="D163" s="8"/>
    </row>
    <row r="164" spans="4:4" x14ac:dyDescent="0.25">
      <c r="D164" s="8"/>
    </row>
    <row r="165" spans="4:4" x14ac:dyDescent="0.25">
      <c r="D165" s="8"/>
    </row>
    <row r="166" spans="4:4" x14ac:dyDescent="0.25">
      <c r="D166" s="8"/>
    </row>
    <row r="167" spans="4:4" x14ac:dyDescent="0.25">
      <c r="D167" s="8"/>
    </row>
    <row r="168" spans="4:4" x14ac:dyDescent="0.25">
      <c r="D168" s="8"/>
    </row>
    <row r="169" spans="4:4" x14ac:dyDescent="0.25">
      <c r="D169" s="8"/>
    </row>
    <row r="170" spans="4:4" x14ac:dyDescent="0.25">
      <c r="D170" s="8"/>
    </row>
    <row r="171" spans="4:4" x14ac:dyDescent="0.25">
      <c r="D171" s="8"/>
    </row>
    <row r="172" spans="4:4" x14ac:dyDescent="0.25">
      <c r="D172" s="8"/>
    </row>
    <row r="173" spans="4:4" x14ac:dyDescent="0.25">
      <c r="D173" s="8"/>
    </row>
    <row r="174" spans="4:4" x14ac:dyDescent="0.25">
      <c r="D174" s="8"/>
    </row>
    <row r="175" spans="4:4" x14ac:dyDescent="0.25">
      <c r="D175" s="8"/>
    </row>
    <row r="176" spans="4:4" x14ac:dyDescent="0.25">
      <c r="D176" s="8"/>
    </row>
    <row r="177" spans="4:4" x14ac:dyDescent="0.25">
      <c r="D177" s="8"/>
    </row>
    <row r="178" spans="4:4" x14ac:dyDescent="0.25">
      <c r="D178" s="8"/>
    </row>
    <row r="179" spans="4:4" x14ac:dyDescent="0.25">
      <c r="D179" s="8"/>
    </row>
    <row r="180" spans="4:4" x14ac:dyDescent="0.25">
      <c r="D180" s="8"/>
    </row>
    <row r="181" spans="4:4" x14ac:dyDescent="0.25">
      <c r="D181" s="8"/>
    </row>
    <row r="182" spans="4:4" x14ac:dyDescent="0.25">
      <c r="D182" s="8"/>
    </row>
    <row r="183" spans="4:4" x14ac:dyDescent="0.25">
      <c r="D183" s="8"/>
    </row>
    <row r="184" spans="4:4" x14ac:dyDescent="0.25">
      <c r="D184" s="8"/>
    </row>
    <row r="185" spans="4:4" x14ac:dyDescent="0.25">
      <c r="D185" s="8"/>
    </row>
    <row r="186" spans="4:4" x14ac:dyDescent="0.25">
      <c r="D186" s="8"/>
    </row>
    <row r="187" spans="4:4" x14ac:dyDescent="0.25">
      <c r="D187" s="8"/>
    </row>
    <row r="188" spans="4:4" x14ac:dyDescent="0.25">
      <c r="D188" s="8"/>
    </row>
    <row r="189" spans="4:4" x14ac:dyDescent="0.25">
      <c r="D189" s="8"/>
    </row>
    <row r="190" spans="4:4" x14ac:dyDescent="0.25">
      <c r="D190" s="8"/>
    </row>
    <row r="191" spans="4:4" x14ac:dyDescent="0.25">
      <c r="D191" s="8"/>
    </row>
    <row r="192" spans="4:4" x14ac:dyDescent="0.25">
      <c r="D192" s="8"/>
    </row>
    <row r="193" spans="4:4" x14ac:dyDescent="0.25">
      <c r="D193" s="8"/>
    </row>
    <row r="194" spans="4:4" x14ac:dyDescent="0.25">
      <c r="D194" s="8"/>
    </row>
    <row r="195" spans="4:4" x14ac:dyDescent="0.25">
      <c r="D195" s="8"/>
    </row>
    <row r="196" spans="4:4" x14ac:dyDescent="0.25">
      <c r="D196" s="8"/>
    </row>
    <row r="197" spans="4:4" x14ac:dyDescent="0.25">
      <c r="D197" s="8"/>
    </row>
    <row r="198" spans="4:4" x14ac:dyDescent="0.25">
      <c r="D198" s="8"/>
    </row>
    <row r="199" spans="4:4" x14ac:dyDescent="0.25">
      <c r="D199" s="8"/>
    </row>
    <row r="200" spans="4:4" x14ac:dyDescent="0.25">
      <c r="D200" s="8"/>
    </row>
    <row r="201" spans="4:4" x14ac:dyDescent="0.25">
      <c r="D201" s="8"/>
    </row>
    <row r="202" spans="4:4" x14ac:dyDescent="0.25">
      <c r="D202" s="8"/>
    </row>
    <row r="203" spans="4:4" x14ac:dyDescent="0.25">
      <c r="D203" s="8"/>
    </row>
    <row r="204" spans="4:4" x14ac:dyDescent="0.25">
      <c r="D204" s="8"/>
    </row>
    <row r="205" spans="4:4" x14ac:dyDescent="0.25">
      <c r="D205" s="8"/>
    </row>
    <row r="206" spans="4:4" x14ac:dyDescent="0.25">
      <c r="D206" s="8"/>
    </row>
    <row r="207" spans="4:4" x14ac:dyDescent="0.25">
      <c r="D207" s="8"/>
    </row>
    <row r="208" spans="4:4" x14ac:dyDescent="0.25">
      <c r="D208" s="8"/>
    </row>
    <row r="209" spans="4:4" x14ac:dyDescent="0.25">
      <c r="D209" s="8"/>
    </row>
    <row r="210" spans="4:4" x14ac:dyDescent="0.25">
      <c r="D210" s="8"/>
    </row>
    <row r="211" spans="4:4" x14ac:dyDescent="0.25">
      <c r="D211" s="8"/>
    </row>
    <row r="212" spans="4:4" x14ac:dyDescent="0.25">
      <c r="D212" s="8"/>
    </row>
    <row r="213" spans="4:4" x14ac:dyDescent="0.25">
      <c r="D213" s="8"/>
    </row>
    <row r="214" spans="4:4" x14ac:dyDescent="0.25">
      <c r="D214" s="8"/>
    </row>
    <row r="215" spans="4:4" x14ac:dyDescent="0.25">
      <c r="D215" s="8"/>
    </row>
    <row r="216" spans="4:4" x14ac:dyDescent="0.25">
      <c r="D216" s="8"/>
    </row>
    <row r="217" spans="4:4" x14ac:dyDescent="0.25">
      <c r="D217" s="8"/>
    </row>
    <row r="218" spans="4:4" x14ac:dyDescent="0.25">
      <c r="D218" s="8"/>
    </row>
    <row r="219" spans="4:4" x14ac:dyDescent="0.25">
      <c r="D219" s="8"/>
    </row>
    <row r="220" spans="4:4" x14ac:dyDescent="0.25">
      <c r="D220" s="8"/>
    </row>
    <row r="221" spans="4:4" x14ac:dyDescent="0.25">
      <c r="D221" s="8"/>
    </row>
    <row r="222" spans="4:4" x14ac:dyDescent="0.25">
      <c r="D222" s="8"/>
    </row>
    <row r="223" spans="4:4" x14ac:dyDescent="0.25">
      <c r="D223" s="8"/>
    </row>
    <row r="224" spans="4:4" x14ac:dyDescent="0.25">
      <c r="D224" s="8"/>
    </row>
    <row r="225" spans="4:4" x14ac:dyDescent="0.25">
      <c r="D225" s="8"/>
    </row>
    <row r="226" spans="4:4" x14ac:dyDescent="0.25">
      <c r="D226" s="8"/>
    </row>
    <row r="227" spans="4:4" x14ac:dyDescent="0.25">
      <c r="D227" s="8"/>
    </row>
    <row r="228" spans="4:4" x14ac:dyDescent="0.25">
      <c r="D228" s="8"/>
    </row>
    <row r="229" spans="4:4" x14ac:dyDescent="0.25">
      <c r="D229" s="8"/>
    </row>
    <row r="230" spans="4:4" x14ac:dyDescent="0.25">
      <c r="D230" s="8"/>
    </row>
    <row r="231" spans="4:4" x14ac:dyDescent="0.25">
      <c r="D231" s="8"/>
    </row>
    <row r="232" spans="4:4" x14ac:dyDescent="0.25">
      <c r="D232" s="8"/>
    </row>
    <row r="233" spans="4:4" x14ac:dyDescent="0.25">
      <c r="D233" s="8"/>
    </row>
    <row r="234" spans="4:4" x14ac:dyDescent="0.25">
      <c r="D234" s="8"/>
    </row>
    <row r="235" spans="4:4" x14ac:dyDescent="0.25">
      <c r="D235" s="8"/>
    </row>
    <row r="236" spans="4:4" x14ac:dyDescent="0.25">
      <c r="D236" s="8"/>
    </row>
    <row r="237" spans="4:4" x14ac:dyDescent="0.25">
      <c r="D237" s="8"/>
    </row>
    <row r="238" spans="4:4" x14ac:dyDescent="0.25">
      <c r="D238" s="8"/>
    </row>
    <row r="239" spans="4:4" x14ac:dyDescent="0.25">
      <c r="D239" s="8"/>
    </row>
    <row r="240" spans="4:4" x14ac:dyDescent="0.25">
      <c r="D240" s="8"/>
    </row>
    <row r="241" spans="4:4" x14ac:dyDescent="0.25">
      <c r="D241" s="8"/>
    </row>
    <row r="242" spans="4:4" x14ac:dyDescent="0.25">
      <c r="D242" s="8"/>
    </row>
    <row r="243" spans="4:4" x14ac:dyDescent="0.25">
      <c r="D243" s="8"/>
    </row>
    <row r="244" spans="4:4" x14ac:dyDescent="0.25">
      <c r="D244" s="8"/>
    </row>
    <row r="245" spans="4:4" x14ac:dyDescent="0.25">
      <c r="D245" s="8"/>
    </row>
    <row r="246" spans="4:4" x14ac:dyDescent="0.25">
      <c r="D246" s="8"/>
    </row>
    <row r="247" spans="4:4" x14ac:dyDescent="0.25">
      <c r="D247" s="8"/>
    </row>
    <row r="248" spans="4:4" x14ac:dyDescent="0.25">
      <c r="D248" s="8"/>
    </row>
    <row r="249" spans="4:4" x14ac:dyDescent="0.25">
      <c r="D249" s="8"/>
    </row>
    <row r="250" spans="4:4" x14ac:dyDescent="0.25">
      <c r="D250" s="8"/>
    </row>
    <row r="251" spans="4:4" x14ac:dyDescent="0.25">
      <c r="D251" s="8"/>
    </row>
    <row r="252" spans="4:4" x14ac:dyDescent="0.25">
      <c r="D252" s="8"/>
    </row>
    <row r="253" spans="4:4" x14ac:dyDescent="0.25">
      <c r="D253" s="8"/>
    </row>
    <row r="254" spans="4:4" x14ac:dyDescent="0.25">
      <c r="D254" s="8"/>
    </row>
    <row r="255" spans="4:4" x14ac:dyDescent="0.25">
      <c r="D255" s="8"/>
    </row>
    <row r="256" spans="4:4" x14ac:dyDescent="0.25">
      <c r="D256" s="8"/>
    </row>
    <row r="257" spans="4:4" x14ac:dyDescent="0.25">
      <c r="D257" s="8"/>
    </row>
    <row r="258" spans="4:4" x14ac:dyDescent="0.25">
      <c r="D258" s="8"/>
    </row>
    <row r="259" spans="4:4" x14ac:dyDescent="0.25">
      <c r="D259" s="8"/>
    </row>
    <row r="260" spans="4:4" x14ac:dyDescent="0.25">
      <c r="D260" s="8"/>
    </row>
    <row r="261" spans="4:4" x14ac:dyDescent="0.25">
      <c r="D261" s="8"/>
    </row>
    <row r="262" spans="4:4" x14ac:dyDescent="0.25">
      <c r="D262" s="8"/>
    </row>
    <row r="263" spans="4:4" x14ac:dyDescent="0.25">
      <c r="D263" s="8"/>
    </row>
    <row r="264" spans="4:4" x14ac:dyDescent="0.25">
      <c r="D264" s="8"/>
    </row>
    <row r="265" spans="4:4" x14ac:dyDescent="0.25">
      <c r="D265" s="8"/>
    </row>
    <row r="266" spans="4:4" x14ac:dyDescent="0.25">
      <c r="D266" s="8"/>
    </row>
    <row r="267" spans="4:4" x14ac:dyDescent="0.25">
      <c r="D267" s="8"/>
    </row>
    <row r="268" spans="4:4" x14ac:dyDescent="0.25">
      <c r="D268" s="8"/>
    </row>
    <row r="269" spans="4:4" x14ac:dyDescent="0.25">
      <c r="D269" s="8"/>
    </row>
    <row r="270" spans="4:4" x14ac:dyDescent="0.25">
      <c r="D270" s="8"/>
    </row>
    <row r="271" spans="4:4" x14ac:dyDescent="0.25">
      <c r="D271" s="8"/>
    </row>
    <row r="272" spans="4:4" x14ac:dyDescent="0.25">
      <c r="D272" s="8"/>
    </row>
    <row r="273" spans="4:4" x14ac:dyDescent="0.25">
      <c r="D273" s="8"/>
    </row>
    <row r="274" spans="4:4" x14ac:dyDescent="0.25">
      <c r="D274" s="8"/>
    </row>
    <row r="275" spans="4:4" x14ac:dyDescent="0.25">
      <c r="D275" s="8"/>
    </row>
    <row r="276" spans="4:4" x14ac:dyDescent="0.25">
      <c r="D276" s="8"/>
    </row>
    <row r="277" spans="4:4" x14ac:dyDescent="0.25">
      <c r="D277" s="8"/>
    </row>
    <row r="278" spans="4:4" x14ac:dyDescent="0.25">
      <c r="D278" s="8"/>
    </row>
    <row r="279" spans="4:4" x14ac:dyDescent="0.25">
      <c r="D279" s="8"/>
    </row>
    <row r="280" spans="4:4" x14ac:dyDescent="0.25">
      <c r="D280" s="8"/>
    </row>
    <row r="281" spans="4:4" x14ac:dyDescent="0.25">
      <c r="D281" s="8"/>
    </row>
    <row r="282" spans="4:4" x14ac:dyDescent="0.25">
      <c r="D282" s="8"/>
    </row>
    <row r="283" spans="4:4" x14ac:dyDescent="0.25">
      <c r="D283" s="8"/>
    </row>
    <row r="284" spans="4:4" x14ac:dyDescent="0.25">
      <c r="D284" s="8"/>
    </row>
    <row r="285" spans="4:4" x14ac:dyDescent="0.25">
      <c r="D285" s="8"/>
    </row>
    <row r="286" spans="4:4" x14ac:dyDescent="0.25">
      <c r="D286" s="8"/>
    </row>
    <row r="287" spans="4:4" x14ac:dyDescent="0.25">
      <c r="D287" s="8"/>
    </row>
    <row r="288" spans="4:4" x14ac:dyDescent="0.25">
      <c r="D288" s="8"/>
    </row>
    <row r="289" spans="4:4" x14ac:dyDescent="0.25">
      <c r="D289" s="8"/>
    </row>
    <row r="290" spans="4:4" x14ac:dyDescent="0.25">
      <c r="D290" s="8"/>
    </row>
    <row r="291" spans="4:4" x14ac:dyDescent="0.25">
      <c r="D291" s="8"/>
    </row>
    <row r="292" spans="4:4" x14ac:dyDescent="0.25">
      <c r="D292" s="8"/>
    </row>
    <row r="293" spans="4:4" x14ac:dyDescent="0.25">
      <c r="D293" s="8"/>
    </row>
    <row r="294" spans="4:4" x14ac:dyDescent="0.25">
      <c r="D294" s="8"/>
    </row>
    <row r="295" spans="4:4" x14ac:dyDescent="0.25">
      <c r="D295" s="8"/>
    </row>
    <row r="296" spans="4:4" x14ac:dyDescent="0.25">
      <c r="D296" s="8"/>
    </row>
    <row r="297" spans="4:4" x14ac:dyDescent="0.25">
      <c r="D297" s="8"/>
    </row>
    <row r="298" spans="4:4" x14ac:dyDescent="0.25">
      <c r="D298" s="8"/>
    </row>
    <row r="299" spans="4:4" x14ac:dyDescent="0.25">
      <c r="D299" s="8"/>
    </row>
    <row r="300" spans="4:4" x14ac:dyDescent="0.25">
      <c r="D300" s="8"/>
    </row>
    <row r="301" spans="4:4" x14ac:dyDescent="0.25">
      <c r="D301" s="8"/>
    </row>
    <row r="302" spans="4:4" x14ac:dyDescent="0.25">
      <c r="D302" s="8"/>
    </row>
    <row r="303" spans="4:4" x14ac:dyDescent="0.25">
      <c r="D303" s="8"/>
    </row>
    <row r="304" spans="4:4" x14ac:dyDescent="0.25">
      <c r="D304" s="8"/>
    </row>
    <row r="305" spans="4:4" x14ac:dyDescent="0.25">
      <c r="D305" s="8"/>
    </row>
    <row r="306" spans="4:4" x14ac:dyDescent="0.25">
      <c r="D306" s="8"/>
    </row>
    <row r="307" spans="4:4" x14ac:dyDescent="0.25">
      <c r="D307" s="8"/>
    </row>
    <row r="308" spans="4:4" x14ac:dyDescent="0.25">
      <c r="D308" s="8"/>
    </row>
    <row r="309" spans="4:4" x14ac:dyDescent="0.25">
      <c r="D309" s="8"/>
    </row>
    <row r="310" spans="4:4" x14ac:dyDescent="0.25">
      <c r="D310" s="8"/>
    </row>
    <row r="311" spans="4:4" x14ac:dyDescent="0.25">
      <c r="D311" s="8"/>
    </row>
    <row r="312" spans="4:4" x14ac:dyDescent="0.25">
      <c r="D312" s="8"/>
    </row>
    <row r="313" spans="4:4" x14ac:dyDescent="0.25">
      <c r="D313" s="8"/>
    </row>
    <row r="314" spans="4:4" x14ac:dyDescent="0.25">
      <c r="D314" s="8"/>
    </row>
    <row r="315" spans="4:4" x14ac:dyDescent="0.25">
      <c r="D315" s="8"/>
    </row>
    <row r="316" spans="4:4" x14ac:dyDescent="0.25">
      <c r="D316" s="8"/>
    </row>
    <row r="317" spans="4:4" x14ac:dyDescent="0.25">
      <c r="D317" s="8"/>
    </row>
    <row r="318" spans="4:4" x14ac:dyDescent="0.25">
      <c r="D318" s="8"/>
    </row>
    <row r="319" spans="4:4" x14ac:dyDescent="0.25">
      <c r="D319" s="8"/>
    </row>
    <row r="320" spans="4:4" x14ac:dyDescent="0.25">
      <c r="D320" s="8"/>
    </row>
    <row r="321" spans="4:4" x14ac:dyDescent="0.25">
      <c r="D321" s="8"/>
    </row>
    <row r="322" spans="4:4" x14ac:dyDescent="0.25">
      <c r="D322" s="8"/>
    </row>
    <row r="323" spans="4:4" x14ac:dyDescent="0.25">
      <c r="D323" s="8"/>
    </row>
    <row r="324" spans="4:4" x14ac:dyDescent="0.25">
      <c r="D324" s="8"/>
    </row>
    <row r="325" spans="4:4" x14ac:dyDescent="0.25">
      <c r="D325" s="8"/>
    </row>
    <row r="326" spans="4:4" x14ac:dyDescent="0.25">
      <c r="D326" s="8"/>
    </row>
    <row r="327" spans="4:4" x14ac:dyDescent="0.25">
      <c r="D327" s="8"/>
    </row>
    <row r="328" spans="4:4" x14ac:dyDescent="0.25">
      <c r="D328" s="8"/>
    </row>
    <row r="329" spans="4:4" x14ac:dyDescent="0.25">
      <c r="D329" s="8"/>
    </row>
    <row r="330" spans="4:4" x14ac:dyDescent="0.25">
      <c r="D330" s="8"/>
    </row>
    <row r="331" spans="4:4" x14ac:dyDescent="0.25">
      <c r="D331" s="8"/>
    </row>
    <row r="332" spans="4:4" x14ac:dyDescent="0.25">
      <c r="D332" s="8"/>
    </row>
    <row r="333" spans="4:4" x14ac:dyDescent="0.25">
      <c r="D333" s="8"/>
    </row>
    <row r="334" spans="4:4" x14ac:dyDescent="0.25">
      <c r="D334" s="8"/>
    </row>
    <row r="335" spans="4:4" x14ac:dyDescent="0.25">
      <c r="D335" s="8"/>
    </row>
    <row r="336" spans="4:4" x14ac:dyDescent="0.25">
      <c r="D336" s="8"/>
    </row>
    <row r="337" spans="4:4" x14ac:dyDescent="0.25">
      <c r="D337" s="8"/>
    </row>
    <row r="338" spans="4:4" x14ac:dyDescent="0.25">
      <c r="D338" s="8"/>
    </row>
    <row r="339" spans="4:4" x14ac:dyDescent="0.25">
      <c r="D339" s="8"/>
    </row>
    <row r="340" spans="4:4" x14ac:dyDescent="0.25">
      <c r="D340" s="8"/>
    </row>
    <row r="341" spans="4:4" x14ac:dyDescent="0.25">
      <c r="D341" s="8"/>
    </row>
    <row r="342" spans="4:4" x14ac:dyDescent="0.25">
      <c r="D342" s="8"/>
    </row>
    <row r="343" spans="4:4" x14ac:dyDescent="0.25">
      <c r="D343" s="8"/>
    </row>
    <row r="344" spans="4:4" x14ac:dyDescent="0.25">
      <c r="D344" s="8"/>
    </row>
    <row r="345" spans="4:4" x14ac:dyDescent="0.25">
      <c r="D345" s="8"/>
    </row>
    <row r="346" spans="4:4" x14ac:dyDescent="0.25">
      <c r="D346" s="8"/>
    </row>
    <row r="347" spans="4:4" x14ac:dyDescent="0.25">
      <c r="D347" s="8"/>
    </row>
    <row r="348" spans="4:4" x14ac:dyDescent="0.25">
      <c r="D348" s="8"/>
    </row>
    <row r="349" spans="4:4" x14ac:dyDescent="0.25">
      <c r="D349" s="8"/>
    </row>
    <row r="350" spans="4:4" x14ac:dyDescent="0.25">
      <c r="D350" s="8"/>
    </row>
    <row r="351" spans="4:4" x14ac:dyDescent="0.25">
      <c r="D351" s="8"/>
    </row>
    <row r="352" spans="4:4" x14ac:dyDescent="0.25">
      <c r="D352" s="8"/>
    </row>
    <row r="353" spans="4:4" x14ac:dyDescent="0.25">
      <c r="D353" s="8"/>
    </row>
    <row r="354" spans="4:4" x14ac:dyDescent="0.25">
      <c r="D354" s="8"/>
    </row>
    <row r="355" spans="4:4" x14ac:dyDescent="0.25">
      <c r="D355" s="8"/>
    </row>
    <row r="356" spans="4:4" x14ac:dyDescent="0.25">
      <c r="D356" s="8"/>
    </row>
    <row r="357" spans="4:4" x14ac:dyDescent="0.25">
      <c r="D357" s="8"/>
    </row>
    <row r="358" spans="4:4" x14ac:dyDescent="0.25">
      <c r="D358" s="8"/>
    </row>
    <row r="359" spans="4:4" x14ac:dyDescent="0.25">
      <c r="D359" s="8"/>
    </row>
    <row r="360" spans="4:4" x14ac:dyDescent="0.25">
      <c r="D360" s="8"/>
    </row>
    <row r="361" spans="4:4" x14ac:dyDescent="0.25">
      <c r="D361" s="8"/>
    </row>
    <row r="362" spans="4:4" x14ac:dyDescent="0.25">
      <c r="D362" s="8"/>
    </row>
    <row r="363" spans="4:4" x14ac:dyDescent="0.25">
      <c r="D363" s="8"/>
    </row>
    <row r="364" spans="4:4" x14ac:dyDescent="0.25">
      <c r="D364" s="8"/>
    </row>
    <row r="365" spans="4:4" x14ac:dyDescent="0.25">
      <c r="D365" s="8"/>
    </row>
    <row r="366" spans="4:4" x14ac:dyDescent="0.25">
      <c r="D366" s="8"/>
    </row>
    <row r="367" spans="4:4" x14ac:dyDescent="0.25">
      <c r="D367" s="8"/>
    </row>
    <row r="368" spans="4:4" x14ac:dyDescent="0.25">
      <c r="D368" s="8"/>
    </row>
    <row r="369" spans="4:4" x14ac:dyDescent="0.25">
      <c r="D369" s="8"/>
    </row>
    <row r="370" spans="4:4" x14ac:dyDescent="0.25">
      <c r="D370" s="8"/>
    </row>
    <row r="371" spans="4:4" x14ac:dyDescent="0.25">
      <c r="D371" s="8"/>
    </row>
    <row r="372" spans="4:4" x14ac:dyDescent="0.25">
      <c r="D372" s="8"/>
    </row>
    <row r="373" spans="4:4" x14ac:dyDescent="0.25">
      <c r="D373" s="8"/>
    </row>
    <row r="374" spans="4:4" x14ac:dyDescent="0.25">
      <c r="D374" s="8"/>
    </row>
    <row r="375" spans="4:4" x14ac:dyDescent="0.25">
      <c r="D375" s="8"/>
    </row>
    <row r="376" spans="4:4" x14ac:dyDescent="0.25">
      <c r="D376" s="8"/>
    </row>
    <row r="377" spans="4:4" x14ac:dyDescent="0.25">
      <c r="D377" s="8"/>
    </row>
    <row r="378" spans="4:4" x14ac:dyDescent="0.25">
      <c r="D378" s="8"/>
    </row>
    <row r="379" spans="4:4" x14ac:dyDescent="0.25">
      <c r="D379" s="8"/>
    </row>
    <row r="380" spans="4:4" x14ac:dyDescent="0.25">
      <c r="D380" s="8"/>
    </row>
    <row r="381" spans="4:4" x14ac:dyDescent="0.25">
      <c r="D381" s="8"/>
    </row>
    <row r="382" spans="4:4" x14ac:dyDescent="0.25">
      <c r="D382" s="8"/>
    </row>
    <row r="383" spans="4:4" x14ac:dyDescent="0.25">
      <c r="D383" s="8"/>
    </row>
    <row r="384" spans="4:4" x14ac:dyDescent="0.25">
      <c r="D384" s="8"/>
    </row>
    <row r="385" spans="4:4" x14ac:dyDescent="0.25">
      <c r="D385" s="8"/>
    </row>
    <row r="386" spans="4:4" x14ac:dyDescent="0.25">
      <c r="D386" s="8"/>
    </row>
    <row r="387" spans="4:4" x14ac:dyDescent="0.25">
      <c r="D387" s="8"/>
    </row>
    <row r="388" spans="4:4" x14ac:dyDescent="0.25">
      <c r="D388" s="8"/>
    </row>
    <row r="389" spans="4:4" x14ac:dyDescent="0.25">
      <c r="D389" s="8"/>
    </row>
    <row r="390" spans="4:4" x14ac:dyDescent="0.25">
      <c r="D390" s="8"/>
    </row>
    <row r="391" spans="4:4" x14ac:dyDescent="0.25">
      <c r="D391" s="8"/>
    </row>
    <row r="392" spans="4:4" x14ac:dyDescent="0.25">
      <c r="D392" s="8"/>
    </row>
    <row r="393" spans="4:4" x14ac:dyDescent="0.25">
      <c r="D393" s="8"/>
    </row>
    <row r="394" spans="4:4" x14ac:dyDescent="0.25">
      <c r="D394" s="8"/>
    </row>
    <row r="395" spans="4:4" x14ac:dyDescent="0.25">
      <c r="D395" s="8"/>
    </row>
    <row r="396" spans="4:4" x14ac:dyDescent="0.25">
      <c r="D396" s="8"/>
    </row>
    <row r="397" spans="4:4" x14ac:dyDescent="0.25">
      <c r="D397" s="8"/>
    </row>
    <row r="398" spans="4:4" x14ac:dyDescent="0.25">
      <c r="D398" s="8"/>
    </row>
    <row r="399" spans="4:4" x14ac:dyDescent="0.25">
      <c r="D399" s="8"/>
    </row>
    <row r="400" spans="4:4" x14ac:dyDescent="0.25">
      <c r="D400" s="8"/>
    </row>
    <row r="401" spans="4:4" x14ac:dyDescent="0.25">
      <c r="D401" s="8"/>
    </row>
    <row r="402" spans="4:4" x14ac:dyDescent="0.25">
      <c r="D402" s="8"/>
    </row>
    <row r="403" spans="4:4" x14ac:dyDescent="0.25">
      <c r="D403" s="8"/>
    </row>
    <row r="404" spans="4:4" x14ac:dyDescent="0.25">
      <c r="D404" s="8"/>
    </row>
    <row r="405" spans="4:4" x14ac:dyDescent="0.25">
      <c r="D405" s="8"/>
    </row>
    <row r="406" spans="4:4" x14ac:dyDescent="0.25">
      <c r="D406" s="8"/>
    </row>
    <row r="407" spans="4:4" x14ac:dyDescent="0.25">
      <c r="D407" s="8"/>
    </row>
    <row r="408" spans="4:4" x14ac:dyDescent="0.25">
      <c r="D408" s="8"/>
    </row>
    <row r="409" spans="4:4" x14ac:dyDescent="0.25">
      <c r="D409" s="8"/>
    </row>
    <row r="410" spans="4:4" x14ac:dyDescent="0.25">
      <c r="D410" s="8"/>
    </row>
    <row r="411" spans="4:4" x14ac:dyDescent="0.25">
      <c r="D411" s="8"/>
    </row>
    <row r="412" spans="4:4" x14ac:dyDescent="0.25">
      <c r="D412" s="8"/>
    </row>
    <row r="413" spans="4:4" x14ac:dyDescent="0.25">
      <c r="D413" s="8"/>
    </row>
    <row r="414" spans="4:4" x14ac:dyDescent="0.25">
      <c r="D414" s="8"/>
    </row>
    <row r="415" spans="4:4" x14ac:dyDescent="0.25">
      <c r="D415" s="8"/>
    </row>
    <row r="416" spans="4:4" x14ac:dyDescent="0.25">
      <c r="D416" s="8"/>
    </row>
    <row r="417" spans="4:4" x14ac:dyDescent="0.25">
      <c r="D417" s="8"/>
    </row>
    <row r="418" spans="4:4" x14ac:dyDescent="0.25">
      <c r="D418" s="8"/>
    </row>
    <row r="419" spans="4:4" x14ac:dyDescent="0.25">
      <c r="D419" s="8"/>
    </row>
    <row r="420" spans="4:4" x14ac:dyDescent="0.25">
      <c r="D420" s="8"/>
    </row>
    <row r="421" spans="4:4" x14ac:dyDescent="0.25">
      <c r="D421" s="8"/>
    </row>
    <row r="422" spans="4:4" x14ac:dyDescent="0.25">
      <c r="D422" s="8"/>
    </row>
    <row r="423" spans="4:4" x14ac:dyDescent="0.25">
      <c r="D423" s="8"/>
    </row>
    <row r="424" spans="4:4" x14ac:dyDescent="0.25">
      <c r="D424" s="8"/>
    </row>
    <row r="425" spans="4:4" x14ac:dyDescent="0.25">
      <c r="D425" s="8"/>
    </row>
    <row r="426" spans="4:4" x14ac:dyDescent="0.25">
      <c r="D426" s="8"/>
    </row>
    <row r="427" spans="4:4" x14ac:dyDescent="0.25">
      <c r="D427" s="8"/>
    </row>
    <row r="428" spans="4:4" x14ac:dyDescent="0.25">
      <c r="D428" s="8"/>
    </row>
    <row r="429" spans="4:4" x14ac:dyDescent="0.25">
      <c r="D429" s="8"/>
    </row>
    <row r="430" spans="4:4" x14ac:dyDescent="0.25">
      <c r="D430" s="8"/>
    </row>
    <row r="431" spans="4:4" x14ac:dyDescent="0.25">
      <c r="D431" s="8"/>
    </row>
    <row r="432" spans="4:4" x14ac:dyDescent="0.25">
      <c r="D432" s="8"/>
    </row>
    <row r="433" spans="4:4" x14ac:dyDescent="0.25">
      <c r="D433" s="8"/>
    </row>
    <row r="434" spans="4:4" x14ac:dyDescent="0.25">
      <c r="D434" s="8"/>
    </row>
    <row r="435" spans="4:4" x14ac:dyDescent="0.25">
      <c r="D435" s="8"/>
    </row>
    <row r="436" spans="4:4" x14ac:dyDescent="0.25">
      <c r="D436" s="8"/>
    </row>
    <row r="437" spans="4:4" x14ac:dyDescent="0.25">
      <c r="D437" s="8"/>
    </row>
    <row r="438" spans="4:4" x14ac:dyDescent="0.25">
      <c r="D438" s="8"/>
    </row>
    <row r="439" spans="4:4" x14ac:dyDescent="0.25">
      <c r="D439" s="8"/>
    </row>
    <row r="440" spans="4:4" x14ac:dyDescent="0.25">
      <c r="D440" s="8"/>
    </row>
    <row r="441" spans="4:4" x14ac:dyDescent="0.25">
      <c r="D441" s="8"/>
    </row>
    <row r="442" spans="4:4" x14ac:dyDescent="0.25">
      <c r="D442" s="8"/>
    </row>
    <row r="443" spans="4:4" x14ac:dyDescent="0.25">
      <c r="D443" s="8"/>
    </row>
    <row r="444" spans="4:4" x14ac:dyDescent="0.25">
      <c r="D444" s="8"/>
    </row>
    <row r="445" spans="4:4" x14ac:dyDescent="0.25">
      <c r="D445" s="8"/>
    </row>
    <row r="446" spans="4:4" x14ac:dyDescent="0.25">
      <c r="D446" s="8"/>
    </row>
    <row r="447" spans="4:4" x14ac:dyDescent="0.25">
      <c r="D447" s="8"/>
    </row>
    <row r="448" spans="4:4" x14ac:dyDescent="0.25">
      <c r="D448" s="8"/>
    </row>
    <row r="449" spans="4:4" x14ac:dyDescent="0.25">
      <c r="D449" s="8"/>
    </row>
    <row r="450" spans="4:4" x14ac:dyDescent="0.25">
      <c r="D450" s="8"/>
    </row>
    <row r="451" spans="4:4" x14ac:dyDescent="0.25">
      <c r="D451" s="8"/>
    </row>
    <row r="452" spans="4:4" x14ac:dyDescent="0.25">
      <c r="D452" s="8"/>
    </row>
    <row r="453" spans="4:4" x14ac:dyDescent="0.25">
      <c r="D453" s="8"/>
    </row>
    <row r="454" spans="4:4" x14ac:dyDescent="0.25">
      <c r="D454" s="8"/>
    </row>
    <row r="455" spans="4:4" x14ac:dyDescent="0.25">
      <c r="D455" s="8"/>
    </row>
    <row r="456" spans="4:4" x14ac:dyDescent="0.25">
      <c r="D456" s="8"/>
    </row>
    <row r="457" spans="4:4" x14ac:dyDescent="0.25">
      <c r="D457" s="8"/>
    </row>
    <row r="458" spans="4:4" x14ac:dyDescent="0.25">
      <c r="D458" s="8"/>
    </row>
    <row r="459" spans="4:4" x14ac:dyDescent="0.25">
      <c r="D459" s="8"/>
    </row>
    <row r="460" spans="4:4" x14ac:dyDescent="0.25">
      <c r="D460" s="8"/>
    </row>
    <row r="461" spans="4:4" x14ac:dyDescent="0.25">
      <c r="D461" s="8"/>
    </row>
    <row r="462" spans="4:4" x14ac:dyDescent="0.25">
      <c r="D462" s="8"/>
    </row>
    <row r="463" spans="4:4" x14ac:dyDescent="0.25">
      <c r="D463" s="8"/>
    </row>
    <row r="464" spans="4:4" x14ac:dyDescent="0.25">
      <c r="D464" s="8"/>
    </row>
    <row r="465" spans="4:4" x14ac:dyDescent="0.25">
      <c r="D465" s="8"/>
    </row>
    <row r="466" spans="4:4" x14ac:dyDescent="0.25">
      <c r="D466" s="8"/>
    </row>
    <row r="467" spans="4:4" x14ac:dyDescent="0.25">
      <c r="D467" s="8"/>
    </row>
    <row r="468" spans="4:4" x14ac:dyDescent="0.25">
      <c r="D468" s="8"/>
    </row>
    <row r="469" spans="4:4" x14ac:dyDescent="0.25">
      <c r="D469" s="8"/>
    </row>
    <row r="470" spans="4:4" x14ac:dyDescent="0.25">
      <c r="D470" s="8"/>
    </row>
    <row r="471" spans="4:4" x14ac:dyDescent="0.25">
      <c r="D471" s="8"/>
    </row>
    <row r="472" spans="4:4" x14ac:dyDescent="0.25">
      <c r="D472" s="8"/>
    </row>
    <row r="473" spans="4:4" x14ac:dyDescent="0.25">
      <c r="D473" s="8"/>
    </row>
    <row r="474" spans="4:4" x14ac:dyDescent="0.25">
      <c r="D474" s="8"/>
    </row>
    <row r="475" spans="4:4" x14ac:dyDescent="0.25">
      <c r="D475" s="8"/>
    </row>
    <row r="476" spans="4:4" x14ac:dyDescent="0.25">
      <c r="D476" s="8"/>
    </row>
    <row r="477" spans="4:4" x14ac:dyDescent="0.25">
      <c r="D477" s="8"/>
    </row>
    <row r="478" spans="4:4" x14ac:dyDescent="0.25">
      <c r="D478" s="8"/>
    </row>
    <row r="479" spans="4:4" x14ac:dyDescent="0.25">
      <c r="D479" s="8"/>
    </row>
    <row r="480" spans="4:4" x14ac:dyDescent="0.25">
      <c r="D480" s="8"/>
    </row>
    <row r="481" spans="4:4" x14ac:dyDescent="0.25">
      <c r="D481" s="8"/>
    </row>
    <row r="482" spans="4:4" x14ac:dyDescent="0.25">
      <c r="D482" s="8"/>
    </row>
    <row r="483" spans="4:4" x14ac:dyDescent="0.25">
      <c r="D483" s="8"/>
    </row>
    <row r="484" spans="4:4" x14ac:dyDescent="0.25">
      <c r="D484" s="8"/>
    </row>
    <row r="485" spans="4:4" x14ac:dyDescent="0.25">
      <c r="D485" s="8"/>
    </row>
    <row r="486" spans="4:4" x14ac:dyDescent="0.25">
      <c r="D486" s="8"/>
    </row>
    <row r="487" spans="4:4" x14ac:dyDescent="0.25">
      <c r="D487" s="8"/>
    </row>
    <row r="488" spans="4:4" x14ac:dyDescent="0.25">
      <c r="D488" s="8"/>
    </row>
    <row r="489" spans="4:4" x14ac:dyDescent="0.25">
      <c r="D489" s="8"/>
    </row>
    <row r="490" spans="4:4" x14ac:dyDescent="0.25">
      <c r="D490" s="8"/>
    </row>
    <row r="491" spans="4:4" x14ac:dyDescent="0.25">
      <c r="D491" s="8"/>
    </row>
    <row r="492" spans="4:4" x14ac:dyDescent="0.25">
      <c r="D492" s="8"/>
    </row>
    <row r="493" spans="4:4" x14ac:dyDescent="0.25">
      <c r="D493" s="8"/>
    </row>
    <row r="494" spans="4:4" x14ac:dyDescent="0.25">
      <c r="D494" s="8"/>
    </row>
    <row r="495" spans="4:4" x14ac:dyDescent="0.25">
      <c r="D495" s="8"/>
    </row>
    <row r="496" spans="4:4" x14ac:dyDescent="0.25">
      <c r="D496" s="8"/>
    </row>
    <row r="497" spans="4:4" x14ac:dyDescent="0.25">
      <c r="D497" s="8"/>
    </row>
    <row r="498" spans="4:4" x14ac:dyDescent="0.25">
      <c r="D498" s="8"/>
    </row>
    <row r="499" spans="4:4" x14ac:dyDescent="0.25">
      <c r="D499" s="8"/>
    </row>
    <row r="500" spans="4:4" x14ac:dyDescent="0.25">
      <c r="D500" s="8"/>
    </row>
    <row r="501" spans="4:4" x14ac:dyDescent="0.25">
      <c r="D501" s="8"/>
    </row>
    <row r="502" spans="4:4" x14ac:dyDescent="0.25">
      <c r="D502" s="8"/>
    </row>
    <row r="503" spans="4:4" x14ac:dyDescent="0.25">
      <c r="D503" s="8"/>
    </row>
    <row r="504" spans="4:4" x14ac:dyDescent="0.25">
      <c r="D504" s="8"/>
    </row>
    <row r="505" spans="4:4" x14ac:dyDescent="0.25">
      <c r="D505" s="8"/>
    </row>
    <row r="506" spans="4:4" x14ac:dyDescent="0.25">
      <c r="D506" s="8"/>
    </row>
    <row r="507" spans="4:4" x14ac:dyDescent="0.25">
      <c r="D507" s="8"/>
    </row>
    <row r="508" spans="4:4" x14ac:dyDescent="0.25">
      <c r="D508" s="8"/>
    </row>
    <row r="509" spans="4:4" x14ac:dyDescent="0.25">
      <c r="D509" s="8"/>
    </row>
    <row r="510" spans="4:4" x14ac:dyDescent="0.25">
      <c r="D510" s="8"/>
    </row>
    <row r="511" spans="4:4" x14ac:dyDescent="0.25">
      <c r="D511" s="8"/>
    </row>
    <row r="512" spans="4:4" x14ac:dyDescent="0.25">
      <c r="D512" s="8"/>
    </row>
    <row r="513" spans="4:4" x14ac:dyDescent="0.25">
      <c r="D513" s="8"/>
    </row>
    <row r="514" spans="4:4" x14ac:dyDescent="0.25">
      <c r="D514" s="8"/>
    </row>
    <row r="515" spans="4:4" x14ac:dyDescent="0.25">
      <c r="D515" s="8"/>
    </row>
    <row r="516" spans="4:4" x14ac:dyDescent="0.25">
      <c r="D516" s="8"/>
    </row>
    <row r="517" spans="4:4" x14ac:dyDescent="0.25">
      <c r="D517" s="8"/>
    </row>
    <row r="518" spans="4:4" x14ac:dyDescent="0.25">
      <c r="D518" s="8"/>
    </row>
    <row r="519" spans="4:4" x14ac:dyDescent="0.25">
      <c r="D519" s="8"/>
    </row>
    <row r="520" spans="4:4" x14ac:dyDescent="0.25">
      <c r="D520" s="8"/>
    </row>
    <row r="521" spans="4:4" x14ac:dyDescent="0.25">
      <c r="D521" s="8"/>
    </row>
    <row r="522" spans="4:4" x14ac:dyDescent="0.25">
      <c r="D522" s="8"/>
    </row>
    <row r="523" spans="4:4" x14ac:dyDescent="0.25">
      <c r="D523" s="8"/>
    </row>
    <row r="524" spans="4:4" x14ac:dyDescent="0.25">
      <c r="D524" s="8"/>
    </row>
    <row r="525" spans="4:4" x14ac:dyDescent="0.25">
      <c r="D525" s="8"/>
    </row>
    <row r="526" spans="4:4" x14ac:dyDescent="0.25">
      <c r="D526" s="8"/>
    </row>
    <row r="527" spans="4:4" x14ac:dyDescent="0.25">
      <c r="D527" s="8"/>
    </row>
    <row r="528" spans="4:4" x14ac:dyDescent="0.25">
      <c r="D528" s="8"/>
    </row>
    <row r="529" spans="4:4" x14ac:dyDescent="0.25">
      <c r="D529" s="8"/>
    </row>
    <row r="530" spans="4:4" x14ac:dyDescent="0.25">
      <c r="D530" s="8"/>
    </row>
    <row r="531" spans="4:4" x14ac:dyDescent="0.25">
      <c r="D531" s="8"/>
    </row>
    <row r="532" spans="4:4" x14ac:dyDescent="0.25">
      <c r="D532" s="8"/>
    </row>
    <row r="533" spans="4:4" x14ac:dyDescent="0.25">
      <c r="D533" s="8"/>
    </row>
    <row r="534" spans="4:4" x14ac:dyDescent="0.25">
      <c r="D534" s="8"/>
    </row>
    <row r="535" spans="4:4" x14ac:dyDescent="0.25">
      <c r="D535" s="8"/>
    </row>
    <row r="536" spans="4:4" x14ac:dyDescent="0.25">
      <c r="D536" s="8"/>
    </row>
    <row r="537" spans="4:4" x14ac:dyDescent="0.25">
      <c r="D537" s="8"/>
    </row>
    <row r="538" spans="4:4" x14ac:dyDescent="0.25">
      <c r="D538" s="8"/>
    </row>
    <row r="539" spans="4:4" x14ac:dyDescent="0.25">
      <c r="D539" s="8"/>
    </row>
    <row r="540" spans="4:4" x14ac:dyDescent="0.25">
      <c r="D540" s="8"/>
    </row>
    <row r="541" spans="4:4" x14ac:dyDescent="0.25">
      <c r="D541" s="8"/>
    </row>
    <row r="542" spans="4:4" x14ac:dyDescent="0.25">
      <c r="D542" s="8"/>
    </row>
    <row r="543" spans="4:4" x14ac:dyDescent="0.25">
      <c r="D543" s="8"/>
    </row>
    <row r="544" spans="4:4" x14ac:dyDescent="0.25">
      <c r="D544" s="8"/>
    </row>
    <row r="545" spans="4:4" x14ac:dyDescent="0.25">
      <c r="D545" s="8"/>
    </row>
    <row r="546" spans="4:4" x14ac:dyDescent="0.25">
      <c r="D546" s="8"/>
    </row>
    <row r="547" spans="4:4" x14ac:dyDescent="0.25">
      <c r="D547" s="8"/>
    </row>
    <row r="548" spans="4:4" x14ac:dyDescent="0.25">
      <c r="D548" s="8"/>
    </row>
    <row r="549" spans="4:4" x14ac:dyDescent="0.25">
      <c r="D549" s="8"/>
    </row>
    <row r="550" spans="4:4" x14ac:dyDescent="0.25">
      <c r="D550" s="8"/>
    </row>
    <row r="551" spans="4:4" x14ac:dyDescent="0.25">
      <c r="D551" s="8"/>
    </row>
    <row r="552" spans="4:4" x14ac:dyDescent="0.25">
      <c r="D552" s="8"/>
    </row>
    <row r="553" spans="4:4" x14ac:dyDescent="0.25">
      <c r="D553" s="8"/>
    </row>
    <row r="554" spans="4:4" x14ac:dyDescent="0.25">
      <c r="D554" s="8"/>
    </row>
    <row r="555" spans="4:4" x14ac:dyDescent="0.25">
      <c r="D555" s="8"/>
    </row>
    <row r="556" spans="4:4" x14ac:dyDescent="0.25">
      <c r="D556" s="8"/>
    </row>
    <row r="557" spans="4:4" x14ac:dyDescent="0.25">
      <c r="D557" s="8"/>
    </row>
    <row r="558" spans="4:4" x14ac:dyDescent="0.25">
      <c r="D558" s="8"/>
    </row>
    <row r="559" spans="4:4" x14ac:dyDescent="0.25">
      <c r="D559" s="8"/>
    </row>
    <row r="560" spans="4:4" x14ac:dyDescent="0.25">
      <c r="D560" s="8"/>
    </row>
    <row r="561" spans="4:4" x14ac:dyDescent="0.25">
      <c r="D561" s="8"/>
    </row>
    <row r="562" spans="4:4" x14ac:dyDescent="0.25">
      <c r="D562" s="8"/>
    </row>
    <row r="563" spans="4:4" x14ac:dyDescent="0.25">
      <c r="D563" s="8"/>
    </row>
    <row r="564" spans="4:4" x14ac:dyDescent="0.25">
      <c r="D564" s="8"/>
    </row>
    <row r="565" spans="4:4" x14ac:dyDescent="0.25">
      <c r="D565" s="8"/>
    </row>
    <row r="566" spans="4:4" x14ac:dyDescent="0.25">
      <c r="D566" s="8"/>
    </row>
    <row r="567" spans="4:4" x14ac:dyDescent="0.25">
      <c r="D567" s="8"/>
    </row>
    <row r="568" spans="4:4" x14ac:dyDescent="0.25">
      <c r="D568" s="8"/>
    </row>
    <row r="569" spans="4:4" x14ac:dyDescent="0.25">
      <c r="D569" s="8"/>
    </row>
    <row r="570" spans="4:4" x14ac:dyDescent="0.25">
      <c r="D570" s="8"/>
    </row>
    <row r="571" spans="4:4" x14ac:dyDescent="0.25">
      <c r="D571" s="8"/>
    </row>
    <row r="572" spans="4:4" x14ac:dyDescent="0.25">
      <c r="D572" s="8"/>
    </row>
    <row r="573" spans="4:4" x14ac:dyDescent="0.25">
      <c r="D573" s="8"/>
    </row>
    <row r="574" spans="4:4" x14ac:dyDescent="0.25">
      <c r="D574" s="8"/>
    </row>
    <row r="575" spans="4:4" x14ac:dyDescent="0.25">
      <c r="D575" s="8"/>
    </row>
    <row r="576" spans="4:4" x14ac:dyDescent="0.25">
      <c r="D576" s="8"/>
    </row>
    <row r="577" spans="4:4" x14ac:dyDescent="0.25">
      <c r="D577" s="8"/>
    </row>
    <row r="578" spans="4:4" x14ac:dyDescent="0.25">
      <c r="D578" s="8"/>
    </row>
    <row r="579" spans="4:4" x14ac:dyDescent="0.25">
      <c r="D579" s="8"/>
    </row>
    <row r="580" spans="4:4" x14ac:dyDescent="0.25">
      <c r="D580" s="8"/>
    </row>
    <row r="581" spans="4:4" x14ac:dyDescent="0.25">
      <c r="D581" s="8"/>
    </row>
    <row r="582" spans="4:4" x14ac:dyDescent="0.25">
      <c r="D582" s="8"/>
    </row>
    <row r="583" spans="4:4" x14ac:dyDescent="0.25">
      <c r="D583" s="8"/>
    </row>
    <row r="584" spans="4:4" x14ac:dyDescent="0.25">
      <c r="D584" s="8"/>
    </row>
    <row r="585" spans="4:4" x14ac:dyDescent="0.25">
      <c r="D585" s="8"/>
    </row>
    <row r="586" spans="4:4" x14ac:dyDescent="0.25">
      <c r="D586" s="8"/>
    </row>
    <row r="587" spans="4:4" x14ac:dyDescent="0.25">
      <c r="D587" s="8"/>
    </row>
    <row r="588" spans="4:4" x14ac:dyDescent="0.25">
      <c r="D588" s="8"/>
    </row>
    <row r="589" spans="4:4" x14ac:dyDescent="0.25">
      <c r="D589" s="8"/>
    </row>
    <row r="590" spans="4:4" x14ac:dyDescent="0.25">
      <c r="D590" s="8"/>
    </row>
    <row r="591" spans="4:4" x14ac:dyDescent="0.25">
      <c r="D591" s="8"/>
    </row>
    <row r="592" spans="4:4" x14ac:dyDescent="0.25">
      <c r="D592" s="8"/>
    </row>
    <row r="593" spans="4:4" x14ac:dyDescent="0.25">
      <c r="D593" s="8"/>
    </row>
    <row r="594" spans="4:4" x14ac:dyDescent="0.25">
      <c r="D594" s="8"/>
    </row>
    <row r="595" spans="4:4" x14ac:dyDescent="0.25">
      <c r="D595" s="8"/>
    </row>
    <row r="596" spans="4:4" x14ac:dyDescent="0.25">
      <c r="D596" s="8"/>
    </row>
    <row r="597" spans="4:4" x14ac:dyDescent="0.25">
      <c r="D597" s="8"/>
    </row>
    <row r="598" spans="4:4" x14ac:dyDescent="0.25">
      <c r="D598" s="8"/>
    </row>
    <row r="599" spans="4:4" x14ac:dyDescent="0.25">
      <c r="D599" s="8"/>
    </row>
    <row r="600" spans="4:4" x14ac:dyDescent="0.25">
      <c r="D600" s="8"/>
    </row>
    <row r="601" spans="4:4" x14ac:dyDescent="0.25">
      <c r="D601" s="8"/>
    </row>
    <row r="602" spans="4:4" x14ac:dyDescent="0.25">
      <c r="D602" s="8"/>
    </row>
    <row r="603" spans="4:4" x14ac:dyDescent="0.25">
      <c r="D603" s="8"/>
    </row>
    <row r="604" spans="4:4" x14ac:dyDescent="0.25">
      <c r="D604" s="8"/>
    </row>
    <row r="605" spans="4:4" x14ac:dyDescent="0.25">
      <c r="D605" s="8"/>
    </row>
    <row r="606" spans="4:4" x14ac:dyDescent="0.25">
      <c r="D606" s="8"/>
    </row>
    <row r="607" spans="4:4" x14ac:dyDescent="0.25">
      <c r="D607" s="8"/>
    </row>
    <row r="608" spans="4:4" x14ac:dyDescent="0.25">
      <c r="D608" s="8"/>
    </row>
    <row r="609" spans="4:4" x14ac:dyDescent="0.25">
      <c r="D609" s="8"/>
    </row>
    <row r="610" spans="4:4" x14ac:dyDescent="0.25">
      <c r="D610" s="8"/>
    </row>
    <row r="611" spans="4:4" x14ac:dyDescent="0.25">
      <c r="D611" s="8"/>
    </row>
    <row r="612" spans="4:4" x14ac:dyDescent="0.25">
      <c r="D612" s="8"/>
    </row>
    <row r="613" spans="4:4" x14ac:dyDescent="0.25">
      <c r="D613" s="8"/>
    </row>
    <row r="614" spans="4:4" x14ac:dyDescent="0.25">
      <c r="D614" s="8"/>
    </row>
    <row r="615" spans="4:4" x14ac:dyDescent="0.25">
      <c r="D615" s="8"/>
    </row>
    <row r="616" spans="4:4" x14ac:dyDescent="0.25">
      <c r="D616" s="8"/>
    </row>
    <row r="617" spans="4:4" x14ac:dyDescent="0.25">
      <c r="D617" s="8"/>
    </row>
    <row r="618" spans="4:4" x14ac:dyDescent="0.25">
      <c r="D618" s="8"/>
    </row>
    <row r="619" spans="4:4" x14ac:dyDescent="0.25">
      <c r="D619" s="8"/>
    </row>
    <row r="620" spans="4:4" x14ac:dyDescent="0.25">
      <c r="D620" s="8"/>
    </row>
    <row r="621" spans="4:4" x14ac:dyDescent="0.25">
      <c r="D621" s="8"/>
    </row>
    <row r="622" spans="4:4" x14ac:dyDescent="0.25">
      <c r="D622" s="8"/>
    </row>
    <row r="623" spans="4:4" x14ac:dyDescent="0.25">
      <c r="D623" s="8"/>
    </row>
    <row r="624" spans="4:4" x14ac:dyDescent="0.25">
      <c r="D624" s="8"/>
    </row>
    <row r="625" spans="4:4" x14ac:dyDescent="0.25">
      <c r="D625" s="8"/>
    </row>
    <row r="626" spans="4:4" x14ac:dyDescent="0.25">
      <c r="D626" s="8"/>
    </row>
    <row r="627" spans="4:4" x14ac:dyDescent="0.25">
      <c r="D627" s="8"/>
    </row>
    <row r="628" spans="4:4" x14ac:dyDescent="0.25">
      <c r="D628" s="8"/>
    </row>
    <row r="629" spans="4:4" x14ac:dyDescent="0.25">
      <c r="D629" s="8"/>
    </row>
    <row r="630" spans="4:4" x14ac:dyDescent="0.25">
      <c r="D630" s="8"/>
    </row>
    <row r="631" spans="4:4" x14ac:dyDescent="0.25">
      <c r="D631" s="8"/>
    </row>
    <row r="632" spans="4:4" x14ac:dyDescent="0.25">
      <c r="D632" s="8"/>
    </row>
    <row r="633" spans="4:4" x14ac:dyDescent="0.25">
      <c r="D633" s="8"/>
    </row>
    <row r="634" spans="4:4" x14ac:dyDescent="0.25">
      <c r="D634" s="8"/>
    </row>
    <row r="635" spans="4:4" x14ac:dyDescent="0.25">
      <c r="D635" s="8"/>
    </row>
    <row r="636" spans="4:4" x14ac:dyDescent="0.25">
      <c r="D636" s="8"/>
    </row>
    <row r="637" spans="4:4" x14ac:dyDescent="0.25">
      <c r="D637" s="8"/>
    </row>
    <row r="638" spans="4:4" x14ac:dyDescent="0.25">
      <c r="D638" s="8"/>
    </row>
    <row r="639" spans="4:4" x14ac:dyDescent="0.25">
      <c r="D639" s="8"/>
    </row>
    <row r="640" spans="4:4" x14ac:dyDescent="0.25">
      <c r="D640" s="8"/>
    </row>
    <row r="641" spans="4:4" x14ac:dyDescent="0.25">
      <c r="D641" s="8"/>
    </row>
    <row r="642" spans="4:4" x14ac:dyDescent="0.25">
      <c r="D642" s="8"/>
    </row>
    <row r="643" spans="4:4" x14ac:dyDescent="0.25">
      <c r="D643" s="8"/>
    </row>
    <row r="644" spans="4:4" x14ac:dyDescent="0.25">
      <c r="D644" s="8"/>
    </row>
    <row r="645" spans="4:4" x14ac:dyDescent="0.25">
      <c r="D645" s="8"/>
    </row>
    <row r="646" spans="4:4" x14ac:dyDescent="0.25">
      <c r="D646" s="8"/>
    </row>
    <row r="647" spans="4:4" x14ac:dyDescent="0.25">
      <c r="D647" s="8"/>
    </row>
    <row r="648" spans="4:4" x14ac:dyDescent="0.25">
      <c r="D648" s="8"/>
    </row>
    <row r="649" spans="4:4" x14ac:dyDescent="0.25">
      <c r="D649" s="8"/>
    </row>
    <row r="650" spans="4:4" x14ac:dyDescent="0.25">
      <c r="D650" s="8"/>
    </row>
    <row r="651" spans="4:4" x14ac:dyDescent="0.25">
      <c r="D651" s="8"/>
    </row>
    <row r="652" spans="4:4" x14ac:dyDescent="0.25">
      <c r="D652" s="8"/>
    </row>
    <row r="653" spans="4:4" x14ac:dyDescent="0.25">
      <c r="D653" s="8"/>
    </row>
    <row r="654" spans="4:4" x14ac:dyDescent="0.25">
      <c r="D654" s="8"/>
    </row>
    <row r="655" spans="4:4" x14ac:dyDescent="0.25">
      <c r="D655" s="8"/>
    </row>
    <row r="656" spans="4:4" x14ac:dyDescent="0.25">
      <c r="D656" s="8"/>
    </row>
    <row r="657" spans="4:4" x14ac:dyDescent="0.25">
      <c r="D657" s="8"/>
    </row>
    <row r="658" spans="4:4" x14ac:dyDescent="0.25">
      <c r="D658" s="8"/>
    </row>
    <row r="659" spans="4:4" x14ac:dyDescent="0.25">
      <c r="D659" s="8"/>
    </row>
    <row r="660" spans="4:4" x14ac:dyDescent="0.25">
      <c r="D660" s="8"/>
    </row>
    <row r="661" spans="4:4" x14ac:dyDescent="0.25">
      <c r="D661" s="8"/>
    </row>
    <row r="662" spans="4:4" x14ac:dyDescent="0.25">
      <c r="D662" s="8"/>
    </row>
    <row r="663" spans="4:4" x14ac:dyDescent="0.25">
      <c r="D663" s="8"/>
    </row>
    <row r="664" spans="4:4" x14ac:dyDescent="0.25">
      <c r="D664" s="8"/>
    </row>
    <row r="665" spans="4:4" x14ac:dyDescent="0.25">
      <c r="D665" s="8"/>
    </row>
    <row r="666" spans="4:4" x14ac:dyDescent="0.25">
      <c r="D666" s="8"/>
    </row>
    <row r="667" spans="4:4" x14ac:dyDescent="0.25">
      <c r="D667" s="8"/>
    </row>
    <row r="668" spans="4:4" x14ac:dyDescent="0.25">
      <c r="D668" s="8"/>
    </row>
    <row r="669" spans="4:4" x14ac:dyDescent="0.25">
      <c r="D669" s="8"/>
    </row>
    <row r="670" spans="4:4" x14ac:dyDescent="0.25">
      <c r="D670" s="8"/>
    </row>
    <row r="671" spans="4:4" x14ac:dyDescent="0.25">
      <c r="D671" s="8"/>
    </row>
    <row r="672" spans="4:4" x14ac:dyDescent="0.25">
      <c r="D672" s="8"/>
    </row>
    <row r="673" spans="4:4" x14ac:dyDescent="0.25">
      <c r="D673" s="8"/>
    </row>
    <row r="674" spans="4:4" x14ac:dyDescent="0.25">
      <c r="D674" s="8"/>
    </row>
    <row r="675" spans="4:4" x14ac:dyDescent="0.25">
      <c r="D675" s="8"/>
    </row>
    <row r="676" spans="4:4" x14ac:dyDescent="0.25">
      <c r="D676" s="8"/>
    </row>
    <row r="677" spans="4:4" x14ac:dyDescent="0.25">
      <c r="D677" s="8"/>
    </row>
    <row r="678" spans="4:4" x14ac:dyDescent="0.25">
      <c r="D678" s="8"/>
    </row>
    <row r="679" spans="4:4" x14ac:dyDescent="0.25">
      <c r="D679" s="8"/>
    </row>
    <row r="680" spans="4:4" x14ac:dyDescent="0.25">
      <c r="D680" s="8"/>
    </row>
    <row r="681" spans="4:4" x14ac:dyDescent="0.25">
      <c r="D681" s="8"/>
    </row>
    <row r="682" spans="4:4" x14ac:dyDescent="0.25">
      <c r="D682" s="8"/>
    </row>
    <row r="683" spans="4:4" x14ac:dyDescent="0.25">
      <c r="D683" s="8"/>
    </row>
    <row r="684" spans="4:4" x14ac:dyDescent="0.25">
      <c r="D684" s="8"/>
    </row>
    <row r="685" spans="4:4" x14ac:dyDescent="0.25">
      <c r="D685" s="8"/>
    </row>
    <row r="686" spans="4:4" x14ac:dyDescent="0.25">
      <c r="D686" s="8"/>
    </row>
    <row r="687" spans="4:4" x14ac:dyDescent="0.25">
      <c r="D687" s="8"/>
    </row>
    <row r="688" spans="4:4" x14ac:dyDescent="0.25">
      <c r="D688" s="8"/>
    </row>
    <row r="689" spans="4:4" x14ac:dyDescent="0.25">
      <c r="D689" s="8"/>
    </row>
    <row r="690" spans="4:4" x14ac:dyDescent="0.25">
      <c r="D690" s="8"/>
    </row>
    <row r="691" spans="4:4" x14ac:dyDescent="0.25">
      <c r="D691" s="8"/>
    </row>
    <row r="692" spans="4:4" x14ac:dyDescent="0.25">
      <c r="D692" s="8"/>
    </row>
    <row r="693" spans="4:4" x14ac:dyDescent="0.25">
      <c r="D693" s="8"/>
    </row>
    <row r="694" spans="4:4" x14ac:dyDescent="0.25">
      <c r="D694" s="8"/>
    </row>
    <row r="695" spans="4:4" x14ac:dyDescent="0.25">
      <c r="D695" s="8"/>
    </row>
    <row r="696" spans="4:4" x14ac:dyDescent="0.25">
      <c r="D696" s="8"/>
    </row>
    <row r="697" spans="4:4" x14ac:dyDescent="0.25">
      <c r="D697" s="8"/>
    </row>
    <row r="698" spans="4:4" x14ac:dyDescent="0.25">
      <c r="D698" s="8"/>
    </row>
    <row r="699" spans="4:4" x14ac:dyDescent="0.25">
      <c r="D699" s="8"/>
    </row>
    <row r="700" spans="4:4" x14ac:dyDescent="0.25">
      <c r="D700" s="8"/>
    </row>
    <row r="701" spans="4:4" x14ac:dyDescent="0.25">
      <c r="D701" s="8"/>
    </row>
    <row r="702" spans="4:4" x14ac:dyDescent="0.25">
      <c r="D702" s="8"/>
    </row>
    <row r="703" spans="4:4" x14ac:dyDescent="0.25">
      <c r="D703" s="8"/>
    </row>
    <row r="704" spans="4:4" x14ac:dyDescent="0.25">
      <c r="D704" s="8"/>
    </row>
    <row r="705" spans="4:4" x14ac:dyDescent="0.25">
      <c r="D705" s="8"/>
    </row>
    <row r="706" spans="4:4" x14ac:dyDescent="0.25">
      <c r="D706" s="8"/>
    </row>
    <row r="707" spans="4:4" x14ac:dyDescent="0.25">
      <c r="D707" s="8"/>
    </row>
    <row r="708" spans="4:4" x14ac:dyDescent="0.25">
      <c r="D708" s="8"/>
    </row>
    <row r="709" spans="4:4" x14ac:dyDescent="0.25">
      <c r="D709" s="8"/>
    </row>
    <row r="710" spans="4:4" x14ac:dyDescent="0.25">
      <c r="D710" s="8"/>
    </row>
    <row r="711" spans="4:4" x14ac:dyDescent="0.25">
      <c r="D711" s="8"/>
    </row>
    <row r="712" spans="4:4" x14ac:dyDescent="0.25">
      <c r="D712" s="8"/>
    </row>
    <row r="713" spans="4:4" x14ac:dyDescent="0.25">
      <c r="D713" s="8"/>
    </row>
    <row r="714" spans="4:4" x14ac:dyDescent="0.25">
      <c r="D714" s="8"/>
    </row>
    <row r="715" spans="4:4" x14ac:dyDescent="0.25">
      <c r="D715" s="8"/>
    </row>
    <row r="716" spans="4:4" x14ac:dyDescent="0.25">
      <c r="D716" s="8"/>
    </row>
    <row r="717" spans="4:4" x14ac:dyDescent="0.25">
      <c r="D717" s="8"/>
    </row>
    <row r="718" spans="4:4" x14ac:dyDescent="0.25">
      <c r="D718" s="8"/>
    </row>
    <row r="719" spans="4:4" x14ac:dyDescent="0.25">
      <c r="D719" s="8"/>
    </row>
    <row r="720" spans="4:4" x14ac:dyDescent="0.25">
      <c r="D720" s="8"/>
    </row>
    <row r="721" spans="4:4" x14ac:dyDescent="0.25">
      <c r="D721" s="8"/>
    </row>
    <row r="722" spans="4:4" x14ac:dyDescent="0.25">
      <c r="D722" s="8"/>
    </row>
    <row r="723" spans="4:4" x14ac:dyDescent="0.25">
      <c r="D723" s="8"/>
    </row>
    <row r="724" spans="4:4" x14ac:dyDescent="0.25">
      <c r="D724" s="8"/>
    </row>
    <row r="725" spans="4:4" x14ac:dyDescent="0.25">
      <c r="D725" s="8"/>
    </row>
    <row r="726" spans="4:4" x14ac:dyDescent="0.25">
      <c r="D726" s="8"/>
    </row>
    <row r="727" spans="4:4" x14ac:dyDescent="0.25">
      <c r="D727" s="8"/>
    </row>
    <row r="728" spans="4:4" x14ac:dyDescent="0.25">
      <c r="D728" s="8"/>
    </row>
    <row r="729" spans="4:4" x14ac:dyDescent="0.25">
      <c r="D729" s="8"/>
    </row>
    <row r="730" spans="4:4" x14ac:dyDescent="0.25">
      <c r="D730" s="8"/>
    </row>
    <row r="731" spans="4:4" x14ac:dyDescent="0.25">
      <c r="D731" s="8"/>
    </row>
    <row r="732" spans="4:4" x14ac:dyDescent="0.25">
      <c r="D732" s="8"/>
    </row>
    <row r="733" spans="4:4" x14ac:dyDescent="0.25">
      <c r="D733" s="8"/>
    </row>
    <row r="734" spans="4:4" x14ac:dyDescent="0.25">
      <c r="D734" s="8"/>
    </row>
    <row r="735" spans="4:4" x14ac:dyDescent="0.25">
      <c r="D735" s="8"/>
    </row>
    <row r="736" spans="4:4" x14ac:dyDescent="0.25">
      <c r="D736" s="8"/>
    </row>
    <row r="737" spans="4:4" x14ac:dyDescent="0.25">
      <c r="D737" s="8"/>
    </row>
    <row r="738" spans="4:4" x14ac:dyDescent="0.25">
      <c r="D738" s="8"/>
    </row>
    <row r="739" spans="4:4" x14ac:dyDescent="0.25">
      <c r="D739" s="8"/>
    </row>
    <row r="740" spans="4:4" x14ac:dyDescent="0.25">
      <c r="D740" s="8"/>
    </row>
    <row r="741" spans="4:4" x14ac:dyDescent="0.25">
      <c r="D741" s="8"/>
    </row>
    <row r="742" spans="4:4" x14ac:dyDescent="0.25">
      <c r="D742" s="8"/>
    </row>
    <row r="743" spans="4:4" x14ac:dyDescent="0.25">
      <c r="D743" s="8"/>
    </row>
    <row r="744" spans="4:4" x14ac:dyDescent="0.25">
      <c r="D744" s="8"/>
    </row>
    <row r="745" spans="4:4" x14ac:dyDescent="0.25">
      <c r="D745" s="8"/>
    </row>
    <row r="746" spans="4:4" x14ac:dyDescent="0.25">
      <c r="D746" s="8"/>
    </row>
    <row r="747" spans="4:4" x14ac:dyDescent="0.25">
      <c r="D747" s="8"/>
    </row>
    <row r="748" spans="4:4" x14ac:dyDescent="0.25">
      <c r="D748" s="8"/>
    </row>
    <row r="749" spans="4:4" x14ac:dyDescent="0.25">
      <c r="D749" s="8"/>
    </row>
    <row r="750" spans="4:4" x14ac:dyDescent="0.25">
      <c r="D750" s="8"/>
    </row>
    <row r="751" spans="4:4" x14ac:dyDescent="0.25">
      <c r="D751" s="8"/>
    </row>
    <row r="752" spans="4:4" x14ac:dyDescent="0.25">
      <c r="D752" s="8"/>
    </row>
    <row r="753" spans="4:4" x14ac:dyDescent="0.25">
      <c r="D753" s="8"/>
    </row>
    <row r="754" spans="4:4" x14ac:dyDescent="0.25">
      <c r="D754" s="8"/>
    </row>
    <row r="755" spans="4:4" x14ac:dyDescent="0.25">
      <c r="D755" s="8"/>
    </row>
    <row r="756" spans="4:4" x14ac:dyDescent="0.25">
      <c r="D756" s="8"/>
    </row>
    <row r="757" spans="4:4" x14ac:dyDescent="0.25">
      <c r="D757" s="8"/>
    </row>
    <row r="758" spans="4:4" x14ac:dyDescent="0.25">
      <c r="D758" s="8"/>
    </row>
    <row r="759" spans="4:4" x14ac:dyDescent="0.25">
      <c r="D759" s="8"/>
    </row>
    <row r="760" spans="4:4" x14ac:dyDescent="0.25">
      <c r="D760" s="8"/>
    </row>
    <row r="761" spans="4:4" x14ac:dyDescent="0.25">
      <c r="D761" s="8"/>
    </row>
    <row r="762" spans="4:4" x14ac:dyDescent="0.25">
      <c r="D762" s="8"/>
    </row>
    <row r="763" spans="4:4" x14ac:dyDescent="0.25">
      <c r="D763" s="8"/>
    </row>
    <row r="764" spans="4:4" x14ac:dyDescent="0.25">
      <c r="D764" s="8"/>
    </row>
    <row r="765" spans="4:4" x14ac:dyDescent="0.25">
      <c r="D765" s="8"/>
    </row>
    <row r="766" spans="4:4" x14ac:dyDescent="0.25">
      <c r="D766" s="8"/>
    </row>
    <row r="767" spans="4:4" x14ac:dyDescent="0.25">
      <c r="D767" s="8"/>
    </row>
    <row r="768" spans="4:4" x14ac:dyDescent="0.25">
      <c r="D768" s="8"/>
    </row>
    <row r="769" spans="4:4" x14ac:dyDescent="0.25">
      <c r="D769" s="8"/>
    </row>
    <row r="770" spans="4:4" x14ac:dyDescent="0.25">
      <c r="D770" s="8"/>
    </row>
    <row r="771" spans="4:4" x14ac:dyDescent="0.25">
      <c r="D771" s="8"/>
    </row>
    <row r="772" spans="4:4" x14ac:dyDescent="0.25">
      <c r="D772" s="8"/>
    </row>
    <row r="773" spans="4:4" x14ac:dyDescent="0.25">
      <c r="D773" s="8"/>
    </row>
    <row r="774" spans="4:4" x14ac:dyDescent="0.25">
      <c r="D774" s="8"/>
    </row>
    <row r="775" spans="4:4" x14ac:dyDescent="0.25">
      <c r="D775" s="8"/>
    </row>
    <row r="776" spans="4:4" x14ac:dyDescent="0.25">
      <c r="D776" s="8"/>
    </row>
    <row r="777" spans="4:4" x14ac:dyDescent="0.25">
      <c r="D777" s="8"/>
    </row>
    <row r="778" spans="4:4" x14ac:dyDescent="0.25">
      <c r="D778" s="8"/>
    </row>
    <row r="779" spans="4:4" x14ac:dyDescent="0.25">
      <c r="D779" s="8"/>
    </row>
    <row r="780" spans="4:4" x14ac:dyDescent="0.25">
      <c r="D780" s="8"/>
    </row>
    <row r="781" spans="4:4" x14ac:dyDescent="0.25">
      <c r="D781" s="8"/>
    </row>
    <row r="782" spans="4:4" x14ac:dyDescent="0.25">
      <c r="D782" s="8"/>
    </row>
    <row r="783" spans="4:4" x14ac:dyDescent="0.25">
      <c r="D783" s="8"/>
    </row>
    <row r="784" spans="4:4" x14ac:dyDescent="0.25">
      <c r="D784" s="8"/>
    </row>
    <row r="785" spans="4:4" x14ac:dyDescent="0.25">
      <c r="D785" s="8"/>
    </row>
    <row r="786" spans="4:4" x14ac:dyDescent="0.25">
      <c r="D786" s="8"/>
    </row>
    <row r="787" spans="4:4" x14ac:dyDescent="0.25">
      <c r="D787" s="8"/>
    </row>
    <row r="788" spans="4:4" x14ac:dyDescent="0.25">
      <c r="D788" s="8"/>
    </row>
    <row r="789" spans="4:4" x14ac:dyDescent="0.25">
      <c r="D789" s="8"/>
    </row>
    <row r="790" spans="4:4" x14ac:dyDescent="0.25">
      <c r="D790" s="8"/>
    </row>
    <row r="791" spans="4:4" x14ac:dyDescent="0.25">
      <c r="D791" s="8"/>
    </row>
    <row r="792" spans="4:4" x14ac:dyDescent="0.25">
      <c r="D792" s="8"/>
    </row>
    <row r="793" spans="4:4" x14ac:dyDescent="0.25">
      <c r="D793" s="8"/>
    </row>
    <row r="794" spans="4:4" x14ac:dyDescent="0.25">
      <c r="D794" s="8"/>
    </row>
    <row r="795" spans="4:4" x14ac:dyDescent="0.25">
      <c r="D795" s="8"/>
    </row>
    <row r="796" spans="4:4" x14ac:dyDescent="0.25">
      <c r="D796" s="8"/>
    </row>
    <row r="797" spans="4:4" x14ac:dyDescent="0.25">
      <c r="D797" s="8"/>
    </row>
    <row r="798" spans="4:4" x14ac:dyDescent="0.25">
      <c r="D798" s="8"/>
    </row>
    <row r="799" spans="4:4" x14ac:dyDescent="0.25">
      <c r="D799" s="8"/>
    </row>
    <row r="800" spans="4:4" x14ac:dyDescent="0.25">
      <c r="D800" s="8"/>
    </row>
    <row r="801" spans="4:4" x14ac:dyDescent="0.25">
      <c r="D801" s="8"/>
    </row>
    <row r="802" spans="4:4" x14ac:dyDescent="0.25">
      <c r="D802" s="8"/>
    </row>
    <row r="803" spans="4:4" x14ac:dyDescent="0.25">
      <c r="D803" s="8"/>
    </row>
    <row r="804" spans="4:4" x14ac:dyDescent="0.25">
      <c r="D804" s="8"/>
    </row>
    <row r="805" spans="4:4" x14ac:dyDescent="0.25">
      <c r="D805" s="8"/>
    </row>
    <row r="806" spans="4:4" x14ac:dyDescent="0.25">
      <c r="D806" s="8"/>
    </row>
    <row r="807" spans="4:4" x14ac:dyDescent="0.25">
      <c r="D807" s="8"/>
    </row>
    <row r="808" spans="4:4" x14ac:dyDescent="0.25">
      <c r="D808" s="8"/>
    </row>
    <row r="809" spans="4:4" x14ac:dyDescent="0.25">
      <c r="D809" s="8"/>
    </row>
    <row r="810" spans="4:4" x14ac:dyDescent="0.25">
      <c r="D810" s="8"/>
    </row>
    <row r="811" spans="4:4" x14ac:dyDescent="0.25">
      <c r="D811" s="8"/>
    </row>
    <row r="812" spans="4:4" x14ac:dyDescent="0.25">
      <c r="D812" s="8"/>
    </row>
    <row r="813" spans="4:4" x14ac:dyDescent="0.25">
      <c r="D813" s="8"/>
    </row>
    <row r="814" spans="4:4" x14ac:dyDescent="0.25">
      <c r="D814" s="8"/>
    </row>
    <row r="815" spans="4:4" x14ac:dyDescent="0.25">
      <c r="D815" s="8"/>
    </row>
    <row r="816" spans="4:4" x14ac:dyDescent="0.25">
      <c r="D816" s="8"/>
    </row>
    <row r="817" spans="4:4" x14ac:dyDescent="0.25">
      <c r="D817" s="8"/>
    </row>
    <row r="818" spans="4:4" x14ac:dyDescent="0.25">
      <c r="D818" s="8"/>
    </row>
    <row r="819" spans="4:4" x14ac:dyDescent="0.25">
      <c r="D819" s="8"/>
    </row>
    <row r="820" spans="4:4" x14ac:dyDescent="0.25">
      <c r="D820" s="8"/>
    </row>
    <row r="821" spans="4:4" x14ac:dyDescent="0.25">
      <c r="D821" s="8"/>
    </row>
    <row r="822" spans="4:4" x14ac:dyDescent="0.25">
      <c r="D822" s="8"/>
    </row>
    <row r="823" spans="4:4" x14ac:dyDescent="0.25">
      <c r="D823" s="8"/>
    </row>
    <row r="824" spans="4:4" x14ac:dyDescent="0.25">
      <c r="D824" s="8"/>
    </row>
    <row r="825" spans="4:4" x14ac:dyDescent="0.25">
      <c r="D825" s="8"/>
    </row>
    <row r="826" spans="4:4" x14ac:dyDescent="0.25">
      <c r="D826" s="8"/>
    </row>
    <row r="827" spans="4:4" x14ac:dyDescent="0.25">
      <c r="D827" s="8"/>
    </row>
    <row r="828" spans="4:4" x14ac:dyDescent="0.25">
      <c r="D828" s="8"/>
    </row>
    <row r="829" spans="4:4" x14ac:dyDescent="0.25">
      <c r="D829" s="8"/>
    </row>
    <row r="830" spans="4:4" x14ac:dyDescent="0.25">
      <c r="D830" s="8"/>
    </row>
    <row r="831" spans="4:4" x14ac:dyDescent="0.25">
      <c r="D831" s="8"/>
    </row>
    <row r="832" spans="4:4" x14ac:dyDescent="0.25">
      <c r="D832" s="8"/>
    </row>
    <row r="833" spans="4:4" x14ac:dyDescent="0.25">
      <c r="D833" s="8"/>
    </row>
    <row r="834" spans="4:4" x14ac:dyDescent="0.25">
      <c r="D834" s="8"/>
    </row>
    <row r="835" spans="4:4" x14ac:dyDescent="0.25">
      <c r="D835" s="8"/>
    </row>
    <row r="836" spans="4:4" x14ac:dyDescent="0.25">
      <c r="D836" s="8"/>
    </row>
    <row r="837" spans="4:4" x14ac:dyDescent="0.25">
      <c r="D837" s="8"/>
    </row>
    <row r="838" spans="4:4" x14ac:dyDescent="0.25">
      <c r="D838" s="8"/>
    </row>
    <row r="839" spans="4:4" x14ac:dyDescent="0.25">
      <c r="D839" s="8"/>
    </row>
    <row r="840" spans="4:4" x14ac:dyDescent="0.25">
      <c r="D840" s="8"/>
    </row>
    <row r="841" spans="4:4" x14ac:dyDescent="0.25">
      <c r="D841" s="8"/>
    </row>
    <row r="842" spans="4:4" x14ac:dyDescent="0.25">
      <c r="D842" s="8"/>
    </row>
    <row r="843" spans="4:4" x14ac:dyDescent="0.25">
      <c r="D843" s="8"/>
    </row>
    <row r="844" spans="4:4" x14ac:dyDescent="0.25">
      <c r="D844" s="8"/>
    </row>
    <row r="845" spans="4:4" x14ac:dyDescent="0.25">
      <c r="D845" s="8"/>
    </row>
    <row r="846" spans="4:4" x14ac:dyDescent="0.25">
      <c r="D846" s="8"/>
    </row>
    <row r="847" spans="4:4" x14ac:dyDescent="0.25">
      <c r="D847" s="8"/>
    </row>
    <row r="848" spans="4:4" x14ac:dyDescent="0.25">
      <c r="D848" s="8"/>
    </row>
    <row r="849" spans="4:4" x14ac:dyDescent="0.25">
      <c r="D849" s="8"/>
    </row>
    <row r="850" spans="4:4" x14ac:dyDescent="0.25">
      <c r="D850" s="8"/>
    </row>
    <row r="851" spans="4:4" x14ac:dyDescent="0.25">
      <c r="D851" s="8"/>
    </row>
    <row r="852" spans="4:4" x14ac:dyDescent="0.25">
      <c r="D852" s="8"/>
    </row>
    <row r="853" spans="4:4" x14ac:dyDescent="0.25">
      <c r="D853" s="8"/>
    </row>
    <row r="854" spans="4:4" x14ac:dyDescent="0.25">
      <c r="D854" s="8"/>
    </row>
    <row r="855" spans="4:4" x14ac:dyDescent="0.25">
      <c r="D855" s="8"/>
    </row>
    <row r="856" spans="4:4" x14ac:dyDescent="0.25">
      <c r="D856" s="8"/>
    </row>
    <row r="857" spans="4:4" x14ac:dyDescent="0.25">
      <c r="D857" s="8"/>
    </row>
    <row r="858" spans="4:4" x14ac:dyDescent="0.25">
      <c r="D858" s="8"/>
    </row>
    <row r="859" spans="4:4" x14ac:dyDescent="0.25">
      <c r="D859" s="8"/>
    </row>
    <row r="860" spans="4:4" x14ac:dyDescent="0.25">
      <c r="D860" s="8"/>
    </row>
    <row r="861" spans="4:4" x14ac:dyDescent="0.25">
      <c r="D861" s="8"/>
    </row>
    <row r="862" spans="4:4" x14ac:dyDescent="0.25">
      <c r="D862" s="8"/>
    </row>
    <row r="863" spans="4:4" x14ac:dyDescent="0.25">
      <c r="D863" s="8"/>
    </row>
    <row r="864" spans="4:4" x14ac:dyDescent="0.25">
      <c r="D864" s="8"/>
    </row>
    <row r="865" spans="4:4" x14ac:dyDescent="0.25">
      <c r="D865" s="8"/>
    </row>
    <row r="866" spans="4:4" x14ac:dyDescent="0.25">
      <c r="D866" s="8"/>
    </row>
    <row r="867" spans="4:4" x14ac:dyDescent="0.25">
      <c r="D867" s="8"/>
    </row>
    <row r="868" spans="4:4" x14ac:dyDescent="0.25">
      <c r="D868" s="8"/>
    </row>
    <row r="869" spans="4:4" x14ac:dyDescent="0.25">
      <c r="D869" s="8"/>
    </row>
    <row r="870" spans="4:4" x14ac:dyDescent="0.25">
      <c r="D870" s="8"/>
    </row>
    <row r="871" spans="4:4" x14ac:dyDescent="0.25">
      <c r="D871" s="8"/>
    </row>
    <row r="872" spans="4:4" x14ac:dyDescent="0.25">
      <c r="D872" s="8"/>
    </row>
    <row r="873" spans="4:4" x14ac:dyDescent="0.25">
      <c r="D873" s="8"/>
    </row>
    <row r="874" spans="4:4" x14ac:dyDescent="0.25">
      <c r="D874" s="8"/>
    </row>
    <row r="875" spans="4:4" x14ac:dyDescent="0.25">
      <c r="D875" s="8"/>
    </row>
    <row r="876" spans="4:4" x14ac:dyDescent="0.25">
      <c r="D876" s="8"/>
    </row>
    <row r="877" spans="4:4" x14ac:dyDescent="0.25">
      <c r="D877" s="8"/>
    </row>
    <row r="878" spans="4:4" x14ac:dyDescent="0.25">
      <c r="D878" s="8"/>
    </row>
    <row r="879" spans="4:4" x14ac:dyDescent="0.25">
      <c r="D879" s="8"/>
    </row>
    <row r="880" spans="4:4" x14ac:dyDescent="0.25">
      <c r="D880" s="8"/>
    </row>
    <row r="881" spans="4:4" x14ac:dyDescent="0.25">
      <c r="D881" s="8"/>
    </row>
    <row r="882" spans="4:4" x14ac:dyDescent="0.25">
      <c r="D882" s="8"/>
    </row>
    <row r="883" spans="4:4" x14ac:dyDescent="0.25">
      <c r="D883" s="8"/>
    </row>
    <row r="884" spans="4:4" x14ac:dyDescent="0.25">
      <c r="D884" s="8"/>
    </row>
    <row r="885" spans="4:4" x14ac:dyDescent="0.25">
      <c r="D885" s="8"/>
    </row>
    <row r="886" spans="4:4" x14ac:dyDescent="0.25">
      <c r="D886" s="8"/>
    </row>
    <row r="887" spans="4:4" x14ac:dyDescent="0.25">
      <c r="D887" s="8"/>
    </row>
    <row r="888" spans="4:4" x14ac:dyDescent="0.25">
      <c r="D888" s="8"/>
    </row>
    <row r="889" spans="4:4" x14ac:dyDescent="0.25">
      <c r="D889" s="8"/>
    </row>
    <row r="890" spans="4:4" x14ac:dyDescent="0.25">
      <c r="D890" s="8"/>
    </row>
    <row r="891" spans="4:4" x14ac:dyDescent="0.25">
      <c r="D891" s="8"/>
    </row>
    <row r="892" spans="4:4" x14ac:dyDescent="0.25">
      <c r="D892" s="8"/>
    </row>
    <row r="893" spans="4:4" x14ac:dyDescent="0.25">
      <c r="D893" s="8"/>
    </row>
    <row r="894" spans="4:4" x14ac:dyDescent="0.25">
      <c r="D894" s="8"/>
    </row>
    <row r="895" spans="4:4" x14ac:dyDescent="0.25">
      <c r="D895" s="8"/>
    </row>
    <row r="896" spans="4:4" x14ac:dyDescent="0.25">
      <c r="D896" s="8"/>
    </row>
    <row r="897" spans="4:4" x14ac:dyDescent="0.25">
      <c r="D897" s="8"/>
    </row>
    <row r="898" spans="4:4" x14ac:dyDescent="0.25">
      <c r="D898" s="8"/>
    </row>
    <row r="899" spans="4:4" x14ac:dyDescent="0.25">
      <c r="D899" s="8"/>
    </row>
    <row r="900" spans="4:4" x14ac:dyDescent="0.25">
      <c r="D900" s="8"/>
    </row>
    <row r="901" spans="4:4" x14ac:dyDescent="0.25">
      <c r="D901" s="8"/>
    </row>
    <row r="902" spans="4:4" x14ac:dyDescent="0.25">
      <c r="D902" s="8"/>
    </row>
    <row r="903" spans="4:4" x14ac:dyDescent="0.25">
      <c r="D903" s="8"/>
    </row>
    <row r="904" spans="4:4" x14ac:dyDescent="0.25">
      <c r="D904" s="8"/>
    </row>
    <row r="905" spans="4:4" x14ac:dyDescent="0.25">
      <c r="D905" s="8"/>
    </row>
    <row r="906" spans="4:4" x14ac:dyDescent="0.25">
      <c r="D906" s="8"/>
    </row>
    <row r="907" spans="4:4" x14ac:dyDescent="0.25">
      <c r="D907" s="8"/>
    </row>
    <row r="908" spans="4:4" x14ac:dyDescent="0.25">
      <c r="D908" s="8"/>
    </row>
    <row r="909" spans="4:4" x14ac:dyDescent="0.25">
      <c r="D909" s="8"/>
    </row>
    <row r="910" spans="4:4" x14ac:dyDescent="0.25">
      <c r="D910" s="8"/>
    </row>
    <row r="911" spans="4:4" x14ac:dyDescent="0.25">
      <c r="D911" s="8"/>
    </row>
    <row r="912" spans="4:4" x14ac:dyDescent="0.25">
      <c r="D912" s="8"/>
    </row>
    <row r="913" spans="4:4" x14ac:dyDescent="0.25">
      <c r="D913" s="8"/>
    </row>
    <row r="914" spans="4:4" x14ac:dyDescent="0.25">
      <c r="D914" s="8"/>
    </row>
    <row r="915" spans="4:4" x14ac:dyDescent="0.25">
      <c r="D915" s="8"/>
    </row>
    <row r="916" spans="4:4" x14ac:dyDescent="0.25">
      <c r="D916" s="8"/>
    </row>
    <row r="917" spans="4:4" x14ac:dyDescent="0.25">
      <c r="D917" s="8"/>
    </row>
    <row r="918" spans="4:4" x14ac:dyDescent="0.25">
      <c r="D918" s="8"/>
    </row>
    <row r="919" spans="4:4" x14ac:dyDescent="0.25">
      <c r="D919" s="8"/>
    </row>
    <row r="920" spans="4:4" x14ac:dyDescent="0.25">
      <c r="D920" s="8"/>
    </row>
    <row r="921" spans="4:4" x14ac:dyDescent="0.25">
      <c r="D921" s="8"/>
    </row>
    <row r="922" spans="4:4" x14ac:dyDescent="0.25">
      <c r="D922" s="8"/>
    </row>
    <row r="923" spans="4:4" x14ac:dyDescent="0.25">
      <c r="D923" s="8"/>
    </row>
    <row r="924" spans="4:4" x14ac:dyDescent="0.25">
      <c r="D924" s="8"/>
    </row>
    <row r="925" spans="4:4" x14ac:dyDescent="0.25">
      <c r="D925" s="8"/>
    </row>
    <row r="926" spans="4:4" x14ac:dyDescent="0.25">
      <c r="D926" s="8"/>
    </row>
    <row r="927" spans="4:4" x14ac:dyDescent="0.25">
      <c r="D927" s="8"/>
    </row>
    <row r="928" spans="4:4" x14ac:dyDescent="0.25">
      <c r="D928" s="8"/>
    </row>
    <row r="929" spans="4:4" x14ac:dyDescent="0.25">
      <c r="D929" s="8"/>
    </row>
    <row r="930" spans="4:4" x14ac:dyDescent="0.25">
      <c r="D930" s="8"/>
    </row>
    <row r="931" spans="4:4" x14ac:dyDescent="0.25">
      <c r="D931" s="8"/>
    </row>
    <row r="932" spans="4:4" x14ac:dyDescent="0.25">
      <c r="D932" s="8"/>
    </row>
    <row r="933" spans="4:4" x14ac:dyDescent="0.25">
      <c r="D933" s="8"/>
    </row>
    <row r="934" spans="4:4" x14ac:dyDescent="0.25">
      <c r="D934" s="8"/>
    </row>
    <row r="935" spans="4:4" x14ac:dyDescent="0.25">
      <c r="D935" s="8"/>
    </row>
    <row r="936" spans="4:4" x14ac:dyDescent="0.25">
      <c r="D936" s="8"/>
    </row>
    <row r="937" spans="4:4" x14ac:dyDescent="0.25">
      <c r="D937" s="8"/>
    </row>
    <row r="938" spans="4:4" x14ac:dyDescent="0.25">
      <c r="D938" s="8"/>
    </row>
    <row r="939" spans="4:4" x14ac:dyDescent="0.25">
      <c r="D939" s="8"/>
    </row>
    <row r="940" spans="4:4" x14ac:dyDescent="0.25">
      <c r="D940" s="8"/>
    </row>
    <row r="941" spans="4:4" x14ac:dyDescent="0.25">
      <c r="D941" s="8"/>
    </row>
    <row r="942" spans="4:4" x14ac:dyDescent="0.25">
      <c r="D942" s="8"/>
    </row>
    <row r="943" spans="4:4" x14ac:dyDescent="0.25">
      <c r="D943" s="8"/>
    </row>
    <row r="944" spans="4:4" x14ac:dyDescent="0.25">
      <c r="D944" s="8"/>
    </row>
    <row r="945" spans="4:4" x14ac:dyDescent="0.25">
      <c r="D945" s="8"/>
    </row>
    <row r="946" spans="4:4" x14ac:dyDescent="0.25">
      <c r="D946" s="8"/>
    </row>
    <row r="947" spans="4:4" x14ac:dyDescent="0.25">
      <c r="D947" s="8"/>
    </row>
    <row r="948" spans="4:4" x14ac:dyDescent="0.25">
      <c r="D948" s="8"/>
    </row>
    <row r="949" spans="4:4" x14ac:dyDescent="0.25">
      <c r="D949" s="8"/>
    </row>
    <row r="950" spans="4:4" x14ac:dyDescent="0.25">
      <c r="D950" s="8"/>
    </row>
    <row r="951" spans="4:4" x14ac:dyDescent="0.25">
      <c r="D951" s="8"/>
    </row>
    <row r="952" spans="4:4" x14ac:dyDescent="0.25">
      <c r="D952" s="8"/>
    </row>
    <row r="953" spans="4:4" x14ac:dyDescent="0.25">
      <c r="D953" s="8"/>
    </row>
    <row r="954" spans="4:4" x14ac:dyDescent="0.25">
      <c r="D954" s="8"/>
    </row>
    <row r="955" spans="4:4" x14ac:dyDescent="0.25">
      <c r="D955" s="8"/>
    </row>
    <row r="956" spans="4:4" x14ac:dyDescent="0.25">
      <c r="D956" s="8"/>
    </row>
    <row r="957" spans="4:4" x14ac:dyDescent="0.25">
      <c r="D957" s="8"/>
    </row>
    <row r="958" spans="4:4" x14ac:dyDescent="0.25">
      <c r="D958" s="8"/>
    </row>
    <row r="959" spans="4:4" x14ac:dyDescent="0.25">
      <c r="D959" s="8"/>
    </row>
    <row r="960" spans="4:4" x14ac:dyDescent="0.25">
      <c r="D960" s="8"/>
    </row>
    <row r="961" spans="4:4" x14ac:dyDescent="0.25">
      <c r="D961" s="8"/>
    </row>
    <row r="962" spans="4:4" x14ac:dyDescent="0.25">
      <c r="D962" s="8"/>
    </row>
    <row r="963" spans="4:4" x14ac:dyDescent="0.25">
      <c r="D963" s="8"/>
    </row>
    <row r="964" spans="4:4" x14ac:dyDescent="0.25">
      <c r="D964" s="8"/>
    </row>
    <row r="965" spans="4:4" x14ac:dyDescent="0.25">
      <c r="D965" s="8"/>
    </row>
    <row r="966" spans="4:4" x14ac:dyDescent="0.25">
      <c r="D966" s="8"/>
    </row>
    <row r="967" spans="4:4" x14ac:dyDescent="0.25">
      <c r="D967" s="8"/>
    </row>
    <row r="968" spans="4:4" x14ac:dyDescent="0.25">
      <c r="D968" s="8"/>
    </row>
    <row r="969" spans="4:4" x14ac:dyDescent="0.25">
      <c r="D969" s="8"/>
    </row>
    <row r="970" spans="4:4" x14ac:dyDescent="0.25">
      <c r="D970" s="8"/>
    </row>
    <row r="971" spans="4:4" x14ac:dyDescent="0.25">
      <c r="D971" s="8"/>
    </row>
    <row r="972" spans="4:4" x14ac:dyDescent="0.25">
      <c r="D972" s="8"/>
    </row>
    <row r="973" spans="4:4" x14ac:dyDescent="0.25">
      <c r="D973" s="8"/>
    </row>
    <row r="974" spans="4:4" x14ac:dyDescent="0.25">
      <c r="D974" s="8"/>
    </row>
    <row r="975" spans="4:4" x14ac:dyDescent="0.25">
      <c r="D975" s="8"/>
    </row>
    <row r="976" spans="4:4" x14ac:dyDescent="0.25">
      <c r="D976" s="8"/>
    </row>
    <row r="977" spans="4:4" x14ac:dyDescent="0.25">
      <c r="D977" s="8"/>
    </row>
    <row r="978" spans="4:4" x14ac:dyDescent="0.25">
      <c r="D978" s="8"/>
    </row>
    <row r="979" spans="4:4" x14ac:dyDescent="0.25">
      <c r="D979" s="8"/>
    </row>
    <row r="980" spans="4:4" x14ac:dyDescent="0.25">
      <c r="D980" s="8"/>
    </row>
    <row r="981" spans="4:4" x14ac:dyDescent="0.25">
      <c r="D981" s="8"/>
    </row>
    <row r="982" spans="4:4" x14ac:dyDescent="0.25">
      <c r="D982" s="8"/>
    </row>
    <row r="983" spans="4:4" x14ac:dyDescent="0.25">
      <c r="D983" s="8"/>
    </row>
    <row r="984" spans="4:4" x14ac:dyDescent="0.25">
      <c r="D984" s="8"/>
    </row>
    <row r="985" spans="4:4" x14ac:dyDescent="0.25">
      <c r="D985" s="8"/>
    </row>
    <row r="986" spans="4:4" x14ac:dyDescent="0.25">
      <c r="D986" s="8"/>
    </row>
    <row r="987" spans="4:4" x14ac:dyDescent="0.25">
      <c r="D987" s="8"/>
    </row>
    <row r="988" spans="4:4" x14ac:dyDescent="0.25">
      <c r="D988" s="8"/>
    </row>
    <row r="989" spans="4:4" x14ac:dyDescent="0.25">
      <c r="D989" s="8"/>
    </row>
    <row r="990" spans="4:4" x14ac:dyDescent="0.25">
      <c r="D990" s="8"/>
    </row>
    <row r="991" spans="4:4" x14ac:dyDescent="0.25">
      <c r="D991" s="8"/>
    </row>
    <row r="992" spans="4:4" x14ac:dyDescent="0.25">
      <c r="D992" s="8"/>
    </row>
    <row r="993" spans="4:4" x14ac:dyDescent="0.25">
      <c r="D993" s="8"/>
    </row>
    <row r="994" spans="4:4" x14ac:dyDescent="0.25">
      <c r="D994" s="8"/>
    </row>
    <row r="995" spans="4:4" x14ac:dyDescent="0.25">
      <c r="D995" s="8"/>
    </row>
    <row r="996" spans="4:4" x14ac:dyDescent="0.25">
      <c r="D996" s="8"/>
    </row>
    <row r="997" spans="4:4" x14ac:dyDescent="0.25">
      <c r="D997" s="8"/>
    </row>
    <row r="998" spans="4:4" x14ac:dyDescent="0.25">
      <c r="D998" s="8"/>
    </row>
    <row r="999" spans="4:4" x14ac:dyDescent="0.25">
      <c r="D999" s="8"/>
    </row>
    <row r="1000" spans="4:4" x14ac:dyDescent="0.25">
      <c r="D1000" s="8"/>
    </row>
    <row r="1001" spans="4:4" x14ac:dyDescent="0.25">
      <c r="D1001" s="8"/>
    </row>
    <row r="1002" spans="4:4" x14ac:dyDescent="0.25">
      <c r="D1002" s="8"/>
    </row>
    <row r="1003" spans="4:4" x14ac:dyDescent="0.25">
      <c r="D1003" s="8"/>
    </row>
    <row r="1004" spans="4:4" x14ac:dyDescent="0.25">
      <c r="D1004" s="8"/>
    </row>
    <row r="1005" spans="4:4" x14ac:dyDescent="0.25">
      <c r="D1005" s="8"/>
    </row>
    <row r="1006" spans="4:4" x14ac:dyDescent="0.25">
      <c r="D1006" s="8"/>
    </row>
    <row r="1007" spans="4:4" x14ac:dyDescent="0.25">
      <c r="D1007" s="8"/>
    </row>
    <row r="1008" spans="4:4" x14ac:dyDescent="0.25">
      <c r="D1008" s="8"/>
    </row>
    <row r="1009" spans="4:4" x14ac:dyDescent="0.25">
      <c r="D1009" s="8"/>
    </row>
    <row r="1010" spans="4:4" x14ac:dyDescent="0.25">
      <c r="D1010" s="8"/>
    </row>
    <row r="1011" spans="4:4" x14ac:dyDescent="0.25">
      <c r="D1011" s="8"/>
    </row>
    <row r="1012" spans="4:4" x14ac:dyDescent="0.25">
      <c r="D1012" s="8"/>
    </row>
    <row r="1013" spans="4:4" x14ac:dyDescent="0.25">
      <c r="D1013" s="8"/>
    </row>
    <row r="1014" spans="4:4" x14ac:dyDescent="0.25">
      <c r="D1014" s="8"/>
    </row>
    <row r="1015" spans="4:4" x14ac:dyDescent="0.25">
      <c r="D1015" s="8"/>
    </row>
    <row r="1016" spans="4:4" x14ac:dyDescent="0.25">
      <c r="D1016" s="8"/>
    </row>
    <row r="1017" spans="4:4" x14ac:dyDescent="0.25">
      <c r="D1017" s="8"/>
    </row>
    <row r="1018" spans="4:4" x14ac:dyDescent="0.25">
      <c r="D1018" s="8"/>
    </row>
    <row r="1019" spans="4:4" x14ac:dyDescent="0.25">
      <c r="D1019" s="8"/>
    </row>
    <row r="1020" spans="4:4" x14ac:dyDescent="0.25">
      <c r="D1020" s="8"/>
    </row>
    <row r="1021" spans="4:4" x14ac:dyDescent="0.25">
      <c r="D1021" s="8"/>
    </row>
    <row r="1022" spans="4:4" x14ac:dyDescent="0.25">
      <c r="D1022" s="8"/>
    </row>
    <row r="1023" spans="4:4" x14ac:dyDescent="0.25">
      <c r="D1023" s="8"/>
    </row>
    <row r="1024" spans="4:4" x14ac:dyDescent="0.25">
      <c r="D1024" s="8"/>
    </row>
    <row r="1025" spans="4:4" x14ac:dyDescent="0.25">
      <c r="D1025" s="8"/>
    </row>
    <row r="1026" spans="4:4" x14ac:dyDescent="0.25">
      <c r="D1026" s="8"/>
    </row>
    <row r="1027" spans="4:4" x14ac:dyDescent="0.25">
      <c r="D1027" s="8"/>
    </row>
    <row r="1028" spans="4:4" x14ac:dyDescent="0.25">
      <c r="D1028" s="8"/>
    </row>
    <row r="1029" spans="4:4" x14ac:dyDescent="0.25">
      <c r="D1029" s="8"/>
    </row>
    <row r="1030" spans="4:4" x14ac:dyDescent="0.25">
      <c r="D1030" s="8"/>
    </row>
    <row r="1031" spans="4:4" x14ac:dyDescent="0.25">
      <c r="D1031" s="8"/>
    </row>
    <row r="1032" spans="4:4" x14ac:dyDescent="0.25">
      <c r="D1032" s="8"/>
    </row>
    <row r="1033" spans="4:4" x14ac:dyDescent="0.25">
      <c r="D1033" s="8"/>
    </row>
    <row r="1034" spans="4:4" x14ac:dyDescent="0.25">
      <c r="D1034" s="8"/>
    </row>
    <row r="1035" spans="4:4" x14ac:dyDescent="0.25">
      <c r="D1035" s="8"/>
    </row>
    <row r="1036" spans="4:4" x14ac:dyDescent="0.25">
      <c r="D1036" s="8"/>
    </row>
    <row r="1037" spans="4:4" x14ac:dyDescent="0.25">
      <c r="D1037" s="8"/>
    </row>
    <row r="1038" spans="4:4" x14ac:dyDescent="0.25">
      <c r="D1038" s="8"/>
    </row>
    <row r="1039" spans="4:4" x14ac:dyDescent="0.25">
      <c r="D1039" s="8"/>
    </row>
    <row r="1040" spans="4:4" x14ac:dyDescent="0.25">
      <c r="D1040" s="8"/>
    </row>
    <row r="1041" spans="4:4" x14ac:dyDescent="0.25">
      <c r="D1041" s="8"/>
    </row>
    <row r="1042" spans="4:4" x14ac:dyDescent="0.25">
      <c r="D1042" s="8"/>
    </row>
    <row r="1043" spans="4:4" x14ac:dyDescent="0.25">
      <c r="D1043" s="8"/>
    </row>
    <row r="1044" spans="4:4" x14ac:dyDescent="0.25">
      <c r="D1044" s="8"/>
    </row>
    <row r="1045" spans="4:4" x14ac:dyDescent="0.25">
      <c r="D1045" s="8"/>
    </row>
    <row r="1046" spans="4:4" x14ac:dyDescent="0.25">
      <c r="D1046" s="8"/>
    </row>
    <row r="1047" spans="4:4" x14ac:dyDescent="0.25">
      <c r="D1047" s="8"/>
    </row>
    <row r="1048" spans="4:4" x14ac:dyDescent="0.25">
      <c r="D1048" s="8"/>
    </row>
    <row r="1049" spans="4:4" x14ac:dyDescent="0.25">
      <c r="D1049" s="8"/>
    </row>
    <row r="1050" spans="4:4" x14ac:dyDescent="0.25">
      <c r="D1050" s="8"/>
    </row>
    <row r="1051" spans="4:4" x14ac:dyDescent="0.25">
      <c r="D1051" s="8"/>
    </row>
    <row r="1052" spans="4:4" x14ac:dyDescent="0.25">
      <c r="D1052" s="8"/>
    </row>
    <row r="1053" spans="4:4" x14ac:dyDescent="0.25">
      <c r="D1053" s="8"/>
    </row>
    <row r="1054" spans="4:4" x14ac:dyDescent="0.25">
      <c r="D1054" s="8"/>
    </row>
    <row r="1055" spans="4:4" x14ac:dyDescent="0.25">
      <c r="D1055" s="8"/>
    </row>
    <row r="1056" spans="4:4" x14ac:dyDescent="0.25">
      <c r="D1056" s="8"/>
    </row>
    <row r="1057" spans="4:4" x14ac:dyDescent="0.25">
      <c r="D1057" s="8"/>
    </row>
    <row r="1058" spans="4:4" x14ac:dyDescent="0.25">
      <c r="D1058" s="8"/>
    </row>
    <row r="1059" spans="4:4" x14ac:dyDescent="0.25">
      <c r="D1059" s="8"/>
    </row>
    <row r="1060" spans="4:4" x14ac:dyDescent="0.25">
      <c r="D1060" s="8"/>
    </row>
    <row r="1061" spans="4:4" x14ac:dyDescent="0.25">
      <c r="D1061" s="8"/>
    </row>
    <row r="1062" spans="4:4" x14ac:dyDescent="0.25">
      <c r="D1062" s="8"/>
    </row>
    <row r="1063" spans="4:4" x14ac:dyDescent="0.25">
      <c r="D1063" s="8"/>
    </row>
    <row r="1064" spans="4:4" x14ac:dyDescent="0.25">
      <c r="D1064" s="8"/>
    </row>
    <row r="1065" spans="4:4" x14ac:dyDescent="0.25">
      <c r="D1065" s="8"/>
    </row>
    <row r="1066" spans="4:4" x14ac:dyDescent="0.25">
      <c r="D1066" s="8"/>
    </row>
    <row r="1067" spans="4:4" x14ac:dyDescent="0.25">
      <c r="D1067" s="8"/>
    </row>
    <row r="1068" spans="4:4" x14ac:dyDescent="0.25">
      <c r="D1068" s="8"/>
    </row>
    <row r="1069" spans="4:4" x14ac:dyDescent="0.25">
      <c r="D1069" s="8"/>
    </row>
    <row r="1070" spans="4:4" x14ac:dyDescent="0.25">
      <c r="D1070" s="8"/>
    </row>
    <row r="1071" spans="4:4" x14ac:dyDescent="0.25">
      <c r="D1071" s="8"/>
    </row>
    <row r="1072" spans="4:4" x14ac:dyDescent="0.25">
      <c r="D1072" s="8"/>
    </row>
    <row r="1073" spans="4:4" x14ac:dyDescent="0.25">
      <c r="D1073" s="8"/>
    </row>
    <row r="1074" spans="4:4" x14ac:dyDescent="0.25">
      <c r="D1074" s="8"/>
    </row>
    <row r="1075" spans="4:4" x14ac:dyDescent="0.25">
      <c r="D1075" s="8"/>
    </row>
    <row r="1076" spans="4:4" x14ac:dyDescent="0.25">
      <c r="D1076" s="8"/>
    </row>
    <row r="1077" spans="4:4" x14ac:dyDescent="0.25">
      <c r="D1077" s="8"/>
    </row>
    <row r="1078" spans="4:4" x14ac:dyDescent="0.25">
      <c r="D1078" s="8"/>
    </row>
    <row r="1079" spans="4:4" x14ac:dyDescent="0.25">
      <c r="D1079" s="8"/>
    </row>
    <row r="1080" spans="4:4" x14ac:dyDescent="0.25">
      <c r="D1080" s="8"/>
    </row>
    <row r="1081" spans="4:4" x14ac:dyDescent="0.25">
      <c r="D1081" s="8"/>
    </row>
    <row r="1082" spans="4:4" x14ac:dyDescent="0.25">
      <c r="D1082" s="8"/>
    </row>
    <row r="1083" spans="4:4" x14ac:dyDescent="0.25">
      <c r="D1083" s="8"/>
    </row>
    <row r="1084" spans="4:4" x14ac:dyDescent="0.25">
      <c r="D1084" s="8"/>
    </row>
    <row r="1085" spans="4:4" x14ac:dyDescent="0.25">
      <c r="D1085" s="8"/>
    </row>
    <row r="1086" spans="4:4" x14ac:dyDescent="0.25">
      <c r="D1086" s="8"/>
    </row>
    <row r="1087" spans="4:4" x14ac:dyDescent="0.25">
      <c r="D1087" s="8"/>
    </row>
    <row r="1088" spans="4:4" x14ac:dyDescent="0.25">
      <c r="D1088" s="8"/>
    </row>
    <row r="1089" spans="4:4" x14ac:dyDescent="0.25">
      <c r="D1089" s="8"/>
    </row>
    <row r="1090" spans="4:4" x14ac:dyDescent="0.25">
      <c r="D1090" s="8"/>
    </row>
    <row r="1091" spans="4:4" x14ac:dyDescent="0.25">
      <c r="D1091" s="8"/>
    </row>
    <row r="1092" spans="4:4" x14ac:dyDescent="0.25">
      <c r="D1092" s="8"/>
    </row>
    <row r="1093" spans="4:4" x14ac:dyDescent="0.25">
      <c r="D1093" s="8"/>
    </row>
    <row r="1094" spans="4:4" x14ac:dyDescent="0.25">
      <c r="D1094" s="8"/>
    </row>
    <row r="1095" spans="4:4" x14ac:dyDescent="0.25">
      <c r="D1095" s="8"/>
    </row>
    <row r="1096" spans="4:4" x14ac:dyDescent="0.25">
      <c r="D1096" s="8"/>
    </row>
    <row r="1097" spans="4:4" x14ac:dyDescent="0.25">
      <c r="D1097" s="8"/>
    </row>
    <row r="1098" spans="4:4" x14ac:dyDescent="0.25">
      <c r="D1098" s="8"/>
    </row>
    <row r="1099" spans="4:4" x14ac:dyDescent="0.25">
      <c r="D1099" s="8"/>
    </row>
    <row r="1100" spans="4:4" x14ac:dyDescent="0.25">
      <c r="D1100" s="8"/>
    </row>
    <row r="1101" spans="4:4" x14ac:dyDescent="0.25">
      <c r="D1101" s="8"/>
    </row>
    <row r="1102" spans="4:4" x14ac:dyDescent="0.25">
      <c r="D1102" s="8"/>
    </row>
    <row r="1103" spans="4:4" x14ac:dyDescent="0.25">
      <c r="D1103" s="8"/>
    </row>
    <row r="1104" spans="4:4" x14ac:dyDescent="0.25">
      <c r="D1104" s="8"/>
    </row>
    <row r="1105" spans="4:4" x14ac:dyDescent="0.25">
      <c r="D1105" s="8"/>
    </row>
    <row r="1106" spans="4:4" x14ac:dyDescent="0.25">
      <c r="D1106" s="8"/>
    </row>
    <row r="1107" spans="4:4" x14ac:dyDescent="0.25">
      <c r="D1107" s="8"/>
    </row>
    <row r="1108" spans="4:4" x14ac:dyDescent="0.25">
      <c r="D1108" s="8"/>
    </row>
    <row r="1109" spans="4:4" x14ac:dyDescent="0.25">
      <c r="D1109" s="8"/>
    </row>
    <row r="1110" spans="4:4" x14ac:dyDescent="0.25">
      <c r="D1110" s="8"/>
    </row>
    <row r="1111" spans="4:4" x14ac:dyDescent="0.25">
      <c r="D1111" s="8"/>
    </row>
    <row r="1112" spans="4:4" x14ac:dyDescent="0.25">
      <c r="D1112" s="8"/>
    </row>
    <row r="1113" spans="4:4" x14ac:dyDescent="0.25">
      <c r="D1113" s="8"/>
    </row>
    <row r="1114" spans="4:4" x14ac:dyDescent="0.25">
      <c r="D1114" s="8"/>
    </row>
    <row r="1115" spans="4:4" x14ac:dyDescent="0.25">
      <c r="D1115" s="8"/>
    </row>
    <row r="1116" spans="4:4" x14ac:dyDescent="0.25">
      <c r="D1116" s="8"/>
    </row>
    <row r="1117" spans="4:4" x14ac:dyDescent="0.25">
      <c r="D1117" s="8"/>
    </row>
    <row r="1118" spans="4:4" x14ac:dyDescent="0.25">
      <c r="D1118" s="8"/>
    </row>
    <row r="1119" spans="4:4" x14ac:dyDescent="0.25">
      <c r="D1119" s="8"/>
    </row>
    <row r="1120" spans="4:4" x14ac:dyDescent="0.25">
      <c r="D1120" s="8"/>
    </row>
    <row r="1121" spans="4:4" x14ac:dyDescent="0.25">
      <c r="D1121" s="8"/>
    </row>
    <row r="1122" spans="4:4" x14ac:dyDescent="0.25">
      <c r="D1122" s="8"/>
    </row>
    <row r="1123" spans="4:4" x14ac:dyDescent="0.25">
      <c r="D1123" s="8"/>
    </row>
    <row r="1124" spans="4:4" x14ac:dyDescent="0.25">
      <c r="D1124" s="8"/>
    </row>
    <row r="1125" spans="4:4" x14ac:dyDescent="0.25">
      <c r="D1125" s="8"/>
    </row>
    <row r="1126" spans="4:4" x14ac:dyDescent="0.25">
      <c r="D1126" s="8"/>
    </row>
    <row r="1127" spans="4:4" x14ac:dyDescent="0.25">
      <c r="D1127" s="8"/>
    </row>
    <row r="1128" spans="4:4" x14ac:dyDescent="0.25">
      <c r="D1128" s="8"/>
    </row>
    <row r="1129" spans="4:4" x14ac:dyDescent="0.25">
      <c r="D1129" s="8"/>
    </row>
    <row r="1130" spans="4:4" x14ac:dyDescent="0.25">
      <c r="D1130" s="8"/>
    </row>
    <row r="1131" spans="4:4" x14ac:dyDescent="0.25">
      <c r="D1131" s="8"/>
    </row>
    <row r="1132" spans="4:4" x14ac:dyDescent="0.25">
      <c r="D1132" s="8"/>
    </row>
    <row r="1133" spans="4:4" x14ac:dyDescent="0.25">
      <c r="D1133" s="8"/>
    </row>
    <row r="1134" spans="4:4" x14ac:dyDescent="0.25">
      <c r="D1134" s="8"/>
    </row>
    <row r="1135" spans="4:4" x14ac:dyDescent="0.25">
      <c r="D1135" s="8"/>
    </row>
    <row r="1136" spans="4:4" x14ac:dyDescent="0.25">
      <c r="D1136" s="8"/>
    </row>
    <row r="1137" spans="4:4" x14ac:dyDescent="0.25">
      <c r="D1137" s="8"/>
    </row>
    <row r="1138" spans="4:4" x14ac:dyDescent="0.25">
      <c r="D1138" s="8"/>
    </row>
    <row r="1139" spans="4:4" x14ac:dyDescent="0.25">
      <c r="D1139" s="8"/>
    </row>
    <row r="1140" spans="4:4" x14ac:dyDescent="0.25">
      <c r="D1140" s="8"/>
    </row>
    <row r="1141" spans="4:4" x14ac:dyDescent="0.25">
      <c r="D1141" s="8"/>
    </row>
    <row r="1142" spans="4:4" x14ac:dyDescent="0.25">
      <c r="D1142" s="8"/>
    </row>
    <row r="1143" spans="4:4" x14ac:dyDescent="0.25">
      <c r="D1143" s="8"/>
    </row>
    <row r="1144" spans="4:4" x14ac:dyDescent="0.25">
      <c r="D1144" s="8"/>
    </row>
    <row r="1145" spans="4:4" x14ac:dyDescent="0.25">
      <c r="D1145" s="8"/>
    </row>
    <row r="1146" spans="4:4" x14ac:dyDescent="0.25">
      <c r="D1146" s="8"/>
    </row>
    <row r="1147" spans="4:4" x14ac:dyDescent="0.25">
      <c r="D1147" s="8"/>
    </row>
    <row r="1148" spans="4:4" x14ac:dyDescent="0.25">
      <c r="D1148" s="8"/>
    </row>
    <row r="1149" spans="4:4" x14ac:dyDescent="0.25">
      <c r="D1149" s="8"/>
    </row>
    <row r="1150" spans="4:4" x14ac:dyDescent="0.25">
      <c r="D1150" s="8"/>
    </row>
    <row r="1151" spans="4:4" x14ac:dyDescent="0.25">
      <c r="D1151" s="8"/>
    </row>
    <row r="1152" spans="4:4" x14ac:dyDescent="0.25">
      <c r="D1152" s="8"/>
    </row>
    <row r="1153" spans="4:4" x14ac:dyDescent="0.25">
      <c r="D1153" s="8"/>
    </row>
    <row r="1154" spans="4:4" x14ac:dyDescent="0.25">
      <c r="D1154" s="8"/>
    </row>
    <row r="1155" spans="4:4" x14ac:dyDescent="0.25">
      <c r="D1155" s="8"/>
    </row>
    <row r="1156" spans="4:4" x14ac:dyDescent="0.25">
      <c r="D1156" s="8"/>
    </row>
    <row r="1157" spans="4:4" x14ac:dyDescent="0.25">
      <c r="D1157" s="8"/>
    </row>
    <row r="1158" spans="4:4" x14ac:dyDescent="0.25">
      <c r="D1158" s="8"/>
    </row>
    <row r="1159" spans="4:4" x14ac:dyDescent="0.25">
      <c r="D1159" s="8"/>
    </row>
    <row r="1160" spans="4:4" x14ac:dyDescent="0.25">
      <c r="D1160" s="8"/>
    </row>
    <row r="1161" spans="4:4" x14ac:dyDescent="0.25">
      <c r="D1161" s="8"/>
    </row>
    <row r="1162" spans="4:4" x14ac:dyDescent="0.25">
      <c r="D1162" s="8"/>
    </row>
    <row r="1163" spans="4:4" x14ac:dyDescent="0.25">
      <c r="D1163" s="8"/>
    </row>
    <row r="1164" spans="4:4" x14ac:dyDescent="0.25">
      <c r="D1164" s="8"/>
    </row>
    <row r="1165" spans="4:4" x14ac:dyDescent="0.25">
      <c r="D1165" s="8"/>
    </row>
    <row r="1166" spans="4:4" x14ac:dyDescent="0.25">
      <c r="D1166" s="8"/>
    </row>
    <row r="1167" spans="4:4" x14ac:dyDescent="0.25">
      <c r="D1167" s="8"/>
    </row>
    <row r="1168" spans="4:4" x14ac:dyDescent="0.25">
      <c r="D1168" s="8"/>
    </row>
    <row r="1169" spans="4:4" x14ac:dyDescent="0.25">
      <c r="D1169" s="8"/>
    </row>
    <row r="1170" spans="4:4" x14ac:dyDescent="0.25">
      <c r="D1170" s="8"/>
    </row>
    <row r="1171" spans="4:4" x14ac:dyDescent="0.25">
      <c r="D1171" s="8"/>
    </row>
    <row r="1172" spans="4:4" x14ac:dyDescent="0.25">
      <c r="D1172" s="8"/>
    </row>
    <row r="1173" spans="4:4" x14ac:dyDescent="0.25">
      <c r="D1173" s="8"/>
    </row>
    <row r="1174" spans="4:4" x14ac:dyDescent="0.25">
      <c r="D1174" s="8"/>
    </row>
    <row r="1175" spans="4:4" x14ac:dyDescent="0.25">
      <c r="D1175" s="8"/>
    </row>
    <row r="1176" spans="4:4" x14ac:dyDescent="0.25">
      <c r="D1176" s="8"/>
    </row>
    <row r="1177" spans="4:4" x14ac:dyDescent="0.25">
      <c r="D1177" s="8"/>
    </row>
    <row r="1178" spans="4:4" x14ac:dyDescent="0.25">
      <c r="D1178" s="8"/>
    </row>
    <row r="1179" spans="4:4" x14ac:dyDescent="0.25">
      <c r="D1179" s="8"/>
    </row>
    <row r="1180" spans="4:4" x14ac:dyDescent="0.25">
      <c r="D1180" s="8"/>
    </row>
    <row r="1181" spans="4:4" x14ac:dyDescent="0.25">
      <c r="D1181" s="8"/>
    </row>
    <row r="1182" spans="4:4" x14ac:dyDescent="0.25">
      <c r="D1182" s="8"/>
    </row>
    <row r="1183" spans="4:4" x14ac:dyDescent="0.25">
      <c r="D1183" s="8"/>
    </row>
    <row r="1184" spans="4:4" x14ac:dyDescent="0.25">
      <c r="D1184" s="8"/>
    </row>
    <row r="1185" spans="4:4" x14ac:dyDescent="0.25">
      <c r="D1185" s="8"/>
    </row>
    <row r="1186" spans="4:4" x14ac:dyDescent="0.25">
      <c r="D1186" s="8"/>
    </row>
    <row r="1187" spans="4:4" x14ac:dyDescent="0.25">
      <c r="D1187" s="8"/>
    </row>
    <row r="1188" spans="4:4" x14ac:dyDescent="0.25">
      <c r="D1188" s="8"/>
    </row>
    <row r="1189" spans="4:4" x14ac:dyDescent="0.25">
      <c r="D1189" s="8"/>
    </row>
    <row r="1190" spans="4:4" x14ac:dyDescent="0.25">
      <c r="D1190" s="8"/>
    </row>
    <row r="1191" spans="4:4" x14ac:dyDescent="0.25">
      <c r="D1191" s="8"/>
    </row>
    <row r="1192" spans="4:4" x14ac:dyDescent="0.25">
      <c r="D1192" s="8"/>
    </row>
    <row r="1193" spans="4:4" x14ac:dyDescent="0.25">
      <c r="D1193" s="8"/>
    </row>
    <row r="1194" spans="4:4" x14ac:dyDescent="0.25">
      <c r="D1194" s="8"/>
    </row>
    <row r="1195" spans="4:4" x14ac:dyDescent="0.25">
      <c r="D1195" s="8"/>
    </row>
    <row r="1196" spans="4:4" x14ac:dyDescent="0.25">
      <c r="D1196" s="8"/>
    </row>
    <row r="1197" spans="4:4" x14ac:dyDescent="0.25">
      <c r="D1197" s="8"/>
    </row>
    <row r="1198" spans="4:4" x14ac:dyDescent="0.25">
      <c r="D1198" s="8"/>
    </row>
    <row r="1199" spans="4:4" x14ac:dyDescent="0.25">
      <c r="D1199" s="8"/>
    </row>
    <row r="1200" spans="4:4" x14ac:dyDescent="0.25">
      <c r="D1200" s="8"/>
    </row>
    <row r="1201" spans="4:4" x14ac:dyDescent="0.25">
      <c r="D1201" s="8"/>
    </row>
    <row r="1202" spans="4:4" x14ac:dyDescent="0.25">
      <c r="D1202" s="8"/>
    </row>
    <row r="1203" spans="4:4" x14ac:dyDescent="0.25">
      <c r="D1203" s="8"/>
    </row>
    <row r="1204" spans="4:4" x14ac:dyDescent="0.25">
      <c r="D1204" s="8"/>
    </row>
    <row r="1205" spans="4:4" x14ac:dyDescent="0.25">
      <c r="D1205" s="8"/>
    </row>
    <row r="1206" spans="4:4" x14ac:dyDescent="0.25">
      <c r="D1206" s="8"/>
    </row>
    <row r="1207" spans="4:4" x14ac:dyDescent="0.25">
      <c r="D1207" s="8"/>
    </row>
    <row r="1208" spans="4:4" x14ac:dyDescent="0.25">
      <c r="D1208" s="8"/>
    </row>
    <row r="1209" spans="4:4" x14ac:dyDescent="0.25">
      <c r="D1209" s="8"/>
    </row>
    <row r="1210" spans="4:4" x14ac:dyDescent="0.25">
      <c r="D1210" s="8"/>
    </row>
    <row r="1211" spans="4:4" x14ac:dyDescent="0.25">
      <c r="D1211" s="8"/>
    </row>
    <row r="1212" spans="4:4" x14ac:dyDescent="0.25">
      <c r="D1212" s="8"/>
    </row>
    <row r="1213" spans="4:4" x14ac:dyDescent="0.25">
      <c r="D1213" s="8"/>
    </row>
    <row r="1214" spans="4:4" x14ac:dyDescent="0.25">
      <c r="D1214" s="8"/>
    </row>
    <row r="1215" spans="4:4" x14ac:dyDescent="0.25">
      <c r="D1215" s="8"/>
    </row>
    <row r="1216" spans="4:4" x14ac:dyDescent="0.25">
      <c r="D1216" s="8"/>
    </row>
    <row r="1217" spans="4:4" x14ac:dyDescent="0.25">
      <c r="D1217" s="8"/>
    </row>
    <row r="1218" spans="4:4" x14ac:dyDescent="0.25">
      <c r="D1218" s="8"/>
    </row>
    <row r="1219" spans="4:4" x14ac:dyDescent="0.25">
      <c r="D1219" s="8"/>
    </row>
    <row r="1220" spans="4:4" x14ac:dyDescent="0.25">
      <c r="D1220" s="8"/>
    </row>
    <row r="1221" spans="4:4" x14ac:dyDescent="0.25">
      <c r="D1221" s="8"/>
    </row>
    <row r="1222" spans="4:4" x14ac:dyDescent="0.25">
      <c r="D1222" s="8"/>
    </row>
    <row r="1223" spans="4:4" x14ac:dyDescent="0.25">
      <c r="D1223" s="8"/>
    </row>
    <row r="1224" spans="4:4" x14ac:dyDescent="0.25">
      <c r="D1224" s="8"/>
    </row>
    <row r="1225" spans="4:4" x14ac:dyDescent="0.25">
      <c r="D1225" s="8"/>
    </row>
    <row r="1226" spans="4:4" x14ac:dyDescent="0.25">
      <c r="D1226" s="8"/>
    </row>
    <row r="1227" spans="4:4" x14ac:dyDescent="0.25">
      <c r="D1227" s="8"/>
    </row>
    <row r="1228" spans="4:4" x14ac:dyDescent="0.25">
      <c r="D1228" s="8"/>
    </row>
    <row r="1229" spans="4:4" x14ac:dyDescent="0.25">
      <c r="D1229" s="8"/>
    </row>
    <row r="1230" spans="4:4" x14ac:dyDescent="0.25">
      <c r="D1230" s="8"/>
    </row>
    <row r="1231" spans="4:4" x14ac:dyDescent="0.25">
      <c r="D1231" s="8"/>
    </row>
    <row r="1232" spans="4:4" x14ac:dyDescent="0.25">
      <c r="D1232" s="8"/>
    </row>
    <row r="1233" spans="4:4" x14ac:dyDescent="0.25">
      <c r="D1233" s="8"/>
    </row>
    <row r="1234" spans="4:4" x14ac:dyDescent="0.25">
      <c r="D1234" s="8"/>
    </row>
    <row r="1235" spans="4:4" x14ac:dyDescent="0.25">
      <c r="D1235" s="8"/>
    </row>
    <row r="1236" spans="4:4" x14ac:dyDescent="0.25">
      <c r="D1236" s="8"/>
    </row>
    <row r="1237" spans="4:4" x14ac:dyDescent="0.25">
      <c r="D1237" s="8"/>
    </row>
    <row r="1238" spans="4:4" x14ac:dyDescent="0.25">
      <c r="D1238" s="8"/>
    </row>
    <row r="1239" spans="4:4" x14ac:dyDescent="0.25">
      <c r="D1239" s="8"/>
    </row>
    <row r="1240" spans="4:4" x14ac:dyDescent="0.25">
      <c r="D1240" s="8"/>
    </row>
    <row r="1241" spans="4:4" x14ac:dyDescent="0.25">
      <c r="D1241" s="8"/>
    </row>
    <row r="1242" spans="4:4" x14ac:dyDescent="0.25">
      <c r="D1242" s="8"/>
    </row>
    <row r="1243" spans="4:4" x14ac:dyDescent="0.25">
      <c r="D1243" s="8"/>
    </row>
    <row r="1244" spans="4:4" x14ac:dyDescent="0.25">
      <c r="D1244" s="8"/>
    </row>
    <row r="1245" spans="4:4" x14ac:dyDescent="0.25">
      <c r="D1245" s="8"/>
    </row>
    <row r="1246" spans="4:4" x14ac:dyDescent="0.25">
      <c r="D1246" s="8"/>
    </row>
    <row r="1247" spans="4:4" x14ac:dyDescent="0.25">
      <c r="D1247" s="8"/>
    </row>
    <row r="1248" spans="4:4" x14ac:dyDescent="0.25">
      <c r="D1248" s="8"/>
    </row>
    <row r="1249" spans="4:4" x14ac:dyDescent="0.25">
      <c r="D1249" s="8"/>
    </row>
    <row r="1250" spans="4:4" x14ac:dyDescent="0.25">
      <c r="D1250" s="8"/>
    </row>
    <row r="1251" spans="4:4" x14ac:dyDescent="0.25">
      <c r="D1251" s="8"/>
    </row>
    <row r="1252" spans="4:4" x14ac:dyDescent="0.25">
      <c r="D1252" s="8"/>
    </row>
    <row r="1253" spans="4:4" x14ac:dyDescent="0.25">
      <c r="D1253" s="8"/>
    </row>
    <row r="1254" spans="4:4" x14ac:dyDescent="0.25">
      <c r="D1254" s="8"/>
    </row>
    <row r="1255" spans="4:4" x14ac:dyDescent="0.25">
      <c r="D1255" s="8"/>
    </row>
    <row r="1256" spans="4:4" x14ac:dyDescent="0.25">
      <c r="D1256" s="8"/>
    </row>
    <row r="1257" spans="4:4" x14ac:dyDescent="0.25">
      <c r="D1257" s="8"/>
    </row>
    <row r="1258" spans="4:4" x14ac:dyDescent="0.25">
      <c r="D1258" s="8"/>
    </row>
    <row r="1259" spans="4:4" x14ac:dyDescent="0.25">
      <c r="D1259" s="8"/>
    </row>
    <row r="1260" spans="4:4" x14ac:dyDescent="0.25">
      <c r="D1260" s="8"/>
    </row>
    <row r="1261" spans="4:4" x14ac:dyDescent="0.25">
      <c r="D1261" s="8"/>
    </row>
    <row r="1262" spans="4:4" x14ac:dyDescent="0.25">
      <c r="D1262" s="8"/>
    </row>
    <row r="1263" spans="4:4" x14ac:dyDescent="0.25">
      <c r="D1263" s="8"/>
    </row>
    <row r="1264" spans="4:4" x14ac:dyDescent="0.25">
      <c r="D1264" s="8"/>
    </row>
    <row r="1265" spans="4:4" x14ac:dyDescent="0.25">
      <c r="D1265" s="8"/>
    </row>
    <row r="1266" spans="4:4" x14ac:dyDescent="0.25">
      <c r="D1266" s="8"/>
    </row>
    <row r="1267" spans="4:4" x14ac:dyDescent="0.25">
      <c r="D1267" s="8"/>
    </row>
    <row r="1268" spans="4:4" x14ac:dyDescent="0.25">
      <c r="D1268" s="8"/>
    </row>
    <row r="1269" spans="4:4" x14ac:dyDescent="0.25">
      <c r="D1269" s="8"/>
    </row>
    <row r="1270" spans="4:4" x14ac:dyDescent="0.25">
      <c r="D1270" s="8"/>
    </row>
    <row r="1271" spans="4:4" x14ac:dyDescent="0.25">
      <c r="D1271" s="8"/>
    </row>
    <row r="1272" spans="4:4" x14ac:dyDescent="0.25">
      <c r="D1272" s="8"/>
    </row>
    <row r="1273" spans="4:4" x14ac:dyDescent="0.25">
      <c r="D1273" s="8"/>
    </row>
    <row r="1274" spans="4:4" x14ac:dyDescent="0.25">
      <c r="D1274" s="8"/>
    </row>
    <row r="1275" spans="4:4" x14ac:dyDescent="0.25">
      <c r="D1275" s="8"/>
    </row>
    <row r="1276" spans="4:4" x14ac:dyDescent="0.25">
      <c r="D1276" s="8"/>
    </row>
    <row r="1277" spans="4:4" x14ac:dyDescent="0.25">
      <c r="D1277" s="8"/>
    </row>
    <row r="1278" spans="4:4" x14ac:dyDescent="0.25">
      <c r="D1278" s="8"/>
    </row>
    <row r="1279" spans="4:4" x14ac:dyDescent="0.25">
      <c r="D1279" s="8"/>
    </row>
    <row r="1280" spans="4:4" x14ac:dyDescent="0.25">
      <c r="D1280" s="8"/>
    </row>
    <row r="1281" spans="4:4" x14ac:dyDescent="0.25">
      <c r="D1281" s="8"/>
    </row>
    <row r="1282" spans="4:4" x14ac:dyDescent="0.25">
      <c r="D1282" s="8"/>
    </row>
    <row r="1283" spans="4:4" x14ac:dyDescent="0.25">
      <c r="D1283" s="8"/>
    </row>
    <row r="1284" spans="4:4" x14ac:dyDescent="0.25">
      <c r="D1284" s="8"/>
    </row>
    <row r="1285" spans="4:4" x14ac:dyDescent="0.25">
      <c r="D1285" s="8"/>
    </row>
    <row r="1286" spans="4:4" x14ac:dyDescent="0.25">
      <c r="D1286" s="8"/>
    </row>
    <row r="1287" spans="4:4" x14ac:dyDescent="0.25">
      <c r="D1287" s="8"/>
    </row>
    <row r="1288" spans="4:4" x14ac:dyDescent="0.25">
      <c r="D1288" s="8"/>
    </row>
    <row r="1289" spans="4:4" x14ac:dyDescent="0.25">
      <c r="D1289" s="8"/>
    </row>
    <row r="1290" spans="4:4" x14ac:dyDescent="0.25">
      <c r="D1290" s="8"/>
    </row>
    <row r="1291" spans="4:4" x14ac:dyDescent="0.25">
      <c r="D1291" s="8"/>
    </row>
    <row r="1292" spans="4:4" x14ac:dyDescent="0.25">
      <c r="D1292" s="8"/>
    </row>
    <row r="1293" spans="4:4" x14ac:dyDescent="0.25">
      <c r="D1293" s="8"/>
    </row>
    <row r="1294" spans="4:4" x14ac:dyDescent="0.25">
      <c r="D1294" s="8"/>
    </row>
    <row r="1295" spans="4:4" x14ac:dyDescent="0.25">
      <c r="D1295" s="8"/>
    </row>
    <row r="1296" spans="4:4" x14ac:dyDescent="0.25">
      <c r="D1296" s="8"/>
    </row>
    <row r="1297" spans="4:4" x14ac:dyDescent="0.25">
      <c r="D1297" s="8"/>
    </row>
    <row r="1298" spans="4:4" x14ac:dyDescent="0.25">
      <c r="D1298" s="8"/>
    </row>
    <row r="1299" spans="4:4" x14ac:dyDescent="0.25">
      <c r="D1299" s="8"/>
    </row>
    <row r="1300" spans="4:4" x14ac:dyDescent="0.25">
      <c r="D1300" s="8"/>
    </row>
    <row r="1301" spans="4:4" x14ac:dyDescent="0.25">
      <c r="D1301" s="8"/>
    </row>
    <row r="1302" spans="4:4" x14ac:dyDescent="0.25">
      <c r="D1302" s="8"/>
    </row>
    <row r="1303" spans="4:4" x14ac:dyDescent="0.25">
      <c r="D1303" s="8"/>
    </row>
    <row r="1304" spans="4:4" x14ac:dyDescent="0.25">
      <c r="D1304" s="8"/>
    </row>
    <row r="1305" spans="4:4" x14ac:dyDescent="0.25">
      <c r="D1305" s="8"/>
    </row>
    <row r="1306" spans="4:4" x14ac:dyDescent="0.25">
      <c r="D1306" s="8"/>
    </row>
    <row r="1307" spans="4:4" x14ac:dyDescent="0.25">
      <c r="D1307" s="8"/>
    </row>
    <row r="1308" spans="4:4" x14ac:dyDescent="0.25">
      <c r="D1308" s="8"/>
    </row>
    <row r="1309" spans="4:4" x14ac:dyDescent="0.25">
      <c r="D1309" s="8"/>
    </row>
    <row r="1310" spans="4:4" x14ac:dyDescent="0.25">
      <c r="D1310" s="8"/>
    </row>
    <row r="1311" spans="4:4" x14ac:dyDescent="0.25">
      <c r="D1311" s="8"/>
    </row>
    <row r="1312" spans="4:4" x14ac:dyDescent="0.25">
      <c r="D1312" s="8"/>
    </row>
    <row r="1313" spans="4:4" x14ac:dyDescent="0.25">
      <c r="D1313" s="8"/>
    </row>
    <row r="1314" spans="4:4" x14ac:dyDescent="0.25">
      <c r="D1314" s="8"/>
    </row>
    <row r="1315" spans="4:4" x14ac:dyDescent="0.25">
      <c r="D1315" s="8"/>
    </row>
    <row r="1316" spans="4:4" x14ac:dyDescent="0.25">
      <c r="D1316" s="8"/>
    </row>
    <row r="1317" spans="4:4" x14ac:dyDescent="0.25">
      <c r="D1317" s="8"/>
    </row>
    <row r="1318" spans="4:4" x14ac:dyDescent="0.25">
      <c r="D1318" s="8"/>
    </row>
    <row r="1319" spans="4:4" x14ac:dyDescent="0.25">
      <c r="D1319" s="8"/>
    </row>
    <row r="1320" spans="4:4" x14ac:dyDescent="0.25">
      <c r="D1320" s="8"/>
    </row>
    <row r="1321" spans="4:4" x14ac:dyDescent="0.25">
      <c r="D1321" s="8"/>
    </row>
    <row r="1322" spans="4:4" x14ac:dyDescent="0.25">
      <c r="D1322" s="8"/>
    </row>
    <row r="1323" spans="4:4" x14ac:dyDescent="0.25">
      <c r="D1323" s="8"/>
    </row>
    <row r="1324" spans="4:4" x14ac:dyDescent="0.25">
      <c r="D1324" s="8"/>
    </row>
    <row r="1325" spans="4:4" x14ac:dyDescent="0.25">
      <c r="D1325" s="8"/>
    </row>
    <row r="1326" spans="4:4" x14ac:dyDescent="0.25">
      <c r="D1326" s="8"/>
    </row>
    <row r="1327" spans="4:4" x14ac:dyDescent="0.25">
      <c r="D1327" s="8"/>
    </row>
    <row r="1328" spans="4:4" x14ac:dyDescent="0.25">
      <c r="D1328" s="8"/>
    </row>
    <row r="1329" spans="4:4" x14ac:dyDescent="0.25">
      <c r="D1329" s="8"/>
    </row>
    <row r="1330" spans="4:4" x14ac:dyDescent="0.25">
      <c r="D1330" s="8"/>
    </row>
    <row r="1331" spans="4:4" x14ac:dyDescent="0.25">
      <c r="D1331" s="8"/>
    </row>
    <row r="1332" spans="4:4" x14ac:dyDescent="0.25">
      <c r="D1332" s="8"/>
    </row>
    <row r="1333" spans="4:4" x14ac:dyDescent="0.25">
      <c r="D1333" s="8"/>
    </row>
    <row r="1334" spans="4:4" x14ac:dyDescent="0.25">
      <c r="D1334" s="8"/>
    </row>
    <row r="1335" spans="4:4" x14ac:dyDescent="0.25">
      <c r="D1335" s="8"/>
    </row>
    <row r="1336" spans="4:4" x14ac:dyDescent="0.25">
      <c r="D1336" s="8"/>
    </row>
    <row r="1337" spans="4:4" x14ac:dyDescent="0.25">
      <c r="D1337" s="8"/>
    </row>
    <row r="1338" spans="4:4" x14ac:dyDescent="0.25">
      <c r="D1338" s="8"/>
    </row>
    <row r="1339" spans="4:4" x14ac:dyDescent="0.25">
      <c r="D1339" s="8"/>
    </row>
    <row r="1340" spans="4:4" x14ac:dyDescent="0.25">
      <c r="D1340" s="8"/>
    </row>
    <row r="1341" spans="4:4" x14ac:dyDescent="0.25">
      <c r="D1341" s="8"/>
    </row>
    <row r="1342" spans="4:4" x14ac:dyDescent="0.25">
      <c r="D1342" s="8"/>
    </row>
    <row r="1343" spans="4:4" x14ac:dyDescent="0.25">
      <c r="D1343" s="8"/>
    </row>
    <row r="1344" spans="4:4" x14ac:dyDescent="0.25">
      <c r="D1344" s="8"/>
    </row>
    <row r="1345" spans="4:4" x14ac:dyDescent="0.25">
      <c r="D1345" s="8"/>
    </row>
    <row r="1346" spans="4:4" x14ac:dyDescent="0.25">
      <c r="D1346" s="8"/>
    </row>
    <row r="1347" spans="4:4" x14ac:dyDescent="0.25">
      <c r="D1347" s="8"/>
    </row>
    <row r="1348" spans="4:4" x14ac:dyDescent="0.25">
      <c r="D1348" s="8"/>
    </row>
    <row r="1349" spans="4:4" x14ac:dyDescent="0.25">
      <c r="D1349" s="8"/>
    </row>
    <row r="1350" spans="4:4" x14ac:dyDescent="0.25">
      <c r="D1350" s="8"/>
    </row>
    <row r="1351" spans="4:4" x14ac:dyDescent="0.25">
      <c r="D1351" s="8"/>
    </row>
    <row r="1352" spans="4:4" x14ac:dyDescent="0.25">
      <c r="D1352" s="8"/>
    </row>
    <row r="1353" spans="4:4" x14ac:dyDescent="0.25">
      <c r="D1353" s="8"/>
    </row>
    <row r="1354" spans="4:4" x14ac:dyDescent="0.25">
      <c r="D1354" s="8"/>
    </row>
    <row r="1355" spans="4:4" x14ac:dyDescent="0.25">
      <c r="D1355" s="8"/>
    </row>
    <row r="1356" spans="4:4" x14ac:dyDescent="0.25">
      <c r="D1356" s="8"/>
    </row>
    <row r="1357" spans="4:4" x14ac:dyDescent="0.25">
      <c r="D1357" s="8"/>
    </row>
    <row r="1358" spans="4:4" x14ac:dyDescent="0.25">
      <c r="D1358" s="8"/>
    </row>
    <row r="1359" spans="4:4" x14ac:dyDescent="0.25">
      <c r="D1359" s="8"/>
    </row>
    <row r="1360" spans="4:4" x14ac:dyDescent="0.25">
      <c r="D1360" s="8"/>
    </row>
    <row r="1361" spans="4:4" x14ac:dyDescent="0.25">
      <c r="D1361" s="8"/>
    </row>
    <row r="1362" spans="4:4" x14ac:dyDescent="0.25">
      <c r="D1362" s="8"/>
    </row>
    <row r="1363" spans="4:4" x14ac:dyDescent="0.25">
      <c r="D1363" s="8"/>
    </row>
    <row r="1364" spans="4:4" x14ac:dyDescent="0.25">
      <c r="D1364" s="8"/>
    </row>
    <row r="1365" spans="4:4" x14ac:dyDescent="0.25">
      <c r="D1365" s="8"/>
    </row>
    <row r="1366" spans="4:4" x14ac:dyDescent="0.25">
      <c r="D1366" s="8"/>
    </row>
    <row r="1367" spans="4:4" x14ac:dyDescent="0.25">
      <c r="D1367" s="8"/>
    </row>
    <row r="1368" spans="4:4" x14ac:dyDescent="0.25">
      <c r="D1368" s="8"/>
    </row>
    <row r="1369" spans="4:4" x14ac:dyDescent="0.25">
      <c r="D1369" s="8"/>
    </row>
    <row r="1370" spans="4:4" x14ac:dyDescent="0.25">
      <c r="D1370" s="8"/>
    </row>
    <row r="1371" spans="4:4" x14ac:dyDescent="0.25">
      <c r="D1371" s="8"/>
    </row>
    <row r="1372" spans="4:4" x14ac:dyDescent="0.25">
      <c r="D1372" s="8"/>
    </row>
    <row r="1373" spans="4:4" x14ac:dyDescent="0.25">
      <c r="D1373" s="8"/>
    </row>
    <row r="1374" spans="4:4" x14ac:dyDescent="0.25">
      <c r="D1374" s="8"/>
    </row>
    <row r="1375" spans="4:4" x14ac:dyDescent="0.25">
      <c r="D1375" s="8"/>
    </row>
    <row r="1376" spans="4:4" x14ac:dyDescent="0.25">
      <c r="D1376" s="8"/>
    </row>
    <row r="1377" spans="4:4" x14ac:dyDescent="0.25">
      <c r="D1377" s="8"/>
    </row>
    <row r="1378" spans="4:4" x14ac:dyDescent="0.25">
      <c r="D1378" s="8"/>
    </row>
    <row r="1379" spans="4:4" x14ac:dyDescent="0.25">
      <c r="D1379" s="8"/>
    </row>
    <row r="1380" spans="4:4" x14ac:dyDescent="0.25">
      <c r="D1380" s="8"/>
    </row>
    <row r="1381" spans="4:4" x14ac:dyDescent="0.25">
      <c r="D1381" s="8"/>
    </row>
    <row r="1382" spans="4:4" x14ac:dyDescent="0.25">
      <c r="D1382" s="8"/>
    </row>
    <row r="1383" spans="4:4" x14ac:dyDescent="0.25">
      <c r="D1383" s="8"/>
    </row>
    <row r="1384" spans="4:4" x14ac:dyDescent="0.25">
      <c r="D1384" s="8"/>
    </row>
    <row r="1385" spans="4:4" x14ac:dyDescent="0.25">
      <c r="D1385" s="8"/>
    </row>
    <row r="1386" spans="4:4" x14ac:dyDescent="0.25">
      <c r="D1386" s="8"/>
    </row>
    <row r="1387" spans="4:4" x14ac:dyDescent="0.25">
      <c r="D1387" s="8"/>
    </row>
    <row r="1388" spans="4:4" x14ac:dyDescent="0.25">
      <c r="D1388" s="8"/>
    </row>
    <row r="1389" spans="4:4" x14ac:dyDescent="0.25">
      <c r="D1389" s="8"/>
    </row>
    <row r="1390" spans="4:4" x14ac:dyDescent="0.25">
      <c r="D1390" s="8"/>
    </row>
    <row r="1391" spans="4:4" x14ac:dyDescent="0.25">
      <c r="D1391" s="8"/>
    </row>
    <row r="1392" spans="4:4" x14ac:dyDescent="0.25">
      <c r="D1392" s="8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banco</vt:lpstr>
      <vt:lpstr>procv</vt:lpstr>
      <vt:lpstr>banco regsau</vt:lpstr>
      <vt:lpstr>população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Milena Alves de Carvalho Costa</dc:creator>
  <cp:lastModifiedBy>WALTER SOARES BORGES NETO</cp:lastModifiedBy>
  <dcterms:created xsi:type="dcterms:W3CDTF">2025-12-17T20:07:50Z</dcterms:created>
  <dcterms:modified xsi:type="dcterms:W3CDTF">2026-02-06T13:35:49Z</dcterms:modified>
</cp:coreProperties>
</file>